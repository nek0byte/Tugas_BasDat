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5" yWindow="-15" windowWidth="24060" windowHeight="4500"/>
  </bookViews>
  <sheets>
    <sheet name="Worksheet" sheetId="1" r:id="rId1"/>
    <sheet name="rEKAP MHS" sheetId="2" r:id="rId2"/>
    <sheet name="nILAI T" sheetId="3" r:id="rId3"/>
    <sheet name="rEKAP kls MK" sheetId="4" r:id="rId4"/>
  </sheets>
  <externalReferences>
    <externalReference r:id="rId5"/>
    <externalReference r:id="rId6"/>
    <externalReference r:id="rId7"/>
  </externalReferences>
  <definedNames>
    <definedName name="_xlnm._FilterDatabase" localSheetId="1" hidden="1">'rEKAP MHS'!$A$1:$U$1275</definedName>
    <definedName name="_xlnm._FilterDatabase" localSheetId="0" hidden="1">Worksheet!$A$1:$M$1276</definedName>
  </definedNames>
  <calcPr calcId="125725"/>
</workbook>
</file>

<file path=xl/calcChain.xml><?xml version="1.0" encoding="utf-8"?>
<calcChain xmlns="http://schemas.openxmlformats.org/spreadsheetml/2006/main">
  <c r="K1267" i="1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A63" i="4"/>
  <c r="I63" s="1"/>
  <c r="J63" s="1"/>
  <c r="A62"/>
  <c r="I62" s="1"/>
  <c r="J62" s="1"/>
  <c r="A61"/>
  <c r="I61" s="1"/>
  <c r="J61" s="1"/>
  <c r="A60"/>
  <c r="I60" s="1"/>
  <c r="J60" s="1"/>
  <c r="I59"/>
  <c r="J59" s="1"/>
  <c r="A58"/>
  <c r="I58" s="1"/>
  <c r="J58" s="1"/>
  <c r="A57"/>
  <c r="I57" s="1"/>
  <c r="J57" s="1"/>
  <c r="A56"/>
  <c r="I56" s="1"/>
  <c r="J56" s="1"/>
  <c r="I55"/>
  <c r="J55" s="1"/>
  <c r="I54"/>
  <c r="J54" s="1"/>
  <c r="A53"/>
  <c r="I53" s="1"/>
  <c r="J53" s="1"/>
  <c r="A52"/>
  <c r="I52" s="1"/>
  <c r="J52" s="1"/>
  <c r="A51"/>
  <c r="I51" s="1"/>
  <c r="J51" s="1"/>
  <c r="A50"/>
  <c r="I50" s="1"/>
  <c r="J50" s="1"/>
  <c r="A49"/>
  <c r="I49" s="1"/>
  <c r="J49" s="1"/>
  <c r="A48"/>
  <c r="I48" s="1"/>
  <c r="J48" s="1"/>
  <c r="A47"/>
  <c r="I47" s="1"/>
  <c r="J47" s="1"/>
  <c r="A46"/>
  <c r="I46" s="1"/>
  <c r="J46" s="1"/>
  <c r="A45"/>
  <c r="I45" s="1"/>
  <c r="J45" s="1"/>
  <c r="A44"/>
  <c r="I44" s="1"/>
  <c r="J44" s="1"/>
  <c r="A43"/>
  <c r="I43" s="1"/>
  <c r="J43" s="1"/>
  <c r="A42"/>
  <c r="I42" s="1"/>
  <c r="J42" s="1"/>
  <c r="A41"/>
  <c r="I41" s="1"/>
  <c r="J41" s="1"/>
  <c r="A40"/>
  <c r="I40" s="1"/>
  <c r="J40" s="1"/>
  <c r="A39"/>
  <c r="I39" s="1"/>
  <c r="J39" s="1"/>
  <c r="A38"/>
  <c r="I38" s="1"/>
  <c r="J38" s="1"/>
  <c r="A37"/>
  <c r="I37" s="1"/>
  <c r="J37" s="1"/>
  <c r="A36"/>
  <c r="I36" s="1"/>
  <c r="J36" s="1"/>
  <c r="J71"/>
  <c r="J70"/>
  <c r="J69"/>
  <c r="J68"/>
  <c r="J67"/>
  <c r="J66"/>
  <c r="J65"/>
  <c r="J64"/>
  <c r="A35"/>
  <c r="I35" s="1"/>
  <c r="J35" s="1"/>
  <c r="A34"/>
  <c r="I34" s="1"/>
  <c r="J34" s="1"/>
  <c r="A33"/>
  <c r="I33" s="1"/>
  <c r="J33" s="1"/>
  <c r="A32"/>
  <c r="I32" s="1"/>
  <c r="J32" s="1"/>
  <c r="A31"/>
  <c r="I31" s="1"/>
  <c r="J31" s="1"/>
  <c r="A30"/>
  <c r="I30" s="1"/>
  <c r="J30" s="1"/>
  <c r="A29"/>
  <c r="I29" s="1"/>
  <c r="J29" s="1"/>
  <c r="A28"/>
  <c r="I28" s="1"/>
  <c r="J28" s="1"/>
  <c r="A27"/>
  <c r="I27" s="1"/>
  <c r="J27" s="1"/>
  <c r="A26"/>
  <c r="I26" s="1"/>
  <c r="J26" s="1"/>
  <c r="A25"/>
  <c r="I25" s="1"/>
  <c r="J25" s="1"/>
  <c r="A24"/>
  <c r="I24" s="1"/>
  <c r="J24" s="1"/>
  <c r="A23"/>
  <c r="I23" s="1"/>
  <c r="J23" s="1"/>
  <c r="A22"/>
  <c r="I22" s="1"/>
  <c r="J22" s="1"/>
  <c r="A21"/>
  <c r="I21" s="1"/>
  <c r="J21" s="1"/>
  <c r="A20"/>
  <c r="I20" s="1"/>
  <c r="J20" s="1"/>
  <c r="A19"/>
  <c r="I19" s="1"/>
  <c r="J19" s="1"/>
  <c r="A18"/>
  <c r="I18" s="1"/>
  <c r="J18" s="1"/>
  <c r="A17"/>
  <c r="I17" s="1"/>
  <c r="J17" s="1"/>
  <c r="A16"/>
  <c r="I16" s="1"/>
  <c r="J16" s="1"/>
  <c r="A15"/>
  <c r="I15" s="1"/>
  <c r="J15" s="1"/>
  <c r="A14"/>
  <c r="I14" s="1"/>
  <c r="J14" s="1"/>
  <c r="A13"/>
  <c r="I13" s="1"/>
  <c r="J13" s="1"/>
  <c r="A12"/>
  <c r="I12" s="1"/>
  <c r="J12" s="1"/>
  <c r="A11"/>
  <c r="I11" s="1"/>
  <c r="J11" s="1"/>
  <c r="A10"/>
  <c r="I10" s="1"/>
  <c r="J10" s="1"/>
  <c r="A9"/>
  <c r="I9" s="1"/>
  <c r="J9" s="1"/>
  <c r="A8"/>
  <c r="I8" s="1"/>
  <c r="J8" s="1"/>
  <c r="A7"/>
  <c r="I7" s="1"/>
  <c r="J7" s="1"/>
  <c r="A6"/>
  <c r="I6" s="1"/>
  <c r="J6" s="1"/>
  <c r="A5"/>
  <c r="I5" s="1"/>
  <c r="J5" s="1"/>
  <c r="A4"/>
  <c r="I4" s="1"/>
  <c r="J4" s="1"/>
  <c r="A3"/>
  <c r="I3" s="1"/>
  <c r="J3" s="1"/>
  <c r="A2"/>
  <c r="I2" s="1"/>
  <c r="J2" s="1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G31"/>
  <c r="F31"/>
  <c r="D31"/>
  <c r="G24"/>
  <c r="F24"/>
  <c r="D24"/>
  <c r="G21"/>
  <c r="F21"/>
  <c r="D21"/>
  <c r="G9"/>
  <c r="F9"/>
  <c r="D9"/>
  <c r="G8"/>
  <c r="F8"/>
  <c r="D8"/>
  <c r="G30"/>
  <c r="G11"/>
  <c r="G17"/>
  <c r="G3"/>
  <c r="G35"/>
  <c r="G34"/>
  <c r="G33"/>
  <c r="G25"/>
  <c r="G13"/>
  <c r="G12"/>
  <c r="G16"/>
  <c r="G18"/>
  <c r="G14"/>
  <c r="G32"/>
  <c r="G4"/>
  <c r="G27"/>
  <c r="G19"/>
  <c r="G28"/>
  <c r="G23"/>
  <c r="G10"/>
  <c r="G22"/>
  <c r="G29"/>
  <c r="G20"/>
  <c r="G7"/>
  <c r="G5"/>
  <c r="G15"/>
  <c r="G6"/>
  <c r="G2"/>
  <c r="F30"/>
  <c r="F11"/>
  <c r="F17"/>
  <c r="F3"/>
  <c r="F35"/>
  <c r="F34"/>
  <c r="F33"/>
  <c r="F25"/>
  <c r="F13"/>
  <c r="F12"/>
  <c r="F16"/>
  <c r="F18"/>
  <c r="F14"/>
  <c r="F32"/>
  <c r="F4"/>
  <c r="F27"/>
  <c r="F19"/>
  <c r="F28"/>
  <c r="F23"/>
  <c r="F10"/>
  <c r="F22"/>
  <c r="F29"/>
  <c r="F20"/>
  <c r="F7"/>
  <c r="F5"/>
  <c r="F15"/>
  <c r="F6"/>
  <c r="F2"/>
  <c r="G26"/>
  <c r="F26"/>
  <c r="D47"/>
  <c r="D35"/>
  <c r="D36"/>
  <c r="D38"/>
  <c r="D34"/>
  <c r="D33"/>
  <c r="D45"/>
  <c r="D32"/>
  <c r="D30"/>
  <c r="D29"/>
  <c r="D28"/>
  <c r="D27"/>
  <c r="D26"/>
  <c r="D44"/>
  <c r="D46"/>
  <c r="D25"/>
  <c r="D23"/>
  <c r="D63"/>
  <c r="D50"/>
  <c r="D49"/>
  <c r="D48"/>
  <c r="D61"/>
  <c r="D52"/>
  <c r="D62"/>
  <c r="D58"/>
  <c r="D60"/>
  <c r="D57"/>
  <c r="D56"/>
  <c r="D53"/>
  <c r="D55"/>
  <c r="D54"/>
  <c r="D59"/>
  <c r="D22"/>
  <c r="D40"/>
  <c r="D20"/>
  <c r="D43"/>
  <c r="D70"/>
  <c r="D19"/>
  <c r="D18"/>
  <c r="D17"/>
  <c r="D69"/>
  <c r="D16"/>
  <c r="D15"/>
  <c r="D14"/>
  <c r="D66"/>
  <c r="D13"/>
  <c r="D51"/>
  <c r="D71"/>
  <c r="D12"/>
  <c r="D42"/>
  <c r="D37"/>
  <c r="D64"/>
  <c r="D39"/>
  <c r="D11"/>
  <c r="D41"/>
  <c r="D10"/>
  <c r="D7"/>
  <c r="D6"/>
  <c r="D5"/>
  <c r="D68"/>
  <c r="D4"/>
  <c r="D65"/>
  <c r="D67"/>
  <c r="D3"/>
  <c r="D2"/>
  <c r="P1276" i="1"/>
  <c r="P1275"/>
  <c r="P1274"/>
  <c r="P1273"/>
  <c r="P1272"/>
  <c r="P1271"/>
  <c r="P1270"/>
  <c r="P1269"/>
  <c r="P1268"/>
  <c r="P1267"/>
  <c r="P1266"/>
  <c r="P1265"/>
  <c r="P1264"/>
  <c r="P1263"/>
  <c r="P1262"/>
  <c r="P1261"/>
  <c r="P1260"/>
  <c r="P1259"/>
  <c r="P1258"/>
  <c r="P1257"/>
  <c r="P1256"/>
  <c r="P1255"/>
  <c r="P1254"/>
  <c r="P1253"/>
  <c r="P1252"/>
  <c r="P1251"/>
  <c r="P1250"/>
  <c r="P1249"/>
  <c r="P1248"/>
  <c r="P1247"/>
  <c r="P1246"/>
  <c r="P1245"/>
  <c r="P1244"/>
  <c r="P1243"/>
  <c r="P1242"/>
  <c r="P1241"/>
  <c r="P1240"/>
  <c r="P1239"/>
  <c r="P1238"/>
  <c r="P1237"/>
  <c r="P1236"/>
  <c r="P1235"/>
  <c r="P1234"/>
  <c r="P1233"/>
  <c r="P1232"/>
  <c r="P1231"/>
  <c r="P1230"/>
  <c r="P1229"/>
  <c r="P1228"/>
  <c r="P1227"/>
  <c r="P1226"/>
  <c r="P1225"/>
  <c r="P1224"/>
  <c r="P1223"/>
  <c r="P1222"/>
  <c r="P1221"/>
  <c r="P1220"/>
  <c r="P1219"/>
  <c r="P1218"/>
  <c r="P1217"/>
  <c r="P1216"/>
  <c r="P1215"/>
  <c r="P1214"/>
  <c r="P1213"/>
  <c r="P1212"/>
  <c r="P1211"/>
  <c r="P1210"/>
  <c r="P1209"/>
  <c r="P1208"/>
  <c r="P1207"/>
  <c r="P1206"/>
  <c r="P1205"/>
  <c r="P1204"/>
  <c r="P1203"/>
  <c r="P1202"/>
  <c r="P1201"/>
  <c r="P1200"/>
  <c r="P1199"/>
  <c r="P1198"/>
  <c r="P1197"/>
  <c r="P1196"/>
  <c r="P1195"/>
  <c r="P1194"/>
  <c r="P1193"/>
  <c r="P1192"/>
  <c r="P1191"/>
  <c r="P1190"/>
  <c r="P1189"/>
  <c r="P1188"/>
  <c r="P1187"/>
  <c r="P1186"/>
  <c r="P1185"/>
  <c r="P1184"/>
  <c r="P1183"/>
  <c r="P1182"/>
  <c r="P1181"/>
  <c r="P1180"/>
  <c r="P1179"/>
  <c r="P1178"/>
  <c r="P1177"/>
  <c r="P1176"/>
  <c r="P1175"/>
  <c r="P1174"/>
  <c r="P1173"/>
  <c r="P1172"/>
  <c r="P1171"/>
  <c r="P1170"/>
  <c r="P1169"/>
  <c r="P1168"/>
  <c r="P1167"/>
  <c r="P1166"/>
  <c r="P1165"/>
  <c r="P1164"/>
  <c r="P1163"/>
  <c r="P1162"/>
  <c r="P1161"/>
  <c r="P1160"/>
  <c r="P1159"/>
  <c r="P1158"/>
  <c r="P1157"/>
  <c r="P1156"/>
  <c r="P1155"/>
  <c r="P1154"/>
  <c r="P1153"/>
  <c r="P1152"/>
  <c r="P1151"/>
  <c r="P1150"/>
  <c r="P1149"/>
  <c r="P1148"/>
  <c r="P1147"/>
  <c r="P1146"/>
  <c r="P1145"/>
  <c r="P1144"/>
  <c r="P1143"/>
  <c r="P1142"/>
  <c r="P1141"/>
  <c r="P1140"/>
  <c r="P1139"/>
  <c r="P1138"/>
  <c r="P1137"/>
  <c r="P1136"/>
  <c r="P1135"/>
  <c r="P1134"/>
  <c r="P1133"/>
  <c r="P1132"/>
  <c r="P1131"/>
  <c r="P1130"/>
  <c r="P1129"/>
  <c r="P1128"/>
  <c r="P1127"/>
  <c r="P1126"/>
  <c r="P1125"/>
  <c r="P1124"/>
  <c r="P1123"/>
  <c r="P1122"/>
  <c r="P1121"/>
  <c r="P1120"/>
  <c r="P1119"/>
  <c r="P1118"/>
  <c r="P1117"/>
  <c r="P1116"/>
  <c r="P1115"/>
  <c r="P1114"/>
  <c r="P1113"/>
  <c r="P1112"/>
  <c r="P1111"/>
  <c r="P1110"/>
  <c r="P1109"/>
  <c r="P1108"/>
  <c r="P1107"/>
  <c r="P1106"/>
  <c r="P1105"/>
  <c r="P1104"/>
  <c r="P1103"/>
  <c r="P1102"/>
  <c r="P1101"/>
  <c r="P1100"/>
  <c r="P1099"/>
  <c r="P1098"/>
  <c r="P1097"/>
  <c r="P1096"/>
  <c r="P1095"/>
  <c r="P1094"/>
  <c r="P1093"/>
  <c r="P1092"/>
  <c r="P1091"/>
  <c r="P1090"/>
  <c r="P1089"/>
  <c r="P1088"/>
  <c r="P1087"/>
  <c r="P1086"/>
  <c r="P1085"/>
  <c r="P1084"/>
  <c r="P1083"/>
  <c r="P1082"/>
  <c r="P1081"/>
  <c r="P1080"/>
  <c r="P1079"/>
  <c r="P1078"/>
  <c r="P1077"/>
  <c r="P1076"/>
  <c r="P1075"/>
  <c r="P1074"/>
  <c r="P1073"/>
  <c r="P1072"/>
  <c r="P1071"/>
  <c r="P1070"/>
  <c r="P1069"/>
  <c r="P1068"/>
  <c r="P1067"/>
  <c r="P1066"/>
  <c r="P1065"/>
  <c r="P1064"/>
  <c r="P1063"/>
  <c r="P1062"/>
  <c r="P1061"/>
  <c r="P1060"/>
  <c r="P1059"/>
  <c r="P1058"/>
  <c r="P1057"/>
  <c r="P1056"/>
  <c r="P1055"/>
  <c r="P1054"/>
  <c r="P1053"/>
  <c r="P1052"/>
  <c r="P1051"/>
  <c r="P1050"/>
  <c r="P1049"/>
  <c r="P1048"/>
  <c r="P1047"/>
  <c r="P1046"/>
  <c r="P1045"/>
  <c r="P1044"/>
  <c r="P1043"/>
  <c r="P1042"/>
  <c r="P1041"/>
  <c r="P1040"/>
  <c r="P1039"/>
  <c r="P1038"/>
  <c r="P1037"/>
  <c r="P1036"/>
  <c r="P1035"/>
  <c r="P1034"/>
  <c r="P1033"/>
  <c r="P1032"/>
  <c r="P1031"/>
  <c r="P1030"/>
  <c r="P1029"/>
  <c r="P1028"/>
  <c r="P1027"/>
  <c r="P1026"/>
  <c r="P1025"/>
  <c r="P1024"/>
  <c r="P1023"/>
  <c r="P1022"/>
  <c r="P1021"/>
  <c r="P1020"/>
  <c r="P1019"/>
  <c r="P1018"/>
  <c r="P1017"/>
  <c r="P1016"/>
  <c r="P1015"/>
  <c r="P1014"/>
  <c r="P1013"/>
  <c r="P1012"/>
  <c r="P1011"/>
  <c r="P1010"/>
  <c r="P1009"/>
  <c r="P1008"/>
  <c r="P1007"/>
  <c r="P1006"/>
  <c r="P1005"/>
  <c r="P1004"/>
  <c r="P1003"/>
  <c r="P1002"/>
  <c r="P1001"/>
  <c r="P1000"/>
  <c r="P999"/>
  <c r="P998"/>
  <c r="P997"/>
  <c r="P996"/>
  <c r="P995"/>
  <c r="P994"/>
  <c r="P993"/>
  <c r="P992"/>
  <c r="P991"/>
  <c r="P990"/>
  <c r="P989"/>
  <c r="P988"/>
  <c r="P987"/>
  <c r="P986"/>
  <c r="P985"/>
  <c r="P984"/>
  <c r="P983"/>
  <c r="P982"/>
  <c r="P981"/>
  <c r="P980"/>
  <c r="P979"/>
  <c r="P978"/>
  <c r="P977"/>
  <c r="P976"/>
  <c r="P975"/>
  <c r="P974"/>
  <c r="P973"/>
  <c r="P972"/>
  <c r="P971"/>
  <c r="P970"/>
  <c r="P969"/>
  <c r="P968"/>
  <c r="P967"/>
  <c r="P966"/>
  <c r="P965"/>
  <c r="P964"/>
  <c r="P963"/>
  <c r="P962"/>
  <c r="P961"/>
  <c r="P960"/>
  <c r="P959"/>
  <c r="P958"/>
  <c r="P957"/>
  <c r="P956"/>
  <c r="P955"/>
  <c r="P954"/>
  <c r="P953"/>
  <c r="P952"/>
  <c r="P951"/>
  <c r="P950"/>
  <c r="P949"/>
  <c r="P948"/>
  <c r="P947"/>
  <c r="P946"/>
  <c r="P945"/>
  <c r="P944"/>
  <c r="P943"/>
  <c r="P942"/>
  <c r="P941"/>
  <c r="P940"/>
  <c r="P939"/>
  <c r="P938"/>
  <c r="P937"/>
  <c r="P936"/>
  <c r="P935"/>
  <c r="P934"/>
  <c r="P933"/>
  <c r="P932"/>
  <c r="P931"/>
  <c r="P930"/>
  <c r="P929"/>
  <c r="P928"/>
  <c r="P927"/>
  <c r="P926"/>
  <c r="P925"/>
  <c r="P924"/>
  <c r="P923"/>
  <c r="P922"/>
  <c r="P921"/>
  <c r="P920"/>
  <c r="P919"/>
  <c r="P918"/>
  <c r="P917"/>
  <c r="P916"/>
  <c r="P915"/>
  <c r="P914"/>
  <c r="P913"/>
  <c r="P912"/>
  <c r="P911"/>
  <c r="P910"/>
  <c r="P909"/>
  <c r="P908"/>
  <c r="P907"/>
  <c r="P906"/>
  <c r="P905"/>
  <c r="P904"/>
  <c r="P903"/>
  <c r="P902"/>
  <c r="P901"/>
  <c r="P900"/>
  <c r="P899"/>
  <c r="P898"/>
  <c r="P897"/>
  <c r="P896"/>
  <c r="P895"/>
  <c r="P894"/>
  <c r="P893"/>
  <c r="P892"/>
  <c r="P891"/>
  <c r="P890"/>
  <c r="P889"/>
  <c r="P888"/>
  <c r="P887"/>
  <c r="P886"/>
  <c r="P885"/>
  <c r="P884"/>
  <c r="P883"/>
  <c r="P882"/>
  <c r="P881"/>
  <c r="P880"/>
  <c r="P879"/>
  <c r="P878"/>
  <c r="P877"/>
  <c r="P876"/>
  <c r="P875"/>
  <c r="P874"/>
  <c r="P873"/>
  <c r="P872"/>
  <c r="P871"/>
  <c r="P870"/>
  <c r="P869"/>
  <c r="P868"/>
  <c r="P867"/>
  <c r="P866"/>
  <c r="P865"/>
  <c r="P864"/>
  <c r="P863"/>
  <c r="P862"/>
  <c r="P861"/>
  <c r="P860"/>
  <c r="P859"/>
  <c r="P858"/>
  <c r="P857"/>
  <c r="P856"/>
  <c r="P855"/>
  <c r="P854"/>
  <c r="P853"/>
  <c r="P852"/>
  <c r="P851"/>
  <c r="P850"/>
  <c r="P849"/>
  <c r="P848"/>
  <c r="P847"/>
  <c r="P846"/>
  <c r="P845"/>
  <c r="P844"/>
  <c r="P843"/>
  <c r="P842"/>
  <c r="P841"/>
  <c r="P840"/>
  <c r="P839"/>
  <c r="P838"/>
  <c r="P837"/>
  <c r="P836"/>
  <c r="P835"/>
  <c r="P834"/>
  <c r="P833"/>
  <c r="P832"/>
  <c r="P831"/>
  <c r="P830"/>
  <c r="P829"/>
  <c r="P828"/>
  <c r="P827"/>
  <c r="P826"/>
  <c r="P825"/>
  <c r="P824"/>
  <c r="P823"/>
  <c r="P822"/>
  <c r="P821"/>
  <c r="P820"/>
  <c r="P819"/>
  <c r="P818"/>
  <c r="P817"/>
  <c r="P816"/>
  <c r="P815"/>
  <c r="P814"/>
  <c r="P813"/>
  <c r="P812"/>
  <c r="P811"/>
  <c r="P810"/>
  <c r="P809"/>
  <c r="P808"/>
  <c r="P807"/>
  <c r="P806"/>
  <c r="P805"/>
  <c r="P804"/>
  <c r="P803"/>
  <c r="P802"/>
  <c r="P801"/>
  <c r="P800"/>
  <c r="P799"/>
  <c r="P798"/>
  <c r="P797"/>
  <c r="P796"/>
  <c r="P795"/>
  <c r="P794"/>
  <c r="P793"/>
  <c r="P792"/>
  <c r="P791"/>
  <c r="P790"/>
  <c r="P789"/>
  <c r="P788"/>
  <c r="P787"/>
  <c r="P786"/>
  <c r="P785"/>
  <c r="P784"/>
  <c r="P783"/>
  <c r="P782"/>
  <c r="P781"/>
  <c r="P780"/>
  <c r="P779"/>
  <c r="P778"/>
  <c r="P777"/>
  <c r="P776"/>
  <c r="P775"/>
  <c r="P774"/>
  <c r="P773"/>
  <c r="P772"/>
  <c r="P771"/>
  <c r="P770"/>
  <c r="P769"/>
  <c r="P768"/>
  <c r="P767"/>
  <c r="P766"/>
  <c r="P765"/>
  <c r="P764"/>
  <c r="P763"/>
  <c r="P762"/>
  <c r="P761"/>
  <c r="P760"/>
  <c r="P759"/>
  <c r="P758"/>
  <c r="P757"/>
  <c r="P756"/>
  <c r="P755"/>
  <c r="P754"/>
  <c r="P753"/>
  <c r="P752"/>
  <c r="P751"/>
  <c r="P750"/>
  <c r="P749"/>
  <c r="P748"/>
  <c r="P747"/>
  <c r="P746"/>
  <c r="P745"/>
  <c r="P744"/>
  <c r="P743"/>
  <c r="P742"/>
  <c r="P741"/>
  <c r="P740"/>
  <c r="P739"/>
  <c r="P738"/>
  <c r="P737"/>
  <c r="P736"/>
  <c r="P735"/>
  <c r="P734"/>
  <c r="P733"/>
  <c r="P732"/>
  <c r="P731"/>
  <c r="P730"/>
  <c r="P729"/>
  <c r="P728"/>
  <c r="P727"/>
  <c r="P726"/>
  <c r="P725"/>
  <c r="P724"/>
  <c r="P723"/>
  <c r="P722"/>
  <c r="P721"/>
  <c r="P720"/>
  <c r="P719"/>
  <c r="P718"/>
  <c r="P717"/>
  <c r="P716"/>
  <c r="P715"/>
  <c r="P714"/>
  <c r="P713"/>
  <c r="P712"/>
  <c r="P711"/>
  <c r="P710"/>
  <c r="P709"/>
  <c r="P708"/>
  <c r="P707"/>
  <c r="P706"/>
  <c r="P705"/>
  <c r="P704"/>
  <c r="P703"/>
  <c r="P702"/>
  <c r="P701"/>
  <c r="P699"/>
  <c r="P698"/>
  <c r="P697"/>
  <c r="P696"/>
  <c r="P695"/>
  <c r="P694"/>
  <c r="P693"/>
  <c r="P692"/>
  <c r="P691"/>
  <c r="P690"/>
  <c r="P689"/>
  <c r="P688"/>
  <c r="P687"/>
  <c r="P686"/>
  <c r="P685"/>
  <c r="P684"/>
  <c r="P683"/>
  <c r="P682"/>
  <c r="P681"/>
  <c r="P680"/>
  <c r="P679"/>
  <c r="P678"/>
  <c r="P677"/>
  <c r="P676"/>
  <c r="P675"/>
  <c r="P674"/>
  <c r="P673"/>
  <c r="P672"/>
  <c r="P671"/>
  <c r="P670"/>
  <c r="P669"/>
  <c r="P668"/>
  <c r="P667"/>
  <c r="P666"/>
  <c r="P665"/>
  <c r="P664"/>
  <c r="P663"/>
  <c r="P662"/>
  <c r="P661"/>
  <c r="P660"/>
  <c r="P659"/>
  <c r="P658"/>
  <c r="P657"/>
  <c r="P656"/>
  <c r="P655"/>
  <c r="P654"/>
  <c r="P653"/>
  <c r="P652"/>
  <c r="P651"/>
  <c r="P650"/>
  <c r="P649"/>
  <c r="P648"/>
  <c r="P647"/>
  <c r="P646"/>
  <c r="P645"/>
  <c r="P644"/>
  <c r="P643"/>
  <c r="P642"/>
  <c r="P641"/>
  <c r="P640"/>
  <c r="P639"/>
  <c r="P638"/>
  <c r="P637"/>
  <c r="P636"/>
  <c r="P635"/>
  <c r="P634"/>
  <c r="P633"/>
  <c r="P632"/>
  <c r="P631"/>
  <c r="P630"/>
  <c r="P629"/>
  <c r="P628"/>
  <c r="P627"/>
  <c r="P626"/>
  <c r="P625"/>
  <c r="P624"/>
  <c r="P623"/>
  <c r="P622"/>
  <c r="P621"/>
  <c r="P620"/>
  <c r="P619"/>
  <c r="P618"/>
  <c r="P617"/>
  <c r="P616"/>
  <c r="P615"/>
  <c r="P614"/>
  <c r="P613"/>
  <c r="P612"/>
  <c r="P611"/>
  <c r="P610"/>
  <c r="P609"/>
  <c r="P608"/>
  <c r="P607"/>
  <c r="P606"/>
  <c r="P605"/>
  <c r="P604"/>
  <c r="P603"/>
  <c r="P602"/>
  <c r="P601"/>
  <c r="P600"/>
  <c r="P599"/>
  <c r="P598"/>
  <c r="P597"/>
  <c r="P596"/>
  <c r="P595"/>
  <c r="P594"/>
  <c r="P593"/>
  <c r="P592"/>
  <c r="P591"/>
  <c r="P590"/>
  <c r="P589"/>
  <c r="P588"/>
  <c r="P586"/>
  <c r="P585"/>
  <c r="P584"/>
  <c r="P583"/>
  <c r="P582"/>
  <c r="P581"/>
  <c r="P580"/>
  <c r="P579"/>
  <c r="P578"/>
  <c r="P577"/>
  <c r="P576"/>
  <c r="P575"/>
  <c r="P574"/>
  <c r="P573"/>
  <c r="P572"/>
  <c r="P571"/>
  <c r="P570"/>
  <c r="P569"/>
  <c r="P568"/>
  <c r="P567"/>
  <c r="P566"/>
  <c r="P565"/>
  <c r="P564"/>
  <c r="P563"/>
  <c r="P562"/>
  <c r="P561"/>
  <c r="P560"/>
  <c r="P559"/>
  <c r="P558"/>
  <c r="P557"/>
  <c r="P556"/>
  <c r="P555"/>
  <c r="P554"/>
  <c r="P553"/>
  <c r="P552"/>
  <c r="P551"/>
  <c r="P550"/>
  <c r="P549"/>
  <c r="P548"/>
  <c r="P547"/>
  <c r="P546"/>
  <c r="P545"/>
  <c r="P544"/>
  <c r="P543"/>
  <c r="P542"/>
  <c r="P541"/>
  <c r="P540"/>
  <c r="P539"/>
  <c r="P538"/>
  <c r="P537"/>
  <c r="P536"/>
  <c r="P535"/>
  <c r="P534"/>
  <c r="P533"/>
  <c r="P532"/>
  <c r="P531"/>
  <c r="P530"/>
  <c r="P529"/>
  <c r="P528"/>
  <c r="P527"/>
  <c r="P526"/>
  <c r="P525"/>
  <c r="P524"/>
  <c r="P523"/>
  <c r="P522"/>
  <c r="P521"/>
  <c r="P520"/>
  <c r="P519"/>
  <c r="P518"/>
  <c r="P517"/>
  <c r="P516"/>
  <c r="P514"/>
  <c r="P513"/>
  <c r="P512"/>
  <c r="P511"/>
  <c r="P510"/>
  <c r="P509"/>
  <c r="P508"/>
  <c r="P507"/>
  <c r="P506"/>
  <c r="P505"/>
  <c r="P504"/>
  <c r="P503"/>
  <c r="P502"/>
  <c r="P501"/>
  <c r="P500"/>
  <c r="P499"/>
  <c r="P498"/>
  <c r="P497"/>
  <c r="P496"/>
  <c r="P495"/>
  <c r="P494"/>
  <c r="P493"/>
  <c r="P492"/>
  <c r="P491"/>
  <c r="P490"/>
  <c r="P489"/>
  <c r="P488"/>
  <c r="P487"/>
  <c r="P486"/>
  <c r="P485"/>
  <c r="P484"/>
  <c r="P483"/>
  <c r="P482"/>
  <c r="P481"/>
  <c r="P480"/>
  <c r="P479"/>
  <c r="P478"/>
  <c r="P477"/>
  <c r="P476"/>
  <c r="P475"/>
  <c r="P474"/>
  <c r="P473"/>
  <c r="P472"/>
  <c r="P471"/>
  <c r="P470"/>
  <c r="P469"/>
  <c r="P468"/>
  <c r="P467"/>
  <c r="P466"/>
  <c r="P465"/>
  <c r="P464"/>
  <c r="P463"/>
  <c r="P462"/>
  <c r="P461"/>
  <c r="P460"/>
  <c r="P459"/>
  <c r="P458"/>
  <c r="P457"/>
  <c r="P456"/>
  <c r="P455"/>
  <c r="P454"/>
  <c r="P453"/>
  <c r="P452"/>
  <c r="P451"/>
  <c r="P450"/>
  <c r="P449"/>
  <c r="P448"/>
  <c r="P447"/>
  <c r="P446"/>
  <c r="P445"/>
  <c r="P444"/>
  <c r="P443"/>
  <c r="P442"/>
  <c r="P441"/>
  <c r="P440"/>
  <c r="P439"/>
  <c r="P438"/>
  <c r="P437"/>
  <c r="P436"/>
  <c r="P435"/>
  <c r="P434"/>
  <c r="P433"/>
  <c r="P432"/>
  <c r="P431"/>
  <c r="P430"/>
  <c r="P429"/>
  <c r="P428"/>
  <c r="P427"/>
  <c r="P426"/>
  <c r="P425"/>
  <c r="P424"/>
  <c r="P423"/>
  <c r="P422"/>
  <c r="P421"/>
  <c r="P420"/>
  <c r="P419"/>
  <c r="P418"/>
  <c r="P417"/>
  <c r="P416"/>
  <c r="P415"/>
  <c r="P414"/>
  <c r="P413"/>
  <c r="P412"/>
  <c r="P411"/>
  <c r="P410"/>
  <c r="P409"/>
  <c r="P408"/>
  <c r="P407"/>
  <c r="P406"/>
  <c r="P405"/>
  <c r="P404"/>
  <c r="P403"/>
  <c r="P402"/>
  <c r="P401"/>
  <c r="P400"/>
  <c r="P399"/>
  <c r="P398"/>
  <c r="P397"/>
  <c r="P396"/>
  <c r="P395"/>
  <c r="P394"/>
  <c r="P393"/>
  <c r="P392"/>
  <c r="P391"/>
  <c r="P390"/>
  <c r="P389"/>
  <c r="P388"/>
  <c r="P386"/>
  <c r="P385"/>
  <c r="P384"/>
  <c r="P383"/>
  <c r="P382"/>
  <c r="P381"/>
  <c r="P380"/>
  <c r="P379"/>
  <c r="P378"/>
  <c r="P377"/>
  <c r="P376"/>
  <c r="P375"/>
  <c r="P374"/>
  <c r="P373"/>
  <c r="P372"/>
  <c r="P371"/>
  <c r="P370"/>
  <c r="P369"/>
  <c r="P368"/>
  <c r="P367"/>
  <c r="P366"/>
  <c r="P365"/>
  <c r="P364"/>
  <c r="P363"/>
  <c r="P362"/>
  <c r="P361"/>
  <c r="P360"/>
  <c r="P359"/>
  <c r="P358"/>
  <c r="P357"/>
  <c r="P356"/>
  <c r="P355"/>
  <c r="P354"/>
  <c r="P353"/>
  <c r="P352"/>
  <c r="P351"/>
  <c r="P350"/>
  <c r="P349"/>
  <c r="P348"/>
  <c r="P347"/>
  <c r="P346"/>
  <c r="P345"/>
  <c r="P344"/>
  <c r="P343"/>
  <c r="P342"/>
  <c r="P341"/>
  <c r="P340"/>
  <c r="P339"/>
  <c r="P338"/>
  <c r="P337"/>
  <c r="P336"/>
  <c r="P335"/>
  <c r="P334"/>
  <c r="P333"/>
  <c r="P332"/>
  <c r="P331"/>
  <c r="P330"/>
  <c r="P329"/>
  <c r="P328"/>
  <c r="P327"/>
  <c r="P326"/>
  <c r="P325"/>
  <c r="P324"/>
  <c r="P323"/>
  <c r="P322"/>
  <c r="P321"/>
  <c r="P320"/>
  <c r="P319"/>
  <c r="P318"/>
  <c r="P317"/>
  <c r="P316"/>
  <c r="P315"/>
  <c r="P314"/>
  <c r="P313"/>
  <c r="P312"/>
  <c r="P311"/>
  <c r="P310"/>
  <c r="P309"/>
  <c r="P308"/>
  <c r="P307"/>
  <c r="P306"/>
  <c r="P305"/>
  <c r="P304"/>
  <c r="P303"/>
  <c r="P302"/>
  <c r="P300"/>
  <c r="P299"/>
  <c r="P298"/>
  <c r="P297"/>
  <c r="P296"/>
  <c r="P295"/>
  <c r="P294"/>
  <c r="P293"/>
  <c r="P292"/>
  <c r="P291"/>
  <c r="P290"/>
  <c r="P289"/>
  <c r="P288"/>
  <c r="P287"/>
  <c r="P286"/>
  <c r="P285"/>
  <c r="P284"/>
  <c r="P283"/>
  <c r="P282"/>
  <c r="P281"/>
  <c r="P280"/>
  <c r="P279"/>
  <c r="P278"/>
  <c r="P277"/>
  <c r="P276"/>
  <c r="P275"/>
  <c r="P274"/>
  <c r="P273"/>
  <c r="P272"/>
  <c r="P271"/>
  <c r="P270"/>
  <c r="P269"/>
  <c r="P268"/>
  <c r="P267"/>
  <c r="P266"/>
  <c r="P265"/>
  <c r="P264"/>
  <c r="P263"/>
  <c r="P262"/>
  <c r="P261"/>
  <c r="P260"/>
  <c r="P259"/>
  <c r="P258"/>
  <c r="P257"/>
  <c r="P256"/>
  <c r="P255"/>
  <c r="P254"/>
  <c r="P253"/>
  <c r="P252"/>
  <c r="P251"/>
  <c r="P250"/>
  <c r="P249"/>
  <c r="P248"/>
  <c r="P247"/>
  <c r="P246"/>
  <c r="P245"/>
  <c r="P244"/>
  <c r="P243"/>
  <c r="P242"/>
  <c r="P241"/>
  <c r="P240"/>
  <c r="P239"/>
  <c r="P238"/>
  <c r="P237"/>
  <c r="P236"/>
  <c r="P235"/>
  <c r="P234"/>
  <c r="P233"/>
  <c r="P232"/>
  <c r="P231"/>
  <c r="P230"/>
  <c r="P229"/>
  <c r="P228"/>
  <c r="P227"/>
  <c r="P226"/>
  <c r="P225"/>
  <c r="P224"/>
  <c r="P223"/>
  <c r="P222"/>
  <c r="P221"/>
  <c r="P220"/>
  <c r="P219"/>
  <c r="P218"/>
  <c r="P217"/>
  <c r="P216"/>
  <c r="P215"/>
  <c r="P214"/>
  <c r="P213"/>
  <c r="P212"/>
  <c r="P211"/>
  <c r="P210"/>
  <c r="P209"/>
  <c r="P208"/>
  <c r="P207"/>
  <c r="P206"/>
  <c r="P205"/>
  <c r="P204"/>
  <c r="P203"/>
  <c r="P202"/>
  <c r="P201"/>
  <c r="P200"/>
  <c r="P199"/>
  <c r="P198"/>
  <c r="P197"/>
  <c r="P196"/>
  <c r="P195"/>
  <c r="P194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1"/>
  <c r="P170"/>
  <c r="P169"/>
  <c r="P168"/>
  <c r="P167"/>
  <c r="P166"/>
  <c r="P165"/>
  <c r="P164"/>
  <c r="P163"/>
  <c r="P162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O1276"/>
  <c r="O1275"/>
  <c r="O1274"/>
  <c r="O1273"/>
  <c r="O1272"/>
  <c r="O1271"/>
  <c r="O1270"/>
  <c r="O1269"/>
  <c r="O1268"/>
  <c r="O1267"/>
  <c r="O1266"/>
  <c r="O1265"/>
  <c r="O1264"/>
  <c r="O1263"/>
  <c r="O1262"/>
  <c r="O1261"/>
  <c r="O1260"/>
  <c r="O1259"/>
  <c r="O1258"/>
  <c r="O1257"/>
  <c r="O1256"/>
  <c r="O1255"/>
  <c r="O1254"/>
  <c r="O1253"/>
  <c r="O1252"/>
  <c r="O1251"/>
  <c r="O1250"/>
  <c r="O1249"/>
  <c r="O1248"/>
  <c r="O1247"/>
  <c r="O1246"/>
  <c r="O1245"/>
  <c r="O1244"/>
  <c r="O1243"/>
  <c r="O1242"/>
  <c r="O1241"/>
  <c r="O1240"/>
  <c r="O1239"/>
  <c r="O1238"/>
  <c r="O1237"/>
  <c r="O1236"/>
  <c r="O1235"/>
  <c r="O1234"/>
  <c r="O1233"/>
  <c r="O1232"/>
  <c r="O1231"/>
  <c r="O1230"/>
  <c r="O1229"/>
  <c r="O1228"/>
  <c r="O1227"/>
  <c r="O1226"/>
  <c r="O1225"/>
  <c r="O1224"/>
  <c r="O1223"/>
  <c r="O1222"/>
  <c r="O1221"/>
  <c r="O1220"/>
  <c r="O1219"/>
  <c r="O1218"/>
  <c r="O1217"/>
  <c r="O1216"/>
  <c r="O1215"/>
  <c r="O1214"/>
  <c r="O1213"/>
  <c r="O1212"/>
  <c r="O1211"/>
  <c r="O1210"/>
  <c r="O1209"/>
  <c r="O1208"/>
  <c r="O1207"/>
  <c r="O1206"/>
  <c r="O1205"/>
  <c r="O1204"/>
  <c r="O1203"/>
  <c r="O1202"/>
  <c r="O1201"/>
  <c r="O1200"/>
  <c r="O1199"/>
  <c r="O1198"/>
  <c r="O1197"/>
  <c r="O1196"/>
  <c r="O1195"/>
  <c r="O1194"/>
  <c r="O1193"/>
  <c r="O1192"/>
  <c r="O1191"/>
  <c r="O1190"/>
  <c r="O1189"/>
  <c r="O1188"/>
  <c r="O1187"/>
  <c r="O1186"/>
  <c r="O1185"/>
  <c r="O1184"/>
  <c r="O1183"/>
  <c r="O1182"/>
  <c r="O1181"/>
  <c r="O1180"/>
  <c r="O1179"/>
  <c r="O1178"/>
  <c r="O1177"/>
  <c r="O1176"/>
  <c r="O1175"/>
  <c r="O1174"/>
  <c r="O1173"/>
  <c r="O1172"/>
  <c r="O1171"/>
  <c r="O1170"/>
  <c r="O1169"/>
  <c r="O1168"/>
  <c r="O1167"/>
  <c r="O1166"/>
  <c r="O1165"/>
  <c r="O1164"/>
  <c r="O1163"/>
  <c r="O1162"/>
  <c r="O1161"/>
  <c r="O1160"/>
  <c r="O1159"/>
  <c r="O1158"/>
  <c r="O1157"/>
  <c r="O1156"/>
  <c r="O1155"/>
  <c r="O1154"/>
  <c r="O1153"/>
  <c r="O1152"/>
  <c r="O1151"/>
  <c r="O1150"/>
  <c r="O1149"/>
  <c r="O1148"/>
  <c r="O1147"/>
  <c r="O1146"/>
  <c r="O1145"/>
  <c r="O1144"/>
  <c r="O1143"/>
  <c r="O1142"/>
  <c r="O1141"/>
  <c r="O1140"/>
  <c r="O1139"/>
  <c r="O1138"/>
  <c r="O1137"/>
  <c r="O1136"/>
  <c r="O1135"/>
  <c r="O1134"/>
  <c r="O1133"/>
  <c r="O1132"/>
  <c r="O1131"/>
  <c r="O1130"/>
  <c r="O1129"/>
  <c r="O1128"/>
  <c r="O1127"/>
  <c r="O1126"/>
  <c r="O1125"/>
  <c r="O1124"/>
  <c r="O1123"/>
  <c r="O1122"/>
  <c r="O1121"/>
  <c r="O1120"/>
  <c r="O1119"/>
  <c r="O1118"/>
  <c r="O1117"/>
  <c r="O1116"/>
  <c r="O1115"/>
  <c r="O1114"/>
  <c r="O1113"/>
  <c r="O1112"/>
  <c r="O1111"/>
  <c r="O1110"/>
  <c r="O1109"/>
  <c r="O1108"/>
  <c r="O1107"/>
  <c r="O1106"/>
  <c r="O1105"/>
  <c r="O1104"/>
  <c r="O1103"/>
  <c r="O1102"/>
  <c r="O1101"/>
  <c r="O1100"/>
  <c r="O1099"/>
  <c r="O1098"/>
  <c r="O1097"/>
  <c r="O1096"/>
  <c r="O1095"/>
  <c r="O1094"/>
  <c r="O1093"/>
  <c r="O1092"/>
  <c r="O1091"/>
  <c r="O1090"/>
  <c r="O1089"/>
  <c r="O1088"/>
  <c r="O1087"/>
  <c r="O1086"/>
  <c r="O1085"/>
  <c r="O1084"/>
  <c r="O1083"/>
  <c r="O1082"/>
  <c r="O1081"/>
  <c r="O1080"/>
  <c r="O1079"/>
  <c r="O1078"/>
  <c r="O1077"/>
  <c r="O1076"/>
  <c r="O1075"/>
  <c r="O1074"/>
  <c r="O1073"/>
  <c r="O1072"/>
  <c r="O1071"/>
  <c r="O1070"/>
  <c r="O1069"/>
  <c r="O1068"/>
  <c r="O1067"/>
  <c r="O1066"/>
  <c r="O1065"/>
  <c r="O1064"/>
  <c r="O1063"/>
  <c r="O1062"/>
  <c r="O1061"/>
  <c r="O1060"/>
  <c r="O1059"/>
  <c r="O1058"/>
  <c r="O1057"/>
  <c r="O1056"/>
  <c r="O1055"/>
  <c r="O1054"/>
  <c r="O1053"/>
  <c r="O1052"/>
  <c r="O1051"/>
  <c r="O1050"/>
  <c r="O1049"/>
  <c r="O1048"/>
  <c r="O1047"/>
  <c r="O1046"/>
  <c r="O1045"/>
  <c r="O1044"/>
  <c r="O1043"/>
  <c r="O1042"/>
  <c r="O1041"/>
  <c r="O1040"/>
  <c r="O1039"/>
  <c r="O1038"/>
  <c r="O1037"/>
  <c r="O1036"/>
  <c r="O1035"/>
  <c r="O1034"/>
  <c r="O1033"/>
  <c r="O1032"/>
  <c r="O1031"/>
  <c r="O1030"/>
  <c r="O1029"/>
  <c r="O1028"/>
  <c r="O1027"/>
  <c r="O1026"/>
  <c r="O1025"/>
  <c r="O1024"/>
  <c r="O1023"/>
  <c r="O1022"/>
  <c r="O1021"/>
  <c r="O1020"/>
  <c r="O1019"/>
  <c r="O1018"/>
  <c r="O1017"/>
  <c r="O1016"/>
  <c r="O1015"/>
  <c r="O1014"/>
  <c r="O1013"/>
  <c r="O1012"/>
  <c r="O1011"/>
  <c r="O1010"/>
  <c r="O1009"/>
  <c r="O1008"/>
  <c r="O1007"/>
  <c r="O1006"/>
  <c r="O1005"/>
  <c r="O1004"/>
  <c r="O1003"/>
  <c r="O1002"/>
  <c r="O1001"/>
  <c r="O1000"/>
  <c r="O999"/>
  <c r="O998"/>
  <c r="O997"/>
  <c r="O996"/>
  <c r="O995"/>
  <c r="O994"/>
  <c r="O993"/>
  <c r="O992"/>
  <c r="O991"/>
  <c r="O990"/>
  <c r="O989"/>
  <c r="O988"/>
  <c r="O987"/>
  <c r="O986"/>
  <c r="O985"/>
  <c r="O984"/>
  <c r="O983"/>
  <c r="O982"/>
  <c r="O981"/>
  <c r="O980"/>
  <c r="O979"/>
  <c r="O978"/>
  <c r="O977"/>
  <c r="O976"/>
  <c r="O975"/>
  <c r="O974"/>
  <c r="O973"/>
  <c r="O972"/>
  <c r="O971"/>
  <c r="O970"/>
  <c r="O969"/>
  <c r="O968"/>
  <c r="O967"/>
  <c r="O966"/>
  <c r="O965"/>
  <c r="O964"/>
  <c r="O963"/>
  <c r="O962"/>
  <c r="O961"/>
  <c r="O960"/>
  <c r="O959"/>
  <c r="O958"/>
  <c r="O957"/>
  <c r="O956"/>
  <c r="O955"/>
  <c r="O954"/>
  <c r="O953"/>
  <c r="O952"/>
  <c r="O951"/>
  <c r="O950"/>
  <c r="O949"/>
  <c r="O948"/>
  <c r="O947"/>
  <c r="O946"/>
  <c r="O945"/>
  <c r="O944"/>
  <c r="O943"/>
  <c r="O942"/>
  <c r="O941"/>
  <c r="O940"/>
  <c r="O939"/>
  <c r="O938"/>
  <c r="O937"/>
  <c r="O936"/>
  <c r="O935"/>
  <c r="O934"/>
  <c r="O933"/>
  <c r="O932"/>
  <c r="O931"/>
  <c r="O930"/>
  <c r="O929"/>
  <c r="O928"/>
  <c r="O927"/>
  <c r="O926"/>
  <c r="O925"/>
  <c r="O924"/>
  <c r="O923"/>
  <c r="O922"/>
  <c r="O921"/>
  <c r="O920"/>
  <c r="O919"/>
  <c r="O918"/>
  <c r="O917"/>
  <c r="O916"/>
  <c r="O915"/>
  <c r="O914"/>
  <c r="O913"/>
  <c r="O912"/>
  <c r="O911"/>
  <c r="O910"/>
  <c r="O909"/>
  <c r="O908"/>
  <c r="O907"/>
  <c r="O906"/>
  <c r="O905"/>
  <c r="O904"/>
  <c r="O903"/>
  <c r="O902"/>
  <c r="O901"/>
  <c r="O900"/>
  <c r="O899"/>
  <c r="O898"/>
  <c r="O897"/>
  <c r="O896"/>
  <c r="O895"/>
  <c r="O894"/>
  <c r="O893"/>
  <c r="O892"/>
  <c r="O891"/>
  <c r="O890"/>
  <c r="O889"/>
  <c r="O888"/>
  <c r="O887"/>
  <c r="O886"/>
  <c r="O885"/>
  <c r="O884"/>
  <c r="O883"/>
  <c r="O882"/>
  <c r="O881"/>
  <c r="O880"/>
  <c r="O879"/>
  <c r="O878"/>
  <c r="O877"/>
  <c r="O876"/>
  <c r="O875"/>
  <c r="O874"/>
  <c r="O873"/>
  <c r="O872"/>
  <c r="O871"/>
  <c r="O870"/>
  <c r="O869"/>
  <c r="O868"/>
  <c r="O867"/>
  <c r="O866"/>
  <c r="O865"/>
  <c r="O864"/>
  <c r="O863"/>
  <c r="O862"/>
  <c r="O861"/>
  <c r="O860"/>
  <c r="O859"/>
  <c r="O858"/>
  <c r="O857"/>
  <c r="O856"/>
  <c r="O855"/>
  <c r="O854"/>
  <c r="O853"/>
  <c r="O852"/>
  <c r="O851"/>
  <c r="O850"/>
  <c r="O849"/>
  <c r="O848"/>
  <c r="O847"/>
  <c r="O846"/>
  <c r="O845"/>
  <c r="O844"/>
  <c r="O843"/>
  <c r="O842"/>
  <c r="O841"/>
  <c r="O840"/>
  <c r="O839"/>
  <c r="O838"/>
  <c r="O837"/>
  <c r="O836"/>
  <c r="O835"/>
  <c r="O834"/>
  <c r="O833"/>
  <c r="O832"/>
  <c r="O831"/>
  <c r="O830"/>
  <c r="O829"/>
  <c r="O828"/>
  <c r="O827"/>
  <c r="O826"/>
  <c r="O825"/>
  <c r="O824"/>
  <c r="O823"/>
  <c r="O822"/>
  <c r="O821"/>
  <c r="O820"/>
  <c r="O819"/>
  <c r="O818"/>
  <c r="O817"/>
  <c r="O816"/>
  <c r="O815"/>
  <c r="O814"/>
  <c r="O813"/>
  <c r="O812"/>
  <c r="O811"/>
  <c r="O810"/>
  <c r="O809"/>
  <c r="O808"/>
  <c r="O807"/>
  <c r="O806"/>
  <c r="O805"/>
  <c r="O804"/>
  <c r="O803"/>
  <c r="O802"/>
  <c r="O801"/>
  <c r="O800"/>
  <c r="O799"/>
  <c r="O798"/>
  <c r="O797"/>
  <c r="O796"/>
  <c r="O795"/>
  <c r="O794"/>
  <c r="O793"/>
  <c r="O792"/>
  <c r="O791"/>
  <c r="O790"/>
  <c r="O789"/>
  <c r="O788"/>
  <c r="O787"/>
  <c r="O786"/>
  <c r="O785"/>
  <c r="O784"/>
  <c r="O783"/>
  <c r="O782"/>
  <c r="O781"/>
  <c r="O780"/>
  <c r="O779"/>
  <c r="O778"/>
  <c r="O777"/>
  <c r="O776"/>
  <c r="O775"/>
  <c r="O774"/>
  <c r="O773"/>
  <c r="O772"/>
  <c r="O771"/>
  <c r="O770"/>
  <c r="O769"/>
  <c r="O768"/>
  <c r="O767"/>
  <c r="O766"/>
  <c r="O765"/>
  <c r="O764"/>
  <c r="O763"/>
  <c r="O762"/>
  <c r="O761"/>
  <c r="O760"/>
  <c r="O759"/>
  <c r="O758"/>
  <c r="O757"/>
  <c r="O756"/>
  <c r="O755"/>
  <c r="O754"/>
  <c r="O753"/>
  <c r="O752"/>
  <c r="O751"/>
  <c r="O750"/>
  <c r="O749"/>
  <c r="O748"/>
  <c r="O747"/>
  <c r="O746"/>
  <c r="O745"/>
  <c r="O744"/>
  <c r="O743"/>
  <c r="O742"/>
  <c r="O741"/>
  <c r="O740"/>
  <c r="O739"/>
  <c r="O738"/>
  <c r="O737"/>
  <c r="O736"/>
  <c r="O735"/>
  <c r="O734"/>
  <c r="O733"/>
  <c r="O732"/>
  <c r="O731"/>
  <c r="O730"/>
  <c r="O729"/>
  <c r="O728"/>
  <c r="O727"/>
  <c r="O726"/>
  <c r="O725"/>
  <c r="O724"/>
  <c r="O723"/>
  <c r="O722"/>
  <c r="O721"/>
  <c r="O720"/>
  <c r="O719"/>
  <c r="O718"/>
  <c r="O717"/>
  <c r="O716"/>
  <c r="O715"/>
  <c r="O714"/>
  <c r="O713"/>
  <c r="O712"/>
  <c r="O711"/>
  <c r="O710"/>
  <c r="O709"/>
  <c r="O708"/>
  <c r="O707"/>
  <c r="O706"/>
  <c r="O705"/>
  <c r="O704"/>
  <c r="O703"/>
  <c r="O702"/>
  <c r="O701"/>
  <c r="O699"/>
  <c r="O698"/>
  <c r="O697"/>
  <c r="O696"/>
  <c r="O695"/>
  <c r="O694"/>
  <c r="O693"/>
  <c r="O692"/>
  <c r="O691"/>
  <c r="O690"/>
  <c r="O689"/>
  <c r="O688"/>
  <c r="O687"/>
  <c r="O686"/>
  <c r="O685"/>
  <c r="O684"/>
  <c r="O683"/>
  <c r="O682"/>
  <c r="O681"/>
  <c r="O680"/>
  <c r="O679"/>
  <c r="O678"/>
  <c r="O677"/>
  <c r="O676"/>
  <c r="O675"/>
  <c r="O674"/>
  <c r="O673"/>
  <c r="O672"/>
  <c r="O671"/>
  <c r="O670"/>
  <c r="O669"/>
  <c r="O668"/>
  <c r="O667"/>
  <c r="O666"/>
  <c r="O665"/>
  <c r="O664"/>
  <c r="O663"/>
  <c r="O662"/>
  <c r="O661"/>
  <c r="O660"/>
  <c r="O659"/>
  <c r="O658"/>
  <c r="O657"/>
  <c r="O656"/>
  <c r="O655"/>
  <c r="O654"/>
  <c r="O653"/>
  <c r="O652"/>
  <c r="O651"/>
  <c r="O650"/>
  <c r="O649"/>
  <c r="O648"/>
  <c r="O647"/>
  <c r="O646"/>
  <c r="O645"/>
  <c r="O644"/>
  <c r="O643"/>
  <c r="O642"/>
  <c r="O641"/>
  <c r="O640"/>
  <c r="O639"/>
  <c r="O638"/>
  <c r="O637"/>
  <c r="O636"/>
  <c r="O635"/>
  <c r="O634"/>
  <c r="O633"/>
  <c r="O632"/>
  <c r="O631"/>
  <c r="O630"/>
  <c r="O629"/>
  <c r="O628"/>
  <c r="O627"/>
  <c r="O626"/>
  <c r="O625"/>
  <c r="O624"/>
  <c r="O623"/>
  <c r="O622"/>
  <c r="O621"/>
  <c r="O620"/>
  <c r="O619"/>
  <c r="O618"/>
  <c r="O617"/>
  <c r="O616"/>
  <c r="O615"/>
  <c r="O614"/>
  <c r="O613"/>
  <c r="O612"/>
  <c r="O611"/>
  <c r="O610"/>
  <c r="O609"/>
  <c r="O608"/>
  <c r="O607"/>
  <c r="O606"/>
  <c r="O605"/>
  <c r="O604"/>
  <c r="O603"/>
  <c r="O602"/>
  <c r="O601"/>
  <c r="O600"/>
  <c r="O599"/>
  <c r="O598"/>
  <c r="O597"/>
  <c r="O596"/>
  <c r="O595"/>
  <c r="O594"/>
  <c r="O593"/>
  <c r="O592"/>
  <c r="O591"/>
  <c r="O590"/>
  <c r="O589"/>
  <c r="O588"/>
  <c r="O586"/>
  <c r="O585"/>
  <c r="O584"/>
  <c r="O583"/>
  <c r="O582"/>
  <c r="O581"/>
  <c r="O580"/>
  <c r="O579"/>
  <c r="O578"/>
  <c r="O577"/>
  <c r="O576"/>
  <c r="O575"/>
  <c r="O574"/>
  <c r="O573"/>
  <c r="O572"/>
  <c r="O571"/>
  <c r="O570"/>
  <c r="O569"/>
  <c r="O568"/>
  <c r="O567"/>
  <c r="O566"/>
  <c r="O565"/>
  <c r="O564"/>
  <c r="O563"/>
  <c r="O562"/>
  <c r="O561"/>
  <c r="O560"/>
  <c r="O559"/>
  <c r="O558"/>
  <c r="O557"/>
  <c r="O556"/>
  <c r="O555"/>
  <c r="O554"/>
  <c r="O553"/>
  <c r="O552"/>
  <c r="O551"/>
  <c r="O550"/>
  <c r="O549"/>
  <c r="O548"/>
  <c r="O547"/>
  <c r="O546"/>
  <c r="O545"/>
  <c r="O544"/>
  <c r="O543"/>
  <c r="O542"/>
  <c r="O541"/>
  <c r="O540"/>
  <c r="O539"/>
  <c r="O538"/>
  <c r="O537"/>
  <c r="O536"/>
  <c r="O535"/>
  <c r="O534"/>
  <c r="O533"/>
  <c r="O532"/>
  <c r="O531"/>
  <c r="O530"/>
  <c r="O529"/>
  <c r="O528"/>
  <c r="O527"/>
  <c r="O526"/>
  <c r="O525"/>
  <c r="O524"/>
  <c r="O523"/>
  <c r="O522"/>
  <c r="O521"/>
  <c r="O520"/>
  <c r="O519"/>
  <c r="O518"/>
  <c r="O517"/>
  <c r="O516"/>
  <c r="O514"/>
  <c r="O513"/>
  <c r="O512"/>
  <c r="O511"/>
  <c r="O510"/>
  <c r="O509"/>
  <c r="O508"/>
  <c r="O507"/>
  <c r="O506"/>
  <c r="O505"/>
  <c r="O504"/>
  <c r="O503"/>
  <c r="O502"/>
  <c r="O501"/>
  <c r="O500"/>
  <c r="O499"/>
  <c r="O498"/>
  <c r="O497"/>
  <c r="O496"/>
  <c r="O495"/>
  <c r="O494"/>
  <c r="O493"/>
  <c r="O492"/>
  <c r="O491"/>
  <c r="O490"/>
  <c r="O489"/>
  <c r="O488"/>
  <c r="O487"/>
  <c r="O486"/>
  <c r="O485"/>
  <c r="O484"/>
  <c r="O483"/>
  <c r="O482"/>
  <c r="O481"/>
  <c r="O480"/>
  <c r="O479"/>
  <c r="O478"/>
  <c r="O477"/>
  <c r="O476"/>
  <c r="O475"/>
  <c r="O474"/>
  <c r="O473"/>
  <c r="O472"/>
  <c r="O471"/>
  <c r="O470"/>
  <c r="O469"/>
  <c r="O468"/>
  <c r="O467"/>
  <c r="O466"/>
  <c r="O465"/>
  <c r="O464"/>
  <c r="O463"/>
  <c r="O462"/>
  <c r="O461"/>
  <c r="O460"/>
  <c r="O459"/>
  <c r="O458"/>
  <c r="O457"/>
  <c r="O456"/>
  <c r="O455"/>
  <c r="O454"/>
  <c r="O453"/>
  <c r="O452"/>
  <c r="O451"/>
  <c r="O450"/>
  <c r="O449"/>
  <c r="O448"/>
  <c r="O447"/>
  <c r="O446"/>
  <c r="O445"/>
  <c r="O444"/>
  <c r="O443"/>
  <c r="O442"/>
  <c r="O441"/>
  <c r="O440"/>
  <c r="O439"/>
  <c r="O438"/>
  <c r="O437"/>
  <c r="O436"/>
  <c r="O435"/>
  <c r="O434"/>
  <c r="O433"/>
  <c r="O432"/>
  <c r="O431"/>
  <c r="O430"/>
  <c r="O429"/>
  <c r="O428"/>
  <c r="O427"/>
  <c r="O426"/>
  <c r="O425"/>
  <c r="O424"/>
  <c r="O423"/>
  <c r="O422"/>
  <c r="O421"/>
  <c r="O420"/>
  <c r="O419"/>
  <c r="O418"/>
  <c r="O417"/>
  <c r="O416"/>
  <c r="O415"/>
  <c r="O414"/>
  <c r="O413"/>
  <c r="O412"/>
  <c r="O411"/>
  <c r="O410"/>
  <c r="O409"/>
  <c r="O408"/>
  <c r="O407"/>
  <c r="O406"/>
  <c r="O405"/>
  <c r="O404"/>
  <c r="O403"/>
  <c r="O402"/>
  <c r="O401"/>
  <c r="O400"/>
  <c r="O399"/>
  <c r="O398"/>
  <c r="O397"/>
  <c r="O396"/>
  <c r="O395"/>
  <c r="O394"/>
  <c r="O393"/>
  <c r="O392"/>
  <c r="O391"/>
  <c r="O390"/>
  <c r="O389"/>
  <c r="O388"/>
  <c r="O386"/>
  <c r="O385"/>
  <c r="O384"/>
  <c r="O383"/>
  <c r="O382"/>
  <c r="O381"/>
  <c r="O380"/>
  <c r="O379"/>
  <c r="O378"/>
  <c r="O377"/>
  <c r="O376"/>
  <c r="O375"/>
  <c r="O374"/>
  <c r="O373"/>
  <c r="O372"/>
  <c r="O371"/>
  <c r="O370"/>
  <c r="O369"/>
  <c r="O368"/>
  <c r="O367"/>
  <c r="O366"/>
  <c r="O365"/>
  <c r="O364"/>
  <c r="O363"/>
  <c r="O362"/>
  <c r="O361"/>
  <c r="O360"/>
  <c r="O359"/>
  <c r="O358"/>
  <c r="O357"/>
  <c r="O356"/>
  <c r="O355"/>
  <c r="O354"/>
  <c r="O353"/>
  <c r="O352"/>
  <c r="O351"/>
  <c r="O350"/>
  <c r="O349"/>
  <c r="O348"/>
  <c r="O347"/>
  <c r="O346"/>
  <c r="O345"/>
  <c r="O344"/>
  <c r="O343"/>
  <c r="O342"/>
  <c r="O341"/>
  <c r="O340"/>
  <c r="O339"/>
  <c r="O338"/>
  <c r="O337"/>
  <c r="O336"/>
  <c r="O335"/>
  <c r="O334"/>
  <c r="O333"/>
  <c r="O332"/>
  <c r="O331"/>
  <c r="O330"/>
  <c r="O329"/>
  <c r="O328"/>
  <c r="O327"/>
  <c r="O326"/>
  <c r="O325"/>
  <c r="O324"/>
  <c r="O323"/>
  <c r="O322"/>
  <c r="O321"/>
  <c r="O320"/>
  <c r="O319"/>
  <c r="O318"/>
  <c r="O317"/>
  <c r="O316"/>
  <c r="O315"/>
  <c r="O314"/>
  <c r="O313"/>
  <c r="O312"/>
  <c r="O311"/>
  <c r="O310"/>
  <c r="O309"/>
  <c r="O308"/>
  <c r="O307"/>
  <c r="O306"/>
  <c r="O305"/>
  <c r="O304"/>
  <c r="O303"/>
  <c r="O302"/>
  <c r="O300"/>
  <c r="O299"/>
  <c r="O298"/>
  <c r="O297"/>
  <c r="O296"/>
  <c r="O295"/>
  <c r="O294"/>
  <c r="O293"/>
  <c r="O292"/>
  <c r="O291"/>
  <c r="O290"/>
  <c r="O289"/>
  <c r="O288"/>
  <c r="O287"/>
  <c r="O286"/>
  <c r="O285"/>
  <c r="O284"/>
  <c r="O283"/>
  <c r="O282"/>
  <c r="O281"/>
  <c r="O280"/>
  <c r="O279"/>
  <c r="O278"/>
  <c r="O277"/>
  <c r="O276"/>
  <c r="O275"/>
  <c r="O274"/>
  <c r="O273"/>
  <c r="O272"/>
  <c r="O271"/>
  <c r="O270"/>
  <c r="O269"/>
  <c r="O268"/>
  <c r="O267"/>
  <c r="O266"/>
  <c r="O265"/>
  <c r="O264"/>
  <c r="O263"/>
  <c r="O262"/>
  <c r="O261"/>
  <c r="O260"/>
  <c r="O259"/>
  <c r="O258"/>
  <c r="O257"/>
  <c r="O256"/>
  <c r="O255"/>
  <c r="O254"/>
  <c r="O253"/>
  <c r="O252"/>
  <c r="O251"/>
  <c r="O250"/>
  <c r="O249"/>
  <c r="O248"/>
  <c r="O247"/>
  <c r="O246"/>
  <c r="O245"/>
  <c r="O244"/>
  <c r="O243"/>
  <c r="O242"/>
  <c r="O241"/>
  <c r="O240"/>
  <c r="O239"/>
  <c r="O238"/>
  <c r="O237"/>
  <c r="O236"/>
  <c r="O235"/>
  <c r="O234"/>
  <c r="O233"/>
  <c r="O232"/>
  <c r="O231"/>
  <c r="O230"/>
  <c r="O229"/>
  <c r="O228"/>
  <c r="O227"/>
  <c r="O226"/>
  <c r="O225"/>
  <c r="O224"/>
  <c r="O223"/>
  <c r="O222"/>
  <c r="O221"/>
  <c r="O220"/>
  <c r="O219"/>
  <c r="O218"/>
  <c r="O217"/>
  <c r="O216"/>
  <c r="O215"/>
  <c r="O214"/>
  <c r="O213"/>
  <c r="O212"/>
  <c r="O211"/>
  <c r="O210"/>
  <c r="O209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O174"/>
  <c r="O173"/>
  <c r="O172"/>
  <c r="O171"/>
  <c r="O170"/>
  <c r="O169"/>
  <c r="O168"/>
  <c r="O167"/>
  <c r="O166"/>
  <c r="O165"/>
  <c r="O164"/>
  <c r="O163"/>
  <c r="O162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O3"/>
  <c r="O2"/>
  <c r="G206" i="2"/>
  <c r="F206"/>
  <c r="R206" s="1"/>
  <c r="E206"/>
  <c r="D206"/>
  <c r="M206" s="1"/>
  <c r="G205"/>
  <c r="F205"/>
  <c r="R205" s="1"/>
  <c r="E205"/>
  <c r="D205"/>
  <c r="P205" s="1"/>
  <c r="G204"/>
  <c r="F204"/>
  <c r="E204"/>
  <c r="D204"/>
  <c r="P204" s="1"/>
  <c r="G203"/>
  <c r="F203"/>
  <c r="E203"/>
  <c r="D203"/>
  <c r="G202"/>
  <c r="F202"/>
  <c r="R202" s="1"/>
  <c r="E202"/>
  <c r="D202"/>
  <c r="G201"/>
  <c r="F201"/>
  <c r="R201" s="1"/>
  <c r="E201"/>
  <c r="D201"/>
  <c r="P201" s="1"/>
  <c r="G200"/>
  <c r="F200"/>
  <c r="E200"/>
  <c r="D200"/>
  <c r="P200" s="1"/>
  <c r="G199"/>
  <c r="F199"/>
  <c r="E199"/>
  <c r="D199"/>
  <c r="G198"/>
  <c r="F198"/>
  <c r="R198" s="1"/>
  <c r="E198"/>
  <c r="D198"/>
  <c r="G197"/>
  <c r="F197"/>
  <c r="R197" s="1"/>
  <c r="E197"/>
  <c r="D197"/>
  <c r="P197" s="1"/>
  <c r="G196"/>
  <c r="F196"/>
  <c r="E196"/>
  <c r="D196"/>
  <c r="P196" s="1"/>
  <c r="G195"/>
  <c r="F195"/>
  <c r="E195"/>
  <c r="D195"/>
  <c r="G194"/>
  <c r="F194"/>
  <c r="R194" s="1"/>
  <c r="E194"/>
  <c r="D194"/>
  <c r="G193"/>
  <c r="F193"/>
  <c r="R193" s="1"/>
  <c r="E193"/>
  <c r="D193"/>
  <c r="P193" s="1"/>
  <c r="G192"/>
  <c r="F192"/>
  <c r="E192"/>
  <c r="D192"/>
  <c r="P192" s="1"/>
  <c r="G191"/>
  <c r="F191"/>
  <c r="E191"/>
  <c r="D191"/>
  <c r="G190"/>
  <c r="F190"/>
  <c r="R190" s="1"/>
  <c r="E190"/>
  <c r="D190"/>
  <c r="G189"/>
  <c r="F189"/>
  <c r="R189" s="1"/>
  <c r="E189"/>
  <c r="D189"/>
  <c r="P189" s="1"/>
  <c r="G188"/>
  <c r="F188"/>
  <c r="E188"/>
  <c r="D188"/>
  <c r="P188" s="1"/>
  <c r="G187"/>
  <c r="F187"/>
  <c r="E187"/>
  <c r="D187"/>
  <c r="G186"/>
  <c r="F186"/>
  <c r="R186" s="1"/>
  <c r="E186"/>
  <c r="D186"/>
  <c r="G185"/>
  <c r="F185"/>
  <c r="R185" s="1"/>
  <c r="E185"/>
  <c r="D185"/>
  <c r="P185" s="1"/>
  <c r="G184"/>
  <c r="F184"/>
  <c r="E184"/>
  <c r="D184"/>
  <c r="P184" s="1"/>
  <c r="G183"/>
  <c r="F183"/>
  <c r="E183"/>
  <c r="D183"/>
  <c r="G182"/>
  <c r="F182"/>
  <c r="R182" s="1"/>
  <c r="E182"/>
  <c r="D182"/>
  <c r="G181"/>
  <c r="F181"/>
  <c r="R181" s="1"/>
  <c r="E181"/>
  <c r="D181"/>
  <c r="P181" s="1"/>
  <c r="G180"/>
  <c r="F180"/>
  <c r="E180"/>
  <c r="D180"/>
  <c r="P180" s="1"/>
  <c r="G179"/>
  <c r="F179"/>
  <c r="E179"/>
  <c r="D179"/>
  <c r="G178"/>
  <c r="F178"/>
  <c r="R178" s="1"/>
  <c r="E178"/>
  <c r="D178"/>
  <c r="G177"/>
  <c r="F177"/>
  <c r="R177" s="1"/>
  <c r="E177"/>
  <c r="D177"/>
  <c r="P177" s="1"/>
  <c r="G176"/>
  <c r="F176"/>
  <c r="E176"/>
  <c r="D176"/>
  <c r="P176" s="1"/>
  <c r="G175"/>
  <c r="F175"/>
  <c r="E175"/>
  <c r="D175"/>
  <c r="G174"/>
  <c r="F174"/>
  <c r="R174" s="1"/>
  <c r="E174"/>
  <c r="D174"/>
  <c r="G173"/>
  <c r="F173"/>
  <c r="R173" s="1"/>
  <c r="E173"/>
  <c r="D173"/>
  <c r="P173" s="1"/>
  <c r="G172"/>
  <c r="F172"/>
  <c r="E172"/>
  <c r="D172"/>
  <c r="P172" s="1"/>
  <c r="G171"/>
  <c r="F171"/>
  <c r="E171"/>
  <c r="D171"/>
  <c r="G170"/>
  <c r="F170"/>
  <c r="R170" s="1"/>
  <c r="E170"/>
  <c r="D170"/>
  <c r="G169"/>
  <c r="F169"/>
  <c r="R169" s="1"/>
  <c r="E169"/>
  <c r="D169"/>
  <c r="P169" s="1"/>
  <c r="G168"/>
  <c r="F168"/>
  <c r="E168"/>
  <c r="D168"/>
  <c r="P168" s="1"/>
  <c r="G167"/>
  <c r="F167"/>
  <c r="E167"/>
  <c r="D167"/>
  <c r="G166"/>
  <c r="F166"/>
  <c r="R166" s="1"/>
  <c r="E166"/>
  <c r="D166"/>
  <c r="G165"/>
  <c r="F165"/>
  <c r="R165" s="1"/>
  <c r="E165"/>
  <c r="D165"/>
  <c r="P165" s="1"/>
  <c r="G164"/>
  <c r="F164"/>
  <c r="E164"/>
  <c r="D164"/>
  <c r="P164" s="1"/>
  <c r="G163"/>
  <c r="F163"/>
  <c r="E163"/>
  <c r="D163"/>
  <c r="G162"/>
  <c r="F162"/>
  <c r="R162" s="1"/>
  <c r="E162"/>
  <c r="D162"/>
  <c r="G161"/>
  <c r="F161"/>
  <c r="R161" s="1"/>
  <c r="E161"/>
  <c r="D161"/>
  <c r="P161" s="1"/>
  <c r="G160"/>
  <c r="F160"/>
  <c r="E160"/>
  <c r="D160"/>
  <c r="P160" s="1"/>
  <c r="G159"/>
  <c r="F159"/>
  <c r="E159"/>
  <c r="D159"/>
  <c r="G158"/>
  <c r="F158"/>
  <c r="R158" s="1"/>
  <c r="E158"/>
  <c r="D158"/>
  <c r="G157"/>
  <c r="F157"/>
  <c r="R157" s="1"/>
  <c r="E157"/>
  <c r="D157"/>
  <c r="P157" s="1"/>
  <c r="G156"/>
  <c r="F156"/>
  <c r="E156"/>
  <c r="D156"/>
  <c r="P156" s="1"/>
  <c r="G155"/>
  <c r="F155"/>
  <c r="E155"/>
  <c r="D155"/>
  <c r="G154"/>
  <c r="F154"/>
  <c r="R154" s="1"/>
  <c r="E154"/>
  <c r="D154"/>
  <c r="G153"/>
  <c r="F153"/>
  <c r="R153" s="1"/>
  <c r="E153"/>
  <c r="D153"/>
  <c r="P153" s="1"/>
  <c r="G152"/>
  <c r="F152"/>
  <c r="E152"/>
  <c r="D152"/>
  <c r="P152" s="1"/>
  <c r="G151"/>
  <c r="F151"/>
  <c r="E151"/>
  <c r="D151"/>
  <c r="G150"/>
  <c r="F150"/>
  <c r="R150" s="1"/>
  <c r="E150"/>
  <c r="D150"/>
  <c r="G149"/>
  <c r="F149"/>
  <c r="R149" s="1"/>
  <c r="E149"/>
  <c r="D149"/>
  <c r="P149" s="1"/>
  <c r="G148"/>
  <c r="F148"/>
  <c r="E148"/>
  <c r="D148"/>
  <c r="P148" s="1"/>
  <c r="G147"/>
  <c r="F147"/>
  <c r="E147"/>
  <c r="D147"/>
  <c r="G146"/>
  <c r="F146"/>
  <c r="R146" s="1"/>
  <c r="E146"/>
  <c r="D146"/>
  <c r="G145"/>
  <c r="F145"/>
  <c r="E145"/>
  <c r="D145"/>
  <c r="P145" s="1"/>
  <c r="G144"/>
  <c r="F144"/>
  <c r="E144"/>
  <c r="D144"/>
  <c r="G143"/>
  <c r="F143"/>
  <c r="R143" s="1"/>
  <c r="E143"/>
  <c r="D143"/>
  <c r="G142"/>
  <c r="F142"/>
  <c r="R142" s="1"/>
  <c r="E142"/>
  <c r="D142"/>
  <c r="P142" s="1"/>
  <c r="G141"/>
  <c r="F141"/>
  <c r="E141"/>
  <c r="D141"/>
  <c r="P141" s="1"/>
  <c r="G140"/>
  <c r="F140"/>
  <c r="E140"/>
  <c r="D140"/>
  <c r="G139"/>
  <c r="F139"/>
  <c r="R139" s="1"/>
  <c r="E139"/>
  <c r="D139"/>
  <c r="G138"/>
  <c r="F138"/>
  <c r="R138" s="1"/>
  <c r="E138"/>
  <c r="D138"/>
  <c r="P138" s="1"/>
  <c r="G137"/>
  <c r="F137"/>
  <c r="E137"/>
  <c r="D137"/>
  <c r="P137" s="1"/>
  <c r="G136"/>
  <c r="F136"/>
  <c r="E136"/>
  <c r="D136"/>
  <c r="G135"/>
  <c r="F135"/>
  <c r="R135" s="1"/>
  <c r="E135"/>
  <c r="D135"/>
  <c r="G134"/>
  <c r="F134"/>
  <c r="R134" s="1"/>
  <c r="E134"/>
  <c r="D134"/>
  <c r="P134" s="1"/>
  <c r="G133"/>
  <c r="F133"/>
  <c r="E133"/>
  <c r="D133"/>
  <c r="P133" s="1"/>
  <c r="G132"/>
  <c r="F132"/>
  <c r="E132"/>
  <c r="D132"/>
  <c r="G131"/>
  <c r="F131"/>
  <c r="R131" s="1"/>
  <c r="E131"/>
  <c r="D131"/>
  <c r="G130"/>
  <c r="F130"/>
  <c r="R130" s="1"/>
  <c r="E130"/>
  <c r="D130"/>
  <c r="P130" s="1"/>
  <c r="G129"/>
  <c r="F129"/>
  <c r="E129"/>
  <c r="D129"/>
  <c r="P129" s="1"/>
  <c r="G128"/>
  <c r="F128"/>
  <c r="E128"/>
  <c r="D128"/>
  <c r="G127"/>
  <c r="F127"/>
  <c r="R127" s="1"/>
  <c r="E127"/>
  <c r="D127"/>
  <c r="G126"/>
  <c r="F126"/>
  <c r="R126" s="1"/>
  <c r="E126"/>
  <c r="D126"/>
  <c r="P126" s="1"/>
  <c r="G125"/>
  <c r="F125"/>
  <c r="E125"/>
  <c r="D125"/>
  <c r="P125" s="1"/>
  <c r="G124"/>
  <c r="F124"/>
  <c r="E124"/>
  <c r="D124"/>
  <c r="G123"/>
  <c r="F123"/>
  <c r="R123" s="1"/>
  <c r="E123"/>
  <c r="D123"/>
  <c r="G122"/>
  <c r="F122"/>
  <c r="R122" s="1"/>
  <c r="E122"/>
  <c r="D122"/>
  <c r="P122" s="1"/>
  <c r="G121"/>
  <c r="F121"/>
  <c r="E121"/>
  <c r="D121"/>
  <c r="P121" s="1"/>
  <c r="G120"/>
  <c r="F120"/>
  <c r="E120"/>
  <c r="D120"/>
  <c r="G119"/>
  <c r="F119"/>
  <c r="R119" s="1"/>
  <c r="E119"/>
  <c r="D119"/>
  <c r="G118"/>
  <c r="F118"/>
  <c r="R118" s="1"/>
  <c r="E118"/>
  <c r="D118"/>
  <c r="P118" s="1"/>
  <c r="G117"/>
  <c r="F117"/>
  <c r="E117"/>
  <c r="D117"/>
  <c r="P117" s="1"/>
  <c r="G116"/>
  <c r="F116"/>
  <c r="E116"/>
  <c r="D116"/>
  <c r="G115"/>
  <c r="F115"/>
  <c r="R115" s="1"/>
  <c r="E115"/>
  <c r="D115"/>
  <c r="G114"/>
  <c r="F114"/>
  <c r="R114" s="1"/>
  <c r="E114"/>
  <c r="D114"/>
  <c r="P114" s="1"/>
  <c r="G113"/>
  <c r="F113"/>
  <c r="E113"/>
  <c r="D113"/>
  <c r="P113" s="1"/>
  <c r="G112"/>
  <c r="F112"/>
  <c r="E112"/>
  <c r="D112"/>
  <c r="G111"/>
  <c r="F111"/>
  <c r="R111" s="1"/>
  <c r="E111"/>
  <c r="D111"/>
  <c r="G110"/>
  <c r="F110"/>
  <c r="R110" s="1"/>
  <c r="E110"/>
  <c r="D110"/>
  <c r="P110" s="1"/>
  <c r="G109"/>
  <c r="F109"/>
  <c r="E109"/>
  <c r="D109"/>
  <c r="P109" s="1"/>
  <c r="G108"/>
  <c r="F108"/>
  <c r="E108"/>
  <c r="D108"/>
  <c r="G107"/>
  <c r="F107"/>
  <c r="R107" s="1"/>
  <c r="E107"/>
  <c r="D107"/>
  <c r="G106"/>
  <c r="F106"/>
  <c r="R106" s="1"/>
  <c r="E106"/>
  <c r="D106"/>
  <c r="P106" s="1"/>
  <c r="G105"/>
  <c r="F105"/>
  <c r="E105"/>
  <c r="D105"/>
  <c r="P105" s="1"/>
  <c r="G104"/>
  <c r="F104"/>
  <c r="E104"/>
  <c r="D104"/>
  <c r="G103"/>
  <c r="F103"/>
  <c r="R103" s="1"/>
  <c r="E103"/>
  <c r="D103"/>
  <c r="G102"/>
  <c r="F102"/>
  <c r="R102" s="1"/>
  <c r="E102"/>
  <c r="D102"/>
  <c r="P102" s="1"/>
  <c r="G101"/>
  <c r="F101"/>
  <c r="E101"/>
  <c r="D101"/>
  <c r="P101" s="1"/>
  <c r="G100"/>
  <c r="F100"/>
  <c r="E100"/>
  <c r="D100"/>
  <c r="G99"/>
  <c r="F99"/>
  <c r="R99" s="1"/>
  <c r="E99"/>
  <c r="D99"/>
  <c r="G98"/>
  <c r="F98"/>
  <c r="R98" s="1"/>
  <c r="E98"/>
  <c r="D98"/>
  <c r="P98" s="1"/>
  <c r="G97"/>
  <c r="F97"/>
  <c r="E97"/>
  <c r="D97"/>
  <c r="P97" s="1"/>
  <c r="G96"/>
  <c r="F96"/>
  <c r="E96"/>
  <c r="D96"/>
  <c r="G95"/>
  <c r="F95"/>
  <c r="R95" s="1"/>
  <c r="E95"/>
  <c r="D95"/>
  <c r="G94"/>
  <c r="F94"/>
  <c r="R94" s="1"/>
  <c r="E94"/>
  <c r="D94"/>
  <c r="P94" s="1"/>
  <c r="G93"/>
  <c r="F93"/>
  <c r="E93"/>
  <c r="D93"/>
  <c r="P93" s="1"/>
  <c r="G92"/>
  <c r="F92"/>
  <c r="E92"/>
  <c r="D92"/>
  <c r="G91"/>
  <c r="F91"/>
  <c r="R91" s="1"/>
  <c r="E91"/>
  <c r="D91"/>
  <c r="G90"/>
  <c r="F90"/>
  <c r="R90" s="1"/>
  <c r="E90"/>
  <c r="D90"/>
  <c r="P90" s="1"/>
  <c r="G89"/>
  <c r="F89"/>
  <c r="E89"/>
  <c r="D89"/>
  <c r="P89" s="1"/>
  <c r="G88"/>
  <c r="F88"/>
  <c r="E88"/>
  <c r="D88"/>
  <c r="G87"/>
  <c r="F87"/>
  <c r="R87" s="1"/>
  <c r="E87"/>
  <c r="D87"/>
  <c r="G86"/>
  <c r="F86"/>
  <c r="R86" s="1"/>
  <c r="E86"/>
  <c r="D86"/>
  <c r="P86" s="1"/>
  <c r="G85"/>
  <c r="F85"/>
  <c r="E85"/>
  <c r="D85"/>
  <c r="P85" s="1"/>
  <c r="G84"/>
  <c r="F84"/>
  <c r="E84"/>
  <c r="D84"/>
  <c r="G83"/>
  <c r="F83"/>
  <c r="R83" s="1"/>
  <c r="E83"/>
  <c r="D83"/>
  <c r="G82"/>
  <c r="F82"/>
  <c r="R82" s="1"/>
  <c r="E82"/>
  <c r="D82"/>
  <c r="P82" s="1"/>
  <c r="G81"/>
  <c r="F81"/>
  <c r="E81"/>
  <c r="D81"/>
  <c r="P81" s="1"/>
  <c r="G80"/>
  <c r="F80"/>
  <c r="E80"/>
  <c r="D80"/>
  <c r="G79"/>
  <c r="F79"/>
  <c r="R79" s="1"/>
  <c r="E79"/>
  <c r="D79"/>
  <c r="G78"/>
  <c r="F78"/>
  <c r="R78" s="1"/>
  <c r="E78"/>
  <c r="D78"/>
  <c r="P78" s="1"/>
  <c r="G77"/>
  <c r="F77"/>
  <c r="E77"/>
  <c r="D77"/>
  <c r="P77" s="1"/>
  <c r="G76"/>
  <c r="F76"/>
  <c r="E76"/>
  <c r="D76"/>
  <c r="G75"/>
  <c r="F75"/>
  <c r="R75" s="1"/>
  <c r="E75"/>
  <c r="D75"/>
  <c r="G74"/>
  <c r="F74"/>
  <c r="R74" s="1"/>
  <c r="E74"/>
  <c r="D74"/>
  <c r="P74" s="1"/>
  <c r="G73"/>
  <c r="F73"/>
  <c r="E73"/>
  <c r="D73"/>
  <c r="P73" s="1"/>
  <c r="G72"/>
  <c r="F72"/>
  <c r="E72"/>
  <c r="D72"/>
  <c r="G71"/>
  <c r="F71"/>
  <c r="R71" s="1"/>
  <c r="E71"/>
  <c r="D71"/>
  <c r="G70"/>
  <c r="F70"/>
  <c r="R70" s="1"/>
  <c r="E70"/>
  <c r="D70"/>
  <c r="P70" s="1"/>
  <c r="G69"/>
  <c r="F69"/>
  <c r="E69"/>
  <c r="D69"/>
  <c r="P69" s="1"/>
  <c r="G68"/>
  <c r="F68"/>
  <c r="E68"/>
  <c r="D68"/>
  <c r="G67"/>
  <c r="F67"/>
  <c r="R67" s="1"/>
  <c r="E67"/>
  <c r="D67"/>
  <c r="G66"/>
  <c r="F66"/>
  <c r="R66" s="1"/>
  <c r="E66"/>
  <c r="D66"/>
  <c r="P66" s="1"/>
  <c r="G65"/>
  <c r="F65"/>
  <c r="E65"/>
  <c r="D65"/>
  <c r="P65" s="1"/>
  <c r="G64"/>
  <c r="F64"/>
  <c r="E64"/>
  <c r="D64"/>
  <c r="G63"/>
  <c r="F63"/>
  <c r="R63" s="1"/>
  <c r="E63"/>
  <c r="D63"/>
  <c r="G62"/>
  <c r="F62"/>
  <c r="R62" s="1"/>
  <c r="E62"/>
  <c r="D62"/>
  <c r="P62" s="1"/>
  <c r="G61"/>
  <c r="F61"/>
  <c r="E61"/>
  <c r="D61"/>
  <c r="P61" s="1"/>
  <c r="G60"/>
  <c r="F60"/>
  <c r="E60"/>
  <c r="D60"/>
  <c r="G59"/>
  <c r="F59"/>
  <c r="R59" s="1"/>
  <c r="E59"/>
  <c r="D59"/>
  <c r="G58"/>
  <c r="F58"/>
  <c r="R58" s="1"/>
  <c r="E58"/>
  <c r="D58"/>
  <c r="P58" s="1"/>
  <c r="G57"/>
  <c r="F57"/>
  <c r="E57"/>
  <c r="D57"/>
  <c r="P57" s="1"/>
  <c r="G56"/>
  <c r="F56"/>
  <c r="E56"/>
  <c r="D56"/>
  <c r="G55"/>
  <c r="F55"/>
  <c r="R55" s="1"/>
  <c r="E55"/>
  <c r="D55"/>
  <c r="G54"/>
  <c r="F54"/>
  <c r="R54" s="1"/>
  <c r="E54"/>
  <c r="D54"/>
  <c r="P54" s="1"/>
  <c r="G53"/>
  <c r="F53"/>
  <c r="E53"/>
  <c r="D53"/>
  <c r="P53" s="1"/>
  <c r="G52"/>
  <c r="F52"/>
  <c r="E52"/>
  <c r="D52"/>
  <c r="G51"/>
  <c r="F51"/>
  <c r="R51" s="1"/>
  <c r="E51"/>
  <c r="D51"/>
  <c r="G50"/>
  <c r="F50"/>
  <c r="R50" s="1"/>
  <c r="E50"/>
  <c r="D50"/>
  <c r="P50" s="1"/>
  <c r="G49"/>
  <c r="F49"/>
  <c r="E49"/>
  <c r="D49"/>
  <c r="P49" s="1"/>
  <c r="G48"/>
  <c r="F48"/>
  <c r="E48"/>
  <c r="D48"/>
  <c r="G47"/>
  <c r="F47"/>
  <c r="R47" s="1"/>
  <c r="E47"/>
  <c r="D47"/>
  <c r="G46"/>
  <c r="F46"/>
  <c r="R46" s="1"/>
  <c r="E46"/>
  <c r="D46"/>
  <c r="P46" s="1"/>
  <c r="G45"/>
  <c r="F45"/>
  <c r="E45"/>
  <c r="D45"/>
  <c r="P45" s="1"/>
  <c r="G44"/>
  <c r="F44"/>
  <c r="E44"/>
  <c r="D44"/>
  <c r="G43"/>
  <c r="F43"/>
  <c r="R43" s="1"/>
  <c r="E43"/>
  <c r="D43"/>
  <c r="G42"/>
  <c r="F42"/>
  <c r="R42" s="1"/>
  <c r="E42"/>
  <c r="D42"/>
  <c r="P42" s="1"/>
  <c r="G41"/>
  <c r="F41"/>
  <c r="E41"/>
  <c r="D41"/>
  <c r="P41" s="1"/>
  <c r="G40"/>
  <c r="F40"/>
  <c r="E40"/>
  <c r="D40"/>
  <c r="G39"/>
  <c r="F39"/>
  <c r="R39" s="1"/>
  <c r="E39"/>
  <c r="D39"/>
  <c r="G38"/>
  <c r="F38"/>
  <c r="R38" s="1"/>
  <c r="E38"/>
  <c r="D38"/>
  <c r="P38" s="1"/>
  <c r="G37"/>
  <c r="F37"/>
  <c r="E37"/>
  <c r="D37"/>
  <c r="P37" s="1"/>
  <c r="G36"/>
  <c r="F36"/>
  <c r="E36"/>
  <c r="D36"/>
  <c r="G35"/>
  <c r="F35"/>
  <c r="R35" s="1"/>
  <c r="E35"/>
  <c r="D35"/>
  <c r="G34"/>
  <c r="F34"/>
  <c r="R34" s="1"/>
  <c r="E34"/>
  <c r="D34"/>
  <c r="P34" s="1"/>
  <c r="G33"/>
  <c r="F33"/>
  <c r="E33"/>
  <c r="D33"/>
  <c r="P33" s="1"/>
  <c r="G32"/>
  <c r="F32"/>
  <c r="E32"/>
  <c r="D32"/>
  <c r="G31"/>
  <c r="F31"/>
  <c r="R31" s="1"/>
  <c r="E31"/>
  <c r="D31"/>
  <c r="G30"/>
  <c r="F30"/>
  <c r="R30" s="1"/>
  <c r="E30"/>
  <c r="D30"/>
  <c r="P30" s="1"/>
  <c r="G29"/>
  <c r="F29"/>
  <c r="E29"/>
  <c r="D29"/>
  <c r="P29" s="1"/>
  <c r="G28"/>
  <c r="F28"/>
  <c r="E28"/>
  <c r="D28"/>
  <c r="G27"/>
  <c r="F27"/>
  <c r="R27" s="1"/>
  <c r="E27"/>
  <c r="D27"/>
  <c r="G26"/>
  <c r="F26"/>
  <c r="R26" s="1"/>
  <c r="E26"/>
  <c r="D26"/>
  <c r="P26" s="1"/>
  <c r="G25"/>
  <c r="F25"/>
  <c r="E25"/>
  <c r="D25"/>
  <c r="P25" s="1"/>
  <c r="G24"/>
  <c r="F24"/>
  <c r="E24"/>
  <c r="D24"/>
  <c r="G23"/>
  <c r="F23"/>
  <c r="R23" s="1"/>
  <c r="E23"/>
  <c r="D23"/>
  <c r="G22"/>
  <c r="F22"/>
  <c r="R22" s="1"/>
  <c r="E22"/>
  <c r="D22"/>
  <c r="P22" s="1"/>
  <c r="G21"/>
  <c r="F21"/>
  <c r="E21"/>
  <c r="D21"/>
  <c r="P21" s="1"/>
  <c r="G20"/>
  <c r="F20"/>
  <c r="E20"/>
  <c r="D20"/>
  <c r="G19"/>
  <c r="F19"/>
  <c r="R19" s="1"/>
  <c r="E19"/>
  <c r="D19"/>
  <c r="G18"/>
  <c r="F18"/>
  <c r="R18" s="1"/>
  <c r="E18"/>
  <c r="D18"/>
  <c r="P18" s="1"/>
  <c r="G17"/>
  <c r="F17"/>
  <c r="E17"/>
  <c r="D17"/>
  <c r="P17" s="1"/>
  <c r="G16"/>
  <c r="F16"/>
  <c r="E16"/>
  <c r="D16"/>
  <c r="G15"/>
  <c r="F15"/>
  <c r="R15" s="1"/>
  <c r="E15"/>
  <c r="D15"/>
  <c r="G14"/>
  <c r="F14"/>
  <c r="R14" s="1"/>
  <c r="E14"/>
  <c r="D14"/>
  <c r="P14" s="1"/>
  <c r="G13"/>
  <c r="F13"/>
  <c r="E13"/>
  <c r="D13"/>
  <c r="P13" s="1"/>
  <c r="G12"/>
  <c r="F12"/>
  <c r="E12"/>
  <c r="D12"/>
  <c r="G11"/>
  <c r="F11"/>
  <c r="R11" s="1"/>
  <c r="E11"/>
  <c r="D11"/>
  <c r="G10"/>
  <c r="F10"/>
  <c r="R10" s="1"/>
  <c r="E10"/>
  <c r="D10"/>
  <c r="P10" s="1"/>
  <c r="G9"/>
  <c r="F9"/>
  <c r="E9"/>
  <c r="D9"/>
  <c r="P9" s="1"/>
  <c r="G8"/>
  <c r="F8"/>
  <c r="E8"/>
  <c r="D8"/>
  <c r="G7"/>
  <c r="F7"/>
  <c r="R7" s="1"/>
  <c r="E7"/>
  <c r="D7"/>
  <c r="G6"/>
  <c r="F6"/>
  <c r="R6" s="1"/>
  <c r="E6"/>
  <c r="D6"/>
  <c r="P6" s="1"/>
  <c r="G5"/>
  <c r="F5"/>
  <c r="E5"/>
  <c r="D5"/>
  <c r="P5" s="1"/>
  <c r="G4"/>
  <c r="F4"/>
  <c r="E4"/>
  <c r="D4"/>
  <c r="G3"/>
  <c r="F3"/>
  <c r="R3" s="1"/>
  <c r="E3"/>
  <c r="D3"/>
  <c r="G2"/>
  <c r="F2"/>
  <c r="R2" s="1"/>
  <c r="E2"/>
  <c r="D2"/>
  <c r="M1276" i="1"/>
  <c r="L1276"/>
  <c r="M1275"/>
  <c r="L1275"/>
  <c r="M1274"/>
  <c r="L1274"/>
  <c r="M1273"/>
  <c r="L1273"/>
  <c r="M1272"/>
  <c r="L1272"/>
  <c r="M1271"/>
  <c r="L1271"/>
  <c r="M1270"/>
  <c r="L1270"/>
  <c r="M1269"/>
  <c r="L1269"/>
  <c r="M1268"/>
  <c r="L1268"/>
  <c r="M1267"/>
  <c r="L1267"/>
  <c r="M1266"/>
  <c r="L1266"/>
  <c r="M1265"/>
  <c r="L1265"/>
  <c r="M1264"/>
  <c r="L1264"/>
  <c r="M1263"/>
  <c r="L1263"/>
  <c r="M1262"/>
  <c r="L1262"/>
  <c r="M1261"/>
  <c r="L1261"/>
  <c r="M1260"/>
  <c r="L1260"/>
  <c r="M1259"/>
  <c r="L1259"/>
  <c r="M1258"/>
  <c r="L1258"/>
  <c r="M1257"/>
  <c r="L1257"/>
  <c r="M1256"/>
  <c r="L1256"/>
  <c r="M1255"/>
  <c r="L1255"/>
  <c r="M1254"/>
  <c r="L1254"/>
  <c r="M1253"/>
  <c r="L1253"/>
  <c r="M1252"/>
  <c r="L1252"/>
  <c r="M1251"/>
  <c r="L1251"/>
  <c r="M1250"/>
  <c r="L1250"/>
  <c r="M1249"/>
  <c r="L1249"/>
  <c r="M1248"/>
  <c r="L1248"/>
  <c r="M1247"/>
  <c r="L1247"/>
  <c r="M1246"/>
  <c r="L1246"/>
  <c r="M1245"/>
  <c r="L1245"/>
  <c r="M1244"/>
  <c r="L1244"/>
  <c r="M1243"/>
  <c r="L1243"/>
  <c r="M1242"/>
  <c r="L1242"/>
  <c r="M1241"/>
  <c r="L1241"/>
  <c r="M1240"/>
  <c r="L1240"/>
  <c r="M1239"/>
  <c r="L1239"/>
  <c r="M1238"/>
  <c r="L1238"/>
  <c r="M1237"/>
  <c r="L1237"/>
  <c r="M1236"/>
  <c r="L1236"/>
  <c r="M1235"/>
  <c r="L1235"/>
  <c r="M1234"/>
  <c r="L1234"/>
  <c r="M1233"/>
  <c r="L1233"/>
  <c r="M1232"/>
  <c r="L1232"/>
  <c r="M1231"/>
  <c r="L1231"/>
  <c r="M1230"/>
  <c r="L1230"/>
  <c r="M1229"/>
  <c r="L1229"/>
  <c r="M1228"/>
  <c r="L1228"/>
  <c r="M1227"/>
  <c r="L1227"/>
  <c r="M1226"/>
  <c r="L1226"/>
  <c r="M1225"/>
  <c r="L1225"/>
  <c r="M1224"/>
  <c r="L1224"/>
  <c r="M1223"/>
  <c r="L1223"/>
  <c r="M1222"/>
  <c r="L1222"/>
  <c r="M1221"/>
  <c r="L1221"/>
  <c r="M1220"/>
  <c r="L1220"/>
  <c r="M1219"/>
  <c r="L1219"/>
  <c r="M1218"/>
  <c r="L1218"/>
  <c r="M1217"/>
  <c r="L1217"/>
  <c r="M1216"/>
  <c r="L1216"/>
  <c r="M1215"/>
  <c r="L1215"/>
  <c r="M1214"/>
  <c r="L1214"/>
  <c r="M1213"/>
  <c r="L1213"/>
  <c r="M1212"/>
  <c r="L1212"/>
  <c r="M1211"/>
  <c r="L1211"/>
  <c r="M1210"/>
  <c r="L1210"/>
  <c r="M1209"/>
  <c r="L1209"/>
  <c r="M1208"/>
  <c r="L1208"/>
  <c r="M1207"/>
  <c r="L1207"/>
  <c r="M1206"/>
  <c r="L1206"/>
  <c r="M1205"/>
  <c r="L1205"/>
  <c r="M1204"/>
  <c r="L1204"/>
  <c r="M1203"/>
  <c r="L1203"/>
  <c r="M1202"/>
  <c r="L1202"/>
  <c r="M1201"/>
  <c r="L1201"/>
  <c r="M1200"/>
  <c r="L1200"/>
  <c r="M1199"/>
  <c r="L1199"/>
  <c r="M1198"/>
  <c r="L1198"/>
  <c r="M1197"/>
  <c r="L1197"/>
  <c r="M1196"/>
  <c r="L1196"/>
  <c r="M1195"/>
  <c r="L1195"/>
  <c r="M1194"/>
  <c r="L1194"/>
  <c r="M1193"/>
  <c r="L1193"/>
  <c r="M1192"/>
  <c r="L1192"/>
  <c r="M1191"/>
  <c r="L1191"/>
  <c r="M1190"/>
  <c r="L1190"/>
  <c r="M1189"/>
  <c r="L1189"/>
  <c r="M1188"/>
  <c r="L1188"/>
  <c r="M1187"/>
  <c r="L1187"/>
  <c r="M1186"/>
  <c r="L1186"/>
  <c r="M1185"/>
  <c r="L1185"/>
  <c r="M1184"/>
  <c r="L1184"/>
  <c r="M1183"/>
  <c r="L1183"/>
  <c r="M1182"/>
  <c r="L1182"/>
  <c r="M1181"/>
  <c r="L1181"/>
  <c r="M1180"/>
  <c r="L1180"/>
  <c r="M1179"/>
  <c r="L1179"/>
  <c r="M1178"/>
  <c r="L1178"/>
  <c r="M1177"/>
  <c r="L1177"/>
  <c r="M1176"/>
  <c r="L1176"/>
  <c r="M1175"/>
  <c r="L1175"/>
  <c r="M1174"/>
  <c r="L1174"/>
  <c r="M1173"/>
  <c r="L1173"/>
  <c r="M1172"/>
  <c r="L1172"/>
  <c r="M1171"/>
  <c r="L1171"/>
  <c r="M1170"/>
  <c r="L1170"/>
  <c r="M1169"/>
  <c r="L1169"/>
  <c r="M1168"/>
  <c r="L1168"/>
  <c r="M1167"/>
  <c r="L1167"/>
  <c r="M1166"/>
  <c r="L1166"/>
  <c r="M1165"/>
  <c r="L1165"/>
  <c r="M1164"/>
  <c r="L1164"/>
  <c r="M1163"/>
  <c r="L1163"/>
  <c r="M1162"/>
  <c r="L1162"/>
  <c r="M1161"/>
  <c r="L1161"/>
  <c r="M1160"/>
  <c r="L1160"/>
  <c r="M1159"/>
  <c r="L1159"/>
  <c r="M1158"/>
  <c r="L1158"/>
  <c r="M1157"/>
  <c r="L1157"/>
  <c r="M1156"/>
  <c r="L1156"/>
  <c r="M1155"/>
  <c r="L1155"/>
  <c r="M1154"/>
  <c r="L1154"/>
  <c r="M1153"/>
  <c r="L1153"/>
  <c r="M1152"/>
  <c r="L1152"/>
  <c r="M1151"/>
  <c r="L1151"/>
  <c r="M1150"/>
  <c r="L1150"/>
  <c r="M1149"/>
  <c r="L1149"/>
  <c r="M1148"/>
  <c r="L1148"/>
  <c r="M1147"/>
  <c r="L1147"/>
  <c r="M1146"/>
  <c r="L1146"/>
  <c r="M1145"/>
  <c r="L1145"/>
  <c r="M1144"/>
  <c r="L1144"/>
  <c r="M1143"/>
  <c r="L1143"/>
  <c r="M1142"/>
  <c r="L1142"/>
  <c r="M1141"/>
  <c r="L1141"/>
  <c r="M1140"/>
  <c r="L1140"/>
  <c r="M1139"/>
  <c r="L1139"/>
  <c r="M1138"/>
  <c r="L1138"/>
  <c r="M1137"/>
  <c r="L1137"/>
  <c r="M1136"/>
  <c r="L1136"/>
  <c r="M1135"/>
  <c r="L1135"/>
  <c r="M1134"/>
  <c r="L1134"/>
  <c r="M1133"/>
  <c r="L1133"/>
  <c r="M1132"/>
  <c r="L1132"/>
  <c r="M1131"/>
  <c r="L1131"/>
  <c r="M1130"/>
  <c r="L1130"/>
  <c r="M1129"/>
  <c r="L1129"/>
  <c r="M1128"/>
  <c r="L1128"/>
  <c r="M1127"/>
  <c r="L1127"/>
  <c r="M1126"/>
  <c r="L1126"/>
  <c r="M1125"/>
  <c r="L1125"/>
  <c r="M1124"/>
  <c r="L1124"/>
  <c r="M1123"/>
  <c r="L1123"/>
  <c r="M1122"/>
  <c r="L1122"/>
  <c r="M1121"/>
  <c r="L1121"/>
  <c r="M1120"/>
  <c r="L1120"/>
  <c r="M1119"/>
  <c r="L1119"/>
  <c r="M1118"/>
  <c r="L1118"/>
  <c r="M1117"/>
  <c r="L1117"/>
  <c r="M1116"/>
  <c r="L1116"/>
  <c r="M1115"/>
  <c r="L1115"/>
  <c r="M1114"/>
  <c r="L1114"/>
  <c r="M1113"/>
  <c r="L1113"/>
  <c r="M1112"/>
  <c r="L1112"/>
  <c r="M1111"/>
  <c r="L1111"/>
  <c r="M1110"/>
  <c r="L1110"/>
  <c r="M1109"/>
  <c r="L1109"/>
  <c r="M1108"/>
  <c r="L1108"/>
  <c r="M1107"/>
  <c r="L1107"/>
  <c r="M1106"/>
  <c r="L1106"/>
  <c r="M1105"/>
  <c r="L1105"/>
  <c r="M1104"/>
  <c r="L1104"/>
  <c r="M1103"/>
  <c r="L1103"/>
  <c r="M1102"/>
  <c r="L1102"/>
  <c r="M1101"/>
  <c r="L1101"/>
  <c r="M1100"/>
  <c r="L1100"/>
  <c r="M1099"/>
  <c r="L1099"/>
  <c r="M1098"/>
  <c r="L1098"/>
  <c r="M1097"/>
  <c r="L1097"/>
  <c r="M1096"/>
  <c r="L1096"/>
  <c r="M1095"/>
  <c r="L1095"/>
  <c r="M1094"/>
  <c r="L1094"/>
  <c r="M1093"/>
  <c r="L1093"/>
  <c r="M1092"/>
  <c r="L1092"/>
  <c r="M1091"/>
  <c r="L1091"/>
  <c r="M1090"/>
  <c r="L1090"/>
  <c r="M1089"/>
  <c r="L1089"/>
  <c r="M1088"/>
  <c r="L1088"/>
  <c r="M1087"/>
  <c r="L1087"/>
  <c r="M1086"/>
  <c r="L1086"/>
  <c r="M1085"/>
  <c r="L1085"/>
  <c r="M1084"/>
  <c r="L1084"/>
  <c r="M1083"/>
  <c r="L1083"/>
  <c r="M1082"/>
  <c r="L1082"/>
  <c r="M1081"/>
  <c r="L1081"/>
  <c r="M1080"/>
  <c r="L1080"/>
  <c r="M1079"/>
  <c r="L1079"/>
  <c r="M1078"/>
  <c r="L1078"/>
  <c r="M1077"/>
  <c r="L1077"/>
  <c r="M1076"/>
  <c r="L1076"/>
  <c r="M1075"/>
  <c r="L1075"/>
  <c r="M1074"/>
  <c r="L1074"/>
  <c r="M1073"/>
  <c r="L1073"/>
  <c r="M1072"/>
  <c r="L1072"/>
  <c r="M1071"/>
  <c r="L1071"/>
  <c r="M1070"/>
  <c r="L1070"/>
  <c r="M1069"/>
  <c r="L1069"/>
  <c r="M1068"/>
  <c r="L1068"/>
  <c r="M1067"/>
  <c r="L1067"/>
  <c r="M1066"/>
  <c r="L1066"/>
  <c r="M1065"/>
  <c r="L1065"/>
  <c r="M1064"/>
  <c r="L1064"/>
  <c r="M1063"/>
  <c r="L1063"/>
  <c r="M1062"/>
  <c r="L1062"/>
  <c r="M1061"/>
  <c r="L1061"/>
  <c r="M1060"/>
  <c r="L1060"/>
  <c r="M1059"/>
  <c r="L1059"/>
  <c r="M1058"/>
  <c r="L1058"/>
  <c r="M1057"/>
  <c r="L1057"/>
  <c r="M1056"/>
  <c r="L1056"/>
  <c r="M1055"/>
  <c r="L1055"/>
  <c r="M1054"/>
  <c r="L1054"/>
  <c r="M1053"/>
  <c r="L1053"/>
  <c r="M1052"/>
  <c r="L1052"/>
  <c r="M1051"/>
  <c r="L1051"/>
  <c r="M1050"/>
  <c r="L1050"/>
  <c r="M1049"/>
  <c r="L1049"/>
  <c r="M1048"/>
  <c r="L1048"/>
  <c r="M1047"/>
  <c r="L1047"/>
  <c r="M1046"/>
  <c r="L1046"/>
  <c r="M1045"/>
  <c r="L1045"/>
  <c r="M1044"/>
  <c r="L1044"/>
  <c r="M1043"/>
  <c r="L1043"/>
  <c r="M1042"/>
  <c r="L1042"/>
  <c r="M1041"/>
  <c r="L1041"/>
  <c r="M1040"/>
  <c r="L1040"/>
  <c r="M1039"/>
  <c r="L1039"/>
  <c r="M1038"/>
  <c r="L1038"/>
  <c r="M1037"/>
  <c r="L1037"/>
  <c r="M1036"/>
  <c r="L1036"/>
  <c r="M1035"/>
  <c r="L1035"/>
  <c r="M1034"/>
  <c r="L1034"/>
  <c r="M1033"/>
  <c r="L1033"/>
  <c r="M1032"/>
  <c r="L1032"/>
  <c r="M1031"/>
  <c r="L1031"/>
  <c r="M1030"/>
  <c r="L1030"/>
  <c r="M1029"/>
  <c r="L1029"/>
  <c r="M1028"/>
  <c r="L1028"/>
  <c r="M1027"/>
  <c r="L1027"/>
  <c r="M1026"/>
  <c r="L1026"/>
  <c r="M1025"/>
  <c r="L1025"/>
  <c r="M1024"/>
  <c r="L1024"/>
  <c r="M1023"/>
  <c r="L1023"/>
  <c r="M1022"/>
  <c r="L1022"/>
  <c r="M1021"/>
  <c r="L1021"/>
  <c r="M1020"/>
  <c r="L1020"/>
  <c r="M1019"/>
  <c r="L1019"/>
  <c r="M1018"/>
  <c r="L1018"/>
  <c r="M1017"/>
  <c r="L1017"/>
  <c r="M1016"/>
  <c r="L1016"/>
  <c r="M1015"/>
  <c r="L1015"/>
  <c r="M1014"/>
  <c r="L1014"/>
  <c r="M1013"/>
  <c r="L1013"/>
  <c r="M1012"/>
  <c r="L1012"/>
  <c r="M1011"/>
  <c r="L1011"/>
  <c r="M1010"/>
  <c r="L1010"/>
  <c r="M1009"/>
  <c r="L1009"/>
  <c r="M1008"/>
  <c r="L1008"/>
  <c r="M1007"/>
  <c r="L1007"/>
  <c r="M1006"/>
  <c r="L1006"/>
  <c r="M1005"/>
  <c r="L1005"/>
  <c r="M1004"/>
  <c r="L1004"/>
  <c r="M1003"/>
  <c r="L1003"/>
  <c r="M1002"/>
  <c r="L1002"/>
  <c r="M1001"/>
  <c r="L1001"/>
  <c r="M1000"/>
  <c r="L1000"/>
  <c r="M999"/>
  <c r="L999"/>
  <c r="M998"/>
  <c r="L998"/>
  <c r="M997"/>
  <c r="L997"/>
  <c r="M996"/>
  <c r="L996"/>
  <c r="M995"/>
  <c r="L995"/>
  <c r="M994"/>
  <c r="L994"/>
  <c r="M993"/>
  <c r="L993"/>
  <c r="M992"/>
  <c r="L992"/>
  <c r="M991"/>
  <c r="L991"/>
  <c r="M990"/>
  <c r="L990"/>
  <c r="M989"/>
  <c r="L989"/>
  <c r="M988"/>
  <c r="L988"/>
  <c r="M987"/>
  <c r="L987"/>
  <c r="M986"/>
  <c r="L986"/>
  <c r="M985"/>
  <c r="L985"/>
  <c r="M984"/>
  <c r="L984"/>
  <c r="M983"/>
  <c r="L983"/>
  <c r="M982"/>
  <c r="L982"/>
  <c r="M981"/>
  <c r="L981"/>
  <c r="M980"/>
  <c r="L980"/>
  <c r="M979"/>
  <c r="L979"/>
  <c r="M978"/>
  <c r="L978"/>
  <c r="M977"/>
  <c r="L977"/>
  <c r="M976"/>
  <c r="L976"/>
  <c r="M975"/>
  <c r="L975"/>
  <c r="M974"/>
  <c r="L974"/>
  <c r="M973"/>
  <c r="L973"/>
  <c r="M972"/>
  <c r="L972"/>
  <c r="M971"/>
  <c r="L971"/>
  <c r="M970"/>
  <c r="L970"/>
  <c r="M969"/>
  <c r="L969"/>
  <c r="M968"/>
  <c r="L968"/>
  <c r="M967"/>
  <c r="L967"/>
  <c r="M966"/>
  <c r="L966"/>
  <c r="M965"/>
  <c r="L965"/>
  <c r="M964"/>
  <c r="L964"/>
  <c r="M963"/>
  <c r="L963"/>
  <c r="M962"/>
  <c r="L962"/>
  <c r="M961"/>
  <c r="L961"/>
  <c r="M960"/>
  <c r="L960"/>
  <c r="M959"/>
  <c r="L959"/>
  <c r="M958"/>
  <c r="L958"/>
  <c r="M957"/>
  <c r="L957"/>
  <c r="M956"/>
  <c r="L956"/>
  <c r="M955"/>
  <c r="L955"/>
  <c r="M954"/>
  <c r="L954"/>
  <c r="M953"/>
  <c r="L953"/>
  <c r="M952"/>
  <c r="L952"/>
  <c r="M951"/>
  <c r="L951"/>
  <c r="M950"/>
  <c r="L950"/>
  <c r="M949"/>
  <c r="L949"/>
  <c r="M948"/>
  <c r="L948"/>
  <c r="M947"/>
  <c r="L947"/>
  <c r="M946"/>
  <c r="L946"/>
  <c r="M945"/>
  <c r="L945"/>
  <c r="M944"/>
  <c r="L944"/>
  <c r="M943"/>
  <c r="L943"/>
  <c r="M942"/>
  <c r="L942"/>
  <c r="M941"/>
  <c r="L941"/>
  <c r="M940"/>
  <c r="L940"/>
  <c r="M939"/>
  <c r="L939"/>
  <c r="M938"/>
  <c r="L938"/>
  <c r="M937"/>
  <c r="L937"/>
  <c r="M936"/>
  <c r="L936"/>
  <c r="M935"/>
  <c r="L935"/>
  <c r="M934"/>
  <c r="L934"/>
  <c r="M933"/>
  <c r="L933"/>
  <c r="M932"/>
  <c r="L932"/>
  <c r="M931"/>
  <c r="L931"/>
  <c r="M930"/>
  <c r="L930"/>
  <c r="M929"/>
  <c r="L929"/>
  <c r="M928"/>
  <c r="L928"/>
  <c r="M927"/>
  <c r="L927"/>
  <c r="M926"/>
  <c r="L926"/>
  <c r="M925"/>
  <c r="L925"/>
  <c r="M924"/>
  <c r="L924"/>
  <c r="M923"/>
  <c r="L923"/>
  <c r="M922"/>
  <c r="L922"/>
  <c r="M921"/>
  <c r="L921"/>
  <c r="M920"/>
  <c r="L920"/>
  <c r="M919"/>
  <c r="L919"/>
  <c r="M918"/>
  <c r="L918"/>
  <c r="M917"/>
  <c r="L917"/>
  <c r="M916"/>
  <c r="L916"/>
  <c r="M915"/>
  <c r="L915"/>
  <c r="M914"/>
  <c r="L914"/>
  <c r="M913"/>
  <c r="L913"/>
  <c r="M912"/>
  <c r="L912"/>
  <c r="M911"/>
  <c r="L911"/>
  <c r="M910"/>
  <c r="L910"/>
  <c r="M909"/>
  <c r="L909"/>
  <c r="M908"/>
  <c r="L908"/>
  <c r="M907"/>
  <c r="L907"/>
  <c r="M906"/>
  <c r="L906"/>
  <c r="M905"/>
  <c r="L905"/>
  <c r="M904"/>
  <c r="L904"/>
  <c r="M903"/>
  <c r="L903"/>
  <c r="M902"/>
  <c r="L902"/>
  <c r="M901"/>
  <c r="L901"/>
  <c r="M900"/>
  <c r="L900"/>
  <c r="M899"/>
  <c r="L899"/>
  <c r="M898"/>
  <c r="L898"/>
  <c r="M897"/>
  <c r="L897"/>
  <c r="M896"/>
  <c r="L896"/>
  <c r="M895"/>
  <c r="L895"/>
  <c r="M894"/>
  <c r="L894"/>
  <c r="M893"/>
  <c r="L893"/>
  <c r="M892"/>
  <c r="L892"/>
  <c r="M891"/>
  <c r="L891"/>
  <c r="M890"/>
  <c r="L890"/>
  <c r="M889"/>
  <c r="L889"/>
  <c r="M888"/>
  <c r="L888"/>
  <c r="M887"/>
  <c r="L887"/>
  <c r="M886"/>
  <c r="L886"/>
  <c r="M885"/>
  <c r="L885"/>
  <c r="M884"/>
  <c r="L884"/>
  <c r="M883"/>
  <c r="L883"/>
  <c r="M882"/>
  <c r="L882"/>
  <c r="M881"/>
  <c r="L881"/>
  <c r="M880"/>
  <c r="L880"/>
  <c r="M879"/>
  <c r="L879"/>
  <c r="M878"/>
  <c r="L878"/>
  <c r="M877"/>
  <c r="L877"/>
  <c r="M876"/>
  <c r="L876"/>
  <c r="M875"/>
  <c r="L875"/>
  <c r="M874"/>
  <c r="L874"/>
  <c r="M873"/>
  <c r="L873"/>
  <c r="M872"/>
  <c r="L872"/>
  <c r="M871"/>
  <c r="L871"/>
  <c r="M870"/>
  <c r="L870"/>
  <c r="M869"/>
  <c r="L869"/>
  <c r="M868"/>
  <c r="L868"/>
  <c r="M867"/>
  <c r="L867"/>
  <c r="M866"/>
  <c r="L866"/>
  <c r="M865"/>
  <c r="L865"/>
  <c r="M864"/>
  <c r="L864"/>
  <c r="M863"/>
  <c r="L863"/>
  <c r="M862"/>
  <c r="L862"/>
  <c r="M861"/>
  <c r="L861"/>
  <c r="M860"/>
  <c r="L860"/>
  <c r="M859"/>
  <c r="L859"/>
  <c r="M858"/>
  <c r="L858"/>
  <c r="M857"/>
  <c r="L857"/>
  <c r="M856"/>
  <c r="L856"/>
  <c r="M855"/>
  <c r="L855"/>
  <c r="M854"/>
  <c r="L854"/>
  <c r="M853"/>
  <c r="L853"/>
  <c r="M852"/>
  <c r="L852"/>
  <c r="M851"/>
  <c r="L851"/>
  <c r="M850"/>
  <c r="L850"/>
  <c r="M849"/>
  <c r="L849"/>
  <c r="M848"/>
  <c r="L848"/>
  <c r="M847"/>
  <c r="L847"/>
  <c r="M846"/>
  <c r="L846"/>
  <c r="M845"/>
  <c r="L845"/>
  <c r="M844"/>
  <c r="L844"/>
  <c r="M843"/>
  <c r="L843"/>
  <c r="M842"/>
  <c r="L842"/>
  <c r="M841"/>
  <c r="L841"/>
  <c r="M840"/>
  <c r="L840"/>
  <c r="M839"/>
  <c r="L839"/>
  <c r="M838"/>
  <c r="L838"/>
  <c r="M837"/>
  <c r="L837"/>
  <c r="M836"/>
  <c r="L836"/>
  <c r="M835"/>
  <c r="L835"/>
  <c r="M834"/>
  <c r="L834"/>
  <c r="M833"/>
  <c r="L833"/>
  <c r="M832"/>
  <c r="L832"/>
  <c r="M831"/>
  <c r="L831"/>
  <c r="M830"/>
  <c r="L830"/>
  <c r="M829"/>
  <c r="L829"/>
  <c r="M828"/>
  <c r="L828"/>
  <c r="M827"/>
  <c r="L827"/>
  <c r="M826"/>
  <c r="L826"/>
  <c r="M825"/>
  <c r="L825"/>
  <c r="M824"/>
  <c r="L824"/>
  <c r="M823"/>
  <c r="L823"/>
  <c r="M822"/>
  <c r="L822"/>
  <c r="M821"/>
  <c r="L821"/>
  <c r="M820"/>
  <c r="L820"/>
  <c r="M819"/>
  <c r="L819"/>
  <c r="M818"/>
  <c r="L818"/>
  <c r="M817"/>
  <c r="L817"/>
  <c r="M816"/>
  <c r="L816"/>
  <c r="M815"/>
  <c r="L815"/>
  <c r="M814"/>
  <c r="L814"/>
  <c r="M813"/>
  <c r="L813"/>
  <c r="M812"/>
  <c r="L812"/>
  <c r="M811"/>
  <c r="L811"/>
  <c r="M810"/>
  <c r="L810"/>
  <c r="M809"/>
  <c r="L809"/>
  <c r="M808"/>
  <c r="L808"/>
  <c r="M807"/>
  <c r="L807"/>
  <c r="M806"/>
  <c r="L806"/>
  <c r="M805"/>
  <c r="L805"/>
  <c r="M804"/>
  <c r="L804"/>
  <c r="M803"/>
  <c r="L803"/>
  <c r="M802"/>
  <c r="L802"/>
  <c r="M801"/>
  <c r="L801"/>
  <c r="M800"/>
  <c r="L800"/>
  <c r="M799"/>
  <c r="L799"/>
  <c r="M798"/>
  <c r="L798"/>
  <c r="M797"/>
  <c r="L797"/>
  <c r="M796"/>
  <c r="L796"/>
  <c r="M795"/>
  <c r="L795"/>
  <c r="M794"/>
  <c r="L794"/>
  <c r="M793"/>
  <c r="L793"/>
  <c r="M792"/>
  <c r="L792"/>
  <c r="M791"/>
  <c r="L791"/>
  <c r="M790"/>
  <c r="L790"/>
  <c r="M789"/>
  <c r="L789"/>
  <c r="M788"/>
  <c r="L788"/>
  <c r="M787"/>
  <c r="L787"/>
  <c r="M786"/>
  <c r="L786"/>
  <c r="M785"/>
  <c r="L785"/>
  <c r="M784"/>
  <c r="L784"/>
  <c r="M783"/>
  <c r="L783"/>
  <c r="M782"/>
  <c r="L782"/>
  <c r="M781"/>
  <c r="L781"/>
  <c r="M780"/>
  <c r="L780"/>
  <c r="M779"/>
  <c r="L779"/>
  <c r="M778"/>
  <c r="L778"/>
  <c r="M777"/>
  <c r="L777"/>
  <c r="M776"/>
  <c r="L776"/>
  <c r="M775"/>
  <c r="L775"/>
  <c r="M774"/>
  <c r="L774"/>
  <c r="M773"/>
  <c r="L773"/>
  <c r="M772"/>
  <c r="L772"/>
  <c r="M771"/>
  <c r="L771"/>
  <c r="M770"/>
  <c r="L770"/>
  <c r="M769"/>
  <c r="L769"/>
  <c r="M768"/>
  <c r="L768"/>
  <c r="M767"/>
  <c r="L767"/>
  <c r="M766"/>
  <c r="L766"/>
  <c r="M765"/>
  <c r="L765"/>
  <c r="M764"/>
  <c r="L764"/>
  <c r="M763"/>
  <c r="L763"/>
  <c r="M762"/>
  <c r="L762"/>
  <c r="M761"/>
  <c r="L761"/>
  <c r="M760"/>
  <c r="L760"/>
  <c r="M759"/>
  <c r="L759"/>
  <c r="M758"/>
  <c r="L758"/>
  <c r="M757"/>
  <c r="L757"/>
  <c r="M756"/>
  <c r="L756"/>
  <c r="M755"/>
  <c r="L755"/>
  <c r="M754"/>
  <c r="L754"/>
  <c r="M753"/>
  <c r="L753"/>
  <c r="M752"/>
  <c r="L752"/>
  <c r="M751"/>
  <c r="L751"/>
  <c r="M750"/>
  <c r="L750"/>
  <c r="M749"/>
  <c r="L749"/>
  <c r="M748"/>
  <c r="L748"/>
  <c r="M747"/>
  <c r="L747"/>
  <c r="M746"/>
  <c r="L746"/>
  <c r="M745"/>
  <c r="L745"/>
  <c r="M744"/>
  <c r="L744"/>
  <c r="M743"/>
  <c r="L743"/>
  <c r="M742"/>
  <c r="L742"/>
  <c r="M741"/>
  <c r="L741"/>
  <c r="M740"/>
  <c r="L740"/>
  <c r="M739"/>
  <c r="L739"/>
  <c r="M738"/>
  <c r="L738"/>
  <c r="M737"/>
  <c r="L737"/>
  <c r="M736"/>
  <c r="L736"/>
  <c r="M735"/>
  <c r="L735"/>
  <c r="M734"/>
  <c r="L734"/>
  <c r="M733"/>
  <c r="L733"/>
  <c r="M732"/>
  <c r="L732"/>
  <c r="M731"/>
  <c r="L731"/>
  <c r="M730"/>
  <c r="L730"/>
  <c r="M729"/>
  <c r="L729"/>
  <c r="M728"/>
  <c r="L728"/>
  <c r="M727"/>
  <c r="L727"/>
  <c r="M726"/>
  <c r="L726"/>
  <c r="M725"/>
  <c r="L725"/>
  <c r="M724"/>
  <c r="L724"/>
  <c r="M723"/>
  <c r="L723"/>
  <c r="M722"/>
  <c r="L722"/>
  <c r="M721"/>
  <c r="L721"/>
  <c r="M720"/>
  <c r="L720"/>
  <c r="M719"/>
  <c r="L719"/>
  <c r="M718"/>
  <c r="L718"/>
  <c r="M717"/>
  <c r="L717"/>
  <c r="M716"/>
  <c r="L716"/>
  <c r="M715"/>
  <c r="L715"/>
  <c r="M714"/>
  <c r="L714"/>
  <c r="M713"/>
  <c r="L713"/>
  <c r="M712"/>
  <c r="L712"/>
  <c r="M711"/>
  <c r="L711"/>
  <c r="M710"/>
  <c r="L710"/>
  <c r="M709"/>
  <c r="L709"/>
  <c r="M708"/>
  <c r="L708"/>
  <c r="M707"/>
  <c r="L707"/>
  <c r="M706"/>
  <c r="L706"/>
  <c r="M705"/>
  <c r="L705"/>
  <c r="M704"/>
  <c r="L704"/>
  <c r="M703"/>
  <c r="L703"/>
  <c r="M702"/>
  <c r="L702"/>
  <c r="M701"/>
  <c r="L701"/>
  <c r="M699"/>
  <c r="L699"/>
  <c r="M698"/>
  <c r="L698"/>
  <c r="M697"/>
  <c r="L697"/>
  <c r="M696"/>
  <c r="L696"/>
  <c r="M695"/>
  <c r="L695"/>
  <c r="M694"/>
  <c r="L694"/>
  <c r="M693"/>
  <c r="L693"/>
  <c r="M692"/>
  <c r="L692"/>
  <c r="M691"/>
  <c r="L691"/>
  <c r="M690"/>
  <c r="L690"/>
  <c r="M689"/>
  <c r="L689"/>
  <c r="M688"/>
  <c r="L688"/>
  <c r="M687"/>
  <c r="L687"/>
  <c r="M686"/>
  <c r="L686"/>
  <c r="M685"/>
  <c r="L685"/>
  <c r="M684"/>
  <c r="L684"/>
  <c r="M683"/>
  <c r="L683"/>
  <c r="M682"/>
  <c r="L682"/>
  <c r="M681"/>
  <c r="L681"/>
  <c r="M680"/>
  <c r="L680"/>
  <c r="M679"/>
  <c r="L679"/>
  <c r="M678"/>
  <c r="L678"/>
  <c r="M677"/>
  <c r="L677"/>
  <c r="M676"/>
  <c r="L676"/>
  <c r="M675"/>
  <c r="L675"/>
  <c r="M674"/>
  <c r="L674"/>
  <c r="M673"/>
  <c r="L673"/>
  <c r="M672"/>
  <c r="L672"/>
  <c r="M671"/>
  <c r="L671"/>
  <c r="M670"/>
  <c r="L670"/>
  <c r="M669"/>
  <c r="L669"/>
  <c r="M668"/>
  <c r="L668"/>
  <c r="M667"/>
  <c r="L667"/>
  <c r="M666"/>
  <c r="L666"/>
  <c r="M665"/>
  <c r="L665"/>
  <c r="M664"/>
  <c r="L664"/>
  <c r="M663"/>
  <c r="L663"/>
  <c r="M662"/>
  <c r="L662"/>
  <c r="M661"/>
  <c r="L661"/>
  <c r="M660"/>
  <c r="L660"/>
  <c r="M659"/>
  <c r="L659"/>
  <c r="M658"/>
  <c r="L658"/>
  <c r="M657"/>
  <c r="L657"/>
  <c r="M656"/>
  <c r="L656"/>
  <c r="M655"/>
  <c r="L655"/>
  <c r="M654"/>
  <c r="L654"/>
  <c r="M653"/>
  <c r="L653"/>
  <c r="M652"/>
  <c r="L652"/>
  <c r="M651"/>
  <c r="L651"/>
  <c r="M650"/>
  <c r="L650"/>
  <c r="M649"/>
  <c r="L649"/>
  <c r="M648"/>
  <c r="L648"/>
  <c r="M647"/>
  <c r="L647"/>
  <c r="M646"/>
  <c r="L646"/>
  <c r="M645"/>
  <c r="L645"/>
  <c r="M644"/>
  <c r="L644"/>
  <c r="M643"/>
  <c r="L643"/>
  <c r="M642"/>
  <c r="L642"/>
  <c r="M641"/>
  <c r="L641"/>
  <c r="M640"/>
  <c r="L640"/>
  <c r="M639"/>
  <c r="L639"/>
  <c r="M638"/>
  <c r="L638"/>
  <c r="M637"/>
  <c r="L637"/>
  <c r="M636"/>
  <c r="L636"/>
  <c r="M635"/>
  <c r="L635"/>
  <c r="M634"/>
  <c r="L634"/>
  <c r="M633"/>
  <c r="L633"/>
  <c r="M632"/>
  <c r="L632"/>
  <c r="M631"/>
  <c r="L631"/>
  <c r="M630"/>
  <c r="L630"/>
  <c r="M629"/>
  <c r="L629"/>
  <c r="M628"/>
  <c r="L628"/>
  <c r="M627"/>
  <c r="L627"/>
  <c r="M626"/>
  <c r="L626"/>
  <c r="M625"/>
  <c r="L625"/>
  <c r="M624"/>
  <c r="L624"/>
  <c r="M623"/>
  <c r="L623"/>
  <c r="M622"/>
  <c r="L622"/>
  <c r="M621"/>
  <c r="L621"/>
  <c r="M620"/>
  <c r="L620"/>
  <c r="M619"/>
  <c r="L619"/>
  <c r="M618"/>
  <c r="L618"/>
  <c r="M617"/>
  <c r="L617"/>
  <c r="M616"/>
  <c r="L616"/>
  <c r="M615"/>
  <c r="L615"/>
  <c r="M614"/>
  <c r="L614"/>
  <c r="M613"/>
  <c r="L613"/>
  <c r="M612"/>
  <c r="L612"/>
  <c r="M611"/>
  <c r="L611"/>
  <c r="M610"/>
  <c r="L610"/>
  <c r="M609"/>
  <c r="L609"/>
  <c r="M608"/>
  <c r="L608"/>
  <c r="M607"/>
  <c r="L607"/>
  <c r="M606"/>
  <c r="L606"/>
  <c r="M605"/>
  <c r="L605"/>
  <c r="M604"/>
  <c r="L604"/>
  <c r="M603"/>
  <c r="L603"/>
  <c r="M602"/>
  <c r="L602"/>
  <c r="M601"/>
  <c r="L601"/>
  <c r="M600"/>
  <c r="L600"/>
  <c r="M599"/>
  <c r="L599"/>
  <c r="M598"/>
  <c r="L598"/>
  <c r="M597"/>
  <c r="L597"/>
  <c r="M596"/>
  <c r="L596"/>
  <c r="M595"/>
  <c r="L595"/>
  <c r="M594"/>
  <c r="L594"/>
  <c r="M593"/>
  <c r="L593"/>
  <c r="M592"/>
  <c r="L592"/>
  <c r="M591"/>
  <c r="L591"/>
  <c r="M590"/>
  <c r="L590"/>
  <c r="M589"/>
  <c r="L589"/>
  <c r="M588"/>
  <c r="L588"/>
  <c r="M586"/>
  <c r="L586"/>
  <c r="M585"/>
  <c r="L585"/>
  <c r="M584"/>
  <c r="L584"/>
  <c r="M583"/>
  <c r="L583"/>
  <c r="M582"/>
  <c r="L582"/>
  <c r="M581"/>
  <c r="L581"/>
  <c r="M580"/>
  <c r="L580"/>
  <c r="M579"/>
  <c r="L579"/>
  <c r="M578"/>
  <c r="L578"/>
  <c r="M577"/>
  <c r="L577"/>
  <c r="M576"/>
  <c r="L576"/>
  <c r="M575"/>
  <c r="L575"/>
  <c r="M574"/>
  <c r="L574"/>
  <c r="M573"/>
  <c r="L573"/>
  <c r="M572"/>
  <c r="L572"/>
  <c r="M571"/>
  <c r="L571"/>
  <c r="M570"/>
  <c r="L570"/>
  <c r="M569"/>
  <c r="L569"/>
  <c r="M568"/>
  <c r="L568"/>
  <c r="M567"/>
  <c r="L567"/>
  <c r="M566"/>
  <c r="L566"/>
  <c r="M565"/>
  <c r="L565"/>
  <c r="M564"/>
  <c r="L564"/>
  <c r="M563"/>
  <c r="L563"/>
  <c r="M562"/>
  <c r="L562"/>
  <c r="M561"/>
  <c r="L561"/>
  <c r="M560"/>
  <c r="L560"/>
  <c r="M559"/>
  <c r="L559"/>
  <c r="M558"/>
  <c r="L558"/>
  <c r="M557"/>
  <c r="L557"/>
  <c r="M556"/>
  <c r="L556"/>
  <c r="M555"/>
  <c r="L555"/>
  <c r="M554"/>
  <c r="L554"/>
  <c r="M553"/>
  <c r="L553"/>
  <c r="M552"/>
  <c r="L552"/>
  <c r="M551"/>
  <c r="L551"/>
  <c r="M550"/>
  <c r="L550"/>
  <c r="M549"/>
  <c r="L549"/>
  <c r="M548"/>
  <c r="L548"/>
  <c r="M547"/>
  <c r="L547"/>
  <c r="M546"/>
  <c r="L546"/>
  <c r="M545"/>
  <c r="L545"/>
  <c r="M544"/>
  <c r="L544"/>
  <c r="M543"/>
  <c r="L543"/>
  <c r="M542"/>
  <c r="L542"/>
  <c r="M541"/>
  <c r="L541"/>
  <c r="M540"/>
  <c r="L540"/>
  <c r="M539"/>
  <c r="L539"/>
  <c r="M538"/>
  <c r="L538"/>
  <c r="M537"/>
  <c r="L537"/>
  <c r="M536"/>
  <c r="L536"/>
  <c r="M535"/>
  <c r="L535"/>
  <c r="M534"/>
  <c r="L534"/>
  <c r="M533"/>
  <c r="L533"/>
  <c r="M532"/>
  <c r="L532"/>
  <c r="M531"/>
  <c r="L531"/>
  <c r="M530"/>
  <c r="L530"/>
  <c r="M529"/>
  <c r="L529"/>
  <c r="M528"/>
  <c r="L528"/>
  <c r="M527"/>
  <c r="L527"/>
  <c r="M526"/>
  <c r="L526"/>
  <c r="M525"/>
  <c r="L525"/>
  <c r="M524"/>
  <c r="L524"/>
  <c r="M523"/>
  <c r="L523"/>
  <c r="M522"/>
  <c r="L522"/>
  <c r="M521"/>
  <c r="L521"/>
  <c r="M520"/>
  <c r="L520"/>
  <c r="M519"/>
  <c r="L519"/>
  <c r="M518"/>
  <c r="L518"/>
  <c r="M517"/>
  <c r="L517"/>
  <c r="M516"/>
  <c r="L516"/>
  <c r="M514"/>
  <c r="L514"/>
  <c r="M513"/>
  <c r="L513"/>
  <c r="M512"/>
  <c r="L512"/>
  <c r="M511"/>
  <c r="L511"/>
  <c r="M510"/>
  <c r="L510"/>
  <c r="M509"/>
  <c r="L509"/>
  <c r="M508"/>
  <c r="L508"/>
  <c r="M507"/>
  <c r="L507"/>
  <c r="M506"/>
  <c r="L506"/>
  <c r="M505"/>
  <c r="L505"/>
  <c r="M504"/>
  <c r="L504"/>
  <c r="M503"/>
  <c r="L503"/>
  <c r="M502"/>
  <c r="L502"/>
  <c r="M501"/>
  <c r="L501"/>
  <c r="M500"/>
  <c r="L500"/>
  <c r="M499"/>
  <c r="L499"/>
  <c r="M498"/>
  <c r="L498"/>
  <c r="M497"/>
  <c r="L497"/>
  <c r="M496"/>
  <c r="L496"/>
  <c r="M495"/>
  <c r="L495"/>
  <c r="M494"/>
  <c r="L494"/>
  <c r="M493"/>
  <c r="L493"/>
  <c r="M492"/>
  <c r="L492"/>
  <c r="M491"/>
  <c r="L491"/>
  <c r="M490"/>
  <c r="L490"/>
  <c r="M489"/>
  <c r="L489"/>
  <c r="M488"/>
  <c r="L488"/>
  <c r="M487"/>
  <c r="L487"/>
  <c r="M486"/>
  <c r="L486"/>
  <c r="M485"/>
  <c r="L485"/>
  <c r="M484"/>
  <c r="L484"/>
  <c r="M483"/>
  <c r="L483"/>
  <c r="M482"/>
  <c r="L482"/>
  <c r="M481"/>
  <c r="L481"/>
  <c r="M480"/>
  <c r="L480"/>
  <c r="M479"/>
  <c r="L479"/>
  <c r="M478"/>
  <c r="L478"/>
  <c r="M477"/>
  <c r="L477"/>
  <c r="M476"/>
  <c r="L476"/>
  <c r="M475"/>
  <c r="L475"/>
  <c r="M474"/>
  <c r="L474"/>
  <c r="M473"/>
  <c r="L473"/>
  <c r="M472"/>
  <c r="L472"/>
  <c r="M471"/>
  <c r="L471"/>
  <c r="M470"/>
  <c r="L470"/>
  <c r="M469"/>
  <c r="L469"/>
  <c r="M468"/>
  <c r="L468"/>
  <c r="M467"/>
  <c r="L467"/>
  <c r="M466"/>
  <c r="L466"/>
  <c r="M465"/>
  <c r="L465"/>
  <c r="M464"/>
  <c r="L464"/>
  <c r="M463"/>
  <c r="L463"/>
  <c r="M462"/>
  <c r="L462"/>
  <c r="M461"/>
  <c r="L461"/>
  <c r="M460"/>
  <c r="L460"/>
  <c r="M459"/>
  <c r="L459"/>
  <c r="M458"/>
  <c r="L458"/>
  <c r="M457"/>
  <c r="L457"/>
  <c r="M456"/>
  <c r="L456"/>
  <c r="M455"/>
  <c r="L455"/>
  <c r="M454"/>
  <c r="L454"/>
  <c r="M453"/>
  <c r="L453"/>
  <c r="M452"/>
  <c r="L452"/>
  <c r="M451"/>
  <c r="L451"/>
  <c r="M450"/>
  <c r="L450"/>
  <c r="M449"/>
  <c r="L449"/>
  <c r="M448"/>
  <c r="L448"/>
  <c r="M447"/>
  <c r="L447"/>
  <c r="M446"/>
  <c r="L446"/>
  <c r="M445"/>
  <c r="L445"/>
  <c r="M444"/>
  <c r="L444"/>
  <c r="M443"/>
  <c r="L443"/>
  <c r="M442"/>
  <c r="L442"/>
  <c r="M441"/>
  <c r="L441"/>
  <c r="M440"/>
  <c r="L440"/>
  <c r="M439"/>
  <c r="L439"/>
  <c r="M438"/>
  <c r="L438"/>
  <c r="M437"/>
  <c r="L437"/>
  <c r="M436"/>
  <c r="L436"/>
  <c r="M435"/>
  <c r="L435"/>
  <c r="M434"/>
  <c r="L434"/>
  <c r="M433"/>
  <c r="L433"/>
  <c r="M432"/>
  <c r="L432"/>
  <c r="M431"/>
  <c r="L431"/>
  <c r="M430"/>
  <c r="L430"/>
  <c r="M429"/>
  <c r="L429"/>
  <c r="M428"/>
  <c r="L428"/>
  <c r="M427"/>
  <c r="L427"/>
  <c r="M426"/>
  <c r="L426"/>
  <c r="M425"/>
  <c r="L425"/>
  <c r="M424"/>
  <c r="L424"/>
  <c r="M423"/>
  <c r="L423"/>
  <c r="M422"/>
  <c r="L422"/>
  <c r="M421"/>
  <c r="L421"/>
  <c r="M420"/>
  <c r="L420"/>
  <c r="M419"/>
  <c r="L419"/>
  <c r="M418"/>
  <c r="L418"/>
  <c r="M417"/>
  <c r="L417"/>
  <c r="M416"/>
  <c r="L416"/>
  <c r="M415"/>
  <c r="L415"/>
  <c r="M414"/>
  <c r="L414"/>
  <c r="M413"/>
  <c r="L413"/>
  <c r="M412"/>
  <c r="L412"/>
  <c r="M411"/>
  <c r="L411"/>
  <c r="M410"/>
  <c r="L410"/>
  <c r="M409"/>
  <c r="L409"/>
  <c r="M408"/>
  <c r="L408"/>
  <c r="M407"/>
  <c r="L407"/>
  <c r="M406"/>
  <c r="L406"/>
  <c r="M405"/>
  <c r="L405"/>
  <c r="M404"/>
  <c r="L404"/>
  <c r="M403"/>
  <c r="L403"/>
  <c r="M402"/>
  <c r="L402"/>
  <c r="M401"/>
  <c r="L401"/>
  <c r="M400"/>
  <c r="L400"/>
  <c r="M399"/>
  <c r="L399"/>
  <c r="M398"/>
  <c r="L398"/>
  <c r="M397"/>
  <c r="L397"/>
  <c r="M396"/>
  <c r="L396"/>
  <c r="M395"/>
  <c r="L395"/>
  <c r="M394"/>
  <c r="L394"/>
  <c r="M393"/>
  <c r="L393"/>
  <c r="M392"/>
  <c r="L392"/>
  <c r="M391"/>
  <c r="L391"/>
  <c r="M390"/>
  <c r="L390"/>
  <c r="M389"/>
  <c r="L389"/>
  <c r="M388"/>
  <c r="L388"/>
  <c r="M386"/>
  <c r="L386"/>
  <c r="M385"/>
  <c r="L385"/>
  <c r="M384"/>
  <c r="L384"/>
  <c r="M383"/>
  <c r="L383"/>
  <c r="M382"/>
  <c r="L382"/>
  <c r="M381"/>
  <c r="L381"/>
  <c r="M380"/>
  <c r="L380"/>
  <c r="M379"/>
  <c r="L379"/>
  <c r="M378"/>
  <c r="L378"/>
  <c r="M377"/>
  <c r="L377"/>
  <c r="M376"/>
  <c r="L376"/>
  <c r="M375"/>
  <c r="L375"/>
  <c r="M374"/>
  <c r="L374"/>
  <c r="M373"/>
  <c r="L373"/>
  <c r="M372"/>
  <c r="L372"/>
  <c r="M371"/>
  <c r="L371"/>
  <c r="M370"/>
  <c r="L370"/>
  <c r="M369"/>
  <c r="L369"/>
  <c r="M368"/>
  <c r="L368"/>
  <c r="M367"/>
  <c r="L367"/>
  <c r="M366"/>
  <c r="L366"/>
  <c r="M365"/>
  <c r="L365"/>
  <c r="M364"/>
  <c r="L364"/>
  <c r="M363"/>
  <c r="L363"/>
  <c r="M362"/>
  <c r="L362"/>
  <c r="M361"/>
  <c r="L361"/>
  <c r="M360"/>
  <c r="L360"/>
  <c r="M359"/>
  <c r="L359"/>
  <c r="M358"/>
  <c r="L358"/>
  <c r="M357"/>
  <c r="L357"/>
  <c r="M356"/>
  <c r="L356"/>
  <c r="M355"/>
  <c r="L355"/>
  <c r="M354"/>
  <c r="L354"/>
  <c r="M353"/>
  <c r="L353"/>
  <c r="M352"/>
  <c r="L352"/>
  <c r="M351"/>
  <c r="L351"/>
  <c r="M350"/>
  <c r="L350"/>
  <c r="M349"/>
  <c r="L349"/>
  <c r="M348"/>
  <c r="L348"/>
  <c r="M347"/>
  <c r="L347"/>
  <c r="M346"/>
  <c r="L346"/>
  <c r="M345"/>
  <c r="L345"/>
  <c r="M344"/>
  <c r="L344"/>
  <c r="M343"/>
  <c r="L343"/>
  <c r="M342"/>
  <c r="L342"/>
  <c r="M341"/>
  <c r="L341"/>
  <c r="M340"/>
  <c r="L340"/>
  <c r="M339"/>
  <c r="L339"/>
  <c r="M338"/>
  <c r="L338"/>
  <c r="M337"/>
  <c r="L337"/>
  <c r="M336"/>
  <c r="L336"/>
  <c r="M335"/>
  <c r="L335"/>
  <c r="M334"/>
  <c r="L334"/>
  <c r="M333"/>
  <c r="L333"/>
  <c r="M332"/>
  <c r="L332"/>
  <c r="M331"/>
  <c r="L331"/>
  <c r="M330"/>
  <c r="L330"/>
  <c r="M329"/>
  <c r="L329"/>
  <c r="M328"/>
  <c r="L328"/>
  <c r="M327"/>
  <c r="L327"/>
  <c r="M326"/>
  <c r="L326"/>
  <c r="M325"/>
  <c r="L325"/>
  <c r="M324"/>
  <c r="L324"/>
  <c r="M323"/>
  <c r="L323"/>
  <c r="M322"/>
  <c r="L322"/>
  <c r="M321"/>
  <c r="L321"/>
  <c r="M320"/>
  <c r="L320"/>
  <c r="M319"/>
  <c r="L319"/>
  <c r="M318"/>
  <c r="L318"/>
  <c r="M317"/>
  <c r="L317"/>
  <c r="M316"/>
  <c r="L316"/>
  <c r="M315"/>
  <c r="L315"/>
  <c r="M314"/>
  <c r="L314"/>
  <c r="M313"/>
  <c r="L313"/>
  <c r="M312"/>
  <c r="L312"/>
  <c r="M311"/>
  <c r="L311"/>
  <c r="M310"/>
  <c r="L310"/>
  <c r="M309"/>
  <c r="L309"/>
  <c r="M308"/>
  <c r="L308"/>
  <c r="M307"/>
  <c r="L307"/>
  <c r="M306"/>
  <c r="L306"/>
  <c r="M305"/>
  <c r="L305"/>
  <c r="M304"/>
  <c r="L304"/>
  <c r="M303"/>
  <c r="L303"/>
  <c r="M302"/>
  <c r="L302"/>
  <c r="M300"/>
  <c r="L300"/>
  <c r="M299"/>
  <c r="L299"/>
  <c r="M298"/>
  <c r="L298"/>
  <c r="M297"/>
  <c r="L297"/>
  <c r="M296"/>
  <c r="L296"/>
  <c r="M295"/>
  <c r="L295"/>
  <c r="M294"/>
  <c r="L294"/>
  <c r="M293"/>
  <c r="L293"/>
  <c r="M292"/>
  <c r="L292"/>
  <c r="M291"/>
  <c r="L291"/>
  <c r="M290"/>
  <c r="L290"/>
  <c r="M289"/>
  <c r="L289"/>
  <c r="M288"/>
  <c r="L288"/>
  <c r="M287"/>
  <c r="L287"/>
  <c r="M286"/>
  <c r="L286"/>
  <c r="M285"/>
  <c r="L285"/>
  <c r="M284"/>
  <c r="L284"/>
  <c r="M283"/>
  <c r="L283"/>
  <c r="M282"/>
  <c r="L282"/>
  <c r="M281"/>
  <c r="L281"/>
  <c r="M280"/>
  <c r="L280"/>
  <c r="M279"/>
  <c r="L279"/>
  <c r="M278"/>
  <c r="L278"/>
  <c r="M277"/>
  <c r="L277"/>
  <c r="M276"/>
  <c r="L276"/>
  <c r="M275"/>
  <c r="L275"/>
  <c r="M274"/>
  <c r="L274"/>
  <c r="M273"/>
  <c r="L273"/>
  <c r="M272"/>
  <c r="L272"/>
  <c r="M271"/>
  <c r="L271"/>
  <c r="M270"/>
  <c r="L270"/>
  <c r="M269"/>
  <c r="L269"/>
  <c r="M268"/>
  <c r="L268"/>
  <c r="M267"/>
  <c r="L267"/>
  <c r="M266"/>
  <c r="L266"/>
  <c r="M265"/>
  <c r="L265"/>
  <c r="M264"/>
  <c r="L264"/>
  <c r="M263"/>
  <c r="L263"/>
  <c r="M262"/>
  <c r="L262"/>
  <c r="M261"/>
  <c r="L261"/>
  <c r="M260"/>
  <c r="L260"/>
  <c r="M259"/>
  <c r="L259"/>
  <c r="M258"/>
  <c r="L258"/>
  <c r="M257"/>
  <c r="L257"/>
  <c r="M256"/>
  <c r="L256"/>
  <c r="M255"/>
  <c r="L255"/>
  <c r="M254"/>
  <c r="L254"/>
  <c r="M253"/>
  <c r="L253"/>
  <c r="M252"/>
  <c r="L252"/>
  <c r="M251"/>
  <c r="L251"/>
  <c r="M250"/>
  <c r="L250"/>
  <c r="M249"/>
  <c r="L249"/>
  <c r="M248"/>
  <c r="L248"/>
  <c r="M247"/>
  <c r="L247"/>
  <c r="M246"/>
  <c r="L246"/>
  <c r="M245"/>
  <c r="L245"/>
  <c r="M244"/>
  <c r="L244"/>
  <c r="M243"/>
  <c r="L243"/>
  <c r="M242"/>
  <c r="L242"/>
  <c r="M241"/>
  <c r="L241"/>
  <c r="M240"/>
  <c r="L240"/>
  <c r="M239"/>
  <c r="L239"/>
  <c r="M238"/>
  <c r="L238"/>
  <c r="M237"/>
  <c r="L237"/>
  <c r="M236"/>
  <c r="L236"/>
  <c r="M235"/>
  <c r="L235"/>
  <c r="M234"/>
  <c r="L234"/>
  <c r="M233"/>
  <c r="L233"/>
  <c r="M232"/>
  <c r="L232"/>
  <c r="M231"/>
  <c r="L231"/>
  <c r="M230"/>
  <c r="L230"/>
  <c r="M229"/>
  <c r="L229"/>
  <c r="M228"/>
  <c r="L228"/>
  <c r="M227"/>
  <c r="L227"/>
  <c r="M226"/>
  <c r="L226"/>
  <c r="M225"/>
  <c r="L225"/>
  <c r="M224"/>
  <c r="L224"/>
  <c r="M223"/>
  <c r="L223"/>
  <c r="M222"/>
  <c r="L222"/>
  <c r="M221"/>
  <c r="L221"/>
  <c r="M220"/>
  <c r="L220"/>
  <c r="M219"/>
  <c r="L219"/>
  <c r="M218"/>
  <c r="L218"/>
  <c r="M217"/>
  <c r="L217"/>
  <c r="M216"/>
  <c r="L216"/>
  <c r="M215"/>
  <c r="L215"/>
  <c r="M214"/>
  <c r="L214"/>
  <c r="M213"/>
  <c r="L213"/>
  <c r="M212"/>
  <c r="L212"/>
  <c r="M211"/>
  <c r="L211"/>
  <c r="M210"/>
  <c r="L210"/>
  <c r="M209"/>
  <c r="L209"/>
  <c r="M208"/>
  <c r="L208"/>
  <c r="M207"/>
  <c r="L207"/>
  <c r="M206"/>
  <c r="L206"/>
  <c r="M205"/>
  <c r="L205"/>
  <c r="M204"/>
  <c r="L204"/>
  <c r="M203"/>
  <c r="L203"/>
  <c r="M202"/>
  <c r="L202"/>
  <c r="M201"/>
  <c r="L201"/>
  <c r="M200"/>
  <c r="L200"/>
  <c r="M199"/>
  <c r="L199"/>
  <c r="M198"/>
  <c r="L198"/>
  <c r="M197"/>
  <c r="L197"/>
  <c r="M196"/>
  <c r="L196"/>
  <c r="M195"/>
  <c r="L195"/>
  <c r="M194"/>
  <c r="L194"/>
  <c r="M193"/>
  <c r="L193"/>
  <c r="M192"/>
  <c r="L192"/>
  <c r="M191"/>
  <c r="L191"/>
  <c r="M190"/>
  <c r="L190"/>
  <c r="M189"/>
  <c r="L189"/>
  <c r="M188"/>
  <c r="L188"/>
  <c r="M187"/>
  <c r="L187"/>
  <c r="M186"/>
  <c r="L186"/>
  <c r="M185"/>
  <c r="L185"/>
  <c r="M184"/>
  <c r="L184"/>
  <c r="M183"/>
  <c r="L183"/>
  <c r="M182"/>
  <c r="L182"/>
  <c r="M181"/>
  <c r="L181"/>
  <c r="M180"/>
  <c r="L180"/>
  <c r="M179"/>
  <c r="L179"/>
  <c r="M178"/>
  <c r="L178"/>
  <c r="M177"/>
  <c r="L177"/>
  <c r="M176"/>
  <c r="L176"/>
  <c r="M175"/>
  <c r="L175"/>
  <c r="M174"/>
  <c r="L174"/>
  <c r="M173"/>
  <c r="L173"/>
  <c r="M172"/>
  <c r="L172"/>
  <c r="M171"/>
  <c r="L171"/>
  <c r="M170"/>
  <c r="L170"/>
  <c r="M169"/>
  <c r="L169"/>
  <c r="M168"/>
  <c r="L168"/>
  <c r="M167"/>
  <c r="L167"/>
  <c r="M166"/>
  <c r="L166"/>
  <c r="M165"/>
  <c r="L165"/>
  <c r="M164"/>
  <c r="L164"/>
  <c r="M163"/>
  <c r="L163"/>
  <c r="M162"/>
  <c r="L162"/>
  <c r="M160"/>
  <c r="L160"/>
  <c r="M159"/>
  <c r="L159"/>
  <c r="M158"/>
  <c r="L158"/>
  <c r="M157"/>
  <c r="L157"/>
  <c r="M156"/>
  <c r="L156"/>
  <c r="M155"/>
  <c r="L155"/>
  <c r="M154"/>
  <c r="L154"/>
  <c r="M153"/>
  <c r="L153"/>
  <c r="M152"/>
  <c r="L152"/>
  <c r="M151"/>
  <c r="L151"/>
  <c r="M150"/>
  <c r="L150"/>
  <c r="M149"/>
  <c r="L149"/>
  <c r="M148"/>
  <c r="L148"/>
  <c r="M147"/>
  <c r="L147"/>
  <c r="M146"/>
  <c r="L146"/>
  <c r="M145"/>
  <c r="L145"/>
  <c r="M144"/>
  <c r="L144"/>
  <c r="M143"/>
  <c r="L143"/>
  <c r="M142"/>
  <c r="L142"/>
  <c r="M141"/>
  <c r="L141"/>
  <c r="M140"/>
  <c r="L140"/>
  <c r="M139"/>
  <c r="L139"/>
  <c r="M138"/>
  <c r="L138"/>
  <c r="M137"/>
  <c r="L137"/>
  <c r="M136"/>
  <c r="L136"/>
  <c r="M135"/>
  <c r="L135"/>
  <c r="M134"/>
  <c r="L134"/>
  <c r="M133"/>
  <c r="L133"/>
  <c r="M131"/>
  <c r="L131"/>
  <c r="M130"/>
  <c r="L130"/>
  <c r="M129"/>
  <c r="L129"/>
  <c r="M128"/>
  <c r="L128"/>
  <c r="M127"/>
  <c r="L127"/>
  <c r="M126"/>
  <c r="L126"/>
  <c r="M125"/>
  <c r="L125"/>
  <c r="M124"/>
  <c r="L124"/>
  <c r="M123"/>
  <c r="L123"/>
  <c r="M122"/>
  <c r="L122"/>
  <c r="M121"/>
  <c r="L121"/>
  <c r="M120"/>
  <c r="L120"/>
  <c r="M119"/>
  <c r="L119"/>
  <c r="M118"/>
  <c r="L118"/>
  <c r="M117"/>
  <c r="L117"/>
  <c r="M116"/>
  <c r="L116"/>
  <c r="M115"/>
  <c r="L115"/>
  <c r="M114"/>
  <c r="L114"/>
  <c r="M113"/>
  <c r="L113"/>
  <c r="M112"/>
  <c r="L112"/>
  <c r="M111"/>
  <c r="L111"/>
  <c r="M110"/>
  <c r="L110"/>
  <c r="M109"/>
  <c r="L109"/>
  <c r="M108"/>
  <c r="L108"/>
  <c r="M107"/>
  <c r="L107"/>
  <c r="M106"/>
  <c r="L106"/>
  <c r="M105"/>
  <c r="L105"/>
  <c r="M104"/>
  <c r="L104"/>
  <c r="M103"/>
  <c r="L103"/>
  <c r="M102"/>
  <c r="L102"/>
  <c r="M101"/>
  <c r="L101"/>
  <c r="M100"/>
  <c r="L100"/>
  <c r="M99"/>
  <c r="L99"/>
  <c r="M98"/>
  <c r="L98"/>
  <c r="M97"/>
  <c r="L97"/>
  <c r="M96"/>
  <c r="L96"/>
  <c r="M95"/>
  <c r="L95"/>
  <c r="M94"/>
  <c r="L94"/>
  <c r="M93"/>
  <c r="L93"/>
  <c r="M92"/>
  <c r="L92"/>
  <c r="M91"/>
  <c r="L91"/>
  <c r="M89"/>
  <c r="L89"/>
  <c r="M88"/>
  <c r="L88"/>
  <c r="M87"/>
  <c r="L87"/>
  <c r="M86"/>
  <c r="L86"/>
  <c r="M85"/>
  <c r="L85"/>
  <c r="M84"/>
  <c r="L84"/>
  <c r="M83"/>
  <c r="L83"/>
  <c r="M82"/>
  <c r="L82"/>
  <c r="M81"/>
  <c r="L81"/>
  <c r="M80"/>
  <c r="L80"/>
  <c r="M79"/>
  <c r="L79"/>
  <c r="M78"/>
  <c r="L78"/>
  <c r="M77"/>
  <c r="L77"/>
  <c r="M76"/>
  <c r="L76"/>
  <c r="M75"/>
  <c r="L75"/>
  <c r="M74"/>
  <c r="L74"/>
  <c r="M73"/>
  <c r="L73"/>
  <c r="M72"/>
  <c r="L72"/>
  <c r="M71"/>
  <c r="L71"/>
  <c r="M70"/>
  <c r="L70"/>
  <c r="M69"/>
  <c r="L69"/>
  <c r="M68"/>
  <c r="L68"/>
  <c r="M67"/>
  <c r="L67"/>
  <c r="M66"/>
  <c r="L66"/>
  <c r="M65"/>
  <c r="L65"/>
  <c r="M64"/>
  <c r="L64"/>
  <c r="M63"/>
  <c r="L63"/>
  <c r="M62"/>
  <c r="L62"/>
  <c r="M61"/>
  <c r="L61"/>
  <c r="M60"/>
  <c r="L60"/>
  <c r="M59"/>
  <c r="L59"/>
  <c r="M58"/>
  <c r="L58"/>
  <c r="M57"/>
  <c r="L57"/>
  <c r="M56"/>
  <c r="L56"/>
  <c r="M55"/>
  <c r="L55"/>
  <c r="M54"/>
  <c r="L54"/>
  <c r="M53"/>
  <c r="L53"/>
  <c r="M52"/>
  <c r="L52"/>
  <c r="M51"/>
  <c r="L51"/>
  <c r="M50"/>
  <c r="L50"/>
  <c r="M49"/>
  <c r="L49"/>
  <c r="M48"/>
  <c r="L48"/>
  <c r="M47"/>
  <c r="L47"/>
  <c r="M46"/>
  <c r="L46"/>
  <c r="M45"/>
  <c r="L45"/>
  <c r="M44"/>
  <c r="L44"/>
  <c r="M43"/>
  <c r="L43"/>
  <c r="M42"/>
  <c r="L42"/>
  <c r="M41"/>
  <c r="L41"/>
  <c r="M40"/>
  <c r="L40"/>
  <c r="M39"/>
  <c r="L39"/>
  <c r="M38"/>
  <c r="L38"/>
  <c r="M37"/>
  <c r="L37"/>
  <c r="M36"/>
  <c r="L36"/>
  <c r="M35"/>
  <c r="L35"/>
  <c r="M34"/>
  <c r="L34"/>
  <c r="M33"/>
  <c r="L33"/>
  <c r="M32"/>
  <c r="L32"/>
  <c r="M31"/>
  <c r="L31"/>
  <c r="M30"/>
  <c r="L30"/>
  <c r="M29"/>
  <c r="L29"/>
  <c r="M27"/>
  <c r="L27"/>
  <c r="M26"/>
  <c r="L26"/>
  <c r="M25"/>
  <c r="L25"/>
  <c r="M24"/>
  <c r="L24"/>
  <c r="M23"/>
  <c r="L23"/>
  <c r="M22"/>
  <c r="L22"/>
  <c r="M21"/>
  <c r="L21"/>
  <c r="M20"/>
  <c r="L20"/>
  <c r="M19"/>
  <c r="L19"/>
  <c r="M18"/>
  <c r="L18"/>
  <c r="M17"/>
  <c r="L17"/>
  <c r="M16"/>
  <c r="L16"/>
  <c r="M15"/>
  <c r="L15"/>
  <c r="M14"/>
  <c r="L14"/>
  <c r="M13"/>
  <c r="L13"/>
  <c r="M12"/>
  <c r="L12"/>
  <c r="M11"/>
  <c r="L11"/>
  <c r="M10"/>
  <c r="L10"/>
  <c r="M9"/>
  <c r="L9"/>
  <c r="M8"/>
  <c r="L8"/>
  <c r="M7"/>
  <c r="L7"/>
  <c r="M6"/>
  <c r="L6"/>
  <c r="M5"/>
  <c r="L5"/>
  <c r="M4"/>
  <c r="L4"/>
  <c r="M3"/>
  <c r="L3"/>
  <c r="M2"/>
  <c r="L2"/>
  <c r="M2" i="2" l="1"/>
  <c r="M3"/>
  <c r="M4"/>
  <c r="M7"/>
  <c r="M8"/>
  <c r="M11"/>
  <c r="M12"/>
  <c r="M15"/>
  <c r="M16"/>
  <c r="M19"/>
  <c r="M20"/>
  <c r="M23"/>
  <c r="M24"/>
  <c r="M27"/>
  <c r="M28"/>
  <c r="M31"/>
  <c r="M32"/>
  <c r="M35"/>
  <c r="M36"/>
  <c r="M39"/>
  <c r="M40"/>
  <c r="M43"/>
  <c r="M44"/>
  <c r="M47"/>
  <c r="M48"/>
  <c r="M51"/>
  <c r="M52"/>
  <c r="M55"/>
  <c r="M56"/>
  <c r="M59"/>
  <c r="M60"/>
  <c r="M63"/>
  <c r="M64"/>
  <c r="M67"/>
  <c r="M68"/>
  <c r="M71"/>
  <c r="M72"/>
  <c r="M75"/>
  <c r="M76"/>
  <c r="M79"/>
  <c r="M80"/>
  <c r="M83"/>
  <c r="M84"/>
  <c r="M87"/>
  <c r="M88"/>
  <c r="M91"/>
  <c r="M92"/>
  <c r="M95"/>
  <c r="M96"/>
  <c r="M99"/>
  <c r="M100"/>
  <c r="M103"/>
  <c r="M104"/>
  <c r="M107"/>
  <c r="M108"/>
  <c r="M111"/>
  <c r="M112"/>
  <c r="M115"/>
  <c r="M116"/>
  <c r="M119"/>
  <c r="M120"/>
  <c r="M123"/>
  <c r="M124"/>
  <c r="M127"/>
  <c r="M128"/>
  <c r="M131"/>
  <c r="M132"/>
  <c r="M135"/>
  <c r="M136"/>
  <c r="M139"/>
  <c r="M140"/>
  <c r="M143"/>
  <c r="M144"/>
  <c r="M146"/>
  <c r="M147"/>
  <c r="M150"/>
  <c r="M151"/>
  <c r="M154"/>
  <c r="M155"/>
  <c r="M158"/>
  <c r="M159"/>
  <c r="M162"/>
  <c r="M163"/>
  <c r="M166"/>
  <c r="M167"/>
  <c r="M170"/>
  <c r="M171"/>
  <c r="M174"/>
  <c r="M175"/>
  <c r="M178"/>
  <c r="M179"/>
  <c r="M182"/>
  <c r="M183"/>
  <c r="M186"/>
  <c r="M187"/>
  <c r="M190"/>
  <c r="M191"/>
  <c r="M194"/>
  <c r="M195"/>
  <c r="M198"/>
  <c r="M199"/>
  <c r="M202"/>
  <c r="M203"/>
  <c r="N4"/>
  <c r="N5"/>
  <c r="N8"/>
  <c r="N9"/>
  <c r="N12"/>
  <c r="N13"/>
  <c r="N16"/>
  <c r="N17"/>
  <c r="N20"/>
  <c r="N21"/>
  <c r="N24"/>
  <c r="N25"/>
  <c r="N28"/>
  <c r="N29"/>
  <c r="N32"/>
  <c r="N33"/>
  <c r="N36"/>
  <c r="N37"/>
  <c r="N40"/>
  <c r="N41"/>
  <c r="N44"/>
  <c r="N45"/>
  <c r="N48"/>
  <c r="N49"/>
  <c r="N52"/>
  <c r="N53"/>
  <c r="N56"/>
  <c r="N57"/>
  <c r="N60"/>
  <c r="N61"/>
  <c r="N64"/>
  <c r="N65"/>
  <c r="N68"/>
  <c r="N69"/>
  <c r="N72"/>
  <c r="N73"/>
  <c r="N76"/>
  <c r="N77"/>
  <c r="N80"/>
  <c r="N81"/>
  <c r="N84"/>
  <c r="N85"/>
  <c r="N88"/>
  <c r="N89"/>
  <c r="N92"/>
  <c r="N93"/>
  <c r="N96"/>
  <c r="N97"/>
  <c r="N100"/>
  <c r="N101"/>
  <c r="N104"/>
  <c r="N105"/>
  <c r="N108"/>
  <c r="N109"/>
  <c r="N112"/>
  <c r="N113"/>
  <c r="N116"/>
  <c r="N117"/>
  <c r="N120"/>
  <c r="N121"/>
  <c r="N124"/>
  <c r="N125"/>
  <c r="N128"/>
  <c r="N129"/>
  <c r="N132"/>
  <c r="N133"/>
  <c r="N136"/>
  <c r="N137"/>
  <c r="N140"/>
  <c r="N141"/>
  <c r="N144"/>
  <c r="N145"/>
  <c r="N147"/>
  <c r="N148"/>
  <c r="N151"/>
  <c r="N152"/>
  <c r="N155"/>
  <c r="N156"/>
  <c r="N159"/>
  <c r="N160"/>
  <c r="N163"/>
  <c r="N164"/>
  <c r="N167"/>
  <c r="N168"/>
  <c r="N171"/>
  <c r="N172"/>
  <c r="N175"/>
  <c r="N176"/>
  <c r="N179"/>
  <c r="N180"/>
  <c r="N183"/>
  <c r="N184"/>
  <c r="N187"/>
  <c r="N188"/>
  <c r="N191"/>
  <c r="N192"/>
  <c r="N195"/>
  <c r="N196"/>
  <c r="N199"/>
  <c r="N200"/>
  <c r="N203"/>
  <c r="N204"/>
  <c r="P2"/>
  <c r="Q2" s="1"/>
  <c r="P3"/>
  <c r="Q3" s="1"/>
  <c r="M5"/>
  <c r="Q5" s="1"/>
  <c r="N6"/>
  <c r="S6" s="1"/>
  <c r="P7"/>
  <c r="M9"/>
  <c r="Q9" s="1"/>
  <c r="N10"/>
  <c r="S10" s="1"/>
  <c r="P11"/>
  <c r="Q11" s="1"/>
  <c r="M13"/>
  <c r="Q13" s="1"/>
  <c r="N14"/>
  <c r="S14" s="1"/>
  <c r="P15"/>
  <c r="M17"/>
  <c r="Q17" s="1"/>
  <c r="N18"/>
  <c r="S18" s="1"/>
  <c r="P19"/>
  <c r="Q19" s="1"/>
  <c r="M21"/>
  <c r="Q21" s="1"/>
  <c r="N22"/>
  <c r="S22" s="1"/>
  <c r="P23"/>
  <c r="M25"/>
  <c r="Q25" s="1"/>
  <c r="N26"/>
  <c r="S26" s="1"/>
  <c r="P27"/>
  <c r="Q27" s="1"/>
  <c r="M29"/>
  <c r="Q29" s="1"/>
  <c r="N30"/>
  <c r="S30" s="1"/>
  <c r="P31"/>
  <c r="M33"/>
  <c r="Q33" s="1"/>
  <c r="N34"/>
  <c r="P35"/>
  <c r="Q35" s="1"/>
  <c r="M37"/>
  <c r="Q37" s="1"/>
  <c r="N38"/>
  <c r="P39"/>
  <c r="M41"/>
  <c r="Q41" s="1"/>
  <c r="N42"/>
  <c r="P43"/>
  <c r="Q43" s="1"/>
  <c r="M45"/>
  <c r="Q45" s="1"/>
  <c r="N46"/>
  <c r="P47"/>
  <c r="M49"/>
  <c r="Q49" s="1"/>
  <c r="N50"/>
  <c r="P51"/>
  <c r="Q51" s="1"/>
  <c r="M53"/>
  <c r="Q53" s="1"/>
  <c r="N54"/>
  <c r="P55"/>
  <c r="M57"/>
  <c r="Q57" s="1"/>
  <c r="N58"/>
  <c r="P59"/>
  <c r="Q59" s="1"/>
  <c r="M61"/>
  <c r="Q61" s="1"/>
  <c r="N62"/>
  <c r="P63"/>
  <c r="M65"/>
  <c r="Q65" s="1"/>
  <c r="N66"/>
  <c r="P67"/>
  <c r="Q67" s="1"/>
  <c r="M69"/>
  <c r="Q69" s="1"/>
  <c r="N70"/>
  <c r="P71"/>
  <c r="M73"/>
  <c r="Q73" s="1"/>
  <c r="N74"/>
  <c r="S74" s="1"/>
  <c r="P75"/>
  <c r="Q75" s="1"/>
  <c r="M77"/>
  <c r="Q77" s="1"/>
  <c r="N78"/>
  <c r="P79"/>
  <c r="M81"/>
  <c r="Q81" s="1"/>
  <c r="N82"/>
  <c r="S82" s="1"/>
  <c r="P83"/>
  <c r="Q83" s="1"/>
  <c r="M85"/>
  <c r="Q85" s="1"/>
  <c r="N86"/>
  <c r="P87"/>
  <c r="M89"/>
  <c r="Q89" s="1"/>
  <c r="N90"/>
  <c r="S90" s="1"/>
  <c r="P91"/>
  <c r="Q91" s="1"/>
  <c r="M93"/>
  <c r="Q93" s="1"/>
  <c r="N94"/>
  <c r="P95"/>
  <c r="M97"/>
  <c r="Q97" s="1"/>
  <c r="N98"/>
  <c r="S98" s="1"/>
  <c r="P99"/>
  <c r="Q99" s="1"/>
  <c r="M101"/>
  <c r="Q101" s="1"/>
  <c r="N102"/>
  <c r="P103"/>
  <c r="M105"/>
  <c r="Q105" s="1"/>
  <c r="N106"/>
  <c r="S106" s="1"/>
  <c r="P107"/>
  <c r="Q107" s="1"/>
  <c r="M109"/>
  <c r="Q109" s="1"/>
  <c r="N110"/>
  <c r="P111"/>
  <c r="Q111" s="1"/>
  <c r="M113"/>
  <c r="Q113" s="1"/>
  <c r="N114"/>
  <c r="S114" s="1"/>
  <c r="P115"/>
  <c r="Q115" s="1"/>
  <c r="M117"/>
  <c r="Q117" s="1"/>
  <c r="N118"/>
  <c r="P119"/>
  <c r="M121"/>
  <c r="Q121" s="1"/>
  <c r="N122"/>
  <c r="S122" s="1"/>
  <c r="P123"/>
  <c r="Q123" s="1"/>
  <c r="M125"/>
  <c r="Q125" s="1"/>
  <c r="N126"/>
  <c r="P127"/>
  <c r="Q127" s="1"/>
  <c r="M129"/>
  <c r="Q129" s="1"/>
  <c r="N130"/>
  <c r="S130" s="1"/>
  <c r="P131"/>
  <c r="Q131" s="1"/>
  <c r="M133"/>
  <c r="Q133" s="1"/>
  <c r="N134"/>
  <c r="P135"/>
  <c r="M137"/>
  <c r="Q137" s="1"/>
  <c r="N138"/>
  <c r="S138" s="1"/>
  <c r="P139"/>
  <c r="Q139" s="1"/>
  <c r="M141"/>
  <c r="Q141" s="1"/>
  <c r="N142"/>
  <c r="P143"/>
  <c r="Q143" s="1"/>
  <c r="M145"/>
  <c r="Q145" s="1"/>
  <c r="P146"/>
  <c r="Q146" s="1"/>
  <c r="M148"/>
  <c r="Q148" s="1"/>
  <c r="N149"/>
  <c r="P150"/>
  <c r="Q150" s="1"/>
  <c r="M152"/>
  <c r="Q152" s="1"/>
  <c r="N153"/>
  <c r="S153" s="1"/>
  <c r="P154"/>
  <c r="Q154" s="1"/>
  <c r="M156"/>
  <c r="Q156" s="1"/>
  <c r="N157"/>
  <c r="P158"/>
  <c r="M160"/>
  <c r="Q160" s="1"/>
  <c r="N161"/>
  <c r="S161" s="1"/>
  <c r="P162"/>
  <c r="Q162" s="1"/>
  <c r="M164"/>
  <c r="Q164" s="1"/>
  <c r="N165"/>
  <c r="P166"/>
  <c r="Q166" s="1"/>
  <c r="M168"/>
  <c r="Q168" s="1"/>
  <c r="N169"/>
  <c r="P170"/>
  <c r="Q170" s="1"/>
  <c r="M172"/>
  <c r="Q172" s="1"/>
  <c r="N173"/>
  <c r="P174"/>
  <c r="M176"/>
  <c r="Q176" s="1"/>
  <c r="N177"/>
  <c r="P178"/>
  <c r="Q178" s="1"/>
  <c r="M180"/>
  <c r="Q180" s="1"/>
  <c r="N181"/>
  <c r="P182"/>
  <c r="Q182" s="1"/>
  <c r="M184"/>
  <c r="Q184" s="1"/>
  <c r="N185"/>
  <c r="P186"/>
  <c r="Q186" s="1"/>
  <c r="M188"/>
  <c r="Q188" s="1"/>
  <c r="N189"/>
  <c r="S189" s="1"/>
  <c r="P190"/>
  <c r="M192"/>
  <c r="Q192" s="1"/>
  <c r="N193"/>
  <c r="P194"/>
  <c r="Q194" s="1"/>
  <c r="M196"/>
  <c r="Q196" s="1"/>
  <c r="N197"/>
  <c r="S197" s="1"/>
  <c r="P198"/>
  <c r="Q198" s="1"/>
  <c r="M200"/>
  <c r="Q200" s="1"/>
  <c r="N201"/>
  <c r="S201" s="1"/>
  <c r="P202"/>
  <c r="Q202" s="1"/>
  <c r="M204"/>
  <c r="Q204" s="1"/>
  <c r="N205"/>
  <c r="S205" s="1"/>
  <c r="P206"/>
  <c r="Q206" s="1"/>
  <c r="R5"/>
  <c r="R9"/>
  <c r="R13"/>
  <c r="R17"/>
  <c r="R21"/>
  <c r="R25"/>
  <c r="R29"/>
  <c r="R33"/>
  <c r="R37"/>
  <c r="S37" s="1"/>
  <c r="R41"/>
  <c r="S41" s="1"/>
  <c r="R45"/>
  <c r="S45" s="1"/>
  <c r="R49"/>
  <c r="R53"/>
  <c r="S53" s="1"/>
  <c r="R57"/>
  <c r="S57" s="1"/>
  <c r="R61"/>
  <c r="S61" s="1"/>
  <c r="R65"/>
  <c r="R69"/>
  <c r="S69" s="1"/>
  <c r="R73"/>
  <c r="S73" s="1"/>
  <c r="R77"/>
  <c r="S77" s="1"/>
  <c r="R81"/>
  <c r="R85"/>
  <c r="S85" s="1"/>
  <c r="R89"/>
  <c r="S89" s="1"/>
  <c r="R93"/>
  <c r="S93" s="1"/>
  <c r="R97"/>
  <c r="R101"/>
  <c r="S101" s="1"/>
  <c r="R105"/>
  <c r="S105" s="1"/>
  <c r="R109"/>
  <c r="S109" s="1"/>
  <c r="R113"/>
  <c r="R117"/>
  <c r="S117" s="1"/>
  <c r="R121"/>
  <c r="S121" s="1"/>
  <c r="R125"/>
  <c r="S125" s="1"/>
  <c r="R129"/>
  <c r="R133"/>
  <c r="S133" s="1"/>
  <c r="R137"/>
  <c r="S137" s="1"/>
  <c r="R141"/>
  <c r="S141" s="1"/>
  <c r="R145"/>
  <c r="R148"/>
  <c r="S148" s="1"/>
  <c r="R152"/>
  <c r="S152" s="1"/>
  <c r="R156"/>
  <c r="R160"/>
  <c r="R164"/>
  <c r="S164" s="1"/>
  <c r="R168"/>
  <c r="R172"/>
  <c r="R176"/>
  <c r="R180"/>
  <c r="R184"/>
  <c r="S184" s="1"/>
  <c r="R188"/>
  <c r="S188" s="1"/>
  <c r="R192"/>
  <c r="R196"/>
  <c r="S196" s="1"/>
  <c r="R200"/>
  <c r="S200" s="1"/>
  <c r="R204"/>
  <c r="N2"/>
  <c r="S2" s="1"/>
  <c r="N3"/>
  <c r="P4"/>
  <c r="Q4" s="1"/>
  <c r="M6"/>
  <c r="Q6" s="1"/>
  <c r="N7"/>
  <c r="P8"/>
  <c r="Q8" s="1"/>
  <c r="M10"/>
  <c r="Q10" s="1"/>
  <c r="N11"/>
  <c r="S11" s="1"/>
  <c r="P12"/>
  <c r="M14"/>
  <c r="Q14" s="1"/>
  <c r="N15"/>
  <c r="P16"/>
  <c r="Q16" s="1"/>
  <c r="M18"/>
  <c r="Q18" s="1"/>
  <c r="N19"/>
  <c r="S19" s="1"/>
  <c r="P20"/>
  <c r="Q20" s="1"/>
  <c r="M22"/>
  <c r="Q22" s="1"/>
  <c r="N23"/>
  <c r="S23" s="1"/>
  <c r="P24"/>
  <c r="Q24" s="1"/>
  <c r="M26"/>
  <c r="Q26" s="1"/>
  <c r="N27"/>
  <c r="S27" s="1"/>
  <c r="P28"/>
  <c r="M30"/>
  <c r="Q30" s="1"/>
  <c r="N31"/>
  <c r="P32"/>
  <c r="Q32" s="1"/>
  <c r="M34"/>
  <c r="Q34" s="1"/>
  <c r="N35"/>
  <c r="S35" s="1"/>
  <c r="P36"/>
  <c r="Q36" s="1"/>
  <c r="M38"/>
  <c r="Q38" s="1"/>
  <c r="N39"/>
  <c r="S39" s="1"/>
  <c r="P40"/>
  <c r="Q40" s="1"/>
  <c r="M42"/>
  <c r="Q42" s="1"/>
  <c r="N43"/>
  <c r="P44"/>
  <c r="M46"/>
  <c r="Q46" s="1"/>
  <c r="N47"/>
  <c r="S47" s="1"/>
  <c r="P48"/>
  <c r="Q48" s="1"/>
  <c r="M50"/>
  <c r="Q50" s="1"/>
  <c r="N51"/>
  <c r="S51" s="1"/>
  <c r="P52"/>
  <c r="Q52" s="1"/>
  <c r="M54"/>
  <c r="Q54" s="1"/>
  <c r="N55"/>
  <c r="S55" s="1"/>
  <c r="P56"/>
  <c r="Q56" s="1"/>
  <c r="M58"/>
  <c r="Q58" s="1"/>
  <c r="N59"/>
  <c r="S59" s="1"/>
  <c r="P60"/>
  <c r="M62"/>
  <c r="Q62" s="1"/>
  <c r="N63"/>
  <c r="S63" s="1"/>
  <c r="P64"/>
  <c r="Q64" s="1"/>
  <c r="M66"/>
  <c r="Q66" s="1"/>
  <c r="N67"/>
  <c r="S67" s="1"/>
  <c r="P68"/>
  <c r="Q68" s="1"/>
  <c r="M70"/>
  <c r="Q70" s="1"/>
  <c r="N71"/>
  <c r="P72"/>
  <c r="Q72" s="1"/>
  <c r="M74"/>
  <c r="Q74" s="1"/>
  <c r="N75"/>
  <c r="S75" s="1"/>
  <c r="P76"/>
  <c r="M78"/>
  <c r="Q78" s="1"/>
  <c r="N79"/>
  <c r="S79" s="1"/>
  <c r="P80"/>
  <c r="Q80" s="1"/>
  <c r="M82"/>
  <c r="Q82" s="1"/>
  <c r="N83"/>
  <c r="S83" s="1"/>
  <c r="P84"/>
  <c r="Q84" s="1"/>
  <c r="M86"/>
  <c r="Q86" s="1"/>
  <c r="N87"/>
  <c r="S87" s="1"/>
  <c r="P88"/>
  <c r="Q88" s="1"/>
  <c r="M90"/>
  <c r="Q90" s="1"/>
  <c r="N91"/>
  <c r="S91" s="1"/>
  <c r="P92"/>
  <c r="Q92" s="1"/>
  <c r="M94"/>
  <c r="Q94" s="1"/>
  <c r="N95"/>
  <c r="S95" s="1"/>
  <c r="P96"/>
  <c r="Q96" s="1"/>
  <c r="M98"/>
  <c r="Q98" s="1"/>
  <c r="N99"/>
  <c r="S99" s="1"/>
  <c r="P100"/>
  <c r="Q100" s="1"/>
  <c r="M102"/>
  <c r="Q102" s="1"/>
  <c r="N103"/>
  <c r="S103" s="1"/>
  <c r="P104"/>
  <c r="Q104" s="1"/>
  <c r="M106"/>
  <c r="Q106" s="1"/>
  <c r="N107"/>
  <c r="S107" s="1"/>
  <c r="P108"/>
  <c r="Q108" s="1"/>
  <c r="M110"/>
  <c r="Q110" s="1"/>
  <c r="N111"/>
  <c r="S111" s="1"/>
  <c r="P112"/>
  <c r="Q112" s="1"/>
  <c r="M114"/>
  <c r="Q114" s="1"/>
  <c r="N115"/>
  <c r="S115" s="1"/>
  <c r="P116"/>
  <c r="Q116" s="1"/>
  <c r="M118"/>
  <c r="Q118" s="1"/>
  <c r="N119"/>
  <c r="S119" s="1"/>
  <c r="P120"/>
  <c r="Q120" s="1"/>
  <c r="M122"/>
  <c r="Q122" s="1"/>
  <c r="N123"/>
  <c r="S123" s="1"/>
  <c r="P124"/>
  <c r="Q124" s="1"/>
  <c r="M126"/>
  <c r="Q126" s="1"/>
  <c r="N127"/>
  <c r="S127" s="1"/>
  <c r="P128"/>
  <c r="Q128" s="1"/>
  <c r="M130"/>
  <c r="Q130" s="1"/>
  <c r="N131"/>
  <c r="S131" s="1"/>
  <c r="P132"/>
  <c r="Q132" s="1"/>
  <c r="M134"/>
  <c r="Q134" s="1"/>
  <c r="N135"/>
  <c r="S135" s="1"/>
  <c r="P136"/>
  <c r="Q136" s="1"/>
  <c r="M138"/>
  <c r="Q138" s="1"/>
  <c r="N139"/>
  <c r="S139" s="1"/>
  <c r="P140"/>
  <c r="Q140" s="1"/>
  <c r="M142"/>
  <c r="Q142" s="1"/>
  <c r="N143"/>
  <c r="S143" s="1"/>
  <c r="P144"/>
  <c r="Q144" s="1"/>
  <c r="N146"/>
  <c r="S146" s="1"/>
  <c r="P147"/>
  <c r="Q147" s="1"/>
  <c r="M149"/>
  <c r="Q149" s="1"/>
  <c r="N150"/>
  <c r="S150" s="1"/>
  <c r="P151"/>
  <c r="Q151" s="1"/>
  <c r="M153"/>
  <c r="Q153" s="1"/>
  <c r="N154"/>
  <c r="S154" s="1"/>
  <c r="P155"/>
  <c r="Q155" s="1"/>
  <c r="M157"/>
  <c r="Q157" s="1"/>
  <c r="N158"/>
  <c r="S158" s="1"/>
  <c r="P159"/>
  <c r="Q159" s="1"/>
  <c r="M161"/>
  <c r="Q161" s="1"/>
  <c r="N162"/>
  <c r="S162" s="1"/>
  <c r="P163"/>
  <c r="Q163" s="1"/>
  <c r="M165"/>
  <c r="Q165" s="1"/>
  <c r="N166"/>
  <c r="S166" s="1"/>
  <c r="P167"/>
  <c r="Q167" s="1"/>
  <c r="M169"/>
  <c r="Q169" s="1"/>
  <c r="N170"/>
  <c r="P171"/>
  <c r="Q171" s="1"/>
  <c r="M173"/>
  <c r="Q173" s="1"/>
  <c r="N174"/>
  <c r="S174" s="1"/>
  <c r="P175"/>
  <c r="Q175" s="1"/>
  <c r="M177"/>
  <c r="Q177" s="1"/>
  <c r="N178"/>
  <c r="P179"/>
  <c r="Q179" s="1"/>
  <c r="M181"/>
  <c r="Q181" s="1"/>
  <c r="N182"/>
  <c r="P183"/>
  <c r="Q183" s="1"/>
  <c r="M185"/>
  <c r="Q185" s="1"/>
  <c r="N186"/>
  <c r="S186" s="1"/>
  <c r="P187"/>
  <c r="Q187" s="1"/>
  <c r="M189"/>
  <c r="Q189" s="1"/>
  <c r="N190"/>
  <c r="S190" s="1"/>
  <c r="P191"/>
  <c r="Q191" s="1"/>
  <c r="M193"/>
  <c r="Q193" s="1"/>
  <c r="N194"/>
  <c r="S194" s="1"/>
  <c r="P195"/>
  <c r="Q195" s="1"/>
  <c r="M197"/>
  <c r="Q197" s="1"/>
  <c r="N198"/>
  <c r="P199"/>
  <c r="Q199" s="1"/>
  <c r="M201"/>
  <c r="Q201" s="1"/>
  <c r="N202"/>
  <c r="P203"/>
  <c r="Q203" s="1"/>
  <c r="M205"/>
  <c r="Q205" s="1"/>
  <c r="N206"/>
  <c r="R4"/>
  <c r="S4" s="1"/>
  <c r="R8"/>
  <c r="S8" s="1"/>
  <c r="R12"/>
  <c r="R16"/>
  <c r="S16" s="1"/>
  <c r="R20"/>
  <c r="R24"/>
  <c r="S24" s="1"/>
  <c r="R28"/>
  <c r="R32"/>
  <c r="S32" s="1"/>
  <c r="R36"/>
  <c r="R40"/>
  <c r="S40" s="1"/>
  <c r="R44"/>
  <c r="R48"/>
  <c r="S48" s="1"/>
  <c r="R52"/>
  <c r="S52" s="1"/>
  <c r="R56"/>
  <c r="R60"/>
  <c r="R64"/>
  <c r="S64" s="1"/>
  <c r="R68"/>
  <c r="S68" s="1"/>
  <c r="R72"/>
  <c r="S72" s="1"/>
  <c r="R76"/>
  <c r="R80"/>
  <c r="R84"/>
  <c r="R88"/>
  <c r="S88" s="1"/>
  <c r="R92"/>
  <c r="R96"/>
  <c r="R100"/>
  <c r="S100" s="1"/>
  <c r="R104"/>
  <c r="S104" s="1"/>
  <c r="R108"/>
  <c r="R112"/>
  <c r="R116"/>
  <c r="R120"/>
  <c r="S120" s="1"/>
  <c r="R124"/>
  <c r="R128"/>
  <c r="R132"/>
  <c r="S132" s="1"/>
  <c r="R136"/>
  <c r="S136" s="1"/>
  <c r="R140"/>
  <c r="R144"/>
  <c r="S144" s="1"/>
  <c r="R147"/>
  <c r="R151"/>
  <c r="R155"/>
  <c r="R159"/>
  <c r="S159" s="1"/>
  <c r="R163"/>
  <c r="S163" s="1"/>
  <c r="R167"/>
  <c r="S167" s="1"/>
  <c r="R171"/>
  <c r="S171" s="1"/>
  <c r="R175"/>
  <c r="S175" s="1"/>
  <c r="R179"/>
  <c r="S179" s="1"/>
  <c r="R183"/>
  <c r="S183" s="1"/>
  <c r="R187"/>
  <c r="R191"/>
  <c r="S191" s="1"/>
  <c r="R195"/>
  <c r="R199"/>
  <c r="R203"/>
  <c r="S5"/>
  <c r="S13"/>
  <c r="S21"/>
  <c r="S29"/>
  <c r="S34"/>
  <c r="S42"/>
  <c r="S46"/>
  <c r="S54"/>
  <c r="S62"/>
  <c r="S70"/>
  <c r="S76"/>
  <c r="S84"/>
  <c r="S92"/>
  <c r="S108"/>
  <c r="S116"/>
  <c r="S124"/>
  <c r="S140"/>
  <c r="S147"/>
  <c r="S155"/>
  <c r="S168"/>
  <c r="S172"/>
  <c r="S176"/>
  <c r="S180"/>
  <c r="S185"/>
  <c r="S192"/>
  <c r="S198"/>
  <c r="S202"/>
  <c r="S206"/>
  <c r="S7"/>
  <c r="S15"/>
  <c r="S31"/>
  <c r="S36"/>
  <c r="S43"/>
  <c r="S56"/>
  <c r="S71"/>
  <c r="S78"/>
  <c r="S86"/>
  <c r="S94"/>
  <c r="S102"/>
  <c r="S110"/>
  <c r="S118"/>
  <c r="S126"/>
  <c r="S134"/>
  <c r="S142"/>
  <c r="S149"/>
  <c r="S156"/>
  <c r="S160"/>
  <c r="S165"/>
  <c r="S169"/>
  <c r="S173"/>
  <c r="S177"/>
  <c r="S181"/>
  <c r="S187"/>
  <c r="S193"/>
  <c r="S199"/>
  <c r="S203"/>
  <c r="S9"/>
  <c r="S17"/>
  <c r="S25"/>
  <c r="S38"/>
  <c r="S44"/>
  <c r="S50"/>
  <c r="S58"/>
  <c r="S66"/>
  <c r="S80"/>
  <c r="S96"/>
  <c r="S112"/>
  <c r="S128"/>
  <c r="S151"/>
  <c r="S157"/>
  <c r="S170"/>
  <c r="S178"/>
  <c r="S182"/>
  <c r="S195"/>
  <c r="S204"/>
  <c r="S3"/>
  <c r="S12" l="1"/>
  <c r="Q95"/>
  <c r="Q79"/>
  <c r="Q63"/>
  <c r="Q47"/>
  <c r="Q31"/>
  <c r="Q15"/>
  <c r="S60"/>
  <c r="S28"/>
  <c r="S20"/>
  <c r="Q135"/>
  <c r="Q119"/>
  <c r="Q103"/>
  <c r="Q87"/>
  <c r="Q71"/>
  <c r="Q55"/>
  <c r="Q39"/>
  <c r="Q23"/>
  <c r="Q7"/>
  <c r="Q76"/>
  <c r="Q60"/>
  <c r="Q44"/>
  <c r="Q28"/>
  <c r="Q12"/>
  <c r="S145"/>
  <c r="S129"/>
  <c r="S113"/>
  <c r="S97"/>
  <c r="S81"/>
  <c r="S65"/>
  <c r="S49"/>
  <c r="S33"/>
  <c r="Q190"/>
  <c r="Q174"/>
  <c r="Q158"/>
</calcChain>
</file>

<file path=xl/sharedStrings.xml><?xml version="1.0" encoding="utf-8"?>
<sst xmlns="http://schemas.openxmlformats.org/spreadsheetml/2006/main" count="12053" uniqueCount="577">
  <si>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</si>
  <si>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</si>
  <si>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</si>
  <si>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</si>
  <si>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</si>
  <si>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</si>
  <si>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</si>
  <si>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</si>
  <si>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</si>
  <si>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</si>
  <si>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F1B111075</t>
  </si>
  <si>
    <t>Sahbudin</t>
  </si>
  <si>
    <t>ES1108</t>
  </si>
  <si>
    <t>DASAR TEKNOLOGI INFORMASI</t>
  </si>
  <si>
    <t>S</t>
  </si>
  <si>
    <t>K</t>
  </si>
  <si>
    <t>F1B112042</t>
  </si>
  <si>
    <t>Muhammad Satriawan A</t>
  </si>
  <si>
    <t>B</t>
  </si>
  <si>
    <t>F1B113001</t>
  </si>
  <si>
    <t>ADAM VERGIAN B</t>
  </si>
  <si>
    <t>F1B113002</t>
  </si>
  <si>
    <t>AHMAD FAJRI AULIA</t>
  </si>
  <si>
    <t>C+</t>
  </si>
  <si>
    <t>F1B113015</t>
  </si>
  <si>
    <t>IMAM RAHMATULLAH S</t>
  </si>
  <si>
    <t>C</t>
  </si>
  <si>
    <t>F1B113016</t>
  </si>
  <si>
    <t>JUZI SYUKRAN</t>
  </si>
  <si>
    <t>F1B113021</t>
  </si>
  <si>
    <t>LALU MUHAMMAD IBNU N</t>
  </si>
  <si>
    <t>F1B113022</t>
  </si>
  <si>
    <t>LAZARUS CHRISTIAN P</t>
  </si>
  <si>
    <t>F1B113026</t>
  </si>
  <si>
    <t>MUHAMAD ARDI RAHMAN</t>
  </si>
  <si>
    <t>F1B113028</t>
  </si>
  <si>
    <t>PUGUH DWI ANTARA</t>
  </si>
  <si>
    <t>F1B113029</t>
  </si>
  <si>
    <t>RANGGA FAJAR MAULANA</t>
  </si>
  <si>
    <t>F1B113031</t>
  </si>
  <si>
    <t>SADIQ RAMADHOAN</t>
  </si>
  <si>
    <t>F1B113032</t>
  </si>
  <si>
    <t>SAMSUL AZWARI</t>
  </si>
  <si>
    <t>F1B113034</t>
  </si>
  <si>
    <t>SHIR AJIE ASMORO</t>
  </si>
  <si>
    <t>F1B114001</t>
  </si>
  <si>
    <t>ADI PURNA</t>
  </si>
  <si>
    <t>F1B114004</t>
  </si>
  <si>
    <t>AKHMAD AKHIR BULAN</t>
  </si>
  <si>
    <t>F1B114007</t>
  </si>
  <si>
    <t>BIJE SYIAPRIADI D</t>
  </si>
  <si>
    <t>B+</t>
  </si>
  <si>
    <t>F1B114014</t>
  </si>
  <si>
    <t>HAMDUN</t>
  </si>
  <si>
    <t>F1B114028</t>
  </si>
  <si>
    <t>MUHAMMAD HAJRUL MUZAQI</t>
  </si>
  <si>
    <t>F1B116001</t>
  </si>
  <si>
    <t>AHMAD MUHAJIR</t>
  </si>
  <si>
    <t>F1B116003</t>
  </si>
  <si>
    <t>DONI PRANATA</t>
  </si>
  <si>
    <t>F1B116005</t>
  </si>
  <si>
    <t>FENDY KURNIAWAN</t>
  </si>
  <si>
    <t>F1B116006</t>
  </si>
  <si>
    <t>HAQRULLOH</t>
  </si>
  <si>
    <t>F1B116008</t>
  </si>
  <si>
    <t>Harjo Sumitro</t>
  </si>
  <si>
    <t>F1B116009</t>
  </si>
  <si>
    <t>HASAN BASRI</t>
  </si>
  <si>
    <t>F1B116010</t>
  </si>
  <si>
    <t>Ihsan Syaputro</t>
  </si>
  <si>
    <t>F1B116012</t>
  </si>
  <si>
    <t>JEMMY FEBRY SUMANDA</t>
  </si>
  <si>
    <t>F1B116014</t>
  </si>
  <si>
    <t>LALU ARIF TASIBANA</t>
  </si>
  <si>
    <t>F1B116015</t>
  </si>
  <si>
    <t>LALU MAHSAR KHAIRUDI</t>
  </si>
  <si>
    <t>F1B116016</t>
  </si>
  <si>
    <t>LALU MOHAMAD FAESAL RAHMAN</t>
  </si>
  <si>
    <t>F1B116021</t>
  </si>
  <si>
    <t>NELIN AYU NIRWANA</t>
  </si>
  <si>
    <t>F1B116022</t>
  </si>
  <si>
    <t>NOVA HENDRI KURNIAWAN</t>
  </si>
  <si>
    <t>A</t>
  </si>
  <si>
    <t>F1B116024</t>
  </si>
  <si>
    <t>RENA RAMDINAWATI</t>
  </si>
  <si>
    <t>F1B116025</t>
  </si>
  <si>
    <t>RISMAN ALFIAN LUTHFI</t>
  </si>
  <si>
    <t>F1B116027</t>
  </si>
  <si>
    <t>ROYHAN ADEKA SAPUTRA</t>
  </si>
  <si>
    <t>F1B116029</t>
  </si>
  <si>
    <t>TAUFIK ZUBAIDILLAH</t>
  </si>
  <si>
    <t>F1B116030</t>
  </si>
  <si>
    <t>Yanuardi</t>
  </si>
  <si>
    <t>F1B116032</t>
  </si>
  <si>
    <t>Yuma</t>
  </si>
  <si>
    <t>F1B116033</t>
  </si>
  <si>
    <t>Yusril Bagas Sevyanto</t>
  </si>
  <si>
    <t>F1B111020</t>
  </si>
  <si>
    <t>Ghalib Mansur Thalib</t>
  </si>
  <si>
    <t>ES2124</t>
  </si>
  <si>
    <t>DASAR ELEKTRONIKA</t>
  </si>
  <si>
    <t>E</t>
  </si>
  <si>
    <t>F1B111033</t>
  </si>
  <si>
    <t>Jumait</t>
  </si>
  <si>
    <t>F1B111059</t>
  </si>
  <si>
    <t>Nukrah</t>
  </si>
  <si>
    <t>F1B112003</t>
  </si>
  <si>
    <t>Aditya Kadarusman</t>
  </si>
  <si>
    <t>F1B112006</t>
  </si>
  <si>
    <t>Arie Listianto</t>
  </si>
  <si>
    <t>F1B112011</t>
  </si>
  <si>
    <t>Cokorda Indra Darma Putra</t>
  </si>
  <si>
    <t>F1B112026</t>
  </si>
  <si>
    <t>Hartono Fiyono</t>
  </si>
  <si>
    <t>F1B112030</t>
  </si>
  <si>
    <t>I Wayan Juniartha</t>
  </si>
  <si>
    <t>D+</t>
  </si>
  <si>
    <t>F1B115002</t>
  </si>
  <si>
    <t>AGUS SUPRIADI</t>
  </si>
  <si>
    <t>F1B115008</t>
  </si>
  <si>
    <t>ESI BIRAHMATIHI</t>
  </si>
  <si>
    <t>F1B115025</t>
  </si>
  <si>
    <t>MERRY MICHELLINA</t>
  </si>
  <si>
    <t>F1B116007</t>
  </si>
  <si>
    <t>HARIS MUNANDAR</t>
  </si>
  <si>
    <t>D</t>
  </si>
  <si>
    <t>F1B116017</t>
  </si>
  <si>
    <t xml:space="preserve">MAULANA ADI PRASETIO </t>
  </si>
  <si>
    <t>F1B116020</t>
  </si>
  <si>
    <t>Muhammad Zarrin Al Mansyury</t>
  </si>
  <si>
    <t>F1B116034</t>
  </si>
  <si>
    <t>YUSRON ALIF SETIAWAN</t>
  </si>
  <si>
    <t>F1B113013</t>
  </si>
  <si>
    <t>I NENGAH AGUS YOGI A</t>
  </si>
  <si>
    <t>ES1215</t>
  </si>
  <si>
    <t>ALGORITMA DAN PEMROGRAMAN</t>
  </si>
  <si>
    <t>F1B113030</t>
  </si>
  <si>
    <t>RIZAL ADI SAPUTRA</t>
  </si>
  <si>
    <t>F1B113033</t>
  </si>
  <si>
    <t>SERLY MARLINA</t>
  </si>
  <si>
    <t>F1B114003</t>
  </si>
  <si>
    <t>AGUS SUPANDI</t>
  </si>
  <si>
    <t>F1B114018</t>
  </si>
  <si>
    <t>I GUSTI BAGUS HENDRA PRADIPTA</t>
  </si>
  <si>
    <t>F1B115013</t>
  </si>
  <si>
    <t>HERU WILUKMAN HAKIM</t>
  </si>
  <si>
    <t>F1B111036</t>
  </si>
  <si>
    <t>Lalu Anja Sukmana</t>
  </si>
  <si>
    <t>ES2123</t>
  </si>
  <si>
    <t>PRAKTIKUM PENGUKURAN BESARAN LISTRIK</t>
  </si>
  <si>
    <t>T</t>
  </si>
  <si>
    <t>F1B112004</t>
  </si>
  <si>
    <t>Alimudin Embu Tara</t>
  </si>
  <si>
    <t>ES1214</t>
  </si>
  <si>
    <t>PRAKTIKUM RANGKAIAN LOGIKA</t>
  </si>
  <si>
    <t>F1B114008</t>
  </si>
  <si>
    <t>BRIAN ABBY ARIESTYO WIRYANDITO</t>
  </si>
  <si>
    <t>F1B114010</t>
  </si>
  <si>
    <t>EKA MARTA SIOMI</t>
  </si>
  <si>
    <t>F1B114011</t>
  </si>
  <si>
    <t>ERWIN LINGGA SAPUTRA</t>
  </si>
  <si>
    <t>F1B114012</t>
  </si>
  <si>
    <t>FATHUL AZIZ</t>
  </si>
  <si>
    <t>F1B114016</t>
  </si>
  <si>
    <t>HERLAN</t>
  </si>
  <si>
    <t>F1B114022</t>
  </si>
  <si>
    <t>JUWITA ASRI</t>
  </si>
  <si>
    <t>F1B111045</t>
  </si>
  <si>
    <t>M. Nurrahman</t>
  </si>
  <si>
    <t>ES2122</t>
  </si>
  <si>
    <t>PENGUKURAN BESARAN LISTRIK</t>
  </si>
  <si>
    <t>F1B111047</t>
  </si>
  <si>
    <t>M. Sofyan Hakim</t>
  </si>
  <si>
    <t>F1B113037</t>
  </si>
  <si>
    <t>ULUL AZMI</t>
  </si>
  <si>
    <t>F1B114009</t>
  </si>
  <si>
    <t>DANA SELVIA HADISWARA</t>
  </si>
  <si>
    <t>F1B111030</t>
  </si>
  <si>
    <t>Islahudin</t>
  </si>
  <si>
    <t>ES1212</t>
  </si>
  <si>
    <t>RANGKAIAN LISTRIK I</t>
  </si>
  <si>
    <t>F1B115004</t>
  </si>
  <si>
    <t>ANDZAR QINTHARA</t>
  </si>
  <si>
    <t>F1B115006</t>
  </si>
  <si>
    <t>Bagas Akbar Aznurinto</t>
  </si>
  <si>
    <t>F1B115015</t>
  </si>
  <si>
    <t>ILMAN HIDAYAT</t>
  </si>
  <si>
    <t>F1B115032</t>
  </si>
  <si>
    <t>Muhammad Rozziq Syaputra</t>
  </si>
  <si>
    <t>ES2125</t>
  </si>
  <si>
    <t>DASAR TENAGA LISTRIK</t>
  </si>
  <si>
    <t>F1B115018</t>
  </si>
  <si>
    <t>JANUARMAN MAULANA PUTRA</t>
  </si>
  <si>
    <t>F1B115026</t>
  </si>
  <si>
    <t>MUCHAMMAD BAGIR</t>
  </si>
  <si>
    <t>F1B115034</t>
  </si>
  <si>
    <t>NAUFAL ATSAURI</t>
  </si>
  <si>
    <t>F1B111004</t>
  </si>
  <si>
    <t>Ahmadi</t>
  </si>
  <si>
    <t>ES2118</t>
  </si>
  <si>
    <t>MATEMATIKA TEKNIK I</t>
  </si>
  <si>
    <t>F1B114030</t>
  </si>
  <si>
    <t>PUTRA RAHMAT RAMADAN</t>
  </si>
  <si>
    <t>ES3140</t>
  </si>
  <si>
    <t>PRAKTIKUM SISTEM KENDALI</t>
  </si>
  <si>
    <t>F1B112018</t>
  </si>
  <si>
    <t>Edi Zulkarnain</t>
  </si>
  <si>
    <t>F1B112051</t>
  </si>
  <si>
    <t>Teguh Agamawan Putra</t>
  </si>
  <si>
    <t>F1B115005</t>
  </si>
  <si>
    <t>ANWAR SAPI I</t>
  </si>
  <si>
    <t>F1B115007</t>
  </si>
  <si>
    <t>BAIHAKI</t>
  </si>
  <si>
    <t>F1B115009</t>
  </si>
  <si>
    <t>FADILAH KURNIATI</t>
  </si>
  <si>
    <t>F1B115014</t>
  </si>
  <si>
    <t>ILHAMUDDIN</t>
  </si>
  <si>
    <t>F1B115016</t>
  </si>
  <si>
    <t>Imam Syuhada</t>
  </si>
  <si>
    <t>F1B115020</t>
  </si>
  <si>
    <t>KHAIRIL SUDARMANTO</t>
  </si>
  <si>
    <t>F1B115021</t>
  </si>
  <si>
    <t>LALU TRIAWANRI NOVIANUNG</t>
  </si>
  <si>
    <t>F1B115022</t>
  </si>
  <si>
    <t>LAZARINA MARIANA</t>
  </si>
  <si>
    <t>F1B115023</t>
  </si>
  <si>
    <t>M Habibillah</t>
  </si>
  <si>
    <t>F1B115027</t>
  </si>
  <si>
    <t>MUHAMAD NUDISANTANA RISWANDI</t>
  </si>
  <si>
    <t>F1B115029</t>
  </si>
  <si>
    <t>MUHAMAT TAUFIK</t>
  </si>
  <si>
    <t>F1B115030</t>
  </si>
  <si>
    <t>MUHAMMAD FIQRIL</t>
  </si>
  <si>
    <t>F1B115031</t>
  </si>
  <si>
    <t>Muhammad Riza Pratama S</t>
  </si>
  <si>
    <t>ES2232</t>
  </si>
  <si>
    <t>PRAKTIKUM RANGKAIAN LISTRIK</t>
  </si>
  <si>
    <t>F1B115012</t>
  </si>
  <si>
    <t>HARZA WISNU SAPUTRA</t>
  </si>
  <si>
    <t>F1B110076</t>
  </si>
  <si>
    <t>LALU ARDYPATI</t>
  </si>
  <si>
    <t>ES3139</t>
  </si>
  <si>
    <t>SISTEM KENDALI</t>
  </si>
  <si>
    <t>F1B115019</t>
  </si>
  <si>
    <t>Jumriati</t>
  </si>
  <si>
    <t>ES3138</t>
  </si>
  <si>
    <t>SISTEM MIKROPROSESOR</t>
  </si>
  <si>
    <t>ES2233</t>
  </si>
  <si>
    <t>EKONOMI TEKNIK</t>
  </si>
  <si>
    <t>F1B111077</t>
  </si>
  <si>
    <t>Samsul Hadi</t>
  </si>
  <si>
    <t>F1B112016</t>
  </si>
  <si>
    <t>Ditya Timur Aska</t>
  </si>
  <si>
    <t>F1B112025</t>
  </si>
  <si>
    <t>Haerur Rosyid</t>
  </si>
  <si>
    <t>ES2230</t>
  </si>
  <si>
    <t>PROSES STOKASTIK</t>
  </si>
  <si>
    <t>F1B114027</t>
  </si>
  <si>
    <t>MUHAMMAD FEBRIAN RAMADAN</t>
  </si>
  <si>
    <t>ES4144</t>
  </si>
  <si>
    <t>PRA TUGAS AKHIR</t>
  </si>
  <si>
    <t>F1B114006</t>
  </si>
  <si>
    <t>BAYU RAMADHAN</t>
  </si>
  <si>
    <t>F1B114017</t>
  </si>
  <si>
    <t>HIDAYATUR RAHMAN</t>
  </si>
  <si>
    <t>F1B114020</t>
  </si>
  <si>
    <t>IMRAN</t>
  </si>
  <si>
    <t>F1B114025</t>
  </si>
  <si>
    <t>MUAMMAR GHIRAHANDI HAMARIS</t>
  </si>
  <si>
    <t>F1B110010</t>
  </si>
  <si>
    <t>GHAZI AKBAR</t>
  </si>
  <si>
    <t>ES4143</t>
  </si>
  <si>
    <t>PRAKTEK KERJA LAPANGAN</t>
  </si>
  <si>
    <t>F1B110068</t>
  </si>
  <si>
    <t>SUPARLAN ARDYANSYAH</t>
  </si>
  <si>
    <t>ES4245</t>
  </si>
  <si>
    <t>KULIAH KERJA NYATA (KKN)</t>
  </si>
  <si>
    <t>ES4248</t>
  </si>
  <si>
    <t>TUGAS AKHIR</t>
  </si>
  <si>
    <t>F1B110016</t>
  </si>
  <si>
    <t>HAMDANI</t>
  </si>
  <si>
    <t>F1B110018</t>
  </si>
  <si>
    <t>SAMSUL HADI</t>
  </si>
  <si>
    <t>F1B110028</t>
  </si>
  <si>
    <t>ERWIN PRATAMA HADI</t>
  </si>
  <si>
    <t>F1B110033</t>
  </si>
  <si>
    <t>LALU MAYENDRA ISKANDAR</t>
  </si>
  <si>
    <t>F1B110034</t>
  </si>
  <si>
    <t>RADIMAS DHAWNIEL P.</t>
  </si>
  <si>
    <t>F1B110036</t>
  </si>
  <si>
    <t>M AZMI NOPIANDI</t>
  </si>
  <si>
    <t>F1B110044</t>
  </si>
  <si>
    <t>ASMIWATI</t>
  </si>
  <si>
    <t>F1B110053</t>
  </si>
  <si>
    <t>SADDAM KADIR RANGGO</t>
  </si>
  <si>
    <t>F1B110056</t>
  </si>
  <si>
    <t>GALANG SAPUTRA</t>
  </si>
  <si>
    <t>F1B110057</t>
  </si>
  <si>
    <t>YULIA PRADEWI</t>
  </si>
  <si>
    <t>F1B110062</t>
  </si>
  <si>
    <t>SINGGIH RAMADHONI</t>
  </si>
  <si>
    <t>F1B110063</t>
  </si>
  <si>
    <t>DANANG M ARIEF S P</t>
  </si>
  <si>
    <t>F1B110071</t>
  </si>
  <si>
    <t>TRENDY NIAGAWAN</t>
  </si>
  <si>
    <t>F1B110073</t>
  </si>
  <si>
    <t>MUHAMAD JOHAN K</t>
  </si>
  <si>
    <t>F1B110077</t>
  </si>
  <si>
    <t>KHAIRUL ANAM</t>
  </si>
  <si>
    <t>F1B110078</t>
  </si>
  <si>
    <t>SUPRIADI</t>
  </si>
  <si>
    <t>F1B111002</t>
  </si>
  <si>
    <t>Agus Budi Nurcahyono</t>
  </si>
  <si>
    <t>F1B111006</t>
  </si>
  <si>
    <t>Alfan Aditya</t>
  </si>
  <si>
    <t>F1B111007</t>
  </si>
  <si>
    <t>Andika Nugraha</t>
  </si>
  <si>
    <t>F1B111008</t>
  </si>
  <si>
    <t>Arif Hidayatullah</t>
  </si>
  <si>
    <t>F1B111012</t>
  </si>
  <si>
    <t>Baiq Ifi Nawal Akifi</t>
  </si>
  <si>
    <t>F1B111015</t>
  </si>
  <si>
    <t>Dwi Kurniawan P.</t>
  </si>
  <si>
    <t>F1B111019</t>
  </si>
  <si>
    <t>Fathurrahman</t>
  </si>
  <si>
    <t>F1B111021</t>
  </si>
  <si>
    <t>Haerurrozi</t>
  </si>
  <si>
    <t>F1B111024</t>
  </si>
  <si>
    <t>Hulaipi</t>
  </si>
  <si>
    <t>F1B111025</t>
  </si>
  <si>
    <t>Husnul Kahpi</t>
  </si>
  <si>
    <t>F1B111026</t>
  </si>
  <si>
    <t>I Ketut Astana</t>
  </si>
  <si>
    <t>F1B111027</t>
  </si>
  <si>
    <t>I Made Sulastra</t>
  </si>
  <si>
    <t>F1B111031</t>
  </si>
  <si>
    <t>Ita Isnawati</t>
  </si>
  <si>
    <t>F1B111034</t>
  </si>
  <si>
    <t>Jusman Alfian Sofian</t>
  </si>
  <si>
    <t>F1B111039</t>
  </si>
  <si>
    <t>Lina Usmiati</t>
  </si>
  <si>
    <t>F1B111040</t>
  </si>
  <si>
    <t>Linda Komalasari</t>
  </si>
  <si>
    <t>F1B111041</t>
  </si>
  <si>
    <t>M. Ahsanul Khaliq</t>
  </si>
  <si>
    <t>F1B111043</t>
  </si>
  <si>
    <t>M Febriansyah Fadli</t>
  </si>
  <si>
    <t>F1B111049</t>
  </si>
  <si>
    <t>Marwan</t>
  </si>
  <si>
    <t>F1B111051</t>
  </si>
  <si>
    <t xml:space="preserve">Mhd Munawir Haris </t>
  </si>
  <si>
    <t>F1B111053</t>
  </si>
  <si>
    <t>Muhammad Rifai</t>
  </si>
  <si>
    <t>F1B111063</t>
  </si>
  <si>
    <t>Prayoga Hidayat</t>
  </si>
  <si>
    <t>F1B111066</t>
  </si>
  <si>
    <t>Riastu Gunaji</t>
  </si>
  <si>
    <t>F1B111079</t>
  </si>
  <si>
    <t>Stevira Rahman</t>
  </si>
  <si>
    <t>F1B111081</t>
  </si>
  <si>
    <t>Sumiyati</t>
  </si>
  <si>
    <t>F1B111087</t>
  </si>
  <si>
    <t>Yusika Ade Prakasih</t>
  </si>
  <si>
    <t>F1B111088</t>
  </si>
  <si>
    <t>Zulkarnaemi</t>
  </si>
  <si>
    <t>F1B112001</t>
  </si>
  <si>
    <t>Ade Jodi Harmawan</t>
  </si>
  <si>
    <t>F1B112005</t>
  </si>
  <si>
    <t>Andar Apriadi</t>
  </si>
  <si>
    <t>F1B112017</t>
  </si>
  <si>
    <t>Dwinanto Romdhani</t>
  </si>
  <si>
    <t>F1B112024</t>
  </si>
  <si>
    <t>Frendhi Iman</t>
  </si>
  <si>
    <t>F1B112027</t>
  </si>
  <si>
    <t>Husni Tamrin</t>
  </si>
  <si>
    <t>F1B112031</t>
  </si>
  <si>
    <t>I Wayan Eka Sabda</t>
  </si>
  <si>
    <t>F1B112036</t>
  </si>
  <si>
    <t>F1B112037</t>
  </si>
  <si>
    <t>Muh Idris</t>
  </si>
  <si>
    <t>F1B113006</t>
  </si>
  <si>
    <t>ELAN CRIYANTO</t>
  </si>
  <si>
    <t>F1B113011</t>
  </si>
  <si>
    <t>HAFIDZOH</t>
  </si>
  <si>
    <t>F1B113024</t>
  </si>
  <si>
    <t>MARATUS SOLEHA</t>
  </si>
  <si>
    <t>ES4246</t>
  </si>
  <si>
    <t>TECHNOPRENEURSHIP</t>
  </si>
  <si>
    <t>ED3101</t>
  </si>
  <si>
    <t>MATEMATIKA DISKRIT</t>
  </si>
  <si>
    <t>ED3104</t>
  </si>
  <si>
    <t>PEMROGRAMAN BERORIENTASI OBYEK</t>
  </si>
  <si>
    <t>ED3103</t>
  </si>
  <si>
    <t>REKAYASA PERANGKAT LUNAK</t>
  </si>
  <si>
    <t>ED3102</t>
  </si>
  <si>
    <t>BASIS DATA</t>
  </si>
  <si>
    <t>ED4013</t>
  </si>
  <si>
    <t>TEKNIK NEURO FUZZY</t>
  </si>
  <si>
    <t>ED4112</t>
  </si>
  <si>
    <t>PRAKTIKUM ALGORITMA DAN STRUKTUR DATA</t>
  </si>
  <si>
    <t>ED4010</t>
  </si>
  <si>
    <t>PROYEK PERANGKAT LUNAK</t>
  </si>
  <si>
    <t>ED4111</t>
  </si>
  <si>
    <t>SISTEM INFORMASI MANAJEMEN</t>
  </si>
  <si>
    <t>ED4114</t>
  </si>
  <si>
    <t>PRAKTIKUM JARINGAN KOMPUTER</t>
  </si>
  <si>
    <t>TEKNIK INTERFACING DAN SISTEM EMBEDDED</t>
  </si>
  <si>
    <t>ED4006</t>
  </si>
  <si>
    <t>PEMROGRAMAN PLATFORM INDEPENDENT</t>
  </si>
  <si>
    <t>ED4113</t>
  </si>
  <si>
    <t>PRAKTIKUM BASIS DATA</t>
  </si>
  <si>
    <t>EC3102</t>
  </si>
  <si>
    <t>SISTEM TELEKOMUNIKASI</t>
  </si>
  <si>
    <t>EC4114</t>
  </si>
  <si>
    <t>PRAKTIKUM SISTEM TELEKOMUNIKASI</t>
  </si>
  <si>
    <t>EB3101</t>
  </si>
  <si>
    <t>RANGKAIAN ELEKTRONIKA</t>
  </si>
  <si>
    <t>EB3104</t>
  </si>
  <si>
    <t>PRAKTIKUM ELEKTRONIKA DIGITAL</t>
  </si>
  <si>
    <t>EB3103</t>
  </si>
  <si>
    <t>ELEKTRONIKA DIGITAL</t>
  </si>
  <si>
    <t>EB3102</t>
  </si>
  <si>
    <t>PRAKTIKUM RANGKAIAN ELEKTRONIKA</t>
  </si>
  <si>
    <t>EB3105</t>
  </si>
  <si>
    <t>ELEKTRONIKA ANALOG</t>
  </si>
  <si>
    <t>EB4007</t>
  </si>
  <si>
    <t>PENGOLAHAN CITRA DIGITAL</t>
  </si>
  <si>
    <t>EB4113</t>
  </si>
  <si>
    <t>PRAKTIKUM PENGOLAHAN SINYAL DIGITAL</t>
  </si>
  <si>
    <t>EB4112</t>
  </si>
  <si>
    <t>PERANCANGAN SISTEM ELEKTRONIKA</t>
  </si>
  <si>
    <t>EB4003</t>
  </si>
  <si>
    <t>JARINGAN SYARAF TIRUAN</t>
  </si>
  <si>
    <t>EB4115</t>
  </si>
  <si>
    <t>TEKNIK KENDALI DIGITAL</t>
  </si>
  <si>
    <t>EB4111</t>
  </si>
  <si>
    <t>EA3101</t>
  </si>
  <si>
    <t>ANALISA SISTEM TENAGA I</t>
  </si>
  <si>
    <t>EA3104</t>
  </si>
  <si>
    <t>TRANSMISI TENAGA LISTRIK</t>
  </si>
  <si>
    <t>EA3103</t>
  </si>
  <si>
    <t>PEMBANGKIT TENAGA LISTRIK</t>
  </si>
  <si>
    <t>EA3102</t>
  </si>
  <si>
    <t>MESIN LISTRIK I</t>
  </si>
  <si>
    <t>EA4112</t>
  </si>
  <si>
    <t>MANAJEMEN OPERASI SISTEM TENAGA</t>
  </si>
  <si>
    <t>F1B114021</t>
  </si>
  <si>
    <t>JAUHARI MAKNUN</t>
  </si>
  <si>
    <t>EA4115</t>
  </si>
  <si>
    <t>ELEKTRONIKA DAYA</t>
  </si>
  <si>
    <t>EA4010</t>
  </si>
  <si>
    <t>SISTEM SCADA</t>
  </si>
  <si>
    <t>EA4114</t>
  </si>
  <si>
    <t>PRAK. PROTEKSI SISTEM TENAGA</t>
  </si>
  <si>
    <t>EA4004</t>
  </si>
  <si>
    <t>KECERDASAN BUATAN DALAM STL</t>
  </si>
  <si>
    <t>EA4117</t>
  </si>
  <si>
    <t>PRAK. TRANSMISI &amp; DISTRIBUSI</t>
  </si>
  <si>
    <t>EA4113</t>
  </si>
  <si>
    <t>PROTEKSI SISTEM TENAGA</t>
  </si>
  <si>
    <t>EA4002</t>
  </si>
  <si>
    <t>GEJALA MEDAN TINGGI</t>
  </si>
  <si>
    <t>EA4116</t>
  </si>
  <si>
    <t>PRAK. ELEKTRONIKA DAYA</t>
  </si>
  <si>
    <t>M Ali Akbar</t>
  </si>
  <si>
    <t>TPB101301</t>
  </si>
  <si>
    <t>MATEMATIKA DASAR</t>
  </si>
  <si>
    <t>TPB</t>
  </si>
  <si>
    <t>F1B117001</t>
  </si>
  <si>
    <t>ABI LASKAR</t>
  </si>
  <si>
    <t>F1B117002</t>
  </si>
  <si>
    <t>ADE PUTRA CAHYADI</t>
  </si>
  <si>
    <t>F1B117003</t>
  </si>
  <si>
    <t>ADELIA RIZKY FEBRIANTI</t>
  </si>
  <si>
    <t>F1B117004</t>
  </si>
  <si>
    <t>AHMAD RAJABUL AKBAR KHAIRU</t>
  </si>
  <si>
    <t>F1B117005</t>
  </si>
  <si>
    <t>AKBAR MAJID</t>
  </si>
  <si>
    <t>F1B117006</t>
  </si>
  <si>
    <t>ANDI MUHAMAD HANIF</t>
  </si>
  <si>
    <t>F1B117007</t>
  </si>
  <si>
    <t>ANDIKA RAHMAN</t>
  </si>
  <si>
    <t>F1B117008</t>
  </si>
  <si>
    <t>ANDRE PRATAMA</t>
  </si>
  <si>
    <t>F1B117009</t>
  </si>
  <si>
    <t>ANDREAN EKO RAMADHAN</t>
  </si>
  <si>
    <t>F1B117010</t>
  </si>
  <si>
    <t>ARGA SUTRI PRATAMA</t>
  </si>
  <si>
    <t>F1B117011</t>
  </si>
  <si>
    <t>BAYU ADE SURYA</t>
  </si>
  <si>
    <t>F1B117012</t>
  </si>
  <si>
    <t>ERLAN BAHTIAR</t>
  </si>
  <si>
    <t>F1B117013</t>
  </si>
  <si>
    <t>FADHLI EKO PRASETYO</t>
  </si>
  <si>
    <t>F1B117014</t>
  </si>
  <si>
    <t>FANNY WINDARY BATANIA</t>
  </si>
  <si>
    <t>F1B117015</t>
  </si>
  <si>
    <t>GALI GALUH SAKTI</t>
  </si>
  <si>
    <t>F1B117016</t>
  </si>
  <si>
    <t>GAUSS NUR SALAM</t>
  </si>
  <si>
    <t>F1B117017</t>
  </si>
  <si>
    <t>HELMY AMALIA ARIESTA</t>
  </si>
  <si>
    <t>F1B117018</t>
  </si>
  <si>
    <t>ILHAM MUHAMMAD</t>
  </si>
  <si>
    <t>F1B117019</t>
  </si>
  <si>
    <t>KHAIRUL MUAMALAH</t>
  </si>
  <si>
    <t>F1B117020</t>
  </si>
  <si>
    <t>LENKA AURELIE YUDHISTIRA</t>
  </si>
  <si>
    <t>F1B117021</t>
  </si>
  <si>
    <t>M. AL ZAIDIN</t>
  </si>
  <si>
    <t>F1B117022</t>
  </si>
  <si>
    <t>M. FAUZUL AKBAR</t>
  </si>
  <si>
    <t>F1B117023</t>
  </si>
  <si>
    <t>M.FAISAL</t>
  </si>
  <si>
    <t>F1B117024</t>
  </si>
  <si>
    <t>MUH. RISKI RAMADHAN</t>
  </si>
  <si>
    <t>F1B117025</t>
  </si>
  <si>
    <t>MUH. SALDA WINTARA</t>
  </si>
  <si>
    <t>F1B117026</t>
  </si>
  <si>
    <t>MUHAMMAD KHAIRUL HADI SYURAHMAN</t>
  </si>
  <si>
    <t>F1B117027</t>
  </si>
  <si>
    <t>MUHAMMAD MUKALLIBIN</t>
  </si>
  <si>
    <t>F1B117028</t>
  </si>
  <si>
    <t>MUHAMMAD NABIL</t>
  </si>
  <si>
    <t>F1B117029</t>
  </si>
  <si>
    <t>MUHAMMAD THORIQ DWI SETYAWAN</t>
  </si>
  <si>
    <t>F1B117030</t>
  </si>
  <si>
    <t>NURAFRINA</t>
  </si>
  <si>
    <t>F1B117031</t>
  </si>
  <si>
    <t>RAHMAT ADITYA PRADANA</t>
  </si>
  <si>
    <t>F1B117032</t>
  </si>
  <si>
    <t>RAMZY TAUFIQ HANIF</t>
  </si>
  <si>
    <t>F1B117033</t>
  </si>
  <si>
    <t>RIAN HENDRAWAN</t>
  </si>
  <si>
    <t>F1B117034</t>
  </si>
  <si>
    <t>RISKI KHARISMA PUTRA</t>
  </si>
  <si>
    <t>F1B117035</t>
  </si>
  <si>
    <t>RIZALUL HAQ</t>
  </si>
  <si>
    <t>F1B117036</t>
  </si>
  <si>
    <t>RIZKA MARDANI</t>
  </si>
  <si>
    <t>F1B117037</t>
  </si>
  <si>
    <t>TEJAMAN MULKI</t>
  </si>
  <si>
    <t>F1B117038</t>
  </si>
  <si>
    <t>VENI ASTUTI</t>
  </si>
  <si>
    <t>F1B117039</t>
  </si>
  <si>
    <t>WAHYU SIOPANO</t>
  </si>
  <si>
    <t>F1B117040</t>
  </si>
  <si>
    <t>WILLY HISBULLOH FAUZY FIRDAUS</t>
  </si>
  <si>
    <t>F1B117041</t>
  </si>
  <si>
    <t>WILLY PRADIYANTO</t>
  </si>
  <si>
    <t>TPBU04203</t>
  </si>
  <si>
    <t>BAHASA INDONESIA</t>
  </si>
  <si>
    <t>TPB104211</t>
  </si>
  <si>
    <t>BIOLOGI UMUM</t>
  </si>
  <si>
    <t>TPB103211</t>
  </si>
  <si>
    <t>KIMIA DASAR</t>
  </si>
  <si>
    <t>TPBU02203</t>
  </si>
  <si>
    <t>PANCASILA</t>
  </si>
  <si>
    <t>TPB102211</t>
  </si>
  <si>
    <t>FISIKA DASAR</t>
  </si>
  <si>
    <t>TPBU05201</t>
  </si>
  <si>
    <t>BAHASA INGGRIS I</t>
  </si>
  <si>
    <t>TPBU01203</t>
  </si>
  <si>
    <t>PENDIDIKAN AGAMA</t>
  </si>
  <si>
    <t/>
  </si>
  <si>
    <t>Nama</t>
  </si>
  <si>
    <t>SKS</t>
  </si>
  <si>
    <t>IP Semester</t>
  </si>
  <si>
    <t>SKS Kumulatif</t>
  </si>
  <si>
    <t>IP Kumulatif</t>
  </si>
  <si>
    <t>Status</t>
  </si>
  <si>
    <t>tambah sks</t>
  </si>
  <si>
    <t>SKS * IPS</t>
  </si>
  <si>
    <t>SKS * IPK</t>
  </si>
  <si>
    <t xml:space="preserve">SKS </t>
  </si>
  <si>
    <t>P</t>
  </si>
  <si>
    <t>R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</si>
</sst>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Fill="1" applyBorder="1"/>
    <xf numFmtId="0" fontId="3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km_F1B110001_F1B117041_2020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ropbox/Filequ/Data%20Isian%20PDPT%202017_1/Kurikulum%20TE%202014%20+%20TPB%202015%20+%20TPB%20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ropbox/Filequ/Data%20Isian%20PDPT%202017_1/Kode%20dosen%20SI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orksheet"/>
    </sheetNames>
    <sheetDataSet>
      <sheetData sheetId="0">
        <row r="2">
          <cell r="A2" t="str">
            <v>F1B110001</v>
          </cell>
          <cell r="B2" t="str">
            <v>RETMA FAIROZ IJTIHAD</v>
          </cell>
          <cell r="C2">
            <v>20171</v>
          </cell>
          <cell r="D2">
            <v>0</v>
          </cell>
          <cell r="E2">
            <v>0</v>
          </cell>
          <cell r="F2">
            <v>194</v>
          </cell>
          <cell r="G2">
            <v>2.29</v>
          </cell>
          <cell r="H2" t="str">
            <v>A</v>
          </cell>
          <cell r="I2">
            <v>20201</v>
          </cell>
        </row>
        <row r="3">
          <cell r="A3" t="str">
            <v>F1B110002</v>
          </cell>
          <cell r="B3" t="str">
            <v>HERI IRAWAN</v>
          </cell>
          <cell r="C3">
            <v>20171</v>
          </cell>
          <cell r="D3">
            <v>0</v>
          </cell>
          <cell r="E3">
            <v>0</v>
          </cell>
          <cell r="F3">
            <v>180</v>
          </cell>
          <cell r="G3">
            <v>2.39</v>
          </cell>
          <cell r="H3" t="str">
            <v>A</v>
          </cell>
          <cell r="I3">
            <v>20201</v>
          </cell>
        </row>
        <row r="4">
          <cell r="A4" t="str">
            <v>F1B110003</v>
          </cell>
          <cell r="B4" t="str">
            <v>AGUS JAYADI</v>
          </cell>
          <cell r="C4">
            <v>20171</v>
          </cell>
          <cell r="D4">
            <v>0</v>
          </cell>
          <cell r="E4">
            <v>0</v>
          </cell>
          <cell r="F4">
            <v>207</v>
          </cell>
          <cell r="G4">
            <v>2.0299999999999998</v>
          </cell>
          <cell r="H4" t="str">
            <v>A</v>
          </cell>
          <cell r="I4">
            <v>20201</v>
          </cell>
        </row>
        <row r="5">
          <cell r="A5" t="str">
            <v>F1B110004</v>
          </cell>
          <cell r="B5" t="str">
            <v>NI KADEK DIANA S D</v>
          </cell>
          <cell r="C5">
            <v>20171</v>
          </cell>
          <cell r="D5">
            <v>0</v>
          </cell>
          <cell r="E5">
            <v>0</v>
          </cell>
          <cell r="F5">
            <v>56</v>
          </cell>
          <cell r="G5">
            <v>1.44</v>
          </cell>
          <cell r="H5" t="str">
            <v>A</v>
          </cell>
          <cell r="I5">
            <v>20201</v>
          </cell>
        </row>
        <row r="6">
          <cell r="A6" t="str">
            <v>F1B110005</v>
          </cell>
          <cell r="B6" t="str">
            <v>DEDY ISKANDAR</v>
          </cell>
          <cell r="C6">
            <v>20171</v>
          </cell>
          <cell r="D6">
            <v>0</v>
          </cell>
          <cell r="E6">
            <v>0</v>
          </cell>
          <cell r="F6">
            <v>202</v>
          </cell>
          <cell r="G6">
            <v>2.34</v>
          </cell>
          <cell r="H6" t="str">
            <v>A</v>
          </cell>
          <cell r="I6">
            <v>20201</v>
          </cell>
        </row>
        <row r="7">
          <cell r="A7" t="str">
            <v>F1B110006</v>
          </cell>
          <cell r="B7" t="str">
            <v>ANDI PRAMADHANA</v>
          </cell>
          <cell r="C7">
            <v>20171</v>
          </cell>
          <cell r="D7">
            <v>0</v>
          </cell>
          <cell r="E7">
            <v>0</v>
          </cell>
          <cell r="F7">
            <v>205</v>
          </cell>
          <cell r="G7">
            <v>1.7</v>
          </cell>
          <cell r="H7" t="str">
            <v>A</v>
          </cell>
          <cell r="I7">
            <v>20201</v>
          </cell>
        </row>
        <row r="8">
          <cell r="A8" t="str">
            <v>F1B110007</v>
          </cell>
          <cell r="B8" t="str">
            <v>SUYULUSSALAMI</v>
          </cell>
          <cell r="C8">
            <v>20171</v>
          </cell>
          <cell r="D8">
            <v>0</v>
          </cell>
          <cell r="E8">
            <v>0</v>
          </cell>
          <cell r="F8">
            <v>47</v>
          </cell>
          <cell r="G8">
            <v>0.63</v>
          </cell>
          <cell r="H8" t="str">
            <v>A</v>
          </cell>
          <cell r="I8">
            <v>20201</v>
          </cell>
        </row>
        <row r="9">
          <cell r="A9" t="str">
            <v>F1B110008</v>
          </cell>
          <cell r="B9" t="str">
            <v>ANWAR FUADI</v>
          </cell>
          <cell r="C9">
            <v>20171</v>
          </cell>
          <cell r="D9">
            <v>0</v>
          </cell>
          <cell r="E9">
            <v>0</v>
          </cell>
          <cell r="F9">
            <v>31</v>
          </cell>
          <cell r="G9">
            <v>1</v>
          </cell>
          <cell r="H9" t="str">
            <v>A</v>
          </cell>
          <cell r="I9">
            <v>20201</v>
          </cell>
        </row>
        <row r="10">
          <cell r="A10" t="str">
            <v>F1B110009</v>
          </cell>
          <cell r="B10" t="str">
            <v>ISHAK</v>
          </cell>
          <cell r="C10">
            <v>20171</v>
          </cell>
          <cell r="D10">
            <v>0</v>
          </cell>
          <cell r="E10">
            <v>0</v>
          </cell>
          <cell r="F10">
            <v>175</v>
          </cell>
          <cell r="G10">
            <v>2.59</v>
          </cell>
          <cell r="H10" t="str">
            <v>A</v>
          </cell>
          <cell r="I10">
            <v>20201</v>
          </cell>
        </row>
        <row r="11">
          <cell r="A11" t="str">
            <v>F1B110010</v>
          </cell>
          <cell r="B11" t="str">
            <v>GHAZI AKBAR</v>
          </cell>
          <cell r="C11">
            <v>20171</v>
          </cell>
          <cell r="D11">
            <v>0</v>
          </cell>
          <cell r="E11">
            <v>0</v>
          </cell>
          <cell r="F11">
            <v>197</v>
          </cell>
          <cell r="G11">
            <v>2.02</v>
          </cell>
          <cell r="H11" t="str">
            <v>A</v>
          </cell>
          <cell r="I11">
            <v>20201</v>
          </cell>
        </row>
        <row r="12">
          <cell r="A12" t="str">
            <v>F1B110011</v>
          </cell>
          <cell r="B12" t="str">
            <v>ADI SOPIAN GANDA</v>
          </cell>
          <cell r="C12">
            <v>20171</v>
          </cell>
          <cell r="D12">
            <v>0</v>
          </cell>
          <cell r="E12">
            <v>0</v>
          </cell>
          <cell r="F12">
            <v>20</v>
          </cell>
          <cell r="G12">
            <v>1.05</v>
          </cell>
          <cell r="H12" t="str">
            <v>A</v>
          </cell>
          <cell r="I12">
            <v>20201</v>
          </cell>
        </row>
        <row r="13">
          <cell r="A13" t="str">
            <v>F1B110012</v>
          </cell>
          <cell r="B13" t="str">
            <v>M. FADHIL HAMZANI</v>
          </cell>
          <cell r="C13">
            <v>20171</v>
          </cell>
          <cell r="D13">
            <v>0</v>
          </cell>
          <cell r="E13">
            <v>0</v>
          </cell>
          <cell r="F13">
            <v>46</v>
          </cell>
          <cell r="G13">
            <v>1.61</v>
          </cell>
          <cell r="H13" t="str">
            <v>A</v>
          </cell>
          <cell r="I13">
            <v>20201</v>
          </cell>
        </row>
        <row r="14">
          <cell r="A14" t="str">
            <v>F1B110013</v>
          </cell>
          <cell r="B14" t="str">
            <v>ANSORI RAFSANJANI</v>
          </cell>
          <cell r="C14">
            <v>20171</v>
          </cell>
          <cell r="D14">
            <v>0</v>
          </cell>
          <cell r="E14">
            <v>0</v>
          </cell>
          <cell r="F14">
            <v>38</v>
          </cell>
          <cell r="G14">
            <v>1.17</v>
          </cell>
          <cell r="H14" t="str">
            <v>A</v>
          </cell>
          <cell r="I14">
            <v>20201</v>
          </cell>
        </row>
        <row r="15">
          <cell r="A15" t="str">
            <v>F1B110014</v>
          </cell>
          <cell r="B15" t="str">
            <v>DILA ARIYOGI M</v>
          </cell>
          <cell r="C15">
            <v>20171</v>
          </cell>
          <cell r="D15">
            <v>0</v>
          </cell>
          <cell r="E15">
            <v>0</v>
          </cell>
          <cell r="F15">
            <v>168</v>
          </cell>
          <cell r="G15">
            <v>2.5499999999999998</v>
          </cell>
          <cell r="H15" t="str">
            <v>A</v>
          </cell>
          <cell r="I15">
            <v>20201</v>
          </cell>
        </row>
        <row r="16">
          <cell r="A16" t="str">
            <v>F1B110015</v>
          </cell>
          <cell r="B16" t="str">
            <v>MUHAMMAD AZWAR</v>
          </cell>
          <cell r="C16">
            <v>20171</v>
          </cell>
          <cell r="D16">
            <v>0</v>
          </cell>
          <cell r="E16">
            <v>0</v>
          </cell>
          <cell r="F16">
            <v>206</v>
          </cell>
          <cell r="G16">
            <v>2.4</v>
          </cell>
          <cell r="H16" t="str">
            <v>A</v>
          </cell>
          <cell r="I16">
            <v>20201</v>
          </cell>
        </row>
        <row r="17">
          <cell r="A17" t="str">
            <v>F1B110016</v>
          </cell>
          <cell r="B17" t="str">
            <v>HAMDANI</v>
          </cell>
          <cell r="C17">
            <v>20171</v>
          </cell>
          <cell r="D17">
            <v>4</v>
          </cell>
          <cell r="E17">
            <v>3.5</v>
          </cell>
          <cell r="F17">
            <v>189</v>
          </cell>
          <cell r="G17">
            <v>2.02</v>
          </cell>
          <cell r="H17" t="str">
            <v>A</v>
          </cell>
          <cell r="I17">
            <v>20201</v>
          </cell>
        </row>
        <row r="18">
          <cell r="A18" t="str">
            <v>F1B110017</v>
          </cell>
          <cell r="B18" t="str">
            <v>RIAN HAPMIADI</v>
          </cell>
          <cell r="C18">
            <v>20171</v>
          </cell>
          <cell r="D18">
            <v>0</v>
          </cell>
          <cell r="E18">
            <v>0</v>
          </cell>
          <cell r="F18">
            <v>172</v>
          </cell>
          <cell r="G18">
            <v>1.61</v>
          </cell>
          <cell r="H18" t="str">
            <v>A</v>
          </cell>
          <cell r="I18">
            <v>20201</v>
          </cell>
        </row>
        <row r="19">
          <cell r="A19" t="str">
            <v>F1B110018</v>
          </cell>
          <cell r="B19" t="str">
            <v>SAMSUL HADI</v>
          </cell>
          <cell r="C19">
            <v>20171</v>
          </cell>
          <cell r="D19">
            <v>0</v>
          </cell>
          <cell r="E19">
            <v>0</v>
          </cell>
          <cell r="F19">
            <v>207</v>
          </cell>
          <cell r="G19">
            <v>1.86</v>
          </cell>
          <cell r="H19" t="str">
            <v>A</v>
          </cell>
          <cell r="I19">
            <v>20201</v>
          </cell>
        </row>
        <row r="20">
          <cell r="A20" t="str">
            <v>F1B110019</v>
          </cell>
          <cell r="B20" t="str">
            <v>HANDRIAN SAPUTRA</v>
          </cell>
          <cell r="C20">
            <v>20171</v>
          </cell>
          <cell r="D20">
            <v>0</v>
          </cell>
          <cell r="E20">
            <v>0</v>
          </cell>
          <cell r="F20">
            <v>41</v>
          </cell>
          <cell r="G20">
            <v>1.37</v>
          </cell>
          <cell r="H20" t="str">
            <v>A</v>
          </cell>
          <cell r="I20">
            <v>20201</v>
          </cell>
        </row>
        <row r="21">
          <cell r="A21" t="str">
            <v>F1B110020</v>
          </cell>
          <cell r="B21" t="str">
            <v>SRI AGUSTINI YUMIATI</v>
          </cell>
          <cell r="C21">
            <v>20171</v>
          </cell>
          <cell r="D21">
            <v>0</v>
          </cell>
          <cell r="E21">
            <v>0</v>
          </cell>
          <cell r="F21">
            <v>171</v>
          </cell>
          <cell r="G21">
            <v>2.79</v>
          </cell>
          <cell r="H21" t="str">
            <v>A</v>
          </cell>
          <cell r="I21">
            <v>20201</v>
          </cell>
        </row>
        <row r="22">
          <cell r="A22" t="str">
            <v>F1B110021</v>
          </cell>
          <cell r="B22" t="str">
            <v>DEDDY DARMAWAN</v>
          </cell>
          <cell r="C22">
            <v>20171</v>
          </cell>
          <cell r="D22">
            <v>0</v>
          </cell>
          <cell r="E22">
            <v>0</v>
          </cell>
          <cell r="F22">
            <v>171</v>
          </cell>
          <cell r="G22">
            <v>2.57</v>
          </cell>
          <cell r="H22" t="str">
            <v>A</v>
          </cell>
          <cell r="I22">
            <v>20201</v>
          </cell>
        </row>
        <row r="23">
          <cell r="A23" t="str">
            <v>F1B110022</v>
          </cell>
          <cell r="B23" t="str">
            <v>M AQIDATUL HABIBI</v>
          </cell>
          <cell r="C23">
            <v>20171</v>
          </cell>
          <cell r="D23">
            <v>0</v>
          </cell>
          <cell r="E23">
            <v>0</v>
          </cell>
          <cell r="F23">
            <v>39</v>
          </cell>
          <cell r="G23">
            <v>1.51</v>
          </cell>
          <cell r="H23" t="str">
            <v>A</v>
          </cell>
          <cell r="I23">
            <v>20201</v>
          </cell>
        </row>
        <row r="24">
          <cell r="A24" t="str">
            <v>F1B110023</v>
          </cell>
          <cell r="B24" t="str">
            <v>YAYUK CAHAYA NINGSARI</v>
          </cell>
          <cell r="C24">
            <v>20171</v>
          </cell>
          <cell r="D24">
            <v>0</v>
          </cell>
          <cell r="E24">
            <v>0</v>
          </cell>
          <cell r="F24">
            <v>56</v>
          </cell>
          <cell r="G24">
            <v>1.32</v>
          </cell>
          <cell r="H24" t="str">
            <v>A</v>
          </cell>
          <cell r="I24">
            <v>20201</v>
          </cell>
        </row>
        <row r="25">
          <cell r="A25" t="str">
            <v>F1B110024</v>
          </cell>
          <cell r="B25" t="str">
            <v>NANANG KOSIM</v>
          </cell>
          <cell r="C25">
            <v>20171</v>
          </cell>
          <cell r="D25">
            <v>0</v>
          </cell>
          <cell r="E25">
            <v>0</v>
          </cell>
          <cell r="F25">
            <v>36</v>
          </cell>
          <cell r="G25">
            <v>1.43</v>
          </cell>
          <cell r="H25" t="str">
            <v>A</v>
          </cell>
          <cell r="I25">
            <v>20201</v>
          </cell>
        </row>
        <row r="26">
          <cell r="A26" t="str">
            <v>F1B110025</v>
          </cell>
          <cell r="B26" t="str">
            <v>M BAKTI ADHIGUNA</v>
          </cell>
          <cell r="C26">
            <v>20171</v>
          </cell>
          <cell r="D26">
            <v>0</v>
          </cell>
          <cell r="E26">
            <v>0</v>
          </cell>
          <cell r="F26">
            <v>178</v>
          </cell>
          <cell r="G26">
            <v>2.67</v>
          </cell>
          <cell r="H26" t="str">
            <v>A</v>
          </cell>
          <cell r="I26">
            <v>20201</v>
          </cell>
        </row>
        <row r="27">
          <cell r="A27" t="str">
            <v>F1B110026</v>
          </cell>
          <cell r="B27" t="str">
            <v>ANA TRY NURSEPTIANA</v>
          </cell>
          <cell r="C27">
            <v>20171</v>
          </cell>
          <cell r="D27">
            <v>0</v>
          </cell>
          <cell r="E27">
            <v>0</v>
          </cell>
          <cell r="F27">
            <v>175</v>
          </cell>
          <cell r="G27">
            <v>2.97</v>
          </cell>
          <cell r="H27" t="str">
            <v>A</v>
          </cell>
          <cell r="I27">
            <v>20201</v>
          </cell>
        </row>
        <row r="28">
          <cell r="A28" t="str">
            <v>F1B110027</v>
          </cell>
          <cell r="B28" t="str">
            <v>AJANG MANDARIZA</v>
          </cell>
          <cell r="C28">
            <v>20171</v>
          </cell>
          <cell r="D28">
            <v>0</v>
          </cell>
          <cell r="E28">
            <v>0</v>
          </cell>
          <cell r="F28">
            <v>196</v>
          </cell>
          <cell r="G28">
            <v>1.71</v>
          </cell>
          <cell r="H28" t="str">
            <v>A</v>
          </cell>
          <cell r="I28">
            <v>20201</v>
          </cell>
        </row>
        <row r="29">
          <cell r="A29" t="str">
            <v>F1B110028</v>
          </cell>
          <cell r="B29" t="str">
            <v>ERWIN PRATAMA HADI</v>
          </cell>
          <cell r="C29">
            <v>20171</v>
          </cell>
          <cell r="D29">
            <v>4</v>
          </cell>
          <cell r="E29">
            <v>3.5</v>
          </cell>
          <cell r="F29">
            <v>181</v>
          </cell>
          <cell r="G29">
            <v>2.89</v>
          </cell>
          <cell r="H29" t="str">
            <v>A</v>
          </cell>
          <cell r="I29">
            <v>20201</v>
          </cell>
        </row>
        <row r="30">
          <cell r="A30" t="str">
            <v>F1B110029</v>
          </cell>
          <cell r="B30" t="str">
            <v>FURQONURRAHMAN</v>
          </cell>
          <cell r="C30">
            <v>20171</v>
          </cell>
          <cell r="D30">
            <v>0</v>
          </cell>
          <cell r="E30">
            <v>0</v>
          </cell>
          <cell r="F30">
            <v>182</v>
          </cell>
          <cell r="G30">
            <v>2.4500000000000002</v>
          </cell>
          <cell r="H30" t="str">
            <v>A</v>
          </cell>
          <cell r="I30">
            <v>20201</v>
          </cell>
        </row>
        <row r="31">
          <cell r="A31" t="str">
            <v>F1B110030</v>
          </cell>
          <cell r="B31" t="str">
            <v>HAERUL UMAM</v>
          </cell>
          <cell r="C31">
            <v>20171</v>
          </cell>
          <cell r="D31">
            <v>0</v>
          </cell>
          <cell r="E31">
            <v>0</v>
          </cell>
          <cell r="F31">
            <v>171</v>
          </cell>
          <cell r="G31">
            <v>2.5299999999999998</v>
          </cell>
          <cell r="H31" t="str">
            <v>A</v>
          </cell>
          <cell r="I31">
            <v>20201</v>
          </cell>
        </row>
        <row r="32">
          <cell r="A32" t="str">
            <v>F1B110031</v>
          </cell>
          <cell r="B32" t="str">
            <v>ANDRIAN YUDHESA</v>
          </cell>
          <cell r="C32">
            <v>20171</v>
          </cell>
          <cell r="D32">
            <v>0</v>
          </cell>
          <cell r="E32">
            <v>0</v>
          </cell>
          <cell r="F32">
            <v>52</v>
          </cell>
          <cell r="G32">
            <v>1.57</v>
          </cell>
          <cell r="H32" t="str">
            <v>A</v>
          </cell>
          <cell r="I32">
            <v>20201</v>
          </cell>
        </row>
        <row r="33">
          <cell r="A33" t="str">
            <v>F1B110032</v>
          </cell>
          <cell r="B33" t="str">
            <v>GITA PRIMA PUTRA</v>
          </cell>
          <cell r="C33">
            <v>20171</v>
          </cell>
          <cell r="D33">
            <v>0</v>
          </cell>
          <cell r="E33">
            <v>0</v>
          </cell>
          <cell r="F33">
            <v>39</v>
          </cell>
          <cell r="G33">
            <v>1.19</v>
          </cell>
          <cell r="H33" t="str">
            <v>A</v>
          </cell>
          <cell r="I33">
            <v>20201</v>
          </cell>
        </row>
        <row r="34">
          <cell r="A34" t="str">
            <v>F1B110033</v>
          </cell>
          <cell r="B34" t="str">
            <v>LALU MAYENDRA ISKANDAR</v>
          </cell>
          <cell r="C34">
            <v>20171</v>
          </cell>
          <cell r="D34">
            <v>4</v>
          </cell>
          <cell r="E34">
            <v>3</v>
          </cell>
          <cell r="F34">
            <v>208</v>
          </cell>
          <cell r="G34">
            <v>2.2999999999999998</v>
          </cell>
          <cell r="H34" t="str">
            <v>A</v>
          </cell>
          <cell r="I34">
            <v>20201</v>
          </cell>
        </row>
        <row r="35">
          <cell r="A35" t="str">
            <v>F1B110034</v>
          </cell>
          <cell r="B35" t="str">
            <v>RADIMAS DHAWNIEL P.</v>
          </cell>
          <cell r="C35">
            <v>20171</v>
          </cell>
          <cell r="D35">
            <v>4</v>
          </cell>
          <cell r="E35">
            <v>4</v>
          </cell>
          <cell r="F35">
            <v>189</v>
          </cell>
          <cell r="G35">
            <v>2.4300000000000002</v>
          </cell>
          <cell r="H35" t="str">
            <v>A</v>
          </cell>
          <cell r="I35">
            <v>20201</v>
          </cell>
        </row>
        <row r="36">
          <cell r="A36" t="str">
            <v>F1B110035</v>
          </cell>
          <cell r="B36" t="str">
            <v>RENDY DWI PARMANA</v>
          </cell>
          <cell r="C36">
            <v>20171</v>
          </cell>
          <cell r="D36">
            <v>0</v>
          </cell>
          <cell r="E36">
            <v>0</v>
          </cell>
          <cell r="F36">
            <v>36</v>
          </cell>
          <cell r="G36">
            <v>0.96</v>
          </cell>
          <cell r="H36" t="str">
            <v>A</v>
          </cell>
          <cell r="I36">
            <v>20201</v>
          </cell>
        </row>
        <row r="37">
          <cell r="A37" t="str">
            <v>F1B110036</v>
          </cell>
          <cell r="B37" t="str">
            <v>M AZMI NOPIANDI</v>
          </cell>
          <cell r="C37">
            <v>20171</v>
          </cell>
          <cell r="D37">
            <v>4</v>
          </cell>
          <cell r="E37">
            <v>3.5</v>
          </cell>
          <cell r="F37">
            <v>197</v>
          </cell>
          <cell r="G37">
            <v>2.16</v>
          </cell>
          <cell r="H37" t="str">
            <v>A</v>
          </cell>
          <cell r="I37">
            <v>20201</v>
          </cell>
        </row>
        <row r="38">
          <cell r="A38" t="str">
            <v>F1B110037</v>
          </cell>
          <cell r="B38" t="str">
            <v>MOH. AMIN</v>
          </cell>
          <cell r="C38">
            <v>20171</v>
          </cell>
          <cell r="D38">
            <v>0</v>
          </cell>
          <cell r="E38">
            <v>0</v>
          </cell>
          <cell r="F38">
            <v>20</v>
          </cell>
          <cell r="G38">
            <v>1.45</v>
          </cell>
          <cell r="H38" t="str">
            <v>A</v>
          </cell>
          <cell r="I38">
            <v>20201</v>
          </cell>
        </row>
        <row r="39">
          <cell r="A39" t="str">
            <v>F1B110038</v>
          </cell>
          <cell r="B39" t="str">
            <v>EVA SUSANTI</v>
          </cell>
          <cell r="C39">
            <v>20171</v>
          </cell>
          <cell r="D39">
            <v>0</v>
          </cell>
          <cell r="E39">
            <v>0</v>
          </cell>
          <cell r="F39">
            <v>171</v>
          </cell>
          <cell r="G39">
            <v>2.65</v>
          </cell>
          <cell r="H39" t="str">
            <v>A</v>
          </cell>
          <cell r="I39">
            <v>20201</v>
          </cell>
        </row>
        <row r="40">
          <cell r="A40" t="str">
            <v>F1B110039</v>
          </cell>
          <cell r="B40" t="str">
            <v>M. FAHRI RAHMAN</v>
          </cell>
          <cell r="C40">
            <v>20171</v>
          </cell>
          <cell r="D40">
            <v>0</v>
          </cell>
          <cell r="E40">
            <v>0</v>
          </cell>
          <cell r="F40">
            <v>38</v>
          </cell>
          <cell r="G40">
            <v>1.28</v>
          </cell>
          <cell r="H40" t="str">
            <v>A</v>
          </cell>
          <cell r="I40">
            <v>20201</v>
          </cell>
        </row>
        <row r="41">
          <cell r="A41" t="str">
            <v>F1B110040</v>
          </cell>
          <cell r="B41" t="str">
            <v>HUSNUL HARIFANDI</v>
          </cell>
          <cell r="C41">
            <v>20171</v>
          </cell>
          <cell r="D41">
            <v>0</v>
          </cell>
          <cell r="E41">
            <v>0</v>
          </cell>
          <cell r="F41">
            <v>192</v>
          </cell>
          <cell r="G41">
            <v>2.27</v>
          </cell>
          <cell r="H41" t="str">
            <v>A</v>
          </cell>
          <cell r="I41">
            <v>20201</v>
          </cell>
        </row>
        <row r="42">
          <cell r="A42" t="str">
            <v>F1B110041</v>
          </cell>
          <cell r="B42" t="str">
            <v>ADI SAPUTRA</v>
          </cell>
          <cell r="C42">
            <v>20171</v>
          </cell>
          <cell r="D42">
            <v>0</v>
          </cell>
          <cell r="E42">
            <v>0</v>
          </cell>
          <cell r="F42">
            <v>204</v>
          </cell>
          <cell r="G42">
            <v>2.3199999999999998</v>
          </cell>
          <cell r="H42" t="str">
            <v>A</v>
          </cell>
          <cell r="I42">
            <v>20201</v>
          </cell>
        </row>
        <row r="43">
          <cell r="A43" t="str">
            <v>F1B110042</v>
          </cell>
          <cell r="B43" t="str">
            <v>L. ADE WIRAWAN S.</v>
          </cell>
          <cell r="C43">
            <v>20171</v>
          </cell>
          <cell r="D43">
            <v>0</v>
          </cell>
          <cell r="E43">
            <v>0</v>
          </cell>
          <cell r="F43">
            <v>193</v>
          </cell>
          <cell r="G43">
            <v>2.2799999999999998</v>
          </cell>
          <cell r="H43" t="str">
            <v>A</v>
          </cell>
          <cell r="I43">
            <v>20201</v>
          </cell>
        </row>
        <row r="44">
          <cell r="A44" t="str">
            <v>F1B110043</v>
          </cell>
          <cell r="B44" t="str">
            <v>ADITYA DIAS DWI C.</v>
          </cell>
          <cell r="C44">
            <v>20171</v>
          </cell>
          <cell r="D44">
            <v>0</v>
          </cell>
          <cell r="E44">
            <v>0</v>
          </cell>
          <cell r="F44">
            <v>30</v>
          </cell>
          <cell r="G44">
            <v>0.27</v>
          </cell>
          <cell r="H44" t="str">
            <v>A</v>
          </cell>
          <cell r="I44">
            <v>20201</v>
          </cell>
        </row>
        <row r="45">
          <cell r="A45" t="str">
            <v>F1B110044</v>
          </cell>
          <cell r="B45" t="str">
            <v>ASMIWATI</v>
          </cell>
          <cell r="C45">
            <v>20171</v>
          </cell>
          <cell r="D45">
            <v>4</v>
          </cell>
          <cell r="E45">
            <v>3.5</v>
          </cell>
          <cell r="F45">
            <v>194</v>
          </cell>
          <cell r="G45">
            <v>2.13</v>
          </cell>
          <cell r="H45" t="str">
            <v>A</v>
          </cell>
          <cell r="I45">
            <v>20201</v>
          </cell>
        </row>
        <row r="46">
          <cell r="A46" t="str">
            <v>F1B110045</v>
          </cell>
          <cell r="B46" t="str">
            <v>HANDRAYANI</v>
          </cell>
          <cell r="C46">
            <v>20171</v>
          </cell>
          <cell r="D46">
            <v>0</v>
          </cell>
          <cell r="E46">
            <v>0</v>
          </cell>
          <cell r="F46">
            <v>170</v>
          </cell>
          <cell r="G46">
            <v>2.48</v>
          </cell>
          <cell r="H46" t="str">
            <v>A</v>
          </cell>
          <cell r="I46">
            <v>20201</v>
          </cell>
        </row>
        <row r="47">
          <cell r="A47" t="str">
            <v>F1B110046</v>
          </cell>
          <cell r="B47" t="str">
            <v>ALI MUSTOFA</v>
          </cell>
          <cell r="C47">
            <v>20171</v>
          </cell>
          <cell r="D47">
            <v>0</v>
          </cell>
          <cell r="E47">
            <v>0</v>
          </cell>
          <cell r="F47">
            <v>20</v>
          </cell>
          <cell r="G47">
            <v>0</v>
          </cell>
          <cell r="H47" t="str">
            <v>A</v>
          </cell>
          <cell r="I47">
            <v>20201</v>
          </cell>
        </row>
        <row r="48">
          <cell r="A48" t="str">
            <v>F1B110047</v>
          </cell>
          <cell r="B48" t="str">
            <v>ERWIN NUDDIN</v>
          </cell>
          <cell r="C48">
            <v>20171</v>
          </cell>
          <cell r="D48">
            <v>0</v>
          </cell>
          <cell r="E48">
            <v>0</v>
          </cell>
          <cell r="F48">
            <v>42</v>
          </cell>
          <cell r="G48">
            <v>1</v>
          </cell>
          <cell r="H48" t="str">
            <v>A</v>
          </cell>
          <cell r="I48">
            <v>20201</v>
          </cell>
        </row>
        <row r="49">
          <cell r="A49" t="str">
            <v>F1B110048</v>
          </cell>
          <cell r="B49" t="str">
            <v>RAHMAH ILYARISMA</v>
          </cell>
          <cell r="C49">
            <v>20171</v>
          </cell>
          <cell r="D49">
            <v>0</v>
          </cell>
          <cell r="E49">
            <v>0</v>
          </cell>
          <cell r="F49">
            <v>173</v>
          </cell>
          <cell r="G49">
            <v>2.73</v>
          </cell>
          <cell r="H49" t="str">
            <v>A</v>
          </cell>
          <cell r="I49">
            <v>20201</v>
          </cell>
        </row>
        <row r="50">
          <cell r="A50" t="str">
            <v>F1B110049</v>
          </cell>
          <cell r="B50" t="str">
            <v>I WAYAN TUNAS W.</v>
          </cell>
          <cell r="C50">
            <v>20171</v>
          </cell>
          <cell r="D50">
            <v>0</v>
          </cell>
          <cell r="E50">
            <v>0</v>
          </cell>
          <cell r="F50">
            <v>181</v>
          </cell>
          <cell r="G50">
            <v>2.46</v>
          </cell>
          <cell r="H50" t="str">
            <v>A</v>
          </cell>
          <cell r="I50">
            <v>20201</v>
          </cell>
        </row>
        <row r="51">
          <cell r="A51" t="str">
            <v>F1B110050</v>
          </cell>
          <cell r="B51" t="str">
            <v>KHAIRUL UYUN</v>
          </cell>
          <cell r="C51">
            <v>20171</v>
          </cell>
          <cell r="D51">
            <v>0</v>
          </cell>
          <cell r="E51">
            <v>0</v>
          </cell>
          <cell r="F51">
            <v>37</v>
          </cell>
          <cell r="G51">
            <v>0.89</v>
          </cell>
          <cell r="H51" t="str">
            <v>A</v>
          </cell>
          <cell r="I51">
            <v>20201</v>
          </cell>
        </row>
        <row r="52">
          <cell r="A52" t="str">
            <v>F1B110051</v>
          </cell>
          <cell r="B52" t="str">
            <v>MARZUKI RAHMAN</v>
          </cell>
          <cell r="C52">
            <v>20171</v>
          </cell>
          <cell r="D52">
            <v>0</v>
          </cell>
          <cell r="E52">
            <v>0</v>
          </cell>
          <cell r="F52">
            <v>45</v>
          </cell>
          <cell r="G52">
            <v>0.69</v>
          </cell>
          <cell r="H52" t="str">
            <v>A</v>
          </cell>
          <cell r="I52">
            <v>20201</v>
          </cell>
        </row>
        <row r="53">
          <cell r="A53" t="str">
            <v>F1B110052</v>
          </cell>
          <cell r="B53" t="str">
            <v>ADE ZAKARIA</v>
          </cell>
          <cell r="C53">
            <v>20171</v>
          </cell>
          <cell r="D53">
            <v>0</v>
          </cell>
          <cell r="E53">
            <v>0</v>
          </cell>
          <cell r="F53">
            <v>20</v>
          </cell>
          <cell r="G53">
            <v>2.13</v>
          </cell>
          <cell r="H53" t="str">
            <v>A</v>
          </cell>
          <cell r="I53">
            <v>20201</v>
          </cell>
        </row>
        <row r="54">
          <cell r="A54" t="str">
            <v>F1B110053</v>
          </cell>
          <cell r="B54" t="str">
            <v>SADDAM KADIR RANGGO</v>
          </cell>
          <cell r="C54">
            <v>20171</v>
          </cell>
          <cell r="D54">
            <v>4</v>
          </cell>
          <cell r="E54">
            <v>2.5</v>
          </cell>
          <cell r="F54">
            <v>216</v>
          </cell>
          <cell r="G54">
            <v>1.95</v>
          </cell>
          <cell r="H54" t="str">
            <v>A</v>
          </cell>
          <cell r="I54">
            <v>20201</v>
          </cell>
        </row>
        <row r="55">
          <cell r="A55" t="str">
            <v>F1B110054</v>
          </cell>
          <cell r="B55" t="str">
            <v>DENY NURRIDHO</v>
          </cell>
          <cell r="C55">
            <v>20171</v>
          </cell>
          <cell r="D55">
            <v>0</v>
          </cell>
          <cell r="E55">
            <v>0</v>
          </cell>
          <cell r="F55">
            <v>53</v>
          </cell>
          <cell r="G55">
            <v>1.1000000000000001</v>
          </cell>
          <cell r="H55" t="str">
            <v>A</v>
          </cell>
          <cell r="I55">
            <v>20201</v>
          </cell>
        </row>
        <row r="56">
          <cell r="A56" t="str">
            <v>F1B110055</v>
          </cell>
          <cell r="B56" t="str">
            <v>HELNI SEPTA UTANI</v>
          </cell>
          <cell r="C56">
            <v>20171</v>
          </cell>
          <cell r="D56">
            <v>0</v>
          </cell>
          <cell r="E56">
            <v>0</v>
          </cell>
          <cell r="F56">
            <v>171</v>
          </cell>
          <cell r="G56">
            <v>2.94</v>
          </cell>
          <cell r="H56" t="str">
            <v>A</v>
          </cell>
          <cell r="I56">
            <v>20201</v>
          </cell>
        </row>
        <row r="57">
          <cell r="A57" t="str">
            <v>F1B110056</v>
          </cell>
          <cell r="B57" t="str">
            <v>GALANG SAPUTRA</v>
          </cell>
          <cell r="C57">
            <v>20171</v>
          </cell>
          <cell r="D57">
            <v>4</v>
          </cell>
          <cell r="E57">
            <v>3</v>
          </cell>
          <cell r="F57">
            <v>185</v>
          </cell>
          <cell r="G57">
            <v>2.39</v>
          </cell>
          <cell r="H57" t="str">
            <v>A</v>
          </cell>
          <cell r="I57">
            <v>20201</v>
          </cell>
        </row>
        <row r="58">
          <cell r="A58" t="str">
            <v>F1B110057</v>
          </cell>
          <cell r="B58" t="str">
            <v>YULIA PRADEWI</v>
          </cell>
          <cell r="C58">
            <v>20171</v>
          </cell>
          <cell r="D58">
            <v>4</v>
          </cell>
          <cell r="E58">
            <v>3.5</v>
          </cell>
          <cell r="F58">
            <v>181</v>
          </cell>
          <cell r="G58">
            <v>2.4700000000000002</v>
          </cell>
          <cell r="H58" t="str">
            <v>A</v>
          </cell>
          <cell r="I58">
            <v>20201</v>
          </cell>
        </row>
        <row r="59">
          <cell r="A59" t="str">
            <v>F1B110058</v>
          </cell>
          <cell r="B59" t="str">
            <v>DICKI BALIAN SAPUTRA</v>
          </cell>
          <cell r="C59">
            <v>20171</v>
          </cell>
          <cell r="D59">
            <v>0</v>
          </cell>
          <cell r="E59">
            <v>0</v>
          </cell>
          <cell r="F59">
            <v>36</v>
          </cell>
          <cell r="G59">
            <v>0.78</v>
          </cell>
          <cell r="H59" t="str">
            <v>A</v>
          </cell>
          <cell r="I59">
            <v>20201</v>
          </cell>
        </row>
        <row r="60">
          <cell r="A60" t="str">
            <v>F1B110059</v>
          </cell>
          <cell r="B60" t="str">
            <v>WINARDI CAHAYA PUTRA</v>
          </cell>
          <cell r="C60">
            <v>20171</v>
          </cell>
          <cell r="D60">
            <v>0</v>
          </cell>
          <cell r="E60">
            <v>0</v>
          </cell>
          <cell r="F60">
            <v>194</v>
          </cell>
          <cell r="G60">
            <v>2.2999999999999998</v>
          </cell>
          <cell r="H60" t="str">
            <v>A</v>
          </cell>
          <cell r="I60">
            <v>20201</v>
          </cell>
        </row>
        <row r="61">
          <cell r="A61" t="str">
            <v>F1B110060</v>
          </cell>
          <cell r="B61" t="str">
            <v>M. FATHUL AZIZ</v>
          </cell>
          <cell r="C61">
            <v>20171</v>
          </cell>
          <cell r="D61">
            <v>0</v>
          </cell>
          <cell r="E61">
            <v>0</v>
          </cell>
          <cell r="F61">
            <v>37</v>
          </cell>
          <cell r="G61">
            <v>0.95</v>
          </cell>
          <cell r="H61" t="str">
            <v>A</v>
          </cell>
          <cell r="I61">
            <v>20201</v>
          </cell>
        </row>
        <row r="62">
          <cell r="A62" t="str">
            <v>F1B110061</v>
          </cell>
          <cell r="B62" t="str">
            <v>JA'FAR NUMAERY</v>
          </cell>
          <cell r="C62">
            <v>20171</v>
          </cell>
          <cell r="D62">
            <v>0</v>
          </cell>
          <cell r="E62">
            <v>0</v>
          </cell>
          <cell r="F62">
            <v>52</v>
          </cell>
          <cell r="G62">
            <v>1.37</v>
          </cell>
          <cell r="H62" t="str">
            <v>A</v>
          </cell>
          <cell r="I62">
            <v>20201</v>
          </cell>
        </row>
        <row r="63">
          <cell r="A63" t="str">
            <v>F1B110062</v>
          </cell>
          <cell r="B63" t="str">
            <v>SINGGIH RAMADHONI</v>
          </cell>
          <cell r="C63">
            <v>20171</v>
          </cell>
          <cell r="D63">
            <v>4</v>
          </cell>
          <cell r="E63">
            <v>4</v>
          </cell>
          <cell r="F63">
            <v>198</v>
          </cell>
          <cell r="G63">
            <v>2.5</v>
          </cell>
          <cell r="H63" t="str">
            <v>A</v>
          </cell>
          <cell r="I63">
            <v>20201</v>
          </cell>
        </row>
        <row r="64">
          <cell r="A64" t="str">
            <v>F1B110063</v>
          </cell>
          <cell r="B64" t="str">
            <v>DANANG M ARIEF S P</v>
          </cell>
          <cell r="C64">
            <v>20171</v>
          </cell>
          <cell r="D64">
            <v>4</v>
          </cell>
          <cell r="E64">
            <v>3.5</v>
          </cell>
          <cell r="F64">
            <v>209</v>
          </cell>
          <cell r="G64">
            <v>2.2200000000000002</v>
          </cell>
          <cell r="H64" t="str">
            <v>A</v>
          </cell>
          <cell r="I64">
            <v>20201</v>
          </cell>
        </row>
        <row r="65">
          <cell r="A65" t="str">
            <v>F1B110064</v>
          </cell>
          <cell r="B65" t="str">
            <v>DIMAN GUSRIANSYAH</v>
          </cell>
          <cell r="C65">
            <v>20171</v>
          </cell>
          <cell r="D65">
            <v>0</v>
          </cell>
          <cell r="E65">
            <v>0</v>
          </cell>
          <cell r="F65">
            <v>198</v>
          </cell>
          <cell r="G65">
            <v>2.2400000000000002</v>
          </cell>
          <cell r="H65" t="str">
            <v>A</v>
          </cell>
          <cell r="I65">
            <v>20201</v>
          </cell>
        </row>
        <row r="66">
          <cell r="A66" t="str">
            <v>F1B110065</v>
          </cell>
          <cell r="B66" t="str">
            <v>CAHYA NUGRAHA</v>
          </cell>
          <cell r="C66">
            <v>20171</v>
          </cell>
          <cell r="D66">
            <v>0</v>
          </cell>
          <cell r="E66">
            <v>0</v>
          </cell>
          <cell r="F66">
            <v>36</v>
          </cell>
          <cell r="G66">
            <v>2.06</v>
          </cell>
          <cell r="H66" t="str">
            <v>A</v>
          </cell>
          <cell r="I66">
            <v>20201</v>
          </cell>
        </row>
        <row r="67">
          <cell r="A67" t="str">
            <v>F1B110066</v>
          </cell>
          <cell r="B67" t="str">
            <v>MUHAMMAD MAJEDI</v>
          </cell>
          <cell r="C67">
            <v>20171</v>
          </cell>
          <cell r="D67">
            <v>0</v>
          </cell>
          <cell r="E67">
            <v>0</v>
          </cell>
          <cell r="F67">
            <v>176</v>
          </cell>
          <cell r="G67">
            <v>2.54</v>
          </cell>
          <cell r="H67" t="str">
            <v>A</v>
          </cell>
          <cell r="I67">
            <v>20201</v>
          </cell>
        </row>
        <row r="68">
          <cell r="A68" t="str">
            <v>F1B110067</v>
          </cell>
          <cell r="B68" t="str">
            <v>MUHAMMAD AZHARI</v>
          </cell>
          <cell r="C68">
            <v>20171</v>
          </cell>
          <cell r="D68">
            <v>0</v>
          </cell>
          <cell r="E68">
            <v>0</v>
          </cell>
          <cell r="F68">
            <v>210</v>
          </cell>
          <cell r="G68">
            <v>2.2000000000000002</v>
          </cell>
          <cell r="H68" t="str">
            <v>A</v>
          </cell>
          <cell r="I68">
            <v>20201</v>
          </cell>
        </row>
        <row r="69">
          <cell r="A69" t="str">
            <v>F1B110068</v>
          </cell>
          <cell r="B69" t="str">
            <v>SUPARLAN ARDYANSYAH</v>
          </cell>
          <cell r="C69">
            <v>20171</v>
          </cell>
          <cell r="D69">
            <v>0</v>
          </cell>
          <cell r="E69">
            <v>0</v>
          </cell>
          <cell r="F69">
            <v>187</v>
          </cell>
          <cell r="G69">
            <v>2.33</v>
          </cell>
          <cell r="H69" t="str">
            <v>A</v>
          </cell>
          <cell r="I69">
            <v>20201</v>
          </cell>
        </row>
        <row r="70">
          <cell r="A70" t="str">
            <v>F1B110069</v>
          </cell>
          <cell r="B70" t="str">
            <v>SOHIBUL IHSAN</v>
          </cell>
          <cell r="C70">
            <v>20171</v>
          </cell>
          <cell r="D70">
            <v>0</v>
          </cell>
          <cell r="E70">
            <v>0</v>
          </cell>
          <cell r="F70">
            <v>50</v>
          </cell>
          <cell r="G70">
            <v>0.3</v>
          </cell>
          <cell r="H70" t="str">
            <v>A</v>
          </cell>
          <cell r="I70">
            <v>20201</v>
          </cell>
        </row>
        <row r="71">
          <cell r="A71" t="str">
            <v>F1B110070</v>
          </cell>
          <cell r="B71" t="str">
            <v>BASRI RAHMAN</v>
          </cell>
          <cell r="C71">
            <v>20171</v>
          </cell>
          <cell r="D71">
            <v>0</v>
          </cell>
          <cell r="E71">
            <v>0</v>
          </cell>
          <cell r="F71">
            <v>180</v>
          </cell>
          <cell r="G71">
            <v>2.46</v>
          </cell>
          <cell r="H71" t="str">
            <v>A</v>
          </cell>
          <cell r="I71">
            <v>20201</v>
          </cell>
        </row>
        <row r="72">
          <cell r="A72" t="str">
            <v>F1B110071</v>
          </cell>
          <cell r="B72" t="str">
            <v>TRENDY NIAGAWAN</v>
          </cell>
          <cell r="C72">
            <v>20171</v>
          </cell>
          <cell r="D72">
            <v>4</v>
          </cell>
          <cell r="E72">
            <v>4</v>
          </cell>
          <cell r="F72">
            <v>202</v>
          </cell>
          <cell r="G72">
            <v>1.93</v>
          </cell>
          <cell r="H72" t="str">
            <v>A</v>
          </cell>
          <cell r="I72">
            <v>20201</v>
          </cell>
        </row>
        <row r="73">
          <cell r="A73" t="str">
            <v>F1B110072</v>
          </cell>
          <cell r="B73" t="str">
            <v>MOHAMAD ARIFIN</v>
          </cell>
          <cell r="C73">
            <v>20171</v>
          </cell>
          <cell r="D73">
            <v>0</v>
          </cell>
          <cell r="E73">
            <v>0</v>
          </cell>
          <cell r="F73">
            <v>170</v>
          </cell>
          <cell r="G73">
            <v>2.81</v>
          </cell>
          <cell r="H73" t="str">
            <v>A</v>
          </cell>
          <cell r="I73">
            <v>20201</v>
          </cell>
        </row>
        <row r="74">
          <cell r="A74" t="str">
            <v>F1B110073</v>
          </cell>
          <cell r="B74" t="str">
            <v>MUHAMAD JOHAN K</v>
          </cell>
          <cell r="C74">
            <v>20171</v>
          </cell>
          <cell r="D74">
            <v>4</v>
          </cell>
          <cell r="E74">
            <v>3.5</v>
          </cell>
          <cell r="F74">
            <v>208</v>
          </cell>
          <cell r="G74">
            <v>2.2599999999999998</v>
          </cell>
          <cell r="H74" t="str">
            <v>A</v>
          </cell>
          <cell r="I74">
            <v>20201</v>
          </cell>
        </row>
        <row r="75">
          <cell r="A75" t="str">
            <v>F1B110074</v>
          </cell>
          <cell r="B75" t="str">
            <v>SAFARDI</v>
          </cell>
          <cell r="C75">
            <v>20171</v>
          </cell>
          <cell r="D75">
            <v>0</v>
          </cell>
          <cell r="E75">
            <v>0</v>
          </cell>
          <cell r="F75">
            <v>34</v>
          </cell>
          <cell r="G75">
            <v>0.9</v>
          </cell>
          <cell r="H75" t="str">
            <v>A</v>
          </cell>
          <cell r="I75">
            <v>20201</v>
          </cell>
        </row>
        <row r="76">
          <cell r="A76" t="str">
            <v>F1B110075</v>
          </cell>
          <cell r="B76" t="str">
            <v>NOVI HADIYANI</v>
          </cell>
          <cell r="C76">
            <v>20171</v>
          </cell>
          <cell r="D76">
            <v>0</v>
          </cell>
          <cell r="E76">
            <v>0</v>
          </cell>
          <cell r="F76">
            <v>58</v>
          </cell>
          <cell r="G76">
            <v>1.52</v>
          </cell>
          <cell r="H76" t="str">
            <v>A</v>
          </cell>
          <cell r="I76">
            <v>20201</v>
          </cell>
        </row>
        <row r="77">
          <cell r="A77" t="str">
            <v>F1B110076</v>
          </cell>
          <cell r="B77" t="str">
            <v>LALU ARDYPATI</v>
          </cell>
          <cell r="C77">
            <v>20171</v>
          </cell>
          <cell r="D77">
            <v>4</v>
          </cell>
          <cell r="E77">
            <v>2.38</v>
          </cell>
          <cell r="F77">
            <v>198</v>
          </cell>
          <cell r="G77">
            <v>1.77</v>
          </cell>
          <cell r="H77" t="str">
            <v>A</v>
          </cell>
          <cell r="I77">
            <v>20201</v>
          </cell>
        </row>
        <row r="78">
          <cell r="A78" t="str">
            <v>F1B110077</v>
          </cell>
          <cell r="B78" t="str">
            <v>KHAIRUL ANAM</v>
          </cell>
          <cell r="C78">
            <v>20171</v>
          </cell>
          <cell r="D78">
            <v>4</v>
          </cell>
          <cell r="E78">
            <v>3.5</v>
          </cell>
          <cell r="F78">
            <v>210</v>
          </cell>
          <cell r="G78">
            <v>1.99</v>
          </cell>
          <cell r="H78" t="str">
            <v>A</v>
          </cell>
          <cell r="I78">
            <v>20201</v>
          </cell>
        </row>
        <row r="79">
          <cell r="A79" t="str">
            <v>F1B110078</v>
          </cell>
          <cell r="B79" t="str">
            <v>SUPRIADI</v>
          </cell>
          <cell r="C79">
            <v>20171</v>
          </cell>
          <cell r="D79">
            <v>4</v>
          </cell>
          <cell r="E79">
            <v>3.5</v>
          </cell>
          <cell r="F79">
            <v>199</v>
          </cell>
          <cell r="G79">
            <v>2.3199999999999998</v>
          </cell>
          <cell r="H79" t="str">
            <v>A</v>
          </cell>
          <cell r="I79">
            <v>20201</v>
          </cell>
        </row>
        <row r="80">
          <cell r="A80" t="str">
            <v>F1B110079</v>
          </cell>
          <cell r="B80" t="str">
            <v>IKHWAN YUSUF</v>
          </cell>
          <cell r="C80">
            <v>20171</v>
          </cell>
          <cell r="D80">
            <v>0</v>
          </cell>
          <cell r="E80">
            <v>0</v>
          </cell>
          <cell r="F80">
            <v>174</v>
          </cell>
          <cell r="G80">
            <v>2.48</v>
          </cell>
          <cell r="H80" t="str">
            <v>A</v>
          </cell>
          <cell r="I80">
            <v>20201</v>
          </cell>
        </row>
        <row r="81">
          <cell r="A81" t="str">
            <v>F1B110080</v>
          </cell>
          <cell r="B81" t="str">
            <v>YUSUF WIJAYA UTAMA</v>
          </cell>
          <cell r="C81">
            <v>20171</v>
          </cell>
          <cell r="D81">
            <v>0</v>
          </cell>
          <cell r="E81">
            <v>0</v>
          </cell>
          <cell r="F81">
            <v>20</v>
          </cell>
          <cell r="G81">
            <v>0</v>
          </cell>
          <cell r="H81" t="str">
            <v>A</v>
          </cell>
          <cell r="I81">
            <v>20201</v>
          </cell>
        </row>
        <row r="82">
          <cell r="A82" t="str">
            <v>F1B110081</v>
          </cell>
          <cell r="B82" t="str">
            <v>HAMZALI</v>
          </cell>
          <cell r="C82">
            <v>20171</v>
          </cell>
          <cell r="D82">
            <v>0</v>
          </cell>
          <cell r="E82">
            <v>0</v>
          </cell>
          <cell r="F82">
            <v>29</v>
          </cell>
          <cell r="G82">
            <v>0.52</v>
          </cell>
          <cell r="H82" t="str">
            <v>A</v>
          </cell>
          <cell r="I82">
            <v>20201</v>
          </cell>
        </row>
        <row r="83">
          <cell r="A83" t="str">
            <v>F1B110082</v>
          </cell>
          <cell r="B83" t="str">
            <v>ABDUL KADIR</v>
          </cell>
          <cell r="C83">
            <v>20171</v>
          </cell>
          <cell r="D83">
            <v>0</v>
          </cell>
          <cell r="E83">
            <v>0</v>
          </cell>
          <cell r="F83">
            <v>20</v>
          </cell>
          <cell r="G83">
            <v>0</v>
          </cell>
          <cell r="H83" t="str">
            <v>A</v>
          </cell>
          <cell r="I83">
            <v>20201</v>
          </cell>
        </row>
        <row r="84">
          <cell r="A84" t="str">
            <v>F1B110083</v>
          </cell>
          <cell r="B84" t="str">
            <v>ABDUL AZIZ</v>
          </cell>
          <cell r="C84">
            <v>20171</v>
          </cell>
          <cell r="D84">
            <v>0</v>
          </cell>
          <cell r="E84">
            <v>0</v>
          </cell>
          <cell r="F84">
            <v>35</v>
          </cell>
          <cell r="G84">
            <v>1.23</v>
          </cell>
          <cell r="H84" t="str">
            <v>A</v>
          </cell>
          <cell r="I84">
            <v>20201</v>
          </cell>
        </row>
        <row r="85">
          <cell r="A85" t="str">
            <v>F1B110084</v>
          </cell>
          <cell r="B85" t="str">
            <v>DARA AYU SASONGKO</v>
          </cell>
          <cell r="C85">
            <v>20171</v>
          </cell>
          <cell r="D85">
            <v>0</v>
          </cell>
          <cell r="E85">
            <v>0</v>
          </cell>
          <cell r="F85">
            <v>20</v>
          </cell>
          <cell r="G85">
            <v>0</v>
          </cell>
          <cell r="H85" t="str">
            <v>A</v>
          </cell>
          <cell r="I85">
            <v>20201</v>
          </cell>
        </row>
        <row r="86">
          <cell r="A86" t="str">
            <v>F1B110085</v>
          </cell>
          <cell r="B86" t="str">
            <v>ALFEDY SUDARSA</v>
          </cell>
          <cell r="C86">
            <v>20171</v>
          </cell>
          <cell r="D86">
            <v>0</v>
          </cell>
          <cell r="E86">
            <v>0</v>
          </cell>
          <cell r="F86">
            <v>48</v>
          </cell>
          <cell r="G86">
            <v>1.5</v>
          </cell>
          <cell r="H86" t="str">
            <v>A</v>
          </cell>
          <cell r="I86">
            <v>20201</v>
          </cell>
        </row>
        <row r="87">
          <cell r="A87" t="str">
            <v>F1B111001</v>
          </cell>
          <cell r="B87" t="str">
            <v>Adhar</v>
          </cell>
          <cell r="C87">
            <v>20171</v>
          </cell>
          <cell r="D87">
            <v>0</v>
          </cell>
          <cell r="E87">
            <v>0</v>
          </cell>
          <cell r="F87">
            <v>88</v>
          </cell>
          <cell r="G87">
            <v>1.41</v>
          </cell>
          <cell r="H87" t="str">
            <v>A</v>
          </cell>
          <cell r="I87">
            <v>20201</v>
          </cell>
        </row>
        <row r="88">
          <cell r="A88" t="str">
            <v>F1B111002</v>
          </cell>
          <cell r="B88" t="str">
            <v>Agus Budi Nurcahyono</v>
          </cell>
          <cell r="C88">
            <v>20171</v>
          </cell>
          <cell r="D88">
            <v>0</v>
          </cell>
          <cell r="E88">
            <v>0</v>
          </cell>
          <cell r="F88">
            <v>166</v>
          </cell>
          <cell r="G88">
            <v>2.66</v>
          </cell>
          <cell r="H88" t="str">
            <v>A</v>
          </cell>
          <cell r="I88">
            <v>20201</v>
          </cell>
        </row>
        <row r="89">
          <cell r="A89" t="str">
            <v>F1B111003</v>
          </cell>
          <cell r="B89" t="str">
            <v>Ahmad Furkon</v>
          </cell>
          <cell r="C89">
            <v>20171</v>
          </cell>
          <cell r="D89">
            <v>0</v>
          </cell>
          <cell r="E89">
            <v>0</v>
          </cell>
          <cell r="F89">
            <v>33</v>
          </cell>
          <cell r="G89">
            <v>0.42</v>
          </cell>
          <cell r="H89" t="str">
            <v>A</v>
          </cell>
          <cell r="I89">
            <v>20201</v>
          </cell>
        </row>
        <row r="90">
          <cell r="A90" t="str">
            <v>F1B111004</v>
          </cell>
          <cell r="B90" t="str">
            <v>Ahmadi</v>
          </cell>
          <cell r="C90">
            <v>20171</v>
          </cell>
          <cell r="D90">
            <v>11</v>
          </cell>
          <cell r="E90">
            <v>2.1800000000000002</v>
          </cell>
          <cell r="F90">
            <v>182</v>
          </cell>
          <cell r="G90">
            <v>2.17</v>
          </cell>
          <cell r="H90" t="str">
            <v>A</v>
          </cell>
          <cell r="I90">
            <v>20201</v>
          </cell>
        </row>
        <row r="91">
          <cell r="A91" t="str">
            <v>F1B111005</v>
          </cell>
          <cell r="B91" t="str">
            <v>Ahsanul Warasatul Sadik</v>
          </cell>
          <cell r="C91">
            <v>20171</v>
          </cell>
          <cell r="D91">
            <v>0</v>
          </cell>
          <cell r="E91">
            <v>0</v>
          </cell>
          <cell r="F91">
            <v>170</v>
          </cell>
          <cell r="G91">
            <v>2.84</v>
          </cell>
          <cell r="H91" t="str">
            <v>A</v>
          </cell>
          <cell r="I91">
            <v>20201</v>
          </cell>
        </row>
        <row r="92">
          <cell r="A92" t="str">
            <v>F1B111006</v>
          </cell>
          <cell r="B92" t="str">
            <v>Alfan Aditya</v>
          </cell>
          <cell r="C92">
            <v>20171</v>
          </cell>
          <cell r="D92">
            <v>0</v>
          </cell>
          <cell r="E92">
            <v>0</v>
          </cell>
          <cell r="F92">
            <v>196</v>
          </cell>
          <cell r="G92">
            <v>2.42</v>
          </cell>
          <cell r="H92" t="str">
            <v>A</v>
          </cell>
          <cell r="I92">
            <v>20201</v>
          </cell>
        </row>
        <row r="93">
          <cell r="A93" t="str">
            <v>F1B111007</v>
          </cell>
          <cell r="B93" t="str">
            <v>Andika Nugraha</v>
          </cell>
          <cell r="C93">
            <v>20171</v>
          </cell>
          <cell r="D93">
            <v>0</v>
          </cell>
          <cell r="E93">
            <v>0</v>
          </cell>
          <cell r="F93">
            <v>177</v>
          </cell>
          <cell r="G93">
            <v>2.2999999999999998</v>
          </cell>
          <cell r="H93" t="str">
            <v>A</v>
          </cell>
          <cell r="I93">
            <v>20201</v>
          </cell>
        </row>
        <row r="94">
          <cell r="A94" t="str">
            <v>F1B111008</v>
          </cell>
          <cell r="B94" t="str">
            <v>Arif Hidayatullah</v>
          </cell>
          <cell r="C94">
            <v>20171</v>
          </cell>
          <cell r="D94">
            <v>0</v>
          </cell>
          <cell r="E94">
            <v>0</v>
          </cell>
          <cell r="F94">
            <v>160</v>
          </cell>
          <cell r="G94">
            <v>2.88</v>
          </cell>
          <cell r="H94" t="str">
            <v>A</v>
          </cell>
          <cell r="I94">
            <v>20201</v>
          </cell>
        </row>
        <row r="95">
          <cell r="A95" t="str">
            <v>F1B111009</v>
          </cell>
          <cell r="B95" t="str">
            <v>Arifubillah</v>
          </cell>
          <cell r="C95">
            <v>20171</v>
          </cell>
          <cell r="D95">
            <v>0</v>
          </cell>
          <cell r="E95">
            <v>0</v>
          </cell>
          <cell r="F95">
            <v>156</v>
          </cell>
          <cell r="G95">
            <v>1.84</v>
          </cell>
          <cell r="H95" t="str">
            <v>A</v>
          </cell>
          <cell r="I95">
            <v>20201</v>
          </cell>
        </row>
        <row r="96">
          <cell r="A96" t="str">
            <v>F1B111010</v>
          </cell>
          <cell r="B96" t="str">
            <v>Awaluddin</v>
          </cell>
          <cell r="C96">
            <v>20171</v>
          </cell>
          <cell r="D96">
            <v>0</v>
          </cell>
          <cell r="E96">
            <v>0</v>
          </cell>
          <cell r="F96">
            <v>168</v>
          </cell>
          <cell r="G96">
            <v>1.57</v>
          </cell>
          <cell r="H96" t="str">
            <v>A</v>
          </cell>
          <cell r="I96">
            <v>20201</v>
          </cell>
        </row>
        <row r="97">
          <cell r="A97" t="str">
            <v>F1B111011</v>
          </cell>
          <cell r="B97" t="str">
            <v>Bahrudin</v>
          </cell>
          <cell r="C97">
            <v>20171</v>
          </cell>
          <cell r="D97">
            <v>0</v>
          </cell>
          <cell r="E97">
            <v>0</v>
          </cell>
          <cell r="F97">
            <v>187</v>
          </cell>
          <cell r="G97">
            <v>2.4</v>
          </cell>
          <cell r="H97" t="str">
            <v>A</v>
          </cell>
          <cell r="I97">
            <v>20201</v>
          </cell>
        </row>
        <row r="98">
          <cell r="A98" t="str">
            <v>F1B111012</v>
          </cell>
          <cell r="B98" t="str">
            <v>Baiq Ifi Nawal Akifi</v>
          </cell>
          <cell r="C98">
            <v>20171</v>
          </cell>
          <cell r="D98">
            <v>4</v>
          </cell>
          <cell r="E98">
            <v>4</v>
          </cell>
          <cell r="F98">
            <v>171</v>
          </cell>
          <cell r="G98">
            <v>2.5099999999999998</v>
          </cell>
          <cell r="H98" t="str">
            <v>A</v>
          </cell>
          <cell r="I98">
            <v>20201</v>
          </cell>
        </row>
        <row r="99">
          <cell r="A99" t="str">
            <v>F1B111013</v>
          </cell>
          <cell r="B99" t="str">
            <v>Dedi Darmawan</v>
          </cell>
          <cell r="C99">
            <v>20171</v>
          </cell>
          <cell r="D99">
            <v>0</v>
          </cell>
          <cell r="E99">
            <v>0</v>
          </cell>
          <cell r="F99">
            <v>20</v>
          </cell>
          <cell r="G99">
            <v>0.53</v>
          </cell>
          <cell r="H99" t="str">
            <v>A</v>
          </cell>
          <cell r="I99">
            <v>20201</v>
          </cell>
        </row>
        <row r="100">
          <cell r="A100" t="str">
            <v>F1B111014</v>
          </cell>
          <cell r="B100" t="str">
            <v>Dian Asgar</v>
          </cell>
          <cell r="C100">
            <v>20171</v>
          </cell>
          <cell r="D100">
            <v>0</v>
          </cell>
          <cell r="E100">
            <v>0</v>
          </cell>
          <cell r="F100">
            <v>164</v>
          </cell>
          <cell r="G100">
            <v>2.82</v>
          </cell>
          <cell r="H100" t="str">
            <v>A</v>
          </cell>
          <cell r="I100">
            <v>20201</v>
          </cell>
        </row>
        <row r="101">
          <cell r="A101" t="str">
            <v>F1B111015</v>
          </cell>
          <cell r="B101" t="str">
            <v>Dwi Kurniawan P.</v>
          </cell>
          <cell r="C101">
            <v>20171</v>
          </cell>
          <cell r="D101">
            <v>4</v>
          </cell>
          <cell r="E101">
            <v>4</v>
          </cell>
          <cell r="F101">
            <v>174</v>
          </cell>
          <cell r="G101">
            <v>2.4900000000000002</v>
          </cell>
          <cell r="H101" t="str">
            <v>A</v>
          </cell>
          <cell r="I101">
            <v>20201</v>
          </cell>
        </row>
        <row r="102">
          <cell r="A102" t="str">
            <v>F1B111016</v>
          </cell>
          <cell r="B102" t="str">
            <v>Eka Fuji Hastuti</v>
          </cell>
          <cell r="C102">
            <v>20171</v>
          </cell>
          <cell r="D102">
            <v>0</v>
          </cell>
          <cell r="E102">
            <v>0</v>
          </cell>
          <cell r="F102">
            <v>72</v>
          </cell>
          <cell r="G102">
            <v>1.78</v>
          </cell>
          <cell r="H102" t="str">
            <v>A</v>
          </cell>
          <cell r="I102">
            <v>20201</v>
          </cell>
        </row>
        <row r="103">
          <cell r="A103" t="str">
            <v>F1B111017</v>
          </cell>
          <cell r="B103" t="str">
            <v>Erina Nursholihatun</v>
          </cell>
          <cell r="C103">
            <v>20171</v>
          </cell>
          <cell r="D103">
            <v>0</v>
          </cell>
          <cell r="E103">
            <v>0</v>
          </cell>
          <cell r="F103">
            <v>161</v>
          </cell>
          <cell r="G103">
            <v>3.09</v>
          </cell>
          <cell r="H103" t="str">
            <v>A</v>
          </cell>
          <cell r="I103">
            <v>20201</v>
          </cell>
        </row>
        <row r="104">
          <cell r="A104" t="str">
            <v>F1B111018</v>
          </cell>
          <cell r="B104" t="str">
            <v>Fahrurrozi</v>
          </cell>
          <cell r="C104">
            <v>20171</v>
          </cell>
          <cell r="D104">
            <v>0</v>
          </cell>
          <cell r="E104">
            <v>0</v>
          </cell>
          <cell r="F104">
            <v>60</v>
          </cell>
          <cell r="G104">
            <v>1.42</v>
          </cell>
          <cell r="H104" t="str">
            <v>A</v>
          </cell>
          <cell r="I104">
            <v>20201</v>
          </cell>
        </row>
        <row r="105">
          <cell r="A105" t="str">
            <v>F1B111019</v>
          </cell>
          <cell r="B105" t="str">
            <v>Fathurrahman</v>
          </cell>
          <cell r="C105">
            <v>20171</v>
          </cell>
          <cell r="D105">
            <v>4</v>
          </cell>
          <cell r="E105">
            <v>4</v>
          </cell>
          <cell r="F105">
            <v>174</v>
          </cell>
          <cell r="G105">
            <v>2.79</v>
          </cell>
          <cell r="H105" t="str">
            <v>A</v>
          </cell>
          <cell r="I105">
            <v>20201</v>
          </cell>
        </row>
        <row r="106">
          <cell r="A106" t="str">
            <v>F1B111020</v>
          </cell>
          <cell r="B106" t="str">
            <v>Ghalib Mansur Thalib</v>
          </cell>
          <cell r="C106">
            <v>20171</v>
          </cell>
          <cell r="D106">
            <v>7</v>
          </cell>
          <cell r="E106">
            <v>0</v>
          </cell>
          <cell r="F106">
            <v>159</v>
          </cell>
          <cell r="G106">
            <v>1.6</v>
          </cell>
          <cell r="H106" t="str">
            <v>A</v>
          </cell>
          <cell r="I106">
            <v>20201</v>
          </cell>
        </row>
        <row r="107">
          <cell r="A107" t="str">
            <v>F1B111021</v>
          </cell>
          <cell r="B107" t="str">
            <v>Haerurrozi</v>
          </cell>
          <cell r="C107">
            <v>20171</v>
          </cell>
          <cell r="D107">
            <v>0</v>
          </cell>
          <cell r="E107">
            <v>0</v>
          </cell>
          <cell r="F107">
            <v>163</v>
          </cell>
          <cell r="G107">
            <v>2.62</v>
          </cell>
          <cell r="H107" t="str">
            <v>A</v>
          </cell>
          <cell r="I107">
            <v>20201</v>
          </cell>
        </row>
        <row r="108">
          <cell r="A108" t="str">
            <v>F1B111022</v>
          </cell>
          <cell r="B108" t="str">
            <v>Hamdahurrahman</v>
          </cell>
          <cell r="C108">
            <v>20171</v>
          </cell>
          <cell r="D108">
            <v>0</v>
          </cell>
          <cell r="E108">
            <v>0</v>
          </cell>
          <cell r="F108">
            <v>201</v>
          </cell>
          <cell r="G108">
            <v>2.37</v>
          </cell>
          <cell r="H108" t="str">
            <v>A</v>
          </cell>
          <cell r="I108">
            <v>20201</v>
          </cell>
        </row>
        <row r="109">
          <cell r="A109" t="str">
            <v>F1B111023</v>
          </cell>
          <cell r="B109" t="str">
            <v>Heruna Saputra</v>
          </cell>
          <cell r="C109">
            <v>20171</v>
          </cell>
          <cell r="D109">
            <v>0</v>
          </cell>
          <cell r="E109">
            <v>0</v>
          </cell>
          <cell r="F109">
            <v>149</v>
          </cell>
          <cell r="G109">
            <v>1.62</v>
          </cell>
          <cell r="H109" t="str">
            <v>A</v>
          </cell>
          <cell r="I109">
            <v>20201</v>
          </cell>
        </row>
        <row r="110">
          <cell r="A110" t="str">
            <v>F1B111024</v>
          </cell>
          <cell r="B110" t="str">
            <v>Hulaipi</v>
          </cell>
          <cell r="C110">
            <v>20171</v>
          </cell>
          <cell r="D110">
            <v>4</v>
          </cell>
          <cell r="E110">
            <v>3.5</v>
          </cell>
          <cell r="F110">
            <v>160</v>
          </cell>
          <cell r="G110">
            <v>2.94</v>
          </cell>
          <cell r="H110" t="str">
            <v>A</v>
          </cell>
          <cell r="I110">
            <v>20201</v>
          </cell>
        </row>
        <row r="111">
          <cell r="A111" t="str">
            <v>F1B111025</v>
          </cell>
          <cell r="B111" t="str">
            <v>Husnul Kahpi</v>
          </cell>
          <cell r="C111">
            <v>20171</v>
          </cell>
          <cell r="D111">
            <v>4</v>
          </cell>
          <cell r="E111">
            <v>3.5</v>
          </cell>
          <cell r="F111">
            <v>180</v>
          </cell>
          <cell r="G111">
            <v>2.36</v>
          </cell>
          <cell r="H111" t="str">
            <v>A</v>
          </cell>
          <cell r="I111">
            <v>20201</v>
          </cell>
        </row>
        <row r="112">
          <cell r="A112" t="str">
            <v>F1B111026</v>
          </cell>
          <cell r="B112" t="str">
            <v>I Ketut Astana</v>
          </cell>
          <cell r="C112">
            <v>20171</v>
          </cell>
          <cell r="D112">
            <v>4</v>
          </cell>
          <cell r="E112">
            <v>3.5</v>
          </cell>
          <cell r="F112">
            <v>191</v>
          </cell>
          <cell r="G112">
            <v>2.44</v>
          </cell>
          <cell r="H112" t="str">
            <v>A</v>
          </cell>
          <cell r="I112">
            <v>20201</v>
          </cell>
        </row>
        <row r="113">
          <cell r="A113" t="str">
            <v>F1B111027</v>
          </cell>
          <cell r="B113" t="str">
            <v>I Made Sulastra</v>
          </cell>
          <cell r="C113">
            <v>20171</v>
          </cell>
          <cell r="D113">
            <v>0</v>
          </cell>
          <cell r="E113">
            <v>0</v>
          </cell>
          <cell r="F113">
            <v>166</v>
          </cell>
          <cell r="G113">
            <v>2.75</v>
          </cell>
          <cell r="H113" t="str">
            <v>A</v>
          </cell>
          <cell r="I113">
            <v>20201</v>
          </cell>
        </row>
        <row r="114">
          <cell r="A114" t="str">
            <v>F1B111028</v>
          </cell>
          <cell r="B114" t="str">
            <v>Idra Baradha Hadi S.</v>
          </cell>
          <cell r="C114">
            <v>20171</v>
          </cell>
          <cell r="D114">
            <v>0</v>
          </cell>
          <cell r="E114">
            <v>0</v>
          </cell>
          <cell r="F114">
            <v>60</v>
          </cell>
          <cell r="G114">
            <v>0.88</v>
          </cell>
          <cell r="H114" t="str">
            <v>A</v>
          </cell>
          <cell r="I114">
            <v>20201</v>
          </cell>
        </row>
        <row r="115">
          <cell r="A115" t="str">
            <v>F1B111029</v>
          </cell>
          <cell r="B115" t="str">
            <v>Ika Ratna Carolia</v>
          </cell>
          <cell r="C115">
            <v>20171</v>
          </cell>
          <cell r="D115">
            <v>0</v>
          </cell>
          <cell r="E115">
            <v>0</v>
          </cell>
          <cell r="F115">
            <v>169</v>
          </cell>
          <cell r="G115">
            <v>2.94</v>
          </cell>
          <cell r="H115" t="str">
            <v>A</v>
          </cell>
          <cell r="I115">
            <v>20201</v>
          </cell>
        </row>
        <row r="116">
          <cell r="A116" t="str">
            <v>F1B111030</v>
          </cell>
          <cell r="B116" t="str">
            <v>Islahudin</v>
          </cell>
          <cell r="C116">
            <v>20171</v>
          </cell>
          <cell r="D116">
            <v>15</v>
          </cell>
          <cell r="E116">
            <v>0</v>
          </cell>
          <cell r="F116">
            <v>192</v>
          </cell>
          <cell r="G116">
            <v>1.65</v>
          </cell>
          <cell r="H116" t="str">
            <v>A</v>
          </cell>
          <cell r="I116">
            <v>20201</v>
          </cell>
        </row>
        <row r="117">
          <cell r="A117" t="str">
            <v>F1B111031</v>
          </cell>
          <cell r="B117" t="str">
            <v>Ita Isnawati</v>
          </cell>
          <cell r="C117">
            <v>20171</v>
          </cell>
          <cell r="D117">
            <v>4</v>
          </cell>
          <cell r="E117">
            <v>3.5</v>
          </cell>
          <cell r="F117">
            <v>157</v>
          </cell>
          <cell r="G117">
            <v>3.12</v>
          </cell>
          <cell r="H117" t="str">
            <v>A</v>
          </cell>
          <cell r="I117">
            <v>20201</v>
          </cell>
        </row>
        <row r="118">
          <cell r="A118" t="str">
            <v>F1B111032</v>
          </cell>
          <cell r="B118" t="str">
            <v>Jumadi</v>
          </cell>
          <cell r="C118">
            <v>20171</v>
          </cell>
          <cell r="D118">
            <v>0</v>
          </cell>
          <cell r="E118">
            <v>0</v>
          </cell>
          <cell r="F118">
            <v>184</v>
          </cell>
          <cell r="G118">
            <v>2.04</v>
          </cell>
          <cell r="H118" t="str">
            <v>A</v>
          </cell>
          <cell r="I118">
            <v>20201</v>
          </cell>
        </row>
        <row r="119">
          <cell r="A119" t="str">
            <v>F1B111033</v>
          </cell>
          <cell r="B119" t="str">
            <v>Jumait</v>
          </cell>
          <cell r="C119">
            <v>20171</v>
          </cell>
          <cell r="D119">
            <v>6</v>
          </cell>
          <cell r="E119">
            <v>1.83</v>
          </cell>
          <cell r="F119">
            <v>177</v>
          </cell>
          <cell r="G119">
            <v>2.12</v>
          </cell>
          <cell r="H119" t="str">
            <v>A</v>
          </cell>
          <cell r="I119">
            <v>20201</v>
          </cell>
        </row>
        <row r="120">
          <cell r="A120" t="str">
            <v>F1B111034</v>
          </cell>
          <cell r="B120" t="str">
            <v>Jusman Alfian Sofian</v>
          </cell>
          <cell r="C120">
            <v>20171</v>
          </cell>
          <cell r="D120">
            <v>0</v>
          </cell>
          <cell r="E120">
            <v>0</v>
          </cell>
          <cell r="F120">
            <v>206</v>
          </cell>
          <cell r="G120">
            <v>2.0499999999999998</v>
          </cell>
          <cell r="H120" t="str">
            <v>A</v>
          </cell>
          <cell r="I120">
            <v>20201</v>
          </cell>
        </row>
        <row r="121">
          <cell r="A121" t="str">
            <v>F1B111035</v>
          </cell>
          <cell r="B121" t="str">
            <v>Khairul Nizam</v>
          </cell>
          <cell r="C121">
            <v>20171</v>
          </cell>
          <cell r="D121">
            <v>0</v>
          </cell>
          <cell r="E121">
            <v>0</v>
          </cell>
          <cell r="F121">
            <v>151</v>
          </cell>
          <cell r="G121">
            <v>3.13</v>
          </cell>
          <cell r="H121" t="str">
            <v>A</v>
          </cell>
          <cell r="I121">
            <v>20201</v>
          </cell>
        </row>
        <row r="122">
          <cell r="A122" t="str">
            <v>F1B111036</v>
          </cell>
          <cell r="B122" t="str">
            <v>Lalu Anja Sukmana</v>
          </cell>
          <cell r="C122">
            <v>20171</v>
          </cell>
          <cell r="D122">
            <v>24</v>
          </cell>
          <cell r="E122">
            <v>2.06</v>
          </cell>
          <cell r="F122">
            <v>155</v>
          </cell>
          <cell r="G122">
            <v>1.92</v>
          </cell>
          <cell r="H122" t="str">
            <v>A</v>
          </cell>
          <cell r="I122">
            <v>20201</v>
          </cell>
        </row>
        <row r="123">
          <cell r="A123" t="str">
            <v>F1B111037</v>
          </cell>
          <cell r="B123" t="str">
            <v>Lalu Dwi Oktana S.</v>
          </cell>
          <cell r="C123">
            <v>20171</v>
          </cell>
          <cell r="D123">
            <v>0</v>
          </cell>
          <cell r="E123">
            <v>0</v>
          </cell>
          <cell r="F123">
            <v>48</v>
          </cell>
          <cell r="G123">
            <v>1.79</v>
          </cell>
          <cell r="H123" t="str">
            <v>A</v>
          </cell>
          <cell r="I123">
            <v>20201</v>
          </cell>
        </row>
        <row r="124">
          <cell r="A124" t="str">
            <v>F1B111038</v>
          </cell>
          <cell r="B124" t="str">
            <v>Lalu Zulkarman</v>
          </cell>
          <cell r="C124">
            <v>20171</v>
          </cell>
          <cell r="D124">
            <v>0</v>
          </cell>
          <cell r="E124">
            <v>0</v>
          </cell>
          <cell r="F124">
            <v>34</v>
          </cell>
          <cell r="G124">
            <v>0.47</v>
          </cell>
          <cell r="H124" t="str">
            <v>A</v>
          </cell>
          <cell r="I124">
            <v>20201</v>
          </cell>
        </row>
        <row r="125">
          <cell r="A125" t="str">
            <v>F1B111039</v>
          </cell>
          <cell r="B125" t="str">
            <v>Lina Usmiati</v>
          </cell>
          <cell r="C125">
            <v>20171</v>
          </cell>
          <cell r="D125">
            <v>0</v>
          </cell>
          <cell r="E125">
            <v>0</v>
          </cell>
          <cell r="F125">
            <v>159</v>
          </cell>
          <cell r="G125">
            <v>3.06</v>
          </cell>
          <cell r="H125" t="str">
            <v>A</v>
          </cell>
          <cell r="I125">
            <v>20201</v>
          </cell>
        </row>
        <row r="126">
          <cell r="A126" t="str">
            <v>F1B111040</v>
          </cell>
          <cell r="B126" t="str">
            <v>Linda Komalasari</v>
          </cell>
          <cell r="C126">
            <v>20171</v>
          </cell>
          <cell r="D126">
            <v>4</v>
          </cell>
          <cell r="E126">
            <v>4</v>
          </cell>
          <cell r="F126">
            <v>173</v>
          </cell>
          <cell r="G126">
            <v>2.4900000000000002</v>
          </cell>
          <cell r="H126" t="str">
            <v>A</v>
          </cell>
          <cell r="I126">
            <v>20201</v>
          </cell>
        </row>
        <row r="127">
          <cell r="A127" t="str">
            <v>F1B111041</v>
          </cell>
          <cell r="B127" t="str">
            <v>M. Ahsanul Khaliq</v>
          </cell>
          <cell r="C127">
            <v>20171</v>
          </cell>
          <cell r="D127">
            <v>2</v>
          </cell>
          <cell r="E127">
            <v>3.5</v>
          </cell>
          <cell r="F127">
            <v>188</v>
          </cell>
          <cell r="G127">
            <v>2.31</v>
          </cell>
          <cell r="H127" t="str">
            <v>A</v>
          </cell>
          <cell r="I127">
            <v>20201</v>
          </cell>
        </row>
        <row r="128">
          <cell r="A128" t="str">
            <v>F1B111042</v>
          </cell>
          <cell r="B128" t="str">
            <v>M. Edi Purnawan</v>
          </cell>
          <cell r="C128">
            <v>20171</v>
          </cell>
          <cell r="D128">
            <v>0</v>
          </cell>
          <cell r="E128">
            <v>0</v>
          </cell>
          <cell r="F128">
            <v>166</v>
          </cell>
          <cell r="G128">
            <v>1.66</v>
          </cell>
          <cell r="H128" t="str">
            <v>A</v>
          </cell>
          <cell r="I128">
            <v>20201</v>
          </cell>
        </row>
        <row r="129">
          <cell r="A129" t="str">
            <v>F1B111043</v>
          </cell>
          <cell r="B129" t="str">
            <v>M Febriansyah Fadli</v>
          </cell>
          <cell r="C129">
            <v>20171</v>
          </cell>
          <cell r="D129">
            <v>4</v>
          </cell>
          <cell r="E129">
            <v>3.5</v>
          </cell>
          <cell r="F129">
            <v>170</v>
          </cell>
          <cell r="G129">
            <v>2.85</v>
          </cell>
          <cell r="H129" t="str">
            <v>A</v>
          </cell>
          <cell r="I129">
            <v>20201</v>
          </cell>
        </row>
        <row r="130">
          <cell r="A130" t="str">
            <v>F1B111044</v>
          </cell>
          <cell r="B130" t="str">
            <v>M. Irwan Rinaldi</v>
          </cell>
          <cell r="C130">
            <v>20171</v>
          </cell>
          <cell r="D130">
            <v>0</v>
          </cell>
          <cell r="E130">
            <v>0</v>
          </cell>
          <cell r="F130">
            <v>37</v>
          </cell>
          <cell r="G130">
            <v>0.95</v>
          </cell>
          <cell r="H130" t="str">
            <v>A</v>
          </cell>
          <cell r="I130">
            <v>20201</v>
          </cell>
        </row>
        <row r="131">
          <cell r="A131" t="str">
            <v>F1B111045</v>
          </cell>
          <cell r="B131" t="str">
            <v>M. Nurrahman</v>
          </cell>
          <cell r="C131">
            <v>20171</v>
          </cell>
          <cell r="D131">
            <v>2</v>
          </cell>
          <cell r="E131">
            <v>0</v>
          </cell>
          <cell r="F131">
            <v>175</v>
          </cell>
          <cell r="G131">
            <v>2.5499999999999998</v>
          </cell>
          <cell r="H131" t="str">
            <v>A</v>
          </cell>
          <cell r="I131">
            <v>20201</v>
          </cell>
        </row>
        <row r="132">
          <cell r="A132" t="str">
            <v>F1B111046</v>
          </cell>
          <cell r="B132" t="str">
            <v>M. Rifai</v>
          </cell>
          <cell r="C132">
            <v>20171</v>
          </cell>
          <cell r="D132">
            <v>0</v>
          </cell>
          <cell r="E132">
            <v>0</v>
          </cell>
          <cell r="F132">
            <v>20</v>
          </cell>
          <cell r="G132">
            <v>0</v>
          </cell>
          <cell r="H132" t="str">
            <v>A</v>
          </cell>
          <cell r="I132">
            <v>20201</v>
          </cell>
        </row>
        <row r="133">
          <cell r="A133" t="str">
            <v>F1B111047</v>
          </cell>
          <cell r="B133" t="str">
            <v>M. Sofyan Hakim</v>
          </cell>
          <cell r="C133">
            <v>20171</v>
          </cell>
          <cell r="D133">
            <v>4</v>
          </cell>
          <cell r="E133">
            <v>1.75</v>
          </cell>
          <cell r="F133">
            <v>178</v>
          </cell>
          <cell r="G133">
            <v>2.34</v>
          </cell>
          <cell r="H133" t="str">
            <v>A</v>
          </cell>
          <cell r="I133">
            <v>20201</v>
          </cell>
        </row>
        <row r="134">
          <cell r="A134" t="str">
            <v>F1B111048</v>
          </cell>
          <cell r="B134" t="str">
            <v>Mahyudi</v>
          </cell>
          <cell r="C134">
            <v>20171</v>
          </cell>
          <cell r="D134">
            <v>0</v>
          </cell>
          <cell r="E134">
            <v>0</v>
          </cell>
          <cell r="F134">
            <v>20</v>
          </cell>
          <cell r="G134">
            <v>1.3</v>
          </cell>
          <cell r="H134" t="str">
            <v>A</v>
          </cell>
          <cell r="I134">
            <v>20201</v>
          </cell>
        </row>
        <row r="135">
          <cell r="A135" t="str">
            <v>F1B111049</v>
          </cell>
          <cell r="B135" t="str">
            <v>Marwan</v>
          </cell>
          <cell r="C135">
            <v>20171</v>
          </cell>
          <cell r="D135">
            <v>0</v>
          </cell>
          <cell r="E135">
            <v>0</v>
          </cell>
          <cell r="F135">
            <v>172</v>
          </cell>
          <cell r="G135">
            <v>2.62</v>
          </cell>
          <cell r="H135" t="str">
            <v>A</v>
          </cell>
          <cell r="I135">
            <v>20201</v>
          </cell>
        </row>
        <row r="136">
          <cell r="A136" t="str">
            <v>F1B111050</v>
          </cell>
          <cell r="B136" t="str">
            <v>Maswandi Putra</v>
          </cell>
          <cell r="C136">
            <v>20171</v>
          </cell>
          <cell r="D136">
            <v>0</v>
          </cell>
          <cell r="E136">
            <v>0</v>
          </cell>
          <cell r="F136">
            <v>56</v>
          </cell>
          <cell r="G136">
            <v>0.63</v>
          </cell>
          <cell r="H136" t="str">
            <v>A</v>
          </cell>
          <cell r="I136">
            <v>20201</v>
          </cell>
        </row>
        <row r="137">
          <cell r="A137" t="str">
            <v>F1B111051</v>
          </cell>
          <cell r="B137" t="str">
            <v xml:space="preserve">Mhd Munawir Haris </v>
          </cell>
          <cell r="C137">
            <v>20171</v>
          </cell>
          <cell r="D137">
            <v>0</v>
          </cell>
          <cell r="E137">
            <v>0</v>
          </cell>
          <cell r="F137">
            <v>187</v>
          </cell>
          <cell r="G137">
            <v>2.59</v>
          </cell>
          <cell r="H137" t="str">
            <v>A</v>
          </cell>
          <cell r="I137">
            <v>20201</v>
          </cell>
        </row>
        <row r="138">
          <cell r="A138" t="str">
            <v>F1B111052</v>
          </cell>
          <cell r="B138" t="str">
            <v>Muhamad Syukran</v>
          </cell>
          <cell r="C138">
            <v>20171</v>
          </cell>
          <cell r="D138">
            <v>0</v>
          </cell>
          <cell r="E138">
            <v>0</v>
          </cell>
          <cell r="F138">
            <v>35</v>
          </cell>
          <cell r="G138">
            <v>0.94</v>
          </cell>
          <cell r="H138" t="str">
            <v>A</v>
          </cell>
          <cell r="I138">
            <v>20201</v>
          </cell>
        </row>
        <row r="139">
          <cell r="A139" t="str">
            <v>F1B111053</v>
          </cell>
          <cell r="B139" t="str">
            <v>Muhammad Rifai</v>
          </cell>
          <cell r="C139">
            <v>20171</v>
          </cell>
          <cell r="D139">
            <v>0</v>
          </cell>
          <cell r="E139">
            <v>0</v>
          </cell>
          <cell r="F139">
            <v>172</v>
          </cell>
          <cell r="G139">
            <v>2.67</v>
          </cell>
          <cell r="H139" t="str">
            <v>A</v>
          </cell>
          <cell r="I139">
            <v>20201</v>
          </cell>
        </row>
        <row r="140">
          <cell r="A140" t="str">
            <v>F1B111054</v>
          </cell>
          <cell r="B140" t="str">
            <v>Muhammad Sofyan</v>
          </cell>
          <cell r="C140">
            <v>20171</v>
          </cell>
          <cell r="D140">
            <v>0</v>
          </cell>
          <cell r="E140">
            <v>0</v>
          </cell>
          <cell r="F140">
            <v>170</v>
          </cell>
          <cell r="G140">
            <v>2.79</v>
          </cell>
          <cell r="H140" t="str">
            <v>A</v>
          </cell>
          <cell r="I140">
            <v>20201</v>
          </cell>
        </row>
        <row r="141">
          <cell r="A141" t="str">
            <v>F1B111055</v>
          </cell>
          <cell r="B141" t="str">
            <v>Muhammad Torik</v>
          </cell>
          <cell r="C141">
            <v>20171</v>
          </cell>
          <cell r="D141">
            <v>0</v>
          </cell>
          <cell r="E141">
            <v>0</v>
          </cell>
          <cell r="F141">
            <v>50</v>
          </cell>
          <cell r="G141">
            <v>1.1299999999999999</v>
          </cell>
          <cell r="H141" t="str">
            <v>A</v>
          </cell>
          <cell r="I141">
            <v>20201</v>
          </cell>
        </row>
        <row r="142">
          <cell r="A142" t="str">
            <v>F1B111056</v>
          </cell>
          <cell r="B142" t="str">
            <v>Muhammad Taufiq Alvian</v>
          </cell>
          <cell r="C142">
            <v>20171</v>
          </cell>
          <cell r="D142">
            <v>0</v>
          </cell>
          <cell r="E142">
            <v>0</v>
          </cell>
          <cell r="F142">
            <v>201</v>
          </cell>
          <cell r="G142">
            <v>2.62</v>
          </cell>
          <cell r="H142" t="str">
            <v>A</v>
          </cell>
          <cell r="I142">
            <v>20201</v>
          </cell>
        </row>
        <row r="143">
          <cell r="A143" t="str">
            <v>F1B111057</v>
          </cell>
          <cell r="B143" t="str">
            <v>Mulyadi Hidayat</v>
          </cell>
          <cell r="C143">
            <v>20171</v>
          </cell>
          <cell r="D143">
            <v>0</v>
          </cell>
          <cell r="E143">
            <v>0</v>
          </cell>
          <cell r="F143">
            <v>35</v>
          </cell>
          <cell r="G143">
            <v>0.34</v>
          </cell>
          <cell r="H143" t="str">
            <v>A</v>
          </cell>
          <cell r="I143">
            <v>20201</v>
          </cell>
        </row>
        <row r="144">
          <cell r="A144" t="str">
            <v>F1B111058</v>
          </cell>
          <cell r="B144" t="str">
            <v>Nasriadi</v>
          </cell>
          <cell r="C144">
            <v>20171</v>
          </cell>
          <cell r="D144">
            <v>0</v>
          </cell>
          <cell r="E144">
            <v>0</v>
          </cell>
          <cell r="F144">
            <v>33</v>
          </cell>
          <cell r="G144">
            <v>1.2</v>
          </cell>
          <cell r="H144" t="str">
            <v>A</v>
          </cell>
          <cell r="I144">
            <v>20201</v>
          </cell>
        </row>
        <row r="145">
          <cell r="A145" t="str">
            <v>F1B111059</v>
          </cell>
          <cell r="B145" t="str">
            <v>Nukrah</v>
          </cell>
          <cell r="C145">
            <v>20171</v>
          </cell>
          <cell r="D145">
            <v>9</v>
          </cell>
          <cell r="E145">
            <v>2.83</v>
          </cell>
          <cell r="F145">
            <v>186</v>
          </cell>
          <cell r="G145">
            <v>2.11</v>
          </cell>
          <cell r="H145" t="str">
            <v>A</v>
          </cell>
          <cell r="I145">
            <v>20201</v>
          </cell>
        </row>
        <row r="146">
          <cell r="A146" t="str">
            <v>F1B111060</v>
          </cell>
          <cell r="B146" t="str">
            <v>Nurhayati</v>
          </cell>
          <cell r="C146">
            <v>20171</v>
          </cell>
          <cell r="D146">
            <v>0</v>
          </cell>
          <cell r="E146">
            <v>0</v>
          </cell>
          <cell r="F146">
            <v>20</v>
          </cell>
          <cell r="G146">
            <v>1.58</v>
          </cell>
          <cell r="H146" t="str">
            <v>A</v>
          </cell>
          <cell r="I146">
            <v>20201</v>
          </cell>
        </row>
        <row r="147">
          <cell r="A147" t="str">
            <v>F1B111061</v>
          </cell>
          <cell r="B147" t="str">
            <v>Nurman Hermawan</v>
          </cell>
          <cell r="C147">
            <v>20171</v>
          </cell>
          <cell r="D147">
            <v>0</v>
          </cell>
          <cell r="E147">
            <v>0</v>
          </cell>
          <cell r="F147">
            <v>20</v>
          </cell>
          <cell r="G147">
            <v>1.75</v>
          </cell>
          <cell r="H147" t="str">
            <v>A</v>
          </cell>
          <cell r="I147">
            <v>20201</v>
          </cell>
        </row>
        <row r="148">
          <cell r="A148" t="str">
            <v>F1B111062</v>
          </cell>
          <cell r="B148" t="str">
            <v>Panji Sahri Ramdani</v>
          </cell>
          <cell r="C148">
            <v>20171</v>
          </cell>
          <cell r="D148">
            <v>0</v>
          </cell>
          <cell r="E148">
            <v>0</v>
          </cell>
          <cell r="F148">
            <v>187</v>
          </cell>
          <cell r="G148">
            <v>2.4500000000000002</v>
          </cell>
          <cell r="H148" t="str">
            <v>A</v>
          </cell>
          <cell r="I148">
            <v>20201</v>
          </cell>
        </row>
        <row r="149">
          <cell r="A149" t="str">
            <v>F1B111063</v>
          </cell>
          <cell r="B149" t="str">
            <v>Prayoga Hidayat</v>
          </cell>
          <cell r="C149">
            <v>20171</v>
          </cell>
          <cell r="D149">
            <v>0</v>
          </cell>
          <cell r="E149">
            <v>0</v>
          </cell>
          <cell r="F149">
            <v>172</v>
          </cell>
          <cell r="G149">
            <v>2.6</v>
          </cell>
          <cell r="H149" t="str">
            <v>A</v>
          </cell>
          <cell r="I149">
            <v>20201</v>
          </cell>
        </row>
        <row r="150">
          <cell r="A150" t="str">
            <v>F1B111064</v>
          </cell>
          <cell r="B150" t="str">
            <v>Prio Hady Setiawan</v>
          </cell>
          <cell r="C150">
            <v>20171</v>
          </cell>
          <cell r="D150">
            <v>0</v>
          </cell>
          <cell r="E150">
            <v>0</v>
          </cell>
          <cell r="F150">
            <v>64</v>
          </cell>
          <cell r="G150">
            <v>1.0900000000000001</v>
          </cell>
          <cell r="H150" t="str">
            <v>A</v>
          </cell>
          <cell r="I150">
            <v>20201</v>
          </cell>
        </row>
        <row r="151">
          <cell r="A151" t="str">
            <v>F1B111065</v>
          </cell>
          <cell r="B151" t="str">
            <v>Prisma Arya Sandy</v>
          </cell>
          <cell r="C151">
            <v>20171</v>
          </cell>
          <cell r="D151">
            <v>0</v>
          </cell>
          <cell r="E151">
            <v>0</v>
          </cell>
          <cell r="F151">
            <v>49</v>
          </cell>
          <cell r="G151">
            <v>0.87</v>
          </cell>
          <cell r="H151" t="str">
            <v>A</v>
          </cell>
          <cell r="I151">
            <v>20201</v>
          </cell>
        </row>
        <row r="152">
          <cell r="A152" t="str">
            <v>F1B111066</v>
          </cell>
          <cell r="B152" t="str">
            <v>Riastu Gunaji</v>
          </cell>
          <cell r="C152">
            <v>20171</v>
          </cell>
          <cell r="D152">
            <v>4</v>
          </cell>
          <cell r="E152">
            <v>4</v>
          </cell>
          <cell r="F152">
            <v>189</v>
          </cell>
          <cell r="G152">
            <v>2.61</v>
          </cell>
          <cell r="H152" t="str">
            <v>A</v>
          </cell>
          <cell r="I152">
            <v>20201</v>
          </cell>
        </row>
        <row r="153">
          <cell r="A153" t="str">
            <v>F1B111067</v>
          </cell>
          <cell r="B153" t="str">
            <v>Ridwan</v>
          </cell>
          <cell r="C153">
            <v>20171</v>
          </cell>
          <cell r="D153">
            <v>0</v>
          </cell>
          <cell r="E153">
            <v>0</v>
          </cell>
          <cell r="F153">
            <v>20</v>
          </cell>
          <cell r="G153">
            <v>2.4500000000000002</v>
          </cell>
          <cell r="H153" t="str">
            <v>A</v>
          </cell>
          <cell r="I153">
            <v>20201</v>
          </cell>
        </row>
        <row r="154">
          <cell r="A154" t="str">
            <v>F1B111068</v>
          </cell>
          <cell r="B154" t="str">
            <v>Risa Lugito Saputro</v>
          </cell>
          <cell r="C154">
            <v>20171</v>
          </cell>
          <cell r="D154">
            <v>0</v>
          </cell>
          <cell r="E154">
            <v>0</v>
          </cell>
          <cell r="F154">
            <v>20</v>
          </cell>
          <cell r="G154">
            <v>0</v>
          </cell>
          <cell r="H154" t="str">
            <v>A</v>
          </cell>
          <cell r="I154">
            <v>20201</v>
          </cell>
        </row>
        <row r="155">
          <cell r="A155" t="str">
            <v>F1B111069</v>
          </cell>
          <cell r="B155" t="str">
            <v>Rizal Dies Pratama</v>
          </cell>
          <cell r="C155">
            <v>20171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 t="str">
            <v>A</v>
          </cell>
          <cell r="I155">
            <v>20201</v>
          </cell>
        </row>
        <row r="156">
          <cell r="A156" t="str">
            <v>F1B111070</v>
          </cell>
          <cell r="B156" t="str">
            <v>Rizky Idamanti</v>
          </cell>
          <cell r="C156">
            <v>20171</v>
          </cell>
          <cell r="D156">
            <v>0</v>
          </cell>
          <cell r="E156">
            <v>0</v>
          </cell>
          <cell r="F156">
            <v>159</v>
          </cell>
          <cell r="G156">
            <v>3.07</v>
          </cell>
          <cell r="H156" t="str">
            <v>A</v>
          </cell>
          <cell r="I156">
            <v>20201</v>
          </cell>
        </row>
        <row r="157">
          <cell r="A157" t="str">
            <v>F1B111071</v>
          </cell>
          <cell r="B157" t="str">
            <v>Rudi Adhitia</v>
          </cell>
          <cell r="C157">
            <v>20171</v>
          </cell>
          <cell r="D157">
            <v>0</v>
          </cell>
          <cell r="E157">
            <v>0</v>
          </cell>
          <cell r="F157">
            <v>51</v>
          </cell>
          <cell r="G157">
            <v>1.1599999999999999</v>
          </cell>
          <cell r="H157" t="str">
            <v>A</v>
          </cell>
          <cell r="I157">
            <v>20201</v>
          </cell>
        </row>
        <row r="158">
          <cell r="A158" t="str">
            <v>F1B111072</v>
          </cell>
          <cell r="B158" t="str">
            <v>Rully Ahsani Yusron</v>
          </cell>
          <cell r="C158">
            <v>20171</v>
          </cell>
          <cell r="D158">
            <v>0</v>
          </cell>
          <cell r="E158">
            <v>0</v>
          </cell>
          <cell r="F158">
            <v>198</v>
          </cell>
          <cell r="G158">
            <v>2.75</v>
          </cell>
          <cell r="H158" t="str">
            <v>A</v>
          </cell>
          <cell r="I158">
            <v>20201</v>
          </cell>
        </row>
        <row r="159">
          <cell r="A159" t="str">
            <v>F1B111073</v>
          </cell>
          <cell r="B159" t="str">
            <v>Rusni</v>
          </cell>
          <cell r="C159">
            <v>20171</v>
          </cell>
          <cell r="D159">
            <v>0</v>
          </cell>
          <cell r="E159">
            <v>0</v>
          </cell>
          <cell r="F159">
            <v>37</v>
          </cell>
          <cell r="G159">
            <v>1.55</v>
          </cell>
          <cell r="H159" t="str">
            <v>A</v>
          </cell>
          <cell r="I159">
            <v>20201</v>
          </cell>
        </row>
        <row r="160">
          <cell r="A160" t="str">
            <v>F1B111074</v>
          </cell>
          <cell r="B160" t="str">
            <v>Ryan Trilaksono</v>
          </cell>
          <cell r="C160">
            <v>20171</v>
          </cell>
          <cell r="D160">
            <v>0</v>
          </cell>
          <cell r="E160">
            <v>0</v>
          </cell>
          <cell r="F160">
            <v>41</v>
          </cell>
          <cell r="G160">
            <v>0.27</v>
          </cell>
          <cell r="H160" t="str">
            <v>A</v>
          </cell>
          <cell r="I160">
            <v>20201</v>
          </cell>
        </row>
        <row r="161">
          <cell r="A161" t="str">
            <v>F1B111075</v>
          </cell>
          <cell r="B161" t="str">
            <v>Sahbudin</v>
          </cell>
          <cell r="C161">
            <v>20171</v>
          </cell>
          <cell r="D161">
            <v>5</v>
          </cell>
          <cell r="E161">
            <v>0</v>
          </cell>
          <cell r="F161">
            <v>205</v>
          </cell>
          <cell r="G161">
            <v>2.2000000000000002</v>
          </cell>
          <cell r="H161" t="str">
            <v>A</v>
          </cell>
          <cell r="I161">
            <v>20201</v>
          </cell>
        </row>
        <row r="162">
          <cell r="A162" t="str">
            <v>F1B111076</v>
          </cell>
          <cell r="B162" t="str">
            <v>Sahdan</v>
          </cell>
          <cell r="C162">
            <v>20171</v>
          </cell>
          <cell r="D162">
            <v>0</v>
          </cell>
          <cell r="E162">
            <v>0</v>
          </cell>
          <cell r="F162">
            <v>37</v>
          </cell>
          <cell r="G162">
            <v>1.26</v>
          </cell>
          <cell r="H162" t="str">
            <v>A</v>
          </cell>
          <cell r="I162">
            <v>20201</v>
          </cell>
        </row>
        <row r="163">
          <cell r="A163" t="str">
            <v>F1B111077</v>
          </cell>
          <cell r="B163" t="str">
            <v>Samsul Hadi</v>
          </cell>
          <cell r="C163">
            <v>20171</v>
          </cell>
          <cell r="D163">
            <v>6</v>
          </cell>
          <cell r="E163">
            <v>2.67</v>
          </cell>
          <cell r="F163">
            <v>190</v>
          </cell>
          <cell r="G163">
            <v>1.98</v>
          </cell>
          <cell r="H163" t="str">
            <v>A</v>
          </cell>
          <cell r="I163">
            <v>20201</v>
          </cell>
        </row>
        <row r="164">
          <cell r="A164" t="str">
            <v>F1B111078</v>
          </cell>
          <cell r="B164" t="str">
            <v>Silaturrahmi</v>
          </cell>
          <cell r="C164">
            <v>20171</v>
          </cell>
          <cell r="D164">
            <v>0</v>
          </cell>
          <cell r="E164">
            <v>0</v>
          </cell>
          <cell r="F164">
            <v>52</v>
          </cell>
          <cell r="G164">
            <v>1.17</v>
          </cell>
          <cell r="H164" t="str">
            <v>A</v>
          </cell>
          <cell r="I164">
            <v>20201</v>
          </cell>
        </row>
        <row r="165">
          <cell r="A165" t="str">
            <v>F1B111079</v>
          </cell>
          <cell r="B165" t="str">
            <v>Stevira Rahman</v>
          </cell>
          <cell r="C165">
            <v>20171</v>
          </cell>
          <cell r="D165">
            <v>0</v>
          </cell>
          <cell r="E165">
            <v>0</v>
          </cell>
          <cell r="F165">
            <v>170</v>
          </cell>
          <cell r="G165">
            <v>2.77</v>
          </cell>
          <cell r="H165" t="str">
            <v>A</v>
          </cell>
          <cell r="I165">
            <v>20201</v>
          </cell>
        </row>
        <row r="166">
          <cell r="A166" t="str">
            <v>F1B111080</v>
          </cell>
          <cell r="B166" t="str">
            <v>Suhufi Ramadhan</v>
          </cell>
          <cell r="C166">
            <v>20171</v>
          </cell>
          <cell r="D166">
            <v>0</v>
          </cell>
          <cell r="E166">
            <v>0</v>
          </cell>
          <cell r="F166">
            <v>162</v>
          </cell>
          <cell r="G166">
            <v>3.09</v>
          </cell>
          <cell r="H166" t="str">
            <v>A</v>
          </cell>
          <cell r="I166">
            <v>20201</v>
          </cell>
        </row>
        <row r="167">
          <cell r="A167" t="str">
            <v>F1B111081</v>
          </cell>
          <cell r="B167" t="str">
            <v>Sumiyati</v>
          </cell>
          <cell r="C167">
            <v>20171</v>
          </cell>
          <cell r="D167">
            <v>4</v>
          </cell>
          <cell r="E167">
            <v>4</v>
          </cell>
          <cell r="F167">
            <v>179</v>
          </cell>
          <cell r="G167">
            <v>2.48</v>
          </cell>
          <cell r="H167" t="str">
            <v>A</v>
          </cell>
          <cell r="I167">
            <v>20201</v>
          </cell>
        </row>
        <row r="168">
          <cell r="A168" t="str">
            <v>F1B111082</v>
          </cell>
          <cell r="B168" t="str">
            <v>Supratman</v>
          </cell>
          <cell r="C168">
            <v>20171</v>
          </cell>
          <cell r="D168">
            <v>0</v>
          </cell>
          <cell r="E168">
            <v>0</v>
          </cell>
          <cell r="F168">
            <v>56</v>
          </cell>
          <cell r="G168">
            <v>0.92</v>
          </cell>
          <cell r="H168" t="str">
            <v>A</v>
          </cell>
          <cell r="I168">
            <v>20201</v>
          </cell>
        </row>
        <row r="169">
          <cell r="A169" t="str">
            <v>F1B111083</v>
          </cell>
          <cell r="B169" t="str">
            <v>Ully Cahyati</v>
          </cell>
          <cell r="C169">
            <v>20171</v>
          </cell>
          <cell r="D169">
            <v>0</v>
          </cell>
          <cell r="E169">
            <v>0</v>
          </cell>
          <cell r="F169">
            <v>164</v>
          </cell>
          <cell r="G169">
            <v>2.57</v>
          </cell>
          <cell r="H169" t="str">
            <v>A</v>
          </cell>
          <cell r="I169">
            <v>20201</v>
          </cell>
        </row>
        <row r="170">
          <cell r="A170" t="str">
            <v>F1B111084</v>
          </cell>
          <cell r="B170" t="str">
            <v>Wahyudi Gunawan</v>
          </cell>
          <cell r="C170">
            <v>20171</v>
          </cell>
          <cell r="D170">
            <v>0</v>
          </cell>
          <cell r="E170">
            <v>0</v>
          </cell>
          <cell r="F170">
            <v>20</v>
          </cell>
          <cell r="G170">
            <v>0</v>
          </cell>
          <cell r="H170" t="str">
            <v>A</v>
          </cell>
          <cell r="I170">
            <v>20201</v>
          </cell>
        </row>
        <row r="171">
          <cell r="A171" t="str">
            <v>F1B111085</v>
          </cell>
          <cell r="B171" t="str">
            <v>Yoyok Eko Saputro D.</v>
          </cell>
          <cell r="C171">
            <v>20171</v>
          </cell>
          <cell r="D171">
            <v>0</v>
          </cell>
          <cell r="E171">
            <v>0</v>
          </cell>
          <cell r="F171">
            <v>37</v>
          </cell>
          <cell r="G171">
            <v>1.36</v>
          </cell>
          <cell r="H171" t="str">
            <v>A</v>
          </cell>
          <cell r="I171">
            <v>20201</v>
          </cell>
        </row>
        <row r="172">
          <cell r="A172" t="str">
            <v>F1B111086</v>
          </cell>
          <cell r="B172" t="str">
            <v>St. Ardyanti Vivi A.P</v>
          </cell>
          <cell r="C172">
            <v>20171</v>
          </cell>
          <cell r="D172">
            <v>0</v>
          </cell>
          <cell r="E172">
            <v>0</v>
          </cell>
          <cell r="F172">
            <v>35</v>
          </cell>
          <cell r="G172">
            <v>1.0900000000000001</v>
          </cell>
          <cell r="H172" t="str">
            <v>A</v>
          </cell>
          <cell r="I172">
            <v>20201</v>
          </cell>
        </row>
        <row r="173">
          <cell r="A173" t="str">
            <v>F1B111087</v>
          </cell>
          <cell r="B173" t="str">
            <v>Yusika Ade Prakasih</v>
          </cell>
          <cell r="C173">
            <v>20171</v>
          </cell>
          <cell r="D173">
            <v>4</v>
          </cell>
          <cell r="E173">
            <v>3.5</v>
          </cell>
          <cell r="F173">
            <v>177</v>
          </cell>
          <cell r="G173">
            <v>2.5</v>
          </cell>
          <cell r="H173" t="str">
            <v>A</v>
          </cell>
          <cell r="I173">
            <v>20201</v>
          </cell>
        </row>
        <row r="174">
          <cell r="A174" t="str">
            <v>F1B111088</v>
          </cell>
          <cell r="B174" t="str">
            <v>Zulkarnaemi</v>
          </cell>
          <cell r="C174">
            <v>20171</v>
          </cell>
          <cell r="D174">
            <v>0</v>
          </cell>
          <cell r="E174">
            <v>0</v>
          </cell>
          <cell r="F174">
            <v>177</v>
          </cell>
          <cell r="G174">
            <v>2.4900000000000002</v>
          </cell>
          <cell r="H174" t="str">
            <v>A</v>
          </cell>
          <cell r="I174">
            <v>20201</v>
          </cell>
        </row>
        <row r="175">
          <cell r="A175" t="str">
            <v>F1B111089</v>
          </cell>
          <cell r="B175" t="str">
            <v>Zulkarnaen Adi S.</v>
          </cell>
          <cell r="C175">
            <v>20171</v>
          </cell>
          <cell r="D175">
            <v>0</v>
          </cell>
          <cell r="E175">
            <v>0</v>
          </cell>
          <cell r="F175">
            <v>173</v>
          </cell>
          <cell r="G175">
            <v>3.01</v>
          </cell>
          <cell r="H175" t="str">
            <v>A</v>
          </cell>
          <cell r="I175">
            <v>20201</v>
          </cell>
        </row>
        <row r="176">
          <cell r="A176" t="str">
            <v>F1B112001</v>
          </cell>
          <cell r="B176" t="str">
            <v>Ade Jodi Harmawan</v>
          </cell>
          <cell r="C176">
            <v>20171</v>
          </cell>
          <cell r="D176">
            <v>4</v>
          </cell>
          <cell r="E176">
            <v>4</v>
          </cell>
          <cell r="F176">
            <v>160</v>
          </cell>
          <cell r="G176">
            <v>3.01</v>
          </cell>
          <cell r="H176" t="str">
            <v>A</v>
          </cell>
          <cell r="I176">
            <v>20201</v>
          </cell>
        </row>
        <row r="177">
          <cell r="A177" t="str">
            <v>F1B112002</v>
          </cell>
          <cell r="B177" t="str">
            <v>Adi Candra Setiawan</v>
          </cell>
          <cell r="C177">
            <v>20171</v>
          </cell>
          <cell r="D177">
            <v>0</v>
          </cell>
          <cell r="E177">
            <v>0</v>
          </cell>
          <cell r="F177">
            <v>60</v>
          </cell>
          <cell r="G177">
            <v>0.77</v>
          </cell>
          <cell r="H177" t="str">
            <v>A</v>
          </cell>
          <cell r="I177">
            <v>20201</v>
          </cell>
        </row>
        <row r="178">
          <cell r="A178" t="str">
            <v>F1B112003</v>
          </cell>
          <cell r="B178" t="str">
            <v>Aditya Kadarusman</v>
          </cell>
          <cell r="C178">
            <v>20171</v>
          </cell>
          <cell r="D178">
            <v>17</v>
          </cell>
          <cell r="E178">
            <v>1.56</v>
          </cell>
          <cell r="F178">
            <v>193</v>
          </cell>
          <cell r="G178">
            <v>2.5</v>
          </cell>
          <cell r="H178" t="str">
            <v>A</v>
          </cell>
          <cell r="I178">
            <v>20201</v>
          </cell>
        </row>
        <row r="179">
          <cell r="A179" t="str">
            <v>F1B112004</v>
          </cell>
          <cell r="B179" t="str">
            <v>Alimudin Embu Tara</v>
          </cell>
          <cell r="C179">
            <v>20171</v>
          </cell>
          <cell r="D179">
            <v>15</v>
          </cell>
          <cell r="E179">
            <v>2.87</v>
          </cell>
          <cell r="F179">
            <v>150</v>
          </cell>
          <cell r="G179">
            <v>1.93</v>
          </cell>
          <cell r="H179" t="str">
            <v>A</v>
          </cell>
          <cell r="I179">
            <v>20201</v>
          </cell>
        </row>
        <row r="180">
          <cell r="A180" t="str">
            <v>F1B112005</v>
          </cell>
          <cell r="B180" t="str">
            <v>Andar Apriadi</v>
          </cell>
          <cell r="C180">
            <v>20171</v>
          </cell>
          <cell r="D180">
            <v>4</v>
          </cell>
          <cell r="E180">
            <v>4</v>
          </cell>
          <cell r="F180">
            <v>151</v>
          </cell>
          <cell r="G180">
            <v>3.04</v>
          </cell>
          <cell r="H180" t="str">
            <v>A</v>
          </cell>
          <cell r="I180">
            <v>20201</v>
          </cell>
        </row>
        <row r="181">
          <cell r="A181" t="str">
            <v>F1B112006</v>
          </cell>
          <cell r="B181" t="str">
            <v>Arie Listianto</v>
          </cell>
          <cell r="C181">
            <v>20171</v>
          </cell>
          <cell r="D181">
            <v>4</v>
          </cell>
          <cell r="E181">
            <v>0</v>
          </cell>
          <cell r="F181">
            <v>178</v>
          </cell>
          <cell r="G181">
            <v>2.44</v>
          </cell>
          <cell r="H181" t="str">
            <v>A</v>
          </cell>
          <cell r="I181">
            <v>20201</v>
          </cell>
        </row>
        <row r="182">
          <cell r="A182" t="str">
            <v>F1B112007</v>
          </cell>
          <cell r="B182" t="str">
            <v>Arif Faisal Tanjung</v>
          </cell>
          <cell r="C182">
            <v>20171</v>
          </cell>
          <cell r="D182">
            <v>0</v>
          </cell>
          <cell r="E182">
            <v>0</v>
          </cell>
          <cell r="F182">
            <v>41</v>
          </cell>
          <cell r="G182">
            <v>1.35</v>
          </cell>
          <cell r="H182" t="str">
            <v>A</v>
          </cell>
          <cell r="I182">
            <v>20201</v>
          </cell>
        </row>
        <row r="183">
          <cell r="A183" t="str">
            <v>F1B112008</v>
          </cell>
          <cell r="B183" t="str">
            <v>Armansyah</v>
          </cell>
          <cell r="C183">
            <v>20171</v>
          </cell>
          <cell r="D183">
            <v>0</v>
          </cell>
          <cell r="E183">
            <v>0</v>
          </cell>
          <cell r="F183">
            <v>20</v>
          </cell>
          <cell r="G183">
            <v>0.45</v>
          </cell>
          <cell r="H183" t="str">
            <v>A</v>
          </cell>
          <cell r="I183">
            <v>20201</v>
          </cell>
        </row>
        <row r="184">
          <cell r="A184" t="str">
            <v>F1B112009</v>
          </cell>
          <cell r="B184" t="str">
            <v>Arwin Juliansyah</v>
          </cell>
          <cell r="C184">
            <v>20171</v>
          </cell>
          <cell r="D184">
            <v>0</v>
          </cell>
          <cell r="E184">
            <v>0</v>
          </cell>
          <cell r="F184">
            <v>37</v>
          </cell>
          <cell r="G184">
            <v>0.82</v>
          </cell>
          <cell r="H184" t="str">
            <v>A</v>
          </cell>
          <cell r="I184">
            <v>20201</v>
          </cell>
        </row>
        <row r="185">
          <cell r="A185" t="str">
            <v>F1B112010</v>
          </cell>
          <cell r="B185" t="str">
            <v>Azumardi Affan</v>
          </cell>
          <cell r="C185">
            <v>20171</v>
          </cell>
          <cell r="D185">
            <v>0</v>
          </cell>
          <cell r="E185">
            <v>0</v>
          </cell>
          <cell r="F185">
            <v>44</v>
          </cell>
          <cell r="G185">
            <v>0.56999999999999995</v>
          </cell>
          <cell r="H185" t="str">
            <v>A</v>
          </cell>
          <cell r="I185">
            <v>20201</v>
          </cell>
        </row>
        <row r="186">
          <cell r="A186" t="str">
            <v>F1B112011</v>
          </cell>
          <cell r="B186" t="str">
            <v>Cokorda Indra Darma Putra</v>
          </cell>
          <cell r="C186">
            <v>20171</v>
          </cell>
          <cell r="D186">
            <v>12</v>
          </cell>
          <cell r="E186">
            <v>2.46</v>
          </cell>
          <cell r="F186">
            <v>169</v>
          </cell>
          <cell r="G186">
            <v>1.91</v>
          </cell>
          <cell r="H186" t="str">
            <v>A</v>
          </cell>
          <cell r="I186">
            <v>20201</v>
          </cell>
        </row>
        <row r="187">
          <cell r="A187" t="str">
            <v>F1B112012</v>
          </cell>
          <cell r="B187" t="str">
            <v>Daniel</v>
          </cell>
          <cell r="C187">
            <v>20171</v>
          </cell>
          <cell r="D187">
            <v>0</v>
          </cell>
          <cell r="E187">
            <v>0</v>
          </cell>
          <cell r="F187">
            <v>41</v>
          </cell>
          <cell r="G187">
            <v>0.83</v>
          </cell>
          <cell r="H187" t="str">
            <v>A</v>
          </cell>
          <cell r="I187">
            <v>20201</v>
          </cell>
        </row>
        <row r="188">
          <cell r="A188" t="str">
            <v>F1B112013</v>
          </cell>
          <cell r="B188" t="str">
            <v>Danu Eka Purnama</v>
          </cell>
          <cell r="C188">
            <v>20171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 t="str">
            <v>A</v>
          </cell>
          <cell r="I188">
            <v>20201</v>
          </cell>
        </row>
        <row r="189">
          <cell r="A189" t="str">
            <v>F1B112014</v>
          </cell>
          <cell r="B189" t="str">
            <v>Darmawan Andi Saputra</v>
          </cell>
          <cell r="C189">
            <v>20171</v>
          </cell>
          <cell r="D189">
            <v>0</v>
          </cell>
          <cell r="E189">
            <v>0</v>
          </cell>
          <cell r="F189">
            <v>20</v>
          </cell>
          <cell r="G189">
            <v>0</v>
          </cell>
          <cell r="H189" t="str">
            <v>A</v>
          </cell>
          <cell r="I189">
            <v>20201</v>
          </cell>
        </row>
        <row r="190">
          <cell r="A190" t="str">
            <v>F1B112015</v>
          </cell>
          <cell r="B190" t="str">
            <v>Didin Januwardi</v>
          </cell>
          <cell r="C190">
            <v>20171</v>
          </cell>
          <cell r="D190">
            <v>0</v>
          </cell>
          <cell r="E190">
            <v>0</v>
          </cell>
          <cell r="F190">
            <v>153</v>
          </cell>
          <cell r="G190">
            <v>3.23</v>
          </cell>
          <cell r="H190" t="str">
            <v>A</v>
          </cell>
          <cell r="I190">
            <v>20201</v>
          </cell>
        </row>
        <row r="191">
          <cell r="A191" t="str">
            <v>F1B112016</v>
          </cell>
          <cell r="B191" t="str">
            <v>Ditya Timur Aska</v>
          </cell>
          <cell r="C191">
            <v>20171</v>
          </cell>
          <cell r="D191">
            <v>2</v>
          </cell>
          <cell r="E191">
            <v>3.5</v>
          </cell>
          <cell r="F191">
            <v>176</v>
          </cell>
          <cell r="G191">
            <v>2.8</v>
          </cell>
          <cell r="H191" t="str">
            <v>A</v>
          </cell>
          <cell r="I191">
            <v>20201</v>
          </cell>
        </row>
        <row r="192">
          <cell r="A192" t="str">
            <v>F1B112017</v>
          </cell>
          <cell r="B192" t="str">
            <v>Dwinanto Romdhani</v>
          </cell>
          <cell r="C192">
            <v>20171</v>
          </cell>
          <cell r="D192">
            <v>0</v>
          </cell>
          <cell r="E192">
            <v>0</v>
          </cell>
          <cell r="F192">
            <v>152</v>
          </cell>
          <cell r="G192">
            <v>3.17</v>
          </cell>
          <cell r="H192" t="str">
            <v>A</v>
          </cell>
          <cell r="I192">
            <v>20201</v>
          </cell>
        </row>
        <row r="193">
          <cell r="A193" t="str">
            <v>F1B112018</v>
          </cell>
          <cell r="B193" t="str">
            <v>Edi Zulkarnain</v>
          </cell>
          <cell r="C193">
            <v>20171</v>
          </cell>
          <cell r="D193">
            <v>7</v>
          </cell>
          <cell r="E193">
            <v>2.29</v>
          </cell>
          <cell r="F193">
            <v>158</v>
          </cell>
          <cell r="G193">
            <v>1.62</v>
          </cell>
          <cell r="H193" t="str">
            <v>A</v>
          </cell>
          <cell r="I193">
            <v>20201</v>
          </cell>
        </row>
        <row r="194">
          <cell r="A194" t="str">
            <v>F1B112019</v>
          </cell>
          <cell r="B194" t="str">
            <v>Erwin Rosdianto</v>
          </cell>
          <cell r="C194">
            <v>20171</v>
          </cell>
          <cell r="D194">
            <v>0</v>
          </cell>
          <cell r="E194">
            <v>0</v>
          </cell>
          <cell r="F194">
            <v>3</v>
          </cell>
          <cell r="G194">
            <v>0</v>
          </cell>
          <cell r="H194" t="str">
            <v>A</v>
          </cell>
          <cell r="I194">
            <v>20201</v>
          </cell>
        </row>
        <row r="195">
          <cell r="A195" t="str">
            <v>F1B112020</v>
          </cell>
          <cell r="B195" t="str">
            <v>Fathi Zulfikri</v>
          </cell>
          <cell r="C195">
            <v>20171</v>
          </cell>
          <cell r="D195">
            <v>0</v>
          </cell>
          <cell r="E195">
            <v>0</v>
          </cell>
          <cell r="F195">
            <v>31</v>
          </cell>
          <cell r="G195">
            <v>0</v>
          </cell>
          <cell r="H195" t="str">
            <v>A</v>
          </cell>
          <cell r="I195">
            <v>20201</v>
          </cell>
        </row>
        <row r="196">
          <cell r="A196" t="str">
            <v>F1B112021</v>
          </cell>
          <cell r="B196" t="str">
            <v>Fatonny Ilham K P</v>
          </cell>
          <cell r="C196">
            <v>20171</v>
          </cell>
          <cell r="D196">
            <v>0</v>
          </cell>
          <cell r="E196">
            <v>0</v>
          </cell>
          <cell r="F196">
            <v>37</v>
          </cell>
          <cell r="G196">
            <v>0.92</v>
          </cell>
          <cell r="H196" t="str">
            <v>A</v>
          </cell>
          <cell r="I196">
            <v>20201</v>
          </cell>
        </row>
        <row r="197">
          <cell r="A197" t="str">
            <v>F1B112022</v>
          </cell>
          <cell r="B197" t="str">
            <v>Felix Superanto</v>
          </cell>
          <cell r="C197">
            <v>20171</v>
          </cell>
          <cell r="D197">
            <v>0</v>
          </cell>
          <cell r="E197">
            <v>0</v>
          </cell>
          <cell r="F197">
            <v>20</v>
          </cell>
          <cell r="G197">
            <v>0.8</v>
          </cell>
          <cell r="H197" t="str">
            <v>A</v>
          </cell>
          <cell r="I197">
            <v>20201</v>
          </cell>
        </row>
        <row r="198">
          <cell r="A198" t="str">
            <v>F1B112023</v>
          </cell>
          <cell r="B198" t="str">
            <v>Fiqri Auliah Willian</v>
          </cell>
          <cell r="C198">
            <v>20171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 t="str">
            <v>A</v>
          </cell>
          <cell r="I198">
            <v>20201</v>
          </cell>
        </row>
        <row r="199">
          <cell r="A199" t="str">
            <v>F1B112024</v>
          </cell>
          <cell r="B199" t="str">
            <v>Frendhi Iman</v>
          </cell>
          <cell r="C199">
            <v>20171</v>
          </cell>
          <cell r="D199">
            <v>0</v>
          </cell>
          <cell r="E199">
            <v>0</v>
          </cell>
          <cell r="F199">
            <v>173</v>
          </cell>
          <cell r="G199">
            <v>2.57</v>
          </cell>
          <cell r="H199" t="str">
            <v>A</v>
          </cell>
          <cell r="I199">
            <v>20201</v>
          </cell>
        </row>
        <row r="200">
          <cell r="A200" t="str">
            <v>F1B112025</v>
          </cell>
          <cell r="B200" t="str">
            <v>Haerur Rosyid</v>
          </cell>
          <cell r="C200">
            <v>20171</v>
          </cell>
          <cell r="D200">
            <v>4</v>
          </cell>
          <cell r="E200">
            <v>3.25</v>
          </cell>
          <cell r="F200">
            <v>171</v>
          </cell>
          <cell r="G200">
            <v>2.77</v>
          </cell>
          <cell r="H200" t="str">
            <v>A</v>
          </cell>
          <cell r="I200">
            <v>20201</v>
          </cell>
        </row>
        <row r="201">
          <cell r="A201" t="str">
            <v>F1B112026</v>
          </cell>
          <cell r="B201" t="str">
            <v>Hartono Fiyono</v>
          </cell>
          <cell r="C201">
            <v>20171</v>
          </cell>
          <cell r="D201">
            <v>11</v>
          </cell>
          <cell r="E201">
            <v>1.32</v>
          </cell>
          <cell r="F201">
            <v>166</v>
          </cell>
          <cell r="G201">
            <v>2.39</v>
          </cell>
          <cell r="H201" t="str">
            <v>A</v>
          </cell>
          <cell r="I201">
            <v>20201</v>
          </cell>
        </row>
        <row r="202">
          <cell r="A202" t="str">
            <v>F1B112027</v>
          </cell>
          <cell r="B202" t="str">
            <v>Husni Tamrin</v>
          </cell>
          <cell r="C202">
            <v>20171</v>
          </cell>
          <cell r="D202">
            <v>3</v>
          </cell>
          <cell r="E202">
            <v>1.5</v>
          </cell>
          <cell r="F202">
            <v>170</v>
          </cell>
          <cell r="G202">
            <v>2.31</v>
          </cell>
          <cell r="H202" t="str">
            <v>A</v>
          </cell>
          <cell r="I202">
            <v>20201</v>
          </cell>
        </row>
        <row r="203">
          <cell r="A203" t="str">
            <v>F1B112028</v>
          </cell>
          <cell r="B203" t="str">
            <v>I Nyoman Tri Amijaya</v>
          </cell>
          <cell r="C203">
            <v>20171</v>
          </cell>
          <cell r="D203">
            <v>0</v>
          </cell>
          <cell r="E203">
            <v>0</v>
          </cell>
          <cell r="F203">
            <v>20</v>
          </cell>
          <cell r="G203">
            <v>2.5</v>
          </cell>
          <cell r="H203" t="str">
            <v>A</v>
          </cell>
          <cell r="I203">
            <v>20201</v>
          </cell>
        </row>
        <row r="204">
          <cell r="A204" t="str">
            <v>F1B112029</v>
          </cell>
          <cell r="B204" t="str">
            <v>I Putu Artha S Y</v>
          </cell>
          <cell r="C204">
            <v>20171</v>
          </cell>
          <cell r="D204">
            <v>0</v>
          </cell>
          <cell r="E204">
            <v>0</v>
          </cell>
          <cell r="F204">
            <v>43</v>
          </cell>
          <cell r="G204">
            <v>1.52</v>
          </cell>
          <cell r="H204" t="str">
            <v>A</v>
          </cell>
          <cell r="I204">
            <v>20201</v>
          </cell>
        </row>
        <row r="205">
          <cell r="A205" t="str">
            <v>F1B112030</v>
          </cell>
          <cell r="B205" t="str">
            <v>I Wayan Juniartha</v>
          </cell>
          <cell r="C205">
            <v>20171</v>
          </cell>
          <cell r="D205">
            <v>10</v>
          </cell>
          <cell r="E205">
            <v>1.4</v>
          </cell>
          <cell r="F205">
            <v>170</v>
          </cell>
          <cell r="G205">
            <v>2.46</v>
          </cell>
          <cell r="H205" t="str">
            <v>A</v>
          </cell>
          <cell r="I205">
            <v>20201</v>
          </cell>
        </row>
        <row r="206">
          <cell r="A206" t="str">
            <v>F1B112031</v>
          </cell>
          <cell r="B206" t="str">
            <v>I Wayan Eka Sabda</v>
          </cell>
          <cell r="C206">
            <v>20171</v>
          </cell>
          <cell r="D206">
            <v>0</v>
          </cell>
          <cell r="E206">
            <v>0</v>
          </cell>
          <cell r="F206">
            <v>156</v>
          </cell>
          <cell r="G206">
            <v>2.79</v>
          </cell>
          <cell r="H206" t="str">
            <v>A</v>
          </cell>
          <cell r="I206">
            <v>20201</v>
          </cell>
        </row>
        <row r="207">
          <cell r="A207" t="str">
            <v>F1B112032</v>
          </cell>
          <cell r="B207" t="str">
            <v>Imansyah Surya G</v>
          </cell>
          <cell r="C207">
            <v>20171</v>
          </cell>
          <cell r="D207">
            <v>0</v>
          </cell>
          <cell r="E207">
            <v>0</v>
          </cell>
          <cell r="F207">
            <v>33</v>
          </cell>
          <cell r="G207">
            <v>0.39</v>
          </cell>
          <cell r="H207" t="str">
            <v>A</v>
          </cell>
          <cell r="I207">
            <v>20201</v>
          </cell>
        </row>
        <row r="208">
          <cell r="A208" t="str">
            <v>F1B112033</v>
          </cell>
          <cell r="B208" t="str">
            <v>Irpan Susanto</v>
          </cell>
          <cell r="C208">
            <v>20171</v>
          </cell>
          <cell r="D208">
            <v>0</v>
          </cell>
          <cell r="E208">
            <v>0</v>
          </cell>
          <cell r="F208">
            <v>45</v>
          </cell>
          <cell r="G208">
            <v>0.91</v>
          </cell>
          <cell r="H208" t="str">
            <v>A</v>
          </cell>
          <cell r="I208">
            <v>20201</v>
          </cell>
        </row>
        <row r="209">
          <cell r="A209" t="str">
            <v>F1B112034</v>
          </cell>
          <cell r="B209" t="str">
            <v>Januar</v>
          </cell>
          <cell r="C209">
            <v>20171</v>
          </cell>
          <cell r="D209">
            <v>0</v>
          </cell>
          <cell r="E209">
            <v>0</v>
          </cell>
          <cell r="F209">
            <v>61</v>
          </cell>
          <cell r="G209">
            <v>2.2999999999999998</v>
          </cell>
          <cell r="H209" t="str">
            <v>A</v>
          </cell>
          <cell r="I209">
            <v>20201</v>
          </cell>
        </row>
        <row r="210">
          <cell r="A210" t="str">
            <v>F1B112035</v>
          </cell>
          <cell r="B210" t="str">
            <v>Krisnogonus P M</v>
          </cell>
          <cell r="C210">
            <v>20171</v>
          </cell>
          <cell r="D210">
            <v>0</v>
          </cell>
          <cell r="E210">
            <v>0</v>
          </cell>
          <cell r="F210">
            <v>36</v>
          </cell>
          <cell r="G210">
            <v>0.78</v>
          </cell>
          <cell r="H210" t="str">
            <v>A</v>
          </cell>
          <cell r="I210">
            <v>20201</v>
          </cell>
        </row>
        <row r="211">
          <cell r="A211" t="str">
            <v>F1B112036</v>
          </cell>
          <cell r="B211" t="str">
            <v>M Ali Akbar</v>
          </cell>
          <cell r="C211">
            <v>20171</v>
          </cell>
          <cell r="D211">
            <v>0</v>
          </cell>
          <cell r="E211">
            <v>0</v>
          </cell>
          <cell r="F211">
            <v>150</v>
          </cell>
          <cell r="G211">
            <v>3.16</v>
          </cell>
          <cell r="H211" t="str">
            <v>A</v>
          </cell>
          <cell r="I211">
            <v>20201</v>
          </cell>
        </row>
        <row r="212">
          <cell r="A212" t="str">
            <v>F1B112037</v>
          </cell>
          <cell r="B212" t="str">
            <v>Muh Idris</v>
          </cell>
          <cell r="C212">
            <v>20171</v>
          </cell>
          <cell r="D212">
            <v>4</v>
          </cell>
          <cell r="E212">
            <v>3.5</v>
          </cell>
          <cell r="F212">
            <v>163</v>
          </cell>
          <cell r="G212">
            <v>2.68</v>
          </cell>
          <cell r="H212" t="str">
            <v>A</v>
          </cell>
          <cell r="I212">
            <v>20201</v>
          </cell>
        </row>
        <row r="213">
          <cell r="A213" t="str">
            <v>F1B112038</v>
          </cell>
          <cell r="B213" t="str">
            <v>Muhammad Ali Hanapi</v>
          </cell>
          <cell r="C213">
            <v>20171</v>
          </cell>
          <cell r="D213">
            <v>0</v>
          </cell>
          <cell r="E213">
            <v>0</v>
          </cell>
          <cell r="F213">
            <v>172</v>
          </cell>
          <cell r="G213">
            <v>2.52</v>
          </cell>
          <cell r="H213" t="str">
            <v>A</v>
          </cell>
          <cell r="I213">
            <v>20201</v>
          </cell>
        </row>
        <row r="214">
          <cell r="A214" t="str">
            <v>F1B112039</v>
          </cell>
          <cell r="B214" t="str">
            <v>Muhammad Basri</v>
          </cell>
          <cell r="C214">
            <v>20171</v>
          </cell>
          <cell r="D214">
            <v>0</v>
          </cell>
          <cell r="E214">
            <v>0</v>
          </cell>
          <cell r="F214">
            <v>67</v>
          </cell>
          <cell r="G214">
            <v>2.2799999999999998</v>
          </cell>
          <cell r="H214" t="str">
            <v>A</v>
          </cell>
          <cell r="I214">
            <v>20201</v>
          </cell>
        </row>
        <row r="215">
          <cell r="A215" t="str">
            <v>F1B112040</v>
          </cell>
          <cell r="B215" t="str">
            <v>Muhammad Irfan</v>
          </cell>
          <cell r="C215">
            <v>20171</v>
          </cell>
          <cell r="D215">
            <v>0</v>
          </cell>
          <cell r="E215">
            <v>0</v>
          </cell>
          <cell r="F215">
            <v>109</v>
          </cell>
          <cell r="G215">
            <v>1.35</v>
          </cell>
          <cell r="H215" t="str">
            <v>A</v>
          </cell>
          <cell r="I215">
            <v>20201</v>
          </cell>
        </row>
        <row r="216">
          <cell r="A216" t="str">
            <v>F1B112041</v>
          </cell>
          <cell r="B216" t="str">
            <v>Muhammad Mukram Hadi</v>
          </cell>
          <cell r="C216">
            <v>20171</v>
          </cell>
          <cell r="D216">
            <v>0</v>
          </cell>
          <cell r="E216">
            <v>0</v>
          </cell>
          <cell r="F216">
            <v>59</v>
          </cell>
          <cell r="G216">
            <v>1.88</v>
          </cell>
          <cell r="H216" t="str">
            <v>A</v>
          </cell>
          <cell r="I216">
            <v>20201</v>
          </cell>
        </row>
        <row r="217">
          <cell r="A217" t="str">
            <v>F1B112042</v>
          </cell>
          <cell r="B217" t="str">
            <v>Muhammad Satriawan A</v>
          </cell>
          <cell r="C217">
            <v>20171</v>
          </cell>
          <cell r="D217">
            <v>17</v>
          </cell>
          <cell r="E217">
            <v>2.74</v>
          </cell>
          <cell r="F217">
            <v>180</v>
          </cell>
          <cell r="G217">
            <v>2.41</v>
          </cell>
          <cell r="H217" t="str">
            <v>A</v>
          </cell>
          <cell r="I217">
            <v>20201</v>
          </cell>
        </row>
        <row r="218">
          <cell r="A218" t="str">
            <v>F1B112043</v>
          </cell>
          <cell r="B218" t="str">
            <v>Nisfu Syaban</v>
          </cell>
          <cell r="C218">
            <v>20171</v>
          </cell>
          <cell r="D218">
            <v>0</v>
          </cell>
          <cell r="E218">
            <v>0</v>
          </cell>
          <cell r="F218">
            <v>38</v>
          </cell>
          <cell r="G218">
            <v>1.34</v>
          </cell>
          <cell r="H218" t="str">
            <v>A</v>
          </cell>
          <cell r="I218">
            <v>20201</v>
          </cell>
        </row>
        <row r="219">
          <cell r="A219" t="str">
            <v>F1B112044</v>
          </cell>
          <cell r="B219" t="str">
            <v>Pakhrijan Rajibullah</v>
          </cell>
          <cell r="C219">
            <v>20171</v>
          </cell>
          <cell r="D219">
            <v>0</v>
          </cell>
          <cell r="E219">
            <v>0</v>
          </cell>
          <cell r="F219">
            <v>20</v>
          </cell>
          <cell r="G219">
            <v>0</v>
          </cell>
          <cell r="H219" t="str">
            <v>A</v>
          </cell>
          <cell r="I219">
            <v>20201</v>
          </cell>
        </row>
        <row r="220">
          <cell r="A220" t="str">
            <v>F1B112045</v>
          </cell>
          <cell r="B220" t="str">
            <v>Reza Fahlevi</v>
          </cell>
          <cell r="C220">
            <v>20171</v>
          </cell>
          <cell r="D220">
            <v>0</v>
          </cell>
          <cell r="E220">
            <v>0</v>
          </cell>
          <cell r="F220">
            <v>62</v>
          </cell>
          <cell r="G220">
            <v>0.5</v>
          </cell>
          <cell r="H220" t="str">
            <v>A</v>
          </cell>
          <cell r="I220">
            <v>20201</v>
          </cell>
        </row>
        <row r="221">
          <cell r="A221" t="str">
            <v>F1B112046</v>
          </cell>
          <cell r="B221" t="str">
            <v>Ricky Lucky Hidayat</v>
          </cell>
          <cell r="C221">
            <v>20171</v>
          </cell>
          <cell r="D221">
            <v>0</v>
          </cell>
          <cell r="E221">
            <v>0</v>
          </cell>
          <cell r="F221">
            <v>57</v>
          </cell>
          <cell r="G221">
            <v>0.91</v>
          </cell>
          <cell r="H221" t="str">
            <v>A</v>
          </cell>
          <cell r="I221">
            <v>20201</v>
          </cell>
        </row>
        <row r="222">
          <cell r="A222" t="str">
            <v>F1B112047</v>
          </cell>
          <cell r="B222" t="str">
            <v>Riko Putra Kusuma</v>
          </cell>
          <cell r="C222">
            <v>20171</v>
          </cell>
          <cell r="D222">
            <v>0</v>
          </cell>
          <cell r="E222">
            <v>0</v>
          </cell>
          <cell r="F222">
            <v>20</v>
          </cell>
          <cell r="G222">
            <v>0.8</v>
          </cell>
          <cell r="H222" t="str">
            <v>A</v>
          </cell>
          <cell r="I222">
            <v>20201</v>
          </cell>
        </row>
        <row r="223">
          <cell r="A223" t="str">
            <v>F1B112048</v>
          </cell>
          <cell r="B223" t="str">
            <v>Rudi Maftuh A</v>
          </cell>
          <cell r="C223">
            <v>20171</v>
          </cell>
          <cell r="D223">
            <v>0</v>
          </cell>
          <cell r="E223">
            <v>0</v>
          </cell>
          <cell r="F223">
            <v>170</v>
          </cell>
          <cell r="G223">
            <v>2.74</v>
          </cell>
          <cell r="H223" t="str">
            <v>A</v>
          </cell>
          <cell r="I223">
            <v>20201</v>
          </cell>
        </row>
        <row r="224">
          <cell r="A224" t="str">
            <v>F1B112049</v>
          </cell>
          <cell r="B224" t="str">
            <v>Shopianto</v>
          </cell>
          <cell r="C224">
            <v>20171</v>
          </cell>
          <cell r="D224">
            <v>0</v>
          </cell>
          <cell r="E224">
            <v>0</v>
          </cell>
          <cell r="F224">
            <v>20</v>
          </cell>
          <cell r="G224">
            <v>1.98</v>
          </cell>
          <cell r="H224" t="str">
            <v>A</v>
          </cell>
          <cell r="I224">
            <v>20201</v>
          </cell>
        </row>
        <row r="225">
          <cell r="A225" t="str">
            <v>F1B112050</v>
          </cell>
          <cell r="B225" t="str">
            <v>Siti Salmiati</v>
          </cell>
          <cell r="C225">
            <v>20171</v>
          </cell>
          <cell r="D225">
            <v>0</v>
          </cell>
          <cell r="E225">
            <v>0</v>
          </cell>
          <cell r="F225">
            <v>60</v>
          </cell>
          <cell r="G225">
            <v>1.1399999999999999</v>
          </cell>
          <cell r="H225" t="str">
            <v>A</v>
          </cell>
          <cell r="I225">
            <v>20201</v>
          </cell>
        </row>
        <row r="226">
          <cell r="A226" t="str">
            <v>F1B112051</v>
          </cell>
          <cell r="B226" t="str">
            <v>Teguh Agamawan Putra</v>
          </cell>
          <cell r="C226">
            <v>20171</v>
          </cell>
          <cell r="D226">
            <v>13</v>
          </cell>
          <cell r="E226">
            <v>2.88</v>
          </cell>
          <cell r="F226">
            <v>161</v>
          </cell>
          <cell r="G226">
            <v>2.15</v>
          </cell>
          <cell r="H226" t="str">
            <v>A</v>
          </cell>
          <cell r="I226">
            <v>20201</v>
          </cell>
        </row>
        <row r="227">
          <cell r="A227" t="str">
            <v>F1B112052</v>
          </cell>
          <cell r="B227" t="str">
            <v>Yanti Fitria</v>
          </cell>
          <cell r="C227">
            <v>20171</v>
          </cell>
          <cell r="D227">
            <v>0</v>
          </cell>
          <cell r="E227">
            <v>0</v>
          </cell>
          <cell r="F227">
            <v>45</v>
          </cell>
          <cell r="G227">
            <v>1.1000000000000001</v>
          </cell>
          <cell r="H227" t="str">
            <v>A</v>
          </cell>
          <cell r="I227">
            <v>20201</v>
          </cell>
        </row>
        <row r="228">
          <cell r="A228" t="str">
            <v>F1B112053</v>
          </cell>
          <cell r="B228" t="str">
            <v>Yogi Suprianto</v>
          </cell>
          <cell r="C228">
            <v>20171</v>
          </cell>
          <cell r="D228">
            <v>0</v>
          </cell>
          <cell r="E228">
            <v>0</v>
          </cell>
          <cell r="F228">
            <v>111</v>
          </cell>
          <cell r="G228">
            <v>1.27</v>
          </cell>
          <cell r="H228" t="str">
            <v>A</v>
          </cell>
          <cell r="I228">
            <v>20201</v>
          </cell>
        </row>
        <row r="229">
          <cell r="A229" t="str">
            <v>F1B112054</v>
          </cell>
          <cell r="B229" t="str">
            <v>Zakaria</v>
          </cell>
          <cell r="C229">
            <v>20171</v>
          </cell>
          <cell r="D229">
            <v>0</v>
          </cell>
          <cell r="E229">
            <v>0</v>
          </cell>
          <cell r="F229">
            <v>38</v>
          </cell>
          <cell r="G229">
            <v>1.58</v>
          </cell>
          <cell r="H229" t="str">
            <v>A</v>
          </cell>
          <cell r="I229">
            <v>20201</v>
          </cell>
        </row>
        <row r="230">
          <cell r="A230" t="str">
            <v>F1B113001</v>
          </cell>
          <cell r="B230" t="str">
            <v>ADAM VERGIAN B</v>
          </cell>
          <cell r="C230">
            <v>20171</v>
          </cell>
          <cell r="D230">
            <v>19</v>
          </cell>
          <cell r="E230">
            <v>1.87</v>
          </cell>
          <cell r="F230">
            <v>154</v>
          </cell>
          <cell r="G230">
            <v>2.44</v>
          </cell>
          <cell r="H230" t="str">
            <v>A</v>
          </cell>
          <cell r="I230">
            <v>20201</v>
          </cell>
        </row>
        <row r="231">
          <cell r="A231" t="str">
            <v>F1B113002</v>
          </cell>
          <cell r="B231" t="str">
            <v>AHMAD FAJRI AULIA</v>
          </cell>
          <cell r="C231">
            <v>20171</v>
          </cell>
          <cell r="D231">
            <v>3</v>
          </cell>
          <cell r="E231">
            <v>2.5</v>
          </cell>
          <cell r="F231">
            <v>156</v>
          </cell>
          <cell r="G231">
            <v>2.97</v>
          </cell>
          <cell r="H231" t="str">
            <v>A</v>
          </cell>
          <cell r="I231">
            <v>20201</v>
          </cell>
        </row>
        <row r="232">
          <cell r="A232" t="str">
            <v>F1B113003</v>
          </cell>
          <cell r="B232" t="str">
            <v>AMWALUDDIN</v>
          </cell>
          <cell r="C232">
            <v>20171</v>
          </cell>
          <cell r="D232">
            <v>0</v>
          </cell>
          <cell r="E232">
            <v>0</v>
          </cell>
          <cell r="F232">
            <v>46</v>
          </cell>
          <cell r="G232">
            <v>1.25</v>
          </cell>
          <cell r="H232" t="str">
            <v>A</v>
          </cell>
          <cell r="I232">
            <v>20201</v>
          </cell>
        </row>
        <row r="233">
          <cell r="A233" t="str">
            <v>F1B113004</v>
          </cell>
          <cell r="B233" t="str">
            <v>ARMANDIANSYAH</v>
          </cell>
          <cell r="C233">
            <v>20171</v>
          </cell>
          <cell r="D233">
            <v>0</v>
          </cell>
          <cell r="E233">
            <v>0</v>
          </cell>
          <cell r="F233">
            <v>53</v>
          </cell>
          <cell r="G233">
            <v>1.04</v>
          </cell>
          <cell r="H233" t="str">
            <v>A</v>
          </cell>
          <cell r="I233">
            <v>20201</v>
          </cell>
        </row>
        <row r="234">
          <cell r="A234" t="str">
            <v>F1B113005</v>
          </cell>
          <cell r="B234" t="str">
            <v>DONNY EKA FEBRIANTO</v>
          </cell>
          <cell r="C234">
            <v>20171</v>
          </cell>
          <cell r="D234">
            <v>0</v>
          </cell>
          <cell r="E234">
            <v>0</v>
          </cell>
          <cell r="F234">
            <v>33</v>
          </cell>
          <cell r="G234">
            <v>0.55000000000000004</v>
          </cell>
          <cell r="H234" t="str">
            <v>A</v>
          </cell>
          <cell r="I234">
            <v>20201</v>
          </cell>
        </row>
        <row r="235">
          <cell r="A235" t="str">
            <v>F1B113006</v>
          </cell>
          <cell r="B235" t="str">
            <v>ELAN CRIYANTO</v>
          </cell>
          <cell r="C235">
            <v>20171</v>
          </cell>
          <cell r="D235">
            <v>4</v>
          </cell>
          <cell r="E235">
            <v>1.5</v>
          </cell>
          <cell r="F235">
            <v>154</v>
          </cell>
          <cell r="G235">
            <v>3.12</v>
          </cell>
          <cell r="H235" t="str">
            <v>A</v>
          </cell>
          <cell r="I235">
            <v>20201</v>
          </cell>
        </row>
        <row r="236">
          <cell r="A236" t="str">
            <v>F1B113007</v>
          </cell>
          <cell r="B236" t="str">
            <v>ENDANG FAISOL</v>
          </cell>
          <cell r="C236">
            <v>20171</v>
          </cell>
          <cell r="D236">
            <v>0</v>
          </cell>
          <cell r="E236">
            <v>0</v>
          </cell>
          <cell r="F236">
            <v>20</v>
          </cell>
          <cell r="G236">
            <v>0</v>
          </cell>
          <cell r="H236" t="str">
            <v>A</v>
          </cell>
          <cell r="I236">
            <v>20201</v>
          </cell>
        </row>
        <row r="237">
          <cell r="A237" t="str">
            <v>F1B113008</v>
          </cell>
          <cell r="B237" t="str">
            <v>FUJIRAT</v>
          </cell>
          <cell r="C237">
            <v>20171</v>
          </cell>
          <cell r="D237">
            <v>0</v>
          </cell>
          <cell r="E237">
            <v>0</v>
          </cell>
          <cell r="F237">
            <v>37</v>
          </cell>
          <cell r="G237">
            <v>1</v>
          </cell>
          <cell r="H237" t="str">
            <v>A</v>
          </cell>
          <cell r="I237">
            <v>20201</v>
          </cell>
        </row>
        <row r="238">
          <cell r="A238" t="str">
            <v>F1B113009</v>
          </cell>
          <cell r="B238" t="str">
            <v>GALIH WIRAYUDA</v>
          </cell>
          <cell r="C238">
            <v>20171</v>
          </cell>
          <cell r="D238">
            <v>0</v>
          </cell>
          <cell r="E238">
            <v>0</v>
          </cell>
          <cell r="F238">
            <v>60</v>
          </cell>
          <cell r="G238">
            <v>0.38</v>
          </cell>
          <cell r="H238" t="str">
            <v>A</v>
          </cell>
          <cell r="I238">
            <v>20201</v>
          </cell>
        </row>
        <row r="239">
          <cell r="A239" t="str">
            <v>F1B113010</v>
          </cell>
          <cell r="B239" t="str">
            <v>GAOS SHAFRONI</v>
          </cell>
          <cell r="C239">
            <v>20171</v>
          </cell>
          <cell r="D239">
            <v>0</v>
          </cell>
          <cell r="E239">
            <v>0</v>
          </cell>
          <cell r="F239">
            <v>32</v>
          </cell>
          <cell r="G239">
            <v>0.47</v>
          </cell>
          <cell r="H239" t="str">
            <v>A</v>
          </cell>
          <cell r="I239">
            <v>20201</v>
          </cell>
        </row>
        <row r="240">
          <cell r="A240" t="str">
            <v>F1B113011</v>
          </cell>
          <cell r="B240" t="str">
            <v>HAFIDZOH</v>
          </cell>
          <cell r="C240">
            <v>20171</v>
          </cell>
          <cell r="D240">
            <v>0</v>
          </cell>
          <cell r="E240">
            <v>0</v>
          </cell>
          <cell r="F240">
            <v>144</v>
          </cell>
          <cell r="G240">
            <v>3.26</v>
          </cell>
          <cell r="H240" t="str">
            <v>A</v>
          </cell>
          <cell r="I240">
            <v>20201</v>
          </cell>
        </row>
        <row r="241">
          <cell r="A241" t="str">
            <v>F1B113012</v>
          </cell>
          <cell r="B241" t="str">
            <v>I GUSTI NGURAH RAY</v>
          </cell>
          <cell r="C241">
            <v>20171</v>
          </cell>
          <cell r="D241">
            <v>0</v>
          </cell>
          <cell r="E241">
            <v>0</v>
          </cell>
          <cell r="F241">
            <v>20</v>
          </cell>
          <cell r="G241">
            <v>0</v>
          </cell>
          <cell r="H241" t="str">
            <v>A</v>
          </cell>
          <cell r="I241">
            <v>20201</v>
          </cell>
        </row>
        <row r="242">
          <cell r="A242" t="str">
            <v>F1B113013</v>
          </cell>
          <cell r="B242" t="str">
            <v>I NENGAH AGUS YOGI A</v>
          </cell>
          <cell r="C242">
            <v>20171</v>
          </cell>
          <cell r="D242">
            <v>15</v>
          </cell>
          <cell r="E242">
            <v>2.9</v>
          </cell>
          <cell r="F242">
            <v>155</v>
          </cell>
          <cell r="G242">
            <v>2.71</v>
          </cell>
          <cell r="H242" t="str">
            <v>A</v>
          </cell>
          <cell r="I242">
            <v>20201</v>
          </cell>
        </row>
        <row r="243">
          <cell r="A243" t="str">
            <v>F1B113014</v>
          </cell>
          <cell r="B243" t="str">
            <v>IBNUL SAHGIANTO</v>
          </cell>
          <cell r="C243">
            <v>20171</v>
          </cell>
          <cell r="D243">
            <v>0</v>
          </cell>
          <cell r="E243">
            <v>0</v>
          </cell>
          <cell r="F243">
            <v>55</v>
          </cell>
          <cell r="G243">
            <v>1.56</v>
          </cell>
          <cell r="H243" t="str">
            <v>A</v>
          </cell>
          <cell r="I243">
            <v>20201</v>
          </cell>
        </row>
        <row r="244">
          <cell r="A244" t="str">
            <v>F1B113015</v>
          </cell>
          <cell r="B244" t="str">
            <v>IMAM RAHMATULLAH S</v>
          </cell>
          <cell r="C244">
            <v>20171</v>
          </cell>
          <cell r="D244">
            <v>19</v>
          </cell>
          <cell r="E244">
            <v>2.16</v>
          </cell>
          <cell r="F244">
            <v>146</v>
          </cell>
          <cell r="G244">
            <v>2.09</v>
          </cell>
          <cell r="H244" t="str">
            <v>A</v>
          </cell>
          <cell r="I244">
            <v>20201</v>
          </cell>
        </row>
        <row r="245">
          <cell r="A245" t="str">
            <v>F1B113016</v>
          </cell>
          <cell r="B245" t="str">
            <v>JUZI SYUKRAN</v>
          </cell>
          <cell r="C245">
            <v>20171</v>
          </cell>
          <cell r="D245">
            <v>12</v>
          </cell>
          <cell r="E245">
            <v>3.21</v>
          </cell>
          <cell r="F245">
            <v>162</v>
          </cell>
          <cell r="G245">
            <v>2.78</v>
          </cell>
          <cell r="H245" t="str">
            <v>A</v>
          </cell>
          <cell r="I245">
            <v>20201</v>
          </cell>
        </row>
        <row r="246">
          <cell r="A246" t="str">
            <v>F1B113017</v>
          </cell>
          <cell r="B246" t="str">
            <v>KHAIRIL AZMI H</v>
          </cell>
          <cell r="C246">
            <v>20171</v>
          </cell>
          <cell r="D246">
            <v>0</v>
          </cell>
          <cell r="E246">
            <v>0</v>
          </cell>
          <cell r="F246">
            <v>36</v>
          </cell>
          <cell r="G246">
            <v>1.17</v>
          </cell>
          <cell r="H246" t="str">
            <v>A</v>
          </cell>
          <cell r="I246">
            <v>20201</v>
          </cell>
        </row>
        <row r="247">
          <cell r="A247" t="str">
            <v>F1B113018</v>
          </cell>
          <cell r="B247" t="str">
            <v>KI AGUS FERDIAN AKBAR</v>
          </cell>
          <cell r="C247">
            <v>20171</v>
          </cell>
          <cell r="D247">
            <v>0</v>
          </cell>
          <cell r="E247">
            <v>0</v>
          </cell>
          <cell r="F247">
            <v>37</v>
          </cell>
          <cell r="G247">
            <v>1.07</v>
          </cell>
          <cell r="H247" t="str">
            <v>A</v>
          </cell>
          <cell r="I247">
            <v>20201</v>
          </cell>
        </row>
        <row r="248">
          <cell r="A248" t="str">
            <v>F1B113019</v>
          </cell>
          <cell r="B248" t="str">
            <v>L DICKY HENDRIYAN</v>
          </cell>
          <cell r="C248">
            <v>20171</v>
          </cell>
          <cell r="D248">
            <v>0</v>
          </cell>
          <cell r="E248">
            <v>0</v>
          </cell>
          <cell r="F248">
            <v>31</v>
          </cell>
          <cell r="G248">
            <v>0.55000000000000004</v>
          </cell>
          <cell r="H248" t="str">
            <v>A</v>
          </cell>
          <cell r="I248">
            <v>20201</v>
          </cell>
        </row>
        <row r="249">
          <cell r="A249" t="str">
            <v>F1B113020</v>
          </cell>
          <cell r="B249" t="str">
            <v>LALU HERIANTO</v>
          </cell>
          <cell r="C249">
            <v>20171</v>
          </cell>
          <cell r="D249">
            <v>0</v>
          </cell>
          <cell r="E249">
            <v>0</v>
          </cell>
          <cell r="F249">
            <v>52</v>
          </cell>
          <cell r="G249">
            <v>0.83</v>
          </cell>
          <cell r="H249" t="str">
            <v>A</v>
          </cell>
          <cell r="I249">
            <v>20201</v>
          </cell>
        </row>
        <row r="250">
          <cell r="A250" t="str">
            <v>F1B113021</v>
          </cell>
          <cell r="B250" t="str">
            <v>LALU MUHAMMAD IBNU N</v>
          </cell>
          <cell r="C250">
            <v>20171</v>
          </cell>
          <cell r="D250">
            <v>17</v>
          </cell>
          <cell r="E250">
            <v>2.88</v>
          </cell>
          <cell r="F250">
            <v>162</v>
          </cell>
          <cell r="G250">
            <v>2.71</v>
          </cell>
          <cell r="H250" t="str">
            <v>A</v>
          </cell>
          <cell r="I250">
            <v>20201</v>
          </cell>
        </row>
        <row r="251">
          <cell r="A251" t="str">
            <v>F1B113022</v>
          </cell>
          <cell r="B251" t="str">
            <v>LAZARUS CHRISTIAN P</v>
          </cell>
          <cell r="C251">
            <v>20171</v>
          </cell>
          <cell r="D251">
            <v>10</v>
          </cell>
          <cell r="E251">
            <v>2.65</v>
          </cell>
          <cell r="F251">
            <v>108</v>
          </cell>
          <cell r="G251">
            <v>1.58</v>
          </cell>
          <cell r="H251" t="str">
            <v>A</v>
          </cell>
          <cell r="I251">
            <v>20201</v>
          </cell>
        </row>
        <row r="252">
          <cell r="A252" t="str">
            <v>F1B113023</v>
          </cell>
          <cell r="B252" t="str">
            <v>M. AZMI SAPUTRA</v>
          </cell>
          <cell r="C252">
            <v>20171</v>
          </cell>
          <cell r="D252">
            <v>0</v>
          </cell>
          <cell r="E252">
            <v>0</v>
          </cell>
          <cell r="F252">
            <v>51</v>
          </cell>
          <cell r="G252">
            <v>0.43</v>
          </cell>
          <cell r="H252" t="str">
            <v>A</v>
          </cell>
          <cell r="I252">
            <v>20201</v>
          </cell>
        </row>
        <row r="253">
          <cell r="A253" t="str">
            <v>F1B113024</v>
          </cell>
          <cell r="B253" t="str">
            <v>MARATUS SOLEHA</v>
          </cell>
          <cell r="C253">
            <v>20171</v>
          </cell>
          <cell r="D253">
            <v>2</v>
          </cell>
          <cell r="E253">
            <v>0</v>
          </cell>
          <cell r="F253">
            <v>156</v>
          </cell>
          <cell r="G253">
            <v>2.65</v>
          </cell>
          <cell r="H253" t="str">
            <v>A</v>
          </cell>
          <cell r="I253">
            <v>20201</v>
          </cell>
        </row>
        <row r="254">
          <cell r="A254" t="str">
            <v>F1B113025</v>
          </cell>
          <cell r="B254" t="str">
            <v>MEGA ASMARA P</v>
          </cell>
          <cell r="C254">
            <v>20171</v>
          </cell>
          <cell r="D254">
            <v>0</v>
          </cell>
          <cell r="E254">
            <v>0</v>
          </cell>
          <cell r="F254">
            <v>20</v>
          </cell>
          <cell r="G254">
            <v>0</v>
          </cell>
          <cell r="H254" t="str">
            <v>A</v>
          </cell>
          <cell r="I254">
            <v>20201</v>
          </cell>
        </row>
        <row r="255">
          <cell r="A255" t="str">
            <v>F1B113026</v>
          </cell>
          <cell r="B255" t="str">
            <v>MUHAMAD ARDI RAHMAN</v>
          </cell>
          <cell r="C255">
            <v>20171</v>
          </cell>
          <cell r="D255">
            <v>12</v>
          </cell>
          <cell r="E255">
            <v>3.13</v>
          </cell>
          <cell r="F255">
            <v>158</v>
          </cell>
          <cell r="G255">
            <v>2.79</v>
          </cell>
          <cell r="H255" t="str">
            <v>A</v>
          </cell>
          <cell r="I255">
            <v>20201</v>
          </cell>
        </row>
        <row r="256">
          <cell r="A256" t="str">
            <v>F1B113027</v>
          </cell>
          <cell r="B256" t="str">
            <v>NANANG MUHAMMAD H</v>
          </cell>
          <cell r="C256">
            <v>20171</v>
          </cell>
          <cell r="D256">
            <v>0</v>
          </cell>
          <cell r="E256">
            <v>0</v>
          </cell>
          <cell r="F256">
            <v>63</v>
          </cell>
          <cell r="G256">
            <v>1.03</v>
          </cell>
          <cell r="H256" t="str">
            <v>A</v>
          </cell>
          <cell r="I256">
            <v>20201</v>
          </cell>
        </row>
        <row r="257">
          <cell r="A257" t="str">
            <v>F1B113028</v>
          </cell>
          <cell r="B257" t="str">
            <v>PUGUH DWI ANTARA</v>
          </cell>
          <cell r="C257">
            <v>20171</v>
          </cell>
          <cell r="D257">
            <v>19</v>
          </cell>
          <cell r="E257">
            <v>2.5</v>
          </cell>
          <cell r="F257">
            <v>158</v>
          </cell>
          <cell r="G257">
            <v>2.27</v>
          </cell>
          <cell r="H257" t="str">
            <v>A</v>
          </cell>
          <cell r="I257">
            <v>20201</v>
          </cell>
        </row>
        <row r="258">
          <cell r="A258" t="str">
            <v>F1B113029</v>
          </cell>
          <cell r="B258" t="str">
            <v>RANGGA FAJAR MAULANA</v>
          </cell>
          <cell r="C258">
            <v>20171</v>
          </cell>
          <cell r="D258">
            <v>21</v>
          </cell>
          <cell r="E258">
            <v>2.98</v>
          </cell>
          <cell r="F258">
            <v>164</v>
          </cell>
          <cell r="G258">
            <v>2.4700000000000002</v>
          </cell>
          <cell r="H258" t="str">
            <v>A</v>
          </cell>
          <cell r="I258">
            <v>20201</v>
          </cell>
        </row>
        <row r="259">
          <cell r="A259" t="str">
            <v>F1B113030</v>
          </cell>
          <cell r="B259" t="str">
            <v>RIZAL ADI SAPUTRA</v>
          </cell>
          <cell r="C259">
            <v>20171</v>
          </cell>
          <cell r="D259">
            <v>21</v>
          </cell>
          <cell r="E259">
            <v>3.12</v>
          </cell>
          <cell r="F259">
            <v>168</v>
          </cell>
          <cell r="G259">
            <v>2.81</v>
          </cell>
          <cell r="H259" t="str">
            <v>A</v>
          </cell>
          <cell r="I259">
            <v>20201</v>
          </cell>
        </row>
        <row r="260">
          <cell r="A260" t="str">
            <v>F1B113031</v>
          </cell>
          <cell r="B260" t="str">
            <v>SADIQ RAMADHOAN</v>
          </cell>
          <cell r="C260">
            <v>20171</v>
          </cell>
          <cell r="D260">
            <v>23</v>
          </cell>
          <cell r="E260">
            <v>1.72</v>
          </cell>
          <cell r="F260">
            <v>166</v>
          </cell>
          <cell r="G260">
            <v>2.36</v>
          </cell>
          <cell r="H260" t="str">
            <v>A</v>
          </cell>
          <cell r="I260">
            <v>20201</v>
          </cell>
        </row>
        <row r="261">
          <cell r="A261" t="str">
            <v>F1B113032</v>
          </cell>
          <cell r="B261" t="str">
            <v>SAMSUL AZWARI</v>
          </cell>
          <cell r="C261">
            <v>20171</v>
          </cell>
          <cell r="D261">
            <v>20</v>
          </cell>
          <cell r="E261">
            <v>2.7</v>
          </cell>
          <cell r="F261">
            <v>169</v>
          </cell>
          <cell r="G261">
            <v>2.52</v>
          </cell>
          <cell r="H261" t="str">
            <v>A</v>
          </cell>
          <cell r="I261">
            <v>20201</v>
          </cell>
        </row>
        <row r="262">
          <cell r="A262" t="str">
            <v>F1B113033</v>
          </cell>
          <cell r="B262" t="str">
            <v>SERLY MARLINA</v>
          </cell>
          <cell r="C262">
            <v>20171</v>
          </cell>
          <cell r="D262">
            <v>7</v>
          </cell>
          <cell r="E262">
            <v>2.71</v>
          </cell>
          <cell r="F262">
            <v>152</v>
          </cell>
          <cell r="G262">
            <v>2.92</v>
          </cell>
          <cell r="H262" t="str">
            <v>A</v>
          </cell>
          <cell r="I262">
            <v>20201</v>
          </cell>
        </row>
        <row r="263">
          <cell r="A263" t="str">
            <v>F1B113034</v>
          </cell>
          <cell r="B263" t="str">
            <v>SHIR AJIE ASMORO</v>
          </cell>
          <cell r="C263">
            <v>20171</v>
          </cell>
          <cell r="D263">
            <v>20</v>
          </cell>
          <cell r="E263">
            <v>2.8</v>
          </cell>
          <cell r="F263">
            <v>154</v>
          </cell>
          <cell r="G263">
            <v>2.19</v>
          </cell>
          <cell r="H263" t="str">
            <v>A</v>
          </cell>
          <cell r="I263">
            <v>20201</v>
          </cell>
        </row>
        <row r="264">
          <cell r="A264" t="str">
            <v>F1B113035</v>
          </cell>
          <cell r="B264" t="str">
            <v>SILVIA RAHMA WIDYA WARDHANI</v>
          </cell>
          <cell r="C264">
            <v>20171</v>
          </cell>
          <cell r="D264">
            <v>0</v>
          </cell>
          <cell r="E264">
            <v>0</v>
          </cell>
          <cell r="F264">
            <v>34</v>
          </cell>
          <cell r="G264">
            <v>0.09</v>
          </cell>
          <cell r="H264" t="str">
            <v>A</v>
          </cell>
          <cell r="I264">
            <v>20201</v>
          </cell>
        </row>
        <row r="265">
          <cell r="A265" t="str">
            <v>F1B113036</v>
          </cell>
          <cell r="B265" t="str">
            <v>SYARIF AULIA RAHMAN</v>
          </cell>
          <cell r="C265">
            <v>20171</v>
          </cell>
          <cell r="D265">
            <v>0</v>
          </cell>
          <cell r="E265">
            <v>0</v>
          </cell>
          <cell r="F265">
            <v>34</v>
          </cell>
          <cell r="G265">
            <v>0.91</v>
          </cell>
          <cell r="H265" t="str">
            <v>A</v>
          </cell>
          <cell r="I265">
            <v>20201</v>
          </cell>
        </row>
        <row r="266">
          <cell r="A266" t="str">
            <v>F1B113037</v>
          </cell>
          <cell r="B266" t="str">
            <v>ULUL AZMI</v>
          </cell>
          <cell r="C266">
            <v>20171</v>
          </cell>
          <cell r="D266">
            <v>12</v>
          </cell>
          <cell r="E266">
            <v>3.46</v>
          </cell>
          <cell r="F266">
            <v>155</v>
          </cell>
          <cell r="G266">
            <v>2.94</v>
          </cell>
          <cell r="H266" t="str">
            <v>A</v>
          </cell>
          <cell r="I266">
            <v>20201</v>
          </cell>
        </row>
        <row r="267">
          <cell r="A267" t="str">
            <v>F1B113038</v>
          </cell>
          <cell r="B267" t="str">
            <v>UMAR SAJI RABBANI</v>
          </cell>
          <cell r="C267">
            <v>20171</v>
          </cell>
          <cell r="D267">
            <v>0</v>
          </cell>
          <cell r="E267">
            <v>0</v>
          </cell>
          <cell r="F267">
            <v>57</v>
          </cell>
          <cell r="G267">
            <v>0.49</v>
          </cell>
          <cell r="H267" t="str">
            <v>A</v>
          </cell>
          <cell r="I267">
            <v>20201</v>
          </cell>
        </row>
        <row r="268">
          <cell r="A268" t="str">
            <v>F1B113039</v>
          </cell>
          <cell r="B268" t="str">
            <v>VIA AGESTA PRASTYA</v>
          </cell>
          <cell r="C268">
            <v>20171</v>
          </cell>
          <cell r="D268">
            <v>0</v>
          </cell>
          <cell r="E268">
            <v>0</v>
          </cell>
          <cell r="F268">
            <v>35</v>
          </cell>
          <cell r="G268">
            <v>0.97</v>
          </cell>
          <cell r="H268" t="str">
            <v>A</v>
          </cell>
          <cell r="I268">
            <v>20201</v>
          </cell>
        </row>
        <row r="269">
          <cell r="A269" t="str">
            <v>F1B113040</v>
          </cell>
          <cell r="B269" t="str">
            <v>YUNISETY WIBAWA</v>
          </cell>
          <cell r="C269">
            <v>20171</v>
          </cell>
          <cell r="D269">
            <v>0</v>
          </cell>
          <cell r="E269">
            <v>0</v>
          </cell>
          <cell r="F269">
            <v>20</v>
          </cell>
          <cell r="G269">
            <v>0</v>
          </cell>
          <cell r="H269" t="str">
            <v>A</v>
          </cell>
          <cell r="I269">
            <v>20201</v>
          </cell>
        </row>
        <row r="270">
          <cell r="A270" t="str">
            <v>F1B114001</v>
          </cell>
          <cell r="B270" t="str">
            <v>ADI PURNA</v>
          </cell>
          <cell r="C270">
            <v>20171</v>
          </cell>
          <cell r="D270">
            <v>22</v>
          </cell>
          <cell r="E270">
            <v>3.18</v>
          </cell>
          <cell r="F270">
            <v>141</v>
          </cell>
          <cell r="G270">
            <v>2.68</v>
          </cell>
          <cell r="H270" t="str">
            <v>A</v>
          </cell>
          <cell r="I270">
            <v>20201</v>
          </cell>
        </row>
        <row r="271">
          <cell r="A271" t="str">
            <v>F1B114002</v>
          </cell>
          <cell r="B271" t="str">
            <v>ADITYA RAMADHAN</v>
          </cell>
          <cell r="C271">
            <v>20171</v>
          </cell>
          <cell r="D271">
            <v>0</v>
          </cell>
          <cell r="E271">
            <v>0</v>
          </cell>
          <cell r="F271">
            <v>29</v>
          </cell>
          <cell r="G271">
            <v>0.24</v>
          </cell>
          <cell r="H271" t="str">
            <v>A</v>
          </cell>
          <cell r="I271">
            <v>20201</v>
          </cell>
        </row>
        <row r="272">
          <cell r="A272" t="str">
            <v>F1B114003</v>
          </cell>
          <cell r="B272" t="str">
            <v>AGUS SUPANDI</v>
          </cell>
          <cell r="C272">
            <v>20171</v>
          </cell>
          <cell r="D272">
            <v>20</v>
          </cell>
          <cell r="E272">
            <v>3.23</v>
          </cell>
          <cell r="F272">
            <v>134</v>
          </cell>
          <cell r="G272">
            <v>2.75</v>
          </cell>
          <cell r="H272" t="str">
            <v>A</v>
          </cell>
          <cell r="I272">
            <v>20201</v>
          </cell>
        </row>
        <row r="273">
          <cell r="A273" t="str">
            <v>F1B114004</v>
          </cell>
          <cell r="B273" t="str">
            <v>AKHMAD AKHIR BULAN</v>
          </cell>
          <cell r="C273">
            <v>20171</v>
          </cell>
          <cell r="D273">
            <v>23</v>
          </cell>
          <cell r="E273">
            <v>2.2799999999999998</v>
          </cell>
          <cell r="F273">
            <v>133</v>
          </cell>
          <cell r="G273">
            <v>2.36</v>
          </cell>
          <cell r="H273" t="str">
            <v>A</v>
          </cell>
          <cell r="I273">
            <v>20201</v>
          </cell>
        </row>
        <row r="274">
          <cell r="A274" t="str">
            <v>F1B114005</v>
          </cell>
          <cell r="B274" t="str">
            <v>ARYAS DINATA</v>
          </cell>
          <cell r="C274">
            <v>20171</v>
          </cell>
          <cell r="D274">
            <v>0</v>
          </cell>
          <cell r="E274">
            <v>0</v>
          </cell>
          <cell r="F274">
            <v>39</v>
          </cell>
          <cell r="G274">
            <v>0.59</v>
          </cell>
          <cell r="H274" t="str">
            <v>A</v>
          </cell>
          <cell r="I274">
            <v>20201</v>
          </cell>
        </row>
        <row r="275">
          <cell r="A275" t="str">
            <v>F1B114006</v>
          </cell>
          <cell r="B275" t="str">
            <v>BAYU RAMADHAN</v>
          </cell>
          <cell r="C275">
            <v>20171</v>
          </cell>
          <cell r="D275">
            <v>14</v>
          </cell>
          <cell r="E275">
            <v>3.36</v>
          </cell>
          <cell r="F275">
            <v>140</v>
          </cell>
          <cell r="G275">
            <v>3.01</v>
          </cell>
          <cell r="H275" t="str">
            <v>A</v>
          </cell>
          <cell r="I275">
            <v>20201</v>
          </cell>
        </row>
        <row r="276">
          <cell r="A276" t="str">
            <v>F1B114007</v>
          </cell>
          <cell r="B276" t="str">
            <v>BIJE SYIAPRIADI D</v>
          </cell>
          <cell r="C276">
            <v>20171</v>
          </cell>
          <cell r="D276">
            <v>19</v>
          </cell>
          <cell r="E276">
            <v>2.4700000000000002</v>
          </cell>
          <cell r="F276">
            <v>131</v>
          </cell>
          <cell r="G276">
            <v>2.4300000000000002</v>
          </cell>
          <cell r="H276" t="str">
            <v>A</v>
          </cell>
          <cell r="I276">
            <v>20201</v>
          </cell>
        </row>
        <row r="277">
          <cell r="A277" t="str">
            <v>F1B114008</v>
          </cell>
          <cell r="B277" t="str">
            <v>BRIAN ABBY ARIESTYO WIRYANDITO</v>
          </cell>
          <cell r="C277">
            <v>20171</v>
          </cell>
          <cell r="D277">
            <v>15</v>
          </cell>
          <cell r="E277">
            <v>3.57</v>
          </cell>
          <cell r="F277">
            <v>143</v>
          </cell>
          <cell r="G277">
            <v>3.19</v>
          </cell>
          <cell r="H277" t="str">
            <v>A</v>
          </cell>
          <cell r="I277">
            <v>20201</v>
          </cell>
        </row>
        <row r="278">
          <cell r="A278" t="str">
            <v>F1B114009</v>
          </cell>
          <cell r="B278" t="str">
            <v>DANA SELVIA HADISWARA</v>
          </cell>
          <cell r="C278">
            <v>20171</v>
          </cell>
          <cell r="D278">
            <v>18</v>
          </cell>
          <cell r="E278">
            <v>3.08</v>
          </cell>
          <cell r="F278">
            <v>133</v>
          </cell>
          <cell r="G278">
            <v>2.9</v>
          </cell>
          <cell r="H278" t="str">
            <v>A</v>
          </cell>
          <cell r="I278">
            <v>20201</v>
          </cell>
        </row>
        <row r="279">
          <cell r="A279" t="str">
            <v>F1B114010</v>
          </cell>
          <cell r="B279" t="str">
            <v>EKA MARTA SIOMI</v>
          </cell>
          <cell r="C279">
            <v>20171</v>
          </cell>
          <cell r="D279">
            <v>20</v>
          </cell>
          <cell r="E279">
            <v>3.28</v>
          </cell>
          <cell r="F279">
            <v>134</v>
          </cell>
          <cell r="G279">
            <v>2.98</v>
          </cell>
          <cell r="H279" t="str">
            <v>A</v>
          </cell>
          <cell r="I279">
            <v>20201</v>
          </cell>
        </row>
        <row r="280">
          <cell r="A280" t="str">
            <v>F1B114011</v>
          </cell>
          <cell r="B280" t="str">
            <v>ERWIN LINGGA SAPUTRA</v>
          </cell>
          <cell r="C280">
            <v>20171</v>
          </cell>
          <cell r="D280">
            <v>21</v>
          </cell>
          <cell r="E280">
            <v>2.19</v>
          </cell>
          <cell r="F280">
            <v>107</v>
          </cell>
          <cell r="G280">
            <v>2.0099999999999998</v>
          </cell>
          <cell r="H280" t="str">
            <v>A</v>
          </cell>
          <cell r="I280">
            <v>20201</v>
          </cell>
        </row>
        <row r="281">
          <cell r="A281" t="str">
            <v>F1B114012</v>
          </cell>
          <cell r="B281" t="str">
            <v>FATHUL AZIZ</v>
          </cell>
          <cell r="C281">
            <v>20171</v>
          </cell>
          <cell r="D281">
            <v>18</v>
          </cell>
          <cell r="E281">
            <v>2.31</v>
          </cell>
          <cell r="F281">
            <v>133</v>
          </cell>
          <cell r="G281">
            <v>2.4500000000000002</v>
          </cell>
          <cell r="H281" t="str">
            <v>A</v>
          </cell>
          <cell r="I281">
            <v>20201</v>
          </cell>
        </row>
        <row r="282">
          <cell r="A282" t="str">
            <v>F1B114013</v>
          </cell>
          <cell r="B282" t="str">
            <v>FATHUL AZIZ BIN ZAINUDDIN</v>
          </cell>
          <cell r="C282">
            <v>20171</v>
          </cell>
          <cell r="D282">
            <v>0</v>
          </cell>
          <cell r="E282">
            <v>0</v>
          </cell>
          <cell r="F282">
            <v>19</v>
          </cell>
          <cell r="G282">
            <v>0</v>
          </cell>
          <cell r="H282" t="str">
            <v>A</v>
          </cell>
          <cell r="I282">
            <v>20201</v>
          </cell>
        </row>
        <row r="283">
          <cell r="A283" t="str">
            <v>F1B114014</v>
          </cell>
          <cell r="B283" t="str">
            <v>HAMDUN</v>
          </cell>
          <cell r="C283">
            <v>20171</v>
          </cell>
          <cell r="D283">
            <v>19</v>
          </cell>
          <cell r="E283">
            <v>2.74</v>
          </cell>
          <cell r="F283">
            <v>136</v>
          </cell>
          <cell r="G283">
            <v>2.89</v>
          </cell>
          <cell r="H283" t="str">
            <v>A</v>
          </cell>
          <cell r="I283">
            <v>20201</v>
          </cell>
        </row>
        <row r="284">
          <cell r="A284" t="str">
            <v>F1B114015</v>
          </cell>
          <cell r="B284" t="str">
            <v>HASAN AZHARI</v>
          </cell>
          <cell r="C284">
            <v>20171</v>
          </cell>
          <cell r="D284">
            <v>0</v>
          </cell>
          <cell r="E284">
            <v>0</v>
          </cell>
          <cell r="F284">
            <v>19</v>
          </cell>
          <cell r="G284">
            <v>0</v>
          </cell>
          <cell r="H284" t="str">
            <v>A</v>
          </cell>
          <cell r="I284">
            <v>20201</v>
          </cell>
        </row>
        <row r="285">
          <cell r="A285" t="str">
            <v>F1B114016</v>
          </cell>
          <cell r="B285" t="str">
            <v>HERLAN</v>
          </cell>
          <cell r="C285">
            <v>20171</v>
          </cell>
          <cell r="D285">
            <v>17</v>
          </cell>
          <cell r="E285">
            <v>2.94</v>
          </cell>
          <cell r="F285">
            <v>127</v>
          </cell>
          <cell r="G285">
            <v>2.31</v>
          </cell>
          <cell r="H285" t="str">
            <v>A</v>
          </cell>
          <cell r="I285">
            <v>20201</v>
          </cell>
        </row>
        <row r="286">
          <cell r="A286" t="str">
            <v>F1B114017</v>
          </cell>
          <cell r="B286" t="str">
            <v>HIDAYATUR RAHMAN</v>
          </cell>
          <cell r="C286">
            <v>20171</v>
          </cell>
          <cell r="D286">
            <v>10</v>
          </cell>
          <cell r="E286">
            <v>3.3</v>
          </cell>
          <cell r="F286">
            <v>141</v>
          </cell>
          <cell r="G286">
            <v>3.07</v>
          </cell>
          <cell r="H286" t="str">
            <v>A</v>
          </cell>
          <cell r="I286">
            <v>20201</v>
          </cell>
        </row>
        <row r="287">
          <cell r="A287" t="str">
            <v>F1B114018</v>
          </cell>
          <cell r="B287" t="str">
            <v>I GUSTI BAGUS HENDRA PRADIPTA</v>
          </cell>
          <cell r="C287">
            <v>20171</v>
          </cell>
          <cell r="D287">
            <v>19</v>
          </cell>
          <cell r="E287">
            <v>3.71</v>
          </cell>
          <cell r="F287">
            <v>142</v>
          </cell>
          <cell r="G287">
            <v>2.96</v>
          </cell>
          <cell r="H287" t="str">
            <v>A</v>
          </cell>
          <cell r="I287">
            <v>20201</v>
          </cell>
        </row>
        <row r="288">
          <cell r="A288" t="str">
            <v>F1B114019</v>
          </cell>
          <cell r="B288" t="str">
            <v>IMAM MUAMAR</v>
          </cell>
          <cell r="C288">
            <v>20171</v>
          </cell>
          <cell r="D288">
            <v>0</v>
          </cell>
          <cell r="E288">
            <v>0</v>
          </cell>
          <cell r="F288">
            <v>64</v>
          </cell>
          <cell r="G288">
            <v>1.1599999999999999</v>
          </cell>
          <cell r="H288" t="str">
            <v>A</v>
          </cell>
          <cell r="I288">
            <v>20201</v>
          </cell>
        </row>
        <row r="289">
          <cell r="A289" t="str">
            <v>F1B114020</v>
          </cell>
          <cell r="B289" t="str">
            <v>IMRAN</v>
          </cell>
          <cell r="C289">
            <v>20171</v>
          </cell>
          <cell r="D289">
            <v>18</v>
          </cell>
          <cell r="E289">
            <v>3.47</v>
          </cell>
          <cell r="F289">
            <v>146</v>
          </cell>
          <cell r="G289">
            <v>3.02</v>
          </cell>
          <cell r="H289" t="str">
            <v>A</v>
          </cell>
          <cell r="I289">
            <v>20201</v>
          </cell>
        </row>
        <row r="290">
          <cell r="A290" t="str">
            <v>F1B114021</v>
          </cell>
          <cell r="B290" t="str">
            <v>JAUHARI MAKNUN</v>
          </cell>
          <cell r="C290">
            <v>20171</v>
          </cell>
          <cell r="D290">
            <v>9</v>
          </cell>
          <cell r="E290">
            <v>0.56000000000000005</v>
          </cell>
          <cell r="F290">
            <v>109</v>
          </cell>
          <cell r="G290">
            <v>1.55</v>
          </cell>
          <cell r="H290" t="str">
            <v>A</v>
          </cell>
          <cell r="I290">
            <v>20201</v>
          </cell>
        </row>
        <row r="291">
          <cell r="A291" t="str">
            <v>F1B114022</v>
          </cell>
          <cell r="B291" t="str">
            <v>JUWITA ASRI</v>
          </cell>
          <cell r="C291">
            <v>20171</v>
          </cell>
          <cell r="D291">
            <v>20</v>
          </cell>
          <cell r="E291">
            <v>3</v>
          </cell>
          <cell r="F291">
            <v>123</v>
          </cell>
          <cell r="G291">
            <v>2.39</v>
          </cell>
          <cell r="H291" t="str">
            <v>A</v>
          </cell>
          <cell r="I291">
            <v>20201</v>
          </cell>
        </row>
        <row r="292">
          <cell r="A292" t="str">
            <v>F1B114023</v>
          </cell>
          <cell r="B292" t="str">
            <v>M ZONI RAHMAN</v>
          </cell>
          <cell r="C292">
            <v>20171</v>
          </cell>
          <cell r="D292">
            <v>0</v>
          </cell>
          <cell r="E292">
            <v>0</v>
          </cell>
          <cell r="F292">
            <v>53</v>
          </cell>
          <cell r="G292">
            <v>1.1399999999999999</v>
          </cell>
          <cell r="H292" t="str">
            <v>A</v>
          </cell>
          <cell r="I292">
            <v>20201</v>
          </cell>
        </row>
        <row r="293">
          <cell r="A293" t="str">
            <v>F1B114024</v>
          </cell>
          <cell r="B293" t="str">
            <v>M. RISQY</v>
          </cell>
          <cell r="C293">
            <v>20171</v>
          </cell>
          <cell r="D293">
            <v>0</v>
          </cell>
          <cell r="E293">
            <v>0</v>
          </cell>
          <cell r="F293">
            <v>36</v>
          </cell>
          <cell r="G293">
            <v>0.97</v>
          </cell>
          <cell r="H293" t="str">
            <v>A</v>
          </cell>
          <cell r="I293">
            <v>20201</v>
          </cell>
        </row>
        <row r="294">
          <cell r="A294" t="str">
            <v>F1B114025</v>
          </cell>
          <cell r="B294" t="str">
            <v>MUAMMAR GHIRAHANDI HAMARIS</v>
          </cell>
          <cell r="C294">
            <v>20171</v>
          </cell>
          <cell r="D294">
            <v>16</v>
          </cell>
          <cell r="E294">
            <v>3.44</v>
          </cell>
          <cell r="F294">
            <v>144</v>
          </cell>
          <cell r="G294">
            <v>3.22</v>
          </cell>
          <cell r="H294" t="str">
            <v>A</v>
          </cell>
          <cell r="I294">
            <v>20201</v>
          </cell>
        </row>
        <row r="295">
          <cell r="A295" t="str">
            <v>F1B114026</v>
          </cell>
          <cell r="B295" t="str">
            <v>MUHAMMAD FAHRURRIJAL</v>
          </cell>
          <cell r="C295">
            <v>20171</v>
          </cell>
          <cell r="D295">
            <v>0</v>
          </cell>
          <cell r="E295">
            <v>0</v>
          </cell>
          <cell r="F295">
            <v>40</v>
          </cell>
          <cell r="G295">
            <v>0.26</v>
          </cell>
          <cell r="H295" t="str">
            <v>A</v>
          </cell>
          <cell r="I295">
            <v>20201</v>
          </cell>
        </row>
        <row r="296">
          <cell r="A296" t="str">
            <v>F1B114027</v>
          </cell>
          <cell r="B296" t="str">
            <v>MUHAMMAD FEBRIAN RAMADAN</v>
          </cell>
          <cell r="C296">
            <v>20171</v>
          </cell>
          <cell r="D296">
            <v>13</v>
          </cell>
          <cell r="E296">
            <v>2.69</v>
          </cell>
          <cell r="F296">
            <v>137</v>
          </cell>
          <cell r="G296">
            <v>2.52</v>
          </cell>
          <cell r="H296" t="str">
            <v>A</v>
          </cell>
          <cell r="I296">
            <v>20201</v>
          </cell>
        </row>
        <row r="297">
          <cell r="A297" t="str">
            <v>F1B114028</v>
          </cell>
          <cell r="B297" t="str">
            <v>MUHAMMAD HAJRUL MUZAQI</v>
          </cell>
          <cell r="C297">
            <v>20171</v>
          </cell>
          <cell r="D297">
            <v>23</v>
          </cell>
          <cell r="E297">
            <v>2.98</v>
          </cell>
          <cell r="F297">
            <v>125</v>
          </cell>
          <cell r="G297">
            <v>2.36</v>
          </cell>
          <cell r="H297" t="str">
            <v>A</v>
          </cell>
          <cell r="I297">
            <v>20201</v>
          </cell>
        </row>
        <row r="298">
          <cell r="A298" t="str">
            <v>F1B114029</v>
          </cell>
          <cell r="B298" t="str">
            <v>MUHAMMAD YUSUF KORDOWI</v>
          </cell>
          <cell r="C298">
            <v>20171</v>
          </cell>
          <cell r="D298">
            <v>0</v>
          </cell>
          <cell r="E298">
            <v>0</v>
          </cell>
          <cell r="F298">
            <v>19</v>
          </cell>
          <cell r="G298">
            <v>2.74</v>
          </cell>
          <cell r="H298" t="str">
            <v>A</v>
          </cell>
          <cell r="I298">
            <v>20201</v>
          </cell>
        </row>
        <row r="299">
          <cell r="A299" t="str">
            <v>F1B114030</v>
          </cell>
          <cell r="B299" t="str">
            <v>PUTRA RAHMAT RAMADAN</v>
          </cell>
          <cell r="C299">
            <v>20171</v>
          </cell>
          <cell r="D299">
            <v>20</v>
          </cell>
          <cell r="E299">
            <v>3.38</v>
          </cell>
          <cell r="F299">
            <v>144</v>
          </cell>
          <cell r="G299">
            <v>3</v>
          </cell>
          <cell r="H299" t="str">
            <v>A</v>
          </cell>
          <cell r="I299">
            <v>20201</v>
          </cell>
        </row>
        <row r="300">
          <cell r="A300" t="str">
            <v>F1B114031</v>
          </cell>
          <cell r="B300" t="str">
            <v>SAPUTRA RAMDANI</v>
          </cell>
          <cell r="C300">
            <v>20171</v>
          </cell>
          <cell r="D300">
            <v>0</v>
          </cell>
          <cell r="E300">
            <v>0</v>
          </cell>
          <cell r="F300">
            <v>32</v>
          </cell>
          <cell r="G300">
            <v>0.91</v>
          </cell>
          <cell r="H300" t="str">
            <v>A</v>
          </cell>
          <cell r="I300">
            <v>20201</v>
          </cell>
        </row>
        <row r="301">
          <cell r="A301" t="str">
            <v>F1B114032</v>
          </cell>
          <cell r="B301" t="str">
            <v>SARIF HIDAYATULLAH</v>
          </cell>
          <cell r="C301">
            <v>20171</v>
          </cell>
          <cell r="D301">
            <v>0</v>
          </cell>
          <cell r="E301">
            <v>0</v>
          </cell>
          <cell r="F301">
            <v>19</v>
          </cell>
          <cell r="G301">
            <v>0.95</v>
          </cell>
          <cell r="H301" t="str">
            <v>A</v>
          </cell>
          <cell r="I301">
            <v>20201</v>
          </cell>
        </row>
        <row r="302">
          <cell r="A302" t="str">
            <v>F1B114033</v>
          </cell>
          <cell r="B302" t="str">
            <v>SEPTIANA HARDIANTI</v>
          </cell>
          <cell r="C302">
            <v>20171</v>
          </cell>
          <cell r="D302">
            <v>0</v>
          </cell>
          <cell r="E302">
            <v>0</v>
          </cell>
          <cell r="F302">
            <v>19</v>
          </cell>
          <cell r="G302">
            <v>2.13</v>
          </cell>
          <cell r="H302" t="str">
            <v>A</v>
          </cell>
          <cell r="I302">
            <v>20201</v>
          </cell>
        </row>
        <row r="303">
          <cell r="A303" t="str">
            <v>F1B114034</v>
          </cell>
          <cell r="B303" t="str">
            <v>SYUKRIAWAN</v>
          </cell>
          <cell r="C303">
            <v>20171</v>
          </cell>
          <cell r="D303">
            <v>0</v>
          </cell>
          <cell r="E303">
            <v>0</v>
          </cell>
          <cell r="F303">
            <v>19</v>
          </cell>
          <cell r="G303">
            <v>1.92</v>
          </cell>
          <cell r="H303" t="str">
            <v>A</v>
          </cell>
          <cell r="I303">
            <v>20201</v>
          </cell>
        </row>
        <row r="304">
          <cell r="A304" t="str">
            <v>F1B114035</v>
          </cell>
          <cell r="B304" t="str">
            <v>YOSEF I GEDE MARTHANA</v>
          </cell>
          <cell r="C304">
            <v>20171</v>
          </cell>
          <cell r="D304">
            <v>0</v>
          </cell>
          <cell r="E304">
            <v>0</v>
          </cell>
          <cell r="F304">
            <v>19</v>
          </cell>
          <cell r="G304">
            <v>2.13</v>
          </cell>
          <cell r="H304" t="str">
            <v>A</v>
          </cell>
          <cell r="I304">
            <v>20201</v>
          </cell>
        </row>
        <row r="305">
          <cell r="A305" t="str">
            <v>F1B115001</v>
          </cell>
          <cell r="B305" t="str">
            <v>ADE MEDIA TARUNA</v>
          </cell>
          <cell r="C305">
            <v>20171</v>
          </cell>
          <cell r="D305">
            <v>0</v>
          </cell>
          <cell r="E305">
            <v>0</v>
          </cell>
          <cell r="F305">
            <v>46</v>
          </cell>
          <cell r="G305">
            <v>1.07</v>
          </cell>
          <cell r="H305" t="str">
            <v>A</v>
          </cell>
          <cell r="I305">
            <v>20201</v>
          </cell>
        </row>
        <row r="306">
          <cell r="A306" t="str">
            <v>F1B115002</v>
          </cell>
          <cell r="B306" t="str">
            <v>AGUS SUPRIADI</v>
          </cell>
          <cell r="C306">
            <v>20171</v>
          </cell>
          <cell r="D306">
            <v>22</v>
          </cell>
          <cell r="E306">
            <v>2.41</v>
          </cell>
          <cell r="F306">
            <v>103</v>
          </cell>
          <cell r="G306">
            <v>2.58</v>
          </cell>
          <cell r="H306" t="str">
            <v>A</v>
          </cell>
          <cell r="I306">
            <v>20201</v>
          </cell>
        </row>
        <row r="307">
          <cell r="A307" t="str">
            <v>F1B115003</v>
          </cell>
          <cell r="B307" t="str">
            <v>AJI BAYU SAMUDRA ALIM</v>
          </cell>
          <cell r="C307">
            <v>20171</v>
          </cell>
          <cell r="D307">
            <v>0</v>
          </cell>
          <cell r="E307">
            <v>0</v>
          </cell>
          <cell r="F307">
            <v>38</v>
          </cell>
          <cell r="G307">
            <v>1</v>
          </cell>
          <cell r="H307" t="str">
            <v>A</v>
          </cell>
          <cell r="I307">
            <v>20201</v>
          </cell>
        </row>
        <row r="308">
          <cell r="A308" t="str">
            <v>F1B115004</v>
          </cell>
          <cell r="B308" t="str">
            <v>ANDZAR QINTHARA</v>
          </cell>
          <cell r="C308">
            <v>20171</v>
          </cell>
          <cell r="D308">
            <v>23</v>
          </cell>
          <cell r="E308">
            <v>2.5</v>
          </cell>
          <cell r="F308">
            <v>107</v>
          </cell>
          <cell r="G308">
            <v>2.2599999999999998</v>
          </cell>
          <cell r="H308" t="str">
            <v>A</v>
          </cell>
          <cell r="I308">
            <v>20201</v>
          </cell>
        </row>
        <row r="309">
          <cell r="A309" t="str">
            <v>F1B115005</v>
          </cell>
          <cell r="B309" t="str">
            <v>ANWAR SAPI I</v>
          </cell>
          <cell r="C309">
            <v>20171</v>
          </cell>
          <cell r="D309">
            <v>21</v>
          </cell>
          <cell r="E309">
            <v>2.5499999999999998</v>
          </cell>
          <cell r="F309">
            <v>103</v>
          </cell>
          <cell r="G309">
            <v>2.2400000000000002</v>
          </cell>
          <cell r="H309" t="str">
            <v>A</v>
          </cell>
          <cell r="I309">
            <v>20201</v>
          </cell>
        </row>
        <row r="310">
          <cell r="A310" t="str">
            <v>F1B115006</v>
          </cell>
          <cell r="B310" t="str">
            <v>Bagas Akbar Aznurinto</v>
          </cell>
          <cell r="C310">
            <v>20171</v>
          </cell>
          <cell r="D310">
            <v>22</v>
          </cell>
          <cell r="E310">
            <v>0.77</v>
          </cell>
          <cell r="F310">
            <v>105</v>
          </cell>
          <cell r="G310">
            <v>2.48</v>
          </cell>
          <cell r="H310" t="str">
            <v>A</v>
          </cell>
          <cell r="I310">
            <v>20201</v>
          </cell>
        </row>
        <row r="311">
          <cell r="A311" t="str">
            <v>F1B115007</v>
          </cell>
          <cell r="B311" t="str">
            <v>BAIHAKI</v>
          </cell>
          <cell r="C311">
            <v>20171</v>
          </cell>
          <cell r="D311">
            <v>21</v>
          </cell>
          <cell r="E311">
            <v>1.6</v>
          </cell>
          <cell r="F311">
            <v>92</v>
          </cell>
          <cell r="G311">
            <v>2.0099999999999998</v>
          </cell>
          <cell r="H311" t="str">
            <v>A</v>
          </cell>
          <cell r="I311">
            <v>20201</v>
          </cell>
        </row>
        <row r="312">
          <cell r="A312" t="str">
            <v>F1B115008</v>
          </cell>
          <cell r="B312" t="str">
            <v>ESI BIRAHMATIHI</v>
          </cell>
          <cell r="C312">
            <v>20171</v>
          </cell>
          <cell r="D312">
            <v>21</v>
          </cell>
          <cell r="E312">
            <v>3.55</v>
          </cell>
          <cell r="F312">
            <v>106</v>
          </cell>
          <cell r="G312">
            <v>3.53</v>
          </cell>
          <cell r="H312" t="str">
            <v>A</v>
          </cell>
          <cell r="I312">
            <v>20201</v>
          </cell>
        </row>
        <row r="313">
          <cell r="A313" t="str">
            <v>F1B115009</v>
          </cell>
          <cell r="B313" t="str">
            <v>FADILAH KURNIATI</v>
          </cell>
          <cell r="C313">
            <v>20171</v>
          </cell>
          <cell r="D313">
            <v>18</v>
          </cell>
          <cell r="E313">
            <v>3.14</v>
          </cell>
          <cell r="F313">
            <v>103</v>
          </cell>
          <cell r="G313">
            <v>3.15</v>
          </cell>
          <cell r="H313" t="str">
            <v>A</v>
          </cell>
          <cell r="I313">
            <v>20201</v>
          </cell>
        </row>
        <row r="314">
          <cell r="A314" t="str">
            <v>F1B115010</v>
          </cell>
          <cell r="B314" t="str">
            <v>FAHRI KUSUMAHARDI</v>
          </cell>
          <cell r="C314">
            <v>20171</v>
          </cell>
          <cell r="D314">
            <v>0</v>
          </cell>
          <cell r="E314">
            <v>0</v>
          </cell>
          <cell r="F314">
            <v>36</v>
          </cell>
          <cell r="G314">
            <v>1.58</v>
          </cell>
          <cell r="H314" t="str">
            <v>A</v>
          </cell>
          <cell r="I314">
            <v>20201</v>
          </cell>
        </row>
        <row r="315">
          <cell r="A315" t="str">
            <v>F1B115011</v>
          </cell>
          <cell r="B315" t="str">
            <v>Fikran Wahyudi</v>
          </cell>
          <cell r="C315">
            <v>20171</v>
          </cell>
          <cell r="D315">
            <v>0</v>
          </cell>
          <cell r="E315">
            <v>0</v>
          </cell>
          <cell r="F315">
            <v>33</v>
          </cell>
          <cell r="G315">
            <v>0.55000000000000004</v>
          </cell>
          <cell r="H315" t="str">
            <v>A</v>
          </cell>
          <cell r="I315">
            <v>20201</v>
          </cell>
        </row>
        <row r="316">
          <cell r="A316" t="str">
            <v>F1B115012</v>
          </cell>
          <cell r="B316" t="str">
            <v>HARZA WISNU SAPUTRA</v>
          </cell>
          <cell r="C316">
            <v>20171</v>
          </cell>
          <cell r="D316">
            <v>20</v>
          </cell>
          <cell r="E316">
            <v>2.5499999999999998</v>
          </cell>
          <cell r="F316">
            <v>89</v>
          </cell>
          <cell r="G316">
            <v>2.12</v>
          </cell>
          <cell r="H316" t="str">
            <v>A</v>
          </cell>
          <cell r="I316">
            <v>20201</v>
          </cell>
        </row>
        <row r="317">
          <cell r="A317" t="str">
            <v>F1B115013</v>
          </cell>
          <cell r="B317" t="str">
            <v>HERU WILUKMAN HAKIM</v>
          </cell>
          <cell r="C317">
            <v>20171</v>
          </cell>
          <cell r="D317">
            <v>21</v>
          </cell>
          <cell r="E317">
            <v>3.21</v>
          </cell>
          <cell r="F317">
            <v>103</v>
          </cell>
          <cell r="G317">
            <v>2.93</v>
          </cell>
          <cell r="H317" t="str">
            <v>A</v>
          </cell>
          <cell r="I317">
            <v>20201</v>
          </cell>
        </row>
        <row r="318">
          <cell r="A318" t="str">
            <v>F1B115014</v>
          </cell>
          <cell r="B318" t="str">
            <v>ILHAMUDDIN</v>
          </cell>
          <cell r="C318">
            <v>20171</v>
          </cell>
          <cell r="D318">
            <v>17</v>
          </cell>
          <cell r="E318">
            <v>2.5</v>
          </cell>
          <cell r="F318">
            <v>92</v>
          </cell>
          <cell r="G318">
            <v>2.35</v>
          </cell>
          <cell r="H318" t="str">
            <v>A</v>
          </cell>
          <cell r="I318">
            <v>20201</v>
          </cell>
        </row>
        <row r="319">
          <cell r="A319" t="str">
            <v>F1B115015</v>
          </cell>
          <cell r="B319" t="str">
            <v>ILMAN HIDAYAT</v>
          </cell>
          <cell r="C319">
            <v>20171</v>
          </cell>
          <cell r="D319">
            <v>21</v>
          </cell>
          <cell r="E319">
            <v>2.52</v>
          </cell>
          <cell r="F319">
            <v>100</v>
          </cell>
          <cell r="G319">
            <v>2.61</v>
          </cell>
          <cell r="H319" t="str">
            <v>A</v>
          </cell>
          <cell r="I319">
            <v>20201</v>
          </cell>
        </row>
        <row r="320">
          <cell r="A320" t="str">
            <v>F1B115016</v>
          </cell>
          <cell r="B320" t="str">
            <v>Imam Syuhada</v>
          </cell>
          <cell r="C320">
            <v>20171</v>
          </cell>
          <cell r="D320">
            <v>22</v>
          </cell>
          <cell r="E320">
            <v>2.95</v>
          </cell>
          <cell r="F320">
            <v>103</v>
          </cell>
          <cell r="G320">
            <v>2.7</v>
          </cell>
          <cell r="H320" t="str">
            <v>A</v>
          </cell>
          <cell r="I320">
            <v>20201</v>
          </cell>
        </row>
        <row r="321">
          <cell r="A321" t="str">
            <v>F1B115017</v>
          </cell>
          <cell r="B321" t="str">
            <v>Izma Jayadi</v>
          </cell>
          <cell r="C321">
            <v>20171</v>
          </cell>
          <cell r="D321">
            <v>0</v>
          </cell>
          <cell r="E321">
            <v>0</v>
          </cell>
          <cell r="F321">
            <v>56</v>
          </cell>
          <cell r="G321">
            <v>2.41</v>
          </cell>
          <cell r="H321" t="str">
            <v>A</v>
          </cell>
          <cell r="I321">
            <v>20201</v>
          </cell>
        </row>
        <row r="322">
          <cell r="A322" t="str">
            <v>F1B115018</v>
          </cell>
          <cell r="B322" t="str">
            <v>JANUARMAN MAULANA PUTRA</v>
          </cell>
          <cell r="C322">
            <v>20171</v>
          </cell>
          <cell r="D322">
            <v>24</v>
          </cell>
          <cell r="E322">
            <v>3</v>
          </cell>
          <cell r="F322">
            <v>101</v>
          </cell>
          <cell r="G322">
            <v>2.84</v>
          </cell>
          <cell r="H322" t="str">
            <v>A</v>
          </cell>
          <cell r="I322">
            <v>20201</v>
          </cell>
        </row>
        <row r="323">
          <cell r="A323" t="str">
            <v>F1B115019</v>
          </cell>
          <cell r="B323" t="str">
            <v>Jumriati</v>
          </cell>
          <cell r="C323">
            <v>20171</v>
          </cell>
          <cell r="D323">
            <v>17</v>
          </cell>
          <cell r="E323">
            <v>0</v>
          </cell>
          <cell r="F323">
            <v>102</v>
          </cell>
          <cell r="G323">
            <v>2.4500000000000002</v>
          </cell>
          <cell r="H323" t="str">
            <v>A</v>
          </cell>
          <cell r="I323">
            <v>20201</v>
          </cell>
        </row>
        <row r="324">
          <cell r="A324" t="str">
            <v>F1B115020</v>
          </cell>
          <cell r="B324" t="str">
            <v>KHAIRIL SUDARMANTO</v>
          </cell>
          <cell r="C324">
            <v>20171</v>
          </cell>
          <cell r="D324">
            <v>18</v>
          </cell>
          <cell r="E324">
            <v>1.69</v>
          </cell>
          <cell r="F324">
            <v>88</v>
          </cell>
          <cell r="G324">
            <v>1.81</v>
          </cell>
          <cell r="H324" t="str">
            <v>A</v>
          </cell>
          <cell r="I324">
            <v>20201</v>
          </cell>
        </row>
        <row r="325">
          <cell r="A325" t="str">
            <v>F1B115021</v>
          </cell>
          <cell r="B325" t="str">
            <v>LALU TRIAWANRI NOVIANUNG</v>
          </cell>
          <cell r="C325">
            <v>20171</v>
          </cell>
          <cell r="D325">
            <v>21</v>
          </cell>
          <cell r="E325">
            <v>2.52</v>
          </cell>
          <cell r="F325">
            <v>93</v>
          </cell>
          <cell r="G325">
            <v>2.38</v>
          </cell>
          <cell r="H325" t="str">
            <v>A</v>
          </cell>
          <cell r="I325">
            <v>20201</v>
          </cell>
        </row>
        <row r="326">
          <cell r="A326" t="str">
            <v>F1B115022</v>
          </cell>
          <cell r="B326" t="str">
            <v>LAZARINA MARIANA</v>
          </cell>
          <cell r="C326">
            <v>20171</v>
          </cell>
          <cell r="D326">
            <v>18</v>
          </cell>
          <cell r="E326">
            <v>3.47</v>
          </cell>
          <cell r="F326">
            <v>106</v>
          </cell>
          <cell r="G326">
            <v>3.52</v>
          </cell>
          <cell r="H326" t="str">
            <v>A</v>
          </cell>
          <cell r="I326">
            <v>20201</v>
          </cell>
        </row>
        <row r="327">
          <cell r="A327" t="str">
            <v>F1B115023</v>
          </cell>
          <cell r="B327" t="str">
            <v>M Habibillah</v>
          </cell>
          <cell r="C327">
            <v>20171</v>
          </cell>
          <cell r="D327">
            <v>20</v>
          </cell>
          <cell r="E327">
            <v>2</v>
          </cell>
          <cell r="F327">
            <v>99</v>
          </cell>
          <cell r="G327">
            <v>2.23</v>
          </cell>
          <cell r="H327" t="str">
            <v>A</v>
          </cell>
          <cell r="I327">
            <v>20201</v>
          </cell>
        </row>
        <row r="328">
          <cell r="A328" t="str">
            <v>F1B115024</v>
          </cell>
          <cell r="B328" t="str">
            <v>M ZAHDAN B K</v>
          </cell>
          <cell r="C328">
            <v>20171</v>
          </cell>
          <cell r="D328">
            <v>0</v>
          </cell>
          <cell r="E328">
            <v>0</v>
          </cell>
          <cell r="F328">
            <v>19</v>
          </cell>
          <cell r="G328">
            <v>0.89</v>
          </cell>
          <cell r="H328" t="str">
            <v>A</v>
          </cell>
          <cell r="I328">
            <v>20201</v>
          </cell>
        </row>
        <row r="329">
          <cell r="A329" t="str">
            <v>F1B115025</v>
          </cell>
          <cell r="B329" t="str">
            <v>MERRY MICHELLINA</v>
          </cell>
          <cell r="C329">
            <v>20171</v>
          </cell>
          <cell r="D329">
            <v>23</v>
          </cell>
          <cell r="E329">
            <v>2.48</v>
          </cell>
          <cell r="F329">
            <v>103</v>
          </cell>
          <cell r="G329">
            <v>2.61</v>
          </cell>
          <cell r="H329" t="str">
            <v>A</v>
          </cell>
          <cell r="I329">
            <v>20201</v>
          </cell>
        </row>
        <row r="330">
          <cell r="A330" t="str">
            <v>F1B115026</v>
          </cell>
          <cell r="B330" t="str">
            <v>MUCHAMMAD BAGIR</v>
          </cell>
          <cell r="C330">
            <v>20171</v>
          </cell>
          <cell r="D330">
            <v>22</v>
          </cell>
          <cell r="E330">
            <v>2.5499999999999998</v>
          </cell>
          <cell r="F330">
            <v>97</v>
          </cell>
          <cell r="G330">
            <v>2.81</v>
          </cell>
          <cell r="H330" t="str">
            <v>A</v>
          </cell>
          <cell r="I330">
            <v>20201</v>
          </cell>
        </row>
        <row r="331">
          <cell r="A331" t="str">
            <v>F1B115027</v>
          </cell>
          <cell r="B331" t="str">
            <v>MUHAMAD NUDISANTANA RISWANDI</v>
          </cell>
          <cell r="C331">
            <v>20171</v>
          </cell>
          <cell r="D331">
            <v>21</v>
          </cell>
          <cell r="E331">
            <v>2.29</v>
          </cell>
          <cell r="F331">
            <v>102</v>
          </cell>
          <cell r="G331">
            <v>2.44</v>
          </cell>
          <cell r="H331" t="str">
            <v>A</v>
          </cell>
          <cell r="I331">
            <v>20201</v>
          </cell>
        </row>
        <row r="332">
          <cell r="A332" t="str">
            <v>F1B115028</v>
          </cell>
          <cell r="B332" t="str">
            <v>MUHAMAD RIVAN RIYANDI</v>
          </cell>
          <cell r="C332">
            <v>20171</v>
          </cell>
          <cell r="D332">
            <v>0</v>
          </cell>
          <cell r="E332">
            <v>0</v>
          </cell>
          <cell r="F332">
            <v>63</v>
          </cell>
          <cell r="G332">
            <v>1.17</v>
          </cell>
          <cell r="H332" t="str">
            <v>A</v>
          </cell>
          <cell r="I332">
            <v>20201</v>
          </cell>
        </row>
        <row r="333">
          <cell r="A333" t="str">
            <v>F1B115029</v>
          </cell>
          <cell r="B333" t="str">
            <v>MUHAMAT TAUFIK</v>
          </cell>
          <cell r="C333">
            <v>20171</v>
          </cell>
          <cell r="D333">
            <v>23</v>
          </cell>
          <cell r="E333">
            <v>2.93</v>
          </cell>
          <cell r="F333">
            <v>109</v>
          </cell>
          <cell r="G333">
            <v>3.22</v>
          </cell>
          <cell r="H333" t="str">
            <v>A</v>
          </cell>
          <cell r="I333">
            <v>20201</v>
          </cell>
        </row>
        <row r="334">
          <cell r="A334" t="str">
            <v>F1B115030</v>
          </cell>
          <cell r="B334" t="str">
            <v>MUHAMMAD FIQRIL</v>
          </cell>
          <cell r="C334">
            <v>20171</v>
          </cell>
          <cell r="D334">
            <v>20</v>
          </cell>
          <cell r="E334">
            <v>1.63</v>
          </cell>
          <cell r="F334">
            <v>102</v>
          </cell>
          <cell r="G334">
            <v>2</v>
          </cell>
          <cell r="H334" t="str">
            <v>A</v>
          </cell>
          <cell r="I334">
            <v>20201</v>
          </cell>
        </row>
        <row r="335">
          <cell r="A335" t="str">
            <v>F1B115031</v>
          </cell>
          <cell r="B335" t="str">
            <v>Muhammad Riza Pratama S</v>
          </cell>
          <cell r="C335">
            <v>20171</v>
          </cell>
          <cell r="D335">
            <v>15</v>
          </cell>
          <cell r="E335">
            <v>1.9</v>
          </cell>
          <cell r="F335">
            <v>77</v>
          </cell>
          <cell r="G335">
            <v>1.69</v>
          </cell>
          <cell r="H335" t="str">
            <v>A</v>
          </cell>
          <cell r="I335">
            <v>20201</v>
          </cell>
        </row>
        <row r="336">
          <cell r="A336" t="str">
            <v>F1B115032</v>
          </cell>
          <cell r="B336" t="str">
            <v>Muhammad Rozziq Syaputra</v>
          </cell>
          <cell r="C336">
            <v>20171</v>
          </cell>
          <cell r="D336">
            <v>24</v>
          </cell>
          <cell r="E336">
            <v>3</v>
          </cell>
          <cell r="F336">
            <v>106</v>
          </cell>
          <cell r="G336">
            <v>3.01</v>
          </cell>
          <cell r="H336" t="str">
            <v>A</v>
          </cell>
          <cell r="I336">
            <v>20201</v>
          </cell>
        </row>
        <row r="337">
          <cell r="A337" t="str">
            <v>F1B115033</v>
          </cell>
          <cell r="B337" t="str">
            <v>MUHAMMAD ZIKRYAWAN FIKRI WAHID</v>
          </cell>
          <cell r="C337">
            <v>20171</v>
          </cell>
          <cell r="D337">
            <v>0</v>
          </cell>
          <cell r="E337">
            <v>0</v>
          </cell>
          <cell r="F337">
            <v>26</v>
          </cell>
          <cell r="G337">
            <v>0.35</v>
          </cell>
          <cell r="H337" t="str">
            <v>A</v>
          </cell>
          <cell r="I337">
            <v>20201</v>
          </cell>
        </row>
        <row r="338">
          <cell r="A338" t="str">
            <v>F1B115034</v>
          </cell>
          <cell r="B338" t="str">
            <v>NAUFAL ATSAURI</v>
          </cell>
          <cell r="C338">
            <v>20171</v>
          </cell>
          <cell r="D338">
            <v>22</v>
          </cell>
          <cell r="E338">
            <v>2.7</v>
          </cell>
          <cell r="F338">
            <v>102</v>
          </cell>
          <cell r="G338">
            <v>2.7</v>
          </cell>
          <cell r="H338" t="str">
            <v>A</v>
          </cell>
          <cell r="I338">
            <v>20201</v>
          </cell>
        </row>
        <row r="339">
          <cell r="A339" t="str">
            <v>F1B115035</v>
          </cell>
          <cell r="B339" t="str">
            <v>RIKA KARIYANA</v>
          </cell>
          <cell r="C339">
            <v>20171</v>
          </cell>
          <cell r="D339">
            <v>0</v>
          </cell>
          <cell r="E339">
            <v>0</v>
          </cell>
          <cell r="F339">
            <v>41</v>
          </cell>
          <cell r="G339">
            <v>1.35</v>
          </cell>
          <cell r="H339" t="str">
            <v>A</v>
          </cell>
          <cell r="I339">
            <v>20201</v>
          </cell>
        </row>
        <row r="340">
          <cell r="A340" t="str">
            <v>F1B115036</v>
          </cell>
          <cell r="B340" t="str">
            <v>Rima Silviana</v>
          </cell>
          <cell r="C340">
            <v>20171</v>
          </cell>
          <cell r="D340">
            <v>0</v>
          </cell>
          <cell r="E340">
            <v>0</v>
          </cell>
          <cell r="F340">
            <v>19</v>
          </cell>
          <cell r="G340">
            <v>2.5499999999999998</v>
          </cell>
          <cell r="H340" t="str">
            <v>A</v>
          </cell>
          <cell r="I340">
            <v>20201</v>
          </cell>
        </row>
        <row r="341">
          <cell r="A341" t="str">
            <v>F1B115037</v>
          </cell>
          <cell r="B341" t="str">
            <v>ROBI YUSRILMA HADI</v>
          </cell>
          <cell r="C341">
            <v>20171</v>
          </cell>
          <cell r="D341">
            <v>0</v>
          </cell>
          <cell r="E341">
            <v>0</v>
          </cell>
          <cell r="F341">
            <v>38</v>
          </cell>
          <cell r="G341">
            <v>1.21</v>
          </cell>
          <cell r="H341" t="str">
            <v>A</v>
          </cell>
          <cell r="I341">
            <v>20201</v>
          </cell>
        </row>
        <row r="342">
          <cell r="A342" t="str">
            <v>F1B115038</v>
          </cell>
          <cell r="B342" t="str">
            <v>Salsabilla</v>
          </cell>
          <cell r="C342">
            <v>20171</v>
          </cell>
          <cell r="D342">
            <v>0</v>
          </cell>
          <cell r="E342">
            <v>0</v>
          </cell>
          <cell r="F342">
            <v>43</v>
          </cell>
          <cell r="G342">
            <v>1.45</v>
          </cell>
          <cell r="H342" t="str">
            <v>A</v>
          </cell>
          <cell r="I342">
            <v>20201</v>
          </cell>
        </row>
        <row r="343">
          <cell r="A343" t="str">
            <v>F1B115039</v>
          </cell>
          <cell r="B343" t="str">
            <v>SHADIQUL AMINURRAHMAN</v>
          </cell>
          <cell r="C343">
            <v>20171</v>
          </cell>
          <cell r="D343">
            <v>0</v>
          </cell>
          <cell r="E343">
            <v>0</v>
          </cell>
          <cell r="F343">
            <v>45</v>
          </cell>
          <cell r="G343">
            <v>0.97</v>
          </cell>
          <cell r="H343" t="str">
            <v>A</v>
          </cell>
          <cell r="I343">
            <v>20201</v>
          </cell>
        </row>
        <row r="344">
          <cell r="A344" t="str">
            <v>F1B115040</v>
          </cell>
          <cell r="B344" t="str">
            <v>SUBHAN HADI</v>
          </cell>
          <cell r="C344">
            <v>20171</v>
          </cell>
          <cell r="D344">
            <v>0</v>
          </cell>
          <cell r="E344">
            <v>0</v>
          </cell>
          <cell r="F344">
            <v>39</v>
          </cell>
          <cell r="G344">
            <v>0.87</v>
          </cell>
          <cell r="H344" t="str">
            <v>A</v>
          </cell>
          <cell r="I344">
            <v>20201</v>
          </cell>
        </row>
        <row r="345">
          <cell r="A345" t="str">
            <v>F1B115041</v>
          </cell>
          <cell r="B345" t="str">
            <v>SULHAN KHAERUDIN</v>
          </cell>
          <cell r="C345">
            <v>20171</v>
          </cell>
          <cell r="D345">
            <v>0</v>
          </cell>
          <cell r="E345">
            <v>0</v>
          </cell>
          <cell r="F345">
            <v>32</v>
          </cell>
          <cell r="G345">
            <v>0.77</v>
          </cell>
          <cell r="H345" t="str">
            <v>A</v>
          </cell>
          <cell r="I345">
            <v>20201</v>
          </cell>
        </row>
        <row r="346">
          <cell r="A346" t="str">
            <v>F1B115042</v>
          </cell>
          <cell r="B346" t="str">
            <v>TOMMY AGUS GUNAWAN</v>
          </cell>
          <cell r="C346">
            <v>20171</v>
          </cell>
          <cell r="D346">
            <v>0</v>
          </cell>
          <cell r="E346">
            <v>0</v>
          </cell>
          <cell r="F346">
            <v>19</v>
          </cell>
          <cell r="G346">
            <v>1.55</v>
          </cell>
          <cell r="H346" t="str">
            <v>A</v>
          </cell>
          <cell r="I346">
            <v>20201</v>
          </cell>
        </row>
        <row r="347">
          <cell r="A347" t="str">
            <v>F1B115043</v>
          </cell>
          <cell r="B347" t="str">
            <v>TRISNA TARUNA</v>
          </cell>
          <cell r="C347">
            <v>20171</v>
          </cell>
          <cell r="D347">
            <v>0</v>
          </cell>
          <cell r="E347">
            <v>0</v>
          </cell>
          <cell r="F347">
            <v>19</v>
          </cell>
          <cell r="G347">
            <v>0</v>
          </cell>
          <cell r="H347" t="str">
            <v>A</v>
          </cell>
          <cell r="I347">
            <v>20201</v>
          </cell>
        </row>
        <row r="348">
          <cell r="A348" t="str">
            <v>F1B115044</v>
          </cell>
          <cell r="B348" t="str">
            <v>WULAN YUNIARTI</v>
          </cell>
          <cell r="C348">
            <v>20171</v>
          </cell>
          <cell r="D348">
            <v>0</v>
          </cell>
          <cell r="E348">
            <v>0</v>
          </cell>
          <cell r="F348">
            <v>19</v>
          </cell>
          <cell r="G348">
            <v>0.32</v>
          </cell>
          <cell r="H348" t="str">
            <v>A</v>
          </cell>
          <cell r="I348">
            <v>20201</v>
          </cell>
        </row>
        <row r="349">
          <cell r="A349" t="str">
            <v>F1B116001</v>
          </cell>
          <cell r="B349" t="str">
            <v>AHMAD MUHAJIR</v>
          </cell>
          <cell r="C349">
            <v>20171</v>
          </cell>
          <cell r="D349">
            <v>21</v>
          </cell>
          <cell r="E349">
            <v>2.88</v>
          </cell>
          <cell r="F349">
            <v>62</v>
          </cell>
          <cell r="G349">
            <v>2.97</v>
          </cell>
          <cell r="H349" t="str">
            <v>A</v>
          </cell>
          <cell r="I349">
            <v>20201</v>
          </cell>
        </row>
        <row r="350">
          <cell r="A350" t="str">
            <v>F1B116002</v>
          </cell>
          <cell r="B350" t="str">
            <v>ARYA APRIANSYAH</v>
          </cell>
          <cell r="C350">
            <v>20171</v>
          </cell>
          <cell r="D350">
            <v>0</v>
          </cell>
          <cell r="E350">
            <v>0</v>
          </cell>
          <cell r="F350">
            <v>34</v>
          </cell>
          <cell r="G350">
            <v>0.47</v>
          </cell>
          <cell r="H350" t="str">
            <v>A</v>
          </cell>
          <cell r="I350">
            <v>20201</v>
          </cell>
        </row>
        <row r="351">
          <cell r="A351" t="str">
            <v>F1B116003</v>
          </cell>
          <cell r="B351" t="str">
            <v>DONI PRANATA</v>
          </cell>
          <cell r="C351">
            <v>20171</v>
          </cell>
          <cell r="D351">
            <v>17</v>
          </cell>
          <cell r="E351">
            <v>1.06</v>
          </cell>
          <cell r="F351">
            <v>58</v>
          </cell>
          <cell r="G351">
            <v>1.87</v>
          </cell>
          <cell r="H351" t="str">
            <v>A</v>
          </cell>
          <cell r="I351">
            <v>20201</v>
          </cell>
        </row>
        <row r="352">
          <cell r="A352" t="str">
            <v>F1B116004</v>
          </cell>
          <cell r="B352" t="str">
            <v>FAHRUR ROZI</v>
          </cell>
          <cell r="C352">
            <v>20171</v>
          </cell>
          <cell r="D352">
            <v>0</v>
          </cell>
          <cell r="E352">
            <v>0</v>
          </cell>
          <cell r="F352">
            <v>20</v>
          </cell>
          <cell r="G352">
            <v>0</v>
          </cell>
          <cell r="H352" t="str">
            <v>A</v>
          </cell>
          <cell r="I352">
            <v>20201</v>
          </cell>
        </row>
        <row r="353">
          <cell r="A353" t="str">
            <v>F1B116005</v>
          </cell>
          <cell r="B353" t="str">
            <v>FENDY KURNIAWAN</v>
          </cell>
          <cell r="C353">
            <v>20171</v>
          </cell>
          <cell r="D353">
            <v>21</v>
          </cell>
          <cell r="E353">
            <v>2.62</v>
          </cell>
          <cell r="F353">
            <v>62</v>
          </cell>
          <cell r="G353">
            <v>3.03</v>
          </cell>
          <cell r="H353" t="str">
            <v>A</v>
          </cell>
          <cell r="I353">
            <v>20201</v>
          </cell>
        </row>
        <row r="354">
          <cell r="A354" t="str">
            <v>F1B116006</v>
          </cell>
          <cell r="B354" t="str">
            <v>HAQRULLOH</v>
          </cell>
          <cell r="C354">
            <v>20171</v>
          </cell>
          <cell r="D354">
            <v>20</v>
          </cell>
          <cell r="E354">
            <v>0.38</v>
          </cell>
          <cell r="F354">
            <v>61</v>
          </cell>
          <cell r="G354">
            <v>2.06</v>
          </cell>
          <cell r="H354" t="str">
            <v>A</v>
          </cell>
          <cell r="I354">
            <v>20201</v>
          </cell>
        </row>
        <row r="355">
          <cell r="A355" t="str">
            <v>F1B116007</v>
          </cell>
          <cell r="B355" t="str">
            <v>HARIS MUNANDAR</v>
          </cell>
          <cell r="C355">
            <v>20171</v>
          </cell>
          <cell r="D355">
            <v>18</v>
          </cell>
          <cell r="E355">
            <v>2.5</v>
          </cell>
          <cell r="F355">
            <v>59</v>
          </cell>
          <cell r="G355">
            <v>2.31</v>
          </cell>
          <cell r="H355" t="str">
            <v>A</v>
          </cell>
          <cell r="I355">
            <v>20201</v>
          </cell>
        </row>
        <row r="356">
          <cell r="A356" t="str">
            <v>F1B116008</v>
          </cell>
          <cell r="B356" t="str">
            <v>Harjo Sumitro</v>
          </cell>
          <cell r="C356">
            <v>20171</v>
          </cell>
          <cell r="D356">
            <v>21</v>
          </cell>
          <cell r="E356">
            <v>2.02</v>
          </cell>
          <cell r="F356">
            <v>62</v>
          </cell>
          <cell r="G356">
            <v>2.42</v>
          </cell>
          <cell r="H356" t="str">
            <v>A</v>
          </cell>
          <cell r="I356">
            <v>20201</v>
          </cell>
        </row>
        <row r="357">
          <cell r="A357" t="str">
            <v>F1B116009</v>
          </cell>
          <cell r="B357" t="str">
            <v>HASAN BASRI</v>
          </cell>
          <cell r="C357">
            <v>20171</v>
          </cell>
          <cell r="D357">
            <v>21</v>
          </cell>
          <cell r="E357">
            <v>3.12</v>
          </cell>
          <cell r="F357">
            <v>62</v>
          </cell>
          <cell r="G357">
            <v>3.2</v>
          </cell>
          <cell r="H357" t="str">
            <v>A</v>
          </cell>
          <cell r="I357">
            <v>20201</v>
          </cell>
        </row>
        <row r="358">
          <cell r="A358" t="str">
            <v>F1B116010</v>
          </cell>
          <cell r="B358" t="str">
            <v>Ihsan Syaputro</v>
          </cell>
          <cell r="C358">
            <v>20171</v>
          </cell>
          <cell r="D358">
            <v>21</v>
          </cell>
          <cell r="E358">
            <v>2.62</v>
          </cell>
          <cell r="F358">
            <v>62</v>
          </cell>
          <cell r="G358">
            <v>2.88</v>
          </cell>
          <cell r="H358" t="str">
            <v>A</v>
          </cell>
          <cell r="I358">
            <v>20201</v>
          </cell>
        </row>
        <row r="359">
          <cell r="A359" t="str">
            <v>F1B116011</v>
          </cell>
          <cell r="B359" t="str">
            <v>ILYAS</v>
          </cell>
          <cell r="C359">
            <v>20171</v>
          </cell>
          <cell r="D359">
            <v>0</v>
          </cell>
          <cell r="E359">
            <v>0</v>
          </cell>
          <cell r="F359">
            <v>41</v>
          </cell>
          <cell r="G359">
            <v>2.99</v>
          </cell>
          <cell r="H359" t="str">
            <v>A</v>
          </cell>
          <cell r="I359">
            <v>20201</v>
          </cell>
        </row>
        <row r="360">
          <cell r="A360" t="str">
            <v>F1B116012</v>
          </cell>
          <cell r="B360" t="str">
            <v>JEMMY FEBRY SUMANDA</v>
          </cell>
          <cell r="C360">
            <v>20171</v>
          </cell>
          <cell r="D360">
            <v>15</v>
          </cell>
          <cell r="E360">
            <v>0.93</v>
          </cell>
          <cell r="F360">
            <v>54</v>
          </cell>
          <cell r="G360">
            <v>1.87</v>
          </cell>
          <cell r="H360" t="str">
            <v>A</v>
          </cell>
          <cell r="I360">
            <v>20201</v>
          </cell>
        </row>
        <row r="361">
          <cell r="A361" t="str">
            <v>F1B116013</v>
          </cell>
          <cell r="B361" t="str">
            <v>L MOHAMAD ISKANDAR ZULKARNAEN</v>
          </cell>
          <cell r="C361">
            <v>20171</v>
          </cell>
          <cell r="D361">
            <v>0</v>
          </cell>
          <cell r="E361">
            <v>0</v>
          </cell>
          <cell r="F361">
            <v>20</v>
          </cell>
          <cell r="G361">
            <v>0</v>
          </cell>
          <cell r="H361" t="str">
            <v>A</v>
          </cell>
          <cell r="I361">
            <v>20201</v>
          </cell>
        </row>
        <row r="362">
          <cell r="A362" t="str">
            <v>F1B116014</v>
          </cell>
          <cell r="B362" t="str">
            <v>LALU ARIF TASIBANA</v>
          </cell>
          <cell r="C362">
            <v>20171</v>
          </cell>
          <cell r="D362">
            <v>21</v>
          </cell>
          <cell r="E362">
            <v>1.69</v>
          </cell>
          <cell r="F362">
            <v>62</v>
          </cell>
          <cell r="G362">
            <v>2.2400000000000002</v>
          </cell>
          <cell r="H362" t="str">
            <v>A</v>
          </cell>
          <cell r="I362">
            <v>20201</v>
          </cell>
        </row>
        <row r="363">
          <cell r="A363" t="str">
            <v>F1B116015</v>
          </cell>
          <cell r="B363" t="str">
            <v>LALU MAHSAR KHAIRUDI</v>
          </cell>
          <cell r="C363">
            <v>20171</v>
          </cell>
          <cell r="D363">
            <v>21</v>
          </cell>
          <cell r="E363">
            <v>2.1</v>
          </cell>
          <cell r="F363">
            <v>60</v>
          </cell>
          <cell r="G363">
            <v>2.63</v>
          </cell>
          <cell r="H363" t="str">
            <v>A</v>
          </cell>
          <cell r="I363">
            <v>20201</v>
          </cell>
        </row>
        <row r="364">
          <cell r="A364" t="str">
            <v>F1B116016</v>
          </cell>
          <cell r="B364" t="str">
            <v>LALU MOHAMAD FAESAL RAHMAN</v>
          </cell>
          <cell r="C364">
            <v>20171</v>
          </cell>
          <cell r="D364">
            <v>21</v>
          </cell>
          <cell r="E364">
            <v>2.29</v>
          </cell>
          <cell r="F364">
            <v>60</v>
          </cell>
          <cell r="G364">
            <v>2.48</v>
          </cell>
          <cell r="H364" t="str">
            <v>A</v>
          </cell>
          <cell r="I364">
            <v>20201</v>
          </cell>
        </row>
        <row r="365">
          <cell r="A365" t="str">
            <v>F1B116017</v>
          </cell>
          <cell r="B365" t="str">
            <v xml:space="preserve">MAULANA ADI PRASETIO </v>
          </cell>
          <cell r="C365">
            <v>20171</v>
          </cell>
          <cell r="D365">
            <v>18</v>
          </cell>
          <cell r="E365">
            <v>1.31</v>
          </cell>
          <cell r="F365">
            <v>59</v>
          </cell>
          <cell r="G365">
            <v>2.02</v>
          </cell>
          <cell r="H365" t="str">
            <v>A</v>
          </cell>
          <cell r="I365">
            <v>20201</v>
          </cell>
        </row>
        <row r="366">
          <cell r="A366" t="str">
            <v>F1B116018</v>
          </cell>
          <cell r="B366" t="str">
            <v>MUHAMMAD AZMI</v>
          </cell>
          <cell r="C366">
            <v>20171</v>
          </cell>
          <cell r="D366">
            <v>0</v>
          </cell>
          <cell r="E366">
            <v>0</v>
          </cell>
          <cell r="F366">
            <v>41</v>
          </cell>
          <cell r="G366">
            <v>1.35</v>
          </cell>
          <cell r="H366" t="str">
            <v>A</v>
          </cell>
          <cell r="I366">
            <v>20201</v>
          </cell>
        </row>
        <row r="367">
          <cell r="A367" t="str">
            <v>F1B116019</v>
          </cell>
          <cell r="B367" t="str">
            <v>MUHAMMAD IQBAL</v>
          </cell>
          <cell r="C367">
            <v>20171</v>
          </cell>
          <cell r="D367">
            <v>0</v>
          </cell>
          <cell r="E367">
            <v>0</v>
          </cell>
          <cell r="F367">
            <v>30</v>
          </cell>
          <cell r="G367">
            <v>0.27</v>
          </cell>
          <cell r="H367" t="str">
            <v>A</v>
          </cell>
          <cell r="I367">
            <v>20201</v>
          </cell>
        </row>
        <row r="368">
          <cell r="A368" t="str">
            <v>F1B116020</v>
          </cell>
          <cell r="B368" t="str">
            <v>Muhammad Zarrin Al Mansyury</v>
          </cell>
          <cell r="C368">
            <v>20171</v>
          </cell>
          <cell r="D368">
            <v>18</v>
          </cell>
          <cell r="E368">
            <v>2.14</v>
          </cell>
          <cell r="F368">
            <v>59</v>
          </cell>
          <cell r="G368">
            <v>2.25</v>
          </cell>
          <cell r="H368" t="str">
            <v>A</v>
          </cell>
          <cell r="I368">
            <v>20201</v>
          </cell>
        </row>
        <row r="369">
          <cell r="A369" t="str">
            <v>F1B116021</v>
          </cell>
          <cell r="B369" t="str">
            <v>NELIN AYU NIRWANA</v>
          </cell>
          <cell r="C369">
            <v>20171</v>
          </cell>
          <cell r="D369">
            <v>20</v>
          </cell>
          <cell r="E369">
            <v>2.0499999999999998</v>
          </cell>
          <cell r="F369">
            <v>63</v>
          </cell>
          <cell r="G369">
            <v>2.41</v>
          </cell>
          <cell r="H369" t="str">
            <v>A</v>
          </cell>
          <cell r="I369">
            <v>20201</v>
          </cell>
        </row>
        <row r="370">
          <cell r="A370" t="str">
            <v>F1B116022</v>
          </cell>
          <cell r="B370" t="str">
            <v>NOVA HENDRI KURNIAWAN</v>
          </cell>
          <cell r="C370">
            <v>20171</v>
          </cell>
          <cell r="D370">
            <v>23</v>
          </cell>
          <cell r="E370">
            <v>3.22</v>
          </cell>
          <cell r="F370">
            <v>66</v>
          </cell>
          <cell r="G370">
            <v>3.1</v>
          </cell>
          <cell r="H370" t="str">
            <v>A</v>
          </cell>
          <cell r="I370">
            <v>20201</v>
          </cell>
        </row>
        <row r="371">
          <cell r="A371" t="str">
            <v>F1B116023</v>
          </cell>
          <cell r="B371" t="str">
            <v>RAHMAD HIDAYAT</v>
          </cell>
          <cell r="C371">
            <v>20171</v>
          </cell>
          <cell r="D371">
            <v>0</v>
          </cell>
          <cell r="E371">
            <v>0</v>
          </cell>
          <cell r="F371">
            <v>20</v>
          </cell>
          <cell r="G371">
            <v>2.15</v>
          </cell>
          <cell r="H371" t="str">
            <v>A</v>
          </cell>
          <cell r="I371">
            <v>20201</v>
          </cell>
        </row>
        <row r="372">
          <cell r="A372" t="str">
            <v>F1B116024</v>
          </cell>
          <cell r="B372" t="str">
            <v>RENA RAMDINAWATI</v>
          </cell>
          <cell r="C372">
            <v>20171</v>
          </cell>
          <cell r="D372">
            <v>21</v>
          </cell>
          <cell r="E372">
            <v>2.38</v>
          </cell>
          <cell r="F372">
            <v>62</v>
          </cell>
          <cell r="G372">
            <v>2.65</v>
          </cell>
          <cell r="H372" t="str">
            <v>A</v>
          </cell>
          <cell r="I372">
            <v>20201</v>
          </cell>
        </row>
        <row r="373">
          <cell r="A373" t="str">
            <v>F1B116025</v>
          </cell>
          <cell r="B373" t="str">
            <v>RISMAN ALFIAN LUTHFI</v>
          </cell>
          <cell r="C373">
            <v>20171</v>
          </cell>
          <cell r="D373">
            <v>21</v>
          </cell>
          <cell r="E373">
            <v>3.17</v>
          </cell>
          <cell r="F373">
            <v>64</v>
          </cell>
          <cell r="G373">
            <v>3.22</v>
          </cell>
          <cell r="H373" t="str">
            <v>A</v>
          </cell>
          <cell r="I373">
            <v>20201</v>
          </cell>
        </row>
        <row r="374">
          <cell r="A374" t="str">
            <v>F1B116026</v>
          </cell>
          <cell r="B374" t="str">
            <v>Rizal Rizki Illahi</v>
          </cell>
          <cell r="C374">
            <v>20171</v>
          </cell>
          <cell r="D374">
            <v>0</v>
          </cell>
          <cell r="E374">
            <v>0</v>
          </cell>
          <cell r="F374">
            <v>37</v>
          </cell>
          <cell r="G374">
            <v>0.97</v>
          </cell>
          <cell r="H374" t="str">
            <v>A</v>
          </cell>
          <cell r="I374">
            <v>20201</v>
          </cell>
        </row>
        <row r="375">
          <cell r="A375" t="str">
            <v>F1B116027</v>
          </cell>
          <cell r="B375" t="str">
            <v>ROYHAN ADEKA SAPUTRA</v>
          </cell>
          <cell r="C375">
            <v>20171</v>
          </cell>
          <cell r="D375">
            <v>21</v>
          </cell>
          <cell r="E375">
            <v>1.98</v>
          </cell>
          <cell r="F375">
            <v>64</v>
          </cell>
          <cell r="G375">
            <v>2.5299999999999998</v>
          </cell>
          <cell r="H375" t="str">
            <v>A</v>
          </cell>
          <cell r="I375">
            <v>20201</v>
          </cell>
        </row>
        <row r="376">
          <cell r="A376" t="str">
            <v>F1B116028</v>
          </cell>
          <cell r="B376" t="str">
            <v>SIGIT PURWANTO</v>
          </cell>
          <cell r="C376">
            <v>20171</v>
          </cell>
          <cell r="D376">
            <v>0</v>
          </cell>
          <cell r="E376">
            <v>0</v>
          </cell>
          <cell r="F376">
            <v>41</v>
          </cell>
          <cell r="G376">
            <v>1.32</v>
          </cell>
          <cell r="H376" t="str">
            <v>A</v>
          </cell>
          <cell r="I376">
            <v>20201</v>
          </cell>
        </row>
        <row r="377">
          <cell r="A377" t="str">
            <v>F1B116029</v>
          </cell>
          <cell r="B377" t="str">
            <v>TAUFIK ZUBAIDILLAH</v>
          </cell>
          <cell r="C377">
            <v>20171</v>
          </cell>
          <cell r="D377">
            <v>21</v>
          </cell>
          <cell r="E377">
            <v>2.6</v>
          </cell>
          <cell r="F377">
            <v>64</v>
          </cell>
          <cell r="G377">
            <v>2.81</v>
          </cell>
          <cell r="H377" t="str">
            <v>A</v>
          </cell>
          <cell r="I377">
            <v>20201</v>
          </cell>
        </row>
        <row r="378">
          <cell r="A378" t="str">
            <v>F1B116030</v>
          </cell>
          <cell r="B378" t="str">
            <v>Yanuardi</v>
          </cell>
          <cell r="C378">
            <v>20171</v>
          </cell>
          <cell r="D378">
            <v>23</v>
          </cell>
          <cell r="E378">
            <v>2.87</v>
          </cell>
          <cell r="F378">
            <v>66</v>
          </cell>
          <cell r="G378">
            <v>3.05</v>
          </cell>
          <cell r="H378" t="str">
            <v>A</v>
          </cell>
          <cell r="I378">
            <v>20201</v>
          </cell>
        </row>
        <row r="379">
          <cell r="A379" t="str">
            <v>F1B116031</v>
          </cell>
          <cell r="B379" t="str">
            <v>Yhudi Sutiyono</v>
          </cell>
          <cell r="C379">
            <v>20171</v>
          </cell>
          <cell r="D379">
            <v>0</v>
          </cell>
          <cell r="E379">
            <v>0</v>
          </cell>
          <cell r="F379">
            <v>31</v>
          </cell>
          <cell r="G379">
            <v>0.48</v>
          </cell>
          <cell r="H379" t="str">
            <v>A</v>
          </cell>
          <cell r="I379">
            <v>20201</v>
          </cell>
        </row>
        <row r="380">
          <cell r="A380" t="str">
            <v>F1B116032</v>
          </cell>
          <cell r="B380" t="str">
            <v>Yuma</v>
          </cell>
          <cell r="C380">
            <v>20171</v>
          </cell>
          <cell r="D380">
            <v>21</v>
          </cell>
          <cell r="E380">
            <v>2.93</v>
          </cell>
          <cell r="F380">
            <v>62</v>
          </cell>
          <cell r="G380">
            <v>2.86</v>
          </cell>
          <cell r="H380" t="str">
            <v>A</v>
          </cell>
          <cell r="I380">
            <v>20201</v>
          </cell>
        </row>
        <row r="381">
          <cell r="A381" t="str">
            <v>F1B116033</v>
          </cell>
          <cell r="B381" t="str">
            <v>Yusril Bagas Sevyanto</v>
          </cell>
          <cell r="C381">
            <v>20171</v>
          </cell>
          <cell r="D381">
            <v>21</v>
          </cell>
          <cell r="E381">
            <v>2.64</v>
          </cell>
          <cell r="F381">
            <v>64</v>
          </cell>
          <cell r="G381">
            <v>3.04</v>
          </cell>
          <cell r="H381" t="str">
            <v>A</v>
          </cell>
          <cell r="I381">
            <v>20201</v>
          </cell>
        </row>
        <row r="382">
          <cell r="A382" t="str">
            <v>F1B116034</v>
          </cell>
          <cell r="B382" t="str">
            <v>YUSRON ALIF SETIAWAN</v>
          </cell>
          <cell r="C382">
            <v>20171</v>
          </cell>
          <cell r="D382">
            <v>18</v>
          </cell>
          <cell r="E382">
            <v>1</v>
          </cell>
          <cell r="F382">
            <v>61</v>
          </cell>
          <cell r="G382">
            <v>2.12</v>
          </cell>
          <cell r="H382" t="str">
            <v>A</v>
          </cell>
          <cell r="I382">
            <v>20201</v>
          </cell>
        </row>
        <row r="383">
          <cell r="A383" t="str">
            <v>F1B117001</v>
          </cell>
          <cell r="B383" t="str">
            <v>ABI LASKAR</v>
          </cell>
          <cell r="C383">
            <v>20171</v>
          </cell>
          <cell r="D383">
            <v>20</v>
          </cell>
          <cell r="E383">
            <v>3.05</v>
          </cell>
          <cell r="F383">
            <v>20</v>
          </cell>
          <cell r="G383">
            <v>3.05</v>
          </cell>
          <cell r="H383" t="str">
            <v>A</v>
          </cell>
          <cell r="I383">
            <v>20201</v>
          </cell>
        </row>
        <row r="384">
          <cell r="A384" t="str">
            <v>F1B117002</v>
          </cell>
          <cell r="B384" t="str">
            <v>ADE PUTRA CAHYADI</v>
          </cell>
          <cell r="C384">
            <v>20171</v>
          </cell>
          <cell r="D384">
            <v>20</v>
          </cell>
          <cell r="E384">
            <v>2.6</v>
          </cell>
          <cell r="F384">
            <v>20</v>
          </cell>
          <cell r="G384">
            <v>2.6</v>
          </cell>
          <cell r="H384" t="str">
            <v>A</v>
          </cell>
          <cell r="I384">
            <v>20201</v>
          </cell>
        </row>
        <row r="385">
          <cell r="A385" t="str">
            <v>F1B117003</v>
          </cell>
          <cell r="B385" t="str">
            <v>ADELIA RIZKY FEBRIANTI</v>
          </cell>
          <cell r="C385">
            <v>20171</v>
          </cell>
          <cell r="D385">
            <v>20</v>
          </cell>
          <cell r="E385">
            <v>3.03</v>
          </cell>
          <cell r="F385">
            <v>20</v>
          </cell>
          <cell r="G385">
            <v>3.03</v>
          </cell>
          <cell r="H385" t="str">
            <v>A</v>
          </cell>
          <cell r="I385">
            <v>20201</v>
          </cell>
        </row>
        <row r="386">
          <cell r="A386" t="str">
            <v>F1B117004</v>
          </cell>
          <cell r="B386" t="str">
            <v>AHMAD RAJABUL AKBAR KHAIRU</v>
          </cell>
          <cell r="C386">
            <v>20171</v>
          </cell>
          <cell r="D386">
            <v>20</v>
          </cell>
          <cell r="E386">
            <v>2.93</v>
          </cell>
          <cell r="F386">
            <v>20</v>
          </cell>
          <cell r="G386">
            <v>2.93</v>
          </cell>
          <cell r="H386" t="str">
            <v>A</v>
          </cell>
          <cell r="I386">
            <v>20201</v>
          </cell>
        </row>
        <row r="387">
          <cell r="A387" t="str">
            <v>F1B117005</v>
          </cell>
          <cell r="B387" t="str">
            <v>AKBAR MAJID</v>
          </cell>
          <cell r="C387">
            <v>20171</v>
          </cell>
          <cell r="D387">
            <v>20</v>
          </cell>
          <cell r="E387">
            <v>3.23</v>
          </cell>
          <cell r="F387">
            <v>20</v>
          </cell>
          <cell r="G387">
            <v>3.23</v>
          </cell>
          <cell r="H387" t="str">
            <v>A</v>
          </cell>
          <cell r="I387">
            <v>20201</v>
          </cell>
        </row>
        <row r="388">
          <cell r="A388" t="str">
            <v>F1B117006</v>
          </cell>
          <cell r="B388" t="str">
            <v>ANDI MUHAMAD HANIF</v>
          </cell>
          <cell r="C388">
            <v>20171</v>
          </cell>
          <cell r="D388">
            <v>20</v>
          </cell>
          <cell r="E388">
            <v>2.6</v>
          </cell>
          <cell r="F388">
            <v>20</v>
          </cell>
          <cell r="G388">
            <v>2.6</v>
          </cell>
          <cell r="H388" t="str">
            <v>A</v>
          </cell>
          <cell r="I388">
            <v>20201</v>
          </cell>
        </row>
        <row r="389">
          <cell r="A389" t="str">
            <v>F1B117007</v>
          </cell>
          <cell r="B389" t="str">
            <v>ANDIKA RAHMAN</v>
          </cell>
          <cell r="C389">
            <v>20171</v>
          </cell>
          <cell r="D389">
            <v>20</v>
          </cell>
          <cell r="E389">
            <v>3.18</v>
          </cell>
          <cell r="F389">
            <v>20</v>
          </cell>
          <cell r="G389">
            <v>3.18</v>
          </cell>
          <cell r="H389" t="str">
            <v>A</v>
          </cell>
          <cell r="I389">
            <v>20201</v>
          </cell>
        </row>
        <row r="390">
          <cell r="A390" t="str">
            <v>F1B117008</v>
          </cell>
          <cell r="B390" t="str">
            <v>ANDRE PRATAMA</v>
          </cell>
          <cell r="C390">
            <v>20171</v>
          </cell>
          <cell r="D390">
            <v>20</v>
          </cell>
          <cell r="E390">
            <v>3.15</v>
          </cell>
          <cell r="F390">
            <v>20</v>
          </cell>
          <cell r="G390">
            <v>3.15</v>
          </cell>
          <cell r="H390" t="str">
            <v>A</v>
          </cell>
          <cell r="I390">
            <v>20201</v>
          </cell>
        </row>
        <row r="391">
          <cell r="A391" t="str">
            <v>F1B117009</v>
          </cell>
          <cell r="B391" t="str">
            <v>ANDREAN EKO RAMADHAN</v>
          </cell>
          <cell r="C391">
            <v>20171</v>
          </cell>
          <cell r="D391">
            <v>20</v>
          </cell>
          <cell r="E391">
            <v>2.1800000000000002</v>
          </cell>
          <cell r="F391">
            <v>20</v>
          </cell>
          <cell r="G391">
            <v>2.1800000000000002</v>
          </cell>
          <cell r="H391" t="str">
            <v>A</v>
          </cell>
          <cell r="I391">
            <v>20201</v>
          </cell>
        </row>
        <row r="392">
          <cell r="A392" t="str">
            <v>F1B117010</v>
          </cell>
          <cell r="B392" t="str">
            <v>ARGA SUTRI PRATAMA</v>
          </cell>
          <cell r="C392">
            <v>20171</v>
          </cell>
          <cell r="D392">
            <v>20</v>
          </cell>
          <cell r="E392">
            <v>2.8</v>
          </cell>
          <cell r="F392">
            <v>20</v>
          </cell>
          <cell r="G392">
            <v>2.8</v>
          </cell>
          <cell r="H392" t="str">
            <v>A</v>
          </cell>
          <cell r="I392">
            <v>20201</v>
          </cell>
        </row>
        <row r="393">
          <cell r="A393" t="str">
            <v>F1B117011</v>
          </cell>
          <cell r="B393" t="str">
            <v>BAYU ADE SURYA</v>
          </cell>
          <cell r="C393">
            <v>20171</v>
          </cell>
          <cell r="D393">
            <v>20</v>
          </cell>
          <cell r="E393">
            <v>2.8</v>
          </cell>
          <cell r="F393">
            <v>20</v>
          </cell>
          <cell r="G393">
            <v>2.8</v>
          </cell>
          <cell r="H393" t="str">
            <v>A</v>
          </cell>
          <cell r="I393">
            <v>20201</v>
          </cell>
        </row>
        <row r="394">
          <cell r="A394" t="str">
            <v>F1B117012</v>
          </cell>
          <cell r="B394" t="str">
            <v>ERLAN BAHTIAR</v>
          </cell>
          <cell r="C394">
            <v>20171</v>
          </cell>
          <cell r="D394">
            <v>20</v>
          </cell>
          <cell r="E394">
            <v>3.23</v>
          </cell>
          <cell r="F394">
            <v>20</v>
          </cell>
          <cell r="G394">
            <v>3.23</v>
          </cell>
          <cell r="H394" t="str">
            <v>A</v>
          </cell>
          <cell r="I394">
            <v>20201</v>
          </cell>
        </row>
        <row r="395">
          <cell r="A395" t="str">
            <v>F1B117013</v>
          </cell>
          <cell r="B395" t="str">
            <v>FADHLI EKO PRASETYO</v>
          </cell>
          <cell r="C395">
            <v>20171</v>
          </cell>
          <cell r="D395">
            <v>20</v>
          </cell>
          <cell r="E395">
            <v>2.7</v>
          </cell>
          <cell r="F395">
            <v>20</v>
          </cell>
          <cell r="G395">
            <v>2.7</v>
          </cell>
          <cell r="H395" t="str">
            <v>A</v>
          </cell>
          <cell r="I395">
            <v>20201</v>
          </cell>
        </row>
        <row r="396">
          <cell r="A396" t="str">
            <v>F1B117014</v>
          </cell>
          <cell r="B396" t="str">
            <v>FANNY WINDARY BATANIA</v>
          </cell>
          <cell r="C396">
            <v>20171</v>
          </cell>
          <cell r="D396">
            <v>20</v>
          </cell>
          <cell r="E396">
            <v>2.88</v>
          </cell>
          <cell r="F396">
            <v>20</v>
          </cell>
          <cell r="G396">
            <v>2.88</v>
          </cell>
          <cell r="H396" t="str">
            <v>A</v>
          </cell>
          <cell r="I396">
            <v>20201</v>
          </cell>
        </row>
        <row r="397">
          <cell r="A397" t="str">
            <v>F1B117015</v>
          </cell>
          <cell r="B397" t="str">
            <v>GALI GALUH SAKTI</v>
          </cell>
          <cell r="C397">
            <v>20171</v>
          </cell>
          <cell r="D397">
            <v>20</v>
          </cell>
          <cell r="E397">
            <v>2.83</v>
          </cell>
          <cell r="F397">
            <v>20</v>
          </cell>
          <cell r="G397">
            <v>2.83</v>
          </cell>
          <cell r="H397" t="str">
            <v>A</v>
          </cell>
          <cell r="I397">
            <v>20201</v>
          </cell>
        </row>
        <row r="398">
          <cell r="A398" t="str">
            <v>F1B117016</v>
          </cell>
          <cell r="B398" t="str">
            <v>GAUSS NUR SALAM</v>
          </cell>
          <cell r="C398">
            <v>20171</v>
          </cell>
          <cell r="D398">
            <v>20</v>
          </cell>
          <cell r="E398">
            <v>3.1</v>
          </cell>
          <cell r="F398">
            <v>20</v>
          </cell>
          <cell r="G398">
            <v>3.1</v>
          </cell>
          <cell r="H398" t="str">
            <v>A</v>
          </cell>
          <cell r="I398">
            <v>20201</v>
          </cell>
        </row>
        <row r="399">
          <cell r="A399" t="str">
            <v>F1B117017</v>
          </cell>
          <cell r="B399" t="str">
            <v>HELMY AMALIA ARIESTA</v>
          </cell>
          <cell r="C399">
            <v>20171</v>
          </cell>
          <cell r="D399">
            <v>20</v>
          </cell>
          <cell r="E399">
            <v>3.2</v>
          </cell>
          <cell r="F399">
            <v>20</v>
          </cell>
          <cell r="G399">
            <v>3.2</v>
          </cell>
          <cell r="H399" t="str">
            <v>A</v>
          </cell>
          <cell r="I399">
            <v>20201</v>
          </cell>
        </row>
        <row r="400">
          <cell r="A400" t="str">
            <v>F1B117018</v>
          </cell>
          <cell r="B400" t="str">
            <v>ILHAM MUHAMMAD</v>
          </cell>
          <cell r="C400">
            <v>20171</v>
          </cell>
          <cell r="D400">
            <v>20</v>
          </cell>
          <cell r="E400">
            <v>2.78</v>
          </cell>
          <cell r="F400">
            <v>20</v>
          </cell>
          <cell r="G400">
            <v>2.78</v>
          </cell>
          <cell r="H400" t="str">
            <v>A</v>
          </cell>
          <cell r="I400">
            <v>20201</v>
          </cell>
        </row>
        <row r="401">
          <cell r="A401" t="str">
            <v>F1B117019</v>
          </cell>
          <cell r="B401" t="str">
            <v>KHAIRUL MUAMALAH</v>
          </cell>
          <cell r="C401">
            <v>20171</v>
          </cell>
          <cell r="D401">
            <v>20</v>
          </cell>
          <cell r="E401">
            <v>2.5</v>
          </cell>
          <cell r="F401">
            <v>20</v>
          </cell>
          <cell r="G401">
            <v>2.5</v>
          </cell>
          <cell r="H401" t="str">
            <v>A</v>
          </cell>
          <cell r="I401">
            <v>20201</v>
          </cell>
        </row>
        <row r="402">
          <cell r="A402" t="str">
            <v>F1B117020</v>
          </cell>
          <cell r="B402" t="str">
            <v>LENKA AURELIE YUDHISTIRA</v>
          </cell>
          <cell r="C402">
            <v>20171</v>
          </cell>
          <cell r="D402">
            <v>20</v>
          </cell>
          <cell r="E402">
            <v>3.2</v>
          </cell>
          <cell r="F402">
            <v>20</v>
          </cell>
          <cell r="G402">
            <v>3.2</v>
          </cell>
          <cell r="H402" t="str">
            <v>A</v>
          </cell>
          <cell r="I402">
            <v>20201</v>
          </cell>
        </row>
        <row r="403">
          <cell r="A403" t="str">
            <v>F1B117021</v>
          </cell>
          <cell r="B403" t="str">
            <v>M. AL ZAIDIN</v>
          </cell>
          <cell r="C403">
            <v>20171</v>
          </cell>
          <cell r="D403">
            <v>20</v>
          </cell>
          <cell r="E403">
            <v>2.9</v>
          </cell>
          <cell r="F403">
            <v>20</v>
          </cell>
          <cell r="G403">
            <v>2.9</v>
          </cell>
          <cell r="H403" t="str">
            <v>A</v>
          </cell>
          <cell r="I403">
            <v>20201</v>
          </cell>
        </row>
        <row r="404">
          <cell r="A404" t="str">
            <v>F1B117022</v>
          </cell>
          <cell r="B404" t="str">
            <v>M. FAUZUL AKBAR</v>
          </cell>
          <cell r="C404">
            <v>20171</v>
          </cell>
          <cell r="D404">
            <v>20</v>
          </cell>
          <cell r="E404">
            <v>3.08</v>
          </cell>
          <cell r="F404">
            <v>20</v>
          </cell>
          <cell r="G404">
            <v>3.08</v>
          </cell>
          <cell r="H404" t="str">
            <v>A</v>
          </cell>
          <cell r="I404">
            <v>20201</v>
          </cell>
        </row>
        <row r="405">
          <cell r="A405" t="str">
            <v>F1B117023</v>
          </cell>
          <cell r="B405" t="str">
            <v>M.FAISAL</v>
          </cell>
          <cell r="C405">
            <v>20171</v>
          </cell>
          <cell r="D405">
            <v>20</v>
          </cell>
          <cell r="E405">
            <v>3.05</v>
          </cell>
          <cell r="F405">
            <v>20</v>
          </cell>
          <cell r="G405">
            <v>3.05</v>
          </cell>
          <cell r="H405" t="str">
            <v>A</v>
          </cell>
          <cell r="I405">
            <v>20201</v>
          </cell>
        </row>
        <row r="406">
          <cell r="A406" t="str">
            <v>F1B117024</v>
          </cell>
          <cell r="B406" t="str">
            <v>MUH. RISKI RAMADHAN</v>
          </cell>
          <cell r="C406">
            <v>20171</v>
          </cell>
          <cell r="D406">
            <v>20</v>
          </cell>
          <cell r="E406">
            <v>3.18</v>
          </cell>
          <cell r="F406">
            <v>20</v>
          </cell>
          <cell r="G406">
            <v>3.18</v>
          </cell>
          <cell r="H406" t="str">
            <v>A</v>
          </cell>
          <cell r="I406">
            <v>20201</v>
          </cell>
        </row>
        <row r="407">
          <cell r="A407" t="str">
            <v>F1B117025</v>
          </cell>
          <cell r="B407" t="str">
            <v>MUH. SALDA WINTARA</v>
          </cell>
          <cell r="C407">
            <v>20171</v>
          </cell>
          <cell r="D407">
            <v>20</v>
          </cell>
          <cell r="E407">
            <v>2.83</v>
          </cell>
          <cell r="F407">
            <v>20</v>
          </cell>
          <cell r="G407">
            <v>2.83</v>
          </cell>
          <cell r="H407" t="str">
            <v>A</v>
          </cell>
          <cell r="I407">
            <v>20201</v>
          </cell>
        </row>
        <row r="408">
          <cell r="A408" t="str">
            <v>F1B117026</v>
          </cell>
          <cell r="B408" t="str">
            <v>MUHAMMAD KHAIRUL HADI SYURAHMAN</v>
          </cell>
          <cell r="C408">
            <v>20171</v>
          </cell>
          <cell r="D408">
            <v>20</v>
          </cell>
          <cell r="E408">
            <v>2.5299999999999998</v>
          </cell>
          <cell r="F408">
            <v>20</v>
          </cell>
          <cell r="G408">
            <v>2.5299999999999998</v>
          </cell>
          <cell r="H408" t="str">
            <v>A</v>
          </cell>
          <cell r="I408">
            <v>20201</v>
          </cell>
        </row>
        <row r="409">
          <cell r="A409" t="str">
            <v>F1B117027</v>
          </cell>
          <cell r="B409" t="str">
            <v>MUHAMMAD MUKALLIBIN</v>
          </cell>
          <cell r="C409">
            <v>20171</v>
          </cell>
          <cell r="D409">
            <v>20</v>
          </cell>
          <cell r="E409">
            <v>3.08</v>
          </cell>
          <cell r="F409">
            <v>20</v>
          </cell>
          <cell r="G409">
            <v>3.08</v>
          </cell>
          <cell r="H409" t="str">
            <v>A</v>
          </cell>
          <cell r="I409">
            <v>20201</v>
          </cell>
        </row>
        <row r="410">
          <cell r="A410" t="str">
            <v>F1B117028</v>
          </cell>
          <cell r="B410" t="str">
            <v>MUHAMMAD NABIL</v>
          </cell>
          <cell r="C410">
            <v>20171</v>
          </cell>
          <cell r="D410">
            <v>20</v>
          </cell>
          <cell r="E410">
            <v>3.08</v>
          </cell>
          <cell r="F410">
            <v>20</v>
          </cell>
          <cell r="G410">
            <v>3.08</v>
          </cell>
          <cell r="H410" t="str">
            <v>A</v>
          </cell>
          <cell r="I410">
            <v>20201</v>
          </cell>
        </row>
        <row r="411">
          <cell r="A411" t="str">
            <v>F1B117029</v>
          </cell>
          <cell r="B411" t="str">
            <v>MUHAMMAD THORIQ DWI SETYAWAN</v>
          </cell>
          <cell r="C411">
            <v>20171</v>
          </cell>
          <cell r="D411">
            <v>20</v>
          </cell>
          <cell r="E411">
            <v>3.1</v>
          </cell>
          <cell r="F411">
            <v>20</v>
          </cell>
          <cell r="G411">
            <v>3.1</v>
          </cell>
          <cell r="H411" t="str">
            <v>A</v>
          </cell>
          <cell r="I411">
            <v>20201</v>
          </cell>
        </row>
        <row r="412">
          <cell r="A412" t="str">
            <v>F1B117030</v>
          </cell>
          <cell r="B412" t="str">
            <v>NURAFRINA</v>
          </cell>
          <cell r="C412">
            <v>20171</v>
          </cell>
          <cell r="D412">
            <v>20</v>
          </cell>
          <cell r="E412">
            <v>3.15</v>
          </cell>
          <cell r="F412">
            <v>20</v>
          </cell>
          <cell r="G412">
            <v>3.15</v>
          </cell>
          <cell r="H412" t="str">
            <v>A</v>
          </cell>
          <cell r="I412">
            <v>20201</v>
          </cell>
        </row>
        <row r="413">
          <cell r="A413" t="str">
            <v>F1B117031</v>
          </cell>
          <cell r="B413" t="str">
            <v>RAHMAT ADITYA PRADANA</v>
          </cell>
          <cell r="C413">
            <v>20171</v>
          </cell>
          <cell r="D413">
            <v>20</v>
          </cell>
          <cell r="E413">
            <v>3.15</v>
          </cell>
          <cell r="F413">
            <v>20</v>
          </cell>
          <cell r="G413">
            <v>3.15</v>
          </cell>
          <cell r="H413" t="str">
            <v>A</v>
          </cell>
          <cell r="I413">
            <v>20201</v>
          </cell>
        </row>
        <row r="414">
          <cell r="A414" t="str">
            <v>F1B117032</v>
          </cell>
          <cell r="B414" t="str">
            <v>RAMZY TAUFIQ HANIF</v>
          </cell>
          <cell r="C414">
            <v>20171</v>
          </cell>
          <cell r="D414">
            <v>20</v>
          </cell>
          <cell r="E414">
            <v>3.13</v>
          </cell>
          <cell r="F414">
            <v>20</v>
          </cell>
          <cell r="G414">
            <v>3.13</v>
          </cell>
          <cell r="H414" t="str">
            <v>A</v>
          </cell>
          <cell r="I414">
            <v>20201</v>
          </cell>
        </row>
        <row r="415">
          <cell r="A415" t="str">
            <v>F1B117033</v>
          </cell>
          <cell r="B415" t="str">
            <v>RIAN HENDRAWAN</v>
          </cell>
          <cell r="C415">
            <v>20171</v>
          </cell>
          <cell r="D415">
            <v>20</v>
          </cell>
          <cell r="E415">
            <v>3</v>
          </cell>
          <cell r="F415">
            <v>20</v>
          </cell>
          <cell r="G415">
            <v>3</v>
          </cell>
          <cell r="H415" t="str">
            <v>A</v>
          </cell>
          <cell r="I415">
            <v>20201</v>
          </cell>
        </row>
        <row r="416">
          <cell r="A416" t="str">
            <v>F1B117034</v>
          </cell>
          <cell r="B416" t="str">
            <v>RISKI KHARISMA PUTRA</v>
          </cell>
          <cell r="C416">
            <v>20171</v>
          </cell>
          <cell r="D416">
            <v>20</v>
          </cell>
          <cell r="E416">
            <v>3.13</v>
          </cell>
          <cell r="F416">
            <v>20</v>
          </cell>
          <cell r="G416">
            <v>3.13</v>
          </cell>
          <cell r="H416" t="str">
            <v>A</v>
          </cell>
          <cell r="I416">
            <v>20201</v>
          </cell>
        </row>
        <row r="417">
          <cell r="A417" t="str">
            <v>F1B117035</v>
          </cell>
          <cell r="B417" t="str">
            <v>RIZALUL HAQ</v>
          </cell>
          <cell r="C417">
            <v>20171</v>
          </cell>
          <cell r="D417">
            <v>20</v>
          </cell>
          <cell r="E417">
            <v>3</v>
          </cell>
          <cell r="F417">
            <v>20</v>
          </cell>
          <cell r="G417">
            <v>3</v>
          </cell>
          <cell r="H417" t="str">
            <v>A</v>
          </cell>
          <cell r="I417">
            <v>20201</v>
          </cell>
        </row>
        <row r="418">
          <cell r="A418" t="str">
            <v>F1B117036</v>
          </cell>
          <cell r="B418" t="str">
            <v>RIZKA MARDANI</v>
          </cell>
          <cell r="C418">
            <v>20171</v>
          </cell>
          <cell r="D418">
            <v>20</v>
          </cell>
          <cell r="E418">
            <v>3.08</v>
          </cell>
          <cell r="F418">
            <v>20</v>
          </cell>
          <cell r="G418">
            <v>3.08</v>
          </cell>
          <cell r="H418" t="str">
            <v>A</v>
          </cell>
          <cell r="I418">
            <v>20201</v>
          </cell>
        </row>
        <row r="419">
          <cell r="A419" t="str">
            <v>F1B117037</v>
          </cell>
          <cell r="B419" t="str">
            <v>TEJAMAN MULKI</v>
          </cell>
          <cell r="C419">
            <v>20171</v>
          </cell>
          <cell r="D419">
            <v>20</v>
          </cell>
          <cell r="E419">
            <v>2.73</v>
          </cell>
          <cell r="F419">
            <v>20</v>
          </cell>
          <cell r="G419">
            <v>2.73</v>
          </cell>
          <cell r="H419" t="str">
            <v>A</v>
          </cell>
          <cell r="I419">
            <v>20201</v>
          </cell>
        </row>
        <row r="420">
          <cell r="A420" t="str">
            <v>F1B117038</v>
          </cell>
          <cell r="B420" t="str">
            <v>VENI ASTUTI</v>
          </cell>
          <cell r="C420">
            <v>20171</v>
          </cell>
          <cell r="D420">
            <v>20</v>
          </cell>
          <cell r="E420">
            <v>3.13</v>
          </cell>
          <cell r="F420">
            <v>20</v>
          </cell>
          <cell r="G420">
            <v>3.13</v>
          </cell>
          <cell r="H420" t="str">
            <v>A</v>
          </cell>
          <cell r="I420">
            <v>20201</v>
          </cell>
        </row>
        <row r="421">
          <cell r="A421" t="str">
            <v>F1B117039</v>
          </cell>
          <cell r="B421" t="str">
            <v>WAHYU SIOPANO</v>
          </cell>
          <cell r="C421">
            <v>20171</v>
          </cell>
          <cell r="D421">
            <v>20</v>
          </cell>
          <cell r="E421">
            <v>3.15</v>
          </cell>
          <cell r="F421">
            <v>20</v>
          </cell>
          <cell r="G421">
            <v>3.15</v>
          </cell>
          <cell r="H421" t="str">
            <v>A</v>
          </cell>
          <cell r="I421">
            <v>20201</v>
          </cell>
        </row>
        <row r="422">
          <cell r="A422" t="str">
            <v>F1B117040</v>
          </cell>
          <cell r="B422" t="str">
            <v>WILLY HISBULLOH FAUZY FIRDAUS</v>
          </cell>
          <cell r="C422">
            <v>20171</v>
          </cell>
          <cell r="D422">
            <v>20</v>
          </cell>
          <cell r="E422">
            <v>3.2</v>
          </cell>
          <cell r="F422">
            <v>20</v>
          </cell>
          <cell r="G422">
            <v>3.2</v>
          </cell>
          <cell r="H422" t="str">
            <v>A</v>
          </cell>
          <cell r="I422">
            <v>20201</v>
          </cell>
        </row>
        <row r="423">
          <cell r="A423" t="str">
            <v>F1B117041</v>
          </cell>
          <cell r="B423" t="str">
            <v>WILLY PRADIYANTO</v>
          </cell>
          <cell r="C423">
            <v>20171</v>
          </cell>
          <cell r="D423">
            <v>20</v>
          </cell>
          <cell r="E423">
            <v>3.45</v>
          </cell>
          <cell r="F423">
            <v>20</v>
          </cell>
          <cell r="G423">
            <v>3.45</v>
          </cell>
          <cell r="H423" t="str">
            <v>A</v>
          </cell>
          <cell r="I423">
            <v>20201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C5" t="str">
            <v>ES1101</v>
          </cell>
          <cell r="D5" t="str">
            <v>AGAMA ISLAM</v>
          </cell>
          <cell r="E5">
            <v>2</v>
          </cell>
          <cell r="F5">
            <v>2</v>
          </cell>
          <cell r="J5">
            <v>1</v>
          </cell>
          <cell r="K5">
            <v>1</v>
          </cell>
          <cell r="L5" t="str">
            <v>ES1101</v>
          </cell>
        </row>
        <row r="6">
          <cell r="D6" t="str">
            <v>BAHASA INGGRIS AKADEMIK</v>
          </cell>
          <cell r="E6">
            <v>2</v>
          </cell>
          <cell r="F6">
            <v>2</v>
          </cell>
          <cell r="J6">
            <v>1</v>
          </cell>
          <cell r="K6">
            <v>1</v>
          </cell>
          <cell r="L6" t="str">
            <v>ES1102</v>
          </cell>
        </row>
        <row r="7">
          <cell r="D7" t="str">
            <v>FISIKA I</v>
          </cell>
          <cell r="E7">
            <v>3</v>
          </cell>
          <cell r="F7">
            <v>3</v>
          </cell>
          <cell r="J7">
            <v>1</v>
          </cell>
          <cell r="K7">
            <v>1</v>
          </cell>
          <cell r="L7" t="str">
            <v>ES1103</v>
          </cell>
        </row>
        <row r="8">
          <cell r="D8" t="str">
            <v>KALKULUS I</v>
          </cell>
          <cell r="E8">
            <v>3</v>
          </cell>
          <cell r="F8">
            <v>3</v>
          </cell>
          <cell r="J8">
            <v>1</v>
          </cell>
          <cell r="K8">
            <v>1</v>
          </cell>
          <cell r="L8" t="str">
            <v>ES1104</v>
          </cell>
        </row>
        <row r="9">
          <cell r="D9" t="str">
            <v>BAHAN LISTRIK</v>
          </cell>
          <cell r="E9">
            <v>2</v>
          </cell>
          <cell r="F9">
            <v>2</v>
          </cell>
          <cell r="J9">
            <v>1</v>
          </cell>
          <cell r="K9">
            <v>1</v>
          </cell>
          <cell r="L9" t="str">
            <v>ES1105</v>
          </cell>
        </row>
        <row r="10">
          <cell r="D10" t="str">
            <v>KONSEP SAINS DAN TEKNOLOGI</v>
          </cell>
          <cell r="E10">
            <v>2</v>
          </cell>
          <cell r="F10">
            <v>2</v>
          </cell>
          <cell r="J10">
            <v>1</v>
          </cell>
          <cell r="K10">
            <v>1</v>
          </cell>
          <cell r="L10" t="str">
            <v>ES1106</v>
          </cell>
        </row>
        <row r="11">
          <cell r="D11" t="str">
            <v>GAMBAR TEKNIK</v>
          </cell>
          <cell r="E11">
            <v>2</v>
          </cell>
          <cell r="F11">
            <v>2</v>
          </cell>
          <cell r="J11">
            <v>1</v>
          </cell>
          <cell r="K11">
            <v>1</v>
          </cell>
          <cell r="L11" t="str">
            <v>ES1107</v>
          </cell>
        </row>
        <row r="12">
          <cell r="D12" t="str">
            <v>DASAR TEKNOLOGI INFORMASI</v>
          </cell>
          <cell r="E12">
            <v>3</v>
          </cell>
          <cell r="F12">
            <v>3</v>
          </cell>
          <cell r="J12">
            <v>1</v>
          </cell>
          <cell r="K12">
            <v>1</v>
          </cell>
          <cell r="L12" t="str">
            <v>ES1108</v>
          </cell>
        </row>
        <row r="13">
          <cell r="D13" t="str">
            <v>AGAMA KRISTEN KATOLIK</v>
          </cell>
          <cell r="E13">
            <v>2</v>
          </cell>
          <cell r="F13">
            <v>2</v>
          </cell>
          <cell r="J13">
            <v>1</v>
          </cell>
          <cell r="K13">
            <v>1</v>
          </cell>
          <cell r="L13" t="str">
            <v>ES1149</v>
          </cell>
        </row>
        <row r="14">
          <cell r="D14" t="str">
            <v>AGAMA KRISTEN PROTESTAN</v>
          </cell>
          <cell r="E14">
            <v>2</v>
          </cell>
          <cell r="F14">
            <v>2</v>
          </cell>
          <cell r="J14">
            <v>1</v>
          </cell>
          <cell r="K14">
            <v>1</v>
          </cell>
          <cell r="L14" t="str">
            <v>ES1150</v>
          </cell>
        </row>
        <row r="15">
          <cell r="D15" t="str">
            <v>AGAMA HINDU</v>
          </cell>
          <cell r="E15">
            <v>2</v>
          </cell>
          <cell r="F15">
            <v>2</v>
          </cell>
          <cell r="J15">
            <v>1</v>
          </cell>
          <cell r="K15">
            <v>1</v>
          </cell>
          <cell r="L15" t="str">
            <v>ES1151</v>
          </cell>
        </row>
        <row r="16">
          <cell r="D16" t="str">
            <v>AGAMA BUDHA</v>
          </cell>
          <cell r="E16">
            <v>2</v>
          </cell>
          <cell r="F16">
            <v>2</v>
          </cell>
          <cell r="J16">
            <v>1</v>
          </cell>
          <cell r="K16">
            <v>1</v>
          </cell>
          <cell r="L16" t="str">
            <v>ES1152</v>
          </cell>
        </row>
        <row r="17">
          <cell r="D17" t="str">
            <v>BIOLOGI DASAR</v>
          </cell>
          <cell r="E17">
            <v>3</v>
          </cell>
          <cell r="F17">
            <v>2</v>
          </cell>
          <cell r="G17">
            <v>1</v>
          </cell>
          <cell r="J17">
            <v>1</v>
          </cell>
          <cell r="K17">
            <v>1</v>
          </cell>
          <cell r="L17" t="str">
            <v>TPB11211</v>
          </cell>
        </row>
        <row r="18">
          <cell r="D18" t="str">
            <v>MATEMATIKA DASAR</v>
          </cell>
          <cell r="E18">
            <v>3</v>
          </cell>
          <cell r="F18">
            <v>3</v>
          </cell>
          <cell r="J18">
            <v>1</v>
          </cell>
          <cell r="K18">
            <v>1</v>
          </cell>
          <cell r="L18" t="str">
            <v>TPB12301</v>
          </cell>
        </row>
        <row r="19">
          <cell r="D19" t="str">
            <v>PEMBANGUNAN KARAKTER</v>
          </cell>
          <cell r="E19">
            <v>2</v>
          </cell>
          <cell r="F19">
            <v>2</v>
          </cell>
          <cell r="J19">
            <v>2</v>
          </cell>
          <cell r="K19">
            <v>1</v>
          </cell>
          <cell r="L19" t="str">
            <v>ES1209</v>
          </cell>
        </row>
        <row r="20">
          <cell r="D20" t="str">
            <v>FISIKA II</v>
          </cell>
          <cell r="E20">
            <v>3</v>
          </cell>
          <cell r="F20">
            <v>3</v>
          </cell>
          <cell r="J20">
            <v>2</v>
          </cell>
          <cell r="K20">
            <v>1</v>
          </cell>
          <cell r="L20" t="str">
            <v>ES1210</v>
          </cell>
        </row>
        <row r="21">
          <cell r="D21" t="str">
            <v>KALKULUS II</v>
          </cell>
          <cell r="E21">
            <v>2</v>
          </cell>
          <cell r="F21">
            <v>2</v>
          </cell>
          <cell r="J21">
            <v>2</v>
          </cell>
          <cell r="K21">
            <v>1</v>
          </cell>
          <cell r="L21" t="str">
            <v>ES1211</v>
          </cell>
        </row>
        <row r="22">
          <cell r="D22" t="str">
            <v>RANGKAIAN LISTRIK I</v>
          </cell>
          <cell r="E22">
            <v>3</v>
          </cell>
          <cell r="F22">
            <v>3</v>
          </cell>
          <cell r="J22">
            <v>2</v>
          </cell>
          <cell r="K22">
            <v>1</v>
          </cell>
          <cell r="L22" t="str">
            <v>ES1212</v>
          </cell>
        </row>
        <row r="23">
          <cell r="D23" t="str">
            <v>RANGKAIAN LOGIKA</v>
          </cell>
          <cell r="E23">
            <v>2</v>
          </cell>
          <cell r="F23">
            <v>2</v>
          </cell>
          <cell r="J23">
            <v>2</v>
          </cell>
          <cell r="K23">
            <v>1</v>
          </cell>
          <cell r="L23" t="str">
            <v>ES1213</v>
          </cell>
        </row>
        <row r="24">
          <cell r="D24" t="str">
            <v>PRAKTIKUM RANGKAIAN LOGIKA</v>
          </cell>
          <cell r="E24">
            <v>1</v>
          </cell>
          <cell r="G24">
            <v>1</v>
          </cell>
          <cell r="J24">
            <v>2</v>
          </cell>
          <cell r="K24">
            <v>1</v>
          </cell>
          <cell r="L24" t="str">
            <v>ES1214</v>
          </cell>
        </row>
        <row r="25">
          <cell r="D25" t="str">
            <v>ALGORITMA DAN PEMROGRAMAN</v>
          </cell>
          <cell r="E25">
            <v>2</v>
          </cell>
          <cell r="F25">
            <v>2</v>
          </cell>
          <cell r="J25">
            <v>2</v>
          </cell>
          <cell r="K25">
            <v>1</v>
          </cell>
          <cell r="L25" t="str">
            <v>ES1215</v>
          </cell>
        </row>
        <row r="26">
          <cell r="D26" t="str">
            <v>PRAKTKUM ALGORITMA DAN PEMROGRAMAN</v>
          </cell>
          <cell r="E26">
            <v>1</v>
          </cell>
          <cell r="G26">
            <v>1</v>
          </cell>
          <cell r="J26">
            <v>2</v>
          </cell>
          <cell r="K26">
            <v>1</v>
          </cell>
          <cell r="L26" t="str">
            <v>ES1216</v>
          </cell>
        </row>
        <row r="27">
          <cell r="D27" t="str">
            <v>DASAR TELEKOMUNIKASI</v>
          </cell>
          <cell r="E27">
            <v>3</v>
          </cell>
          <cell r="F27">
            <v>3</v>
          </cell>
          <cell r="J27">
            <v>2</v>
          </cell>
          <cell r="K27">
            <v>1</v>
          </cell>
          <cell r="L27" t="str">
            <v>ES1217</v>
          </cell>
        </row>
        <row r="28">
          <cell r="D28" t="str">
            <v>KIMIA DASAR</v>
          </cell>
          <cell r="E28">
            <v>3</v>
          </cell>
          <cell r="F28">
            <v>2</v>
          </cell>
          <cell r="G28">
            <v>1</v>
          </cell>
          <cell r="J28">
            <v>2</v>
          </cell>
          <cell r="K28">
            <v>1</v>
          </cell>
          <cell r="L28" t="str">
            <v>TPB13212</v>
          </cell>
        </row>
        <row r="29">
          <cell r="D29" t="str">
            <v>FISIKA DASAR</v>
          </cell>
          <cell r="E29">
            <v>3</v>
          </cell>
          <cell r="F29">
            <v>2</v>
          </cell>
          <cell r="G29">
            <v>1</v>
          </cell>
          <cell r="J29">
            <v>2</v>
          </cell>
          <cell r="K29">
            <v>1</v>
          </cell>
          <cell r="L29" t="str">
            <v>TPB14212</v>
          </cell>
        </row>
        <row r="30">
          <cell r="D30" t="str">
            <v>MATEMATIKA TEKNIK I</v>
          </cell>
          <cell r="E30">
            <v>3</v>
          </cell>
          <cell r="F30">
            <v>3</v>
          </cell>
          <cell r="J30">
            <v>3</v>
          </cell>
          <cell r="K30">
            <v>1</v>
          </cell>
          <cell r="L30" t="str">
            <v>ES2118</v>
          </cell>
        </row>
        <row r="31">
          <cell r="D31" t="str">
            <v>PROBABILITAS DAN STATISTIK</v>
          </cell>
          <cell r="E31">
            <v>2</v>
          </cell>
          <cell r="F31">
            <v>2</v>
          </cell>
          <cell r="J31">
            <v>3</v>
          </cell>
          <cell r="K31">
            <v>1</v>
          </cell>
          <cell r="L31" t="str">
            <v>ES2119</v>
          </cell>
        </row>
        <row r="32">
          <cell r="D32" t="str">
            <v>PRAKTIKUM FISIKA</v>
          </cell>
          <cell r="E32">
            <v>1</v>
          </cell>
          <cell r="G32">
            <v>1</v>
          </cell>
          <cell r="J32">
            <v>3</v>
          </cell>
          <cell r="K32">
            <v>1</v>
          </cell>
          <cell r="L32" t="str">
            <v>ES2120</v>
          </cell>
        </row>
        <row r="33">
          <cell r="D33" t="str">
            <v>RANGKAIAN LISTRIK II</v>
          </cell>
          <cell r="E33">
            <v>3</v>
          </cell>
          <cell r="F33">
            <v>3</v>
          </cell>
          <cell r="J33">
            <v>3</v>
          </cell>
          <cell r="K33">
            <v>1</v>
          </cell>
          <cell r="L33" t="str">
            <v>ES2121</v>
          </cell>
        </row>
        <row r="34">
          <cell r="D34" t="str">
            <v>PENGUKURAN BESARAN LISTRIK</v>
          </cell>
          <cell r="E34">
            <v>2</v>
          </cell>
          <cell r="F34">
            <v>2</v>
          </cell>
          <cell r="J34">
            <v>3</v>
          </cell>
          <cell r="K34">
            <v>1</v>
          </cell>
          <cell r="L34" t="str">
            <v>ES2122</v>
          </cell>
        </row>
        <row r="35">
          <cell r="D35" t="str">
            <v>PRAKTIKUM PENGUKURAN BESARAN LISTRIK</v>
          </cell>
          <cell r="E35">
            <v>1</v>
          </cell>
          <cell r="G35">
            <v>1</v>
          </cell>
          <cell r="J35">
            <v>3</v>
          </cell>
          <cell r="K35">
            <v>1</v>
          </cell>
          <cell r="L35" t="str">
            <v>ES2123</v>
          </cell>
        </row>
        <row r="36">
          <cell r="D36" t="str">
            <v>DASAR ELEKTRONIKA</v>
          </cell>
          <cell r="E36">
            <v>3</v>
          </cell>
          <cell r="F36">
            <v>3</v>
          </cell>
          <cell r="J36">
            <v>3</v>
          </cell>
          <cell r="K36">
            <v>1</v>
          </cell>
          <cell r="L36" t="str">
            <v>ES2124</v>
          </cell>
        </row>
        <row r="37">
          <cell r="D37" t="str">
            <v>DASAR TENAGA LISTRIK</v>
          </cell>
          <cell r="E37">
            <v>3</v>
          </cell>
          <cell r="F37">
            <v>3</v>
          </cell>
          <cell r="J37">
            <v>3</v>
          </cell>
          <cell r="K37">
            <v>1</v>
          </cell>
          <cell r="L37" t="str">
            <v>ES2125</v>
          </cell>
        </row>
        <row r="38">
          <cell r="D38" t="str">
            <v>PRAKTIKUM DASAR TELEKOMUNIKASI</v>
          </cell>
          <cell r="E38">
            <v>1</v>
          </cell>
          <cell r="G38">
            <v>1</v>
          </cell>
          <cell r="J38">
            <v>3</v>
          </cell>
          <cell r="K38">
            <v>1</v>
          </cell>
          <cell r="L38" t="str">
            <v>ES2126</v>
          </cell>
        </row>
        <row r="39">
          <cell r="D39" t="str">
            <v>BAHASA INDONESIA AKADEMIK</v>
          </cell>
          <cell r="E39">
            <v>2</v>
          </cell>
          <cell r="F39">
            <v>2</v>
          </cell>
          <cell r="J39">
            <v>4</v>
          </cell>
          <cell r="K39">
            <v>1</v>
          </cell>
          <cell r="L39" t="str">
            <v>ES2227</v>
          </cell>
        </row>
        <row r="40">
          <cell r="D40" t="str">
            <v>MATEMATIKA TEKNIK II</v>
          </cell>
          <cell r="E40">
            <v>3</v>
          </cell>
          <cell r="F40">
            <v>3</v>
          </cell>
          <cell r="J40">
            <v>4</v>
          </cell>
          <cell r="K40">
            <v>1</v>
          </cell>
          <cell r="L40" t="str">
            <v>ES2228</v>
          </cell>
        </row>
        <row r="41">
          <cell r="D41" t="str">
            <v>SINYAL DAN SISTEM</v>
          </cell>
          <cell r="E41">
            <v>3</v>
          </cell>
          <cell r="F41">
            <v>3</v>
          </cell>
          <cell r="J41">
            <v>4</v>
          </cell>
          <cell r="K41">
            <v>1</v>
          </cell>
          <cell r="L41" t="str">
            <v>ES2229</v>
          </cell>
        </row>
        <row r="42">
          <cell r="D42" t="str">
            <v>PROSES STOKASTIK</v>
          </cell>
          <cell r="E42">
            <v>2</v>
          </cell>
          <cell r="F42">
            <v>2</v>
          </cell>
          <cell r="J42">
            <v>4</v>
          </cell>
          <cell r="K42">
            <v>1</v>
          </cell>
          <cell r="L42" t="str">
            <v>ES2230</v>
          </cell>
        </row>
        <row r="43">
          <cell r="D43" t="str">
            <v>METODE NUMERIK</v>
          </cell>
          <cell r="E43">
            <v>2</v>
          </cell>
          <cell r="F43">
            <v>2</v>
          </cell>
          <cell r="J43">
            <v>4</v>
          </cell>
          <cell r="K43">
            <v>1</v>
          </cell>
          <cell r="L43" t="str">
            <v>ES2231</v>
          </cell>
        </row>
        <row r="44">
          <cell r="D44" t="str">
            <v>PRAKTIKUM RANGKAIAN LISTRIK</v>
          </cell>
          <cell r="E44">
            <v>1</v>
          </cell>
          <cell r="G44">
            <v>1</v>
          </cell>
          <cell r="J44">
            <v>4</v>
          </cell>
          <cell r="K44">
            <v>1</v>
          </cell>
          <cell r="L44" t="str">
            <v>ES2232</v>
          </cell>
        </row>
        <row r="45">
          <cell r="D45" t="str">
            <v>EKONOMI TEKNIK</v>
          </cell>
          <cell r="E45">
            <v>2</v>
          </cell>
          <cell r="F45">
            <v>2</v>
          </cell>
          <cell r="J45">
            <v>4</v>
          </cell>
          <cell r="K45">
            <v>1</v>
          </cell>
          <cell r="L45" t="str">
            <v>ES2233</v>
          </cell>
        </row>
        <row r="46">
          <cell r="D46" t="str">
            <v>ELEKTROMAGNETIK</v>
          </cell>
          <cell r="E46">
            <v>3</v>
          </cell>
          <cell r="F46">
            <v>3</v>
          </cell>
          <cell r="J46">
            <v>4</v>
          </cell>
          <cell r="K46">
            <v>1</v>
          </cell>
          <cell r="L46" t="str">
            <v>ES2234</v>
          </cell>
        </row>
        <row r="47">
          <cell r="D47" t="str">
            <v>PRAKTIKUM DASAR ELEKTRONIKA</v>
          </cell>
          <cell r="E47">
            <v>1</v>
          </cell>
          <cell r="F47">
            <v>1</v>
          </cell>
          <cell r="J47">
            <v>4</v>
          </cell>
          <cell r="K47">
            <v>1</v>
          </cell>
          <cell r="L47" t="str">
            <v>ES2235</v>
          </cell>
        </row>
        <row r="48">
          <cell r="D48" t="str">
            <v>PRAKTIKUM DASAR TENAGA LISTRIK</v>
          </cell>
          <cell r="E48">
            <v>1</v>
          </cell>
          <cell r="F48">
            <v>1</v>
          </cell>
          <cell r="J48">
            <v>4</v>
          </cell>
          <cell r="K48">
            <v>1</v>
          </cell>
          <cell r="L48" t="str">
            <v>ES2236</v>
          </cell>
        </row>
        <row r="49">
          <cell r="D49" t="str">
            <v>ANALISA SISTEM TENAGA I</v>
          </cell>
          <cell r="E49">
            <v>3</v>
          </cell>
          <cell r="F49">
            <v>3</v>
          </cell>
          <cell r="J49">
            <v>5</v>
          </cell>
          <cell r="K49">
            <v>1</v>
          </cell>
          <cell r="L49" t="str">
            <v>EA3101</v>
          </cell>
        </row>
        <row r="50">
          <cell r="D50" t="str">
            <v>MESIN LISTRIK I</v>
          </cell>
          <cell r="E50">
            <v>3</v>
          </cell>
          <cell r="F50">
            <v>3</v>
          </cell>
          <cell r="J50">
            <v>5</v>
          </cell>
          <cell r="K50">
            <v>1</v>
          </cell>
          <cell r="L50" t="str">
            <v>EA3102</v>
          </cell>
        </row>
        <row r="51">
          <cell r="D51" t="str">
            <v>PEMBANGKIT TENAGA LISTRIK</v>
          </cell>
          <cell r="E51">
            <v>2</v>
          </cell>
          <cell r="F51">
            <v>2</v>
          </cell>
          <cell r="J51">
            <v>5</v>
          </cell>
          <cell r="K51">
            <v>1</v>
          </cell>
          <cell r="L51" t="str">
            <v>EA3103</v>
          </cell>
        </row>
        <row r="52">
          <cell r="D52" t="str">
            <v>TRANSMISI TENAGA LISTRIK</v>
          </cell>
          <cell r="E52">
            <v>2</v>
          </cell>
          <cell r="F52">
            <v>2</v>
          </cell>
          <cell r="J52">
            <v>5</v>
          </cell>
          <cell r="K52">
            <v>1</v>
          </cell>
          <cell r="L52" t="str">
            <v>EA3104</v>
          </cell>
        </row>
        <row r="53">
          <cell r="D53" t="str">
            <v>RANGKAIAN ELEKTRONIKA</v>
          </cell>
          <cell r="E53">
            <v>3</v>
          </cell>
          <cell r="F53">
            <v>3</v>
          </cell>
          <cell r="J53">
            <v>5</v>
          </cell>
          <cell r="K53">
            <v>1</v>
          </cell>
          <cell r="L53" t="str">
            <v>EB3101</v>
          </cell>
        </row>
        <row r="54">
          <cell r="D54" t="str">
            <v>PRAKTIKUM RANGKAIAN ELEKTRONIKA</v>
          </cell>
          <cell r="E54">
            <v>1</v>
          </cell>
          <cell r="G54">
            <v>1</v>
          </cell>
          <cell r="J54">
            <v>5</v>
          </cell>
          <cell r="K54">
            <v>1</v>
          </cell>
          <cell r="L54" t="str">
            <v>EB3102</v>
          </cell>
        </row>
        <row r="55">
          <cell r="D55" t="str">
            <v>ELEKTRONIKA DIGITAL</v>
          </cell>
          <cell r="E55">
            <v>2</v>
          </cell>
          <cell r="F55">
            <v>2</v>
          </cell>
          <cell r="J55">
            <v>5</v>
          </cell>
          <cell r="K55">
            <v>1</v>
          </cell>
          <cell r="L55" t="str">
            <v>EB3103</v>
          </cell>
        </row>
        <row r="56">
          <cell r="D56" t="str">
            <v>PRAKTIKUM ELEKTRONIKA DIGITAL</v>
          </cell>
          <cell r="E56">
            <v>1</v>
          </cell>
          <cell r="G56">
            <v>1</v>
          </cell>
          <cell r="J56">
            <v>5</v>
          </cell>
          <cell r="K56">
            <v>1</v>
          </cell>
          <cell r="L56" t="str">
            <v>EB3104</v>
          </cell>
        </row>
        <row r="57">
          <cell r="D57" t="str">
            <v>ELEKTRONIKA ANALOG</v>
          </cell>
          <cell r="E57">
            <v>2</v>
          </cell>
          <cell r="F57">
            <v>2</v>
          </cell>
          <cell r="J57">
            <v>5</v>
          </cell>
          <cell r="K57">
            <v>1</v>
          </cell>
          <cell r="L57" t="str">
            <v>EB3105</v>
          </cell>
        </row>
        <row r="58">
          <cell r="D58" t="str">
            <v>ELEKTROMAGNETIK LANJUT</v>
          </cell>
          <cell r="E58">
            <v>2</v>
          </cell>
          <cell r="F58">
            <v>2</v>
          </cell>
          <cell r="J58">
            <v>5</v>
          </cell>
          <cell r="K58">
            <v>1</v>
          </cell>
          <cell r="L58" t="str">
            <v>EC3101</v>
          </cell>
        </row>
        <row r="59">
          <cell r="D59" t="str">
            <v>SISTEM TELEKOMUNIKASI</v>
          </cell>
          <cell r="E59">
            <v>3</v>
          </cell>
          <cell r="F59">
            <v>3</v>
          </cell>
          <cell r="J59">
            <v>5</v>
          </cell>
          <cell r="K59">
            <v>1</v>
          </cell>
          <cell r="L59" t="str">
            <v>EC3102</v>
          </cell>
        </row>
        <row r="60">
          <cell r="D60" t="str">
            <v>JARINGAN TELEKOMUNIKASI</v>
          </cell>
          <cell r="E60">
            <v>3</v>
          </cell>
          <cell r="F60">
            <v>3</v>
          </cell>
          <cell r="J60">
            <v>5</v>
          </cell>
          <cell r="K60">
            <v>1</v>
          </cell>
          <cell r="L60" t="str">
            <v>EC3103</v>
          </cell>
        </row>
        <row r="61">
          <cell r="D61" t="str">
            <v>REKAYASA TRAFIK</v>
          </cell>
          <cell r="E61">
            <v>2</v>
          </cell>
          <cell r="F61">
            <v>2</v>
          </cell>
          <cell r="J61">
            <v>5</v>
          </cell>
          <cell r="K61">
            <v>1</v>
          </cell>
          <cell r="L61" t="str">
            <v>EC3104</v>
          </cell>
        </row>
        <row r="62">
          <cell r="D62" t="str">
            <v>MATEMATIKA DISKRIT</v>
          </cell>
          <cell r="E62">
            <v>3</v>
          </cell>
          <cell r="F62">
            <v>3</v>
          </cell>
          <cell r="J62">
            <v>5</v>
          </cell>
          <cell r="K62">
            <v>1</v>
          </cell>
          <cell r="L62" t="str">
            <v>ED3101</v>
          </cell>
        </row>
        <row r="63">
          <cell r="D63" t="str">
            <v>BASIS DATA</v>
          </cell>
          <cell r="E63">
            <v>3</v>
          </cell>
          <cell r="F63">
            <v>3</v>
          </cell>
          <cell r="J63">
            <v>5</v>
          </cell>
          <cell r="K63">
            <v>1</v>
          </cell>
          <cell r="L63" t="str">
            <v>ED3102</v>
          </cell>
        </row>
        <row r="64">
          <cell r="D64" t="str">
            <v>REKAYASA PERANGKAT LUNAK</v>
          </cell>
          <cell r="E64">
            <v>2</v>
          </cell>
          <cell r="F64">
            <v>2</v>
          </cell>
          <cell r="J64">
            <v>5</v>
          </cell>
          <cell r="K64">
            <v>1</v>
          </cell>
          <cell r="L64" t="str">
            <v>ED3103</v>
          </cell>
        </row>
        <row r="65">
          <cell r="D65" t="str">
            <v>PEMROGRAMAN BERORIENTASI OBYEK</v>
          </cell>
          <cell r="E65">
            <v>2</v>
          </cell>
          <cell r="F65">
            <v>2</v>
          </cell>
          <cell r="J65">
            <v>5</v>
          </cell>
          <cell r="K65">
            <v>1</v>
          </cell>
          <cell r="L65" t="str">
            <v>ED3104</v>
          </cell>
        </row>
        <row r="66">
          <cell r="D66" t="str">
            <v>ILMU SOSIAL DAN BUDAYA DASAR</v>
          </cell>
          <cell r="E66">
            <v>2</v>
          </cell>
          <cell r="F66">
            <v>2</v>
          </cell>
          <cell r="J66">
            <v>5</v>
          </cell>
          <cell r="K66">
            <v>1</v>
          </cell>
          <cell r="L66" t="str">
            <v>ES3137</v>
          </cell>
        </row>
        <row r="67">
          <cell r="D67" t="str">
            <v>SISTEM MIKROPROSESOR</v>
          </cell>
          <cell r="E67">
            <v>3</v>
          </cell>
          <cell r="F67">
            <v>3</v>
          </cell>
          <cell r="J67">
            <v>5</v>
          </cell>
          <cell r="K67">
            <v>1</v>
          </cell>
          <cell r="L67" t="str">
            <v>ES3138</v>
          </cell>
        </row>
        <row r="68">
          <cell r="D68" t="str">
            <v>SISTEM KENDALI</v>
          </cell>
          <cell r="E68">
            <v>3</v>
          </cell>
          <cell r="F68">
            <v>3</v>
          </cell>
          <cell r="J68">
            <v>5</v>
          </cell>
          <cell r="K68">
            <v>1</v>
          </cell>
          <cell r="L68" t="str">
            <v>ES3139</v>
          </cell>
        </row>
        <row r="69">
          <cell r="D69" t="str">
            <v>PRAKTIKUM SISTEM KENDALI</v>
          </cell>
          <cell r="E69">
            <v>1</v>
          </cell>
          <cell r="G69">
            <v>1</v>
          </cell>
          <cell r="J69">
            <v>5</v>
          </cell>
          <cell r="K69">
            <v>1</v>
          </cell>
          <cell r="L69" t="str">
            <v>ES3140</v>
          </cell>
        </row>
        <row r="70">
          <cell r="D70" t="str">
            <v>ANALISA SISTEM TENAGA II</v>
          </cell>
          <cell r="E70">
            <v>2</v>
          </cell>
          <cell r="F70">
            <v>2</v>
          </cell>
          <cell r="J70">
            <v>6</v>
          </cell>
          <cell r="K70">
            <v>1</v>
          </cell>
          <cell r="L70" t="str">
            <v>EA3205</v>
          </cell>
        </row>
        <row r="71">
          <cell r="D71" t="str">
            <v>PRAKTIKUM ANALISA SISTEM TENAGA</v>
          </cell>
          <cell r="E71">
            <v>1</v>
          </cell>
          <cell r="G71">
            <v>1</v>
          </cell>
          <cell r="J71">
            <v>6</v>
          </cell>
          <cell r="K71">
            <v>1</v>
          </cell>
          <cell r="L71" t="str">
            <v>EA3206</v>
          </cell>
        </row>
        <row r="72">
          <cell r="D72" t="str">
            <v>MESIN LISTRIK II</v>
          </cell>
          <cell r="E72">
            <v>2</v>
          </cell>
          <cell r="F72">
            <v>2</v>
          </cell>
          <cell r="J72">
            <v>6</v>
          </cell>
          <cell r="K72">
            <v>1</v>
          </cell>
          <cell r="L72" t="str">
            <v>EA3207</v>
          </cell>
        </row>
        <row r="73">
          <cell r="D73" t="str">
            <v>PRAKTIKUM MESIN LISTRIK</v>
          </cell>
          <cell r="E73">
            <v>1</v>
          </cell>
          <cell r="G73">
            <v>1</v>
          </cell>
          <cell r="J73">
            <v>6</v>
          </cell>
          <cell r="K73">
            <v>1</v>
          </cell>
          <cell r="L73" t="str">
            <v>EA3208</v>
          </cell>
        </row>
        <row r="74">
          <cell r="D74" t="str">
            <v>SISTEM DISTRIBUSI TENAGA LISTRIK</v>
          </cell>
          <cell r="E74">
            <v>3</v>
          </cell>
          <cell r="F74">
            <v>3</v>
          </cell>
          <cell r="J74">
            <v>6</v>
          </cell>
          <cell r="K74">
            <v>1</v>
          </cell>
          <cell r="L74" t="str">
            <v>EA3209</v>
          </cell>
        </row>
        <row r="75">
          <cell r="D75" t="str">
            <v>PERENCANAAN INSTALASI TENAGA LISTRIK</v>
          </cell>
          <cell r="E75">
            <v>3</v>
          </cell>
          <cell r="F75">
            <v>3</v>
          </cell>
          <cell r="J75">
            <v>6</v>
          </cell>
          <cell r="K75">
            <v>1</v>
          </cell>
          <cell r="L75" t="str">
            <v>EA3210</v>
          </cell>
        </row>
        <row r="76">
          <cell r="D76" t="str">
            <v>TEKNIK TEGANGAN TINGGI</v>
          </cell>
          <cell r="E76">
            <v>2</v>
          </cell>
          <cell r="F76">
            <v>2</v>
          </cell>
          <cell r="J76">
            <v>6</v>
          </cell>
          <cell r="K76">
            <v>1</v>
          </cell>
          <cell r="L76" t="str">
            <v>EA3211</v>
          </cell>
        </row>
        <row r="77">
          <cell r="D77" t="str">
            <v>DINAMIKA DAN STABILITAS STL</v>
          </cell>
          <cell r="E77">
            <v>2</v>
          </cell>
          <cell r="F77">
            <v>2</v>
          </cell>
          <cell r="J77">
            <v>6</v>
          </cell>
          <cell r="K77" t="str">
            <v>0</v>
          </cell>
          <cell r="L77" t="str">
            <v>EA4001</v>
          </cell>
        </row>
        <row r="78">
          <cell r="D78" t="str">
            <v>PERENCANAAN ENERGI</v>
          </cell>
          <cell r="E78">
            <v>2</v>
          </cell>
          <cell r="F78">
            <v>2</v>
          </cell>
          <cell r="J78">
            <v>6</v>
          </cell>
          <cell r="K78" t="str">
            <v>0</v>
          </cell>
          <cell r="L78" t="str">
            <v>EA4006</v>
          </cell>
        </row>
        <row r="79">
          <cell r="D79" t="str">
            <v>PLC</v>
          </cell>
          <cell r="E79">
            <v>2</v>
          </cell>
          <cell r="F79">
            <v>2</v>
          </cell>
          <cell r="J79">
            <v>6</v>
          </cell>
          <cell r="K79" t="str">
            <v>0</v>
          </cell>
          <cell r="L79" t="str">
            <v>EA4008</v>
          </cell>
        </row>
        <row r="80">
          <cell r="D80" t="str">
            <v>PPML</v>
          </cell>
          <cell r="E80">
            <v>2</v>
          </cell>
          <cell r="F80">
            <v>2</v>
          </cell>
          <cell r="J80">
            <v>6</v>
          </cell>
          <cell r="K80" t="str">
            <v>0</v>
          </cell>
          <cell r="L80" t="str">
            <v>EA4009</v>
          </cell>
        </row>
        <row r="81">
          <cell r="D81" t="str">
            <v>TEKNIK ENERGI ALTERNATIF</v>
          </cell>
          <cell r="E81">
            <v>2</v>
          </cell>
          <cell r="F81">
            <v>2</v>
          </cell>
          <cell r="J81">
            <v>6</v>
          </cell>
          <cell r="K81" t="str">
            <v>0</v>
          </cell>
          <cell r="L81" t="str">
            <v>EA4011</v>
          </cell>
        </row>
        <row r="82">
          <cell r="D82" t="str">
            <v>TEKNOLOGI GARDU INDUK DAN PENTANAHAN</v>
          </cell>
          <cell r="E82">
            <v>2</v>
          </cell>
          <cell r="F82">
            <v>2</v>
          </cell>
          <cell r="J82">
            <v>6</v>
          </cell>
          <cell r="K82" t="str">
            <v>0</v>
          </cell>
          <cell r="L82" t="str">
            <v>EA4012</v>
          </cell>
        </row>
        <row r="83">
          <cell r="D83" t="str">
            <v>ELEKTRONIKA DAYA LANJUT</v>
          </cell>
          <cell r="E83">
            <v>2</v>
          </cell>
          <cell r="F83">
            <v>2</v>
          </cell>
          <cell r="J83">
            <v>6</v>
          </cell>
          <cell r="K83" t="str">
            <v>0</v>
          </cell>
          <cell r="L83" t="str">
            <v>EA4013</v>
          </cell>
        </row>
        <row r="84">
          <cell r="D84" t="str">
            <v>MEKATRONIKA</v>
          </cell>
          <cell r="E84">
            <v>2</v>
          </cell>
          <cell r="F84">
            <v>2</v>
          </cell>
          <cell r="J84">
            <v>6</v>
          </cell>
          <cell r="K84">
            <v>1</v>
          </cell>
          <cell r="L84" t="str">
            <v>EB3206</v>
          </cell>
        </row>
        <row r="85">
          <cell r="D85" t="str">
            <v>PRAKTIKUM ELEKTRONIKA LANJUT</v>
          </cell>
          <cell r="E85">
            <v>1</v>
          </cell>
          <cell r="G85">
            <v>1</v>
          </cell>
          <cell r="J85">
            <v>6</v>
          </cell>
          <cell r="K85">
            <v>1</v>
          </cell>
          <cell r="L85" t="str">
            <v>EB3207</v>
          </cell>
        </row>
        <row r="86">
          <cell r="D86" t="str">
            <v>PENGOLAHAN SINYAL DIGITAL</v>
          </cell>
          <cell r="E86">
            <v>3</v>
          </cell>
          <cell r="F86">
            <v>3</v>
          </cell>
          <cell r="J86">
            <v>6</v>
          </cell>
          <cell r="K86">
            <v>1</v>
          </cell>
          <cell r="L86" t="str">
            <v>EB3208</v>
          </cell>
        </row>
        <row r="87">
          <cell r="D87" t="str">
            <v>SISTEM INSTRUMENTASI ELEKTRONIKA</v>
          </cell>
          <cell r="E87">
            <v>3</v>
          </cell>
          <cell r="F87">
            <v>3</v>
          </cell>
          <cell r="J87">
            <v>6</v>
          </cell>
          <cell r="K87">
            <v>1</v>
          </cell>
          <cell r="L87" t="str">
            <v>EB3209</v>
          </cell>
        </row>
        <row r="88">
          <cell r="D88" t="str">
            <v>ELEKTRONIKA INDUSTRI</v>
          </cell>
          <cell r="E88">
            <v>3</v>
          </cell>
          <cell r="F88">
            <v>3</v>
          </cell>
          <cell r="J88">
            <v>6</v>
          </cell>
          <cell r="K88">
            <v>1</v>
          </cell>
          <cell r="L88" t="str">
            <v>EB3210</v>
          </cell>
        </row>
        <row r="89">
          <cell r="D89" t="str">
            <v>ALGORITMA DAN STRUKTUR DATA</v>
          </cell>
          <cell r="E89">
            <v>2</v>
          </cell>
          <cell r="F89">
            <v>2</v>
          </cell>
          <cell r="J89">
            <v>6</v>
          </cell>
          <cell r="K89" t="str">
            <v>0</v>
          </cell>
          <cell r="L89" t="str">
            <v>EB4001</v>
          </cell>
        </row>
        <row r="90">
          <cell r="D90" t="str">
            <v>OPTO ELEKTRONIKA</v>
          </cell>
          <cell r="E90">
            <v>2</v>
          </cell>
          <cell r="F90">
            <v>2</v>
          </cell>
          <cell r="J90">
            <v>6</v>
          </cell>
          <cell r="K90" t="str">
            <v>0</v>
          </cell>
          <cell r="L90" t="str">
            <v>EB4006</v>
          </cell>
        </row>
        <row r="91">
          <cell r="D91" t="str">
            <v>PLC</v>
          </cell>
          <cell r="E91">
            <v>2</v>
          </cell>
          <cell r="F91">
            <v>2</v>
          </cell>
          <cell r="J91">
            <v>6</v>
          </cell>
          <cell r="K91" t="str">
            <v>0</v>
          </cell>
          <cell r="L91" t="str">
            <v>EB4008</v>
          </cell>
        </row>
        <row r="92">
          <cell r="D92" t="str">
            <v>ROBOTIKA</v>
          </cell>
          <cell r="E92">
            <v>2</v>
          </cell>
          <cell r="F92">
            <v>2</v>
          </cell>
          <cell r="J92">
            <v>6</v>
          </cell>
          <cell r="K92" t="str">
            <v>0</v>
          </cell>
          <cell r="L92" t="str">
            <v>EB4009</v>
          </cell>
        </row>
        <row r="93">
          <cell r="D93" t="str">
            <v>TEKNOLOGI RANGKAIAN TERINTEGRASI (VLSI)</v>
          </cell>
          <cell r="E93">
            <v>2</v>
          </cell>
          <cell r="F93">
            <v>2</v>
          </cell>
          <cell r="J93">
            <v>6</v>
          </cell>
          <cell r="K93" t="str">
            <v>0</v>
          </cell>
          <cell r="L93" t="str">
            <v>EB4010</v>
          </cell>
        </row>
        <row r="94">
          <cell r="D94" t="str">
            <v>TRANSMISI GELOMBANG ELEKTROMANETIK I</v>
          </cell>
          <cell r="E94">
            <v>3</v>
          </cell>
          <cell r="F94">
            <v>3</v>
          </cell>
          <cell r="J94">
            <v>6</v>
          </cell>
          <cell r="K94">
            <v>1</v>
          </cell>
          <cell r="L94" t="str">
            <v>EC3205</v>
          </cell>
        </row>
        <row r="95">
          <cell r="D95" t="str">
            <v>PENGOLAHAN SINYAL DIGITAL</v>
          </cell>
          <cell r="E95">
            <v>3</v>
          </cell>
          <cell r="F95">
            <v>3</v>
          </cell>
          <cell r="J95">
            <v>6</v>
          </cell>
          <cell r="K95">
            <v>1</v>
          </cell>
          <cell r="L95" t="str">
            <v>EC3206</v>
          </cell>
        </row>
        <row r="96">
          <cell r="D96" t="str">
            <v>KOMUNIKASI DIGITAL</v>
          </cell>
          <cell r="E96">
            <v>2</v>
          </cell>
          <cell r="F96">
            <v>2</v>
          </cell>
          <cell r="J96">
            <v>6</v>
          </cell>
          <cell r="K96">
            <v>1</v>
          </cell>
          <cell r="L96" t="str">
            <v>EC3207</v>
          </cell>
        </row>
        <row r="97">
          <cell r="D97" t="str">
            <v>ELEKTRONIKA TELEKOMUNIKASI</v>
          </cell>
          <cell r="E97">
            <v>3</v>
          </cell>
          <cell r="F97">
            <v>3</v>
          </cell>
          <cell r="J97">
            <v>6</v>
          </cell>
          <cell r="K97">
            <v>1</v>
          </cell>
          <cell r="L97" t="str">
            <v>EC3208</v>
          </cell>
        </row>
        <row r="98">
          <cell r="D98" t="str">
            <v>PRAKTIKUM JARINGAN TELEKOMUNIKASI</v>
          </cell>
          <cell r="E98">
            <v>1</v>
          </cell>
          <cell r="G98">
            <v>1</v>
          </cell>
          <cell r="J98">
            <v>6</v>
          </cell>
          <cell r="K98">
            <v>1</v>
          </cell>
          <cell r="L98" t="str">
            <v>EC3209</v>
          </cell>
        </row>
        <row r="99">
          <cell r="D99" t="str">
            <v>KOMUNIKASI DATA DAN JARINGAN KOMPUTER</v>
          </cell>
          <cell r="E99">
            <v>3</v>
          </cell>
          <cell r="F99">
            <v>3</v>
          </cell>
          <cell r="J99">
            <v>6</v>
          </cell>
          <cell r="K99">
            <v>1</v>
          </cell>
          <cell r="L99" t="str">
            <v>EC3210</v>
          </cell>
        </row>
        <row r="100">
          <cell r="D100" t="str">
            <v>KOMUNIKASI BERGERAK</v>
          </cell>
          <cell r="E100">
            <v>2</v>
          </cell>
          <cell r="F100">
            <v>2</v>
          </cell>
          <cell r="J100">
            <v>6</v>
          </cell>
          <cell r="K100" t="str">
            <v>0</v>
          </cell>
          <cell r="L100" t="str">
            <v>EC4002</v>
          </cell>
        </row>
        <row r="101">
          <cell r="D101" t="str">
            <v>KOMUNIKASI SATELIT</v>
          </cell>
          <cell r="E101">
            <v>2</v>
          </cell>
          <cell r="F101">
            <v>2</v>
          </cell>
          <cell r="J101">
            <v>6</v>
          </cell>
          <cell r="K101" t="str">
            <v>0</v>
          </cell>
          <cell r="L101" t="str">
            <v>EC4004</v>
          </cell>
        </row>
        <row r="102">
          <cell r="D102" t="str">
            <v>PLC</v>
          </cell>
          <cell r="E102">
            <v>2</v>
          </cell>
          <cell r="F102">
            <v>2</v>
          </cell>
          <cell r="J102">
            <v>6</v>
          </cell>
          <cell r="K102" t="str">
            <v>0</v>
          </cell>
          <cell r="L102" t="str">
            <v>EC4007</v>
          </cell>
        </row>
        <row r="103">
          <cell r="D103" t="str">
            <v>RADAR DAN NAVIGASI</v>
          </cell>
          <cell r="E103">
            <v>2</v>
          </cell>
          <cell r="F103">
            <v>2</v>
          </cell>
          <cell r="J103">
            <v>6</v>
          </cell>
          <cell r="K103" t="str">
            <v>0</v>
          </cell>
          <cell r="L103" t="str">
            <v>EC4008</v>
          </cell>
        </row>
        <row r="104">
          <cell r="D104" t="str">
            <v>TELEFONI DIGITAL</v>
          </cell>
          <cell r="E104">
            <v>2</v>
          </cell>
          <cell r="F104">
            <v>2</v>
          </cell>
          <cell r="J104">
            <v>6</v>
          </cell>
          <cell r="K104" t="str">
            <v>0</v>
          </cell>
          <cell r="L104" t="str">
            <v>EC4011</v>
          </cell>
        </row>
        <row r="105">
          <cell r="D105" t="str">
            <v>TELEMETRI</v>
          </cell>
          <cell r="E105">
            <v>2</v>
          </cell>
          <cell r="F105">
            <v>2</v>
          </cell>
          <cell r="J105">
            <v>6</v>
          </cell>
          <cell r="K105" t="str">
            <v>0</v>
          </cell>
          <cell r="L105" t="str">
            <v>EC4012</v>
          </cell>
        </row>
        <row r="106">
          <cell r="D106" t="str">
            <v>TOPIK KHUSUS TELEKOMUNIKASI</v>
          </cell>
          <cell r="E106">
            <v>2</v>
          </cell>
          <cell r="F106">
            <v>2</v>
          </cell>
          <cell r="J106">
            <v>6</v>
          </cell>
          <cell r="K106" t="str">
            <v>0</v>
          </cell>
          <cell r="L106" t="str">
            <v>EC4013</v>
          </cell>
        </row>
        <row r="107">
          <cell r="D107" t="str">
            <v>ARSITEKTUR SISTEM KOMPUTER</v>
          </cell>
          <cell r="E107">
            <v>2</v>
          </cell>
          <cell r="F107">
            <v>2</v>
          </cell>
          <cell r="J107">
            <v>6</v>
          </cell>
          <cell r="K107">
            <v>1</v>
          </cell>
          <cell r="L107" t="str">
            <v>ED3205</v>
          </cell>
        </row>
        <row r="108">
          <cell r="D108" t="str">
            <v>KOMUNIKASI DATA DAN JARINGAN KOMPUTER</v>
          </cell>
          <cell r="E108">
            <v>3</v>
          </cell>
          <cell r="F108">
            <v>3</v>
          </cell>
          <cell r="J108">
            <v>6</v>
          </cell>
          <cell r="K108">
            <v>1</v>
          </cell>
          <cell r="L108" t="str">
            <v>ED3206</v>
          </cell>
        </row>
        <row r="109">
          <cell r="D109" t="str">
            <v>ALGORITMA DAN STRUKTUR DATA</v>
          </cell>
          <cell r="E109">
            <v>2</v>
          </cell>
          <cell r="F109">
            <v>2</v>
          </cell>
          <cell r="J109">
            <v>6</v>
          </cell>
          <cell r="K109">
            <v>1</v>
          </cell>
          <cell r="L109" t="str">
            <v>ED3207</v>
          </cell>
        </row>
        <row r="110">
          <cell r="D110" t="str">
            <v>PRAKTIKUM PEMROGRAMAN BERBASIS OBYEK</v>
          </cell>
          <cell r="E110">
            <v>1</v>
          </cell>
          <cell r="F110">
            <v>1</v>
          </cell>
          <cell r="J110">
            <v>6</v>
          </cell>
          <cell r="K110">
            <v>1</v>
          </cell>
          <cell r="L110" t="str">
            <v>ED3208</v>
          </cell>
        </row>
        <row r="111">
          <cell r="D111" t="str">
            <v>KECERDASAN BUATAN</v>
          </cell>
          <cell r="E111">
            <v>2</v>
          </cell>
          <cell r="F111">
            <v>2</v>
          </cell>
          <cell r="J111">
            <v>6</v>
          </cell>
          <cell r="K111">
            <v>1</v>
          </cell>
          <cell r="L111" t="str">
            <v>ED3209</v>
          </cell>
        </row>
        <row r="112">
          <cell r="D112" t="str">
            <v>PENGOLAHAN SINYAL DIGITAL</v>
          </cell>
          <cell r="E112">
            <v>3</v>
          </cell>
          <cell r="F112">
            <v>3</v>
          </cell>
          <cell r="J112">
            <v>6</v>
          </cell>
          <cell r="K112">
            <v>1</v>
          </cell>
          <cell r="L112" t="str">
            <v>ED3210</v>
          </cell>
        </row>
        <row r="113">
          <cell r="D113" t="str">
            <v>ANALISIS DAN DESAIN BERORIENTASI OBYEK</v>
          </cell>
          <cell r="E113">
            <v>2</v>
          </cell>
          <cell r="F113">
            <v>2</v>
          </cell>
          <cell r="J113">
            <v>6</v>
          </cell>
          <cell r="K113" t="str">
            <v>0</v>
          </cell>
          <cell r="L113" t="str">
            <v>ED4002</v>
          </cell>
        </row>
        <row r="114">
          <cell r="D114" t="str">
            <v>AUTOMATA DAN PENGANTAR KOMPILASI</v>
          </cell>
          <cell r="E114">
            <v>2</v>
          </cell>
          <cell r="F114">
            <v>2</v>
          </cell>
          <cell r="J114">
            <v>6</v>
          </cell>
          <cell r="K114" t="str">
            <v>0</v>
          </cell>
          <cell r="L114" t="str">
            <v>ED4004</v>
          </cell>
        </row>
        <row r="115">
          <cell r="D115" t="str">
            <v>KEAMANAN INFORMASI</v>
          </cell>
          <cell r="E115">
            <v>2</v>
          </cell>
          <cell r="F115">
            <v>2</v>
          </cell>
          <cell r="J115">
            <v>6</v>
          </cell>
          <cell r="K115" t="str">
            <v>0</v>
          </cell>
          <cell r="L115" t="str">
            <v>ED4005</v>
          </cell>
        </row>
        <row r="116">
          <cell r="D116" t="str">
            <v>PENGENALAN POLA</v>
          </cell>
          <cell r="E116">
            <v>2</v>
          </cell>
          <cell r="F116">
            <v>2</v>
          </cell>
          <cell r="J116">
            <v>6</v>
          </cell>
          <cell r="K116" t="str">
            <v>0</v>
          </cell>
          <cell r="L116" t="str">
            <v>ED4007</v>
          </cell>
        </row>
        <row r="117">
          <cell r="D117" t="str">
            <v>PLC</v>
          </cell>
          <cell r="E117">
            <v>2</v>
          </cell>
          <cell r="F117">
            <v>2</v>
          </cell>
          <cell r="J117">
            <v>6</v>
          </cell>
          <cell r="K117" t="str">
            <v>0</v>
          </cell>
          <cell r="L117" t="str">
            <v>ED4009</v>
          </cell>
        </row>
        <row r="118">
          <cell r="D118" t="str">
            <v>SISTEM OPERASI</v>
          </cell>
          <cell r="E118">
            <v>2</v>
          </cell>
          <cell r="F118">
            <v>2</v>
          </cell>
          <cell r="J118">
            <v>6</v>
          </cell>
          <cell r="K118" t="str">
            <v>0</v>
          </cell>
          <cell r="L118" t="str">
            <v>ED4012</v>
          </cell>
        </row>
        <row r="119">
          <cell r="D119" t="str">
            <v>TEKNIK NEURO FUZZY</v>
          </cell>
          <cell r="E119">
            <v>2</v>
          </cell>
          <cell r="F119">
            <v>2</v>
          </cell>
          <cell r="J119">
            <v>6</v>
          </cell>
          <cell r="K119" t="str">
            <v>0</v>
          </cell>
          <cell r="L119" t="str">
            <v>ED4013</v>
          </cell>
        </row>
        <row r="120">
          <cell r="D120" t="str">
            <v>TEKNK KOMPRESI DATA</v>
          </cell>
          <cell r="E120">
            <v>2</v>
          </cell>
          <cell r="F120">
            <v>2</v>
          </cell>
          <cell r="J120">
            <v>6</v>
          </cell>
          <cell r="K120" t="str">
            <v>0</v>
          </cell>
          <cell r="L120" t="str">
            <v>ED4015</v>
          </cell>
        </row>
        <row r="121">
          <cell r="D121" t="str">
            <v>PRAKTIKUM SISTEM MIKROPROSESOR</v>
          </cell>
          <cell r="E121">
            <v>1</v>
          </cell>
          <cell r="G121">
            <v>1</v>
          </cell>
          <cell r="J121">
            <v>6</v>
          </cell>
          <cell r="K121">
            <v>1</v>
          </cell>
          <cell r="L121" t="str">
            <v>ES3241</v>
          </cell>
        </row>
        <row r="122">
          <cell r="D122" t="str">
            <v>GEJALA MEDAN TINGGI</v>
          </cell>
          <cell r="E122">
            <v>2</v>
          </cell>
          <cell r="F122">
            <v>2</v>
          </cell>
          <cell r="J122">
            <v>7</v>
          </cell>
          <cell r="K122" t="str">
            <v>0</v>
          </cell>
          <cell r="L122" t="str">
            <v>EA4002</v>
          </cell>
        </row>
        <row r="123">
          <cell r="D123" t="str">
            <v>HARMONISA DALAM STL</v>
          </cell>
          <cell r="E123">
            <v>2</v>
          </cell>
          <cell r="F123">
            <v>2</v>
          </cell>
          <cell r="J123">
            <v>7</v>
          </cell>
          <cell r="K123" t="str">
            <v>0</v>
          </cell>
          <cell r="L123" t="str">
            <v>EA4003</v>
          </cell>
        </row>
        <row r="124">
          <cell r="D124" t="str">
            <v>KECERDASAN BUATAN DALAM STL</v>
          </cell>
          <cell r="E124">
            <v>2</v>
          </cell>
          <cell r="F124">
            <v>2</v>
          </cell>
          <cell r="J124">
            <v>7</v>
          </cell>
          <cell r="K124" t="str">
            <v>0</v>
          </cell>
          <cell r="L124" t="str">
            <v>EA4004</v>
          </cell>
        </row>
        <row r="125">
          <cell r="D125" t="str">
            <v>PERANCANGAN MESIN-MESIN LISTRIK</v>
          </cell>
          <cell r="E125">
            <v>2</v>
          </cell>
          <cell r="F125">
            <v>2</v>
          </cell>
          <cell r="J125">
            <v>7</v>
          </cell>
          <cell r="K125" t="str">
            <v>0</v>
          </cell>
          <cell r="L125" t="str">
            <v>EA4005</v>
          </cell>
        </row>
        <row r="126">
          <cell r="D126" t="str">
            <v>PERANCANGAN SISTEM TENAGA LISTRIK</v>
          </cell>
          <cell r="E126">
            <v>2</v>
          </cell>
          <cell r="F126">
            <v>2</v>
          </cell>
          <cell r="J126">
            <v>7</v>
          </cell>
          <cell r="K126" t="str">
            <v>0</v>
          </cell>
          <cell r="L126" t="str">
            <v>EA4007</v>
          </cell>
        </row>
        <row r="127">
          <cell r="D127" t="str">
            <v>SISTEM SCADA</v>
          </cell>
          <cell r="E127">
            <v>2</v>
          </cell>
          <cell r="F127">
            <v>2</v>
          </cell>
          <cell r="J127">
            <v>7</v>
          </cell>
          <cell r="K127" t="str">
            <v>0</v>
          </cell>
          <cell r="L127" t="str">
            <v>EA4010</v>
          </cell>
        </row>
        <row r="128">
          <cell r="D128" t="str">
            <v>MANAJEMEN OPERASI SISTEM TENAGA</v>
          </cell>
          <cell r="E128">
            <v>2</v>
          </cell>
          <cell r="F128">
            <v>2</v>
          </cell>
          <cell r="J128">
            <v>7</v>
          </cell>
          <cell r="K128">
            <v>1</v>
          </cell>
          <cell r="L128" t="str">
            <v>EA4112</v>
          </cell>
        </row>
        <row r="129">
          <cell r="D129" t="str">
            <v>PROTEKSI SISTEM TENAGA</v>
          </cell>
          <cell r="E129">
            <v>2</v>
          </cell>
          <cell r="F129">
            <v>2</v>
          </cell>
          <cell r="J129">
            <v>7</v>
          </cell>
          <cell r="K129">
            <v>1</v>
          </cell>
          <cell r="L129" t="str">
            <v>EA4113</v>
          </cell>
        </row>
        <row r="130">
          <cell r="D130" t="str">
            <v>PRAKTIKUM PROTEKSI SISTEM TENAGA</v>
          </cell>
          <cell r="E130">
            <v>1</v>
          </cell>
          <cell r="G130">
            <v>1</v>
          </cell>
          <cell r="J130">
            <v>7</v>
          </cell>
          <cell r="K130">
            <v>1</v>
          </cell>
          <cell r="L130" t="str">
            <v>EA4114</v>
          </cell>
        </row>
        <row r="131">
          <cell r="D131" t="str">
            <v>ELEKTRONIKA DAYA</v>
          </cell>
          <cell r="E131">
            <v>2</v>
          </cell>
          <cell r="F131">
            <v>2</v>
          </cell>
          <cell r="J131">
            <v>7</v>
          </cell>
          <cell r="K131">
            <v>1</v>
          </cell>
          <cell r="L131" t="str">
            <v>EA4115</v>
          </cell>
        </row>
        <row r="132">
          <cell r="D132" t="str">
            <v>PRAKTIKUM ELEKTRONIKA DAYA</v>
          </cell>
          <cell r="E132">
            <v>1</v>
          </cell>
          <cell r="G132">
            <v>1</v>
          </cell>
          <cell r="J132">
            <v>7</v>
          </cell>
          <cell r="K132">
            <v>1</v>
          </cell>
          <cell r="L132" t="str">
            <v>EA4116</v>
          </cell>
        </row>
        <row r="133">
          <cell r="D133" t="str">
            <v>PRAKTIKUM TRANSMISI DAN DISTRIBUSI</v>
          </cell>
          <cell r="E133">
            <v>1</v>
          </cell>
          <cell r="G133">
            <v>1</v>
          </cell>
          <cell r="J133">
            <v>7</v>
          </cell>
          <cell r="K133">
            <v>1</v>
          </cell>
          <cell r="L133" t="str">
            <v>EA4117</v>
          </cell>
        </row>
        <row r="134">
          <cell r="D134" t="str">
            <v>INSTRUMENTASI BIOMEDIS</v>
          </cell>
          <cell r="E134">
            <v>2</v>
          </cell>
          <cell r="F134">
            <v>2</v>
          </cell>
          <cell r="J134">
            <v>7</v>
          </cell>
          <cell r="K134" t="str">
            <v>0</v>
          </cell>
          <cell r="L134" t="str">
            <v>EB4002</v>
          </cell>
        </row>
        <row r="135">
          <cell r="D135" t="str">
            <v>JARINGAN SYARAF TIRUAN</v>
          </cell>
          <cell r="E135">
            <v>2</v>
          </cell>
          <cell r="F135">
            <v>2</v>
          </cell>
          <cell r="J135">
            <v>7</v>
          </cell>
          <cell r="K135" t="str">
            <v>0</v>
          </cell>
          <cell r="L135" t="str">
            <v>EB4003</v>
          </cell>
        </row>
        <row r="136">
          <cell r="D136" t="str">
            <v>LOGIKA FUZZY</v>
          </cell>
          <cell r="E136">
            <v>2</v>
          </cell>
          <cell r="F136">
            <v>2</v>
          </cell>
          <cell r="J136">
            <v>7</v>
          </cell>
          <cell r="K136" t="str">
            <v>0</v>
          </cell>
          <cell r="L136" t="str">
            <v>EB4004</v>
          </cell>
        </row>
        <row r="137">
          <cell r="D137" t="str">
            <v>MIKROPROSESOR LANJUT</v>
          </cell>
          <cell r="E137">
            <v>2</v>
          </cell>
          <cell r="F137">
            <v>2</v>
          </cell>
          <cell r="J137">
            <v>7</v>
          </cell>
          <cell r="K137" t="str">
            <v>0</v>
          </cell>
          <cell r="L137" t="str">
            <v>EB4005</v>
          </cell>
        </row>
        <row r="138">
          <cell r="D138" t="str">
            <v>PENGOLAHAN CITRA DIGITAL</v>
          </cell>
          <cell r="E138">
            <v>2</v>
          </cell>
          <cell r="F138">
            <v>2</v>
          </cell>
          <cell r="J138">
            <v>7</v>
          </cell>
          <cell r="K138" t="str">
            <v>0</v>
          </cell>
          <cell r="L138" t="str">
            <v>EB4007</v>
          </cell>
        </row>
        <row r="139">
          <cell r="D139" t="str">
            <v>TEKNIK INTERFACING DAN SISTEM EMBEDDED</v>
          </cell>
          <cell r="E139">
            <v>3</v>
          </cell>
          <cell r="F139">
            <v>3</v>
          </cell>
          <cell r="J139">
            <v>7</v>
          </cell>
          <cell r="K139">
            <v>1</v>
          </cell>
          <cell r="L139" t="str">
            <v>EB4111</v>
          </cell>
        </row>
        <row r="140">
          <cell r="D140" t="str">
            <v>PERANCANGAN SISTEM ELEKTRONIKA</v>
          </cell>
          <cell r="E140">
            <v>2</v>
          </cell>
          <cell r="F140">
            <v>2</v>
          </cell>
          <cell r="J140">
            <v>7</v>
          </cell>
          <cell r="K140">
            <v>1</v>
          </cell>
          <cell r="L140" t="str">
            <v>EB4112</v>
          </cell>
        </row>
        <row r="141">
          <cell r="D141" t="str">
            <v>PRAKTIKUM PENGOLAHAN SINYAL DIGITAL</v>
          </cell>
          <cell r="E141">
            <v>1</v>
          </cell>
          <cell r="G141">
            <v>1</v>
          </cell>
          <cell r="J141">
            <v>7</v>
          </cell>
          <cell r="K141">
            <v>1</v>
          </cell>
          <cell r="L141" t="str">
            <v>EB4113</v>
          </cell>
        </row>
        <row r="142">
          <cell r="D142" t="str">
            <v>PIRANTI MIKROELEKTRONIKA</v>
          </cell>
          <cell r="E142">
            <v>2</v>
          </cell>
          <cell r="F142">
            <v>2</v>
          </cell>
          <cell r="J142">
            <v>7</v>
          </cell>
          <cell r="K142">
            <v>1</v>
          </cell>
          <cell r="L142" t="str">
            <v>EB4114</v>
          </cell>
        </row>
        <row r="143">
          <cell r="D143" t="str">
            <v>TEKNIK KENDALI DIGITAL</v>
          </cell>
          <cell r="E143">
            <v>2</v>
          </cell>
          <cell r="F143">
            <v>2</v>
          </cell>
          <cell r="J143">
            <v>7</v>
          </cell>
          <cell r="K143">
            <v>1</v>
          </cell>
          <cell r="L143" t="str">
            <v>EB4115</v>
          </cell>
        </row>
        <row r="144">
          <cell r="D144" t="str">
            <v>JARINGAN SYARAF TIRUAN</v>
          </cell>
          <cell r="E144">
            <v>2</v>
          </cell>
          <cell r="F144">
            <v>2</v>
          </cell>
          <cell r="J144">
            <v>7</v>
          </cell>
          <cell r="K144" t="str">
            <v>0</v>
          </cell>
          <cell r="L144" t="str">
            <v>EC4001</v>
          </cell>
        </row>
        <row r="145">
          <cell r="D145" t="str">
            <v>KOMUNIKASI GELOMBANG MIKRO</v>
          </cell>
          <cell r="E145">
            <v>2</v>
          </cell>
          <cell r="F145">
            <v>2</v>
          </cell>
          <cell r="J145">
            <v>7</v>
          </cell>
          <cell r="K145" t="str">
            <v>0</v>
          </cell>
          <cell r="L145" t="str">
            <v>EC4003</v>
          </cell>
        </row>
        <row r="146">
          <cell r="D146" t="str">
            <v>MIKROPROSESOR LANJUT</v>
          </cell>
          <cell r="E146">
            <v>2</v>
          </cell>
          <cell r="F146">
            <v>2</v>
          </cell>
          <cell r="J146">
            <v>7</v>
          </cell>
          <cell r="K146" t="str">
            <v>0</v>
          </cell>
          <cell r="L146" t="str">
            <v>EC4005</v>
          </cell>
        </row>
        <row r="147">
          <cell r="D147" t="str">
            <v>PENGOLAHAN CITRA DIGITAL</v>
          </cell>
          <cell r="E147">
            <v>2</v>
          </cell>
          <cell r="F147">
            <v>2</v>
          </cell>
          <cell r="J147">
            <v>7</v>
          </cell>
          <cell r="K147" t="str">
            <v>0</v>
          </cell>
          <cell r="L147" t="str">
            <v>EC4006</v>
          </cell>
        </row>
        <row r="148">
          <cell r="D148" t="str">
            <v>SISTEM BROADCASTING</v>
          </cell>
          <cell r="E148">
            <v>2</v>
          </cell>
          <cell r="F148">
            <v>2</v>
          </cell>
          <cell r="J148">
            <v>7</v>
          </cell>
          <cell r="K148" t="str">
            <v>0</v>
          </cell>
          <cell r="L148" t="str">
            <v>EC4009</v>
          </cell>
        </row>
        <row r="149">
          <cell r="D149" t="str">
            <v>SISTEM KOMUNIKASI FIBER OPTIK</v>
          </cell>
          <cell r="E149">
            <v>2</v>
          </cell>
          <cell r="F149">
            <v>2</v>
          </cell>
          <cell r="J149">
            <v>7</v>
          </cell>
          <cell r="K149" t="str">
            <v>0</v>
          </cell>
          <cell r="L149" t="str">
            <v>EC4010</v>
          </cell>
        </row>
        <row r="150">
          <cell r="D150" t="str">
            <v>TRANSMISI GELOMBANG ELEKTROMANETIK II</v>
          </cell>
          <cell r="E150">
            <v>2</v>
          </cell>
          <cell r="F150">
            <v>2</v>
          </cell>
          <cell r="J150">
            <v>7</v>
          </cell>
          <cell r="K150">
            <v>1</v>
          </cell>
          <cell r="L150" t="str">
            <v>EC4111</v>
          </cell>
        </row>
        <row r="151">
          <cell r="D151" t="str">
            <v>ANTENA DAN PROPAGASI</v>
          </cell>
          <cell r="E151">
            <v>2</v>
          </cell>
          <cell r="F151">
            <v>2</v>
          </cell>
          <cell r="J151">
            <v>7</v>
          </cell>
          <cell r="K151">
            <v>1</v>
          </cell>
          <cell r="L151" t="str">
            <v>EC4112</v>
          </cell>
        </row>
        <row r="152">
          <cell r="D152" t="str">
            <v>PENGUKURAN SISTEM TELEKOMUNIKASI</v>
          </cell>
          <cell r="E152">
            <v>2</v>
          </cell>
          <cell r="F152">
            <v>2</v>
          </cell>
          <cell r="J152">
            <v>7</v>
          </cell>
          <cell r="K152">
            <v>1</v>
          </cell>
          <cell r="L152" t="str">
            <v>EC4113</v>
          </cell>
        </row>
        <row r="153">
          <cell r="D153" t="str">
            <v>PRAKTIKUM SISTEM TELEKOMUNIKASI</v>
          </cell>
          <cell r="E153">
            <v>1</v>
          </cell>
          <cell r="G153">
            <v>1</v>
          </cell>
          <cell r="J153">
            <v>7</v>
          </cell>
          <cell r="K153">
            <v>1</v>
          </cell>
          <cell r="L153" t="str">
            <v>EC4114</v>
          </cell>
        </row>
        <row r="154">
          <cell r="D154" t="str">
            <v>ALGORITMA CEPAT</v>
          </cell>
          <cell r="E154">
            <v>2</v>
          </cell>
          <cell r="F154">
            <v>2</v>
          </cell>
          <cell r="J154">
            <v>7</v>
          </cell>
          <cell r="K154" t="str">
            <v>0</v>
          </cell>
          <cell r="L154" t="str">
            <v>ED4001</v>
          </cell>
        </row>
        <row r="155">
          <cell r="D155" t="str">
            <v>APLIKASI KOMPUTER DALAM STL</v>
          </cell>
          <cell r="E155">
            <v>2</v>
          </cell>
          <cell r="F155">
            <v>2</v>
          </cell>
          <cell r="J155">
            <v>7</v>
          </cell>
          <cell r="K155" t="str">
            <v>0</v>
          </cell>
          <cell r="L155" t="str">
            <v>ED4003</v>
          </cell>
        </row>
        <row r="156">
          <cell r="D156" t="str">
            <v>PEMROGRAMAN PLATFORM INDEPENDENT</v>
          </cell>
          <cell r="E156">
            <v>2</v>
          </cell>
          <cell r="F156">
            <v>2</v>
          </cell>
          <cell r="J156">
            <v>7</v>
          </cell>
          <cell r="K156" t="str">
            <v>0</v>
          </cell>
          <cell r="L156" t="str">
            <v>ED4006</v>
          </cell>
        </row>
        <row r="157">
          <cell r="D157" t="str">
            <v>PENGOLAHAN CITRA DIGITAL</v>
          </cell>
          <cell r="E157">
            <v>2</v>
          </cell>
          <cell r="F157">
            <v>2</v>
          </cell>
          <cell r="J157">
            <v>7</v>
          </cell>
          <cell r="K157" t="str">
            <v>0</v>
          </cell>
          <cell r="L157" t="str">
            <v>ED4008</v>
          </cell>
        </row>
        <row r="158">
          <cell r="D158" t="str">
            <v>RISET OPERASIONAL</v>
          </cell>
          <cell r="E158">
            <v>2</v>
          </cell>
          <cell r="F158">
            <v>2</v>
          </cell>
          <cell r="J158">
            <v>7</v>
          </cell>
          <cell r="K158" t="str">
            <v>0</v>
          </cell>
          <cell r="L158" t="str">
            <v>ED4011</v>
          </cell>
        </row>
        <row r="159">
          <cell r="D159" t="str">
            <v>TEORI ANTRIAN DAN DAN KEANDALAN</v>
          </cell>
          <cell r="E159">
            <v>2</v>
          </cell>
          <cell r="F159">
            <v>2</v>
          </cell>
          <cell r="J159">
            <v>7</v>
          </cell>
          <cell r="K159" t="str">
            <v>0</v>
          </cell>
          <cell r="L159" t="str">
            <v>ED4014</v>
          </cell>
        </row>
        <row r="160">
          <cell r="D160" t="str">
            <v>PROYEK PERANGKAT LUNAK</v>
          </cell>
          <cell r="E160">
            <v>2</v>
          </cell>
          <cell r="F160">
            <v>2</v>
          </cell>
          <cell r="J160">
            <v>7</v>
          </cell>
          <cell r="K160" t="str">
            <v>0</v>
          </cell>
          <cell r="L160" t="str">
            <v>ED4010</v>
          </cell>
        </row>
        <row r="161">
          <cell r="D161" t="str">
            <v>TEKNIK INTERFACING DAN SISTEM EMBEDDED</v>
          </cell>
          <cell r="E161">
            <v>3</v>
          </cell>
          <cell r="F161">
            <v>3</v>
          </cell>
          <cell r="J161">
            <v>7</v>
          </cell>
          <cell r="K161">
            <v>1</v>
          </cell>
          <cell r="L161" t="str">
            <v>ED4110</v>
          </cell>
        </row>
        <row r="162">
          <cell r="D162" t="str">
            <v>SISTEM INFORMASI MANAJEMEN</v>
          </cell>
          <cell r="E162">
            <v>2</v>
          </cell>
          <cell r="F162">
            <v>2</v>
          </cell>
          <cell r="J162">
            <v>7</v>
          </cell>
          <cell r="K162">
            <v>1</v>
          </cell>
          <cell r="L162" t="str">
            <v>ED4111</v>
          </cell>
        </row>
        <row r="163">
          <cell r="D163" t="str">
            <v>PRAKTIKUM ALGORITMA DAN STRUKTUR DATA</v>
          </cell>
          <cell r="E163">
            <v>1</v>
          </cell>
          <cell r="G163">
            <v>1</v>
          </cell>
          <cell r="J163">
            <v>7</v>
          </cell>
          <cell r="K163">
            <v>1</v>
          </cell>
          <cell r="L163" t="str">
            <v>ED4112</v>
          </cell>
        </row>
        <row r="164">
          <cell r="D164" t="str">
            <v>PRAKTIKUM BASIS DATA</v>
          </cell>
          <cell r="E164">
            <v>1</v>
          </cell>
          <cell r="G164">
            <v>1</v>
          </cell>
          <cell r="J164">
            <v>7</v>
          </cell>
          <cell r="K164">
            <v>1</v>
          </cell>
          <cell r="L164" t="str">
            <v>ED4113</v>
          </cell>
        </row>
        <row r="165">
          <cell r="D165" t="str">
            <v>PRAKTIKUM JARINGAN KOMPUTER</v>
          </cell>
          <cell r="E165">
            <v>1</v>
          </cell>
          <cell r="G165">
            <v>1</v>
          </cell>
          <cell r="J165">
            <v>7</v>
          </cell>
          <cell r="K165">
            <v>1</v>
          </cell>
          <cell r="L165" t="str">
            <v>ED4114</v>
          </cell>
        </row>
        <row r="166">
          <cell r="D166" t="str">
            <v>PANCASILA DAN KEWARGANEGARAAN</v>
          </cell>
          <cell r="E166">
            <v>2</v>
          </cell>
          <cell r="F166">
            <v>2</v>
          </cell>
          <cell r="J166">
            <v>7</v>
          </cell>
          <cell r="K166">
            <v>1</v>
          </cell>
          <cell r="L166" t="str">
            <v>ES4142</v>
          </cell>
        </row>
        <row r="167">
          <cell r="D167" t="str">
            <v>PRAKTEK KERJA LAPANGAN</v>
          </cell>
          <cell r="E167">
            <v>2</v>
          </cell>
          <cell r="H167">
            <v>2</v>
          </cell>
          <cell r="J167">
            <v>7</v>
          </cell>
          <cell r="K167">
            <v>1</v>
          </cell>
          <cell r="L167" t="str">
            <v>ES4143</v>
          </cell>
        </row>
        <row r="168">
          <cell r="D168" t="str">
            <v>PRA TUGAS AKHIR</v>
          </cell>
          <cell r="E168">
            <v>2</v>
          </cell>
          <cell r="F168">
            <v>2</v>
          </cell>
          <cell r="J168">
            <v>7</v>
          </cell>
          <cell r="K168">
            <v>1</v>
          </cell>
          <cell r="L168" t="str">
            <v>ES4144</v>
          </cell>
        </row>
        <row r="169">
          <cell r="D169" t="str">
            <v>KULIAH KERJA NYATA (KKN)</v>
          </cell>
          <cell r="E169">
            <v>4</v>
          </cell>
          <cell r="H169">
            <v>4</v>
          </cell>
          <cell r="J169">
            <v>8</v>
          </cell>
          <cell r="K169">
            <v>1</v>
          </cell>
          <cell r="L169" t="str">
            <v>ES4245</v>
          </cell>
        </row>
        <row r="170">
          <cell r="D170" t="str">
            <v>TECHNOPRENEURSHIP</v>
          </cell>
          <cell r="E170">
            <v>2</v>
          </cell>
          <cell r="F170">
            <v>2</v>
          </cell>
          <cell r="J170">
            <v>8</v>
          </cell>
          <cell r="K170">
            <v>1</v>
          </cell>
          <cell r="L170" t="str">
            <v>ES4246</v>
          </cell>
        </row>
        <row r="171">
          <cell r="D171" t="str">
            <v>LINGKUNGAN DAN ETIKA REKAYASA</v>
          </cell>
          <cell r="E171">
            <v>2</v>
          </cell>
          <cell r="F171">
            <v>2</v>
          </cell>
          <cell r="J171">
            <v>8</v>
          </cell>
          <cell r="K171">
            <v>1</v>
          </cell>
          <cell r="L171" t="str">
            <v>ES4247</v>
          </cell>
        </row>
        <row r="172">
          <cell r="D172" t="str">
            <v>TUGAS AKHIR</v>
          </cell>
          <cell r="E172">
            <v>4</v>
          </cell>
          <cell r="F172">
            <v>4</v>
          </cell>
          <cell r="J172">
            <v>8</v>
          </cell>
          <cell r="K172">
            <v>1</v>
          </cell>
          <cell r="L172" t="str">
            <v>ES4248</v>
          </cell>
        </row>
        <row r="173">
          <cell r="D173" t="str">
            <v>TUGAS AKHIR</v>
          </cell>
          <cell r="E173">
            <v>6</v>
          </cell>
          <cell r="F173">
            <v>6</v>
          </cell>
          <cell r="G173">
            <v>0</v>
          </cell>
          <cell r="H173">
            <v>0</v>
          </cell>
          <cell r="J173">
            <v>8</v>
          </cell>
          <cell r="K173">
            <v>1</v>
          </cell>
          <cell r="L173" t="str">
            <v>EU4245</v>
          </cell>
        </row>
        <row r="174">
          <cell r="D174" t="str">
            <v>PENDIDIKAN AGAMA</v>
          </cell>
          <cell r="E174">
            <v>2</v>
          </cell>
          <cell r="F174">
            <v>2</v>
          </cell>
          <cell r="K174">
            <v>1</v>
          </cell>
          <cell r="L174" t="str">
            <v>TPBU01203</v>
          </cell>
        </row>
        <row r="175">
          <cell r="D175" t="str">
            <v>PANCASILA</v>
          </cell>
          <cell r="E175">
            <v>2</v>
          </cell>
          <cell r="F175">
            <v>2</v>
          </cell>
          <cell r="K175">
            <v>1</v>
          </cell>
          <cell r="L175" t="str">
            <v>TPBU02203</v>
          </cell>
        </row>
        <row r="176">
          <cell r="D176" t="str">
            <v>BAHASA INDONESIA</v>
          </cell>
          <cell r="E176">
            <v>2</v>
          </cell>
          <cell r="F176">
            <v>2</v>
          </cell>
          <cell r="K176">
            <v>1</v>
          </cell>
          <cell r="L176" t="str">
            <v>TPBU04203</v>
          </cell>
        </row>
        <row r="177">
          <cell r="D177" t="str">
            <v>BAHASA INGGRIS I</v>
          </cell>
          <cell r="E177">
            <v>2</v>
          </cell>
          <cell r="F177">
            <v>2</v>
          </cell>
          <cell r="K177">
            <v>1</v>
          </cell>
          <cell r="L177" t="str">
            <v>TPBU05201</v>
          </cell>
        </row>
        <row r="178">
          <cell r="D178" t="str">
            <v>MATEMATIKA DASAR</v>
          </cell>
          <cell r="E178">
            <v>3</v>
          </cell>
          <cell r="F178">
            <v>2</v>
          </cell>
          <cell r="K178">
            <v>1</v>
          </cell>
          <cell r="L178" t="str">
            <v>TPB101301</v>
          </cell>
        </row>
        <row r="179">
          <cell r="D179" t="str">
            <v>FISIKA DASAR</v>
          </cell>
          <cell r="E179">
            <v>3</v>
          </cell>
          <cell r="F179">
            <v>2</v>
          </cell>
          <cell r="G179">
            <v>1</v>
          </cell>
          <cell r="K179">
            <v>1</v>
          </cell>
          <cell r="L179" t="str">
            <v>TPB102211</v>
          </cell>
        </row>
        <row r="180">
          <cell r="D180" t="str">
            <v>KIMIA DASAR</v>
          </cell>
          <cell r="E180">
            <v>3</v>
          </cell>
          <cell r="F180">
            <v>2</v>
          </cell>
          <cell r="G180">
            <v>1</v>
          </cell>
          <cell r="K180">
            <v>1</v>
          </cell>
          <cell r="L180" t="str">
            <v>TPB103211</v>
          </cell>
        </row>
        <row r="181">
          <cell r="D181" t="str">
            <v>BIOLOGI UMUM</v>
          </cell>
          <cell r="E181">
            <v>3</v>
          </cell>
          <cell r="F181">
            <v>2</v>
          </cell>
          <cell r="G181">
            <v>1</v>
          </cell>
          <cell r="K181">
            <v>1</v>
          </cell>
          <cell r="L181" t="str">
            <v>TPB104211</v>
          </cell>
        </row>
        <row r="182">
          <cell r="D182" t="str">
            <v>KEWARGANEGARAAN</v>
          </cell>
          <cell r="E182">
            <v>2</v>
          </cell>
          <cell r="F182">
            <v>2</v>
          </cell>
          <cell r="K182">
            <v>1</v>
          </cell>
          <cell r="L182" t="str">
            <v>TPBU03203</v>
          </cell>
        </row>
        <row r="183">
          <cell r="D183" t="str">
            <v>BAHASA INGGRIS II</v>
          </cell>
          <cell r="E183">
            <v>2</v>
          </cell>
          <cell r="F183">
            <v>2</v>
          </cell>
          <cell r="K183">
            <v>1</v>
          </cell>
          <cell r="L183" t="str">
            <v>TPBU06202</v>
          </cell>
        </row>
        <row r="184">
          <cell r="D184" t="str">
            <v>KEWIRAUSAHAAN</v>
          </cell>
          <cell r="E184">
            <v>2</v>
          </cell>
          <cell r="F184">
            <v>2</v>
          </cell>
          <cell r="K184">
            <v>1</v>
          </cell>
          <cell r="L184" t="str">
            <v>TPBU07202</v>
          </cell>
        </row>
        <row r="185">
          <cell r="D185" t="str">
            <v>ILMU SOSIAL DAN BUDAYA DASAR</v>
          </cell>
          <cell r="E185">
            <v>2</v>
          </cell>
          <cell r="F185">
            <v>2</v>
          </cell>
          <cell r="K185">
            <v>1</v>
          </cell>
          <cell r="L185" t="str">
            <v>TPBU08202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2 (2)"/>
      <sheetName val="Sheet1"/>
    </sheetNames>
    <sheetDataSet>
      <sheetData sheetId="0">
        <row r="6">
          <cell r="A6">
            <v>1</v>
          </cell>
          <cell r="B6">
            <v>132162524</v>
          </cell>
          <cell r="C6" t="str">
            <v>19700320 199702 2 001</v>
          </cell>
          <cell r="D6" t="str">
            <v>0020037003</v>
          </cell>
          <cell r="E6" t="str">
            <v>"197003201997022001"</v>
          </cell>
          <cell r="F6" t="str">
            <v xml:space="preserve">Ni Made Seniari, ST., MT. </v>
          </cell>
        </row>
        <row r="7">
          <cell r="A7">
            <v>2</v>
          </cell>
          <cell r="B7">
            <v>132162525</v>
          </cell>
          <cell r="C7" t="str">
            <v>19710607 199702 1 002</v>
          </cell>
          <cell r="D7" t="str">
            <v>0007067105</v>
          </cell>
          <cell r="E7" t="str">
            <v>"197106071997021002"</v>
          </cell>
          <cell r="F7" t="str">
            <v>Supriyatna, ST., MT.</v>
          </cell>
        </row>
        <row r="8">
          <cell r="A8">
            <v>3</v>
          </cell>
          <cell r="B8">
            <v>132162526</v>
          </cell>
          <cell r="C8" t="str">
            <v>19660424 199702 1 001</v>
          </cell>
          <cell r="D8" t="str">
            <v>0024046605</v>
          </cell>
          <cell r="E8" t="str">
            <v>"196604241997021001"</v>
          </cell>
          <cell r="F8" t="str">
            <v>I Ketut Wiryajati, ST., MT.</v>
          </cell>
        </row>
        <row r="9">
          <cell r="A9">
            <v>4</v>
          </cell>
          <cell r="B9">
            <v>132162528</v>
          </cell>
          <cell r="C9" t="str">
            <v>19690612 199702 1 001</v>
          </cell>
          <cell r="D9" t="str">
            <v>0012066905</v>
          </cell>
          <cell r="E9" t="str">
            <v>"196906121997021001"</v>
          </cell>
          <cell r="F9" t="str">
            <v>Syafaruddin Ch., ST., MT.</v>
          </cell>
        </row>
        <row r="10">
          <cell r="A10">
            <v>5</v>
          </cell>
          <cell r="B10">
            <v>132163849</v>
          </cell>
          <cell r="C10" t="str">
            <v>19671231 199702 1 001</v>
          </cell>
          <cell r="D10" t="str">
            <v>0031126704</v>
          </cell>
          <cell r="E10" t="str">
            <v>"196712311997021001"</v>
          </cell>
          <cell r="F10" t="str">
            <v>Sultan, ST., MT.</v>
          </cell>
        </row>
        <row r="11">
          <cell r="A11">
            <v>6</v>
          </cell>
          <cell r="B11">
            <v>132175610</v>
          </cell>
          <cell r="C11" t="str">
            <v>19670526 199703 1 001</v>
          </cell>
          <cell r="D11" t="str">
            <v>0026056701</v>
          </cell>
          <cell r="E11" t="str">
            <v>"196705261997031001"</v>
          </cell>
          <cell r="F11" t="str">
            <v>Sudi M. Al Sasongko, ST., MT.</v>
          </cell>
        </row>
        <row r="12">
          <cell r="A12">
            <v>7</v>
          </cell>
          <cell r="B12">
            <v>132175615</v>
          </cell>
          <cell r="C12" t="str">
            <v>19681005 199703 1 001</v>
          </cell>
          <cell r="D12" t="str">
            <v>0005106805</v>
          </cell>
          <cell r="E12" t="str">
            <v>"196810051997031001"</v>
          </cell>
          <cell r="F12" t="str">
            <v>Misbahuddin, ST., MT.</v>
          </cell>
        </row>
        <row r="13">
          <cell r="A13">
            <v>8</v>
          </cell>
          <cell r="B13">
            <v>132205492</v>
          </cell>
          <cell r="C13" t="str">
            <v>19700908 199802 1 001</v>
          </cell>
          <cell r="D13" t="str">
            <v>0008097004</v>
          </cell>
          <cell r="E13" t="str">
            <v>"197009081998021001"</v>
          </cell>
          <cell r="F13" t="str">
            <v>I Nyoman Wahyu S., ST., M.Sc., Ph.D.</v>
          </cell>
        </row>
        <row r="14">
          <cell r="A14">
            <v>9</v>
          </cell>
          <cell r="B14">
            <v>132205502</v>
          </cell>
          <cell r="C14" t="str">
            <v>19691028 199802 1 001</v>
          </cell>
          <cell r="D14" t="str">
            <v>0028106901</v>
          </cell>
          <cell r="E14" t="str">
            <v>"196910281998021001"</v>
          </cell>
          <cell r="F14" t="str">
            <v>Cahyo Mustiko O.M., ST., M.Sc., Ph.D.</v>
          </cell>
        </row>
        <row r="15">
          <cell r="A15">
            <v>10</v>
          </cell>
          <cell r="B15">
            <v>132205503</v>
          </cell>
          <cell r="C15" t="str">
            <v>19700823 199802 2 001</v>
          </cell>
          <cell r="D15" t="str">
            <v>0023087003</v>
          </cell>
          <cell r="E15" t="str">
            <v>"197008231998022001"</v>
          </cell>
          <cell r="F15" t="str">
            <v>Dr. Ida Ayu Sri Adnyani, ST., MErg.</v>
          </cell>
        </row>
        <row r="16">
          <cell r="A16">
            <v>11</v>
          </cell>
          <cell r="B16">
            <v>132210692</v>
          </cell>
          <cell r="C16" t="str">
            <v>19701218 199803 1 003</v>
          </cell>
          <cell r="D16" t="str">
            <v>0018127007</v>
          </cell>
          <cell r="E16" t="str">
            <v>"197012181998031003"</v>
          </cell>
          <cell r="F16" t="str">
            <v>Muhammad Firad, ST.</v>
          </cell>
        </row>
        <row r="17">
          <cell r="A17">
            <v>12</v>
          </cell>
          <cell r="B17">
            <v>132210694</v>
          </cell>
          <cell r="C17" t="str">
            <v>19740226 199803 1 004</v>
          </cell>
          <cell r="D17" t="str">
            <v>0026027405</v>
          </cell>
          <cell r="E17" t="str">
            <v>"197402261998031004"</v>
          </cell>
          <cell r="F17" t="str">
            <v>Ida Bagus Fery Citarsa, ST., MT.</v>
          </cell>
        </row>
        <row r="18">
          <cell r="A18">
            <v>13</v>
          </cell>
          <cell r="B18">
            <v>132210775</v>
          </cell>
          <cell r="C18" t="str">
            <v>19710211 199803 1 002</v>
          </cell>
          <cell r="D18" t="str">
            <v>0011027105</v>
          </cell>
          <cell r="E18" t="str">
            <v>"197102111998031002"</v>
          </cell>
          <cell r="F18" t="str">
            <v>Agung Budi Muljono, ST., MT.</v>
          </cell>
        </row>
        <row r="19">
          <cell r="A19">
            <v>14</v>
          </cell>
          <cell r="B19">
            <v>132210777</v>
          </cell>
          <cell r="C19" t="str">
            <v>19720509 199803 1 002</v>
          </cell>
          <cell r="D19" t="str">
            <v>0009057201</v>
          </cell>
          <cell r="E19" t="str">
            <v>"197205091998031002"</v>
          </cell>
          <cell r="F19" t="str">
            <v>Abdul Natsir, ST., MT.</v>
          </cell>
        </row>
        <row r="20">
          <cell r="A20">
            <v>15</v>
          </cell>
          <cell r="B20">
            <v>132213850</v>
          </cell>
          <cell r="C20" t="str">
            <v>19721026 199803 1 002</v>
          </cell>
          <cell r="D20" t="str">
            <v>0026107201</v>
          </cell>
          <cell r="E20" t="str">
            <v>"197210261998031002"</v>
          </cell>
          <cell r="F20" t="str">
            <v>Abdullah Zainuddin, ST., MT.</v>
          </cell>
        </row>
        <row r="21">
          <cell r="A21">
            <v>16</v>
          </cell>
          <cell r="B21">
            <v>132213851</v>
          </cell>
          <cell r="C21" t="str">
            <v>19680717 199803 2 002</v>
          </cell>
          <cell r="D21" t="str">
            <v>0017076807</v>
          </cell>
          <cell r="E21" t="str">
            <v>"196807171998032002"</v>
          </cell>
          <cell r="F21" t="str">
            <v>Rosmaliati, ST., MT.</v>
          </cell>
        </row>
        <row r="22">
          <cell r="A22">
            <v>17</v>
          </cell>
          <cell r="B22">
            <v>132231578</v>
          </cell>
          <cell r="C22" t="str">
            <v>19711124 199903 1 004</v>
          </cell>
          <cell r="D22" t="str">
            <v>0024117102</v>
          </cell>
          <cell r="E22" t="str">
            <v>"197111241999031004"</v>
          </cell>
          <cell r="F22" t="str">
            <v>A. Sjamsjiar Rachman, ST., MT.</v>
          </cell>
        </row>
        <row r="23">
          <cell r="A23">
            <v>18</v>
          </cell>
          <cell r="B23">
            <v>132233157</v>
          </cell>
          <cell r="C23" t="str">
            <v>19720222 199903 1 002</v>
          </cell>
          <cell r="D23" t="str">
            <v>0022027205</v>
          </cell>
          <cell r="E23" t="str">
            <v>"197202221999031002"</v>
          </cell>
          <cell r="F23" t="str">
            <v>Muhamad Syamsu Iqbal, ST., MT.</v>
          </cell>
        </row>
        <row r="24">
          <cell r="A24">
            <v>19</v>
          </cell>
          <cell r="B24">
            <v>132233158</v>
          </cell>
          <cell r="C24" t="str">
            <v>19720117 199903 1 001</v>
          </cell>
          <cell r="D24" t="str">
            <v>0017017203</v>
          </cell>
          <cell r="E24" t="str">
            <v>"197201171999031001"</v>
          </cell>
          <cell r="F24" t="str">
            <v>Made Sutha Yadnya, ST., MT.</v>
          </cell>
        </row>
        <row r="25">
          <cell r="A25">
            <v>20</v>
          </cell>
          <cell r="B25">
            <v>132240252</v>
          </cell>
          <cell r="C25" t="str">
            <v>19730723 199903 2 001</v>
          </cell>
          <cell r="D25" t="str">
            <v>0023077310</v>
          </cell>
          <cell r="E25" t="str">
            <v>"197307231999032001"</v>
          </cell>
          <cell r="F25" t="str">
            <v>Bulkis Kanata, ST., MT.</v>
          </cell>
        </row>
        <row r="26">
          <cell r="A26">
            <v>21</v>
          </cell>
          <cell r="B26">
            <v>132240253</v>
          </cell>
          <cell r="C26" t="str">
            <v>19741119 199903 2 001</v>
          </cell>
          <cell r="D26" t="str">
            <v>0019117407</v>
          </cell>
          <cell r="E26" t="str">
            <v>"197411191999032001"</v>
          </cell>
          <cell r="F26" t="str">
            <v>Dr. rer.nat. Teti Zubaidah, ST., MT.</v>
          </cell>
        </row>
        <row r="27">
          <cell r="A27">
            <v>22</v>
          </cell>
          <cell r="B27">
            <v>132240257</v>
          </cell>
          <cell r="C27" t="str">
            <v>19730210 199903 1 001</v>
          </cell>
          <cell r="D27" t="str">
            <v>0010027301</v>
          </cell>
          <cell r="E27" t="str">
            <v>"197302101999031001"</v>
          </cell>
          <cell r="F27" t="str">
            <v>I Ketut Perdana Putra, ST., MT.</v>
          </cell>
        </row>
        <row r="28">
          <cell r="A28">
            <v>23</v>
          </cell>
          <cell r="B28">
            <v>132240259</v>
          </cell>
          <cell r="C28" t="str">
            <v>19710426 199903 1 002</v>
          </cell>
          <cell r="D28" t="str">
            <v>0026047105</v>
          </cell>
          <cell r="E28" t="str">
            <v>"197104261999031002"</v>
          </cell>
          <cell r="F28" t="str">
            <v>I Made Budi Suksmadana, ST., MT.</v>
          </cell>
        </row>
        <row r="29">
          <cell r="A29">
            <v>24</v>
          </cell>
          <cell r="B29">
            <v>132240264</v>
          </cell>
          <cell r="C29" t="str">
            <v>19730404 199903 1 003</v>
          </cell>
          <cell r="D29" t="str">
            <v>0004047303</v>
          </cell>
          <cell r="E29" t="str">
            <v>"197304041999031003"</v>
          </cell>
          <cell r="F29" t="str">
            <v>I Made Ari Nrartha, ST., MT.</v>
          </cell>
        </row>
        <row r="30">
          <cell r="A30">
            <v>25</v>
          </cell>
          <cell r="B30">
            <v>132240265</v>
          </cell>
          <cell r="C30" t="str">
            <v>19700325 199903 1 001</v>
          </cell>
          <cell r="D30" t="str">
            <v>0025037004</v>
          </cell>
          <cell r="E30" t="str">
            <v>"197003251999031001"</v>
          </cell>
          <cell r="F30" t="str">
            <v>Dr. I Made Ginarsa, ST., MT.</v>
          </cell>
        </row>
        <row r="31">
          <cell r="A31">
            <v>26</v>
          </cell>
          <cell r="B31">
            <v>132240267</v>
          </cell>
          <cell r="C31" t="str">
            <v>19710723 199903 1 001</v>
          </cell>
          <cell r="D31" t="str">
            <v>0023077104</v>
          </cell>
          <cell r="E31" t="str">
            <v>"197107231999031001"</v>
          </cell>
          <cell r="F31" t="str">
            <v>Paniran, ST., MT.</v>
          </cell>
        </row>
        <row r="32">
          <cell r="A32">
            <v>27</v>
          </cell>
          <cell r="B32">
            <v>132240268</v>
          </cell>
          <cell r="C32" t="str">
            <v>19711126 199903 1 004</v>
          </cell>
          <cell r="D32" t="str">
            <v>0026117102</v>
          </cell>
          <cell r="E32" t="str">
            <v>"197111261999031004"</v>
          </cell>
          <cell r="F32" t="str">
            <v>Supriono, ST., MT.</v>
          </cell>
        </row>
        <row r="33">
          <cell r="A33">
            <v>28</v>
          </cell>
          <cell r="B33">
            <v>132258121</v>
          </cell>
          <cell r="C33" t="str">
            <v>19710713 200003 1 001</v>
          </cell>
          <cell r="D33" t="str">
            <v>0013077104</v>
          </cell>
          <cell r="E33" t="str">
            <v>"197107132000031001"</v>
          </cell>
          <cell r="F33" t="str">
            <v>Sabar Nababan, ST., MT.</v>
          </cell>
        </row>
        <row r="34">
          <cell r="A34">
            <v>29</v>
          </cell>
          <cell r="B34">
            <v>132262162</v>
          </cell>
          <cell r="C34" t="str">
            <v>19770425 200003 1 002</v>
          </cell>
          <cell r="D34" t="str">
            <v>0025047703</v>
          </cell>
          <cell r="E34" t="str">
            <v>"197704252000031002"</v>
          </cell>
          <cell r="F34" t="str">
            <v>Dr. Rismon H. Sianipar, ST., M.Eng.</v>
          </cell>
        </row>
        <row r="35">
          <cell r="A35">
            <v>30</v>
          </cell>
          <cell r="B35">
            <v>132262164</v>
          </cell>
          <cell r="C35" t="str">
            <v>19730905 200003 1 002</v>
          </cell>
          <cell r="D35" t="str">
            <v>0005097305</v>
          </cell>
          <cell r="E35" t="str">
            <v>"197309052000031002"</v>
          </cell>
          <cell r="F35" t="str">
            <v>Sayidiman, ST., M.Eng</v>
          </cell>
        </row>
        <row r="36">
          <cell r="A36">
            <v>31</v>
          </cell>
          <cell r="B36">
            <v>132283012</v>
          </cell>
          <cell r="C36" t="str">
            <v>19720729 200012 1 001</v>
          </cell>
          <cell r="D36" t="str">
            <v>0029077204</v>
          </cell>
          <cell r="E36" t="str">
            <v>"197207262000121001"</v>
          </cell>
          <cell r="F36" t="str">
            <v>Djulfikry Budiman, ST.</v>
          </cell>
        </row>
        <row r="37">
          <cell r="A37">
            <v>32</v>
          </cell>
          <cell r="B37">
            <v>132296860</v>
          </cell>
          <cell r="C37" t="str">
            <v>19700428 200112 1 001</v>
          </cell>
          <cell r="D37" t="str">
            <v>0028047004</v>
          </cell>
          <cell r="E37" t="str">
            <v>"197004282001121001"</v>
          </cell>
          <cell r="F37" t="str">
            <v>Herry Sulendro Mangiri, ST.</v>
          </cell>
        </row>
        <row r="38">
          <cell r="A38">
            <v>33</v>
          </cell>
          <cell r="B38">
            <v>132297885</v>
          </cell>
          <cell r="C38" t="str">
            <v>19700202 200112 1 003</v>
          </cell>
          <cell r="D38" t="str">
            <v>0002027009</v>
          </cell>
          <cell r="E38" t="str">
            <v>"197002022001121003"</v>
          </cell>
          <cell r="F38" t="str">
            <v>Warindi, ST., M.Eng.</v>
          </cell>
        </row>
        <row r="39">
          <cell r="A39">
            <v>34</v>
          </cell>
          <cell r="B39">
            <v>1</v>
          </cell>
          <cell r="C39" t="str">
            <v>19810416 200812 1 003</v>
          </cell>
          <cell r="D39" t="str">
            <v>0016048107</v>
          </cell>
          <cell r="E39" t="str">
            <v>"198104162008121003"</v>
          </cell>
          <cell r="F39" t="str">
            <v>Muhamad Irwan. ST., MT.</v>
          </cell>
        </row>
        <row r="40">
          <cell r="A40">
            <v>35</v>
          </cell>
          <cell r="B40">
            <v>2</v>
          </cell>
          <cell r="C40" t="str">
            <v>19830310 200912 1 004</v>
          </cell>
          <cell r="D40" t="str">
            <v>0010038303</v>
          </cell>
          <cell r="E40" t="str">
            <v>"198303102009121004"</v>
          </cell>
          <cell r="F40" t="str">
            <v>L. A. Syamsul Irfan Akbar, ST., M.Eng.</v>
          </cell>
        </row>
        <row r="41">
          <cell r="A41">
            <v>36</v>
          </cell>
          <cell r="B41">
            <v>3</v>
          </cell>
          <cell r="C41" t="str">
            <v>19820904 201012 1 001</v>
          </cell>
          <cell r="D41" t="str">
            <v>0004098205</v>
          </cell>
          <cell r="E41" t="str">
            <v>"198209042010121001"</v>
          </cell>
          <cell r="F41" t="str">
            <v>Giri Wahyu Wiriasto, ST., MT.</v>
          </cell>
        </row>
        <row r="42">
          <cell r="A42">
            <v>37</v>
          </cell>
          <cell r="B42">
            <v>4</v>
          </cell>
          <cell r="C42" t="str">
            <v>19850327 201404 1 001</v>
          </cell>
          <cell r="D42" t="str">
            <v>0827038501</v>
          </cell>
          <cell r="E42" t="str">
            <v>"198503272014041001"</v>
          </cell>
          <cell r="F42" t="str">
            <v>Suthami Ariessaputra, ST., M.Eng.</v>
          </cell>
        </row>
        <row r="43">
          <cell r="A43">
            <v>38</v>
          </cell>
          <cell r="B43">
            <v>5</v>
          </cell>
          <cell r="C43" t="str">
            <v>19850526 201504 1 002</v>
          </cell>
          <cell r="D43" t="str">
            <v>0826058503</v>
          </cell>
          <cell r="E43" t="str">
            <v>"198505262015041002"</v>
          </cell>
          <cell r="F43" t="str">
            <v>Budi Darmawan, ST., M.Eng.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76"/>
  <sheetViews>
    <sheetView tabSelected="1" topLeftCell="A1246" workbookViewId="0">
      <selection activeCell="A1267" sqref="A1267:H1267"/>
    </sheetView>
  </sheetViews>
  <sheetFormatPr defaultRowHeight="15"/>
  <cols>
    <col min="1" max="1" width="11.7109375" bestFit="1" customWidth="1"/>
    <col min="2" max="2" width="36.42578125" bestFit="1" customWidth="1"/>
    <col min="3" max="3" width="9.28515625" bestFit="1" customWidth="1"/>
    <col min="4" max="4" width="43.5703125" bestFit="1" customWidth="1"/>
    <col min="5" max="5" width="10.5703125" bestFit="1" customWidth="1"/>
    <col min="6" max="6" width="8.140625" bestFit="1" customWidth="1"/>
    <col min="7" max="7" width="14" bestFit="1" customWidth="1"/>
    <col min="8" max="8" width="15.28515625" bestFit="1" customWidth="1"/>
    <col min="9" max="9" width="14" bestFit="1" customWidth="1"/>
    <col min="10" max="10" width="12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>
      <c r="A2" t="s">
        <v>132</v>
      </c>
      <c r="B2" t="s">
        <v>133</v>
      </c>
      <c r="C2" t="s">
        <v>134</v>
      </c>
      <c r="D2" t="s">
        <v>135</v>
      </c>
      <c r="E2">
        <v>20171</v>
      </c>
      <c r="F2" t="s">
        <v>14</v>
      </c>
      <c r="G2" t="s">
        <v>18</v>
      </c>
      <c r="H2">
        <v>3</v>
      </c>
      <c r="I2">
        <v>0</v>
      </c>
      <c r="J2">
        <v>20201</v>
      </c>
      <c r="K2">
        <f>COUNTIF('rEKAP kls MK'!$A$2:$A$35,Worksheet!C2)</f>
        <v>1</v>
      </c>
      <c r="L2" t="str">
        <f>IF(A1&lt;&gt;A2,A2,"")</f>
        <v>F1B113013</v>
      </c>
      <c r="M2" t="str">
        <f>IF(B1&lt;&gt;B2,B2,"")</f>
        <v>I NENGAH AGUS YOGI A</v>
      </c>
      <c r="O2" t="str">
        <f>IF(D1&lt;&gt;D2,D2,"")</f>
        <v>ALGORITMA DAN PEMROGRAMAN</v>
      </c>
      <c r="P2" t="str">
        <f>IF(F1&lt;&gt;F2,F2,"")</f>
        <v>S</v>
      </c>
    </row>
    <row r="3" spans="1:16">
      <c r="A3" t="s">
        <v>24</v>
      </c>
      <c r="B3" t="s">
        <v>25</v>
      </c>
      <c r="C3" t="s">
        <v>134</v>
      </c>
      <c r="D3" t="s">
        <v>135</v>
      </c>
      <c r="E3">
        <v>20171</v>
      </c>
      <c r="F3" t="s">
        <v>14</v>
      </c>
      <c r="G3" t="s">
        <v>23</v>
      </c>
      <c r="H3">
        <v>2.5</v>
      </c>
      <c r="I3">
        <v>0</v>
      </c>
      <c r="J3">
        <v>20201</v>
      </c>
      <c r="K3">
        <f>COUNTIF('rEKAP kls MK'!$A$2:$A$35,Worksheet!C3)</f>
        <v>1</v>
      </c>
      <c r="L3" t="str">
        <f t="shared" ref="L3:L66" si="0">IF(A2&lt;&gt;A3,A3,"")</f>
        <v>F1B113015</v>
      </c>
      <c r="M3" t="str">
        <f t="shared" ref="M3:M66" si="1">IF(B2&lt;&gt;B3,B3,"")</f>
        <v>IMAM RAHMATULLAH S</v>
      </c>
      <c r="O3" t="str">
        <f t="shared" ref="O3:O66" si="2">IF(D2&lt;&gt;D3,D3,"")</f>
        <v/>
      </c>
      <c r="P3" t="str">
        <f t="shared" ref="P3:P66" si="3">IF(F2&lt;&gt;F3,F3,"")</f>
        <v/>
      </c>
    </row>
    <row r="4" spans="1:16">
      <c r="A4" t="s">
        <v>27</v>
      </c>
      <c r="B4" t="s">
        <v>28</v>
      </c>
      <c r="C4" t="s">
        <v>134</v>
      </c>
      <c r="D4" t="s">
        <v>135</v>
      </c>
      <c r="E4">
        <v>20171</v>
      </c>
      <c r="F4" t="s">
        <v>14</v>
      </c>
      <c r="G4" t="s">
        <v>18</v>
      </c>
      <c r="H4">
        <v>3</v>
      </c>
      <c r="I4">
        <v>0</v>
      </c>
      <c r="J4">
        <v>20201</v>
      </c>
      <c r="K4">
        <f>COUNTIF('rEKAP kls MK'!$A$2:$A$35,Worksheet!C4)</f>
        <v>1</v>
      </c>
      <c r="L4" t="str">
        <f t="shared" si="0"/>
        <v>F1B113016</v>
      </c>
      <c r="M4" t="str">
        <f t="shared" si="1"/>
        <v>JUZI SYUKRAN</v>
      </c>
      <c r="O4" t="str">
        <f t="shared" si="2"/>
        <v/>
      </c>
      <c r="P4" t="str">
        <f t="shared" si="3"/>
        <v/>
      </c>
    </row>
    <row r="5" spans="1:16">
      <c r="A5" t="s">
        <v>29</v>
      </c>
      <c r="B5" t="s">
        <v>30</v>
      </c>
      <c r="C5" t="s">
        <v>134</v>
      </c>
      <c r="D5" t="s">
        <v>135</v>
      </c>
      <c r="E5">
        <v>20171</v>
      </c>
      <c r="F5" t="s">
        <v>14</v>
      </c>
      <c r="G5" t="s">
        <v>82</v>
      </c>
      <c r="H5">
        <v>4</v>
      </c>
      <c r="I5">
        <v>0</v>
      </c>
      <c r="J5">
        <v>20201</v>
      </c>
      <c r="K5">
        <f>COUNTIF('rEKAP kls MK'!$A$2:$A$35,Worksheet!C5)</f>
        <v>1</v>
      </c>
      <c r="L5" t="str">
        <f t="shared" si="0"/>
        <v>F1B113021</v>
      </c>
      <c r="M5" t="str">
        <f t="shared" si="1"/>
        <v>LALU MUHAMMAD IBNU N</v>
      </c>
      <c r="O5" t="str">
        <f t="shared" si="2"/>
        <v/>
      </c>
      <c r="P5" t="str">
        <f t="shared" si="3"/>
        <v/>
      </c>
    </row>
    <row r="6" spans="1:16">
      <c r="A6" t="s">
        <v>31</v>
      </c>
      <c r="B6" t="s">
        <v>32</v>
      </c>
      <c r="C6" t="s">
        <v>134</v>
      </c>
      <c r="D6" t="s">
        <v>135</v>
      </c>
      <c r="E6">
        <v>20171</v>
      </c>
      <c r="F6" t="s">
        <v>14</v>
      </c>
      <c r="G6" t="s">
        <v>18</v>
      </c>
      <c r="H6">
        <v>3</v>
      </c>
      <c r="I6">
        <v>0</v>
      </c>
      <c r="J6">
        <v>20201</v>
      </c>
      <c r="K6">
        <f>COUNTIF('rEKAP kls MK'!$A$2:$A$35,Worksheet!C6)</f>
        <v>1</v>
      </c>
      <c r="L6" t="str">
        <f t="shared" si="0"/>
        <v>F1B113022</v>
      </c>
      <c r="M6" t="str">
        <f t="shared" si="1"/>
        <v>LAZARUS CHRISTIAN P</v>
      </c>
      <c r="O6" t="str">
        <f t="shared" si="2"/>
        <v/>
      </c>
      <c r="P6" t="str">
        <f t="shared" si="3"/>
        <v/>
      </c>
    </row>
    <row r="7" spans="1:16">
      <c r="A7" t="s">
        <v>33</v>
      </c>
      <c r="B7" t="s">
        <v>34</v>
      </c>
      <c r="C7" t="s">
        <v>134</v>
      </c>
      <c r="D7" t="s">
        <v>135</v>
      </c>
      <c r="E7">
        <v>20171</v>
      </c>
      <c r="F7" t="s">
        <v>14</v>
      </c>
      <c r="G7" t="s">
        <v>82</v>
      </c>
      <c r="H7">
        <v>4</v>
      </c>
      <c r="I7">
        <v>0</v>
      </c>
      <c r="J7">
        <v>20201</v>
      </c>
      <c r="K7">
        <f>COUNTIF('rEKAP kls MK'!$A$2:$A$35,Worksheet!C7)</f>
        <v>1</v>
      </c>
      <c r="L7" t="str">
        <f t="shared" si="0"/>
        <v>F1B113026</v>
      </c>
      <c r="M7" t="str">
        <f t="shared" si="1"/>
        <v>MUHAMAD ARDI RAHMAN</v>
      </c>
      <c r="O7" t="str">
        <f t="shared" si="2"/>
        <v/>
      </c>
      <c r="P7" t="str">
        <f t="shared" si="3"/>
        <v/>
      </c>
    </row>
    <row r="8" spans="1:16">
      <c r="A8" t="s">
        <v>37</v>
      </c>
      <c r="B8" t="s">
        <v>38</v>
      </c>
      <c r="C8" t="s">
        <v>134</v>
      </c>
      <c r="D8" t="s">
        <v>135</v>
      </c>
      <c r="E8">
        <v>20171</v>
      </c>
      <c r="F8" t="s">
        <v>14</v>
      </c>
      <c r="G8" t="s">
        <v>51</v>
      </c>
      <c r="H8">
        <v>3.5</v>
      </c>
      <c r="I8">
        <v>0</v>
      </c>
      <c r="J8">
        <v>20201</v>
      </c>
      <c r="K8">
        <f>COUNTIF('rEKAP kls MK'!$A$2:$A$35,Worksheet!C8)</f>
        <v>1</v>
      </c>
      <c r="L8" t="str">
        <f t="shared" si="0"/>
        <v>F1B113029</v>
      </c>
      <c r="M8" t="str">
        <f t="shared" si="1"/>
        <v>RANGGA FAJAR MAULANA</v>
      </c>
      <c r="O8" t="str">
        <f t="shared" si="2"/>
        <v/>
      </c>
      <c r="P8" t="str">
        <f t="shared" si="3"/>
        <v/>
      </c>
    </row>
    <row r="9" spans="1:16">
      <c r="A9" t="s">
        <v>136</v>
      </c>
      <c r="B9" t="s">
        <v>137</v>
      </c>
      <c r="C9" t="s">
        <v>134</v>
      </c>
      <c r="D9" t="s">
        <v>135</v>
      </c>
      <c r="E9">
        <v>20171</v>
      </c>
      <c r="F9" t="s">
        <v>14</v>
      </c>
      <c r="G9" t="s">
        <v>82</v>
      </c>
      <c r="H9">
        <v>4</v>
      </c>
      <c r="I9">
        <v>0</v>
      </c>
      <c r="J9">
        <v>20201</v>
      </c>
      <c r="K9">
        <f>COUNTIF('rEKAP kls MK'!$A$2:$A$35,Worksheet!C9)</f>
        <v>1</v>
      </c>
      <c r="L9" t="str">
        <f t="shared" si="0"/>
        <v>F1B113030</v>
      </c>
      <c r="M9" t="str">
        <f t="shared" si="1"/>
        <v>RIZAL ADI SAPUTRA</v>
      </c>
      <c r="O9" t="str">
        <f t="shared" si="2"/>
        <v/>
      </c>
      <c r="P9" t="str">
        <f t="shared" si="3"/>
        <v/>
      </c>
    </row>
    <row r="10" spans="1:16">
      <c r="A10" t="s">
        <v>41</v>
      </c>
      <c r="B10" t="s">
        <v>42</v>
      </c>
      <c r="C10" t="s">
        <v>134</v>
      </c>
      <c r="D10" t="s">
        <v>135</v>
      </c>
      <c r="E10">
        <v>20171</v>
      </c>
      <c r="F10" t="s">
        <v>14</v>
      </c>
      <c r="G10" t="s">
        <v>51</v>
      </c>
      <c r="H10">
        <v>3.5</v>
      </c>
      <c r="I10">
        <v>0</v>
      </c>
      <c r="J10">
        <v>20201</v>
      </c>
      <c r="K10">
        <f>COUNTIF('rEKAP kls MK'!$A$2:$A$35,Worksheet!C10)</f>
        <v>1</v>
      </c>
      <c r="L10" t="str">
        <f t="shared" si="0"/>
        <v>F1B113032</v>
      </c>
      <c r="M10" t="str">
        <f t="shared" si="1"/>
        <v>SAMSUL AZWARI</v>
      </c>
      <c r="O10" t="str">
        <f t="shared" si="2"/>
        <v/>
      </c>
      <c r="P10" t="str">
        <f t="shared" si="3"/>
        <v/>
      </c>
    </row>
    <row r="11" spans="1:16">
      <c r="A11" t="s">
        <v>138</v>
      </c>
      <c r="B11" t="s">
        <v>139</v>
      </c>
      <c r="C11" t="s">
        <v>134</v>
      </c>
      <c r="D11" t="s">
        <v>135</v>
      </c>
      <c r="E11">
        <v>20171</v>
      </c>
      <c r="F11" t="s">
        <v>14</v>
      </c>
      <c r="G11" t="s">
        <v>82</v>
      </c>
      <c r="H11">
        <v>4</v>
      </c>
      <c r="I11">
        <v>0</v>
      </c>
      <c r="J11">
        <v>20201</v>
      </c>
      <c r="K11">
        <f>COUNTIF('rEKAP kls MK'!$A$2:$A$35,Worksheet!C11)</f>
        <v>1</v>
      </c>
      <c r="L11" t="str">
        <f t="shared" si="0"/>
        <v>F1B113033</v>
      </c>
      <c r="M11" t="str">
        <f t="shared" si="1"/>
        <v>SERLY MARLINA</v>
      </c>
      <c r="O11" t="str">
        <f t="shared" si="2"/>
        <v/>
      </c>
      <c r="P11" t="str">
        <f t="shared" si="3"/>
        <v/>
      </c>
    </row>
    <row r="12" spans="1:16">
      <c r="A12" t="s">
        <v>43</v>
      </c>
      <c r="B12" t="s">
        <v>44</v>
      </c>
      <c r="C12" t="s">
        <v>134</v>
      </c>
      <c r="D12" t="s">
        <v>135</v>
      </c>
      <c r="E12">
        <v>20171</v>
      </c>
      <c r="F12" t="s">
        <v>14</v>
      </c>
      <c r="G12" t="s">
        <v>18</v>
      </c>
      <c r="H12">
        <v>3</v>
      </c>
      <c r="I12">
        <v>0</v>
      </c>
      <c r="J12">
        <v>20201</v>
      </c>
      <c r="K12">
        <f>COUNTIF('rEKAP kls MK'!$A$2:$A$35,Worksheet!C12)</f>
        <v>1</v>
      </c>
      <c r="L12" t="str">
        <f t="shared" si="0"/>
        <v>F1B113034</v>
      </c>
      <c r="M12" t="str">
        <f t="shared" si="1"/>
        <v>SHIR AJIE ASMORO</v>
      </c>
      <c r="O12" t="str">
        <f t="shared" si="2"/>
        <v/>
      </c>
      <c r="P12" t="str">
        <f t="shared" si="3"/>
        <v/>
      </c>
    </row>
    <row r="13" spans="1:16">
      <c r="A13" t="s">
        <v>45</v>
      </c>
      <c r="B13" t="s">
        <v>46</v>
      </c>
      <c r="C13" t="s">
        <v>134</v>
      </c>
      <c r="D13" t="s">
        <v>135</v>
      </c>
      <c r="E13">
        <v>20171</v>
      </c>
      <c r="F13" t="s">
        <v>14</v>
      </c>
      <c r="G13" t="s">
        <v>18</v>
      </c>
      <c r="H13">
        <v>3</v>
      </c>
      <c r="I13">
        <v>0</v>
      </c>
      <c r="J13">
        <v>20201</v>
      </c>
      <c r="K13">
        <f>COUNTIF('rEKAP kls MK'!$A$2:$A$35,Worksheet!C13)</f>
        <v>1</v>
      </c>
      <c r="L13" t="str">
        <f t="shared" si="0"/>
        <v>F1B114001</v>
      </c>
      <c r="M13" t="str">
        <f t="shared" si="1"/>
        <v>ADI PURNA</v>
      </c>
      <c r="O13" t="str">
        <f t="shared" si="2"/>
        <v/>
      </c>
      <c r="P13" t="str">
        <f t="shared" si="3"/>
        <v/>
      </c>
    </row>
    <row r="14" spans="1:16">
      <c r="A14" t="s">
        <v>140</v>
      </c>
      <c r="B14" t="s">
        <v>141</v>
      </c>
      <c r="C14" t="s">
        <v>134</v>
      </c>
      <c r="D14" t="s">
        <v>135</v>
      </c>
      <c r="E14">
        <v>20171</v>
      </c>
      <c r="F14" t="s">
        <v>14</v>
      </c>
      <c r="G14" t="s">
        <v>51</v>
      </c>
      <c r="H14">
        <v>3.5</v>
      </c>
      <c r="I14">
        <v>0</v>
      </c>
      <c r="J14">
        <v>20201</v>
      </c>
      <c r="K14">
        <f>COUNTIF('rEKAP kls MK'!$A$2:$A$35,Worksheet!C14)</f>
        <v>1</v>
      </c>
      <c r="L14" t="str">
        <f t="shared" si="0"/>
        <v>F1B114003</v>
      </c>
      <c r="M14" t="str">
        <f t="shared" si="1"/>
        <v>AGUS SUPANDI</v>
      </c>
      <c r="O14" t="str">
        <f t="shared" si="2"/>
        <v/>
      </c>
      <c r="P14" t="str">
        <f t="shared" si="3"/>
        <v/>
      </c>
    </row>
    <row r="15" spans="1:16">
      <c r="A15" t="s">
        <v>142</v>
      </c>
      <c r="B15" t="s">
        <v>143</v>
      </c>
      <c r="C15" t="s">
        <v>134</v>
      </c>
      <c r="D15" t="s">
        <v>135</v>
      </c>
      <c r="E15">
        <v>20171</v>
      </c>
      <c r="F15" t="s">
        <v>14</v>
      </c>
      <c r="G15" t="s">
        <v>82</v>
      </c>
      <c r="H15">
        <v>4</v>
      </c>
      <c r="I15">
        <v>0</v>
      </c>
      <c r="J15">
        <v>20201</v>
      </c>
      <c r="K15">
        <f>COUNTIF('rEKAP kls MK'!$A$2:$A$35,Worksheet!C15)</f>
        <v>1</v>
      </c>
      <c r="L15" t="str">
        <f t="shared" si="0"/>
        <v>F1B114018</v>
      </c>
      <c r="M15" t="str">
        <f t="shared" si="1"/>
        <v>I GUSTI BAGUS HENDRA PRADIPTA</v>
      </c>
      <c r="O15" t="str">
        <f t="shared" si="2"/>
        <v/>
      </c>
      <c r="P15" t="str">
        <f t="shared" si="3"/>
        <v/>
      </c>
    </row>
    <row r="16" spans="1:16">
      <c r="A16" t="s">
        <v>54</v>
      </c>
      <c r="B16" t="s">
        <v>55</v>
      </c>
      <c r="C16" t="s">
        <v>134</v>
      </c>
      <c r="D16" t="s">
        <v>135</v>
      </c>
      <c r="E16">
        <v>20171</v>
      </c>
      <c r="F16" t="s">
        <v>14</v>
      </c>
      <c r="G16" t="s">
        <v>23</v>
      </c>
      <c r="H16">
        <v>2.5</v>
      </c>
      <c r="I16">
        <v>0</v>
      </c>
      <c r="J16">
        <v>20201</v>
      </c>
      <c r="K16">
        <f>COUNTIF('rEKAP kls MK'!$A$2:$A$35,Worksheet!C16)</f>
        <v>1</v>
      </c>
      <c r="L16" t="str">
        <f t="shared" si="0"/>
        <v>F1B114028</v>
      </c>
      <c r="M16" t="str">
        <f t="shared" si="1"/>
        <v>MUHAMMAD HAJRUL MUZAQI</v>
      </c>
      <c r="O16" t="str">
        <f t="shared" si="2"/>
        <v/>
      </c>
      <c r="P16" t="str">
        <f t="shared" si="3"/>
        <v/>
      </c>
    </row>
    <row r="17" spans="1:16">
      <c r="A17" t="s">
        <v>144</v>
      </c>
      <c r="B17" t="s">
        <v>145</v>
      </c>
      <c r="C17" t="s">
        <v>134</v>
      </c>
      <c r="D17" t="s">
        <v>135</v>
      </c>
      <c r="E17">
        <v>20171</v>
      </c>
      <c r="F17" t="s">
        <v>14</v>
      </c>
      <c r="G17" t="s">
        <v>51</v>
      </c>
      <c r="H17">
        <v>3.5</v>
      </c>
      <c r="I17">
        <v>0</v>
      </c>
      <c r="J17">
        <v>20201</v>
      </c>
      <c r="K17">
        <f>COUNTIF('rEKAP kls MK'!$A$2:$A$35,Worksheet!C17)</f>
        <v>1</v>
      </c>
      <c r="L17" t="str">
        <f t="shared" si="0"/>
        <v>F1B115013</v>
      </c>
      <c r="M17" t="str">
        <f t="shared" si="1"/>
        <v>HERU WILUKMAN HAKIM</v>
      </c>
      <c r="O17" t="str">
        <f t="shared" si="2"/>
        <v/>
      </c>
      <c r="P17" t="str">
        <f t="shared" si="3"/>
        <v/>
      </c>
    </row>
    <row r="18" spans="1:16">
      <c r="A18" t="s">
        <v>56</v>
      </c>
      <c r="B18" t="s">
        <v>57</v>
      </c>
      <c r="C18" t="s">
        <v>134</v>
      </c>
      <c r="D18" t="s">
        <v>135</v>
      </c>
      <c r="E18">
        <v>20171</v>
      </c>
      <c r="F18" t="s">
        <v>14</v>
      </c>
      <c r="G18" t="s">
        <v>23</v>
      </c>
      <c r="H18">
        <v>2.5</v>
      </c>
      <c r="I18">
        <v>0</v>
      </c>
      <c r="J18">
        <v>20201</v>
      </c>
      <c r="K18">
        <f>COUNTIF('rEKAP kls MK'!$A$2:$A$35,Worksheet!C18)</f>
        <v>1</v>
      </c>
      <c r="L18" t="str">
        <f t="shared" si="0"/>
        <v>F1B116001</v>
      </c>
      <c r="M18" t="str">
        <f t="shared" si="1"/>
        <v>AHMAD MUHAJIR</v>
      </c>
      <c r="O18" t="str">
        <f t="shared" si="2"/>
        <v/>
      </c>
      <c r="P18" t="str">
        <f t="shared" si="3"/>
        <v/>
      </c>
    </row>
    <row r="19" spans="1:16">
      <c r="A19" t="s">
        <v>60</v>
      </c>
      <c r="B19" t="s">
        <v>61</v>
      </c>
      <c r="C19" t="s">
        <v>134</v>
      </c>
      <c r="D19" t="s">
        <v>135</v>
      </c>
      <c r="E19">
        <v>20171</v>
      </c>
      <c r="F19" t="s">
        <v>14</v>
      </c>
      <c r="G19" t="s">
        <v>18</v>
      </c>
      <c r="H19">
        <v>3</v>
      </c>
      <c r="I19">
        <v>0</v>
      </c>
      <c r="J19">
        <v>20201</v>
      </c>
      <c r="K19">
        <f>COUNTIF('rEKAP kls MK'!$A$2:$A$35,Worksheet!C19)</f>
        <v>1</v>
      </c>
      <c r="L19" t="str">
        <f t="shared" si="0"/>
        <v>F1B116005</v>
      </c>
      <c r="M19" t="str">
        <f t="shared" si="1"/>
        <v>FENDY KURNIAWAN</v>
      </c>
      <c r="O19" t="str">
        <f t="shared" si="2"/>
        <v/>
      </c>
      <c r="P19" t="str">
        <f t="shared" si="3"/>
        <v/>
      </c>
    </row>
    <row r="20" spans="1:16">
      <c r="A20" t="s">
        <v>123</v>
      </c>
      <c r="B20" t="s">
        <v>124</v>
      </c>
      <c r="C20" t="s">
        <v>134</v>
      </c>
      <c r="D20" t="s">
        <v>135</v>
      </c>
      <c r="E20">
        <v>20171</v>
      </c>
      <c r="F20" t="s">
        <v>14</v>
      </c>
      <c r="G20" t="s">
        <v>23</v>
      </c>
      <c r="H20">
        <v>2.5</v>
      </c>
      <c r="I20">
        <v>0</v>
      </c>
      <c r="J20">
        <v>20201</v>
      </c>
      <c r="K20">
        <f>COUNTIF('rEKAP kls MK'!$A$2:$A$35,Worksheet!C20)</f>
        <v>1</v>
      </c>
      <c r="L20" t="str">
        <f t="shared" si="0"/>
        <v>F1B116007</v>
      </c>
      <c r="M20" t="str">
        <f t="shared" si="1"/>
        <v>HARIS MUNANDAR</v>
      </c>
      <c r="O20" t="str">
        <f t="shared" si="2"/>
        <v/>
      </c>
      <c r="P20" t="str">
        <f t="shared" si="3"/>
        <v/>
      </c>
    </row>
    <row r="21" spans="1:16">
      <c r="A21" t="s">
        <v>64</v>
      </c>
      <c r="B21" t="s">
        <v>65</v>
      </c>
      <c r="C21" t="s">
        <v>134</v>
      </c>
      <c r="D21" t="s">
        <v>135</v>
      </c>
      <c r="E21">
        <v>20171</v>
      </c>
      <c r="F21" t="s">
        <v>14</v>
      </c>
      <c r="G21" t="s">
        <v>26</v>
      </c>
      <c r="H21">
        <v>2</v>
      </c>
      <c r="I21">
        <v>0</v>
      </c>
      <c r="J21">
        <v>20201</v>
      </c>
      <c r="K21">
        <f>COUNTIF('rEKAP kls MK'!$A$2:$A$35,Worksheet!C21)</f>
        <v>1</v>
      </c>
      <c r="L21" t="str">
        <f t="shared" si="0"/>
        <v>F1B116008</v>
      </c>
      <c r="M21" t="str">
        <f t="shared" si="1"/>
        <v>Harjo Sumitro</v>
      </c>
      <c r="O21" t="str">
        <f t="shared" si="2"/>
        <v/>
      </c>
      <c r="P21" t="str">
        <f t="shared" si="3"/>
        <v/>
      </c>
    </row>
    <row r="22" spans="1:16">
      <c r="A22" t="s">
        <v>66</v>
      </c>
      <c r="B22" t="s">
        <v>67</v>
      </c>
      <c r="C22" t="s">
        <v>134</v>
      </c>
      <c r="D22" t="s">
        <v>135</v>
      </c>
      <c r="E22">
        <v>20171</v>
      </c>
      <c r="F22" t="s">
        <v>14</v>
      </c>
      <c r="G22" t="s">
        <v>18</v>
      </c>
      <c r="H22">
        <v>3</v>
      </c>
      <c r="I22">
        <v>0</v>
      </c>
      <c r="J22">
        <v>20201</v>
      </c>
      <c r="K22">
        <f>COUNTIF('rEKAP kls MK'!$A$2:$A$35,Worksheet!C22)</f>
        <v>1</v>
      </c>
      <c r="L22" t="str">
        <f t="shared" si="0"/>
        <v>F1B116009</v>
      </c>
      <c r="M22" t="str">
        <f t="shared" si="1"/>
        <v>HASAN BASRI</v>
      </c>
      <c r="O22" t="str">
        <f t="shared" si="2"/>
        <v/>
      </c>
      <c r="P22" t="str">
        <f t="shared" si="3"/>
        <v/>
      </c>
    </row>
    <row r="23" spans="1:16">
      <c r="A23" t="s">
        <v>68</v>
      </c>
      <c r="B23" t="s">
        <v>69</v>
      </c>
      <c r="C23" t="s">
        <v>134</v>
      </c>
      <c r="D23" t="s">
        <v>135</v>
      </c>
      <c r="E23">
        <v>20171</v>
      </c>
      <c r="F23" t="s">
        <v>14</v>
      </c>
      <c r="G23" t="s">
        <v>23</v>
      </c>
      <c r="H23">
        <v>2.5</v>
      </c>
      <c r="I23">
        <v>0</v>
      </c>
      <c r="J23">
        <v>20201</v>
      </c>
      <c r="K23">
        <f>COUNTIF('rEKAP kls MK'!$A$2:$A$35,Worksheet!C23)</f>
        <v>1</v>
      </c>
      <c r="L23" t="str">
        <f t="shared" si="0"/>
        <v>F1B116010</v>
      </c>
      <c r="M23" t="str">
        <f t="shared" si="1"/>
        <v>Ihsan Syaputro</v>
      </c>
      <c r="O23" t="str">
        <f t="shared" si="2"/>
        <v/>
      </c>
      <c r="P23" t="str">
        <f t="shared" si="3"/>
        <v/>
      </c>
    </row>
    <row r="24" spans="1:16">
      <c r="A24" t="s">
        <v>70</v>
      </c>
      <c r="B24" t="s">
        <v>71</v>
      </c>
      <c r="C24" t="s">
        <v>134</v>
      </c>
      <c r="D24" t="s">
        <v>135</v>
      </c>
      <c r="E24">
        <v>20171</v>
      </c>
      <c r="F24" t="s">
        <v>14</v>
      </c>
      <c r="G24" t="s">
        <v>125</v>
      </c>
      <c r="H24">
        <v>1</v>
      </c>
      <c r="I24">
        <v>0</v>
      </c>
      <c r="J24">
        <v>20201</v>
      </c>
      <c r="K24">
        <f>COUNTIF('rEKAP kls MK'!$A$2:$A$35,Worksheet!C24)</f>
        <v>1</v>
      </c>
      <c r="L24" t="str">
        <f t="shared" si="0"/>
        <v>F1B116012</v>
      </c>
      <c r="M24" t="str">
        <f t="shared" si="1"/>
        <v>JEMMY FEBRY SUMANDA</v>
      </c>
      <c r="O24" t="str">
        <f t="shared" si="2"/>
        <v/>
      </c>
      <c r="P24" t="str">
        <f t="shared" si="3"/>
        <v/>
      </c>
    </row>
    <row r="25" spans="1:16">
      <c r="A25" t="s">
        <v>72</v>
      </c>
      <c r="B25" t="s">
        <v>73</v>
      </c>
      <c r="C25" t="s">
        <v>134</v>
      </c>
      <c r="D25" t="s">
        <v>135</v>
      </c>
      <c r="E25">
        <v>20171</v>
      </c>
      <c r="F25" t="s">
        <v>14</v>
      </c>
      <c r="G25" t="s">
        <v>26</v>
      </c>
      <c r="H25">
        <v>2</v>
      </c>
      <c r="I25">
        <v>0</v>
      </c>
      <c r="J25">
        <v>20201</v>
      </c>
      <c r="K25">
        <f>COUNTIF('rEKAP kls MK'!$A$2:$A$35,Worksheet!C25)</f>
        <v>1</v>
      </c>
      <c r="L25" t="str">
        <f t="shared" si="0"/>
        <v>F1B116014</v>
      </c>
      <c r="M25" t="str">
        <f t="shared" si="1"/>
        <v>LALU ARIF TASIBANA</v>
      </c>
      <c r="O25" t="str">
        <f t="shared" si="2"/>
        <v/>
      </c>
      <c r="P25" t="str">
        <f t="shared" si="3"/>
        <v/>
      </c>
    </row>
    <row r="26" spans="1:16">
      <c r="A26" t="s">
        <v>74</v>
      </c>
      <c r="B26" t="s">
        <v>75</v>
      </c>
      <c r="C26" t="s">
        <v>134</v>
      </c>
      <c r="D26" t="s">
        <v>135</v>
      </c>
      <c r="E26">
        <v>20171</v>
      </c>
      <c r="F26" t="s">
        <v>14</v>
      </c>
      <c r="G26" t="s">
        <v>26</v>
      </c>
      <c r="H26">
        <v>2</v>
      </c>
      <c r="I26">
        <v>0</v>
      </c>
      <c r="J26">
        <v>20201</v>
      </c>
      <c r="K26">
        <f>COUNTIF('rEKAP kls MK'!$A$2:$A$35,Worksheet!C26)</f>
        <v>1</v>
      </c>
      <c r="L26" t="str">
        <f t="shared" si="0"/>
        <v>F1B116015</v>
      </c>
      <c r="M26" t="str">
        <f t="shared" si="1"/>
        <v>LALU MAHSAR KHAIRUDI</v>
      </c>
      <c r="O26" t="str">
        <f t="shared" si="2"/>
        <v/>
      </c>
      <c r="P26" t="str">
        <f t="shared" si="3"/>
        <v/>
      </c>
    </row>
    <row r="27" spans="1:16">
      <c r="A27" t="s">
        <v>76</v>
      </c>
      <c r="B27" t="s">
        <v>77</v>
      </c>
      <c r="C27" t="s">
        <v>134</v>
      </c>
      <c r="D27" t="s">
        <v>135</v>
      </c>
      <c r="E27">
        <v>20171</v>
      </c>
      <c r="F27" t="s">
        <v>14</v>
      </c>
      <c r="G27" t="s">
        <v>116</v>
      </c>
      <c r="H27">
        <v>1.5</v>
      </c>
      <c r="I27">
        <v>0</v>
      </c>
      <c r="J27">
        <v>20201</v>
      </c>
      <c r="K27">
        <f>COUNTIF('rEKAP kls MK'!$A$2:$A$35,Worksheet!C27)</f>
        <v>1</v>
      </c>
      <c r="L27" t="str">
        <f t="shared" si="0"/>
        <v>F1B116016</v>
      </c>
      <c r="M27" t="str">
        <f t="shared" si="1"/>
        <v>LALU MOHAMAD FAESAL RAHMAN</v>
      </c>
      <c r="O27" t="str">
        <f t="shared" si="2"/>
        <v/>
      </c>
      <c r="P27" t="str">
        <f t="shared" si="3"/>
        <v/>
      </c>
    </row>
    <row r="28" spans="1:16">
      <c r="A28" t="s">
        <v>126</v>
      </c>
      <c r="B28" t="s">
        <v>127</v>
      </c>
      <c r="C28" t="s">
        <v>134</v>
      </c>
      <c r="D28" t="s">
        <v>135</v>
      </c>
      <c r="E28">
        <v>20171</v>
      </c>
      <c r="F28" t="s">
        <v>14</v>
      </c>
      <c r="G28" t="s">
        <v>26</v>
      </c>
      <c r="H28">
        <v>2</v>
      </c>
      <c r="I28">
        <v>0</v>
      </c>
      <c r="J28">
        <v>20201</v>
      </c>
      <c r="K28">
        <f>COUNTIF('rEKAP kls MK'!$A$2:$A$35,Worksheet!C28)</f>
        <v>1</v>
      </c>
    </row>
    <row r="29" spans="1:16">
      <c r="A29" t="s">
        <v>128</v>
      </c>
      <c r="B29" t="s">
        <v>129</v>
      </c>
      <c r="C29" t="s">
        <v>134</v>
      </c>
      <c r="D29" t="s">
        <v>135</v>
      </c>
      <c r="E29">
        <v>20171</v>
      </c>
      <c r="F29" t="s">
        <v>14</v>
      </c>
      <c r="G29" t="s">
        <v>23</v>
      </c>
      <c r="H29">
        <v>2.5</v>
      </c>
      <c r="I29">
        <v>0</v>
      </c>
      <c r="J29">
        <v>20201</v>
      </c>
      <c r="K29">
        <f>COUNTIF('rEKAP kls MK'!$A$2:$A$35,Worksheet!C29)</f>
        <v>1</v>
      </c>
      <c r="L29" t="str">
        <f t="shared" si="0"/>
        <v>F1B116020</v>
      </c>
      <c r="M29" t="str">
        <f t="shared" si="1"/>
        <v>Muhammad Zarrin Al Mansyury</v>
      </c>
      <c r="O29" t="str">
        <f t="shared" si="2"/>
        <v/>
      </c>
      <c r="P29" t="str">
        <f t="shared" si="3"/>
        <v/>
      </c>
    </row>
    <row r="30" spans="1:16">
      <c r="A30" t="s">
        <v>78</v>
      </c>
      <c r="B30" t="s">
        <v>79</v>
      </c>
      <c r="C30" t="s">
        <v>134</v>
      </c>
      <c r="D30" t="s">
        <v>135</v>
      </c>
      <c r="E30">
        <v>20171</v>
      </c>
      <c r="F30" t="s">
        <v>14</v>
      </c>
      <c r="G30" t="s">
        <v>125</v>
      </c>
      <c r="H30">
        <v>1</v>
      </c>
      <c r="I30">
        <v>0</v>
      </c>
      <c r="J30">
        <v>20201</v>
      </c>
      <c r="K30">
        <f>COUNTIF('rEKAP kls MK'!$A$2:$A$35,Worksheet!C30)</f>
        <v>1</v>
      </c>
      <c r="L30" t="str">
        <f t="shared" si="0"/>
        <v>F1B116021</v>
      </c>
      <c r="M30" t="str">
        <f t="shared" si="1"/>
        <v>NELIN AYU NIRWANA</v>
      </c>
      <c r="O30" t="str">
        <f t="shared" si="2"/>
        <v/>
      </c>
      <c r="P30" t="str">
        <f t="shared" si="3"/>
        <v/>
      </c>
    </row>
    <row r="31" spans="1:16">
      <c r="A31" t="s">
        <v>80</v>
      </c>
      <c r="B31" t="s">
        <v>81</v>
      </c>
      <c r="C31" t="s">
        <v>134</v>
      </c>
      <c r="D31" t="s">
        <v>135</v>
      </c>
      <c r="E31">
        <v>20171</v>
      </c>
      <c r="F31" t="s">
        <v>14</v>
      </c>
      <c r="G31" t="s">
        <v>82</v>
      </c>
      <c r="H31">
        <v>4</v>
      </c>
      <c r="I31">
        <v>0</v>
      </c>
      <c r="J31">
        <v>20201</v>
      </c>
      <c r="K31">
        <f>COUNTIF('rEKAP kls MK'!$A$2:$A$35,Worksheet!C31)</f>
        <v>1</v>
      </c>
      <c r="L31" t="str">
        <f t="shared" si="0"/>
        <v>F1B116022</v>
      </c>
      <c r="M31" t="str">
        <f t="shared" si="1"/>
        <v>NOVA HENDRI KURNIAWAN</v>
      </c>
      <c r="O31" t="str">
        <f t="shared" si="2"/>
        <v/>
      </c>
      <c r="P31" t="str">
        <f t="shared" si="3"/>
        <v/>
      </c>
    </row>
    <row r="32" spans="1:16">
      <c r="A32" t="s">
        <v>83</v>
      </c>
      <c r="B32" t="s">
        <v>84</v>
      </c>
      <c r="C32" t="s">
        <v>134</v>
      </c>
      <c r="D32" t="s">
        <v>135</v>
      </c>
      <c r="E32">
        <v>20171</v>
      </c>
      <c r="F32" t="s">
        <v>14</v>
      </c>
      <c r="G32" t="s">
        <v>26</v>
      </c>
      <c r="H32">
        <v>2</v>
      </c>
      <c r="I32">
        <v>0</v>
      </c>
      <c r="J32">
        <v>20201</v>
      </c>
      <c r="K32">
        <f>COUNTIF('rEKAP kls MK'!$A$2:$A$35,Worksheet!C32)</f>
        <v>1</v>
      </c>
      <c r="L32" t="str">
        <f t="shared" si="0"/>
        <v>F1B116024</v>
      </c>
      <c r="M32" t="str">
        <f t="shared" si="1"/>
        <v>RENA RAMDINAWATI</v>
      </c>
      <c r="O32" t="str">
        <f t="shared" si="2"/>
        <v/>
      </c>
      <c r="P32" t="str">
        <f t="shared" si="3"/>
        <v/>
      </c>
    </row>
    <row r="33" spans="1:16">
      <c r="A33" t="s">
        <v>85</v>
      </c>
      <c r="B33" t="s">
        <v>86</v>
      </c>
      <c r="C33" t="s">
        <v>134</v>
      </c>
      <c r="D33" t="s">
        <v>135</v>
      </c>
      <c r="E33">
        <v>20171</v>
      </c>
      <c r="F33" t="s">
        <v>14</v>
      </c>
      <c r="G33" t="s">
        <v>18</v>
      </c>
      <c r="H33">
        <v>3</v>
      </c>
      <c r="I33">
        <v>0</v>
      </c>
      <c r="J33">
        <v>20201</v>
      </c>
      <c r="K33">
        <f>COUNTIF('rEKAP kls MK'!$A$2:$A$35,Worksheet!C33)</f>
        <v>1</v>
      </c>
      <c r="L33" t="str">
        <f t="shared" si="0"/>
        <v>F1B116025</v>
      </c>
      <c r="M33" t="str">
        <f t="shared" si="1"/>
        <v>RISMAN ALFIAN LUTHFI</v>
      </c>
      <c r="O33" t="str">
        <f t="shared" si="2"/>
        <v/>
      </c>
      <c r="P33" t="str">
        <f t="shared" si="3"/>
        <v/>
      </c>
    </row>
    <row r="34" spans="1:16">
      <c r="A34" t="s">
        <v>87</v>
      </c>
      <c r="B34" t="s">
        <v>88</v>
      </c>
      <c r="C34" t="s">
        <v>134</v>
      </c>
      <c r="D34" t="s">
        <v>135</v>
      </c>
      <c r="E34">
        <v>20171</v>
      </c>
      <c r="F34" t="s">
        <v>14</v>
      </c>
      <c r="G34" t="s">
        <v>26</v>
      </c>
      <c r="H34">
        <v>2</v>
      </c>
      <c r="I34">
        <v>0</v>
      </c>
      <c r="J34">
        <v>20201</v>
      </c>
      <c r="K34">
        <f>COUNTIF('rEKAP kls MK'!$A$2:$A$35,Worksheet!C34)</f>
        <v>1</v>
      </c>
      <c r="L34" t="str">
        <f t="shared" si="0"/>
        <v>F1B116027</v>
      </c>
      <c r="M34" t="str">
        <f t="shared" si="1"/>
        <v>ROYHAN ADEKA SAPUTRA</v>
      </c>
      <c r="O34" t="str">
        <f t="shared" si="2"/>
        <v/>
      </c>
      <c r="P34" t="str">
        <f t="shared" si="3"/>
        <v/>
      </c>
    </row>
    <row r="35" spans="1:16">
      <c r="A35" t="s">
        <v>89</v>
      </c>
      <c r="B35" t="s">
        <v>90</v>
      </c>
      <c r="C35" t="s">
        <v>134</v>
      </c>
      <c r="D35" t="s">
        <v>135</v>
      </c>
      <c r="E35">
        <v>20171</v>
      </c>
      <c r="F35" t="s">
        <v>14</v>
      </c>
      <c r="G35" t="s">
        <v>23</v>
      </c>
      <c r="H35">
        <v>2.5</v>
      </c>
      <c r="I35">
        <v>0</v>
      </c>
      <c r="J35">
        <v>20201</v>
      </c>
      <c r="K35">
        <f>COUNTIF('rEKAP kls MK'!$A$2:$A$35,Worksheet!C35)</f>
        <v>1</v>
      </c>
      <c r="L35" t="str">
        <f t="shared" si="0"/>
        <v>F1B116029</v>
      </c>
      <c r="M35" t="str">
        <f t="shared" si="1"/>
        <v>TAUFIK ZUBAIDILLAH</v>
      </c>
      <c r="O35" t="str">
        <f t="shared" si="2"/>
        <v/>
      </c>
      <c r="P35" t="str">
        <f t="shared" si="3"/>
        <v/>
      </c>
    </row>
    <row r="36" spans="1:16">
      <c r="A36" t="s">
        <v>91</v>
      </c>
      <c r="B36" t="s">
        <v>92</v>
      </c>
      <c r="C36" t="s">
        <v>134</v>
      </c>
      <c r="D36" t="s">
        <v>135</v>
      </c>
      <c r="E36">
        <v>20171</v>
      </c>
      <c r="F36" t="s">
        <v>14</v>
      </c>
      <c r="G36" t="s">
        <v>26</v>
      </c>
      <c r="H36">
        <v>2</v>
      </c>
      <c r="I36">
        <v>0</v>
      </c>
      <c r="J36">
        <v>20201</v>
      </c>
      <c r="K36">
        <f>COUNTIF('rEKAP kls MK'!$A$2:$A$35,Worksheet!C36)</f>
        <v>1</v>
      </c>
      <c r="L36" t="str">
        <f t="shared" si="0"/>
        <v>F1B116030</v>
      </c>
      <c r="M36" t="str">
        <f t="shared" si="1"/>
        <v>Yanuardi</v>
      </c>
      <c r="O36" t="str">
        <f t="shared" si="2"/>
        <v/>
      </c>
      <c r="P36" t="str">
        <f t="shared" si="3"/>
        <v/>
      </c>
    </row>
    <row r="37" spans="1:16">
      <c r="A37" t="s">
        <v>93</v>
      </c>
      <c r="B37" t="s">
        <v>94</v>
      </c>
      <c r="C37" t="s">
        <v>134</v>
      </c>
      <c r="D37" t="s">
        <v>135</v>
      </c>
      <c r="E37">
        <v>20171</v>
      </c>
      <c r="F37" t="s">
        <v>14</v>
      </c>
      <c r="G37" t="s">
        <v>18</v>
      </c>
      <c r="H37">
        <v>3</v>
      </c>
      <c r="I37">
        <v>0</v>
      </c>
      <c r="J37">
        <v>20201</v>
      </c>
      <c r="K37">
        <f>COUNTIF('rEKAP kls MK'!$A$2:$A$35,Worksheet!C37)</f>
        <v>1</v>
      </c>
      <c r="L37" t="str">
        <f t="shared" si="0"/>
        <v>F1B116032</v>
      </c>
      <c r="M37" t="str">
        <f t="shared" si="1"/>
        <v>Yuma</v>
      </c>
      <c r="O37" t="str">
        <f t="shared" si="2"/>
        <v/>
      </c>
      <c r="P37" t="str">
        <f t="shared" si="3"/>
        <v/>
      </c>
    </row>
    <row r="38" spans="1:16">
      <c r="A38" t="s">
        <v>95</v>
      </c>
      <c r="B38" t="s">
        <v>96</v>
      </c>
      <c r="C38" t="s">
        <v>134</v>
      </c>
      <c r="D38" t="s">
        <v>135</v>
      </c>
      <c r="E38">
        <v>20171</v>
      </c>
      <c r="F38" t="s">
        <v>14</v>
      </c>
      <c r="G38" t="s">
        <v>18</v>
      </c>
      <c r="H38">
        <v>3</v>
      </c>
      <c r="I38">
        <v>0</v>
      </c>
      <c r="J38">
        <v>20201</v>
      </c>
      <c r="K38">
        <f>COUNTIF('rEKAP kls MK'!$A$2:$A$35,Worksheet!C38)</f>
        <v>1</v>
      </c>
      <c r="L38" t="str">
        <f t="shared" si="0"/>
        <v>F1B116033</v>
      </c>
      <c r="M38" t="str">
        <f t="shared" si="1"/>
        <v>Yusril Bagas Sevyanto</v>
      </c>
      <c r="O38" t="str">
        <f t="shared" si="2"/>
        <v/>
      </c>
      <c r="P38" t="str">
        <f t="shared" si="3"/>
        <v/>
      </c>
    </row>
    <row r="39" spans="1:16">
      <c r="A39" t="s">
        <v>130</v>
      </c>
      <c r="B39" t="s">
        <v>131</v>
      </c>
      <c r="C39" t="s">
        <v>134</v>
      </c>
      <c r="D39" t="s">
        <v>135</v>
      </c>
      <c r="E39">
        <v>20171</v>
      </c>
      <c r="F39" t="s">
        <v>14</v>
      </c>
      <c r="G39" t="s">
        <v>26</v>
      </c>
      <c r="H39">
        <v>2</v>
      </c>
      <c r="I39">
        <v>0</v>
      </c>
      <c r="J39">
        <v>20201</v>
      </c>
      <c r="K39">
        <f>COUNTIF('rEKAP kls MK'!$A$2:$A$35,Worksheet!C39)</f>
        <v>1</v>
      </c>
      <c r="L39" t="str">
        <f t="shared" si="0"/>
        <v>F1B116034</v>
      </c>
      <c r="M39" t="str">
        <f t="shared" si="1"/>
        <v>YUSRON ALIF SETIAWAN</v>
      </c>
      <c r="O39" t="str">
        <f t="shared" si="2"/>
        <v/>
      </c>
      <c r="P39" t="str">
        <f t="shared" si="3"/>
        <v/>
      </c>
    </row>
    <row r="40" spans="1:16">
      <c r="A40" t="s">
        <v>117</v>
      </c>
      <c r="B40" t="s">
        <v>118</v>
      </c>
      <c r="C40" t="s">
        <v>436</v>
      </c>
      <c r="D40" t="s">
        <v>437</v>
      </c>
      <c r="E40">
        <v>20171</v>
      </c>
      <c r="F40" t="s">
        <v>14</v>
      </c>
      <c r="G40" t="s">
        <v>26</v>
      </c>
      <c r="H40">
        <v>2</v>
      </c>
      <c r="I40">
        <v>0</v>
      </c>
      <c r="J40">
        <v>20201</v>
      </c>
      <c r="K40">
        <f>COUNTIF('rEKAP kls MK'!$A$2:$A$35,Worksheet!C40)</f>
        <v>1</v>
      </c>
      <c r="L40" t="str">
        <f t="shared" si="0"/>
        <v>F1B115002</v>
      </c>
      <c r="M40" t="str">
        <f t="shared" si="1"/>
        <v>AGUS SUPRIADI</v>
      </c>
      <c r="O40" t="str">
        <f t="shared" si="2"/>
        <v>ANALISA SISTEM TENAGA I</v>
      </c>
      <c r="P40" t="str">
        <f t="shared" si="3"/>
        <v/>
      </c>
    </row>
    <row r="41" spans="1:16">
      <c r="A41" t="s">
        <v>119</v>
      </c>
      <c r="B41" t="s">
        <v>120</v>
      </c>
      <c r="C41" t="s">
        <v>436</v>
      </c>
      <c r="D41" t="s">
        <v>437</v>
      </c>
      <c r="E41">
        <v>20171</v>
      </c>
      <c r="F41" t="s">
        <v>14</v>
      </c>
      <c r="G41" t="s">
        <v>51</v>
      </c>
      <c r="H41">
        <v>3.5</v>
      </c>
      <c r="I41">
        <v>0</v>
      </c>
      <c r="J41">
        <v>20201</v>
      </c>
      <c r="K41">
        <f>COUNTIF('rEKAP kls MK'!$A$2:$A$35,Worksheet!C41)</f>
        <v>1</v>
      </c>
      <c r="L41" t="str">
        <f t="shared" si="0"/>
        <v>F1B115008</v>
      </c>
      <c r="M41" t="str">
        <f t="shared" si="1"/>
        <v>ESI BIRAHMATIHI</v>
      </c>
      <c r="O41" t="str">
        <f t="shared" si="2"/>
        <v/>
      </c>
      <c r="P41" t="str">
        <f t="shared" si="3"/>
        <v/>
      </c>
    </row>
    <row r="42" spans="1:16">
      <c r="A42" t="s">
        <v>213</v>
      </c>
      <c r="B42" t="s">
        <v>214</v>
      </c>
      <c r="C42" t="s">
        <v>436</v>
      </c>
      <c r="D42" t="s">
        <v>437</v>
      </c>
      <c r="E42">
        <v>20171</v>
      </c>
      <c r="F42" t="s">
        <v>14</v>
      </c>
      <c r="G42" t="s">
        <v>51</v>
      </c>
      <c r="H42">
        <v>3.5</v>
      </c>
      <c r="I42">
        <v>0</v>
      </c>
      <c r="J42">
        <v>20201</v>
      </c>
      <c r="K42">
        <f>COUNTIF('rEKAP kls MK'!$A$2:$A$35,Worksheet!C42)</f>
        <v>1</v>
      </c>
      <c r="L42" t="str">
        <f t="shared" si="0"/>
        <v>F1B115009</v>
      </c>
      <c r="M42" t="str">
        <f t="shared" si="1"/>
        <v>FADILAH KURNIATI</v>
      </c>
      <c r="O42" t="str">
        <f t="shared" si="2"/>
        <v/>
      </c>
      <c r="P42" t="str">
        <f t="shared" si="3"/>
        <v/>
      </c>
    </row>
    <row r="43" spans="1:16">
      <c r="A43" t="s">
        <v>144</v>
      </c>
      <c r="B43" t="s">
        <v>145</v>
      </c>
      <c r="C43" t="s">
        <v>436</v>
      </c>
      <c r="D43" t="s">
        <v>437</v>
      </c>
      <c r="E43">
        <v>20171</v>
      </c>
      <c r="F43" t="s">
        <v>14</v>
      </c>
      <c r="G43" t="s">
        <v>51</v>
      </c>
      <c r="H43">
        <v>3.5</v>
      </c>
      <c r="I43">
        <v>0</v>
      </c>
      <c r="J43">
        <v>20201</v>
      </c>
      <c r="K43">
        <f>COUNTIF('rEKAP kls MK'!$A$2:$A$35,Worksheet!C43)</f>
        <v>1</v>
      </c>
      <c r="L43" t="str">
        <f t="shared" si="0"/>
        <v>F1B115013</v>
      </c>
      <c r="M43" t="str">
        <f t="shared" si="1"/>
        <v>HERU WILUKMAN HAKIM</v>
      </c>
      <c r="O43" t="str">
        <f t="shared" si="2"/>
        <v/>
      </c>
      <c r="P43" t="str">
        <f t="shared" si="3"/>
        <v/>
      </c>
    </row>
    <row r="44" spans="1:16">
      <c r="A44" t="s">
        <v>243</v>
      </c>
      <c r="B44" t="s">
        <v>244</v>
      </c>
      <c r="C44" t="s">
        <v>436</v>
      </c>
      <c r="D44" t="s">
        <v>437</v>
      </c>
      <c r="E44">
        <v>20171</v>
      </c>
      <c r="F44" t="s">
        <v>14</v>
      </c>
      <c r="G44" t="s">
        <v>15</v>
      </c>
      <c r="H44">
        <v>0</v>
      </c>
      <c r="I44">
        <v>0</v>
      </c>
      <c r="J44">
        <v>20201</v>
      </c>
      <c r="K44">
        <f>COUNTIF('rEKAP kls MK'!$A$2:$A$35,Worksheet!C44)</f>
        <v>1</v>
      </c>
      <c r="L44" t="str">
        <f t="shared" si="0"/>
        <v>F1B115019</v>
      </c>
      <c r="M44" t="str">
        <f t="shared" si="1"/>
        <v>Jumriati</v>
      </c>
      <c r="O44" t="str">
        <f t="shared" si="2"/>
        <v/>
      </c>
      <c r="P44" t="str">
        <f t="shared" si="3"/>
        <v/>
      </c>
    </row>
    <row r="45" spans="1:16">
      <c r="A45" t="s">
        <v>223</v>
      </c>
      <c r="B45" t="s">
        <v>224</v>
      </c>
      <c r="C45" t="s">
        <v>436</v>
      </c>
      <c r="D45" t="s">
        <v>437</v>
      </c>
      <c r="E45">
        <v>20171</v>
      </c>
      <c r="F45" t="s">
        <v>14</v>
      </c>
      <c r="G45" t="s">
        <v>82</v>
      </c>
      <c r="H45">
        <v>4</v>
      </c>
      <c r="I45">
        <v>0</v>
      </c>
      <c r="J45">
        <v>20201</v>
      </c>
      <c r="K45">
        <f>COUNTIF('rEKAP kls MK'!$A$2:$A$35,Worksheet!C45)</f>
        <v>1</v>
      </c>
      <c r="L45" t="str">
        <f t="shared" si="0"/>
        <v>F1B115022</v>
      </c>
      <c r="M45" t="str">
        <f t="shared" si="1"/>
        <v>LAZARINA MARIANA</v>
      </c>
      <c r="O45" t="str">
        <f t="shared" si="2"/>
        <v/>
      </c>
      <c r="P45" t="str">
        <f t="shared" si="3"/>
        <v/>
      </c>
    </row>
    <row r="46" spans="1:16">
      <c r="A46" t="s">
        <v>121</v>
      </c>
      <c r="B46" t="s">
        <v>122</v>
      </c>
      <c r="C46" t="s">
        <v>436</v>
      </c>
      <c r="D46" t="s">
        <v>437</v>
      </c>
      <c r="E46">
        <v>20171</v>
      </c>
      <c r="F46" t="s">
        <v>14</v>
      </c>
      <c r="G46" t="s">
        <v>125</v>
      </c>
      <c r="H46">
        <v>1</v>
      </c>
      <c r="I46">
        <v>0</v>
      </c>
      <c r="J46">
        <v>20201</v>
      </c>
      <c r="K46">
        <f>COUNTIF('rEKAP kls MK'!$A$2:$A$35,Worksheet!C46)</f>
        <v>1</v>
      </c>
      <c r="L46" t="str">
        <f t="shared" si="0"/>
        <v>F1B115025</v>
      </c>
      <c r="M46" t="str">
        <f t="shared" si="1"/>
        <v>MERRY MICHELLINA</v>
      </c>
      <c r="O46" t="str">
        <f t="shared" si="2"/>
        <v/>
      </c>
      <c r="P46" t="str">
        <f t="shared" si="3"/>
        <v/>
      </c>
    </row>
    <row r="47" spans="1:16">
      <c r="A47" t="s">
        <v>193</v>
      </c>
      <c r="B47" t="s">
        <v>194</v>
      </c>
      <c r="C47" t="s">
        <v>436</v>
      </c>
      <c r="D47" t="s">
        <v>437</v>
      </c>
      <c r="E47">
        <v>20171</v>
      </c>
      <c r="F47" t="s">
        <v>14</v>
      </c>
      <c r="G47" t="s">
        <v>26</v>
      </c>
      <c r="H47">
        <v>2</v>
      </c>
      <c r="I47">
        <v>0</v>
      </c>
      <c r="J47">
        <v>20201</v>
      </c>
      <c r="K47">
        <f>COUNTIF('rEKAP kls MK'!$A$2:$A$35,Worksheet!C47)</f>
        <v>1</v>
      </c>
      <c r="L47" t="str">
        <f t="shared" si="0"/>
        <v>F1B115026</v>
      </c>
      <c r="M47" t="str">
        <f t="shared" si="1"/>
        <v>MUCHAMMAD BAGIR</v>
      </c>
      <c r="O47" t="str">
        <f t="shared" si="2"/>
        <v/>
      </c>
      <c r="P47" t="str">
        <f t="shared" si="3"/>
        <v/>
      </c>
    </row>
    <row r="48" spans="1:16">
      <c r="A48" t="s">
        <v>227</v>
      </c>
      <c r="B48" t="s">
        <v>228</v>
      </c>
      <c r="C48" t="s">
        <v>436</v>
      </c>
      <c r="D48" t="s">
        <v>437</v>
      </c>
      <c r="E48">
        <v>20171</v>
      </c>
      <c r="F48" t="s">
        <v>14</v>
      </c>
      <c r="G48" t="s">
        <v>116</v>
      </c>
      <c r="H48">
        <v>1.5</v>
      </c>
      <c r="I48">
        <v>0</v>
      </c>
      <c r="J48">
        <v>20201</v>
      </c>
      <c r="K48">
        <f>COUNTIF('rEKAP kls MK'!$A$2:$A$35,Worksheet!C48)</f>
        <v>1</v>
      </c>
      <c r="L48" t="str">
        <f t="shared" si="0"/>
        <v>F1B115027</v>
      </c>
      <c r="M48" t="str">
        <f t="shared" si="1"/>
        <v>MUHAMAD NUDISANTANA RISWANDI</v>
      </c>
      <c r="O48" t="str">
        <f t="shared" si="2"/>
        <v/>
      </c>
      <c r="P48" t="str">
        <f t="shared" si="3"/>
        <v/>
      </c>
    </row>
    <row r="49" spans="1:16">
      <c r="A49" t="s">
        <v>195</v>
      </c>
      <c r="B49" t="s">
        <v>196</v>
      </c>
      <c r="C49" t="s">
        <v>436</v>
      </c>
      <c r="D49" t="s">
        <v>437</v>
      </c>
      <c r="E49">
        <v>20171</v>
      </c>
      <c r="F49" t="s">
        <v>14</v>
      </c>
      <c r="G49" t="s">
        <v>23</v>
      </c>
      <c r="H49">
        <v>2.5</v>
      </c>
      <c r="I49">
        <v>0</v>
      </c>
      <c r="J49">
        <v>20201</v>
      </c>
      <c r="K49">
        <f>COUNTIF('rEKAP kls MK'!$A$2:$A$35,Worksheet!C49)</f>
        <v>1</v>
      </c>
      <c r="L49" t="str">
        <f t="shared" si="0"/>
        <v>F1B115034</v>
      </c>
      <c r="M49" t="str">
        <f t="shared" si="1"/>
        <v>NAUFAL ATSAURI</v>
      </c>
      <c r="O49" t="str">
        <f t="shared" si="2"/>
        <v/>
      </c>
      <c r="P49" t="str">
        <f t="shared" si="3"/>
        <v/>
      </c>
    </row>
    <row r="50" spans="1:16">
      <c r="A50" t="s">
        <v>177</v>
      </c>
      <c r="B50" t="s">
        <v>178</v>
      </c>
      <c r="C50" t="s">
        <v>550</v>
      </c>
      <c r="D50" t="s">
        <v>551</v>
      </c>
      <c r="E50">
        <v>20171</v>
      </c>
      <c r="F50" t="s">
        <v>467</v>
      </c>
      <c r="G50" t="s">
        <v>15</v>
      </c>
      <c r="H50">
        <v>0</v>
      </c>
      <c r="I50">
        <v>0</v>
      </c>
      <c r="J50">
        <v>20201</v>
      </c>
      <c r="K50">
        <f>COUNTIF('rEKAP kls MK'!$A$2:$A$35,Worksheet!C50)</f>
        <v>0</v>
      </c>
      <c r="L50" t="str">
        <f t="shared" si="0"/>
        <v>F1B111030</v>
      </c>
      <c r="M50" t="str">
        <f t="shared" si="1"/>
        <v>Islahudin</v>
      </c>
      <c r="O50" t="str">
        <f t="shared" si="2"/>
        <v>BAHASA INDONESIA</v>
      </c>
      <c r="P50" t="str">
        <f t="shared" si="3"/>
        <v>TPB</v>
      </c>
    </row>
    <row r="51" spans="1:16">
      <c r="A51" t="s">
        <v>151</v>
      </c>
      <c r="B51" t="s">
        <v>152</v>
      </c>
      <c r="C51" t="s">
        <v>550</v>
      </c>
      <c r="D51" t="s">
        <v>551</v>
      </c>
      <c r="E51">
        <v>20171</v>
      </c>
      <c r="F51" t="s">
        <v>467</v>
      </c>
      <c r="G51" t="s">
        <v>26</v>
      </c>
      <c r="H51">
        <v>2</v>
      </c>
      <c r="I51">
        <v>0</v>
      </c>
      <c r="J51">
        <v>20201</v>
      </c>
      <c r="K51">
        <f>COUNTIF('rEKAP kls MK'!$A$2:$A$35,Worksheet!C51)</f>
        <v>0</v>
      </c>
      <c r="L51" t="str">
        <f t="shared" si="0"/>
        <v>F1B112004</v>
      </c>
      <c r="M51" t="str">
        <f t="shared" si="1"/>
        <v>Alimudin Embu Tara</v>
      </c>
      <c r="O51" t="str">
        <f t="shared" si="2"/>
        <v/>
      </c>
      <c r="P51" t="str">
        <f t="shared" si="3"/>
        <v/>
      </c>
    </row>
    <row r="52" spans="1:16">
      <c r="A52" t="s">
        <v>253</v>
      </c>
      <c r="B52" t="s">
        <v>254</v>
      </c>
      <c r="C52" t="s">
        <v>550</v>
      </c>
      <c r="D52" t="s">
        <v>551</v>
      </c>
      <c r="E52">
        <v>20171</v>
      </c>
      <c r="F52" t="s">
        <v>467</v>
      </c>
      <c r="G52" t="s">
        <v>18</v>
      </c>
      <c r="H52">
        <v>3</v>
      </c>
      <c r="I52">
        <v>0</v>
      </c>
      <c r="J52">
        <v>20201</v>
      </c>
      <c r="K52">
        <f>COUNTIF('rEKAP kls MK'!$A$2:$A$35,Worksheet!C52)</f>
        <v>0</v>
      </c>
      <c r="L52" t="str">
        <f t="shared" si="0"/>
        <v>F1B112025</v>
      </c>
      <c r="M52" t="str">
        <f t="shared" si="1"/>
        <v>Haerur Rosyid</v>
      </c>
      <c r="O52" t="str">
        <f t="shared" si="2"/>
        <v/>
      </c>
      <c r="P52" t="str">
        <f t="shared" si="3"/>
        <v/>
      </c>
    </row>
    <row r="53" spans="1:16">
      <c r="A53" t="s">
        <v>468</v>
      </c>
      <c r="B53" t="s">
        <v>469</v>
      </c>
      <c r="C53" t="s">
        <v>550</v>
      </c>
      <c r="D53" t="s">
        <v>551</v>
      </c>
      <c r="E53">
        <v>20171</v>
      </c>
      <c r="F53" t="s">
        <v>467</v>
      </c>
      <c r="G53" t="s">
        <v>51</v>
      </c>
      <c r="H53">
        <v>3.5</v>
      </c>
      <c r="I53">
        <v>0</v>
      </c>
      <c r="J53">
        <v>20201</v>
      </c>
      <c r="K53">
        <f>COUNTIF('rEKAP kls MK'!$A$2:$A$35,Worksheet!C53)</f>
        <v>0</v>
      </c>
      <c r="L53" t="str">
        <f t="shared" si="0"/>
        <v>F1B117001</v>
      </c>
      <c r="M53" t="str">
        <f t="shared" si="1"/>
        <v>ABI LASKAR</v>
      </c>
      <c r="O53" t="str">
        <f t="shared" si="2"/>
        <v/>
      </c>
      <c r="P53" t="str">
        <f t="shared" si="3"/>
        <v/>
      </c>
    </row>
    <row r="54" spans="1:16">
      <c r="A54" t="s">
        <v>470</v>
      </c>
      <c r="B54" t="s">
        <v>471</v>
      </c>
      <c r="C54" t="s">
        <v>550</v>
      </c>
      <c r="D54" t="s">
        <v>551</v>
      </c>
      <c r="E54">
        <v>20171</v>
      </c>
      <c r="F54" t="s">
        <v>467</v>
      </c>
      <c r="G54" t="s">
        <v>51</v>
      </c>
      <c r="H54">
        <v>3.5</v>
      </c>
      <c r="I54">
        <v>0</v>
      </c>
      <c r="J54">
        <v>20201</v>
      </c>
      <c r="K54">
        <f>COUNTIF('rEKAP kls MK'!$A$2:$A$35,Worksheet!C54)</f>
        <v>0</v>
      </c>
      <c r="L54" t="str">
        <f t="shared" si="0"/>
        <v>F1B117002</v>
      </c>
      <c r="M54" t="str">
        <f t="shared" si="1"/>
        <v>ADE PUTRA CAHYADI</v>
      </c>
      <c r="O54" t="str">
        <f t="shared" si="2"/>
        <v/>
      </c>
      <c r="P54" t="str">
        <f t="shared" si="3"/>
        <v/>
      </c>
    </row>
    <row r="55" spans="1:16">
      <c r="A55" t="s">
        <v>472</v>
      </c>
      <c r="B55" t="s">
        <v>473</v>
      </c>
      <c r="C55" t="s">
        <v>550</v>
      </c>
      <c r="D55" t="s">
        <v>551</v>
      </c>
      <c r="E55">
        <v>20171</v>
      </c>
      <c r="F55" t="s">
        <v>467</v>
      </c>
      <c r="G55" t="s">
        <v>51</v>
      </c>
      <c r="H55">
        <v>3.5</v>
      </c>
      <c r="I55">
        <v>0</v>
      </c>
      <c r="J55">
        <v>20201</v>
      </c>
      <c r="K55">
        <f>COUNTIF('rEKAP kls MK'!$A$2:$A$35,Worksheet!C55)</f>
        <v>0</v>
      </c>
      <c r="L55" t="str">
        <f t="shared" si="0"/>
        <v>F1B117003</v>
      </c>
      <c r="M55" t="str">
        <f t="shared" si="1"/>
        <v>ADELIA RIZKY FEBRIANTI</v>
      </c>
      <c r="O55" t="str">
        <f t="shared" si="2"/>
        <v/>
      </c>
      <c r="P55" t="str">
        <f t="shared" si="3"/>
        <v/>
      </c>
    </row>
    <row r="56" spans="1:16">
      <c r="A56" t="s">
        <v>474</v>
      </c>
      <c r="B56" t="s">
        <v>475</v>
      </c>
      <c r="C56" t="s">
        <v>550</v>
      </c>
      <c r="D56" t="s">
        <v>551</v>
      </c>
      <c r="E56">
        <v>20171</v>
      </c>
      <c r="F56" t="s">
        <v>467</v>
      </c>
      <c r="G56" t="s">
        <v>18</v>
      </c>
      <c r="H56">
        <v>3</v>
      </c>
      <c r="I56">
        <v>0</v>
      </c>
      <c r="J56">
        <v>20201</v>
      </c>
      <c r="K56">
        <f>COUNTIF('rEKAP kls MK'!$A$2:$A$35,Worksheet!C56)</f>
        <v>0</v>
      </c>
      <c r="L56" t="str">
        <f t="shared" si="0"/>
        <v>F1B117004</v>
      </c>
      <c r="M56" t="str">
        <f t="shared" si="1"/>
        <v>AHMAD RAJABUL AKBAR KHAIRU</v>
      </c>
      <c r="O56" t="str">
        <f t="shared" si="2"/>
        <v/>
      </c>
      <c r="P56" t="str">
        <f t="shared" si="3"/>
        <v/>
      </c>
    </row>
    <row r="57" spans="1:16">
      <c r="A57" t="s">
        <v>476</v>
      </c>
      <c r="B57" t="s">
        <v>477</v>
      </c>
      <c r="C57" t="s">
        <v>550</v>
      </c>
      <c r="D57" t="s">
        <v>551</v>
      </c>
      <c r="E57">
        <v>20171</v>
      </c>
      <c r="F57" t="s">
        <v>467</v>
      </c>
      <c r="G57" t="s">
        <v>51</v>
      </c>
      <c r="H57">
        <v>3.5</v>
      </c>
      <c r="I57">
        <v>0</v>
      </c>
      <c r="J57">
        <v>20201</v>
      </c>
      <c r="K57">
        <f>COUNTIF('rEKAP kls MK'!$A$2:$A$35,Worksheet!C57)</f>
        <v>0</v>
      </c>
      <c r="L57" t="str">
        <f t="shared" si="0"/>
        <v>F1B117005</v>
      </c>
      <c r="M57" t="str">
        <f t="shared" si="1"/>
        <v>AKBAR MAJID</v>
      </c>
      <c r="O57" t="str">
        <f t="shared" si="2"/>
        <v/>
      </c>
      <c r="P57" t="str">
        <f t="shared" si="3"/>
        <v/>
      </c>
    </row>
    <row r="58" spans="1:16">
      <c r="A58" t="s">
        <v>478</v>
      </c>
      <c r="B58" t="s">
        <v>479</v>
      </c>
      <c r="C58" t="s">
        <v>550</v>
      </c>
      <c r="D58" t="s">
        <v>551</v>
      </c>
      <c r="E58">
        <v>20171</v>
      </c>
      <c r="F58" t="s">
        <v>467</v>
      </c>
      <c r="G58" t="s">
        <v>18</v>
      </c>
      <c r="H58">
        <v>3</v>
      </c>
      <c r="I58">
        <v>0</v>
      </c>
      <c r="J58">
        <v>20201</v>
      </c>
      <c r="K58">
        <f>COUNTIF('rEKAP kls MK'!$A$2:$A$35,Worksheet!C58)</f>
        <v>0</v>
      </c>
      <c r="L58" t="str">
        <f t="shared" si="0"/>
        <v>F1B117006</v>
      </c>
      <c r="M58" t="str">
        <f t="shared" si="1"/>
        <v>ANDI MUHAMAD HANIF</v>
      </c>
      <c r="O58" t="str">
        <f t="shared" si="2"/>
        <v/>
      </c>
      <c r="P58" t="str">
        <f t="shared" si="3"/>
        <v/>
      </c>
    </row>
    <row r="59" spans="1:16">
      <c r="A59" t="s">
        <v>480</v>
      </c>
      <c r="B59" t="s">
        <v>481</v>
      </c>
      <c r="C59" t="s">
        <v>550</v>
      </c>
      <c r="D59" t="s">
        <v>551</v>
      </c>
      <c r="E59">
        <v>20171</v>
      </c>
      <c r="F59" t="s">
        <v>467</v>
      </c>
      <c r="G59" t="s">
        <v>18</v>
      </c>
      <c r="H59">
        <v>3</v>
      </c>
      <c r="I59">
        <v>0</v>
      </c>
      <c r="J59">
        <v>20201</v>
      </c>
      <c r="K59">
        <f>COUNTIF('rEKAP kls MK'!$A$2:$A$35,Worksheet!C59)</f>
        <v>0</v>
      </c>
      <c r="L59" t="str">
        <f t="shared" si="0"/>
        <v>F1B117007</v>
      </c>
      <c r="M59" t="str">
        <f t="shared" si="1"/>
        <v>ANDIKA RAHMAN</v>
      </c>
      <c r="O59" t="str">
        <f t="shared" si="2"/>
        <v/>
      </c>
      <c r="P59" t="str">
        <f t="shared" si="3"/>
        <v/>
      </c>
    </row>
    <row r="60" spans="1:16">
      <c r="A60" t="s">
        <v>482</v>
      </c>
      <c r="B60" t="s">
        <v>483</v>
      </c>
      <c r="C60" t="s">
        <v>550</v>
      </c>
      <c r="D60" t="s">
        <v>551</v>
      </c>
      <c r="E60">
        <v>20171</v>
      </c>
      <c r="F60" t="s">
        <v>467</v>
      </c>
      <c r="G60" t="s">
        <v>51</v>
      </c>
      <c r="H60">
        <v>3.5</v>
      </c>
      <c r="I60">
        <v>0</v>
      </c>
      <c r="J60">
        <v>20201</v>
      </c>
      <c r="K60">
        <f>COUNTIF('rEKAP kls MK'!$A$2:$A$35,Worksheet!C60)</f>
        <v>0</v>
      </c>
      <c r="L60" t="str">
        <f t="shared" si="0"/>
        <v>F1B117008</v>
      </c>
      <c r="M60" t="str">
        <f t="shared" si="1"/>
        <v>ANDRE PRATAMA</v>
      </c>
      <c r="O60" t="str">
        <f t="shared" si="2"/>
        <v/>
      </c>
      <c r="P60" t="str">
        <f t="shared" si="3"/>
        <v/>
      </c>
    </row>
    <row r="61" spans="1:16">
      <c r="A61" t="s">
        <v>484</v>
      </c>
      <c r="B61" t="s">
        <v>485</v>
      </c>
      <c r="C61" t="s">
        <v>550</v>
      </c>
      <c r="D61" t="s">
        <v>551</v>
      </c>
      <c r="E61">
        <v>20171</v>
      </c>
      <c r="F61" t="s">
        <v>467</v>
      </c>
      <c r="G61" t="s">
        <v>18</v>
      </c>
      <c r="H61">
        <v>3</v>
      </c>
      <c r="I61">
        <v>0</v>
      </c>
      <c r="J61">
        <v>20201</v>
      </c>
      <c r="K61">
        <f>COUNTIF('rEKAP kls MK'!$A$2:$A$35,Worksheet!C61)</f>
        <v>0</v>
      </c>
      <c r="L61" t="str">
        <f t="shared" si="0"/>
        <v>F1B117009</v>
      </c>
      <c r="M61" t="str">
        <f t="shared" si="1"/>
        <v>ANDREAN EKO RAMADHAN</v>
      </c>
      <c r="O61" t="str">
        <f t="shared" si="2"/>
        <v/>
      </c>
      <c r="P61" t="str">
        <f t="shared" si="3"/>
        <v/>
      </c>
    </row>
    <row r="62" spans="1:16">
      <c r="A62" t="s">
        <v>486</v>
      </c>
      <c r="B62" t="s">
        <v>487</v>
      </c>
      <c r="C62" t="s">
        <v>550</v>
      </c>
      <c r="D62" t="s">
        <v>551</v>
      </c>
      <c r="E62">
        <v>20171</v>
      </c>
      <c r="F62" t="s">
        <v>467</v>
      </c>
      <c r="G62" t="s">
        <v>18</v>
      </c>
      <c r="H62">
        <v>3</v>
      </c>
      <c r="I62">
        <v>0</v>
      </c>
      <c r="J62">
        <v>20201</v>
      </c>
      <c r="K62">
        <f>COUNTIF('rEKAP kls MK'!$A$2:$A$35,Worksheet!C62)</f>
        <v>0</v>
      </c>
      <c r="L62" t="str">
        <f t="shared" si="0"/>
        <v>F1B117010</v>
      </c>
      <c r="M62" t="str">
        <f t="shared" si="1"/>
        <v>ARGA SUTRI PRATAMA</v>
      </c>
      <c r="O62" t="str">
        <f t="shared" si="2"/>
        <v/>
      </c>
      <c r="P62" t="str">
        <f t="shared" si="3"/>
        <v/>
      </c>
    </row>
    <row r="63" spans="1:16">
      <c r="A63" t="s">
        <v>488</v>
      </c>
      <c r="B63" t="s">
        <v>489</v>
      </c>
      <c r="C63" t="s">
        <v>550</v>
      </c>
      <c r="D63" t="s">
        <v>551</v>
      </c>
      <c r="E63">
        <v>20171</v>
      </c>
      <c r="F63" t="s">
        <v>467</v>
      </c>
      <c r="G63" t="s">
        <v>18</v>
      </c>
      <c r="H63">
        <v>3</v>
      </c>
      <c r="I63">
        <v>0</v>
      </c>
      <c r="J63">
        <v>20201</v>
      </c>
      <c r="K63">
        <f>COUNTIF('rEKAP kls MK'!$A$2:$A$35,Worksheet!C63)</f>
        <v>0</v>
      </c>
      <c r="L63" t="str">
        <f t="shared" si="0"/>
        <v>F1B117011</v>
      </c>
      <c r="M63" t="str">
        <f t="shared" si="1"/>
        <v>BAYU ADE SURYA</v>
      </c>
      <c r="O63" t="str">
        <f t="shared" si="2"/>
        <v/>
      </c>
      <c r="P63" t="str">
        <f t="shared" si="3"/>
        <v/>
      </c>
    </row>
    <row r="64" spans="1:16">
      <c r="A64" t="s">
        <v>490</v>
      </c>
      <c r="B64" t="s">
        <v>491</v>
      </c>
      <c r="C64" t="s">
        <v>550</v>
      </c>
      <c r="D64" t="s">
        <v>551</v>
      </c>
      <c r="E64">
        <v>20171</v>
      </c>
      <c r="F64" t="s">
        <v>467</v>
      </c>
      <c r="G64" t="s">
        <v>51</v>
      </c>
      <c r="H64">
        <v>3.5</v>
      </c>
      <c r="I64">
        <v>0</v>
      </c>
      <c r="J64">
        <v>20201</v>
      </c>
      <c r="K64">
        <f>COUNTIF('rEKAP kls MK'!$A$2:$A$35,Worksheet!C64)</f>
        <v>0</v>
      </c>
      <c r="L64" t="str">
        <f t="shared" si="0"/>
        <v>F1B117012</v>
      </c>
      <c r="M64" t="str">
        <f t="shared" si="1"/>
        <v>ERLAN BAHTIAR</v>
      </c>
      <c r="O64" t="str">
        <f t="shared" si="2"/>
        <v/>
      </c>
      <c r="P64" t="str">
        <f t="shared" si="3"/>
        <v/>
      </c>
    </row>
    <row r="65" spans="1:16">
      <c r="A65" t="s">
        <v>492</v>
      </c>
      <c r="B65" t="s">
        <v>493</v>
      </c>
      <c r="C65" t="s">
        <v>550</v>
      </c>
      <c r="D65" t="s">
        <v>551</v>
      </c>
      <c r="E65">
        <v>20171</v>
      </c>
      <c r="F65" t="s">
        <v>467</v>
      </c>
      <c r="G65" t="s">
        <v>51</v>
      </c>
      <c r="H65">
        <v>3.5</v>
      </c>
      <c r="I65">
        <v>0</v>
      </c>
      <c r="J65">
        <v>20201</v>
      </c>
      <c r="K65">
        <f>COUNTIF('rEKAP kls MK'!$A$2:$A$35,Worksheet!C65)</f>
        <v>0</v>
      </c>
      <c r="L65" t="str">
        <f t="shared" si="0"/>
        <v>F1B117013</v>
      </c>
      <c r="M65" t="str">
        <f t="shared" si="1"/>
        <v>FADHLI EKO PRASETYO</v>
      </c>
      <c r="O65" t="str">
        <f t="shared" si="2"/>
        <v/>
      </c>
      <c r="P65" t="str">
        <f t="shared" si="3"/>
        <v/>
      </c>
    </row>
    <row r="66" spans="1:16">
      <c r="A66" t="s">
        <v>494</v>
      </c>
      <c r="B66" t="s">
        <v>495</v>
      </c>
      <c r="C66" t="s">
        <v>550</v>
      </c>
      <c r="D66" t="s">
        <v>551</v>
      </c>
      <c r="E66">
        <v>20171</v>
      </c>
      <c r="F66" t="s">
        <v>467</v>
      </c>
      <c r="G66" t="s">
        <v>51</v>
      </c>
      <c r="H66">
        <v>3.5</v>
      </c>
      <c r="I66">
        <v>0</v>
      </c>
      <c r="J66">
        <v>20201</v>
      </c>
      <c r="K66">
        <f>COUNTIF('rEKAP kls MK'!$A$2:$A$35,Worksheet!C66)</f>
        <v>0</v>
      </c>
      <c r="L66" t="str">
        <f t="shared" si="0"/>
        <v>F1B117014</v>
      </c>
      <c r="M66" t="str">
        <f t="shared" si="1"/>
        <v>FANNY WINDARY BATANIA</v>
      </c>
      <c r="O66" t="str">
        <f t="shared" si="2"/>
        <v/>
      </c>
      <c r="P66" t="str">
        <f t="shared" si="3"/>
        <v/>
      </c>
    </row>
    <row r="67" spans="1:16">
      <c r="A67" t="s">
        <v>496</v>
      </c>
      <c r="B67" t="s">
        <v>497</v>
      </c>
      <c r="C67" t="s">
        <v>550</v>
      </c>
      <c r="D67" t="s">
        <v>551</v>
      </c>
      <c r="E67">
        <v>20171</v>
      </c>
      <c r="F67" t="s">
        <v>467</v>
      </c>
      <c r="G67" t="s">
        <v>18</v>
      </c>
      <c r="H67">
        <v>3</v>
      </c>
      <c r="I67">
        <v>0</v>
      </c>
      <c r="J67">
        <v>20201</v>
      </c>
      <c r="K67">
        <f>COUNTIF('rEKAP kls MK'!$A$2:$A$35,Worksheet!C67)</f>
        <v>0</v>
      </c>
      <c r="L67" t="str">
        <f t="shared" ref="L67:L130" si="4">IF(A66&lt;&gt;A67,A67,"")</f>
        <v>F1B117015</v>
      </c>
      <c r="M67" t="str">
        <f t="shared" ref="M67:M130" si="5">IF(B66&lt;&gt;B67,B67,"")</f>
        <v>GALI GALUH SAKTI</v>
      </c>
      <c r="O67" t="str">
        <f t="shared" ref="O67:O130" si="6">IF(D66&lt;&gt;D67,D67,"")</f>
        <v/>
      </c>
      <c r="P67" t="str">
        <f t="shared" ref="P67:P130" si="7">IF(F66&lt;&gt;F67,F67,"")</f>
        <v/>
      </c>
    </row>
    <row r="68" spans="1:16">
      <c r="A68" t="s">
        <v>498</v>
      </c>
      <c r="B68" t="s">
        <v>499</v>
      </c>
      <c r="C68" t="s">
        <v>550</v>
      </c>
      <c r="D68" t="s">
        <v>551</v>
      </c>
      <c r="E68">
        <v>20171</v>
      </c>
      <c r="F68" t="s">
        <v>467</v>
      </c>
      <c r="G68" t="s">
        <v>18</v>
      </c>
      <c r="H68">
        <v>3</v>
      </c>
      <c r="I68">
        <v>0</v>
      </c>
      <c r="J68">
        <v>20201</v>
      </c>
      <c r="K68">
        <f>COUNTIF('rEKAP kls MK'!$A$2:$A$35,Worksheet!C68)</f>
        <v>0</v>
      </c>
      <c r="L68" t="str">
        <f t="shared" si="4"/>
        <v>F1B117016</v>
      </c>
      <c r="M68" t="str">
        <f t="shared" si="5"/>
        <v>GAUSS NUR SALAM</v>
      </c>
      <c r="O68" t="str">
        <f t="shared" si="6"/>
        <v/>
      </c>
      <c r="P68" t="str">
        <f t="shared" si="7"/>
        <v/>
      </c>
    </row>
    <row r="69" spans="1:16">
      <c r="A69" t="s">
        <v>500</v>
      </c>
      <c r="B69" t="s">
        <v>501</v>
      </c>
      <c r="C69" t="s">
        <v>550</v>
      </c>
      <c r="D69" t="s">
        <v>551</v>
      </c>
      <c r="E69">
        <v>20171</v>
      </c>
      <c r="F69" t="s">
        <v>467</v>
      </c>
      <c r="G69" t="s">
        <v>82</v>
      </c>
      <c r="H69">
        <v>4</v>
      </c>
      <c r="I69">
        <v>0</v>
      </c>
      <c r="J69">
        <v>20201</v>
      </c>
      <c r="K69">
        <f>COUNTIF('rEKAP kls MK'!$A$2:$A$35,Worksheet!C69)</f>
        <v>0</v>
      </c>
      <c r="L69" t="str">
        <f t="shared" si="4"/>
        <v>F1B117017</v>
      </c>
      <c r="M69" t="str">
        <f t="shared" si="5"/>
        <v>HELMY AMALIA ARIESTA</v>
      </c>
      <c r="O69" t="str">
        <f t="shared" si="6"/>
        <v/>
      </c>
      <c r="P69" t="str">
        <f t="shared" si="7"/>
        <v/>
      </c>
    </row>
    <row r="70" spans="1:16">
      <c r="A70" t="s">
        <v>502</v>
      </c>
      <c r="B70" t="s">
        <v>503</v>
      </c>
      <c r="C70" t="s">
        <v>550</v>
      </c>
      <c r="D70" t="s">
        <v>551</v>
      </c>
      <c r="E70">
        <v>20171</v>
      </c>
      <c r="F70" t="s">
        <v>467</v>
      </c>
      <c r="G70" t="s">
        <v>51</v>
      </c>
      <c r="H70">
        <v>3.5</v>
      </c>
      <c r="I70">
        <v>0</v>
      </c>
      <c r="J70">
        <v>20201</v>
      </c>
      <c r="K70">
        <f>COUNTIF('rEKAP kls MK'!$A$2:$A$35,Worksheet!C70)</f>
        <v>0</v>
      </c>
      <c r="L70" t="str">
        <f t="shared" si="4"/>
        <v>F1B117018</v>
      </c>
      <c r="M70" t="str">
        <f t="shared" si="5"/>
        <v>ILHAM MUHAMMAD</v>
      </c>
      <c r="O70" t="str">
        <f t="shared" si="6"/>
        <v/>
      </c>
      <c r="P70" t="str">
        <f t="shared" si="7"/>
        <v/>
      </c>
    </row>
    <row r="71" spans="1:16">
      <c r="A71" t="s">
        <v>504</v>
      </c>
      <c r="B71" t="s">
        <v>505</v>
      </c>
      <c r="C71" t="s">
        <v>550</v>
      </c>
      <c r="D71" t="s">
        <v>551</v>
      </c>
      <c r="E71">
        <v>20171</v>
      </c>
      <c r="F71" t="s">
        <v>467</v>
      </c>
      <c r="G71" t="s">
        <v>18</v>
      </c>
      <c r="H71">
        <v>3</v>
      </c>
      <c r="I71">
        <v>0</v>
      </c>
      <c r="J71">
        <v>20201</v>
      </c>
      <c r="K71">
        <f>COUNTIF('rEKAP kls MK'!$A$2:$A$35,Worksheet!C71)</f>
        <v>0</v>
      </c>
      <c r="L71" t="str">
        <f t="shared" si="4"/>
        <v>F1B117019</v>
      </c>
      <c r="M71" t="str">
        <f t="shared" si="5"/>
        <v>KHAIRUL MUAMALAH</v>
      </c>
      <c r="O71" t="str">
        <f t="shared" si="6"/>
        <v/>
      </c>
      <c r="P71" t="str">
        <f t="shared" si="7"/>
        <v/>
      </c>
    </row>
    <row r="72" spans="1:16">
      <c r="A72" t="s">
        <v>506</v>
      </c>
      <c r="B72" t="s">
        <v>507</v>
      </c>
      <c r="C72" t="s">
        <v>550</v>
      </c>
      <c r="D72" t="s">
        <v>551</v>
      </c>
      <c r="E72">
        <v>20171</v>
      </c>
      <c r="F72" t="s">
        <v>467</v>
      </c>
      <c r="G72" t="s">
        <v>23</v>
      </c>
      <c r="H72">
        <v>2.5</v>
      </c>
      <c r="I72">
        <v>0</v>
      </c>
      <c r="J72">
        <v>20201</v>
      </c>
      <c r="K72">
        <f>COUNTIF('rEKAP kls MK'!$A$2:$A$35,Worksheet!C72)</f>
        <v>0</v>
      </c>
      <c r="L72" t="str">
        <f t="shared" si="4"/>
        <v>F1B117020</v>
      </c>
      <c r="M72" t="str">
        <f t="shared" si="5"/>
        <v>LENKA AURELIE YUDHISTIRA</v>
      </c>
      <c r="O72" t="str">
        <f t="shared" si="6"/>
        <v/>
      </c>
      <c r="P72" t="str">
        <f t="shared" si="7"/>
        <v/>
      </c>
    </row>
    <row r="73" spans="1:16">
      <c r="A73" t="s">
        <v>508</v>
      </c>
      <c r="B73" t="s">
        <v>509</v>
      </c>
      <c r="C73" t="s">
        <v>550</v>
      </c>
      <c r="D73" t="s">
        <v>551</v>
      </c>
      <c r="E73">
        <v>20171</v>
      </c>
      <c r="F73" t="s">
        <v>467</v>
      </c>
      <c r="G73" t="s">
        <v>18</v>
      </c>
      <c r="H73">
        <v>3</v>
      </c>
      <c r="I73">
        <v>0</v>
      </c>
      <c r="J73">
        <v>20201</v>
      </c>
      <c r="K73">
        <f>COUNTIF('rEKAP kls MK'!$A$2:$A$35,Worksheet!C73)</f>
        <v>0</v>
      </c>
      <c r="L73" t="str">
        <f t="shared" si="4"/>
        <v>F1B117021</v>
      </c>
      <c r="M73" t="str">
        <f t="shared" si="5"/>
        <v>M. AL ZAIDIN</v>
      </c>
      <c r="O73" t="str">
        <f t="shared" si="6"/>
        <v/>
      </c>
      <c r="P73" t="str">
        <f t="shared" si="7"/>
        <v/>
      </c>
    </row>
    <row r="74" spans="1:16">
      <c r="A74" t="s">
        <v>510</v>
      </c>
      <c r="B74" t="s">
        <v>511</v>
      </c>
      <c r="C74" t="s">
        <v>550</v>
      </c>
      <c r="D74" t="s">
        <v>551</v>
      </c>
      <c r="E74">
        <v>20171</v>
      </c>
      <c r="F74" t="s">
        <v>467</v>
      </c>
      <c r="G74" t="s">
        <v>51</v>
      </c>
      <c r="H74">
        <v>3.5</v>
      </c>
      <c r="I74">
        <v>0</v>
      </c>
      <c r="J74">
        <v>20201</v>
      </c>
      <c r="K74">
        <f>COUNTIF('rEKAP kls MK'!$A$2:$A$35,Worksheet!C74)</f>
        <v>0</v>
      </c>
      <c r="L74" t="str">
        <f t="shared" si="4"/>
        <v>F1B117022</v>
      </c>
      <c r="M74" t="str">
        <f t="shared" si="5"/>
        <v>M. FAUZUL AKBAR</v>
      </c>
      <c r="O74" t="str">
        <f t="shared" si="6"/>
        <v/>
      </c>
      <c r="P74" t="str">
        <f t="shared" si="7"/>
        <v/>
      </c>
    </row>
    <row r="75" spans="1:16">
      <c r="A75" t="s">
        <v>512</v>
      </c>
      <c r="B75" t="s">
        <v>513</v>
      </c>
      <c r="C75" t="s">
        <v>550</v>
      </c>
      <c r="D75" t="s">
        <v>551</v>
      </c>
      <c r="E75">
        <v>20171</v>
      </c>
      <c r="F75" t="s">
        <v>467</v>
      </c>
      <c r="G75" t="s">
        <v>23</v>
      </c>
      <c r="H75">
        <v>2.5</v>
      </c>
      <c r="I75">
        <v>0</v>
      </c>
      <c r="J75">
        <v>20201</v>
      </c>
      <c r="K75">
        <f>COUNTIF('rEKAP kls MK'!$A$2:$A$35,Worksheet!C75)</f>
        <v>0</v>
      </c>
      <c r="L75" t="str">
        <f t="shared" si="4"/>
        <v>F1B117023</v>
      </c>
      <c r="M75" t="str">
        <f t="shared" si="5"/>
        <v>M.FAISAL</v>
      </c>
      <c r="O75" t="str">
        <f t="shared" si="6"/>
        <v/>
      </c>
      <c r="P75" t="str">
        <f t="shared" si="7"/>
        <v/>
      </c>
    </row>
    <row r="76" spans="1:16">
      <c r="A76" t="s">
        <v>514</v>
      </c>
      <c r="B76" t="s">
        <v>515</v>
      </c>
      <c r="C76" t="s">
        <v>550</v>
      </c>
      <c r="D76" t="s">
        <v>551</v>
      </c>
      <c r="E76">
        <v>20171</v>
      </c>
      <c r="F76" t="s">
        <v>467</v>
      </c>
      <c r="G76" t="s">
        <v>82</v>
      </c>
      <c r="H76">
        <v>4</v>
      </c>
      <c r="I76">
        <v>0</v>
      </c>
      <c r="J76">
        <v>20201</v>
      </c>
      <c r="K76">
        <f>COUNTIF('rEKAP kls MK'!$A$2:$A$35,Worksheet!C76)</f>
        <v>0</v>
      </c>
      <c r="L76" t="str">
        <f t="shared" si="4"/>
        <v>F1B117024</v>
      </c>
      <c r="M76" t="str">
        <f t="shared" si="5"/>
        <v>MUH. RISKI RAMADHAN</v>
      </c>
      <c r="O76" t="str">
        <f t="shared" si="6"/>
        <v/>
      </c>
      <c r="P76" t="str">
        <f t="shared" si="7"/>
        <v/>
      </c>
    </row>
    <row r="77" spans="1:16">
      <c r="A77" t="s">
        <v>516</v>
      </c>
      <c r="B77" t="s">
        <v>517</v>
      </c>
      <c r="C77" t="s">
        <v>550</v>
      </c>
      <c r="D77" t="s">
        <v>551</v>
      </c>
      <c r="E77">
        <v>20171</v>
      </c>
      <c r="F77" t="s">
        <v>467</v>
      </c>
      <c r="G77" t="s">
        <v>18</v>
      </c>
      <c r="H77">
        <v>3</v>
      </c>
      <c r="I77">
        <v>0</v>
      </c>
      <c r="J77">
        <v>20201</v>
      </c>
      <c r="K77">
        <f>COUNTIF('rEKAP kls MK'!$A$2:$A$35,Worksheet!C77)</f>
        <v>0</v>
      </c>
      <c r="L77" t="str">
        <f t="shared" si="4"/>
        <v>F1B117025</v>
      </c>
      <c r="M77" t="str">
        <f t="shared" si="5"/>
        <v>MUH. SALDA WINTARA</v>
      </c>
      <c r="O77" t="str">
        <f t="shared" si="6"/>
        <v/>
      </c>
      <c r="P77" t="str">
        <f t="shared" si="7"/>
        <v/>
      </c>
    </row>
    <row r="78" spans="1:16">
      <c r="A78" t="s">
        <v>518</v>
      </c>
      <c r="B78" t="s">
        <v>519</v>
      </c>
      <c r="C78" t="s">
        <v>550</v>
      </c>
      <c r="D78" t="s">
        <v>551</v>
      </c>
      <c r="E78">
        <v>20171</v>
      </c>
      <c r="F78" t="s">
        <v>467</v>
      </c>
      <c r="G78" t="s">
        <v>23</v>
      </c>
      <c r="H78">
        <v>2.5</v>
      </c>
      <c r="I78">
        <v>0</v>
      </c>
      <c r="J78">
        <v>20201</v>
      </c>
      <c r="K78">
        <f>COUNTIF('rEKAP kls MK'!$A$2:$A$35,Worksheet!C78)</f>
        <v>0</v>
      </c>
      <c r="L78" t="str">
        <f t="shared" si="4"/>
        <v>F1B117026</v>
      </c>
      <c r="M78" t="str">
        <f t="shared" si="5"/>
        <v>MUHAMMAD KHAIRUL HADI SYURAHMAN</v>
      </c>
      <c r="O78" t="str">
        <f t="shared" si="6"/>
        <v/>
      </c>
      <c r="P78" t="str">
        <f t="shared" si="7"/>
        <v/>
      </c>
    </row>
    <row r="79" spans="1:16">
      <c r="A79" t="s">
        <v>520</v>
      </c>
      <c r="B79" t="s">
        <v>521</v>
      </c>
      <c r="C79" t="s">
        <v>550</v>
      </c>
      <c r="D79" t="s">
        <v>551</v>
      </c>
      <c r="E79">
        <v>20171</v>
      </c>
      <c r="F79" t="s">
        <v>467</v>
      </c>
      <c r="G79" t="s">
        <v>51</v>
      </c>
      <c r="H79">
        <v>3.5</v>
      </c>
      <c r="I79">
        <v>0</v>
      </c>
      <c r="J79">
        <v>20201</v>
      </c>
      <c r="K79">
        <f>COUNTIF('rEKAP kls MK'!$A$2:$A$35,Worksheet!C79)</f>
        <v>0</v>
      </c>
      <c r="L79" t="str">
        <f t="shared" si="4"/>
        <v>F1B117027</v>
      </c>
      <c r="M79" t="str">
        <f t="shared" si="5"/>
        <v>MUHAMMAD MUKALLIBIN</v>
      </c>
      <c r="O79" t="str">
        <f t="shared" si="6"/>
        <v/>
      </c>
      <c r="P79" t="str">
        <f t="shared" si="7"/>
        <v/>
      </c>
    </row>
    <row r="80" spans="1:16">
      <c r="A80" t="s">
        <v>522</v>
      </c>
      <c r="B80" t="s">
        <v>523</v>
      </c>
      <c r="C80" t="s">
        <v>550</v>
      </c>
      <c r="D80" t="s">
        <v>551</v>
      </c>
      <c r="E80">
        <v>20171</v>
      </c>
      <c r="F80" t="s">
        <v>467</v>
      </c>
      <c r="G80" t="s">
        <v>51</v>
      </c>
      <c r="H80">
        <v>3.5</v>
      </c>
      <c r="I80">
        <v>0</v>
      </c>
      <c r="J80">
        <v>20201</v>
      </c>
      <c r="K80">
        <f>COUNTIF('rEKAP kls MK'!$A$2:$A$35,Worksheet!C80)</f>
        <v>0</v>
      </c>
      <c r="L80" t="str">
        <f t="shared" si="4"/>
        <v>F1B117028</v>
      </c>
      <c r="M80" t="str">
        <f t="shared" si="5"/>
        <v>MUHAMMAD NABIL</v>
      </c>
      <c r="O80" t="str">
        <f t="shared" si="6"/>
        <v/>
      </c>
      <c r="P80" t="str">
        <f t="shared" si="7"/>
        <v/>
      </c>
    </row>
    <row r="81" spans="1:16">
      <c r="A81" t="s">
        <v>524</v>
      </c>
      <c r="B81" t="s">
        <v>525</v>
      </c>
      <c r="C81" t="s">
        <v>550</v>
      </c>
      <c r="D81" t="s">
        <v>551</v>
      </c>
      <c r="E81">
        <v>20171</v>
      </c>
      <c r="F81" t="s">
        <v>467</v>
      </c>
      <c r="G81" t="s">
        <v>18</v>
      </c>
      <c r="H81">
        <v>3</v>
      </c>
      <c r="I81">
        <v>0</v>
      </c>
      <c r="J81">
        <v>20201</v>
      </c>
      <c r="K81">
        <f>COUNTIF('rEKAP kls MK'!$A$2:$A$35,Worksheet!C81)</f>
        <v>0</v>
      </c>
      <c r="L81" t="str">
        <f t="shared" si="4"/>
        <v>F1B117029</v>
      </c>
      <c r="M81" t="str">
        <f t="shared" si="5"/>
        <v>MUHAMMAD THORIQ DWI SETYAWAN</v>
      </c>
      <c r="O81" t="str">
        <f t="shared" si="6"/>
        <v/>
      </c>
      <c r="P81" t="str">
        <f t="shared" si="7"/>
        <v/>
      </c>
    </row>
    <row r="82" spans="1:16">
      <c r="A82" t="s">
        <v>526</v>
      </c>
      <c r="B82" t="s">
        <v>527</v>
      </c>
      <c r="C82" t="s">
        <v>550</v>
      </c>
      <c r="D82" t="s">
        <v>551</v>
      </c>
      <c r="E82">
        <v>20171</v>
      </c>
      <c r="F82" t="s">
        <v>467</v>
      </c>
      <c r="G82" t="s">
        <v>18</v>
      </c>
      <c r="H82">
        <v>3</v>
      </c>
      <c r="I82">
        <v>0</v>
      </c>
      <c r="J82">
        <v>20201</v>
      </c>
      <c r="K82">
        <f>COUNTIF('rEKAP kls MK'!$A$2:$A$35,Worksheet!C82)</f>
        <v>0</v>
      </c>
      <c r="L82" t="str">
        <f t="shared" si="4"/>
        <v>F1B117030</v>
      </c>
      <c r="M82" t="str">
        <f t="shared" si="5"/>
        <v>NURAFRINA</v>
      </c>
      <c r="O82" t="str">
        <f t="shared" si="6"/>
        <v/>
      </c>
      <c r="P82" t="str">
        <f t="shared" si="7"/>
        <v/>
      </c>
    </row>
    <row r="83" spans="1:16">
      <c r="A83" t="s">
        <v>528</v>
      </c>
      <c r="B83" t="s">
        <v>529</v>
      </c>
      <c r="C83" t="s">
        <v>550</v>
      </c>
      <c r="D83" t="s">
        <v>551</v>
      </c>
      <c r="E83">
        <v>20171</v>
      </c>
      <c r="F83" t="s">
        <v>467</v>
      </c>
      <c r="G83" t="s">
        <v>18</v>
      </c>
      <c r="H83">
        <v>3</v>
      </c>
      <c r="I83">
        <v>0</v>
      </c>
      <c r="J83">
        <v>20201</v>
      </c>
      <c r="K83">
        <f>COUNTIF('rEKAP kls MK'!$A$2:$A$35,Worksheet!C83)</f>
        <v>0</v>
      </c>
      <c r="L83" t="str">
        <f t="shared" si="4"/>
        <v>F1B117031</v>
      </c>
      <c r="M83" t="str">
        <f t="shared" si="5"/>
        <v>RAHMAT ADITYA PRADANA</v>
      </c>
      <c r="O83" t="str">
        <f t="shared" si="6"/>
        <v/>
      </c>
      <c r="P83" t="str">
        <f t="shared" si="7"/>
        <v/>
      </c>
    </row>
    <row r="84" spans="1:16">
      <c r="A84" t="s">
        <v>530</v>
      </c>
      <c r="B84" t="s">
        <v>531</v>
      </c>
      <c r="C84" t="s">
        <v>550</v>
      </c>
      <c r="D84" t="s">
        <v>551</v>
      </c>
      <c r="E84">
        <v>20171</v>
      </c>
      <c r="F84" t="s">
        <v>467</v>
      </c>
      <c r="G84" t="s">
        <v>51</v>
      </c>
      <c r="H84">
        <v>3.5</v>
      </c>
      <c r="I84">
        <v>0</v>
      </c>
      <c r="J84">
        <v>20201</v>
      </c>
      <c r="K84">
        <f>COUNTIF('rEKAP kls MK'!$A$2:$A$35,Worksheet!C84)</f>
        <v>0</v>
      </c>
      <c r="L84" t="str">
        <f t="shared" si="4"/>
        <v>F1B117032</v>
      </c>
      <c r="M84" t="str">
        <f t="shared" si="5"/>
        <v>RAMZY TAUFIQ HANIF</v>
      </c>
      <c r="O84" t="str">
        <f t="shared" si="6"/>
        <v/>
      </c>
      <c r="P84" t="str">
        <f t="shared" si="7"/>
        <v/>
      </c>
    </row>
    <row r="85" spans="1:16">
      <c r="A85" t="s">
        <v>532</v>
      </c>
      <c r="B85" t="s">
        <v>533</v>
      </c>
      <c r="C85" t="s">
        <v>550</v>
      </c>
      <c r="D85" t="s">
        <v>551</v>
      </c>
      <c r="E85">
        <v>20171</v>
      </c>
      <c r="F85" t="s">
        <v>467</v>
      </c>
      <c r="G85" t="s">
        <v>18</v>
      </c>
      <c r="H85">
        <v>3</v>
      </c>
      <c r="I85">
        <v>0</v>
      </c>
      <c r="J85">
        <v>20201</v>
      </c>
      <c r="K85">
        <f>COUNTIF('rEKAP kls MK'!$A$2:$A$35,Worksheet!C85)</f>
        <v>0</v>
      </c>
      <c r="L85" t="str">
        <f t="shared" si="4"/>
        <v>F1B117033</v>
      </c>
      <c r="M85" t="str">
        <f t="shared" si="5"/>
        <v>RIAN HENDRAWAN</v>
      </c>
      <c r="O85" t="str">
        <f t="shared" si="6"/>
        <v/>
      </c>
      <c r="P85" t="str">
        <f t="shared" si="7"/>
        <v/>
      </c>
    </row>
    <row r="86" spans="1:16">
      <c r="A86" t="s">
        <v>534</v>
      </c>
      <c r="B86" t="s">
        <v>535</v>
      </c>
      <c r="C86" t="s">
        <v>550</v>
      </c>
      <c r="D86" t="s">
        <v>551</v>
      </c>
      <c r="E86">
        <v>20171</v>
      </c>
      <c r="F86" t="s">
        <v>467</v>
      </c>
      <c r="G86" t="s">
        <v>51</v>
      </c>
      <c r="H86">
        <v>3.5</v>
      </c>
      <c r="I86">
        <v>0</v>
      </c>
      <c r="J86">
        <v>20201</v>
      </c>
      <c r="K86">
        <f>COUNTIF('rEKAP kls MK'!$A$2:$A$35,Worksheet!C86)</f>
        <v>0</v>
      </c>
      <c r="L86" t="str">
        <f t="shared" si="4"/>
        <v>F1B117034</v>
      </c>
      <c r="M86" t="str">
        <f t="shared" si="5"/>
        <v>RISKI KHARISMA PUTRA</v>
      </c>
      <c r="O86" t="str">
        <f t="shared" si="6"/>
        <v/>
      </c>
      <c r="P86" t="str">
        <f t="shared" si="7"/>
        <v/>
      </c>
    </row>
    <row r="87" spans="1:16">
      <c r="A87" t="s">
        <v>536</v>
      </c>
      <c r="B87" t="s">
        <v>537</v>
      </c>
      <c r="C87" t="s">
        <v>550</v>
      </c>
      <c r="D87" t="s">
        <v>551</v>
      </c>
      <c r="E87">
        <v>20171</v>
      </c>
      <c r="F87" t="s">
        <v>467</v>
      </c>
      <c r="G87" t="s">
        <v>51</v>
      </c>
      <c r="H87">
        <v>3.5</v>
      </c>
      <c r="I87">
        <v>0</v>
      </c>
      <c r="J87">
        <v>20201</v>
      </c>
      <c r="K87">
        <f>COUNTIF('rEKAP kls MK'!$A$2:$A$35,Worksheet!C87)</f>
        <v>0</v>
      </c>
      <c r="L87" t="str">
        <f t="shared" si="4"/>
        <v>F1B117035</v>
      </c>
      <c r="M87" t="str">
        <f t="shared" si="5"/>
        <v>RIZALUL HAQ</v>
      </c>
      <c r="O87" t="str">
        <f t="shared" si="6"/>
        <v/>
      </c>
      <c r="P87" t="str">
        <f t="shared" si="7"/>
        <v/>
      </c>
    </row>
    <row r="88" spans="1:16">
      <c r="A88" t="s">
        <v>538</v>
      </c>
      <c r="B88" t="s">
        <v>539</v>
      </c>
      <c r="C88" t="s">
        <v>550</v>
      </c>
      <c r="D88" t="s">
        <v>551</v>
      </c>
      <c r="E88">
        <v>20171</v>
      </c>
      <c r="F88" t="s">
        <v>467</v>
      </c>
      <c r="G88" t="s">
        <v>18</v>
      </c>
      <c r="H88">
        <v>3</v>
      </c>
      <c r="I88">
        <v>0</v>
      </c>
      <c r="J88">
        <v>20201</v>
      </c>
      <c r="K88">
        <f>COUNTIF('rEKAP kls MK'!$A$2:$A$35,Worksheet!C88)</f>
        <v>0</v>
      </c>
      <c r="L88" t="str">
        <f t="shared" si="4"/>
        <v>F1B117036</v>
      </c>
      <c r="M88" t="str">
        <f t="shared" si="5"/>
        <v>RIZKA MARDANI</v>
      </c>
      <c r="O88" t="str">
        <f t="shared" si="6"/>
        <v/>
      </c>
      <c r="P88" t="str">
        <f t="shared" si="7"/>
        <v/>
      </c>
    </row>
    <row r="89" spans="1:16">
      <c r="A89" t="s">
        <v>540</v>
      </c>
      <c r="B89" t="s">
        <v>541</v>
      </c>
      <c r="C89" t="s">
        <v>550</v>
      </c>
      <c r="D89" t="s">
        <v>551</v>
      </c>
      <c r="E89">
        <v>20171</v>
      </c>
      <c r="F89" t="s">
        <v>467</v>
      </c>
      <c r="G89" t="s">
        <v>51</v>
      </c>
      <c r="H89">
        <v>3.5</v>
      </c>
      <c r="I89">
        <v>0</v>
      </c>
      <c r="J89">
        <v>20201</v>
      </c>
      <c r="K89">
        <f>COUNTIF('rEKAP kls MK'!$A$2:$A$35,Worksheet!C89)</f>
        <v>0</v>
      </c>
      <c r="L89" t="str">
        <f t="shared" si="4"/>
        <v>F1B117037</v>
      </c>
      <c r="M89" t="str">
        <f t="shared" si="5"/>
        <v>TEJAMAN MULKI</v>
      </c>
      <c r="O89" t="str">
        <f t="shared" si="6"/>
        <v/>
      </c>
      <c r="P89" t="str">
        <f t="shared" si="7"/>
        <v/>
      </c>
    </row>
    <row r="90" spans="1:16">
      <c r="A90" t="s">
        <v>542</v>
      </c>
      <c r="B90" t="s">
        <v>543</v>
      </c>
      <c r="C90" t="s">
        <v>550</v>
      </c>
      <c r="D90" t="s">
        <v>551</v>
      </c>
      <c r="E90">
        <v>20171</v>
      </c>
      <c r="F90" t="s">
        <v>467</v>
      </c>
      <c r="G90" t="s">
        <v>18</v>
      </c>
      <c r="H90">
        <v>3</v>
      </c>
      <c r="I90">
        <v>0</v>
      </c>
      <c r="J90">
        <v>20201</v>
      </c>
      <c r="K90">
        <f>COUNTIF('rEKAP kls MK'!$A$2:$A$35,Worksheet!C90)</f>
        <v>0</v>
      </c>
    </row>
    <row r="91" spans="1:16">
      <c r="A91" t="s">
        <v>544</v>
      </c>
      <c r="B91" t="s">
        <v>545</v>
      </c>
      <c r="C91" t="s">
        <v>550</v>
      </c>
      <c r="D91" t="s">
        <v>551</v>
      </c>
      <c r="E91">
        <v>20171</v>
      </c>
      <c r="F91" t="s">
        <v>467</v>
      </c>
      <c r="G91" t="s">
        <v>18</v>
      </c>
      <c r="H91">
        <v>3</v>
      </c>
      <c r="I91">
        <v>0</v>
      </c>
      <c r="J91">
        <v>20201</v>
      </c>
      <c r="K91">
        <f>COUNTIF('rEKAP kls MK'!$A$2:$A$35,Worksheet!C91)</f>
        <v>0</v>
      </c>
      <c r="L91" t="str">
        <f t="shared" si="4"/>
        <v>F1B117039</v>
      </c>
      <c r="M91" t="str">
        <f t="shared" si="5"/>
        <v>WAHYU SIOPANO</v>
      </c>
      <c r="O91" t="str">
        <f t="shared" si="6"/>
        <v/>
      </c>
      <c r="P91" t="str">
        <f t="shared" si="7"/>
        <v/>
      </c>
    </row>
    <row r="92" spans="1:16">
      <c r="A92" t="s">
        <v>546</v>
      </c>
      <c r="B92" t="s">
        <v>547</v>
      </c>
      <c r="C92" t="s">
        <v>550</v>
      </c>
      <c r="D92" t="s">
        <v>551</v>
      </c>
      <c r="E92">
        <v>20171</v>
      </c>
      <c r="F92" t="s">
        <v>467</v>
      </c>
      <c r="G92" t="s">
        <v>51</v>
      </c>
      <c r="H92">
        <v>3.5</v>
      </c>
      <c r="I92">
        <v>0</v>
      </c>
      <c r="J92">
        <v>20201</v>
      </c>
      <c r="K92">
        <f>COUNTIF('rEKAP kls MK'!$A$2:$A$35,Worksheet!C92)</f>
        <v>0</v>
      </c>
      <c r="L92" t="str">
        <f t="shared" si="4"/>
        <v>F1B117040</v>
      </c>
      <c r="M92" t="str">
        <f t="shared" si="5"/>
        <v>WILLY HISBULLOH FAUZY FIRDAUS</v>
      </c>
      <c r="O92" t="str">
        <f t="shared" si="6"/>
        <v/>
      </c>
      <c r="P92" t="str">
        <f t="shared" si="7"/>
        <v/>
      </c>
    </row>
    <row r="93" spans="1:16">
      <c r="A93" t="s">
        <v>548</v>
      </c>
      <c r="B93" t="s">
        <v>549</v>
      </c>
      <c r="C93" t="s">
        <v>550</v>
      </c>
      <c r="D93" t="s">
        <v>551</v>
      </c>
      <c r="E93">
        <v>20171</v>
      </c>
      <c r="F93" t="s">
        <v>467</v>
      </c>
      <c r="G93" t="s">
        <v>51</v>
      </c>
      <c r="H93">
        <v>3.5</v>
      </c>
      <c r="I93">
        <v>0</v>
      </c>
      <c r="J93">
        <v>20201</v>
      </c>
      <c r="K93">
        <f>COUNTIF('rEKAP kls MK'!$A$2:$A$35,Worksheet!C93)</f>
        <v>0</v>
      </c>
      <c r="L93" t="str">
        <f t="shared" si="4"/>
        <v>F1B117041</v>
      </c>
      <c r="M93" t="str">
        <f t="shared" si="5"/>
        <v>WILLY PRADIYANTO</v>
      </c>
      <c r="O93" t="str">
        <f t="shared" si="6"/>
        <v/>
      </c>
      <c r="P93" t="str">
        <f t="shared" si="7"/>
        <v/>
      </c>
    </row>
    <row r="94" spans="1:16">
      <c r="A94" t="s">
        <v>343</v>
      </c>
      <c r="B94" t="s">
        <v>344</v>
      </c>
      <c r="C94" t="s">
        <v>560</v>
      </c>
      <c r="D94" t="s">
        <v>561</v>
      </c>
      <c r="E94">
        <v>20171</v>
      </c>
      <c r="F94" t="s">
        <v>467</v>
      </c>
      <c r="G94" t="s">
        <v>51</v>
      </c>
      <c r="H94">
        <v>3.5</v>
      </c>
      <c r="I94">
        <v>0</v>
      </c>
      <c r="J94">
        <v>20201</v>
      </c>
      <c r="K94">
        <f>COUNTIF('rEKAP kls MK'!$A$2:$A$35,Worksheet!C94)</f>
        <v>0</v>
      </c>
      <c r="L94" t="str">
        <f t="shared" si="4"/>
        <v>F1B111041</v>
      </c>
      <c r="M94" t="str">
        <f t="shared" si="5"/>
        <v>M. Ahsanul Khaliq</v>
      </c>
      <c r="O94" t="str">
        <f t="shared" si="6"/>
        <v>BAHASA INGGRIS I</v>
      </c>
      <c r="P94" t="str">
        <f t="shared" si="7"/>
        <v/>
      </c>
    </row>
    <row r="95" spans="1:16">
      <c r="A95" t="s">
        <v>171</v>
      </c>
      <c r="B95" t="s">
        <v>172</v>
      </c>
      <c r="C95" t="s">
        <v>560</v>
      </c>
      <c r="D95" t="s">
        <v>561</v>
      </c>
      <c r="E95">
        <v>20171</v>
      </c>
      <c r="F95" t="s">
        <v>467</v>
      </c>
      <c r="G95" t="s">
        <v>51</v>
      </c>
      <c r="H95">
        <v>3.5</v>
      </c>
      <c r="I95">
        <v>0</v>
      </c>
      <c r="J95">
        <v>20201</v>
      </c>
      <c r="K95">
        <f>COUNTIF('rEKAP kls MK'!$A$2:$A$35,Worksheet!C95)</f>
        <v>0</v>
      </c>
      <c r="L95" t="str">
        <f t="shared" si="4"/>
        <v>F1B111047</v>
      </c>
      <c r="M95" t="str">
        <f t="shared" si="5"/>
        <v>M. Sofyan Hakim</v>
      </c>
      <c r="O95" t="str">
        <f t="shared" si="6"/>
        <v/>
      </c>
      <c r="P95" t="str">
        <f t="shared" si="7"/>
        <v/>
      </c>
    </row>
    <row r="96" spans="1:16">
      <c r="A96" t="s">
        <v>10</v>
      </c>
      <c r="B96" t="s">
        <v>11</v>
      </c>
      <c r="C96" t="s">
        <v>560</v>
      </c>
      <c r="D96" t="s">
        <v>561</v>
      </c>
      <c r="E96">
        <v>20171</v>
      </c>
      <c r="F96" t="s">
        <v>467</v>
      </c>
      <c r="G96" t="s">
        <v>15</v>
      </c>
      <c r="H96">
        <v>0</v>
      </c>
      <c r="I96">
        <v>0</v>
      </c>
      <c r="J96">
        <v>20201</v>
      </c>
      <c r="K96">
        <f>COUNTIF('rEKAP kls MK'!$A$2:$A$35,Worksheet!C96)</f>
        <v>0</v>
      </c>
      <c r="L96" t="str">
        <f t="shared" si="4"/>
        <v>F1B111075</v>
      </c>
      <c r="M96" t="str">
        <f t="shared" si="5"/>
        <v>Sahbudin</v>
      </c>
      <c r="O96" t="str">
        <f t="shared" si="6"/>
        <v/>
      </c>
      <c r="P96" t="str">
        <f t="shared" si="7"/>
        <v/>
      </c>
    </row>
    <row r="97" spans="1:16">
      <c r="A97" t="s">
        <v>106</v>
      </c>
      <c r="B97" t="s">
        <v>107</v>
      </c>
      <c r="C97" t="s">
        <v>560</v>
      </c>
      <c r="D97" t="s">
        <v>561</v>
      </c>
      <c r="E97">
        <v>20171</v>
      </c>
      <c r="F97" t="s">
        <v>467</v>
      </c>
      <c r="G97" t="s">
        <v>15</v>
      </c>
      <c r="H97">
        <v>0</v>
      </c>
      <c r="I97">
        <v>0</v>
      </c>
      <c r="J97">
        <v>20201</v>
      </c>
      <c r="K97">
        <f>COUNTIF('rEKAP kls MK'!$A$2:$A$35,Worksheet!C97)</f>
        <v>0</v>
      </c>
      <c r="L97" t="str">
        <f t="shared" si="4"/>
        <v>F1B112003</v>
      </c>
      <c r="M97" t="str">
        <f t="shared" si="5"/>
        <v>Aditya Kadarusman</v>
      </c>
      <c r="O97" t="str">
        <f t="shared" si="6"/>
        <v/>
      </c>
      <c r="P97" t="str">
        <f t="shared" si="7"/>
        <v/>
      </c>
    </row>
    <row r="98" spans="1:16">
      <c r="A98" t="s">
        <v>39</v>
      </c>
      <c r="B98" t="s">
        <v>40</v>
      </c>
      <c r="C98" t="s">
        <v>560</v>
      </c>
      <c r="D98" t="s">
        <v>561</v>
      </c>
      <c r="E98">
        <v>20171</v>
      </c>
      <c r="F98" t="s">
        <v>467</v>
      </c>
      <c r="G98" t="s">
        <v>15</v>
      </c>
      <c r="H98">
        <v>0</v>
      </c>
      <c r="I98">
        <v>0</v>
      </c>
      <c r="J98">
        <v>20201</v>
      </c>
      <c r="K98">
        <f>COUNTIF('rEKAP kls MK'!$A$2:$A$35,Worksheet!C98)</f>
        <v>0</v>
      </c>
      <c r="L98" t="str">
        <f t="shared" si="4"/>
        <v>F1B113031</v>
      </c>
      <c r="M98" t="str">
        <f t="shared" si="5"/>
        <v>SADIQ RAMADHOAN</v>
      </c>
      <c r="O98" t="str">
        <f t="shared" si="6"/>
        <v/>
      </c>
      <c r="P98" t="str">
        <f t="shared" si="7"/>
        <v/>
      </c>
    </row>
    <row r="99" spans="1:16">
      <c r="A99" t="s">
        <v>265</v>
      </c>
      <c r="B99" t="s">
        <v>266</v>
      </c>
      <c r="C99" t="s">
        <v>560</v>
      </c>
      <c r="D99" t="s">
        <v>561</v>
      </c>
      <c r="E99">
        <v>20171</v>
      </c>
      <c r="F99" t="s">
        <v>467</v>
      </c>
      <c r="G99" t="s">
        <v>18</v>
      </c>
      <c r="H99">
        <v>3</v>
      </c>
      <c r="I99">
        <v>0</v>
      </c>
      <c r="J99">
        <v>20201</v>
      </c>
      <c r="K99">
        <f>COUNTIF('rEKAP kls MK'!$A$2:$A$35,Worksheet!C99)</f>
        <v>0</v>
      </c>
      <c r="L99" t="str">
        <f t="shared" si="4"/>
        <v>F1B114020</v>
      </c>
      <c r="M99" t="str">
        <f t="shared" si="5"/>
        <v>IMRAN</v>
      </c>
      <c r="O99" t="str">
        <f t="shared" si="6"/>
        <v/>
      </c>
      <c r="P99" t="str">
        <f t="shared" si="7"/>
        <v/>
      </c>
    </row>
    <row r="100" spans="1:16">
      <c r="A100" t="s">
        <v>231</v>
      </c>
      <c r="B100" t="s">
        <v>232</v>
      </c>
      <c r="C100" t="s">
        <v>560</v>
      </c>
      <c r="D100" t="s">
        <v>561</v>
      </c>
      <c r="E100">
        <v>20171</v>
      </c>
      <c r="F100" t="s">
        <v>467</v>
      </c>
      <c r="G100" t="s">
        <v>15</v>
      </c>
      <c r="H100">
        <v>0</v>
      </c>
      <c r="I100">
        <v>0</v>
      </c>
      <c r="J100">
        <v>20201</v>
      </c>
      <c r="K100">
        <f>COUNTIF('rEKAP kls MK'!$A$2:$A$35,Worksheet!C100)</f>
        <v>0</v>
      </c>
      <c r="L100" t="str">
        <f t="shared" si="4"/>
        <v>F1B115030</v>
      </c>
      <c r="M100" t="str">
        <f t="shared" si="5"/>
        <v>MUHAMMAD FIQRIL</v>
      </c>
      <c r="O100" t="str">
        <f t="shared" si="6"/>
        <v/>
      </c>
      <c r="P100" t="str">
        <f t="shared" si="7"/>
        <v/>
      </c>
    </row>
    <row r="101" spans="1:16">
      <c r="A101" t="s">
        <v>468</v>
      </c>
      <c r="B101" t="s">
        <v>469</v>
      </c>
      <c r="C101" t="s">
        <v>560</v>
      </c>
      <c r="D101" t="s">
        <v>561</v>
      </c>
      <c r="E101">
        <v>20171</v>
      </c>
      <c r="F101" t="s">
        <v>467</v>
      </c>
      <c r="G101" t="s">
        <v>82</v>
      </c>
      <c r="H101">
        <v>4</v>
      </c>
      <c r="I101">
        <v>0</v>
      </c>
      <c r="J101">
        <v>20201</v>
      </c>
      <c r="K101">
        <f>COUNTIF('rEKAP kls MK'!$A$2:$A$35,Worksheet!C101)</f>
        <v>0</v>
      </c>
      <c r="L101" t="str">
        <f t="shared" si="4"/>
        <v>F1B117001</v>
      </c>
      <c r="M101" t="str">
        <f t="shared" si="5"/>
        <v>ABI LASKAR</v>
      </c>
      <c r="O101" t="str">
        <f t="shared" si="6"/>
        <v/>
      </c>
      <c r="P101" t="str">
        <f t="shared" si="7"/>
        <v/>
      </c>
    </row>
    <row r="102" spans="1:16">
      <c r="A102" t="s">
        <v>470</v>
      </c>
      <c r="B102" t="s">
        <v>471</v>
      </c>
      <c r="C102" t="s">
        <v>560</v>
      </c>
      <c r="D102" t="s">
        <v>561</v>
      </c>
      <c r="E102">
        <v>20171</v>
      </c>
      <c r="F102" t="s">
        <v>467</v>
      </c>
      <c r="G102" t="s">
        <v>18</v>
      </c>
      <c r="H102">
        <v>3</v>
      </c>
      <c r="I102">
        <v>0</v>
      </c>
      <c r="J102">
        <v>20201</v>
      </c>
      <c r="K102">
        <f>COUNTIF('rEKAP kls MK'!$A$2:$A$35,Worksheet!C102)</f>
        <v>0</v>
      </c>
      <c r="L102" t="str">
        <f t="shared" si="4"/>
        <v>F1B117002</v>
      </c>
      <c r="M102" t="str">
        <f t="shared" si="5"/>
        <v>ADE PUTRA CAHYADI</v>
      </c>
      <c r="O102" t="str">
        <f t="shared" si="6"/>
        <v/>
      </c>
      <c r="P102" t="str">
        <f t="shared" si="7"/>
        <v/>
      </c>
    </row>
    <row r="103" spans="1:16">
      <c r="A103" t="s">
        <v>472</v>
      </c>
      <c r="B103" t="s">
        <v>473</v>
      </c>
      <c r="C103" t="s">
        <v>560</v>
      </c>
      <c r="D103" t="s">
        <v>561</v>
      </c>
      <c r="E103">
        <v>20171</v>
      </c>
      <c r="F103" t="s">
        <v>467</v>
      </c>
      <c r="G103" t="s">
        <v>51</v>
      </c>
      <c r="H103">
        <v>3.5</v>
      </c>
      <c r="I103">
        <v>0</v>
      </c>
      <c r="J103">
        <v>20201</v>
      </c>
      <c r="K103">
        <f>COUNTIF('rEKAP kls MK'!$A$2:$A$35,Worksheet!C103)</f>
        <v>0</v>
      </c>
      <c r="L103" t="str">
        <f t="shared" si="4"/>
        <v>F1B117003</v>
      </c>
      <c r="M103" t="str">
        <f t="shared" si="5"/>
        <v>ADELIA RIZKY FEBRIANTI</v>
      </c>
      <c r="O103" t="str">
        <f t="shared" si="6"/>
        <v/>
      </c>
      <c r="P103" t="str">
        <f t="shared" si="7"/>
        <v/>
      </c>
    </row>
    <row r="104" spans="1:16">
      <c r="A104" t="s">
        <v>474</v>
      </c>
      <c r="B104" t="s">
        <v>475</v>
      </c>
      <c r="C104" t="s">
        <v>560</v>
      </c>
      <c r="D104" t="s">
        <v>561</v>
      </c>
      <c r="E104">
        <v>20171</v>
      </c>
      <c r="F104" t="s">
        <v>467</v>
      </c>
      <c r="G104" t="s">
        <v>18</v>
      </c>
      <c r="H104">
        <v>3</v>
      </c>
      <c r="I104">
        <v>0</v>
      </c>
      <c r="J104">
        <v>20201</v>
      </c>
      <c r="K104">
        <f>COUNTIF('rEKAP kls MK'!$A$2:$A$35,Worksheet!C104)</f>
        <v>0</v>
      </c>
      <c r="L104" t="str">
        <f t="shared" si="4"/>
        <v>F1B117004</v>
      </c>
      <c r="M104" t="str">
        <f t="shared" si="5"/>
        <v>AHMAD RAJABUL AKBAR KHAIRU</v>
      </c>
      <c r="O104" t="str">
        <f t="shared" si="6"/>
        <v/>
      </c>
      <c r="P104" t="str">
        <f t="shared" si="7"/>
        <v/>
      </c>
    </row>
    <row r="105" spans="1:16">
      <c r="A105" t="s">
        <v>476</v>
      </c>
      <c r="B105" t="s">
        <v>477</v>
      </c>
      <c r="C105" t="s">
        <v>560</v>
      </c>
      <c r="D105" t="s">
        <v>561</v>
      </c>
      <c r="E105">
        <v>20171</v>
      </c>
      <c r="F105" t="s">
        <v>467</v>
      </c>
      <c r="G105" t="s">
        <v>82</v>
      </c>
      <c r="H105">
        <v>4</v>
      </c>
      <c r="I105">
        <v>0</v>
      </c>
      <c r="J105">
        <v>20201</v>
      </c>
      <c r="K105">
        <f>COUNTIF('rEKAP kls MK'!$A$2:$A$35,Worksheet!C105)</f>
        <v>0</v>
      </c>
      <c r="L105" t="str">
        <f t="shared" si="4"/>
        <v>F1B117005</v>
      </c>
      <c r="M105" t="str">
        <f t="shared" si="5"/>
        <v>AKBAR MAJID</v>
      </c>
      <c r="O105" t="str">
        <f t="shared" si="6"/>
        <v/>
      </c>
      <c r="P105" t="str">
        <f t="shared" si="7"/>
        <v/>
      </c>
    </row>
    <row r="106" spans="1:16">
      <c r="A106" t="s">
        <v>478</v>
      </c>
      <c r="B106" t="s">
        <v>479</v>
      </c>
      <c r="C106" t="s">
        <v>560</v>
      </c>
      <c r="D106" t="s">
        <v>561</v>
      </c>
      <c r="E106">
        <v>20171</v>
      </c>
      <c r="F106" t="s">
        <v>467</v>
      </c>
      <c r="G106" t="s">
        <v>51</v>
      </c>
      <c r="H106">
        <v>3.5</v>
      </c>
      <c r="I106">
        <v>0</v>
      </c>
      <c r="J106">
        <v>20201</v>
      </c>
      <c r="K106">
        <f>COUNTIF('rEKAP kls MK'!$A$2:$A$35,Worksheet!C106)</f>
        <v>0</v>
      </c>
      <c r="L106" t="str">
        <f t="shared" si="4"/>
        <v>F1B117006</v>
      </c>
      <c r="M106" t="str">
        <f t="shared" si="5"/>
        <v>ANDI MUHAMAD HANIF</v>
      </c>
      <c r="O106" t="str">
        <f t="shared" si="6"/>
        <v/>
      </c>
      <c r="P106" t="str">
        <f t="shared" si="7"/>
        <v/>
      </c>
    </row>
    <row r="107" spans="1:16">
      <c r="A107" t="s">
        <v>480</v>
      </c>
      <c r="B107" t="s">
        <v>481</v>
      </c>
      <c r="C107" t="s">
        <v>560</v>
      </c>
      <c r="D107" t="s">
        <v>561</v>
      </c>
      <c r="E107">
        <v>20171</v>
      </c>
      <c r="F107" t="s">
        <v>467</v>
      </c>
      <c r="G107" t="s">
        <v>82</v>
      </c>
      <c r="H107">
        <v>4</v>
      </c>
      <c r="I107">
        <v>0</v>
      </c>
      <c r="J107">
        <v>20201</v>
      </c>
      <c r="K107">
        <f>COUNTIF('rEKAP kls MK'!$A$2:$A$35,Worksheet!C107)</f>
        <v>0</v>
      </c>
      <c r="L107" t="str">
        <f t="shared" si="4"/>
        <v>F1B117007</v>
      </c>
      <c r="M107" t="str">
        <f t="shared" si="5"/>
        <v>ANDIKA RAHMAN</v>
      </c>
      <c r="O107" t="str">
        <f t="shared" si="6"/>
        <v/>
      </c>
      <c r="P107" t="str">
        <f t="shared" si="7"/>
        <v/>
      </c>
    </row>
    <row r="108" spans="1:16">
      <c r="A108" t="s">
        <v>482</v>
      </c>
      <c r="B108" t="s">
        <v>483</v>
      </c>
      <c r="C108" t="s">
        <v>560</v>
      </c>
      <c r="D108" t="s">
        <v>561</v>
      </c>
      <c r="E108">
        <v>20171</v>
      </c>
      <c r="F108" t="s">
        <v>467</v>
      </c>
      <c r="G108" t="s">
        <v>51</v>
      </c>
      <c r="H108">
        <v>3.5</v>
      </c>
      <c r="I108">
        <v>0</v>
      </c>
      <c r="J108">
        <v>20201</v>
      </c>
      <c r="K108">
        <f>COUNTIF('rEKAP kls MK'!$A$2:$A$35,Worksheet!C108)</f>
        <v>0</v>
      </c>
      <c r="L108" t="str">
        <f t="shared" si="4"/>
        <v>F1B117008</v>
      </c>
      <c r="M108" t="str">
        <f t="shared" si="5"/>
        <v>ANDRE PRATAMA</v>
      </c>
      <c r="O108" t="str">
        <f t="shared" si="6"/>
        <v/>
      </c>
      <c r="P108" t="str">
        <f t="shared" si="7"/>
        <v/>
      </c>
    </row>
    <row r="109" spans="1:16">
      <c r="A109" t="s">
        <v>484</v>
      </c>
      <c r="B109" t="s">
        <v>485</v>
      </c>
      <c r="C109" t="s">
        <v>560</v>
      </c>
      <c r="D109" t="s">
        <v>561</v>
      </c>
      <c r="E109">
        <v>20171</v>
      </c>
      <c r="F109" t="s">
        <v>467</v>
      </c>
      <c r="G109" t="s">
        <v>82</v>
      </c>
      <c r="H109">
        <v>4</v>
      </c>
      <c r="I109">
        <v>0</v>
      </c>
      <c r="J109">
        <v>20201</v>
      </c>
      <c r="K109">
        <f>COUNTIF('rEKAP kls MK'!$A$2:$A$35,Worksheet!C109)</f>
        <v>0</v>
      </c>
      <c r="L109" t="str">
        <f t="shared" si="4"/>
        <v>F1B117009</v>
      </c>
      <c r="M109" t="str">
        <f t="shared" si="5"/>
        <v>ANDREAN EKO RAMADHAN</v>
      </c>
      <c r="O109" t="str">
        <f t="shared" si="6"/>
        <v/>
      </c>
      <c r="P109" t="str">
        <f t="shared" si="7"/>
        <v/>
      </c>
    </row>
    <row r="110" spans="1:16">
      <c r="A110" t="s">
        <v>486</v>
      </c>
      <c r="B110" t="s">
        <v>487</v>
      </c>
      <c r="C110" t="s">
        <v>560</v>
      </c>
      <c r="D110" t="s">
        <v>561</v>
      </c>
      <c r="E110">
        <v>20171</v>
      </c>
      <c r="F110" t="s">
        <v>467</v>
      </c>
      <c r="G110" t="s">
        <v>82</v>
      </c>
      <c r="H110">
        <v>4</v>
      </c>
      <c r="I110">
        <v>0</v>
      </c>
      <c r="J110">
        <v>20201</v>
      </c>
      <c r="K110">
        <f>COUNTIF('rEKAP kls MK'!$A$2:$A$35,Worksheet!C110)</f>
        <v>0</v>
      </c>
      <c r="L110" t="str">
        <f t="shared" si="4"/>
        <v>F1B117010</v>
      </c>
      <c r="M110" t="str">
        <f t="shared" si="5"/>
        <v>ARGA SUTRI PRATAMA</v>
      </c>
      <c r="O110" t="str">
        <f t="shared" si="6"/>
        <v/>
      </c>
      <c r="P110" t="str">
        <f t="shared" si="7"/>
        <v/>
      </c>
    </row>
    <row r="111" spans="1:16">
      <c r="A111" t="s">
        <v>488</v>
      </c>
      <c r="B111" t="s">
        <v>489</v>
      </c>
      <c r="C111" t="s">
        <v>560</v>
      </c>
      <c r="D111" t="s">
        <v>561</v>
      </c>
      <c r="E111">
        <v>20171</v>
      </c>
      <c r="F111" t="s">
        <v>467</v>
      </c>
      <c r="G111" t="s">
        <v>82</v>
      </c>
      <c r="H111">
        <v>4</v>
      </c>
      <c r="I111">
        <v>0</v>
      </c>
      <c r="J111">
        <v>20201</v>
      </c>
      <c r="K111">
        <f>COUNTIF('rEKAP kls MK'!$A$2:$A$35,Worksheet!C111)</f>
        <v>0</v>
      </c>
      <c r="L111" t="str">
        <f t="shared" si="4"/>
        <v>F1B117011</v>
      </c>
      <c r="M111" t="str">
        <f t="shared" si="5"/>
        <v>BAYU ADE SURYA</v>
      </c>
      <c r="O111" t="str">
        <f t="shared" si="6"/>
        <v/>
      </c>
      <c r="P111" t="str">
        <f t="shared" si="7"/>
        <v/>
      </c>
    </row>
    <row r="112" spans="1:16">
      <c r="A112" t="s">
        <v>490</v>
      </c>
      <c r="B112" t="s">
        <v>491</v>
      </c>
      <c r="C112" t="s">
        <v>560</v>
      </c>
      <c r="D112" t="s">
        <v>561</v>
      </c>
      <c r="E112">
        <v>20171</v>
      </c>
      <c r="F112" t="s">
        <v>467</v>
      </c>
      <c r="G112" t="s">
        <v>82</v>
      </c>
      <c r="H112">
        <v>4</v>
      </c>
      <c r="I112">
        <v>0</v>
      </c>
      <c r="J112">
        <v>20201</v>
      </c>
      <c r="K112">
        <f>COUNTIF('rEKAP kls MK'!$A$2:$A$35,Worksheet!C112)</f>
        <v>0</v>
      </c>
      <c r="L112" t="str">
        <f t="shared" si="4"/>
        <v>F1B117012</v>
      </c>
      <c r="M112" t="str">
        <f t="shared" si="5"/>
        <v>ERLAN BAHTIAR</v>
      </c>
      <c r="O112" t="str">
        <f t="shared" si="6"/>
        <v/>
      </c>
      <c r="P112" t="str">
        <f t="shared" si="7"/>
        <v/>
      </c>
    </row>
    <row r="113" spans="1:16">
      <c r="A113" t="s">
        <v>492</v>
      </c>
      <c r="B113" t="s">
        <v>493</v>
      </c>
      <c r="C113" t="s">
        <v>560</v>
      </c>
      <c r="D113" t="s">
        <v>561</v>
      </c>
      <c r="E113">
        <v>20171</v>
      </c>
      <c r="F113" t="s">
        <v>467</v>
      </c>
      <c r="G113" t="s">
        <v>82</v>
      </c>
      <c r="H113">
        <v>4</v>
      </c>
      <c r="I113">
        <v>0</v>
      </c>
      <c r="J113">
        <v>20201</v>
      </c>
      <c r="K113">
        <f>COUNTIF('rEKAP kls MK'!$A$2:$A$35,Worksheet!C113)</f>
        <v>0</v>
      </c>
      <c r="L113" t="str">
        <f t="shared" si="4"/>
        <v>F1B117013</v>
      </c>
      <c r="M113" t="str">
        <f t="shared" si="5"/>
        <v>FADHLI EKO PRASETYO</v>
      </c>
      <c r="O113" t="str">
        <f t="shared" si="6"/>
        <v/>
      </c>
      <c r="P113" t="str">
        <f t="shared" si="7"/>
        <v/>
      </c>
    </row>
    <row r="114" spans="1:16">
      <c r="A114" t="s">
        <v>494</v>
      </c>
      <c r="B114" t="s">
        <v>495</v>
      </c>
      <c r="C114" t="s">
        <v>560</v>
      </c>
      <c r="D114" t="s">
        <v>561</v>
      </c>
      <c r="E114">
        <v>20171</v>
      </c>
      <c r="F114" t="s">
        <v>467</v>
      </c>
      <c r="G114" t="s">
        <v>51</v>
      </c>
      <c r="H114">
        <v>3.5</v>
      </c>
      <c r="I114">
        <v>0</v>
      </c>
      <c r="J114">
        <v>20201</v>
      </c>
      <c r="K114">
        <f>COUNTIF('rEKAP kls MK'!$A$2:$A$35,Worksheet!C114)</f>
        <v>0</v>
      </c>
      <c r="L114" t="str">
        <f t="shared" si="4"/>
        <v>F1B117014</v>
      </c>
      <c r="M114" t="str">
        <f t="shared" si="5"/>
        <v>FANNY WINDARY BATANIA</v>
      </c>
      <c r="O114" t="str">
        <f t="shared" si="6"/>
        <v/>
      </c>
      <c r="P114" t="str">
        <f t="shared" si="7"/>
        <v/>
      </c>
    </row>
    <row r="115" spans="1:16">
      <c r="A115" t="s">
        <v>496</v>
      </c>
      <c r="B115" t="s">
        <v>497</v>
      </c>
      <c r="C115" t="s">
        <v>560</v>
      </c>
      <c r="D115" t="s">
        <v>561</v>
      </c>
      <c r="E115">
        <v>20171</v>
      </c>
      <c r="F115" t="s">
        <v>467</v>
      </c>
      <c r="G115" t="s">
        <v>82</v>
      </c>
      <c r="H115">
        <v>4</v>
      </c>
      <c r="I115">
        <v>0</v>
      </c>
      <c r="J115">
        <v>20201</v>
      </c>
      <c r="K115">
        <f>COUNTIF('rEKAP kls MK'!$A$2:$A$35,Worksheet!C115)</f>
        <v>0</v>
      </c>
      <c r="L115" t="str">
        <f t="shared" si="4"/>
        <v>F1B117015</v>
      </c>
      <c r="M115" t="str">
        <f t="shared" si="5"/>
        <v>GALI GALUH SAKTI</v>
      </c>
      <c r="O115" t="str">
        <f t="shared" si="6"/>
        <v/>
      </c>
      <c r="P115" t="str">
        <f t="shared" si="7"/>
        <v/>
      </c>
    </row>
    <row r="116" spans="1:16">
      <c r="A116" t="s">
        <v>498</v>
      </c>
      <c r="B116" t="s">
        <v>499</v>
      </c>
      <c r="C116" t="s">
        <v>560</v>
      </c>
      <c r="D116" t="s">
        <v>561</v>
      </c>
      <c r="E116">
        <v>20171</v>
      </c>
      <c r="F116" t="s">
        <v>467</v>
      </c>
      <c r="G116" t="s">
        <v>82</v>
      </c>
      <c r="H116">
        <v>4</v>
      </c>
      <c r="I116">
        <v>0</v>
      </c>
      <c r="J116">
        <v>20201</v>
      </c>
      <c r="K116">
        <f>COUNTIF('rEKAP kls MK'!$A$2:$A$35,Worksheet!C116)</f>
        <v>0</v>
      </c>
      <c r="L116" t="str">
        <f t="shared" si="4"/>
        <v>F1B117016</v>
      </c>
      <c r="M116" t="str">
        <f t="shared" si="5"/>
        <v>GAUSS NUR SALAM</v>
      </c>
      <c r="O116" t="str">
        <f t="shared" si="6"/>
        <v/>
      </c>
      <c r="P116" t="str">
        <f t="shared" si="7"/>
        <v/>
      </c>
    </row>
    <row r="117" spans="1:16">
      <c r="A117" t="s">
        <v>500</v>
      </c>
      <c r="B117" t="s">
        <v>501</v>
      </c>
      <c r="C117" t="s">
        <v>560</v>
      </c>
      <c r="D117" t="s">
        <v>561</v>
      </c>
      <c r="E117">
        <v>20171</v>
      </c>
      <c r="F117" t="s">
        <v>467</v>
      </c>
      <c r="G117" t="s">
        <v>51</v>
      </c>
      <c r="H117">
        <v>3.5</v>
      </c>
      <c r="I117">
        <v>0</v>
      </c>
      <c r="J117">
        <v>20201</v>
      </c>
      <c r="K117">
        <f>COUNTIF('rEKAP kls MK'!$A$2:$A$35,Worksheet!C117)</f>
        <v>0</v>
      </c>
      <c r="L117" t="str">
        <f t="shared" si="4"/>
        <v>F1B117017</v>
      </c>
      <c r="M117" t="str">
        <f t="shared" si="5"/>
        <v>HELMY AMALIA ARIESTA</v>
      </c>
      <c r="O117" t="str">
        <f t="shared" si="6"/>
        <v/>
      </c>
      <c r="P117" t="str">
        <f t="shared" si="7"/>
        <v/>
      </c>
    </row>
    <row r="118" spans="1:16">
      <c r="A118" t="s">
        <v>502</v>
      </c>
      <c r="B118" t="s">
        <v>503</v>
      </c>
      <c r="C118" t="s">
        <v>560</v>
      </c>
      <c r="D118" t="s">
        <v>561</v>
      </c>
      <c r="E118">
        <v>20171</v>
      </c>
      <c r="F118" t="s">
        <v>467</v>
      </c>
      <c r="G118" t="s">
        <v>82</v>
      </c>
      <c r="H118">
        <v>4</v>
      </c>
      <c r="I118">
        <v>0</v>
      </c>
      <c r="J118">
        <v>20201</v>
      </c>
      <c r="K118">
        <f>COUNTIF('rEKAP kls MK'!$A$2:$A$35,Worksheet!C118)</f>
        <v>0</v>
      </c>
      <c r="L118" t="str">
        <f t="shared" si="4"/>
        <v>F1B117018</v>
      </c>
      <c r="M118" t="str">
        <f t="shared" si="5"/>
        <v>ILHAM MUHAMMAD</v>
      </c>
      <c r="O118" t="str">
        <f t="shared" si="6"/>
        <v/>
      </c>
      <c r="P118" t="str">
        <f t="shared" si="7"/>
        <v/>
      </c>
    </row>
    <row r="119" spans="1:16">
      <c r="A119" t="s">
        <v>504</v>
      </c>
      <c r="B119" t="s">
        <v>505</v>
      </c>
      <c r="C119" t="s">
        <v>560</v>
      </c>
      <c r="D119" t="s">
        <v>561</v>
      </c>
      <c r="E119">
        <v>20171</v>
      </c>
      <c r="F119" t="s">
        <v>467</v>
      </c>
      <c r="G119" t="s">
        <v>82</v>
      </c>
      <c r="H119">
        <v>4</v>
      </c>
      <c r="I119">
        <v>0</v>
      </c>
      <c r="J119">
        <v>20201</v>
      </c>
      <c r="K119">
        <f>COUNTIF('rEKAP kls MK'!$A$2:$A$35,Worksheet!C119)</f>
        <v>0</v>
      </c>
      <c r="L119" t="str">
        <f t="shared" si="4"/>
        <v>F1B117019</v>
      </c>
      <c r="M119" t="str">
        <f t="shared" si="5"/>
        <v>KHAIRUL MUAMALAH</v>
      </c>
      <c r="O119" t="str">
        <f t="shared" si="6"/>
        <v/>
      </c>
      <c r="P119" t="str">
        <f t="shared" si="7"/>
        <v/>
      </c>
    </row>
    <row r="120" spans="1:16">
      <c r="A120" t="s">
        <v>506</v>
      </c>
      <c r="B120" t="s">
        <v>507</v>
      </c>
      <c r="C120" t="s">
        <v>560</v>
      </c>
      <c r="D120" t="s">
        <v>561</v>
      </c>
      <c r="E120">
        <v>20171</v>
      </c>
      <c r="F120" t="s">
        <v>467</v>
      </c>
      <c r="G120" t="s">
        <v>82</v>
      </c>
      <c r="H120">
        <v>4</v>
      </c>
      <c r="I120">
        <v>0</v>
      </c>
      <c r="J120">
        <v>20201</v>
      </c>
      <c r="K120">
        <f>COUNTIF('rEKAP kls MK'!$A$2:$A$35,Worksheet!C120)</f>
        <v>0</v>
      </c>
      <c r="L120" t="str">
        <f t="shared" si="4"/>
        <v>F1B117020</v>
      </c>
      <c r="M120" t="str">
        <f t="shared" si="5"/>
        <v>LENKA AURELIE YUDHISTIRA</v>
      </c>
      <c r="O120" t="str">
        <f t="shared" si="6"/>
        <v/>
      </c>
      <c r="P120" t="str">
        <f t="shared" si="7"/>
        <v/>
      </c>
    </row>
    <row r="121" spans="1:16">
      <c r="A121" t="s">
        <v>508</v>
      </c>
      <c r="B121" t="s">
        <v>509</v>
      </c>
      <c r="C121" t="s">
        <v>560</v>
      </c>
      <c r="D121" t="s">
        <v>561</v>
      </c>
      <c r="E121">
        <v>20171</v>
      </c>
      <c r="F121" t="s">
        <v>467</v>
      </c>
      <c r="G121" t="s">
        <v>26</v>
      </c>
      <c r="H121">
        <v>2</v>
      </c>
      <c r="I121">
        <v>0</v>
      </c>
      <c r="J121">
        <v>20201</v>
      </c>
      <c r="K121">
        <f>COUNTIF('rEKAP kls MK'!$A$2:$A$35,Worksheet!C121)</f>
        <v>0</v>
      </c>
      <c r="L121" t="str">
        <f t="shared" si="4"/>
        <v>F1B117021</v>
      </c>
      <c r="M121" t="str">
        <f t="shared" si="5"/>
        <v>M. AL ZAIDIN</v>
      </c>
      <c r="O121" t="str">
        <f t="shared" si="6"/>
        <v/>
      </c>
      <c r="P121" t="str">
        <f t="shared" si="7"/>
        <v/>
      </c>
    </row>
    <row r="122" spans="1:16">
      <c r="A122" t="s">
        <v>510</v>
      </c>
      <c r="B122" t="s">
        <v>511</v>
      </c>
      <c r="C122" t="s">
        <v>560</v>
      </c>
      <c r="D122" t="s">
        <v>561</v>
      </c>
      <c r="E122">
        <v>20171</v>
      </c>
      <c r="F122" t="s">
        <v>467</v>
      </c>
      <c r="G122" t="s">
        <v>23</v>
      </c>
      <c r="H122">
        <v>2.5</v>
      </c>
      <c r="I122">
        <v>0</v>
      </c>
      <c r="J122">
        <v>20201</v>
      </c>
      <c r="K122">
        <f>COUNTIF('rEKAP kls MK'!$A$2:$A$35,Worksheet!C122)</f>
        <v>0</v>
      </c>
      <c r="L122" t="str">
        <f t="shared" si="4"/>
        <v>F1B117022</v>
      </c>
      <c r="M122" t="str">
        <f t="shared" si="5"/>
        <v>M. FAUZUL AKBAR</v>
      </c>
      <c r="O122" t="str">
        <f t="shared" si="6"/>
        <v/>
      </c>
      <c r="P122" t="str">
        <f t="shared" si="7"/>
        <v/>
      </c>
    </row>
    <row r="123" spans="1:16">
      <c r="A123" t="s">
        <v>512</v>
      </c>
      <c r="B123" t="s">
        <v>513</v>
      </c>
      <c r="C123" t="s">
        <v>560</v>
      </c>
      <c r="D123" t="s">
        <v>561</v>
      </c>
      <c r="E123">
        <v>20171</v>
      </c>
      <c r="F123" t="s">
        <v>467</v>
      </c>
      <c r="G123" t="s">
        <v>23</v>
      </c>
      <c r="H123">
        <v>2.5</v>
      </c>
      <c r="I123">
        <v>0</v>
      </c>
      <c r="J123">
        <v>20201</v>
      </c>
      <c r="K123">
        <f>COUNTIF('rEKAP kls MK'!$A$2:$A$35,Worksheet!C123)</f>
        <v>0</v>
      </c>
      <c r="L123" t="str">
        <f t="shared" si="4"/>
        <v>F1B117023</v>
      </c>
      <c r="M123" t="str">
        <f t="shared" si="5"/>
        <v>M.FAISAL</v>
      </c>
      <c r="O123" t="str">
        <f t="shared" si="6"/>
        <v/>
      </c>
      <c r="P123" t="str">
        <f t="shared" si="7"/>
        <v/>
      </c>
    </row>
    <row r="124" spans="1:16">
      <c r="A124" t="s">
        <v>514</v>
      </c>
      <c r="B124" t="s">
        <v>515</v>
      </c>
      <c r="C124" t="s">
        <v>560</v>
      </c>
      <c r="D124" t="s">
        <v>561</v>
      </c>
      <c r="E124">
        <v>20171</v>
      </c>
      <c r="F124" t="s">
        <v>467</v>
      </c>
      <c r="G124" t="s">
        <v>18</v>
      </c>
      <c r="H124">
        <v>3</v>
      </c>
      <c r="I124">
        <v>0</v>
      </c>
      <c r="J124">
        <v>20201</v>
      </c>
      <c r="K124">
        <f>COUNTIF('rEKAP kls MK'!$A$2:$A$35,Worksheet!C124)</f>
        <v>0</v>
      </c>
      <c r="L124" t="str">
        <f t="shared" si="4"/>
        <v>F1B117024</v>
      </c>
      <c r="M124" t="str">
        <f t="shared" si="5"/>
        <v>MUH. RISKI RAMADHAN</v>
      </c>
      <c r="O124" t="str">
        <f t="shared" si="6"/>
        <v/>
      </c>
      <c r="P124" t="str">
        <f t="shared" si="7"/>
        <v/>
      </c>
    </row>
    <row r="125" spans="1:16">
      <c r="A125" t="s">
        <v>516</v>
      </c>
      <c r="B125" t="s">
        <v>517</v>
      </c>
      <c r="C125" t="s">
        <v>560</v>
      </c>
      <c r="D125" t="s">
        <v>561</v>
      </c>
      <c r="E125">
        <v>20171</v>
      </c>
      <c r="F125" t="s">
        <v>467</v>
      </c>
      <c r="G125" t="s">
        <v>26</v>
      </c>
      <c r="H125">
        <v>2</v>
      </c>
      <c r="I125">
        <v>0</v>
      </c>
      <c r="J125">
        <v>20201</v>
      </c>
      <c r="K125">
        <f>COUNTIF('rEKAP kls MK'!$A$2:$A$35,Worksheet!C125)</f>
        <v>0</v>
      </c>
      <c r="L125" t="str">
        <f t="shared" si="4"/>
        <v>F1B117025</v>
      </c>
      <c r="M125" t="str">
        <f t="shared" si="5"/>
        <v>MUH. SALDA WINTARA</v>
      </c>
      <c r="O125" t="str">
        <f t="shared" si="6"/>
        <v/>
      </c>
      <c r="P125" t="str">
        <f t="shared" si="7"/>
        <v/>
      </c>
    </row>
    <row r="126" spans="1:16">
      <c r="A126" t="s">
        <v>518</v>
      </c>
      <c r="B126" t="s">
        <v>519</v>
      </c>
      <c r="C126" t="s">
        <v>560</v>
      </c>
      <c r="D126" t="s">
        <v>561</v>
      </c>
      <c r="E126">
        <v>20171</v>
      </c>
      <c r="F126" t="s">
        <v>467</v>
      </c>
      <c r="G126" t="s">
        <v>125</v>
      </c>
      <c r="H126">
        <v>1</v>
      </c>
      <c r="I126">
        <v>0</v>
      </c>
      <c r="J126">
        <v>20201</v>
      </c>
      <c r="K126">
        <f>COUNTIF('rEKAP kls MK'!$A$2:$A$35,Worksheet!C126)</f>
        <v>0</v>
      </c>
      <c r="L126" t="str">
        <f t="shared" si="4"/>
        <v>F1B117026</v>
      </c>
      <c r="M126" t="str">
        <f t="shared" si="5"/>
        <v>MUHAMMAD KHAIRUL HADI SYURAHMAN</v>
      </c>
      <c r="O126" t="str">
        <f t="shared" si="6"/>
        <v/>
      </c>
      <c r="P126" t="str">
        <f t="shared" si="7"/>
        <v/>
      </c>
    </row>
    <row r="127" spans="1:16">
      <c r="A127" t="s">
        <v>520</v>
      </c>
      <c r="B127" t="s">
        <v>521</v>
      </c>
      <c r="C127" t="s">
        <v>560</v>
      </c>
      <c r="D127" t="s">
        <v>561</v>
      </c>
      <c r="E127">
        <v>20171</v>
      </c>
      <c r="F127" t="s">
        <v>467</v>
      </c>
      <c r="G127" t="s">
        <v>23</v>
      </c>
      <c r="H127">
        <v>2.5</v>
      </c>
      <c r="I127">
        <v>0</v>
      </c>
      <c r="J127">
        <v>20201</v>
      </c>
      <c r="K127">
        <f>COUNTIF('rEKAP kls MK'!$A$2:$A$35,Worksheet!C127)</f>
        <v>0</v>
      </c>
      <c r="L127" t="str">
        <f t="shared" si="4"/>
        <v>F1B117027</v>
      </c>
      <c r="M127" t="str">
        <f t="shared" si="5"/>
        <v>MUHAMMAD MUKALLIBIN</v>
      </c>
      <c r="O127" t="str">
        <f t="shared" si="6"/>
        <v/>
      </c>
      <c r="P127" t="str">
        <f t="shared" si="7"/>
        <v/>
      </c>
    </row>
    <row r="128" spans="1:16">
      <c r="A128" t="s">
        <v>522</v>
      </c>
      <c r="B128" t="s">
        <v>523</v>
      </c>
      <c r="C128" t="s">
        <v>560</v>
      </c>
      <c r="D128" t="s">
        <v>561</v>
      </c>
      <c r="E128">
        <v>20171</v>
      </c>
      <c r="F128" t="s">
        <v>467</v>
      </c>
      <c r="G128" t="s">
        <v>23</v>
      </c>
      <c r="H128">
        <v>2.5</v>
      </c>
      <c r="I128">
        <v>0</v>
      </c>
      <c r="J128">
        <v>20201</v>
      </c>
      <c r="K128">
        <f>COUNTIF('rEKAP kls MK'!$A$2:$A$35,Worksheet!C128)</f>
        <v>0</v>
      </c>
      <c r="L128" t="str">
        <f t="shared" si="4"/>
        <v>F1B117028</v>
      </c>
      <c r="M128" t="str">
        <f t="shared" si="5"/>
        <v>MUHAMMAD NABIL</v>
      </c>
      <c r="O128" t="str">
        <f t="shared" si="6"/>
        <v/>
      </c>
      <c r="P128" t="str">
        <f t="shared" si="7"/>
        <v/>
      </c>
    </row>
    <row r="129" spans="1:16">
      <c r="A129" t="s">
        <v>524</v>
      </c>
      <c r="B129" t="s">
        <v>525</v>
      </c>
      <c r="C129" t="s">
        <v>560</v>
      </c>
      <c r="D129" t="s">
        <v>561</v>
      </c>
      <c r="E129">
        <v>20171</v>
      </c>
      <c r="F129" t="s">
        <v>467</v>
      </c>
      <c r="G129" t="s">
        <v>23</v>
      </c>
      <c r="H129">
        <v>2.5</v>
      </c>
      <c r="I129">
        <v>0</v>
      </c>
      <c r="J129">
        <v>20201</v>
      </c>
      <c r="K129">
        <f>COUNTIF('rEKAP kls MK'!$A$2:$A$35,Worksheet!C129)</f>
        <v>0</v>
      </c>
      <c r="L129" t="str">
        <f t="shared" si="4"/>
        <v>F1B117029</v>
      </c>
      <c r="M129" t="str">
        <f t="shared" si="5"/>
        <v>MUHAMMAD THORIQ DWI SETYAWAN</v>
      </c>
      <c r="O129" t="str">
        <f t="shared" si="6"/>
        <v/>
      </c>
      <c r="P129" t="str">
        <f t="shared" si="7"/>
        <v/>
      </c>
    </row>
    <row r="130" spans="1:16">
      <c r="A130" t="s">
        <v>526</v>
      </c>
      <c r="B130" t="s">
        <v>527</v>
      </c>
      <c r="C130" t="s">
        <v>560</v>
      </c>
      <c r="D130" t="s">
        <v>561</v>
      </c>
      <c r="E130">
        <v>20171</v>
      </c>
      <c r="F130" t="s">
        <v>467</v>
      </c>
      <c r="G130" t="s">
        <v>18</v>
      </c>
      <c r="H130">
        <v>3</v>
      </c>
      <c r="I130">
        <v>0</v>
      </c>
      <c r="J130">
        <v>20201</v>
      </c>
      <c r="K130">
        <f>COUNTIF('rEKAP kls MK'!$A$2:$A$35,Worksheet!C130)</f>
        <v>0</v>
      </c>
      <c r="L130" t="str">
        <f t="shared" si="4"/>
        <v>F1B117030</v>
      </c>
      <c r="M130" t="str">
        <f t="shared" si="5"/>
        <v>NURAFRINA</v>
      </c>
      <c r="O130" t="str">
        <f t="shared" si="6"/>
        <v/>
      </c>
      <c r="P130" t="str">
        <f t="shared" si="7"/>
        <v/>
      </c>
    </row>
    <row r="131" spans="1:16">
      <c r="A131" t="s">
        <v>528</v>
      </c>
      <c r="B131" t="s">
        <v>529</v>
      </c>
      <c r="C131" t="s">
        <v>560</v>
      </c>
      <c r="D131" t="s">
        <v>561</v>
      </c>
      <c r="E131">
        <v>20171</v>
      </c>
      <c r="F131" t="s">
        <v>467</v>
      </c>
      <c r="G131" t="s">
        <v>18</v>
      </c>
      <c r="H131">
        <v>3</v>
      </c>
      <c r="I131">
        <v>0</v>
      </c>
      <c r="J131">
        <v>20201</v>
      </c>
      <c r="K131">
        <f>COUNTIF('rEKAP kls MK'!$A$2:$A$35,Worksheet!C131)</f>
        <v>0</v>
      </c>
      <c r="L131" t="str">
        <f t="shared" ref="L131:L194" si="8">IF(A130&lt;&gt;A131,A131,"")</f>
        <v>F1B117031</v>
      </c>
      <c r="M131" t="str">
        <f t="shared" ref="M131:M194" si="9">IF(B130&lt;&gt;B131,B131,"")</f>
        <v>RAHMAT ADITYA PRADANA</v>
      </c>
      <c r="O131" t="str">
        <f t="shared" ref="O131:O194" si="10">IF(D130&lt;&gt;D131,D131,"")</f>
        <v/>
      </c>
      <c r="P131" t="str">
        <f t="shared" ref="P131:P194" si="11">IF(F130&lt;&gt;F131,F131,"")</f>
        <v/>
      </c>
    </row>
    <row r="132" spans="1:16">
      <c r="A132" t="s">
        <v>530</v>
      </c>
      <c r="B132" t="s">
        <v>531</v>
      </c>
      <c r="C132" t="s">
        <v>560</v>
      </c>
      <c r="D132" t="s">
        <v>561</v>
      </c>
      <c r="E132">
        <v>20171</v>
      </c>
      <c r="F132" t="s">
        <v>467</v>
      </c>
      <c r="G132" t="s">
        <v>18</v>
      </c>
      <c r="H132">
        <v>3</v>
      </c>
      <c r="I132">
        <v>0</v>
      </c>
      <c r="J132">
        <v>20201</v>
      </c>
      <c r="K132">
        <f>COUNTIF('rEKAP kls MK'!$A$2:$A$35,Worksheet!C132)</f>
        <v>0</v>
      </c>
    </row>
    <row r="133" spans="1:16">
      <c r="A133" t="s">
        <v>532</v>
      </c>
      <c r="B133" t="s">
        <v>533</v>
      </c>
      <c r="C133" t="s">
        <v>560</v>
      </c>
      <c r="D133" t="s">
        <v>561</v>
      </c>
      <c r="E133">
        <v>20171</v>
      </c>
      <c r="F133" t="s">
        <v>467</v>
      </c>
      <c r="G133" t="s">
        <v>18</v>
      </c>
      <c r="H133">
        <v>3</v>
      </c>
      <c r="I133">
        <v>0</v>
      </c>
      <c r="J133">
        <v>20201</v>
      </c>
      <c r="K133">
        <f>COUNTIF('rEKAP kls MK'!$A$2:$A$35,Worksheet!C133)</f>
        <v>0</v>
      </c>
      <c r="L133" t="str">
        <f t="shared" si="8"/>
        <v>F1B117033</v>
      </c>
      <c r="M133" t="str">
        <f t="shared" si="9"/>
        <v>RIAN HENDRAWAN</v>
      </c>
      <c r="O133" t="str">
        <f t="shared" si="10"/>
        <v/>
      </c>
      <c r="P133" t="str">
        <f t="shared" si="11"/>
        <v/>
      </c>
    </row>
    <row r="134" spans="1:16">
      <c r="A134" t="s">
        <v>534</v>
      </c>
      <c r="B134" t="s">
        <v>535</v>
      </c>
      <c r="C134" t="s">
        <v>560</v>
      </c>
      <c r="D134" t="s">
        <v>561</v>
      </c>
      <c r="E134">
        <v>20171</v>
      </c>
      <c r="F134" t="s">
        <v>467</v>
      </c>
      <c r="G134" t="s">
        <v>18</v>
      </c>
      <c r="H134">
        <v>3</v>
      </c>
      <c r="I134">
        <v>0</v>
      </c>
      <c r="J134">
        <v>20201</v>
      </c>
      <c r="K134">
        <f>COUNTIF('rEKAP kls MK'!$A$2:$A$35,Worksheet!C134)</f>
        <v>0</v>
      </c>
      <c r="L134" t="str">
        <f t="shared" si="8"/>
        <v>F1B117034</v>
      </c>
      <c r="M134" t="str">
        <f t="shared" si="9"/>
        <v>RISKI KHARISMA PUTRA</v>
      </c>
      <c r="O134" t="str">
        <f t="shared" si="10"/>
        <v/>
      </c>
      <c r="P134" t="str">
        <f t="shared" si="11"/>
        <v/>
      </c>
    </row>
    <row r="135" spans="1:16">
      <c r="A135" t="s">
        <v>536</v>
      </c>
      <c r="B135" t="s">
        <v>537</v>
      </c>
      <c r="C135" t="s">
        <v>560</v>
      </c>
      <c r="D135" t="s">
        <v>561</v>
      </c>
      <c r="E135">
        <v>20171</v>
      </c>
      <c r="F135" t="s">
        <v>467</v>
      </c>
      <c r="G135" t="s">
        <v>23</v>
      </c>
      <c r="H135">
        <v>2.5</v>
      </c>
      <c r="I135">
        <v>0</v>
      </c>
      <c r="J135">
        <v>20201</v>
      </c>
      <c r="K135">
        <f>COUNTIF('rEKAP kls MK'!$A$2:$A$35,Worksheet!C135)</f>
        <v>0</v>
      </c>
      <c r="L135" t="str">
        <f t="shared" si="8"/>
        <v>F1B117035</v>
      </c>
      <c r="M135" t="str">
        <f t="shared" si="9"/>
        <v>RIZALUL HAQ</v>
      </c>
      <c r="O135" t="str">
        <f t="shared" si="10"/>
        <v/>
      </c>
      <c r="P135" t="str">
        <f t="shared" si="11"/>
        <v/>
      </c>
    </row>
    <row r="136" spans="1:16">
      <c r="A136" t="s">
        <v>538</v>
      </c>
      <c r="B136" t="s">
        <v>539</v>
      </c>
      <c r="C136" t="s">
        <v>560</v>
      </c>
      <c r="D136" t="s">
        <v>561</v>
      </c>
      <c r="E136">
        <v>20171</v>
      </c>
      <c r="F136" t="s">
        <v>467</v>
      </c>
      <c r="G136" t="s">
        <v>18</v>
      </c>
      <c r="H136">
        <v>3</v>
      </c>
      <c r="I136">
        <v>0</v>
      </c>
      <c r="J136">
        <v>20201</v>
      </c>
      <c r="K136">
        <f>COUNTIF('rEKAP kls MK'!$A$2:$A$35,Worksheet!C136)</f>
        <v>0</v>
      </c>
      <c r="L136" t="str">
        <f t="shared" si="8"/>
        <v>F1B117036</v>
      </c>
      <c r="M136" t="str">
        <f t="shared" si="9"/>
        <v>RIZKA MARDANI</v>
      </c>
      <c r="O136" t="str">
        <f t="shared" si="10"/>
        <v/>
      </c>
      <c r="P136" t="str">
        <f t="shared" si="11"/>
        <v/>
      </c>
    </row>
    <row r="137" spans="1:16">
      <c r="A137" t="s">
        <v>540</v>
      </c>
      <c r="B137" t="s">
        <v>541</v>
      </c>
      <c r="C137" t="s">
        <v>560</v>
      </c>
      <c r="D137" t="s">
        <v>561</v>
      </c>
      <c r="E137">
        <v>20171</v>
      </c>
      <c r="F137" t="s">
        <v>467</v>
      </c>
      <c r="G137" t="s">
        <v>26</v>
      </c>
      <c r="H137">
        <v>2</v>
      </c>
      <c r="I137">
        <v>0</v>
      </c>
      <c r="J137">
        <v>20201</v>
      </c>
      <c r="K137">
        <f>COUNTIF('rEKAP kls MK'!$A$2:$A$35,Worksheet!C137)</f>
        <v>0</v>
      </c>
      <c r="L137" t="str">
        <f t="shared" si="8"/>
        <v>F1B117037</v>
      </c>
      <c r="M137" t="str">
        <f t="shared" si="9"/>
        <v>TEJAMAN MULKI</v>
      </c>
      <c r="O137" t="str">
        <f t="shared" si="10"/>
        <v/>
      </c>
      <c r="P137" t="str">
        <f t="shared" si="11"/>
        <v/>
      </c>
    </row>
    <row r="138" spans="1:16">
      <c r="A138" t="s">
        <v>542</v>
      </c>
      <c r="B138" t="s">
        <v>543</v>
      </c>
      <c r="C138" t="s">
        <v>560</v>
      </c>
      <c r="D138" t="s">
        <v>561</v>
      </c>
      <c r="E138">
        <v>20171</v>
      </c>
      <c r="F138" t="s">
        <v>467</v>
      </c>
      <c r="G138" t="s">
        <v>26</v>
      </c>
      <c r="H138">
        <v>2</v>
      </c>
      <c r="I138">
        <v>0</v>
      </c>
      <c r="J138">
        <v>20201</v>
      </c>
      <c r="K138">
        <f>COUNTIF('rEKAP kls MK'!$A$2:$A$35,Worksheet!C138)</f>
        <v>0</v>
      </c>
      <c r="L138" t="str">
        <f t="shared" si="8"/>
        <v>F1B117038</v>
      </c>
      <c r="M138" t="str">
        <f t="shared" si="9"/>
        <v>VENI ASTUTI</v>
      </c>
      <c r="O138" t="str">
        <f t="shared" si="10"/>
        <v/>
      </c>
      <c r="P138" t="str">
        <f t="shared" si="11"/>
        <v/>
      </c>
    </row>
    <row r="139" spans="1:16">
      <c r="A139" t="s">
        <v>544</v>
      </c>
      <c r="B139" t="s">
        <v>545</v>
      </c>
      <c r="C139" t="s">
        <v>560</v>
      </c>
      <c r="D139" t="s">
        <v>561</v>
      </c>
      <c r="E139">
        <v>20171</v>
      </c>
      <c r="F139" t="s">
        <v>467</v>
      </c>
      <c r="G139" t="s">
        <v>18</v>
      </c>
      <c r="H139">
        <v>3</v>
      </c>
      <c r="I139">
        <v>0</v>
      </c>
      <c r="J139">
        <v>20201</v>
      </c>
      <c r="K139">
        <f>COUNTIF('rEKAP kls MK'!$A$2:$A$35,Worksheet!C139)</f>
        <v>0</v>
      </c>
      <c r="L139" t="str">
        <f t="shared" si="8"/>
        <v>F1B117039</v>
      </c>
      <c r="M139" t="str">
        <f t="shared" si="9"/>
        <v>WAHYU SIOPANO</v>
      </c>
      <c r="O139" t="str">
        <f t="shared" si="10"/>
        <v/>
      </c>
      <c r="P139" t="str">
        <f t="shared" si="11"/>
        <v/>
      </c>
    </row>
    <row r="140" spans="1:16">
      <c r="A140" t="s">
        <v>546</v>
      </c>
      <c r="B140" t="s">
        <v>547</v>
      </c>
      <c r="C140" t="s">
        <v>560</v>
      </c>
      <c r="D140" t="s">
        <v>561</v>
      </c>
      <c r="E140">
        <v>20171</v>
      </c>
      <c r="F140" t="s">
        <v>467</v>
      </c>
      <c r="G140" t="s">
        <v>18</v>
      </c>
      <c r="H140">
        <v>3</v>
      </c>
      <c r="I140">
        <v>0</v>
      </c>
      <c r="J140">
        <v>20201</v>
      </c>
      <c r="K140">
        <f>COUNTIF('rEKAP kls MK'!$A$2:$A$35,Worksheet!C140)</f>
        <v>0</v>
      </c>
      <c r="L140" t="str">
        <f t="shared" si="8"/>
        <v>F1B117040</v>
      </c>
      <c r="M140" t="str">
        <f t="shared" si="9"/>
        <v>WILLY HISBULLOH FAUZY FIRDAUS</v>
      </c>
      <c r="O140" t="str">
        <f t="shared" si="10"/>
        <v/>
      </c>
      <c r="P140" t="str">
        <f t="shared" si="11"/>
        <v/>
      </c>
    </row>
    <row r="141" spans="1:16">
      <c r="A141" t="s">
        <v>548</v>
      </c>
      <c r="B141" t="s">
        <v>549</v>
      </c>
      <c r="C141" t="s">
        <v>560</v>
      </c>
      <c r="D141" t="s">
        <v>561</v>
      </c>
      <c r="E141">
        <v>20171</v>
      </c>
      <c r="F141" t="s">
        <v>467</v>
      </c>
      <c r="G141" t="s">
        <v>82</v>
      </c>
      <c r="H141">
        <v>4</v>
      </c>
      <c r="I141">
        <v>0</v>
      </c>
      <c r="J141">
        <v>20201</v>
      </c>
      <c r="K141">
        <f>COUNTIF('rEKAP kls MK'!$A$2:$A$35,Worksheet!C141)</f>
        <v>0</v>
      </c>
      <c r="L141" t="str">
        <f t="shared" si="8"/>
        <v>F1B117041</v>
      </c>
      <c r="M141" t="str">
        <f t="shared" si="9"/>
        <v>WILLY PRADIYANTO</v>
      </c>
      <c r="O141" t="str">
        <f t="shared" si="10"/>
        <v/>
      </c>
      <c r="P141" t="str">
        <f t="shared" si="11"/>
        <v/>
      </c>
    </row>
    <row r="142" spans="1:16">
      <c r="A142" t="s">
        <v>181</v>
      </c>
      <c r="B142" t="s">
        <v>182</v>
      </c>
      <c r="C142" t="s">
        <v>394</v>
      </c>
      <c r="D142" t="s">
        <v>395</v>
      </c>
      <c r="E142">
        <v>20171</v>
      </c>
      <c r="F142" t="s">
        <v>14</v>
      </c>
      <c r="G142" t="s">
        <v>18</v>
      </c>
      <c r="H142">
        <v>3</v>
      </c>
      <c r="I142">
        <v>0</v>
      </c>
      <c r="J142">
        <v>20201</v>
      </c>
      <c r="K142">
        <f>COUNTIF('rEKAP kls MK'!$A$2:$A$35,Worksheet!C142)</f>
        <v>1</v>
      </c>
      <c r="L142" t="str">
        <f t="shared" si="8"/>
        <v>F1B115004</v>
      </c>
      <c r="M142" t="str">
        <f t="shared" si="9"/>
        <v>ANDZAR QINTHARA</v>
      </c>
      <c r="O142" t="str">
        <f t="shared" si="10"/>
        <v>BASIS DATA</v>
      </c>
      <c r="P142" t="str">
        <f t="shared" si="11"/>
        <v>S</v>
      </c>
    </row>
    <row r="143" spans="1:16">
      <c r="A143" t="s">
        <v>209</v>
      </c>
      <c r="B143" t="s">
        <v>210</v>
      </c>
      <c r="C143" t="s">
        <v>394</v>
      </c>
      <c r="D143" t="s">
        <v>395</v>
      </c>
      <c r="E143">
        <v>20171</v>
      </c>
      <c r="F143" t="s">
        <v>14</v>
      </c>
      <c r="G143" t="s">
        <v>23</v>
      </c>
      <c r="H143">
        <v>2.5</v>
      </c>
      <c r="I143">
        <v>0</v>
      </c>
      <c r="J143">
        <v>20201</v>
      </c>
      <c r="K143">
        <f>COUNTIF('rEKAP kls MK'!$A$2:$A$35,Worksheet!C143)</f>
        <v>1</v>
      </c>
      <c r="L143" t="str">
        <f t="shared" si="8"/>
        <v>F1B115005</v>
      </c>
      <c r="M143" t="str">
        <f t="shared" si="9"/>
        <v>ANWAR SAPI I</v>
      </c>
      <c r="O143" t="str">
        <f t="shared" si="10"/>
        <v/>
      </c>
      <c r="P143" t="str">
        <f t="shared" si="11"/>
        <v/>
      </c>
    </row>
    <row r="144" spans="1:16">
      <c r="A144" t="s">
        <v>183</v>
      </c>
      <c r="B144" t="s">
        <v>184</v>
      </c>
      <c r="C144" t="s">
        <v>394</v>
      </c>
      <c r="D144" t="s">
        <v>395</v>
      </c>
      <c r="E144">
        <v>20171</v>
      </c>
      <c r="F144" t="s">
        <v>14</v>
      </c>
      <c r="G144" t="s">
        <v>101</v>
      </c>
      <c r="H144">
        <v>0</v>
      </c>
      <c r="I144">
        <v>0</v>
      </c>
      <c r="J144">
        <v>20201</v>
      </c>
      <c r="K144">
        <f>COUNTIF('rEKAP kls MK'!$A$2:$A$35,Worksheet!C144)</f>
        <v>1</v>
      </c>
      <c r="L144" t="str">
        <f t="shared" si="8"/>
        <v>F1B115006</v>
      </c>
      <c r="M144" t="str">
        <f t="shared" si="9"/>
        <v>Bagas Akbar Aznurinto</v>
      </c>
      <c r="O144" t="str">
        <f t="shared" si="10"/>
        <v/>
      </c>
      <c r="P144" t="str">
        <f t="shared" si="11"/>
        <v/>
      </c>
    </row>
    <row r="145" spans="1:16">
      <c r="A145" t="s">
        <v>211</v>
      </c>
      <c r="B145" t="s">
        <v>212</v>
      </c>
      <c r="C145" t="s">
        <v>394</v>
      </c>
      <c r="D145" t="s">
        <v>395</v>
      </c>
      <c r="E145">
        <v>20171</v>
      </c>
      <c r="F145" t="s">
        <v>14</v>
      </c>
      <c r="G145" t="s">
        <v>116</v>
      </c>
      <c r="H145">
        <v>1.5</v>
      </c>
      <c r="I145">
        <v>0</v>
      </c>
      <c r="J145">
        <v>20201</v>
      </c>
      <c r="K145">
        <f>COUNTIF('rEKAP kls MK'!$A$2:$A$35,Worksheet!C145)</f>
        <v>1</v>
      </c>
      <c r="L145" t="str">
        <f t="shared" si="8"/>
        <v>F1B115007</v>
      </c>
      <c r="M145" t="str">
        <f t="shared" si="9"/>
        <v>BAIHAKI</v>
      </c>
      <c r="O145" t="str">
        <f t="shared" si="10"/>
        <v/>
      </c>
      <c r="P145" t="str">
        <f t="shared" si="11"/>
        <v/>
      </c>
    </row>
    <row r="146" spans="1:16">
      <c r="A146" t="s">
        <v>237</v>
      </c>
      <c r="B146" t="s">
        <v>238</v>
      </c>
      <c r="C146" t="s">
        <v>394</v>
      </c>
      <c r="D146" t="s">
        <v>395</v>
      </c>
      <c r="E146">
        <v>20171</v>
      </c>
      <c r="F146" t="s">
        <v>14</v>
      </c>
      <c r="G146" t="s">
        <v>18</v>
      </c>
      <c r="H146">
        <v>3</v>
      </c>
      <c r="I146">
        <v>0</v>
      </c>
      <c r="J146">
        <v>20201</v>
      </c>
      <c r="K146">
        <f>COUNTIF('rEKAP kls MK'!$A$2:$A$35,Worksheet!C146)</f>
        <v>1</v>
      </c>
      <c r="L146" t="str">
        <f t="shared" si="8"/>
        <v>F1B115012</v>
      </c>
      <c r="M146" t="str">
        <f t="shared" si="9"/>
        <v>HARZA WISNU SAPUTRA</v>
      </c>
      <c r="O146" t="str">
        <f t="shared" si="10"/>
        <v/>
      </c>
      <c r="P146" t="str">
        <f t="shared" si="11"/>
        <v/>
      </c>
    </row>
    <row r="147" spans="1:16">
      <c r="A147" t="s">
        <v>215</v>
      </c>
      <c r="B147" t="s">
        <v>216</v>
      </c>
      <c r="C147" t="s">
        <v>394</v>
      </c>
      <c r="D147" t="s">
        <v>395</v>
      </c>
      <c r="E147">
        <v>20171</v>
      </c>
      <c r="F147" t="s">
        <v>14</v>
      </c>
      <c r="G147" t="s">
        <v>51</v>
      </c>
      <c r="H147">
        <v>3.5</v>
      </c>
      <c r="I147">
        <v>0</v>
      </c>
      <c r="J147">
        <v>20201</v>
      </c>
      <c r="K147">
        <f>COUNTIF('rEKAP kls MK'!$A$2:$A$35,Worksheet!C147)</f>
        <v>1</v>
      </c>
      <c r="L147" t="str">
        <f t="shared" si="8"/>
        <v>F1B115014</v>
      </c>
      <c r="M147" t="str">
        <f t="shared" si="9"/>
        <v>ILHAMUDDIN</v>
      </c>
      <c r="O147" t="str">
        <f t="shared" si="10"/>
        <v/>
      </c>
      <c r="P147" t="str">
        <f t="shared" si="11"/>
        <v/>
      </c>
    </row>
    <row r="148" spans="1:16">
      <c r="A148" t="s">
        <v>185</v>
      </c>
      <c r="B148" t="s">
        <v>186</v>
      </c>
      <c r="C148" t="s">
        <v>394</v>
      </c>
      <c r="D148" t="s">
        <v>395</v>
      </c>
      <c r="E148">
        <v>20171</v>
      </c>
      <c r="F148" t="s">
        <v>14</v>
      </c>
      <c r="G148" t="s">
        <v>18</v>
      </c>
      <c r="H148">
        <v>3</v>
      </c>
      <c r="I148">
        <v>0</v>
      </c>
      <c r="J148">
        <v>20201</v>
      </c>
      <c r="K148">
        <f>COUNTIF('rEKAP kls MK'!$A$2:$A$35,Worksheet!C148)</f>
        <v>1</v>
      </c>
      <c r="L148" t="str">
        <f t="shared" si="8"/>
        <v>F1B115015</v>
      </c>
      <c r="M148" t="str">
        <f t="shared" si="9"/>
        <v>ILMAN HIDAYAT</v>
      </c>
      <c r="O148" t="str">
        <f t="shared" si="10"/>
        <v/>
      </c>
      <c r="P148" t="str">
        <f t="shared" si="11"/>
        <v/>
      </c>
    </row>
    <row r="149" spans="1:16">
      <c r="A149" t="s">
        <v>217</v>
      </c>
      <c r="B149" t="s">
        <v>218</v>
      </c>
      <c r="C149" t="s">
        <v>394</v>
      </c>
      <c r="D149" t="s">
        <v>395</v>
      </c>
      <c r="E149">
        <v>20171</v>
      </c>
      <c r="F149" t="s">
        <v>14</v>
      </c>
      <c r="G149" t="s">
        <v>26</v>
      </c>
      <c r="H149">
        <v>2</v>
      </c>
      <c r="I149">
        <v>0</v>
      </c>
      <c r="J149">
        <v>20201</v>
      </c>
      <c r="K149">
        <f>COUNTIF('rEKAP kls MK'!$A$2:$A$35,Worksheet!C149)</f>
        <v>1</v>
      </c>
      <c r="L149" t="str">
        <f t="shared" si="8"/>
        <v>F1B115016</v>
      </c>
      <c r="M149" t="str">
        <f t="shared" si="9"/>
        <v>Imam Syuhada</v>
      </c>
      <c r="O149" t="str">
        <f t="shared" si="10"/>
        <v/>
      </c>
      <c r="P149" t="str">
        <f t="shared" si="11"/>
        <v/>
      </c>
    </row>
    <row r="150" spans="1:16">
      <c r="A150" t="s">
        <v>191</v>
      </c>
      <c r="B150" t="s">
        <v>192</v>
      </c>
      <c r="C150" t="s">
        <v>394</v>
      </c>
      <c r="D150" t="s">
        <v>395</v>
      </c>
      <c r="E150">
        <v>20171</v>
      </c>
      <c r="F150" t="s">
        <v>14</v>
      </c>
      <c r="G150" t="s">
        <v>18</v>
      </c>
      <c r="H150">
        <v>3</v>
      </c>
      <c r="I150">
        <v>0</v>
      </c>
      <c r="J150">
        <v>20201</v>
      </c>
      <c r="K150">
        <f>COUNTIF('rEKAP kls MK'!$A$2:$A$35,Worksheet!C150)</f>
        <v>1</v>
      </c>
      <c r="L150" t="str">
        <f t="shared" si="8"/>
        <v>F1B115018</v>
      </c>
      <c r="M150" t="str">
        <f t="shared" si="9"/>
        <v>JANUARMAN MAULANA PUTRA</v>
      </c>
      <c r="O150" t="str">
        <f t="shared" si="10"/>
        <v/>
      </c>
      <c r="P150" t="str">
        <f t="shared" si="11"/>
        <v/>
      </c>
    </row>
    <row r="151" spans="1:16">
      <c r="A151" t="s">
        <v>219</v>
      </c>
      <c r="B151" t="s">
        <v>220</v>
      </c>
      <c r="C151" t="s">
        <v>394</v>
      </c>
      <c r="D151" t="s">
        <v>395</v>
      </c>
      <c r="E151">
        <v>20171</v>
      </c>
      <c r="F151" t="s">
        <v>14</v>
      </c>
      <c r="G151" t="s">
        <v>18</v>
      </c>
      <c r="H151">
        <v>3</v>
      </c>
      <c r="I151">
        <v>0</v>
      </c>
      <c r="J151">
        <v>20201</v>
      </c>
      <c r="K151">
        <f>COUNTIF('rEKAP kls MK'!$A$2:$A$35,Worksheet!C151)</f>
        <v>1</v>
      </c>
      <c r="L151" t="str">
        <f t="shared" si="8"/>
        <v>F1B115020</v>
      </c>
      <c r="M151" t="str">
        <f t="shared" si="9"/>
        <v>KHAIRIL SUDARMANTO</v>
      </c>
      <c r="O151" t="str">
        <f t="shared" si="10"/>
        <v/>
      </c>
      <c r="P151" t="str">
        <f t="shared" si="11"/>
        <v/>
      </c>
    </row>
    <row r="152" spans="1:16">
      <c r="A152" t="s">
        <v>221</v>
      </c>
      <c r="B152" t="s">
        <v>222</v>
      </c>
      <c r="C152" t="s">
        <v>394</v>
      </c>
      <c r="D152" t="s">
        <v>395</v>
      </c>
      <c r="E152">
        <v>20171</v>
      </c>
      <c r="F152" t="s">
        <v>14</v>
      </c>
      <c r="G152" t="s">
        <v>51</v>
      </c>
      <c r="H152">
        <v>3.5</v>
      </c>
      <c r="I152">
        <v>0</v>
      </c>
      <c r="J152">
        <v>20201</v>
      </c>
      <c r="K152">
        <f>COUNTIF('rEKAP kls MK'!$A$2:$A$35,Worksheet!C152)</f>
        <v>1</v>
      </c>
      <c r="L152" t="str">
        <f t="shared" si="8"/>
        <v>F1B115021</v>
      </c>
      <c r="M152" t="str">
        <f t="shared" si="9"/>
        <v>LALU TRIAWANRI NOVIANUNG</v>
      </c>
      <c r="O152" t="str">
        <f t="shared" si="10"/>
        <v/>
      </c>
      <c r="P152" t="str">
        <f t="shared" si="11"/>
        <v/>
      </c>
    </row>
    <row r="153" spans="1:16">
      <c r="A153" t="s">
        <v>225</v>
      </c>
      <c r="B153" t="s">
        <v>226</v>
      </c>
      <c r="C153" t="s">
        <v>394</v>
      </c>
      <c r="D153" t="s">
        <v>395</v>
      </c>
      <c r="E153">
        <v>20171</v>
      </c>
      <c r="F153" t="s">
        <v>14</v>
      </c>
      <c r="G153" t="s">
        <v>125</v>
      </c>
      <c r="H153">
        <v>1</v>
      </c>
      <c r="I153">
        <v>0</v>
      </c>
      <c r="J153">
        <v>20201</v>
      </c>
      <c r="K153">
        <f>COUNTIF('rEKAP kls MK'!$A$2:$A$35,Worksheet!C153)</f>
        <v>1</v>
      </c>
      <c r="L153" t="str">
        <f t="shared" si="8"/>
        <v>F1B115023</v>
      </c>
      <c r="M153" t="str">
        <f t="shared" si="9"/>
        <v>M Habibillah</v>
      </c>
      <c r="O153" t="str">
        <f t="shared" si="10"/>
        <v/>
      </c>
      <c r="P153" t="str">
        <f t="shared" si="11"/>
        <v/>
      </c>
    </row>
    <row r="154" spans="1:16">
      <c r="A154" t="s">
        <v>229</v>
      </c>
      <c r="B154" t="s">
        <v>230</v>
      </c>
      <c r="C154" t="s">
        <v>394</v>
      </c>
      <c r="D154" t="s">
        <v>395</v>
      </c>
      <c r="E154">
        <v>20171</v>
      </c>
      <c r="F154" t="s">
        <v>14</v>
      </c>
      <c r="G154" t="s">
        <v>18</v>
      </c>
      <c r="H154">
        <v>3</v>
      </c>
      <c r="I154">
        <v>0</v>
      </c>
      <c r="J154">
        <v>20201</v>
      </c>
      <c r="K154">
        <f>COUNTIF('rEKAP kls MK'!$A$2:$A$35,Worksheet!C154)</f>
        <v>1</v>
      </c>
      <c r="L154" t="str">
        <f t="shared" si="8"/>
        <v>F1B115029</v>
      </c>
      <c r="M154" t="str">
        <f t="shared" si="9"/>
        <v>MUHAMAT TAUFIK</v>
      </c>
      <c r="O154" t="str">
        <f t="shared" si="10"/>
        <v/>
      </c>
      <c r="P154" t="str">
        <f t="shared" si="11"/>
        <v/>
      </c>
    </row>
    <row r="155" spans="1:16">
      <c r="A155" t="s">
        <v>231</v>
      </c>
      <c r="B155" t="s">
        <v>232</v>
      </c>
      <c r="C155" t="s">
        <v>394</v>
      </c>
      <c r="D155" t="s">
        <v>395</v>
      </c>
      <c r="E155">
        <v>20171</v>
      </c>
      <c r="F155" t="s">
        <v>14</v>
      </c>
      <c r="G155" t="s">
        <v>23</v>
      </c>
      <c r="H155">
        <v>2.5</v>
      </c>
      <c r="I155">
        <v>0</v>
      </c>
      <c r="J155">
        <v>20201</v>
      </c>
      <c r="K155">
        <f>COUNTIF('rEKAP kls MK'!$A$2:$A$35,Worksheet!C155)</f>
        <v>1</v>
      </c>
      <c r="L155" t="str">
        <f t="shared" si="8"/>
        <v>F1B115030</v>
      </c>
      <c r="M155" t="str">
        <f t="shared" si="9"/>
        <v>MUHAMMAD FIQRIL</v>
      </c>
      <c r="O155" t="str">
        <f t="shared" si="10"/>
        <v/>
      </c>
      <c r="P155" t="str">
        <f t="shared" si="11"/>
        <v/>
      </c>
    </row>
    <row r="156" spans="1:16">
      <c r="A156" t="s">
        <v>233</v>
      </c>
      <c r="B156" t="s">
        <v>234</v>
      </c>
      <c r="C156" t="s">
        <v>394</v>
      </c>
      <c r="D156" t="s">
        <v>395</v>
      </c>
      <c r="E156">
        <v>20171</v>
      </c>
      <c r="F156" t="s">
        <v>14</v>
      </c>
      <c r="G156" t="s">
        <v>51</v>
      </c>
      <c r="H156">
        <v>3.5</v>
      </c>
      <c r="I156">
        <v>0</v>
      </c>
      <c r="J156">
        <v>20201</v>
      </c>
      <c r="K156">
        <f>COUNTIF('rEKAP kls MK'!$A$2:$A$35,Worksheet!C156)</f>
        <v>1</v>
      </c>
      <c r="L156" t="str">
        <f t="shared" si="8"/>
        <v>F1B115031</v>
      </c>
      <c r="M156" t="str">
        <f t="shared" si="9"/>
        <v>Muhammad Riza Pratama S</v>
      </c>
      <c r="O156" t="str">
        <f t="shared" si="10"/>
        <v/>
      </c>
      <c r="P156" t="str">
        <f t="shared" si="11"/>
        <v/>
      </c>
    </row>
    <row r="157" spans="1:16">
      <c r="A157" t="s">
        <v>187</v>
      </c>
      <c r="B157" t="s">
        <v>188</v>
      </c>
      <c r="C157" t="s">
        <v>394</v>
      </c>
      <c r="D157" t="s">
        <v>395</v>
      </c>
      <c r="E157">
        <v>20171</v>
      </c>
      <c r="F157" t="s">
        <v>14</v>
      </c>
      <c r="G157" t="s">
        <v>51</v>
      </c>
      <c r="H157">
        <v>3.5</v>
      </c>
      <c r="I157">
        <v>0</v>
      </c>
      <c r="J157">
        <v>20201</v>
      </c>
      <c r="K157">
        <f>COUNTIF('rEKAP kls MK'!$A$2:$A$35,Worksheet!C157)</f>
        <v>1</v>
      </c>
      <c r="L157" t="str">
        <f t="shared" si="8"/>
        <v>F1B115032</v>
      </c>
      <c r="M157" t="str">
        <f t="shared" si="9"/>
        <v>Muhammad Rozziq Syaputra</v>
      </c>
      <c r="O157" t="str">
        <f t="shared" si="10"/>
        <v/>
      </c>
      <c r="P157" t="str">
        <f t="shared" si="11"/>
        <v/>
      </c>
    </row>
    <row r="158" spans="1:16">
      <c r="A158" t="s">
        <v>231</v>
      </c>
      <c r="B158" t="s">
        <v>232</v>
      </c>
      <c r="C158" t="s">
        <v>552</v>
      </c>
      <c r="D158" t="s">
        <v>553</v>
      </c>
      <c r="E158">
        <v>20171</v>
      </c>
      <c r="F158" t="s">
        <v>467</v>
      </c>
      <c r="G158" t="s">
        <v>125</v>
      </c>
      <c r="H158">
        <v>1</v>
      </c>
      <c r="I158">
        <v>0</v>
      </c>
      <c r="J158">
        <v>20201</v>
      </c>
      <c r="K158">
        <f>COUNTIF('rEKAP kls MK'!$A$2:$A$35,Worksheet!C158)</f>
        <v>0</v>
      </c>
      <c r="L158" t="str">
        <f t="shared" si="8"/>
        <v>F1B115030</v>
      </c>
      <c r="M158" t="str">
        <f t="shared" si="9"/>
        <v>MUHAMMAD FIQRIL</v>
      </c>
      <c r="O158" t="str">
        <f t="shared" si="10"/>
        <v>BIOLOGI UMUM</v>
      </c>
      <c r="P158" t="str">
        <f t="shared" si="11"/>
        <v>TPB</v>
      </c>
    </row>
    <row r="159" spans="1:16">
      <c r="A159" t="s">
        <v>468</v>
      </c>
      <c r="B159" t="s">
        <v>469</v>
      </c>
      <c r="C159" t="s">
        <v>552</v>
      </c>
      <c r="D159" t="s">
        <v>553</v>
      </c>
      <c r="E159">
        <v>20171</v>
      </c>
      <c r="F159" t="s">
        <v>467</v>
      </c>
      <c r="G159" t="s">
        <v>51</v>
      </c>
      <c r="H159">
        <v>3.5</v>
      </c>
      <c r="I159">
        <v>0</v>
      </c>
      <c r="J159">
        <v>20201</v>
      </c>
      <c r="K159">
        <f>COUNTIF('rEKAP kls MK'!$A$2:$A$35,Worksheet!C159)</f>
        <v>0</v>
      </c>
      <c r="L159" t="str">
        <f t="shared" si="8"/>
        <v>F1B117001</v>
      </c>
      <c r="M159" t="str">
        <f t="shared" si="9"/>
        <v>ABI LASKAR</v>
      </c>
      <c r="O159" t="str">
        <f t="shared" si="10"/>
        <v/>
      </c>
      <c r="P159" t="str">
        <f t="shared" si="11"/>
        <v/>
      </c>
    </row>
    <row r="160" spans="1:16">
      <c r="A160" t="s">
        <v>470</v>
      </c>
      <c r="B160" t="s">
        <v>471</v>
      </c>
      <c r="C160" t="s">
        <v>552</v>
      </c>
      <c r="D160" t="s">
        <v>553</v>
      </c>
      <c r="E160">
        <v>20171</v>
      </c>
      <c r="F160" t="s">
        <v>467</v>
      </c>
      <c r="G160" t="s">
        <v>18</v>
      </c>
      <c r="H160">
        <v>3</v>
      </c>
      <c r="I160">
        <v>0</v>
      </c>
      <c r="J160">
        <v>20201</v>
      </c>
      <c r="K160">
        <f>COUNTIF('rEKAP kls MK'!$A$2:$A$35,Worksheet!C160)</f>
        <v>0</v>
      </c>
      <c r="L160" t="str">
        <f t="shared" si="8"/>
        <v>F1B117002</v>
      </c>
      <c r="M160" t="str">
        <f t="shared" si="9"/>
        <v>ADE PUTRA CAHYADI</v>
      </c>
      <c r="O160" t="str">
        <f t="shared" si="10"/>
        <v/>
      </c>
      <c r="P160" t="str">
        <f t="shared" si="11"/>
        <v/>
      </c>
    </row>
    <row r="161" spans="1:16">
      <c r="A161" t="s">
        <v>472</v>
      </c>
      <c r="B161" t="s">
        <v>473</v>
      </c>
      <c r="C161" t="s">
        <v>552</v>
      </c>
      <c r="D161" t="s">
        <v>553</v>
      </c>
      <c r="E161">
        <v>20171</v>
      </c>
      <c r="F161" t="s">
        <v>467</v>
      </c>
      <c r="G161" t="s">
        <v>51</v>
      </c>
      <c r="H161">
        <v>3.5</v>
      </c>
      <c r="I161">
        <v>0</v>
      </c>
      <c r="J161">
        <v>20201</v>
      </c>
      <c r="K161">
        <f>COUNTIF('rEKAP kls MK'!$A$2:$A$35,Worksheet!C161)</f>
        <v>0</v>
      </c>
    </row>
    <row r="162" spans="1:16">
      <c r="A162" t="s">
        <v>474</v>
      </c>
      <c r="B162" t="s">
        <v>475</v>
      </c>
      <c r="C162" t="s">
        <v>552</v>
      </c>
      <c r="D162" t="s">
        <v>553</v>
      </c>
      <c r="E162">
        <v>20171</v>
      </c>
      <c r="F162" t="s">
        <v>467</v>
      </c>
      <c r="G162" t="s">
        <v>51</v>
      </c>
      <c r="H162">
        <v>3.5</v>
      </c>
      <c r="I162">
        <v>0</v>
      </c>
      <c r="J162">
        <v>20201</v>
      </c>
      <c r="K162">
        <f>COUNTIF('rEKAP kls MK'!$A$2:$A$35,Worksheet!C162)</f>
        <v>0</v>
      </c>
      <c r="L162" t="str">
        <f t="shared" si="8"/>
        <v>F1B117004</v>
      </c>
      <c r="M162" t="str">
        <f t="shared" si="9"/>
        <v>AHMAD RAJABUL AKBAR KHAIRU</v>
      </c>
      <c r="O162" t="str">
        <f t="shared" si="10"/>
        <v/>
      </c>
      <c r="P162" t="str">
        <f t="shared" si="11"/>
        <v/>
      </c>
    </row>
    <row r="163" spans="1:16">
      <c r="A163" t="s">
        <v>476</v>
      </c>
      <c r="B163" t="s">
        <v>477</v>
      </c>
      <c r="C163" t="s">
        <v>552</v>
      </c>
      <c r="D163" t="s">
        <v>553</v>
      </c>
      <c r="E163">
        <v>20171</v>
      </c>
      <c r="F163" t="s">
        <v>467</v>
      </c>
      <c r="G163" t="s">
        <v>51</v>
      </c>
      <c r="H163">
        <v>3.5</v>
      </c>
      <c r="I163">
        <v>0</v>
      </c>
      <c r="J163">
        <v>20201</v>
      </c>
      <c r="K163">
        <f>COUNTIF('rEKAP kls MK'!$A$2:$A$35,Worksheet!C163)</f>
        <v>0</v>
      </c>
      <c r="L163" t="str">
        <f t="shared" si="8"/>
        <v>F1B117005</v>
      </c>
      <c r="M163" t="str">
        <f t="shared" si="9"/>
        <v>AKBAR MAJID</v>
      </c>
      <c r="O163" t="str">
        <f t="shared" si="10"/>
        <v/>
      </c>
      <c r="P163" t="str">
        <f t="shared" si="11"/>
        <v/>
      </c>
    </row>
    <row r="164" spans="1:16">
      <c r="A164" t="s">
        <v>478</v>
      </c>
      <c r="B164" t="s">
        <v>479</v>
      </c>
      <c r="C164" t="s">
        <v>552</v>
      </c>
      <c r="D164" t="s">
        <v>553</v>
      </c>
      <c r="E164">
        <v>20171</v>
      </c>
      <c r="F164" t="s">
        <v>467</v>
      </c>
      <c r="G164" t="s">
        <v>18</v>
      </c>
      <c r="H164">
        <v>3</v>
      </c>
      <c r="I164">
        <v>0</v>
      </c>
      <c r="J164">
        <v>20201</v>
      </c>
      <c r="K164">
        <f>COUNTIF('rEKAP kls MK'!$A$2:$A$35,Worksheet!C164)</f>
        <v>0</v>
      </c>
      <c r="L164" t="str">
        <f t="shared" si="8"/>
        <v>F1B117006</v>
      </c>
      <c r="M164" t="str">
        <f t="shared" si="9"/>
        <v>ANDI MUHAMAD HANIF</v>
      </c>
      <c r="O164" t="str">
        <f t="shared" si="10"/>
        <v/>
      </c>
      <c r="P164" t="str">
        <f t="shared" si="11"/>
        <v/>
      </c>
    </row>
    <row r="165" spans="1:16">
      <c r="A165" t="s">
        <v>480</v>
      </c>
      <c r="B165" t="s">
        <v>481</v>
      </c>
      <c r="C165" t="s">
        <v>552</v>
      </c>
      <c r="D165" t="s">
        <v>553</v>
      </c>
      <c r="E165">
        <v>20171</v>
      </c>
      <c r="F165" t="s">
        <v>467</v>
      </c>
      <c r="G165" t="s">
        <v>51</v>
      </c>
      <c r="H165">
        <v>3.5</v>
      </c>
      <c r="I165">
        <v>0</v>
      </c>
      <c r="J165">
        <v>20201</v>
      </c>
      <c r="K165">
        <f>COUNTIF('rEKAP kls MK'!$A$2:$A$35,Worksheet!C165)</f>
        <v>0</v>
      </c>
      <c r="L165" t="str">
        <f t="shared" si="8"/>
        <v>F1B117007</v>
      </c>
      <c r="M165" t="str">
        <f t="shared" si="9"/>
        <v>ANDIKA RAHMAN</v>
      </c>
      <c r="O165" t="str">
        <f t="shared" si="10"/>
        <v/>
      </c>
      <c r="P165" t="str">
        <f t="shared" si="11"/>
        <v/>
      </c>
    </row>
    <row r="166" spans="1:16">
      <c r="A166" t="s">
        <v>482</v>
      </c>
      <c r="B166" t="s">
        <v>483</v>
      </c>
      <c r="C166" t="s">
        <v>552</v>
      </c>
      <c r="D166" t="s">
        <v>553</v>
      </c>
      <c r="E166">
        <v>20171</v>
      </c>
      <c r="F166" t="s">
        <v>467</v>
      </c>
      <c r="G166" t="s">
        <v>18</v>
      </c>
      <c r="H166">
        <v>3</v>
      </c>
      <c r="I166">
        <v>0</v>
      </c>
      <c r="J166">
        <v>20201</v>
      </c>
      <c r="K166">
        <f>COUNTIF('rEKAP kls MK'!$A$2:$A$35,Worksheet!C166)</f>
        <v>0</v>
      </c>
      <c r="L166" t="str">
        <f t="shared" si="8"/>
        <v>F1B117008</v>
      </c>
      <c r="M166" t="str">
        <f t="shared" si="9"/>
        <v>ANDRE PRATAMA</v>
      </c>
      <c r="O166" t="str">
        <f t="shared" si="10"/>
        <v/>
      </c>
      <c r="P166" t="str">
        <f t="shared" si="11"/>
        <v/>
      </c>
    </row>
    <row r="167" spans="1:16">
      <c r="A167" t="s">
        <v>484</v>
      </c>
      <c r="B167" t="s">
        <v>485</v>
      </c>
      <c r="C167" t="s">
        <v>552</v>
      </c>
      <c r="D167" t="s">
        <v>553</v>
      </c>
      <c r="E167">
        <v>20171</v>
      </c>
      <c r="F167" t="s">
        <v>467</v>
      </c>
      <c r="G167" t="s">
        <v>116</v>
      </c>
      <c r="H167">
        <v>1.5</v>
      </c>
      <c r="I167">
        <v>0</v>
      </c>
      <c r="J167">
        <v>20201</v>
      </c>
      <c r="K167">
        <f>COUNTIF('rEKAP kls MK'!$A$2:$A$35,Worksheet!C167)</f>
        <v>0</v>
      </c>
      <c r="L167" t="str">
        <f t="shared" si="8"/>
        <v>F1B117009</v>
      </c>
      <c r="M167" t="str">
        <f t="shared" si="9"/>
        <v>ANDREAN EKO RAMADHAN</v>
      </c>
      <c r="O167" t="str">
        <f t="shared" si="10"/>
        <v/>
      </c>
      <c r="P167" t="str">
        <f t="shared" si="11"/>
        <v/>
      </c>
    </row>
    <row r="168" spans="1:16">
      <c r="A168" t="s">
        <v>486</v>
      </c>
      <c r="B168" t="s">
        <v>487</v>
      </c>
      <c r="C168" t="s">
        <v>552</v>
      </c>
      <c r="D168" t="s">
        <v>553</v>
      </c>
      <c r="E168">
        <v>20171</v>
      </c>
      <c r="F168" t="s">
        <v>467</v>
      </c>
      <c r="G168" t="s">
        <v>18</v>
      </c>
      <c r="H168">
        <v>3</v>
      </c>
      <c r="I168">
        <v>0</v>
      </c>
      <c r="J168">
        <v>20201</v>
      </c>
      <c r="K168">
        <f>COUNTIF('rEKAP kls MK'!$A$2:$A$35,Worksheet!C168)</f>
        <v>0</v>
      </c>
      <c r="L168" t="str">
        <f t="shared" si="8"/>
        <v>F1B117010</v>
      </c>
      <c r="M168" t="str">
        <f t="shared" si="9"/>
        <v>ARGA SUTRI PRATAMA</v>
      </c>
      <c r="O168" t="str">
        <f t="shared" si="10"/>
        <v/>
      </c>
      <c r="P168" t="str">
        <f t="shared" si="11"/>
        <v/>
      </c>
    </row>
    <row r="169" spans="1:16">
      <c r="A169" t="s">
        <v>488</v>
      </c>
      <c r="B169" t="s">
        <v>489</v>
      </c>
      <c r="C169" t="s">
        <v>552</v>
      </c>
      <c r="D169" t="s">
        <v>553</v>
      </c>
      <c r="E169">
        <v>20171</v>
      </c>
      <c r="F169" t="s">
        <v>467</v>
      </c>
      <c r="G169" t="s">
        <v>18</v>
      </c>
      <c r="H169">
        <v>3</v>
      </c>
      <c r="I169">
        <v>0</v>
      </c>
      <c r="J169">
        <v>20201</v>
      </c>
      <c r="K169">
        <f>COUNTIF('rEKAP kls MK'!$A$2:$A$35,Worksheet!C169)</f>
        <v>0</v>
      </c>
      <c r="L169" t="str">
        <f t="shared" si="8"/>
        <v>F1B117011</v>
      </c>
      <c r="M169" t="str">
        <f t="shared" si="9"/>
        <v>BAYU ADE SURYA</v>
      </c>
      <c r="O169" t="str">
        <f t="shared" si="10"/>
        <v/>
      </c>
      <c r="P169" t="str">
        <f t="shared" si="11"/>
        <v/>
      </c>
    </row>
    <row r="170" spans="1:16">
      <c r="A170" t="s">
        <v>490</v>
      </c>
      <c r="B170" t="s">
        <v>491</v>
      </c>
      <c r="C170" t="s">
        <v>552</v>
      </c>
      <c r="D170" t="s">
        <v>553</v>
      </c>
      <c r="E170">
        <v>20171</v>
      </c>
      <c r="F170" t="s">
        <v>467</v>
      </c>
      <c r="G170" t="s">
        <v>51</v>
      </c>
      <c r="H170">
        <v>3.5</v>
      </c>
      <c r="I170">
        <v>0</v>
      </c>
      <c r="J170">
        <v>20201</v>
      </c>
      <c r="K170">
        <f>COUNTIF('rEKAP kls MK'!$A$2:$A$35,Worksheet!C170)</f>
        <v>0</v>
      </c>
      <c r="L170" t="str">
        <f t="shared" si="8"/>
        <v>F1B117012</v>
      </c>
      <c r="M170" t="str">
        <f t="shared" si="9"/>
        <v>ERLAN BAHTIAR</v>
      </c>
      <c r="O170" t="str">
        <f t="shared" si="10"/>
        <v/>
      </c>
      <c r="P170" t="str">
        <f t="shared" si="11"/>
        <v/>
      </c>
    </row>
    <row r="171" spans="1:16">
      <c r="A171" t="s">
        <v>492</v>
      </c>
      <c r="B171" t="s">
        <v>493</v>
      </c>
      <c r="C171" t="s">
        <v>552</v>
      </c>
      <c r="D171" t="s">
        <v>553</v>
      </c>
      <c r="E171">
        <v>20171</v>
      </c>
      <c r="F171" t="s">
        <v>467</v>
      </c>
      <c r="G171" t="s">
        <v>18</v>
      </c>
      <c r="H171">
        <v>3</v>
      </c>
      <c r="I171">
        <v>0</v>
      </c>
      <c r="J171">
        <v>20201</v>
      </c>
      <c r="K171">
        <f>COUNTIF('rEKAP kls MK'!$A$2:$A$35,Worksheet!C171)</f>
        <v>0</v>
      </c>
      <c r="L171" t="str">
        <f t="shared" si="8"/>
        <v>F1B117013</v>
      </c>
      <c r="M171" t="str">
        <f t="shared" si="9"/>
        <v>FADHLI EKO PRASETYO</v>
      </c>
      <c r="O171" t="str">
        <f t="shared" si="10"/>
        <v/>
      </c>
      <c r="P171" t="str">
        <f t="shared" si="11"/>
        <v/>
      </c>
    </row>
    <row r="172" spans="1:16">
      <c r="A172" t="s">
        <v>494</v>
      </c>
      <c r="B172" t="s">
        <v>495</v>
      </c>
      <c r="C172" t="s">
        <v>552</v>
      </c>
      <c r="D172" t="s">
        <v>553</v>
      </c>
      <c r="E172">
        <v>20171</v>
      </c>
      <c r="F172" t="s">
        <v>467</v>
      </c>
      <c r="G172" t="s">
        <v>51</v>
      </c>
      <c r="H172">
        <v>3.5</v>
      </c>
      <c r="I172">
        <v>0</v>
      </c>
      <c r="J172">
        <v>20201</v>
      </c>
      <c r="K172">
        <f>COUNTIF('rEKAP kls MK'!$A$2:$A$35,Worksheet!C172)</f>
        <v>0</v>
      </c>
      <c r="L172" t="str">
        <f t="shared" si="8"/>
        <v>F1B117014</v>
      </c>
      <c r="M172" t="str">
        <f t="shared" si="9"/>
        <v>FANNY WINDARY BATANIA</v>
      </c>
      <c r="O172" t="str">
        <f t="shared" si="10"/>
        <v/>
      </c>
      <c r="P172" t="str">
        <f t="shared" si="11"/>
        <v/>
      </c>
    </row>
    <row r="173" spans="1:16">
      <c r="A173" t="s">
        <v>496</v>
      </c>
      <c r="B173" t="s">
        <v>497</v>
      </c>
      <c r="C173" t="s">
        <v>552</v>
      </c>
      <c r="D173" t="s">
        <v>553</v>
      </c>
      <c r="E173">
        <v>20171</v>
      </c>
      <c r="F173" t="s">
        <v>467</v>
      </c>
      <c r="G173" t="s">
        <v>51</v>
      </c>
      <c r="H173">
        <v>3.5</v>
      </c>
      <c r="I173">
        <v>0</v>
      </c>
      <c r="J173">
        <v>20201</v>
      </c>
      <c r="K173">
        <f>COUNTIF('rEKAP kls MK'!$A$2:$A$35,Worksheet!C173)</f>
        <v>0</v>
      </c>
      <c r="L173" t="str">
        <f t="shared" si="8"/>
        <v>F1B117015</v>
      </c>
      <c r="M173" t="str">
        <f t="shared" si="9"/>
        <v>GALI GALUH SAKTI</v>
      </c>
      <c r="O173" t="str">
        <f t="shared" si="10"/>
        <v/>
      </c>
      <c r="P173" t="str">
        <f t="shared" si="11"/>
        <v/>
      </c>
    </row>
    <row r="174" spans="1:16">
      <c r="A174" t="s">
        <v>498</v>
      </c>
      <c r="B174" t="s">
        <v>499</v>
      </c>
      <c r="C174" t="s">
        <v>552</v>
      </c>
      <c r="D174" t="s">
        <v>553</v>
      </c>
      <c r="E174">
        <v>20171</v>
      </c>
      <c r="F174" t="s">
        <v>467</v>
      </c>
      <c r="G174" t="s">
        <v>51</v>
      </c>
      <c r="H174">
        <v>3.5</v>
      </c>
      <c r="I174">
        <v>0</v>
      </c>
      <c r="J174">
        <v>20201</v>
      </c>
      <c r="K174">
        <f>COUNTIF('rEKAP kls MK'!$A$2:$A$35,Worksheet!C174)</f>
        <v>0</v>
      </c>
      <c r="L174" t="str">
        <f t="shared" si="8"/>
        <v>F1B117016</v>
      </c>
      <c r="M174" t="str">
        <f t="shared" si="9"/>
        <v>GAUSS NUR SALAM</v>
      </c>
      <c r="O174" t="str">
        <f t="shared" si="10"/>
        <v/>
      </c>
      <c r="P174" t="str">
        <f t="shared" si="11"/>
        <v/>
      </c>
    </row>
    <row r="175" spans="1:16">
      <c r="A175" t="s">
        <v>500</v>
      </c>
      <c r="B175" t="s">
        <v>501</v>
      </c>
      <c r="C175" t="s">
        <v>552</v>
      </c>
      <c r="D175" t="s">
        <v>553</v>
      </c>
      <c r="E175">
        <v>20171</v>
      </c>
      <c r="F175" t="s">
        <v>467</v>
      </c>
      <c r="G175" t="s">
        <v>18</v>
      </c>
      <c r="H175">
        <v>3</v>
      </c>
      <c r="I175">
        <v>0</v>
      </c>
      <c r="J175">
        <v>20201</v>
      </c>
      <c r="K175">
        <f>COUNTIF('rEKAP kls MK'!$A$2:$A$35,Worksheet!C175)</f>
        <v>0</v>
      </c>
      <c r="L175" t="str">
        <f t="shared" si="8"/>
        <v>F1B117017</v>
      </c>
      <c r="M175" t="str">
        <f t="shared" si="9"/>
        <v>HELMY AMALIA ARIESTA</v>
      </c>
      <c r="O175" t="str">
        <f t="shared" si="10"/>
        <v/>
      </c>
      <c r="P175" t="str">
        <f t="shared" si="11"/>
        <v/>
      </c>
    </row>
    <row r="176" spans="1:16">
      <c r="A176" t="s">
        <v>502</v>
      </c>
      <c r="B176" t="s">
        <v>503</v>
      </c>
      <c r="C176" t="s">
        <v>552</v>
      </c>
      <c r="D176" t="s">
        <v>553</v>
      </c>
      <c r="E176">
        <v>20171</v>
      </c>
      <c r="F176" t="s">
        <v>467</v>
      </c>
      <c r="G176" t="s">
        <v>51</v>
      </c>
      <c r="H176">
        <v>3.5</v>
      </c>
      <c r="I176">
        <v>0</v>
      </c>
      <c r="J176">
        <v>20201</v>
      </c>
      <c r="K176">
        <f>COUNTIF('rEKAP kls MK'!$A$2:$A$35,Worksheet!C176)</f>
        <v>0</v>
      </c>
      <c r="L176" t="str">
        <f t="shared" si="8"/>
        <v>F1B117018</v>
      </c>
      <c r="M176" t="str">
        <f t="shared" si="9"/>
        <v>ILHAM MUHAMMAD</v>
      </c>
      <c r="O176" t="str">
        <f t="shared" si="10"/>
        <v/>
      </c>
      <c r="P176" t="str">
        <f t="shared" si="11"/>
        <v/>
      </c>
    </row>
    <row r="177" spans="1:16">
      <c r="A177" t="s">
        <v>504</v>
      </c>
      <c r="B177" t="s">
        <v>505</v>
      </c>
      <c r="C177" t="s">
        <v>552</v>
      </c>
      <c r="D177" t="s">
        <v>553</v>
      </c>
      <c r="E177">
        <v>20171</v>
      </c>
      <c r="F177" t="s">
        <v>467</v>
      </c>
      <c r="G177" t="s">
        <v>18</v>
      </c>
      <c r="H177">
        <v>3</v>
      </c>
      <c r="I177">
        <v>0</v>
      </c>
      <c r="J177">
        <v>20201</v>
      </c>
      <c r="K177">
        <f>COUNTIF('rEKAP kls MK'!$A$2:$A$35,Worksheet!C177)</f>
        <v>0</v>
      </c>
      <c r="L177" t="str">
        <f t="shared" si="8"/>
        <v>F1B117019</v>
      </c>
      <c r="M177" t="str">
        <f t="shared" si="9"/>
        <v>KHAIRUL MUAMALAH</v>
      </c>
      <c r="O177" t="str">
        <f t="shared" si="10"/>
        <v/>
      </c>
      <c r="P177" t="str">
        <f t="shared" si="11"/>
        <v/>
      </c>
    </row>
    <row r="178" spans="1:16">
      <c r="A178" t="s">
        <v>506</v>
      </c>
      <c r="B178" t="s">
        <v>507</v>
      </c>
      <c r="C178" t="s">
        <v>552</v>
      </c>
      <c r="D178" t="s">
        <v>553</v>
      </c>
      <c r="E178">
        <v>20171</v>
      </c>
      <c r="F178" t="s">
        <v>467</v>
      </c>
      <c r="G178" t="s">
        <v>18</v>
      </c>
      <c r="H178">
        <v>3</v>
      </c>
      <c r="I178">
        <v>0</v>
      </c>
      <c r="J178">
        <v>20201</v>
      </c>
      <c r="K178">
        <f>COUNTIF('rEKAP kls MK'!$A$2:$A$35,Worksheet!C178)</f>
        <v>0</v>
      </c>
      <c r="L178" t="str">
        <f t="shared" si="8"/>
        <v>F1B117020</v>
      </c>
      <c r="M178" t="str">
        <f t="shared" si="9"/>
        <v>LENKA AURELIE YUDHISTIRA</v>
      </c>
      <c r="O178" t="str">
        <f t="shared" si="10"/>
        <v/>
      </c>
      <c r="P178" t="str">
        <f t="shared" si="11"/>
        <v/>
      </c>
    </row>
    <row r="179" spans="1:16">
      <c r="A179" t="s">
        <v>508</v>
      </c>
      <c r="B179" t="s">
        <v>509</v>
      </c>
      <c r="C179" t="s">
        <v>552</v>
      </c>
      <c r="D179" t="s">
        <v>553</v>
      </c>
      <c r="E179">
        <v>20171</v>
      </c>
      <c r="F179" t="s">
        <v>467</v>
      </c>
      <c r="G179" t="s">
        <v>18</v>
      </c>
      <c r="H179">
        <v>3</v>
      </c>
      <c r="I179">
        <v>0</v>
      </c>
      <c r="J179">
        <v>20201</v>
      </c>
      <c r="K179">
        <f>COUNTIF('rEKAP kls MK'!$A$2:$A$35,Worksheet!C179)</f>
        <v>0</v>
      </c>
      <c r="L179" t="str">
        <f t="shared" si="8"/>
        <v>F1B117021</v>
      </c>
      <c r="M179" t="str">
        <f t="shared" si="9"/>
        <v>M. AL ZAIDIN</v>
      </c>
      <c r="O179" t="str">
        <f t="shared" si="10"/>
        <v/>
      </c>
      <c r="P179" t="str">
        <f t="shared" si="11"/>
        <v/>
      </c>
    </row>
    <row r="180" spans="1:16">
      <c r="A180" t="s">
        <v>510</v>
      </c>
      <c r="B180" t="s">
        <v>511</v>
      </c>
      <c r="C180" t="s">
        <v>552</v>
      </c>
      <c r="D180" t="s">
        <v>553</v>
      </c>
      <c r="E180">
        <v>20171</v>
      </c>
      <c r="F180" t="s">
        <v>467</v>
      </c>
      <c r="G180" t="s">
        <v>51</v>
      </c>
      <c r="H180">
        <v>3.5</v>
      </c>
      <c r="I180">
        <v>0</v>
      </c>
      <c r="J180">
        <v>20201</v>
      </c>
      <c r="K180">
        <f>COUNTIF('rEKAP kls MK'!$A$2:$A$35,Worksheet!C180)</f>
        <v>0</v>
      </c>
      <c r="L180" t="str">
        <f t="shared" si="8"/>
        <v>F1B117022</v>
      </c>
      <c r="M180" t="str">
        <f t="shared" si="9"/>
        <v>M. FAUZUL AKBAR</v>
      </c>
      <c r="O180" t="str">
        <f t="shared" si="10"/>
        <v/>
      </c>
      <c r="P180" t="str">
        <f t="shared" si="11"/>
        <v/>
      </c>
    </row>
    <row r="181" spans="1:16">
      <c r="A181" t="s">
        <v>512</v>
      </c>
      <c r="B181" t="s">
        <v>513</v>
      </c>
      <c r="C181" t="s">
        <v>552</v>
      </c>
      <c r="D181" t="s">
        <v>553</v>
      </c>
      <c r="E181">
        <v>20171</v>
      </c>
      <c r="F181" t="s">
        <v>467</v>
      </c>
      <c r="G181" t="s">
        <v>18</v>
      </c>
      <c r="H181">
        <v>3</v>
      </c>
      <c r="I181">
        <v>0</v>
      </c>
      <c r="J181">
        <v>20201</v>
      </c>
      <c r="K181">
        <f>COUNTIF('rEKAP kls MK'!$A$2:$A$35,Worksheet!C181)</f>
        <v>0</v>
      </c>
      <c r="L181" t="str">
        <f t="shared" si="8"/>
        <v>F1B117023</v>
      </c>
      <c r="M181" t="str">
        <f t="shared" si="9"/>
        <v>M.FAISAL</v>
      </c>
      <c r="O181" t="str">
        <f t="shared" si="10"/>
        <v/>
      </c>
      <c r="P181" t="str">
        <f t="shared" si="11"/>
        <v/>
      </c>
    </row>
    <row r="182" spans="1:16">
      <c r="A182" t="s">
        <v>514</v>
      </c>
      <c r="B182" t="s">
        <v>515</v>
      </c>
      <c r="C182" t="s">
        <v>552</v>
      </c>
      <c r="D182" t="s">
        <v>553</v>
      </c>
      <c r="E182">
        <v>20171</v>
      </c>
      <c r="F182" t="s">
        <v>467</v>
      </c>
      <c r="G182" t="s">
        <v>51</v>
      </c>
      <c r="H182">
        <v>3.5</v>
      </c>
      <c r="I182">
        <v>0</v>
      </c>
      <c r="J182">
        <v>20201</v>
      </c>
      <c r="K182">
        <f>COUNTIF('rEKAP kls MK'!$A$2:$A$35,Worksheet!C182)</f>
        <v>0</v>
      </c>
      <c r="L182" t="str">
        <f t="shared" si="8"/>
        <v>F1B117024</v>
      </c>
      <c r="M182" t="str">
        <f t="shared" si="9"/>
        <v>MUH. RISKI RAMADHAN</v>
      </c>
      <c r="O182" t="str">
        <f t="shared" si="10"/>
        <v/>
      </c>
      <c r="P182" t="str">
        <f t="shared" si="11"/>
        <v/>
      </c>
    </row>
    <row r="183" spans="1:16">
      <c r="A183" t="s">
        <v>516</v>
      </c>
      <c r="B183" t="s">
        <v>517</v>
      </c>
      <c r="C183" t="s">
        <v>552</v>
      </c>
      <c r="D183" t="s">
        <v>553</v>
      </c>
      <c r="E183">
        <v>20171</v>
      </c>
      <c r="F183" t="s">
        <v>467</v>
      </c>
      <c r="G183" t="s">
        <v>23</v>
      </c>
      <c r="H183">
        <v>2.5</v>
      </c>
      <c r="I183">
        <v>0</v>
      </c>
      <c r="J183">
        <v>20201</v>
      </c>
      <c r="K183">
        <f>COUNTIF('rEKAP kls MK'!$A$2:$A$35,Worksheet!C183)</f>
        <v>0</v>
      </c>
      <c r="L183" t="str">
        <f t="shared" si="8"/>
        <v>F1B117025</v>
      </c>
      <c r="M183" t="str">
        <f t="shared" si="9"/>
        <v>MUH. SALDA WINTARA</v>
      </c>
      <c r="O183" t="str">
        <f t="shared" si="10"/>
        <v/>
      </c>
      <c r="P183" t="str">
        <f t="shared" si="11"/>
        <v/>
      </c>
    </row>
    <row r="184" spans="1:16">
      <c r="A184" t="s">
        <v>518</v>
      </c>
      <c r="B184" t="s">
        <v>519</v>
      </c>
      <c r="C184" t="s">
        <v>552</v>
      </c>
      <c r="D184" t="s">
        <v>553</v>
      </c>
      <c r="E184">
        <v>20171</v>
      </c>
      <c r="F184" t="s">
        <v>467</v>
      </c>
      <c r="G184" t="s">
        <v>26</v>
      </c>
      <c r="H184">
        <v>2</v>
      </c>
      <c r="I184">
        <v>0</v>
      </c>
      <c r="J184">
        <v>20201</v>
      </c>
      <c r="K184">
        <f>COUNTIF('rEKAP kls MK'!$A$2:$A$35,Worksheet!C184)</f>
        <v>0</v>
      </c>
      <c r="L184" t="str">
        <f t="shared" si="8"/>
        <v>F1B117026</v>
      </c>
      <c r="M184" t="str">
        <f t="shared" si="9"/>
        <v>MUHAMMAD KHAIRUL HADI SYURAHMAN</v>
      </c>
      <c r="O184" t="str">
        <f t="shared" si="10"/>
        <v/>
      </c>
      <c r="P184" t="str">
        <f t="shared" si="11"/>
        <v/>
      </c>
    </row>
    <row r="185" spans="1:16">
      <c r="A185" t="s">
        <v>520</v>
      </c>
      <c r="B185" t="s">
        <v>521</v>
      </c>
      <c r="C185" t="s">
        <v>552</v>
      </c>
      <c r="D185" t="s">
        <v>553</v>
      </c>
      <c r="E185">
        <v>20171</v>
      </c>
      <c r="F185" t="s">
        <v>467</v>
      </c>
      <c r="G185" t="s">
        <v>18</v>
      </c>
      <c r="H185">
        <v>3</v>
      </c>
      <c r="I185">
        <v>0</v>
      </c>
      <c r="J185">
        <v>20201</v>
      </c>
      <c r="K185">
        <f>COUNTIF('rEKAP kls MK'!$A$2:$A$35,Worksheet!C185)</f>
        <v>0</v>
      </c>
      <c r="L185" t="str">
        <f t="shared" si="8"/>
        <v>F1B117027</v>
      </c>
      <c r="M185" t="str">
        <f t="shared" si="9"/>
        <v>MUHAMMAD MUKALLIBIN</v>
      </c>
      <c r="O185" t="str">
        <f t="shared" si="10"/>
        <v/>
      </c>
      <c r="P185" t="str">
        <f t="shared" si="11"/>
        <v/>
      </c>
    </row>
    <row r="186" spans="1:16">
      <c r="A186" t="s">
        <v>522</v>
      </c>
      <c r="B186" t="s">
        <v>523</v>
      </c>
      <c r="C186" t="s">
        <v>552</v>
      </c>
      <c r="D186" t="s">
        <v>553</v>
      </c>
      <c r="E186">
        <v>20171</v>
      </c>
      <c r="F186" t="s">
        <v>467</v>
      </c>
      <c r="G186" t="s">
        <v>51</v>
      </c>
      <c r="H186">
        <v>3.5</v>
      </c>
      <c r="I186">
        <v>0</v>
      </c>
      <c r="J186">
        <v>20201</v>
      </c>
      <c r="K186">
        <f>COUNTIF('rEKAP kls MK'!$A$2:$A$35,Worksheet!C186)</f>
        <v>0</v>
      </c>
      <c r="L186" t="str">
        <f t="shared" si="8"/>
        <v>F1B117028</v>
      </c>
      <c r="M186" t="str">
        <f t="shared" si="9"/>
        <v>MUHAMMAD NABIL</v>
      </c>
      <c r="O186" t="str">
        <f t="shared" si="10"/>
        <v/>
      </c>
      <c r="P186" t="str">
        <f t="shared" si="11"/>
        <v/>
      </c>
    </row>
    <row r="187" spans="1:16">
      <c r="A187" t="s">
        <v>524</v>
      </c>
      <c r="B187" t="s">
        <v>525</v>
      </c>
      <c r="C187" t="s">
        <v>552</v>
      </c>
      <c r="D187" t="s">
        <v>553</v>
      </c>
      <c r="E187">
        <v>20171</v>
      </c>
      <c r="F187" t="s">
        <v>467</v>
      </c>
      <c r="G187" t="s">
        <v>18</v>
      </c>
      <c r="H187">
        <v>3</v>
      </c>
      <c r="I187">
        <v>0</v>
      </c>
      <c r="J187">
        <v>20201</v>
      </c>
      <c r="K187">
        <f>COUNTIF('rEKAP kls MK'!$A$2:$A$35,Worksheet!C187)</f>
        <v>0</v>
      </c>
      <c r="L187" t="str">
        <f t="shared" si="8"/>
        <v>F1B117029</v>
      </c>
      <c r="M187" t="str">
        <f t="shared" si="9"/>
        <v>MUHAMMAD THORIQ DWI SETYAWAN</v>
      </c>
      <c r="O187" t="str">
        <f t="shared" si="10"/>
        <v/>
      </c>
      <c r="P187" t="str">
        <f t="shared" si="11"/>
        <v/>
      </c>
    </row>
    <row r="188" spans="1:16">
      <c r="A188" t="s">
        <v>526</v>
      </c>
      <c r="B188" t="s">
        <v>527</v>
      </c>
      <c r="C188" t="s">
        <v>552</v>
      </c>
      <c r="D188" t="s">
        <v>553</v>
      </c>
      <c r="E188">
        <v>20171</v>
      </c>
      <c r="F188" t="s">
        <v>467</v>
      </c>
      <c r="G188" t="s">
        <v>51</v>
      </c>
      <c r="H188">
        <v>3.5</v>
      </c>
      <c r="I188">
        <v>0</v>
      </c>
      <c r="J188">
        <v>20201</v>
      </c>
      <c r="K188">
        <f>COUNTIF('rEKAP kls MK'!$A$2:$A$35,Worksheet!C188)</f>
        <v>0</v>
      </c>
      <c r="L188" t="str">
        <f t="shared" si="8"/>
        <v>F1B117030</v>
      </c>
      <c r="M188" t="str">
        <f t="shared" si="9"/>
        <v>NURAFRINA</v>
      </c>
      <c r="O188" t="str">
        <f t="shared" si="10"/>
        <v/>
      </c>
      <c r="P188" t="str">
        <f t="shared" si="11"/>
        <v/>
      </c>
    </row>
    <row r="189" spans="1:16">
      <c r="A189" t="s">
        <v>528</v>
      </c>
      <c r="B189" t="s">
        <v>529</v>
      </c>
      <c r="C189" t="s">
        <v>552</v>
      </c>
      <c r="D189" t="s">
        <v>553</v>
      </c>
      <c r="E189">
        <v>20171</v>
      </c>
      <c r="F189" t="s">
        <v>467</v>
      </c>
      <c r="G189" t="s">
        <v>23</v>
      </c>
      <c r="H189">
        <v>2.5</v>
      </c>
      <c r="I189">
        <v>0</v>
      </c>
      <c r="J189">
        <v>20201</v>
      </c>
      <c r="K189">
        <f>COUNTIF('rEKAP kls MK'!$A$2:$A$35,Worksheet!C189)</f>
        <v>0</v>
      </c>
      <c r="L189" t="str">
        <f t="shared" si="8"/>
        <v>F1B117031</v>
      </c>
      <c r="M189" t="str">
        <f t="shared" si="9"/>
        <v>RAHMAT ADITYA PRADANA</v>
      </c>
      <c r="O189" t="str">
        <f t="shared" si="10"/>
        <v/>
      </c>
      <c r="P189" t="str">
        <f t="shared" si="11"/>
        <v/>
      </c>
    </row>
    <row r="190" spans="1:16">
      <c r="A190" t="s">
        <v>530</v>
      </c>
      <c r="B190" t="s">
        <v>531</v>
      </c>
      <c r="C190" t="s">
        <v>552</v>
      </c>
      <c r="D190" t="s">
        <v>553</v>
      </c>
      <c r="E190">
        <v>20171</v>
      </c>
      <c r="F190" t="s">
        <v>467</v>
      </c>
      <c r="G190" t="s">
        <v>18</v>
      </c>
      <c r="H190">
        <v>3</v>
      </c>
      <c r="I190">
        <v>0</v>
      </c>
      <c r="J190">
        <v>20201</v>
      </c>
      <c r="K190">
        <f>COUNTIF('rEKAP kls MK'!$A$2:$A$35,Worksheet!C190)</f>
        <v>0</v>
      </c>
      <c r="L190" t="str">
        <f t="shared" si="8"/>
        <v>F1B117032</v>
      </c>
      <c r="M190" t="str">
        <f t="shared" si="9"/>
        <v>RAMZY TAUFIQ HANIF</v>
      </c>
      <c r="O190" t="str">
        <f t="shared" si="10"/>
        <v/>
      </c>
      <c r="P190" t="str">
        <f t="shared" si="11"/>
        <v/>
      </c>
    </row>
    <row r="191" spans="1:16">
      <c r="A191" t="s">
        <v>532</v>
      </c>
      <c r="B191" t="s">
        <v>533</v>
      </c>
      <c r="C191" t="s">
        <v>552</v>
      </c>
      <c r="D191" t="s">
        <v>553</v>
      </c>
      <c r="E191">
        <v>20171</v>
      </c>
      <c r="F191" t="s">
        <v>467</v>
      </c>
      <c r="G191" t="s">
        <v>23</v>
      </c>
      <c r="H191">
        <v>2.5</v>
      </c>
      <c r="I191">
        <v>0</v>
      </c>
      <c r="J191">
        <v>20201</v>
      </c>
      <c r="K191">
        <f>COUNTIF('rEKAP kls MK'!$A$2:$A$35,Worksheet!C191)</f>
        <v>0</v>
      </c>
      <c r="L191" t="str">
        <f t="shared" si="8"/>
        <v>F1B117033</v>
      </c>
      <c r="M191" t="str">
        <f t="shared" si="9"/>
        <v>RIAN HENDRAWAN</v>
      </c>
      <c r="O191" t="str">
        <f t="shared" si="10"/>
        <v/>
      </c>
      <c r="P191" t="str">
        <f t="shared" si="11"/>
        <v/>
      </c>
    </row>
    <row r="192" spans="1:16">
      <c r="A192" t="s">
        <v>534</v>
      </c>
      <c r="B192" t="s">
        <v>535</v>
      </c>
      <c r="C192" t="s">
        <v>552</v>
      </c>
      <c r="D192" t="s">
        <v>553</v>
      </c>
      <c r="E192">
        <v>20171</v>
      </c>
      <c r="F192" t="s">
        <v>467</v>
      </c>
      <c r="G192" t="s">
        <v>18</v>
      </c>
      <c r="H192">
        <v>3</v>
      </c>
      <c r="I192">
        <v>0</v>
      </c>
      <c r="J192">
        <v>20201</v>
      </c>
      <c r="K192">
        <f>COUNTIF('rEKAP kls MK'!$A$2:$A$35,Worksheet!C192)</f>
        <v>0</v>
      </c>
      <c r="L192" t="str">
        <f t="shared" si="8"/>
        <v>F1B117034</v>
      </c>
      <c r="M192" t="str">
        <f t="shared" si="9"/>
        <v>RISKI KHARISMA PUTRA</v>
      </c>
      <c r="O192" t="str">
        <f t="shared" si="10"/>
        <v/>
      </c>
      <c r="P192" t="str">
        <f t="shared" si="11"/>
        <v/>
      </c>
    </row>
    <row r="193" spans="1:16">
      <c r="A193" t="s">
        <v>536</v>
      </c>
      <c r="B193" t="s">
        <v>537</v>
      </c>
      <c r="C193" t="s">
        <v>552</v>
      </c>
      <c r="D193" t="s">
        <v>553</v>
      </c>
      <c r="E193">
        <v>20171</v>
      </c>
      <c r="F193" t="s">
        <v>467</v>
      </c>
      <c r="G193" t="s">
        <v>18</v>
      </c>
      <c r="H193">
        <v>3</v>
      </c>
      <c r="I193">
        <v>0</v>
      </c>
      <c r="J193">
        <v>20201</v>
      </c>
      <c r="K193">
        <f>COUNTIF('rEKAP kls MK'!$A$2:$A$35,Worksheet!C193)</f>
        <v>0</v>
      </c>
      <c r="L193" t="str">
        <f t="shared" si="8"/>
        <v>F1B117035</v>
      </c>
      <c r="M193" t="str">
        <f t="shared" si="9"/>
        <v>RIZALUL HAQ</v>
      </c>
      <c r="O193" t="str">
        <f t="shared" si="10"/>
        <v/>
      </c>
      <c r="P193" t="str">
        <f t="shared" si="11"/>
        <v/>
      </c>
    </row>
    <row r="194" spans="1:16">
      <c r="A194" t="s">
        <v>538</v>
      </c>
      <c r="B194" t="s">
        <v>539</v>
      </c>
      <c r="C194" t="s">
        <v>552</v>
      </c>
      <c r="D194" t="s">
        <v>553</v>
      </c>
      <c r="E194">
        <v>20171</v>
      </c>
      <c r="F194" t="s">
        <v>467</v>
      </c>
      <c r="G194" t="s">
        <v>18</v>
      </c>
      <c r="H194">
        <v>3</v>
      </c>
      <c r="I194">
        <v>0</v>
      </c>
      <c r="J194">
        <v>20201</v>
      </c>
      <c r="K194">
        <f>COUNTIF('rEKAP kls MK'!$A$2:$A$35,Worksheet!C194)</f>
        <v>0</v>
      </c>
      <c r="L194" t="str">
        <f t="shared" si="8"/>
        <v>F1B117036</v>
      </c>
      <c r="M194" t="str">
        <f t="shared" si="9"/>
        <v>RIZKA MARDANI</v>
      </c>
      <c r="O194" t="str">
        <f t="shared" si="10"/>
        <v/>
      </c>
      <c r="P194" t="str">
        <f t="shared" si="11"/>
        <v/>
      </c>
    </row>
    <row r="195" spans="1:16">
      <c r="A195" t="s">
        <v>540</v>
      </c>
      <c r="B195" t="s">
        <v>541</v>
      </c>
      <c r="C195" t="s">
        <v>552</v>
      </c>
      <c r="D195" t="s">
        <v>553</v>
      </c>
      <c r="E195">
        <v>20171</v>
      </c>
      <c r="F195" t="s">
        <v>467</v>
      </c>
      <c r="G195" t="s">
        <v>26</v>
      </c>
      <c r="H195">
        <v>2</v>
      </c>
      <c r="I195">
        <v>0</v>
      </c>
      <c r="J195">
        <v>20201</v>
      </c>
      <c r="K195">
        <f>COUNTIF('rEKAP kls MK'!$A$2:$A$35,Worksheet!C195)</f>
        <v>0</v>
      </c>
      <c r="L195" t="str">
        <f t="shared" ref="L195:L258" si="12">IF(A194&lt;&gt;A195,A195,"")</f>
        <v>F1B117037</v>
      </c>
      <c r="M195" t="str">
        <f t="shared" ref="M195:M258" si="13">IF(B194&lt;&gt;B195,B195,"")</f>
        <v>TEJAMAN MULKI</v>
      </c>
      <c r="O195" t="str">
        <f t="shared" ref="O195:O258" si="14">IF(D194&lt;&gt;D195,D195,"")</f>
        <v/>
      </c>
      <c r="P195" t="str">
        <f t="shared" ref="P195:P258" si="15">IF(F194&lt;&gt;F195,F195,"")</f>
        <v/>
      </c>
    </row>
    <row r="196" spans="1:16">
      <c r="A196" t="s">
        <v>542</v>
      </c>
      <c r="B196" t="s">
        <v>543</v>
      </c>
      <c r="C196" t="s">
        <v>552</v>
      </c>
      <c r="D196" t="s">
        <v>553</v>
      </c>
      <c r="E196">
        <v>20171</v>
      </c>
      <c r="F196" t="s">
        <v>467</v>
      </c>
      <c r="G196" t="s">
        <v>51</v>
      </c>
      <c r="H196">
        <v>3.5</v>
      </c>
      <c r="I196">
        <v>0</v>
      </c>
      <c r="J196">
        <v>20201</v>
      </c>
      <c r="K196">
        <f>COUNTIF('rEKAP kls MK'!$A$2:$A$35,Worksheet!C196)</f>
        <v>0</v>
      </c>
      <c r="L196" t="str">
        <f t="shared" si="12"/>
        <v>F1B117038</v>
      </c>
      <c r="M196" t="str">
        <f t="shared" si="13"/>
        <v>VENI ASTUTI</v>
      </c>
      <c r="O196" t="str">
        <f t="shared" si="14"/>
        <v/>
      </c>
      <c r="P196" t="str">
        <f t="shared" si="15"/>
        <v/>
      </c>
    </row>
    <row r="197" spans="1:16">
      <c r="A197" t="s">
        <v>544</v>
      </c>
      <c r="B197" t="s">
        <v>545</v>
      </c>
      <c r="C197" t="s">
        <v>552</v>
      </c>
      <c r="D197" t="s">
        <v>553</v>
      </c>
      <c r="E197">
        <v>20171</v>
      </c>
      <c r="F197" t="s">
        <v>467</v>
      </c>
      <c r="G197" t="s">
        <v>18</v>
      </c>
      <c r="H197">
        <v>3</v>
      </c>
      <c r="I197">
        <v>0</v>
      </c>
      <c r="J197">
        <v>20201</v>
      </c>
      <c r="K197">
        <f>COUNTIF('rEKAP kls MK'!$A$2:$A$35,Worksheet!C197)</f>
        <v>0</v>
      </c>
      <c r="L197" t="str">
        <f t="shared" si="12"/>
        <v>F1B117039</v>
      </c>
      <c r="M197" t="str">
        <f t="shared" si="13"/>
        <v>WAHYU SIOPANO</v>
      </c>
      <c r="O197" t="str">
        <f t="shared" si="14"/>
        <v/>
      </c>
      <c r="P197" t="str">
        <f t="shared" si="15"/>
        <v/>
      </c>
    </row>
    <row r="198" spans="1:16">
      <c r="A198" t="s">
        <v>546</v>
      </c>
      <c r="B198" t="s">
        <v>547</v>
      </c>
      <c r="C198" t="s">
        <v>552</v>
      </c>
      <c r="D198" t="s">
        <v>553</v>
      </c>
      <c r="E198">
        <v>20171</v>
      </c>
      <c r="F198" t="s">
        <v>467</v>
      </c>
      <c r="G198" t="s">
        <v>18</v>
      </c>
      <c r="H198">
        <v>3</v>
      </c>
      <c r="I198">
        <v>0</v>
      </c>
      <c r="J198">
        <v>20201</v>
      </c>
      <c r="K198">
        <f>COUNTIF('rEKAP kls MK'!$A$2:$A$35,Worksheet!C198)</f>
        <v>0</v>
      </c>
      <c r="L198" t="str">
        <f t="shared" si="12"/>
        <v>F1B117040</v>
      </c>
      <c r="M198" t="str">
        <f t="shared" si="13"/>
        <v>WILLY HISBULLOH FAUZY FIRDAUS</v>
      </c>
      <c r="O198" t="str">
        <f t="shared" si="14"/>
        <v/>
      </c>
      <c r="P198" t="str">
        <f t="shared" si="15"/>
        <v/>
      </c>
    </row>
    <row r="199" spans="1:16">
      <c r="A199" t="s">
        <v>548</v>
      </c>
      <c r="B199" t="s">
        <v>549</v>
      </c>
      <c r="C199" t="s">
        <v>552</v>
      </c>
      <c r="D199" t="s">
        <v>553</v>
      </c>
      <c r="E199">
        <v>20171</v>
      </c>
      <c r="F199" t="s">
        <v>467</v>
      </c>
      <c r="G199" t="s">
        <v>18</v>
      </c>
      <c r="H199">
        <v>3</v>
      </c>
      <c r="I199">
        <v>0</v>
      </c>
      <c r="J199">
        <v>20201</v>
      </c>
      <c r="K199">
        <f>COUNTIF('rEKAP kls MK'!$A$2:$A$35,Worksheet!C199)</f>
        <v>0</v>
      </c>
      <c r="L199" t="str">
        <f t="shared" si="12"/>
        <v>F1B117041</v>
      </c>
      <c r="M199" t="str">
        <f t="shared" si="13"/>
        <v>WILLY PRADIYANTO</v>
      </c>
      <c r="O199" t="str">
        <f t="shared" si="14"/>
        <v/>
      </c>
      <c r="P199" t="str">
        <f t="shared" si="15"/>
        <v/>
      </c>
    </row>
    <row r="200" spans="1:16">
      <c r="A200" t="s">
        <v>110</v>
      </c>
      <c r="B200" t="s">
        <v>111</v>
      </c>
      <c r="C200" t="s">
        <v>99</v>
      </c>
      <c r="D200" t="s">
        <v>100</v>
      </c>
      <c r="E200">
        <v>20171</v>
      </c>
      <c r="F200" t="s">
        <v>14</v>
      </c>
      <c r="G200" t="s">
        <v>23</v>
      </c>
      <c r="H200">
        <v>2.5</v>
      </c>
      <c r="I200">
        <v>0</v>
      </c>
      <c r="J200">
        <v>20201</v>
      </c>
      <c r="K200">
        <f>COUNTIF('rEKAP kls MK'!$A$2:$A$35,Worksheet!C200)</f>
        <v>1</v>
      </c>
      <c r="L200" t="str">
        <f t="shared" si="12"/>
        <v>F1B112011</v>
      </c>
      <c r="M200" t="str">
        <f t="shared" si="13"/>
        <v>Cokorda Indra Darma Putra</v>
      </c>
      <c r="O200" t="str">
        <f t="shared" si="14"/>
        <v>DASAR ELEKTRONIKA</v>
      </c>
      <c r="P200" t="str">
        <f t="shared" si="15"/>
        <v>S</v>
      </c>
    </row>
    <row r="201" spans="1:16">
      <c r="A201" t="s">
        <v>97</v>
      </c>
      <c r="B201" t="s">
        <v>98</v>
      </c>
      <c r="C201" t="s">
        <v>99</v>
      </c>
      <c r="D201" t="s">
        <v>100</v>
      </c>
      <c r="E201">
        <v>20171</v>
      </c>
      <c r="F201" t="s">
        <v>14</v>
      </c>
      <c r="G201" t="s">
        <v>101</v>
      </c>
      <c r="H201">
        <v>0</v>
      </c>
      <c r="I201">
        <v>0</v>
      </c>
      <c r="J201">
        <v>20201</v>
      </c>
      <c r="K201">
        <f>COUNTIF('rEKAP kls MK'!$A$2:$A$35,Worksheet!C201)</f>
        <v>1</v>
      </c>
      <c r="L201" t="str">
        <f t="shared" si="12"/>
        <v>F1B111020</v>
      </c>
      <c r="M201" t="str">
        <f t="shared" si="13"/>
        <v>Ghalib Mansur Thalib</v>
      </c>
      <c r="O201" t="str">
        <f t="shared" si="14"/>
        <v/>
      </c>
      <c r="P201" t="str">
        <f t="shared" si="15"/>
        <v/>
      </c>
    </row>
    <row r="202" spans="1:16">
      <c r="A202" t="s">
        <v>102</v>
      </c>
      <c r="B202" t="s">
        <v>103</v>
      </c>
      <c r="C202" t="s">
        <v>99</v>
      </c>
      <c r="D202" t="s">
        <v>100</v>
      </c>
      <c r="E202">
        <v>20171</v>
      </c>
      <c r="F202" t="s">
        <v>14</v>
      </c>
      <c r="G202" t="s">
        <v>101</v>
      </c>
      <c r="H202">
        <v>0</v>
      </c>
      <c r="I202">
        <v>0</v>
      </c>
      <c r="J202">
        <v>20201</v>
      </c>
      <c r="K202">
        <f>COUNTIF('rEKAP kls MK'!$A$2:$A$35,Worksheet!C202)</f>
        <v>1</v>
      </c>
      <c r="L202" t="str">
        <f t="shared" si="12"/>
        <v>F1B111033</v>
      </c>
      <c r="M202" t="str">
        <f t="shared" si="13"/>
        <v>Jumait</v>
      </c>
      <c r="O202" t="str">
        <f t="shared" si="14"/>
        <v/>
      </c>
      <c r="P202" t="str">
        <f t="shared" si="15"/>
        <v/>
      </c>
    </row>
    <row r="203" spans="1:16">
      <c r="A203" t="s">
        <v>104</v>
      </c>
      <c r="B203" t="s">
        <v>105</v>
      </c>
      <c r="C203" t="s">
        <v>99</v>
      </c>
      <c r="D203" t="s">
        <v>100</v>
      </c>
      <c r="E203">
        <v>20171</v>
      </c>
      <c r="F203" t="s">
        <v>14</v>
      </c>
      <c r="G203" t="s">
        <v>23</v>
      </c>
      <c r="H203">
        <v>2.5</v>
      </c>
      <c r="I203">
        <v>0</v>
      </c>
      <c r="J203">
        <v>20201</v>
      </c>
      <c r="K203">
        <f>COUNTIF('rEKAP kls MK'!$A$2:$A$35,Worksheet!C203)</f>
        <v>1</v>
      </c>
      <c r="L203" t="str">
        <f t="shared" si="12"/>
        <v>F1B111059</v>
      </c>
      <c r="M203" t="str">
        <f t="shared" si="13"/>
        <v>Nukrah</v>
      </c>
      <c r="O203" t="str">
        <f t="shared" si="14"/>
        <v/>
      </c>
      <c r="P203" t="str">
        <f t="shared" si="15"/>
        <v/>
      </c>
    </row>
    <row r="204" spans="1:16">
      <c r="A204" t="s">
        <v>106</v>
      </c>
      <c r="B204" t="s">
        <v>107</v>
      </c>
      <c r="C204" t="s">
        <v>99</v>
      </c>
      <c r="D204" t="s">
        <v>100</v>
      </c>
      <c r="E204">
        <v>20171</v>
      </c>
      <c r="F204" t="s">
        <v>14</v>
      </c>
      <c r="G204" t="s">
        <v>101</v>
      </c>
      <c r="H204">
        <v>0</v>
      </c>
      <c r="I204">
        <v>0</v>
      </c>
      <c r="J204">
        <v>20201</v>
      </c>
      <c r="K204">
        <f>COUNTIF('rEKAP kls MK'!$A$2:$A$35,Worksheet!C204)</f>
        <v>1</v>
      </c>
      <c r="L204" t="str">
        <f t="shared" si="12"/>
        <v>F1B112003</v>
      </c>
      <c r="M204" t="str">
        <f t="shared" si="13"/>
        <v>Aditya Kadarusman</v>
      </c>
      <c r="O204" t="str">
        <f t="shared" si="14"/>
        <v/>
      </c>
      <c r="P204" t="str">
        <f t="shared" si="15"/>
        <v/>
      </c>
    </row>
    <row r="205" spans="1:16">
      <c r="A205" t="s">
        <v>108</v>
      </c>
      <c r="B205" t="s">
        <v>109</v>
      </c>
      <c r="C205" t="s">
        <v>99</v>
      </c>
      <c r="D205" t="s">
        <v>100</v>
      </c>
      <c r="E205">
        <v>20171</v>
      </c>
      <c r="F205" t="s">
        <v>14</v>
      </c>
      <c r="G205" t="s">
        <v>101</v>
      </c>
      <c r="H205">
        <v>0</v>
      </c>
      <c r="I205">
        <v>0</v>
      </c>
      <c r="J205">
        <v>20201</v>
      </c>
      <c r="K205">
        <f>COUNTIF('rEKAP kls MK'!$A$2:$A$35,Worksheet!C205)</f>
        <v>1</v>
      </c>
      <c r="L205" t="str">
        <f t="shared" si="12"/>
        <v>F1B112006</v>
      </c>
      <c r="M205" t="str">
        <f t="shared" si="13"/>
        <v>Arie Listianto</v>
      </c>
      <c r="O205" t="str">
        <f t="shared" si="14"/>
        <v/>
      </c>
      <c r="P205" t="str">
        <f t="shared" si="15"/>
        <v/>
      </c>
    </row>
    <row r="206" spans="1:16">
      <c r="A206" t="s">
        <v>112</v>
      </c>
      <c r="B206" t="s">
        <v>113</v>
      </c>
      <c r="C206" t="s">
        <v>99</v>
      </c>
      <c r="D206" t="s">
        <v>100</v>
      </c>
      <c r="E206">
        <v>20171</v>
      </c>
      <c r="F206" t="s">
        <v>14</v>
      </c>
      <c r="G206" t="s">
        <v>101</v>
      </c>
      <c r="H206">
        <v>0</v>
      </c>
      <c r="I206">
        <v>0</v>
      </c>
      <c r="J206">
        <v>20201</v>
      </c>
      <c r="K206">
        <f>COUNTIF('rEKAP kls MK'!$A$2:$A$35,Worksheet!C206)</f>
        <v>1</v>
      </c>
      <c r="L206" t="str">
        <f t="shared" si="12"/>
        <v>F1B112026</v>
      </c>
      <c r="M206" t="str">
        <f t="shared" si="13"/>
        <v>Hartono Fiyono</v>
      </c>
      <c r="O206" t="str">
        <f t="shared" si="14"/>
        <v/>
      </c>
      <c r="P206" t="str">
        <f t="shared" si="15"/>
        <v/>
      </c>
    </row>
    <row r="207" spans="1:16">
      <c r="A207" t="s">
        <v>114</v>
      </c>
      <c r="B207" t="s">
        <v>115</v>
      </c>
      <c r="C207" t="s">
        <v>99</v>
      </c>
      <c r="D207" t="s">
        <v>100</v>
      </c>
      <c r="E207">
        <v>20171</v>
      </c>
      <c r="F207" t="s">
        <v>14</v>
      </c>
      <c r="G207" t="s">
        <v>101</v>
      </c>
      <c r="H207">
        <v>0</v>
      </c>
      <c r="I207">
        <v>0</v>
      </c>
      <c r="J207">
        <v>20201</v>
      </c>
      <c r="K207">
        <f>COUNTIF('rEKAP kls MK'!$A$2:$A$35,Worksheet!C207)</f>
        <v>1</v>
      </c>
      <c r="L207" t="str">
        <f t="shared" si="12"/>
        <v>F1B112030</v>
      </c>
      <c r="M207" t="str">
        <f t="shared" si="13"/>
        <v>I Wayan Juniartha</v>
      </c>
      <c r="O207" t="str">
        <f t="shared" si="14"/>
        <v/>
      </c>
      <c r="P207" t="str">
        <f t="shared" si="15"/>
        <v/>
      </c>
    </row>
    <row r="208" spans="1:16">
      <c r="A208" t="s">
        <v>19</v>
      </c>
      <c r="B208" t="s">
        <v>20</v>
      </c>
      <c r="C208" t="s">
        <v>99</v>
      </c>
      <c r="D208" t="s">
        <v>100</v>
      </c>
      <c r="E208">
        <v>20171</v>
      </c>
      <c r="F208" t="s">
        <v>14</v>
      </c>
      <c r="G208" t="s">
        <v>26</v>
      </c>
      <c r="H208">
        <v>2</v>
      </c>
      <c r="I208">
        <v>0</v>
      </c>
      <c r="J208">
        <v>20201</v>
      </c>
      <c r="K208">
        <f>COUNTIF('rEKAP kls MK'!$A$2:$A$35,Worksheet!C208)</f>
        <v>1</v>
      </c>
      <c r="L208" t="str">
        <f t="shared" si="12"/>
        <v>F1B113001</v>
      </c>
      <c r="M208" t="str">
        <f t="shared" si="13"/>
        <v>ADAM VERGIAN B</v>
      </c>
      <c r="O208" t="str">
        <f t="shared" si="14"/>
        <v/>
      </c>
      <c r="P208" t="str">
        <f t="shared" si="15"/>
        <v/>
      </c>
    </row>
    <row r="209" spans="1:16">
      <c r="A209" t="s">
        <v>39</v>
      </c>
      <c r="B209" t="s">
        <v>40</v>
      </c>
      <c r="C209" t="s">
        <v>99</v>
      </c>
      <c r="D209" t="s">
        <v>100</v>
      </c>
      <c r="E209">
        <v>20171</v>
      </c>
      <c r="F209" t="s">
        <v>14</v>
      </c>
      <c r="G209" t="s">
        <v>116</v>
      </c>
      <c r="H209">
        <v>1.5</v>
      </c>
      <c r="I209">
        <v>0</v>
      </c>
      <c r="J209">
        <v>20201</v>
      </c>
      <c r="K209">
        <f>COUNTIF('rEKAP kls MK'!$A$2:$A$35,Worksheet!C209)</f>
        <v>1</v>
      </c>
      <c r="L209" t="str">
        <f t="shared" si="12"/>
        <v>F1B113031</v>
      </c>
      <c r="M209" t="str">
        <f t="shared" si="13"/>
        <v>SADIQ RAMADHOAN</v>
      </c>
      <c r="O209" t="str">
        <f t="shared" si="14"/>
        <v/>
      </c>
      <c r="P209" t="str">
        <f t="shared" si="15"/>
        <v/>
      </c>
    </row>
    <row r="210" spans="1:16">
      <c r="A210" t="s">
        <v>117</v>
      </c>
      <c r="B210" t="s">
        <v>118</v>
      </c>
      <c r="C210" t="s">
        <v>99</v>
      </c>
      <c r="D210" t="s">
        <v>100</v>
      </c>
      <c r="E210">
        <v>20171</v>
      </c>
      <c r="F210" t="s">
        <v>14</v>
      </c>
      <c r="G210" t="s">
        <v>26</v>
      </c>
      <c r="H210">
        <v>2</v>
      </c>
      <c r="I210">
        <v>0</v>
      </c>
      <c r="J210">
        <v>20201</v>
      </c>
      <c r="K210">
        <f>COUNTIF('rEKAP kls MK'!$A$2:$A$35,Worksheet!C210)</f>
        <v>1</v>
      </c>
      <c r="L210" t="str">
        <f t="shared" si="12"/>
        <v>F1B115002</v>
      </c>
      <c r="M210" t="str">
        <f t="shared" si="13"/>
        <v>AGUS SUPRIADI</v>
      </c>
      <c r="O210" t="str">
        <f t="shared" si="14"/>
        <v/>
      </c>
      <c r="P210" t="str">
        <f t="shared" si="15"/>
        <v/>
      </c>
    </row>
    <row r="211" spans="1:16">
      <c r="A211" t="s">
        <v>119</v>
      </c>
      <c r="B211" t="s">
        <v>120</v>
      </c>
      <c r="C211" t="s">
        <v>99</v>
      </c>
      <c r="D211" t="s">
        <v>100</v>
      </c>
      <c r="E211">
        <v>20171</v>
      </c>
      <c r="F211" t="s">
        <v>14</v>
      </c>
      <c r="G211" t="s">
        <v>82</v>
      </c>
      <c r="H211">
        <v>4</v>
      </c>
      <c r="I211">
        <v>0</v>
      </c>
      <c r="J211">
        <v>20201</v>
      </c>
      <c r="K211">
        <f>COUNTIF('rEKAP kls MK'!$A$2:$A$35,Worksheet!C211)</f>
        <v>1</v>
      </c>
      <c r="L211" t="str">
        <f t="shared" si="12"/>
        <v>F1B115008</v>
      </c>
      <c r="M211" t="str">
        <f t="shared" si="13"/>
        <v>ESI BIRAHMATIHI</v>
      </c>
      <c r="O211" t="str">
        <f t="shared" si="14"/>
        <v/>
      </c>
      <c r="P211" t="str">
        <f t="shared" si="15"/>
        <v/>
      </c>
    </row>
    <row r="212" spans="1:16">
      <c r="A212" t="s">
        <v>121</v>
      </c>
      <c r="B212" t="s">
        <v>122</v>
      </c>
      <c r="C212" t="s">
        <v>99</v>
      </c>
      <c r="D212" t="s">
        <v>100</v>
      </c>
      <c r="E212">
        <v>20171</v>
      </c>
      <c r="F212" t="s">
        <v>14</v>
      </c>
      <c r="G212" t="s">
        <v>116</v>
      </c>
      <c r="H212">
        <v>1.5</v>
      </c>
      <c r="I212">
        <v>0</v>
      </c>
      <c r="J212">
        <v>20201</v>
      </c>
      <c r="K212">
        <f>COUNTIF('rEKAP kls MK'!$A$2:$A$35,Worksheet!C212)</f>
        <v>1</v>
      </c>
      <c r="L212" t="str">
        <f t="shared" si="12"/>
        <v>F1B115025</v>
      </c>
      <c r="M212" t="str">
        <f t="shared" si="13"/>
        <v>MERRY MICHELLINA</v>
      </c>
      <c r="O212" t="str">
        <f t="shared" si="14"/>
        <v/>
      </c>
      <c r="P212" t="str">
        <f t="shared" si="15"/>
        <v/>
      </c>
    </row>
    <row r="213" spans="1:16">
      <c r="A213" t="s">
        <v>56</v>
      </c>
      <c r="B213" t="s">
        <v>57</v>
      </c>
      <c r="C213" t="s">
        <v>99</v>
      </c>
      <c r="D213" t="s">
        <v>100</v>
      </c>
      <c r="E213">
        <v>20171</v>
      </c>
      <c r="F213" t="s">
        <v>14</v>
      </c>
      <c r="G213" t="s">
        <v>23</v>
      </c>
      <c r="H213">
        <v>2.5</v>
      </c>
      <c r="I213">
        <v>0</v>
      </c>
      <c r="J213">
        <v>20201</v>
      </c>
      <c r="K213">
        <f>COUNTIF('rEKAP kls MK'!$A$2:$A$35,Worksheet!C213)</f>
        <v>1</v>
      </c>
      <c r="L213" t="str">
        <f t="shared" si="12"/>
        <v>F1B116001</v>
      </c>
      <c r="M213" t="str">
        <f t="shared" si="13"/>
        <v>AHMAD MUHAJIR</v>
      </c>
      <c r="O213" t="str">
        <f t="shared" si="14"/>
        <v/>
      </c>
      <c r="P213" t="str">
        <f t="shared" si="15"/>
        <v/>
      </c>
    </row>
    <row r="214" spans="1:16">
      <c r="A214" t="s">
        <v>58</v>
      </c>
      <c r="B214" t="s">
        <v>59</v>
      </c>
      <c r="C214" t="s">
        <v>99</v>
      </c>
      <c r="D214" t="s">
        <v>100</v>
      </c>
      <c r="E214">
        <v>20171</v>
      </c>
      <c r="F214" t="s">
        <v>14</v>
      </c>
      <c r="G214" t="s">
        <v>101</v>
      </c>
      <c r="H214">
        <v>0</v>
      </c>
      <c r="I214">
        <v>0</v>
      </c>
      <c r="J214">
        <v>20201</v>
      </c>
      <c r="K214">
        <f>COUNTIF('rEKAP kls MK'!$A$2:$A$35,Worksheet!C214)</f>
        <v>1</v>
      </c>
      <c r="L214" t="str">
        <f t="shared" si="12"/>
        <v>F1B116003</v>
      </c>
      <c r="M214" t="str">
        <f t="shared" si="13"/>
        <v>DONI PRANATA</v>
      </c>
      <c r="O214" t="str">
        <f t="shared" si="14"/>
        <v/>
      </c>
      <c r="P214" t="str">
        <f t="shared" si="15"/>
        <v/>
      </c>
    </row>
    <row r="215" spans="1:16">
      <c r="A215" t="s">
        <v>60</v>
      </c>
      <c r="B215" t="s">
        <v>61</v>
      </c>
      <c r="C215" t="s">
        <v>99</v>
      </c>
      <c r="D215" t="s">
        <v>100</v>
      </c>
      <c r="E215">
        <v>20171</v>
      </c>
      <c r="F215" t="s">
        <v>14</v>
      </c>
      <c r="G215" t="s">
        <v>23</v>
      </c>
      <c r="H215">
        <v>2.5</v>
      </c>
      <c r="I215">
        <v>0</v>
      </c>
      <c r="J215">
        <v>20201</v>
      </c>
      <c r="K215">
        <f>COUNTIF('rEKAP kls MK'!$A$2:$A$35,Worksheet!C215)</f>
        <v>1</v>
      </c>
      <c r="L215" t="str">
        <f t="shared" si="12"/>
        <v>F1B116005</v>
      </c>
      <c r="M215" t="str">
        <f t="shared" si="13"/>
        <v>FENDY KURNIAWAN</v>
      </c>
      <c r="O215" t="str">
        <f t="shared" si="14"/>
        <v/>
      </c>
      <c r="P215" t="str">
        <f t="shared" si="15"/>
        <v/>
      </c>
    </row>
    <row r="216" spans="1:16">
      <c r="A216" t="s">
        <v>123</v>
      </c>
      <c r="B216" t="s">
        <v>124</v>
      </c>
      <c r="C216" t="s">
        <v>99</v>
      </c>
      <c r="D216" t="s">
        <v>100</v>
      </c>
      <c r="E216">
        <v>20171</v>
      </c>
      <c r="F216" t="s">
        <v>14</v>
      </c>
      <c r="G216" t="s">
        <v>23</v>
      </c>
      <c r="H216">
        <v>2.5</v>
      </c>
      <c r="I216">
        <v>0</v>
      </c>
      <c r="J216">
        <v>20201</v>
      </c>
      <c r="K216">
        <f>COUNTIF('rEKAP kls MK'!$A$2:$A$35,Worksheet!C216)</f>
        <v>1</v>
      </c>
      <c r="L216" t="str">
        <f t="shared" si="12"/>
        <v>F1B116007</v>
      </c>
      <c r="M216" t="str">
        <f t="shared" si="13"/>
        <v>HARIS MUNANDAR</v>
      </c>
      <c r="O216" t="str">
        <f t="shared" si="14"/>
        <v/>
      </c>
      <c r="P216" t="str">
        <f t="shared" si="15"/>
        <v/>
      </c>
    </row>
    <row r="217" spans="1:16">
      <c r="A217" t="s">
        <v>64</v>
      </c>
      <c r="B217" t="s">
        <v>65</v>
      </c>
      <c r="C217" t="s">
        <v>99</v>
      </c>
      <c r="D217" t="s">
        <v>100</v>
      </c>
      <c r="E217">
        <v>20171</v>
      </c>
      <c r="F217" t="s">
        <v>14</v>
      </c>
      <c r="G217" t="s">
        <v>125</v>
      </c>
      <c r="H217">
        <v>1</v>
      </c>
      <c r="I217">
        <v>0</v>
      </c>
      <c r="J217">
        <v>20201</v>
      </c>
      <c r="K217">
        <f>COUNTIF('rEKAP kls MK'!$A$2:$A$35,Worksheet!C217)</f>
        <v>1</v>
      </c>
      <c r="L217" t="str">
        <f t="shared" si="12"/>
        <v>F1B116008</v>
      </c>
      <c r="M217" t="str">
        <f t="shared" si="13"/>
        <v>Harjo Sumitro</v>
      </c>
      <c r="O217" t="str">
        <f t="shared" si="14"/>
        <v/>
      </c>
      <c r="P217" t="str">
        <f t="shared" si="15"/>
        <v/>
      </c>
    </row>
    <row r="218" spans="1:16">
      <c r="A218" t="s">
        <v>66</v>
      </c>
      <c r="B218" t="s">
        <v>67</v>
      </c>
      <c r="C218" t="s">
        <v>99</v>
      </c>
      <c r="D218" t="s">
        <v>100</v>
      </c>
      <c r="E218">
        <v>20171</v>
      </c>
      <c r="F218" t="s">
        <v>14</v>
      </c>
      <c r="G218" t="s">
        <v>23</v>
      </c>
      <c r="H218">
        <v>2.5</v>
      </c>
      <c r="I218">
        <v>0</v>
      </c>
      <c r="J218">
        <v>20201</v>
      </c>
      <c r="K218">
        <f>COUNTIF('rEKAP kls MK'!$A$2:$A$35,Worksheet!C218)</f>
        <v>1</v>
      </c>
      <c r="L218" t="str">
        <f t="shared" si="12"/>
        <v>F1B116009</v>
      </c>
      <c r="M218" t="str">
        <f t="shared" si="13"/>
        <v>HASAN BASRI</v>
      </c>
      <c r="O218" t="str">
        <f t="shared" si="14"/>
        <v/>
      </c>
      <c r="P218" t="str">
        <f t="shared" si="15"/>
        <v/>
      </c>
    </row>
    <row r="219" spans="1:16">
      <c r="A219" t="s">
        <v>68</v>
      </c>
      <c r="B219" t="s">
        <v>69</v>
      </c>
      <c r="C219" t="s">
        <v>99</v>
      </c>
      <c r="D219" t="s">
        <v>100</v>
      </c>
      <c r="E219">
        <v>20171</v>
      </c>
      <c r="F219" t="s">
        <v>14</v>
      </c>
      <c r="G219" t="s">
        <v>26</v>
      </c>
      <c r="H219">
        <v>2</v>
      </c>
      <c r="I219">
        <v>0</v>
      </c>
      <c r="J219">
        <v>20201</v>
      </c>
      <c r="K219">
        <f>COUNTIF('rEKAP kls MK'!$A$2:$A$35,Worksheet!C219)</f>
        <v>1</v>
      </c>
      <c r="L219" t="str">
        <f t="shared" si="12"/>
        <v>F1B116010</v>
      </c>
      <c r="M219" t="str">
        <f t="shared" si="13"/>
        <v>Ihsan Syaputro</v>
      </c>
      <c r="O219" t="str">
        <f t="shared" si="14"/>
        <v/>
      </c>
      <c r="P219" t="str">
        <f t="shared" si="15"/>
        <v/>
      </c>
    </row>
    <row r="220" spans="1:16">
      <c r="A220" t="s">
        <v>72</v>
      </c>
      <c r="B220" t="s">
        <v>73</v>
      </c>
      <c r="C220" t="s">
        <v>99</v>
      </c>
      <c r="D220" t="s">
        <v>100</v>
      </c>
      <c r="E220">
        <v>20171</v>
      </c>
      <c r="F220" t="s">
        <v>14</v>
      </c>
      <c r="G220" t="s">
        <v>125</v>
      </c>
      <c r="H220">
        <v>1</v>
      </c>
      <c r="I220">
        <v>0</v>
      </c>
      <c r="J220">
        <v>20201</v>
      </c>
      <c r="K220">
        <f>COUNTIF('rEKAP kls MK'!$A$2:$A$35,Worksheet!C220)</f>
        <v>1</v>
      </c>
      <c r="L220" t="str">
        <f t="shared" si="12"/>
        <v>F1B116014</v>
      </c>
      <c r="M220" t="str">
        <f t="shared" si="13"/>
        <v>LALU ARIF TASIBANA</v>
      </c>
      <c r="O220" t="str">
        <f t="shared" si="14"/>
        <v/>
      </c>
      <c r="P220" t="str">
        <f t="shared" si="15"/>
        <v/>
      </c>
    </row>
    <row r="221" spans="1:16">
      <c r="A221" t="s">
        <v>74</v>
      </c>
      <c r="B221" t="s">
        <v>75</v>
      </c>
      <c r="C221" t="s">
        <v>99</v>
      </c>
      <c r="D221" t="s">
        <v>100</v>
      </c>
      <c r="E221">
        <v>20171</v>
      </c>
      <c r="F221" t="s">
        <v>14</v>
      </c>
      <c r="G221" t="s">
        <v>101</v>
      </c>
      <c r="H221">
        <v>0</v>
      </c>
      <c r="I221">
        <v>0</v>
      </c>
      <c r="J221">
        <v>20201</v>
      </c>
      <c r="K221">
        <f>COUNTIF('rEKAP kls MK'!$A$2:$A$35,Worksheet!C221)</f>
        <v>1</v>
      </c>
      <c r="L221" t="str">
        <f t="shared" si="12"/>
        <v>F1B116015</v>
      </c>
      <c r="M221" t="str">
        <f t="shared" si="13"/>
        <v>LALU MAHSAR KHAIRUDI</v>
      </c>
      <c r="O221" t="str">
        <f t="shared" si="14"/>
        <v/>
      </c>
      <c r="P221" t="str">
        <f t="shared" si="15"/>
        <v/>
      </c>
    </row>
    <row r="222" spans="1:16">
      <c r="A222" t="s">
        <v>76</v>
      </c>
      <c r="B222" t="s">
        <v>77</v>
      </c>
      <c r="C222" t="s">
        <v>99</v>
      </c>
      <c r="D222" t="s">
        <v>100</v>
      </c>
      <c r="E222">
        <v>20171</v>
      </c>
      <c r="F222" t="s">
        <v>14</v>
      </c>
      <c r="G222" t="s">
        <v>23</v>
      </c>
      <c r="H222">
        <v>2.5</v>
      </c>
      <c r="I222">
        <v>0</v>
      </c>
      <c r="J222">
        <v>20201</v>
      </c>
      <c r="K222">
        <f>COUNTIF('rEKAP kls MK'!$A$2:$A$35,Worksheet!C222)</f>
        <v>1</v>
      </c>
      <c r="L222" t="str">
        <f t="shared" si="12"/>
        <v>F1B116016</v>
      </c>
      <c r="M222" t="str">
        <f t="shared" si="13"/>
        <v>LALU MOHAMAD FAESAL RAHMAN</v>
      </c>
      <c r="O222" t="str">
        <f t="shared" si="14"/>
        <v/>
      </c>
      <c r="P222" t="str">
        <f t="shared" si="15"/>
        <v/>
      </c>
    </row>
    <row r="223" spans="1:16">
      <c r="A223" t="s">
        <v>126</v>
      </c>
      <c r="B223" t="s">
        <v>127</v>
      </c>
      <c r="C223" t="s">
        <v>99</v>
      </c>
      <c r="D223" t="s">
        <v>100</v>
      </c>
      <c r="E223">
        <v>20171</v>
      </c>
      <c r="F223" t="s">
        <v>14</v>
      </c>
      <c r="G223" t="s">
        <v>101</v>
      </c>
      <c r="H223">
        <v>0</v>
      </c>
      <c r="I223">
        <v>0</v>
      </c>
      <c r="J223">
        <v>20201</v>
      </c>
      <c r="K223">
        <f>COUNTIF('rEKAP kls MK'!$A$2:$A$35,Worksheet!C223)</f>
        <v>1</v>
      </c>
      <c r="L223" t="str">
        <f t="shared" si="12"/>
        <v>F1B116017</v>
      </c>
      <c r="M223" t="str">
        <f t="shared" si="13"/>
        <v xml:space="preserve">MAULANA ADI PRASETIO </v>
      </c>
      <c r="O223" t="str">
        <f t="shared" si="14"/>
        <v/>
      </c>
      <c r="P223" t="str">
        <f t="shared" si="15"/>
        <v/>
      </c>
    </row>
    <row r="224" spans="1:16">
      <c r="A224" t="s">
        <v>128</v>
      </c>
      <c r="B224" t="s">
        <v>129</v>
      </c>
      <c r="C224" t="s">
        <v>99</v>
      </c>
      <c r="D224" t="s">
        <v>100</v>
      </c>
      <c r="E224">
        <v>20171</v>
      </c>
      <c r="F224" t="s">
        <v>14</v>
      </c>
      <c r="G224" t="s">
        <v>26</v>
      </c>
      <c r="H224">
        <v>2</v>
      </c>
      <c r="I224">
        <v>0</v>
      </c>
      <c r="J224">
        <v>20201</v>
      </c>
      <c r="K224">
        <f>COUNTIF('rEKAP kls MK'!$A$2:$A$35,Worksheet!C224)</f>
        <v>1</v>
      </c>
      <c r="L224" t="str">
        <f t="shared" si="12"/>
        <v>F1B116020</v>
      </c>
      <c r="M224" t="str">
        <f t="shared" si="13"/>
        <v>Muhammad Zarrin Al Mansyury</v>
      </c>
      <c r="O224" t="str">
        <f t="shared" si="14"/>
        <v/>
      </c>
      <c r="P224" t="str">
        <f t="shared" si="15"/>
        <v/>
      </c>
    </row>
    <row r="225" spans="1:16">
      <c r="A225" t="s">
        <v>78</v>
      </c>
      <c r="B225" t="s">
        <v>79</v>
      </c>
      <c r="C225" t="s">
        <v>99</v>
      </c>
      <c r="D225" t="s">
        <v>100</v>
      </c>
      <c r="E225">
        <v>20171</v>
      </c>
      <c r="F225" t="s">
        <v>14</v>
      </c>
      <c r="G225" t="s">
        <v>26</v>
      </c>
      <c r="H225">
        <v>2</v>
      </c>
      <c r="I225">
        <v>0</v>
      </c>
      <c r="J225">
        <v>20201</v>
      </c>
      <c r="K225">
        <f>COUNTIF('rEKAP kls MK'!$A$2:$A$35,Worksheet!C225)</f>
        <v>1</v>
      </c>
      <c r="L225" t="str">
        <f t="shared" si="12"/>
        <v>F1B116021</v>
      </c>
      <c r="M225" t="str">
        <f t="shared" si="13"/>
        <v>NELIN AYU NIRWANA</v>
      </c>
      <c r="O225" t="str">
        <f t="shared" si="14"/>
        <v/>
      </c>
      <c r="P225" t="str">
        <f t="shared" si="15"/>
        <v/>
      </c>
    </row>
    <row r="226" spans="1:16">
      <c r="A226" t="s">
        <v>80</v>
      </c>
      <c r="B226" t="s">
        <v>81</v>
      </c>
      <c r="C226" t="s">
        <v>99</v>
      </c>
      <c r="D226" t="s">
        <v>100</v>
      </c>
      <c r="E226">
        <v>20171</v>
      </c>
      <c r="F226" t="s">
        <v>14</v>
      </c>
      <c r="G226" t="s">
        <v>18</v>
      </c>
      <c r="H226">
        <v>3</v>
      </c>
      <c r="I226">
        <v>0</v>
      </c>
      <c r="J226">
        <v>20201</v>
      </c>
      <c r="K226">
        <f>COUNTIF('rEKAP kls MK'!$A$2:$A$35,Worksheet!C226)</f>
        <v>1</v>
      </c>
      <c r="L226" t="str">
        <f t="shared" si="12"/>
        <v>F1B116022</v>
      </c>
      <c r="M226" t="str">
        <f t="shared" si="13"/>
        <v>NOVA HENDRI KURNIAWAN</v>
      </c>
      <c r="O226" t="str">
        <f t="shared" si="14"/>
        <v/>
      </c>
      <c r="P226" t="str">
        <f t="shared" si="15"/>
        <v/>
      </c>
    </row>
    <row r="227" spans="1:16">
      <c r="A227" t="s">
        <v>83</v>
      </c>
      <c r="B227" t="s">
        <v>84</v>
      </c>
      <c r="C227" t="s">
        <v>99</v>
      </c>
      <c r="D227" t="s">
        <v>100</v>
      </c>
      <c r="E227">
        <v>20171</v>
      </c>
      <c r="F227" t="s">
        <v>14</v>
      </c>
      <c r="G227" t="s">
        <v>26</v>
      </c>
      <c r="H227">
        <v>2</v>
      </c>
      <c r="I227">
        <v>0</v>
      </c>
      <c r="J227">
        <v>20201</v>
      </c>
      <c r="K227">
        <f>COUNTIF('rEKAP kls MK'!$A$2:$A$35,Worksheet!C227)</f>
        <v>1</v>
      </c>
      <c r="L227" t="str">
        <f t="shared" si="12"/>
        <v>F1B116024</v>
      </c>
      <c r="M227" t="str">
        <f t="shared" si="13"/>
        <v>RENA RAMDINAWATI</v>
      </c>
      <c r="O227" t="str">
        <f t="shared" si="14"/>
        <v/>
      </c>
      <c r="P227" t="str">
        <f t="shared" si="15"/>
        <v/>
      </c>
    </row>
    <row r="228" spans="1:16">
      <c r="A228" t="s">
        <v>85</v>
      </c>
      <c r="B228" t="s">
        <v>86</v>
      </c>
      <c r="C228" t="s">
        <v>99</v>
      </c>
      <c r="D228" t="s">
        <v>100</v>
      </c>
      <c r="E228">
        <v>20171</v>
      </c>
      <c r="F228" t="s">
        <v>14</v>
      </c>
      <c r="G228" t="s">
        <v>51</v>
      </c>
      <c r="H228">
        <v>3.5</v>
      </c>
      <c r="I228">
        <v>0</v>
      </c>
      <c r="J228">
        <v>20201</v>
      </c>
      <c r="K228">
        <f>COUNTIF('rEKAP kls MK'!$A$2:$A$35,Worksheet!C228)</f>
        <v>1</v>
      </c>
      <c r="L228" t="str">
        <f t="shared" si="12"/>
        <v>F1B116025</v>
      </c>
      <c r="M228" t="str">
        <f t="shared" si="13"/>
        <v>RISMAN ALFIAN LUTHFI</v>
      </c>
      <c r="O228" t="str">
        <f t="shared" si="14"/>
        <v/>
      </c>
      <c r="P228" t="str">
        <f t="shared" si="15"/>
        <v/>
      </c>
    </row>
    <row r="229" spans="1:16">
      <c r="A229" t="s">
        <v>87</v>
      </c>
      <c r="B229" t="s">
        <v>88</v>
      </c>
      <c r="C229" t="s">
        <v>99</v>
      </c>
      <c r="D229" t="s">
        <v>100</v>
      </c>
      <c r="E229">
        <v>20171</v>
      </c>
      <c r="F229" t="s">
        <v>14</v>
      </c>
      <c r="G229" t="s">
        <v>125</v>
      </c>
      <c r="H229">
        <v>1</v>
      </c>
      <c r="I229">
        <v>0</v>
      </c>
      <c r="J229">
        <v>20201</v>
      </c>
      <c r="K229">
        <f>COUNTIF('rEKAP kls MK'!$A$2:$A$35,Worksheet!C229)</f>
        <v>1</v>
      </c>
      <c r="L229" t="str">
        <f t="shared" si="12"/>
        <v>F1B116027</v>
      </c>
      <c r="M229" t="str">
        <f t="shared" si="13"/>
        <v>ROYHAN ADEKA SAPUTRA</v>
      </c>
      <c r="O229" t="str">
        <f t="shared" si="14"/>
        <v/>
      </c>
      <c r="P229" t="str">
        <f t="shared" si="15"/>
        <v/>
      </c>
    </row>
    <row r="230" spans="1:16">
      <c r="A230" t="s">
        <v>89</v>
      </c>
      <c r="B230" t="s">
        <v>90</v>
      </c>
      <c r="C230" t="s">
        <v>99</v>
      </c>
      <c r="D230" t="s">
        <v>100</v>
      </c>
      <c r="E230">
        <v>20171</v>
      </c>
      <c r="F230" t="s">
        <v>14</v>
      </c>
      <c r="G230" t="s">
        <v>26</v>
      </c>
      <c r="H230">
        <v>2</v>
      </c>
      <c r="I230">
        <v>0</v>
      </c>
      <c r="J230">
        <v>20201</v>
      </c>
      <c r="K230">
        <f>COUNTIF('rEKAP kls MK'!$A$2:$A$35,Worksheet!C230)</f>
        <v>1</v>
      </c>
      <c r="L230" t="str">
        <f t="shared" si="12"/>
        <v>F1B116029</v>
      </c>
      <c r="M230" t="str">
        <f t="shared" si="13"/>
        <v>TAUFIK ZUBAIDILLAH</v>
      </c>
      <c r="O230" t="str">
        <f t="shared" si="14"/>
        <v/>
      </c>
      <c r="P230" t="str">
        <f t="shared" si="15"/>
        <v/>
      </c>
    </row>
    <row r="231" spans="1:16">
      <c r="A231" t="s">
        <v>91</v>
      </c>
      <c r="B231" t="s">
        <v>92</v>
      </c>
      <c r="C231" t="s">
        <v>99</v>
      </c>
      <c r="D231" t="s">
        <v>100</v>
      </c>
      <c r="E231">
        <v>20171</v>
      </c>
      <c r="F231" t="s">
        <v>14</v>
      </c>
      <c r="G231" t="s">
        <v>23</v>
      </c>
      <c r="H231">
        <v>2.5</v>
      </c>
      <c r="I231">
        <v>0</v>
      </c>
      <c r="J231">
        <v>20201</v>
      </c>
      <c r="K231">
        <f>COUNTIF('rEKAP kls MK'!$A$2:$A$35,Worksheet!C231)</f>
        <v>1</v>
      </c>
      <c r="L231" t="str">
        <f t="shared" si="12"/>
        <v>F1B116030</v>
      </c>
      <c r="M231" t="str">
        <f t="shared" si="13"/>
        <v>Yanuardi</v>
      </c>
      <c r="O231" t="str">
        <f t="shared" si="14"/>
        <v/>
      </c>
      <c r="P231" t="str">
        <f t="shared" si="15"/>
        <v/>
      </c>
    </row>
    <row r="232" spans="1:16">
      <c r="A232" t="s">
        <v>93</v>
      </c>
      <c r="B232" t="s">
        <v>94</v>
      </c>
      <c r="C232" t="s">
        <v>99</v>
      </c>
      <c r="D232" t="s">
        <v>100</v>
      </c>
      <c r="E232">
        <v>20171</v>
      </c>
      <c r="F232" t="s">
        <v>14</v>
      </c>
      <c r="G232" t="s">
        <v>18</v>
      </c>
      <c r="H232">
        <v>3</v>
      </c>
      <c r="I232">
        <v>0</v>
      </c>
      <c r="J232">
        <v>20201</v>
      </c>
      <c r="K232">
        <f>COUNTIF('rEKAP kls MK'!$A$2:$A$35,Worksheet!C232)</f>
        <v>1</v>
      </c>
      <c r="L232" t="str">
        <f t="shared" si="12"/>
        <v>F1B116032</v>
      </c>
      <c r="M232" t="str">
        <f t="shared" si="13"/>
        <v>Yuma</v>
      </c>
      <c r="O232" t="str">
        <f t="shared" si="14"/>
        <v/>
      </c>
      <c r="P232" t="str">
        <f t="shared" si="15"/>
        <v/>
      </c>
    </row>
    <row r="233" spans="1:16">
      <c r="A233" t="s">
        <v>95</v>
      </c>
      <c r="B233" t="s">
        <v>96</v>
      </c>
      <c r="C233" t="s">
        <v>99</v>
      </c>
      <c r="D233" t="s">
        <v>100</v>
      </c>
      <c r="E233">
        <v>20171</v>
      </c>
      <c r="F233" t="s">
        <v>14</v>
      </c>
      <c r="G233" t="s">
        <v>116</v>
      </c>
      <c r="H233">
        <v>1.5</v>
      </c>
      <c r="I233">
        <v>0</v>
      </c>
      <c r="J233">
        <v>20201</v>
      </c>
      <c r="K233">
        <f>COUNTIF('rEKAP kls MK'!$A$2:$A$35,Worksheet!C233)</f>
        <v>1</v>
      </c>
      <c r="L233" t="str">
        <f t="shared" si="12"/>
        <v>F1B116033</v>
      </c>
      <c r="M233" t="str">
        <f t="shared" si="13"/>
        <v>Yusril Bagas Sevyanto</v>
      </c>
      <c r="O233" t="str">
        <f t="shared" si="14"/>
        <v/>
      </c>
      <c r="P233" t="str">
        <f t="shared" si="15"/>
        <v/>
      </c>
    </row>
    <row r="234" spans="1:16">
      <c r="A234" t="s">
        <v>130</v>
      </c>
      <c r="B234" t="s">
        <v>131</v>
      </c>
      <c r="C234" t="s">
        <v>99</v>
      </c>
      <c r="D234" t="s">
        <v>100</v>
      </c>
      <c r="E234">
        <v>20171</v>
      </c>
      <c r="F234" t="s">
        <v>14</v>
      </c>
      <c r="G234" t="s">
        <v>101</v>
      </c>
      <c r="H234">
        <v>0</v>
      </c>
      <c r="I234">
        <v>0</v>
      </c>
      <c r="J234">
        <v>20201</v>
      </c>
      <c r="K234">
        <f>COUNTIF('rEKAP kls MK'!$A$2:$A$35,Worksheet!C234)</f>
        <v>1</v>
      </c>
      <c r="L234" t="str">
        <f t="shared" si="12"/>
        <v>F1B116034</v>
      </c>
      <c r="M234" t="str">
        <f t="shared" si="13"/>
        <v>YUSRON ALIF SETIAWAN</v>
      </c>
      <c r="O234" t="str">
        <f t="shared" si="14"/>
        <v/>
      </c>
      <c r="P234" t="str">
        <f t="shared" si="15"/>
        <v/>
      </c>
    </row>
    <row r="235" spans="1:16">
      <c r="A235" t="s">
        <v>10</v>
      </c>
      <c r="B235" t="s">
        <v>11</v>
      </c>
      <c r="C235" t="s">
        <v>12</v>
      </c>
      <c r="D235" t="s">
        <v>13</v>
      </c>
      <c r="E235">
        <v>20171</v>
      </c>
      <c r="F235" t="s">
        <v>14</v>
      </c>
      <c r="G235" t="s">
        <v>15</v>
      </c>
      <c r="H235">
        <v>0</v>
      </c>
      <c r="I235">
        <v>0</v>
      </c>
      <c r="J235">
        <v>20201</v>
      </c>
      <c r="K235">
        <f>COUNTIF('rEKAP kls MK'!$A$2:$A$35,Worksheet!C235)</f>
        <v>1</v>
      </c>
      <c r="L235" t="str">
        <f t="shared" si="12"/>
        <v>F1B111075</v>
      </c>
      <c r="M235" t="str">
        <f t="shared" si="13"/>
        <v>Sahbudin</v>
      </c>
      <c r="O235" t="str">
        <f t="shared" si="14"/>
        <v>DASAR TEKNOLOGI INFORMASI</v>
      </c>
      <c r="P235" t="str">
        <f t="shared" si="15"/>
        <v/>
      </c>
    </row>
    <row r="236" spans="1:16">
      <c r="A236" t="s">
        <v>16</v>
      </c>
      <c r="B236" t="s">
        <v>17</v>
      </c>
      <c r="C236" t="s">
        <v>12</v>
      </c>
      <c r="D236" t="s">
        <v>13</v>
      </c>
      <c r="E236">
        <v>20171</v>
      </c>
      <c r="F236" t="s">
        <v>14</v>
      </c>
      <c r="G236" t="s">
        <v>18</v>
      </c>
      <c r="H236">
        <v>3</v>
      </c>
      <c r="I236">
        <v>0</v>
      </c>
      <c r="J236">
        <v>20201</v>
      </c>
      <c r="K236">
        <f>COUNTIF('rEKAP kls MK'!$A$2:$A$35,Worksheet!C236)</f>
        <v>1</v>
      </c>
      <c r="L236" t="str">
        <f t="shared" si="12"/>
        <v>F1B112042</v>
      </c>
      <c r="M236" t="str">
        <f t="shared" si="13"/>
        <v>Muhammad Satriawan A</v>
      </c>
      <c r="O236" t="str">
        <f t="shared" si="14"/>
        <v/>
      </c>
      <c r="P236" t="str">
        <f t="shared" si="15"/>
        <v/>
      </c>
    </row>
    <row r="237" spans="1:16">
      <c r="A237" t="s">
        <v>19</v>
      </c>
      <c r="B237" t="s">
        <v>20</v>
      </c>
      <c r="C237" t="s">
        <v>12</v>
      </c>
      <c r="D237" t="s">
        <v>13</v>
      </c>
      <c r="E237">
        <v>20171</v>
      </c>
      <c r="F237" t="s">
        <v>14</v>
      </c>
      <c r="G237" t="s">
        <v>18</v>
      </c>
      <c r="H237">
        <v>3</v>
      </c>
      <c r="I237">
        <v>0</v>
      </c>
      <c r="J237">
        <v>20201</v>
      </c>
      <c r="K237">
        <f>COUNTIF('rEKAP kls MK'!$A$2:$A$35,Worksheet!C237)</f>
        <v>1</v>
      </c>
      <c r="L237" t="str">
        <f t="shared" si="12"/>
        <v>F1B113001</v>
      </c>
      <c r="M237" t="str">
        <f t="shared" si="13"/>
        <v>ADAM VERGIAN B</v>
      </c>
      <c r="O237" t="str">
        <f t="shared" si="14"/>
        <v/>
      </c>
      <c r="P237" t="str">
        <f t="shared" si="15"/>
        <v/>
      </c>
    </row>
    <row r="238" spans="1:16">
      <c r="A238" t="s">
        <v>21</v>
      </c>
      <c r="B238" t="s">
        <v>22</v>
      </c>
      <c r="C238" t="s">
        <v>12</v>
      </c>
      <c r="D238" t="s">
        <v>13</v>
      </c>
      <c r="E238">
        <v>20171</v>
      </c>
      <c r="F238" t="s">
        <v>14</v>
      </c>
      <c r="G238" t="s">
        <v>23</v>
      </c>
      <c r="H238">
        <v>2.5</v>
      </c>
      <c r="I238">
        <v>0</v>
      </c>
      <c r="J238">
        <v>20201</v>
      </c>
      <c r="K238">
        <f>COUNTIF('rEKAP kls MK'!$A$2:$A$35,Worksheet!C238)</f>
        <v>1</v>
      </c>
      <c r="L238" t="str">
        <f t="shared" si="12"/>
        <v>F1B113002</v>
      </c>
      <c r="M238" t="str">
        <f t="shared" si="13"/>
        <v>AHMAD FAJRI AULIA</v>
      </c>
      <c r="O238" t="str">
        <f t="shared" si="14"/>
        <v/>
      </c>
      <c r="P238" t="str">
        <f t="shared" si="15"/>
        <v/>
      </c>
    </row>
    <row r="239" spans="1:16">
      <c r="A239" t="s">
        <v>24</v>
      </c>
      <c r="B239" t="s">
        <v>25</v>
      </c>
      <c r="C239" t="s">
        <v>12</v>
      </c>
      <c r="D239" t="s">
        <v>13</v>
      </c>
      <c r="E239">
        <v>20171</v>
      </c>
      <c r="F239" t="s">
        <v>14</v>
      </c>
      <c r="G239" t="s">
        <v>26</v>
      </c>
      <c r="H239">
        <v>2</v>
      </c>
      <c r="I239">
        <v>0</v>
      </c>
      <c r="J239">
        <v>20201</v>
      </c>
      <c r="K239">
        <f>COUNTIF('rEKAP kls MK'!$A$2:$A$35,Worksheet!C239)</f>
        <v>1</v>
      </c>
      <c r="L239" t="str">
        <f t="shared" si="12"/>
        <v>F1B113015</v>
      </c>
      <c r="M239" t="str">
        <f t="shared" si="13"/>
        <v>IMAM RAHMATULLAH S</v>
      </c>
      <c r="O239" t="str">
        <f t="shared" si="14"/>
        <v/>
      </c>
      <c r="P239" t="str">
        <f t="shared" si="15"/>
        <v/>
      </c>
    </row>
    <row r="240" spans="1:16">
      <c r="A240" t="s">
        <v>27</v>
      </c>
      <c r="B240" t="s">
        <v>28</v>
      </c>
      <c r="C240" t="s">
        <v>12</v>
      </c>
      <c r="D240" t="s">
        <v>13</v>
      </c>
      <c r="E240">
        <v>20171</v>
      </c>
      <c r="F240" t="s">
        <v>14</v>
      </c>
      <c r="G240" t="s">
        <v>18</v>
      </c>
      <c r="H240">
        <v>3</v>
      </c>
      <c r="I240">
        <v>0</v>
      </c>
      <c r="J240">
        <v>20201</v>
      </c>
      <c r="K240">
        <f>COUNTIF('rEKAP kls MK'!$A$2:$A$35,Worksheet!C240)</f>
        <v>1</v>
      </c>
      <c r="L240" t="str">
        <f t="shared" si="12"/>
        <v>F1B113016</v>
      </c>
      <c r="M240" t="str">
        <f t="shared" si="13"/>
        <v>JUZI SYUKRAN</v>
      </c>
      <c r="O240" t="str">
        <f t="shared" si="14"/>
        <v/>
      </c>
      <c r="P240" t="str">
        <f t="shared" si="15"/>
        <v/>
      </c>
    </row>
    <row r="241" spans="1:16">
      <c r="A241" t="s">
        <v>29</v>
      </c>
      <c r="B241" t="s">
        <v>30</v>
      </c>
      <c r="C241" t="s">
        <v>12</v>
      </c>
      <c r="D241" t="s">
        <v>13</v>
      </c>
      <c r="E241">
        <v>20171</v>
      </c>
      <c r="F241" t="s">
        <v>14</v>
      </c>
      <c r="G241" t="s">
        <v>23</v>
      </c>
      <c r="H241">
        <v>2.5</v>
      </c>
      <c r="I241">
        <v>0</v>
      </c>
      <c r="J241">
        <v>20201</v>
      </c>
      <c r="K241">
        <f>COUNTIF('rEKAP kls MK'!$A$2:$A$35,Worksheet!C241)</f>
        <v>1</v>
      </c>
      <c r="L241" t="str">
        <f t="shared" si="12"/>
        <v>F1B113021</v>
      </c>
      <c r="M241" t="str">
        <f t="shared" si="13"/>
        <v>LALU MUHAMMAD IBNU N</v>
      </c>
      <c r="O241" t="str">
        <f t="shared" si="14"/>
        <v/>
      </c>
      <c r="P241" t="str">
        <f t="shared" si="15"/>
        <v/>
      </c>
    </row>
    <row r="242" spans="1:16">
      <c r="A242" t="s">
        <v>31</v>
      </c>
      <c r="B242" t="s">
        <v>32</v>
      </c>
      <c r="C242" t="s">
        <v>12</v>
      </c>
      <c r="D242" t="s">
        <v>13</v>
      </c>
      <c r="E242">
        <v>20171</v>
      </c>
      <c r="F242" t="s">
        <v>14</v>
      </c>
      <c r="G242" t="s">
        <v>26</v>
      </c>
      <c r="H242">
        <v>2</v>
      </c>
      <c r="I242">
        <v>0</v>
      </c>
      <c r="J242">
        <v>20201</v>
      </c>
      <c r="K242">
        <f>COUNTIF('rEKAP kls MK'!$A$2:$A$35,Worksheet!C242)</f>
        <v>1</v>
      </c>
      <c r="L242" t="str">
        <f t="shared" si="12"/>
        <v>F1B113022</v>
      </c>
      <c r="M242" t="str">
        <f t="shared" si="13"/>
        <v>LAZARUS CHRISTIAN P</v>
      </c>
      <c r="O242" t="str">
        <f t="shared" si="14"/>
        <v/>
      </c>
      <c r="P242" t="str">
        <f t="shared" si="15"/>
        <v/>
      </c>
    </row>
    <row r="243" spans="1:16">
      <c r="A243" t="s">
        <v>33</v>
      </c>
      <c r="B243" t="s">
        <v>34</v>
      </c>
      <c r="C243" t="s">
        <v>12</v>
      </c>
      <c r="D243" t="s">
        <v>13</v>
      </c>
      <c r="E243">
        <v>20171</v>
      </c>
      <c r="F243" t="s">
        <v>14</v>
      </c>
      <c r="G243" t="s">
        <v>23</v>
      </c>
      <c r="H243">
        <v>2.5</v>
      </c>
      <c r="I243">
        <v>0</v>
      </c>
      <c r="J243">
        <v>20201</v>
      </c>
      <c r="K243">
        <f>COUNTIF('rEKAP kls MK'!$A$2:$A$35,Worksheet!C243)</f>
        <v>1</v>
      </c>
      <c r="L243" t="str">
        <f t="shared" si="12"/>
        <v>F1B113026</v>
      </c>
      <c r="M243" t="str">
        <f t="shared" si="13"/>
        <v>MUHAMAD ARDI RAHMAN</v>
      </c>
      <c r="O243" t="str">
        <f t="shared" si="14"/>
        <v/>
      </c>
      <c r="P243" t="str">
        <f t="shared" si="15"/>
        <v/>
      </c>
    </row>
    <row r="244" spans="1:16">
      <c r="A244" t="s">
        <v>35</v>
      </c>
      <c r="B244" t="s">
        <v>36</v>
      </c>
      <c r="C244" t="s">
        <v>12</v>
      </c>
      <c r="D244" t="s">
        <v>13</v>
      </c>
      <c r="E244">
        <v>20171</v>
      </c>
      <c r="F244" t="s">
        <v>14</v>
      </c>
      <c r="G244" t="s">
        <v>18</v>
      </c>
      <c r="H244">
        <v>3</v>
      </c>
      <c r="I244">
        <v>0</v>
      </c>
      <c r="J244">
        <v>20201</v>
      </c>
      <c r="K244">
        <f>COUNTIF('rEKAP kls MK'!$A$2:$A$35,Worksheet!C244)</f>
        <v>1</v>
      </c>
      <c r="L244" t="str">
        <f t="shared" si="12"/>
        <v>F1B113028</v>
      </c>
      <c r="M244" t="str">
        <f t="shared" si="13"/>
        <v>PUGUH DWI ANTARA</v>
      </c>
      <c r="O244" t="str">
        <f t="shared" si="14"/>
        <v/>
      </c>
      <c r="P244" t="str">
        <f t="shared" si="15"/>
        <v/>
      </c>
    </row>
    <row r="245" spans="1:16">
      <c r="A245" t="s">
        <v>37</v>
      </c>
      <c r="B245" t="s">
        <v>38</v>
      </c>
      <c r="C245" t="s">
        <v>12</v>
      </c>
      <c r="D245" t="s">
        <v>13</v>
      </c>
      <c r="E245">
        <v>20171</v>
      </c>
      <c r="F245" t="s">
        <v>14</v>
      </c>
      <c r="G245" t="s">
        <v>23</v>
      </c>
      <c r="H245">
        <v>2.5</v>
      </c>
      <c r="I245">
        <v>0</v>
      </c>
      <c r="J245">
        <v>20201</v>
      </c>
      <c r="K245">
        <f>COUNTIF('rEKAP kls MK'!$A$2:$A$35,Worksheet!C245)</f>
        <v>1</v>
      </c>
      <c r="L245" t="str">
        <f t="shared" si="12"/>
        <v>F1B113029</v>
      </c>
      <c r="M245" t="str">
        <f t="shared" si="13"/>
        <v>RANGGA FAJAR MAULANA</v>
      </c>
      <c r="O245" t="str">
        <f t="shared" si="14"/>
        <v/>
      </c>
      <c r="P245" t="str">
        <f t="shared" si="15"/>
        <v/>
      </c>
    </row>
    <row r="246" spans="1:16">
      <c r="A246" t="s">
        <v>39</v>
      </c>
      <c r="B246" t="s">
        <v>40</v>
      </c>
      <c r="C246" t="s">
        <v>12</v>
      </c>
      <c r="D246" t="s">
        <v>13</v>
      </c>
      <c r="E246">
        <v>20171</v>
      </c>
      <c r="F246" t="s">
        <v>14</v>
      </c>
      <c r="G246" t="s">
        <v>18</v>
      </c>
      <c r="H246">
        <v>3</v>
      </c>
      <c r="I246">
        <v>0</v>
      </c>
      <c r="J246">
        <v>20201</v>
      </c>
      <c r="K246">
        <f>COUNTIF('rEKAP kls MK'!$A$2:$A$35,Worksheet!C246)</f>
        <v>1</v>
      </c>
      <c r="L246" t="str">
        <f t="shared" si="12"/>
        <v>F1B113031</v>
      </c>
      <c r="M246" t="str">
        <f t="shared" si="13"/>
        <v>SADIQ RAMADHOAN</v>
      </c>
      <c r="O246" t="str">
        <f t="shared" si="14"/>
        <v/>
      </c>
      <c r="P246" t="str">
        <f t="shared" si="15"/>
        <v/>
      </c>
    </row>
    <row r="247" spans="1:16">
      <c r="A247" t="s">
        <v>41</v>
      </c>
      <c r="B247" t="s">
        <v>42</v>
      </c>
      <c r="C247" t="s">
        <v>12</v>
      </c>
      <c r="D247" t="s">
        <v>13</v>
      </c>
      <c r="E247">
        <v>20171</v>
      </c>
      <c r="F247" t="s">
        <v>14</v>
      </c>
      <c r="G247" t="s">
        <v>26</v>
      </c>
      <c r="H247">
        <v>2</v>
      </c>
      <c r="I247">
        <v>0</v>
      </c>
      <c r="J247">
        <v>20201</v>
      </c>
      <c r="K247">
        <f>COUNTIF('rEKAP kls MK'!$A$2:$A$35,Worksheet!C247)</f>
        <v>1</v>
      </c>
      <c r="L247" t="str">
        <f t="shared" si="12"/>
        <v>F1B113032</v>
      </c>
      <c r="M247" t="str">
        <f t="shared" si="13"/>
        <v>SAMSUL AZWARI</v>
      </c>
      <c r="O247" t="str">
        <f t="shared" si="14"/>
        <v/>
      </c>
      <c r="P247" t="str">
        <f t="shared" si="15"/>
        <v/>
      </c>
    </row>
    <row r="248" spans="1:16">
      <c r="A248" t="s">
        <v>43</v>
      </c>
      <c r="B248" t="s">
        <v>44</v>
      </c>
      <c r="C248" t="s">
        <v>12</v>
      </c>
      <c r="D248" t="s">
        <v>13</v>
      </c>
      <c r="E248">
        <v>20171</v>
      </c>
      <c r="F248" t="s">
        <v>14</v>
      </c>
      <c r="G248" t="s">
        <v>18</v>
      </c>
      <c r="H248">
        <v>3</v>
      </c>
      <c r="I248">
        <v>0</v>
      </c>
      <c r="J248">
        <v>20201</v>
      </c>
      <c r="K248">
        <f>COUNTIF('rEKAP kls MK'!$A$2:$A$35,Worksheet!C248)</f>
        <v>1</v>
      </c>
      <c r="L248" t="str">
        <f t="shared" si="12"/>
        <v>F1B113034</v>
      </c>
      <c r="M248" t="str">
        <f t="shared" si="13"/>
        <v>SHIR AJIE ASMORO</v>
      </c>
      <c r="O248" t="str">
        <f t="shared" si="14"/>
        <v/>
      </c>
      <c r="P248" t="str">
        <f t="shared" si="15"/>
        <v/>
      </c>
    </row>
    <row r="249" spans="1:16">
      <c r="A249" t="s">
        <v>45</v>
      </c>
      <c r="B249" t="s">
        <v>46</v>
      </c>
      <c r="C249" t="s">
        <v>12</v>
      </c>
      <c r="D249" t="s">
        <v>13</v>
      </c>
      <c r="E249">
        <v>20171</v>
      </c>
      <c r="F249" t="s">
        <v>14</v>
      </c>
      <c r="G249" t="s">
        <v>18</v>
      </c>
      <c r="H249">
        <v>3</v>
      </c>
      <c r="I249">
        <v>0</v>
      </c>
      <c r="J249">
        <v>20201</v>
      </c>
      <c r="K249">
        <f>COUNTIF('rEKAP kls MK'!$A$2:$A$35,Worksheet!C249)</f>
        <v>1</v>
      </c>
      <c r="L249" t="str">
        <f t="shared" si="12"/>
        <v>F1B114001</v>
      </c>
      <c r="M249" t="str">
        <f t="shared" si="13"/>
        <v>ADI PURNA</v>
      </c>
      <c r="O249" t="str">
        <f t="shared" si="14"/>
        <v/>
      </c>
      <c r="P249" t="str">
        <f t="shared" si="15"/>
        <v/>
      </c>
    </row>
    <row r="250" spans="1:16">
      <c r="A250" t="s">
        <v>47</v>
      </c>
      <c r="B250" t="s">
        <v>48</v>
      </c>
      <c r="C250" t="s">
        <v>12</v>
      </c>
      <c r="D250" t="s">
        <v>13</v>
      </c>
      <c r="E250">
        <v>20171</v>
      </c>
      <c r="F250" t="s">
        <v>14</v>
      </c>
      <c r="G250" t="s">
        <v>18</v>
      </c>
      <c r="H250">
        <v>3</v>
      </c>
      <c r="I250">
        <v>0</v>
      </c>
      <c r="J250">
        <v>20201</v>
      </c>
      <c r="K250">
        <f>COUNTIF('rEKAP kls MK'!$A$2:$A$35,Worksheet!C250)</f>
        <v>1</v>
      </c>
      <c r="L250" t="str">
        <f t="shared" si="12"/>
        <v>F1B114004</v>
      </c>
      <c r="M250" t="str">
        <f t="shared" si="13"/>
        <v>AKHMAD AKHIR BULAN</v>
      </c>
      <c r="O250" t="str">
        <f t="shared" si="14"/>
        <v/>
      </c>
      <c r="P250" t="str">
        <f t="shared" si="15"/>
        <v/>
      </c>
    </row>
    <row r="251" spans="1:16">
      <c r="A251" t="s">
        <v>49</v>
      </c>
      <c r="B251" t="s">
        <v>50</v>
      </c>
      <c r="C251" t="s">
        <v>12</v>
      </c>
      <c r="D251" t="s">
        <v>13</v>
      </c>
      <c r="E251">
        <v>20171</v>
      </c>
      <c r="F251" t="s">
        <v>14</v>
      </c>
      <c r="G251" t="s">
        <v>51</v>
      </c>
      <c r="H251">
        <v>3.5</v>
      </c>
      <c r="I251">
        <v>0</v>
      </c>
      <c r="J251">
        <v>20201</v>
      </c>
      <c r="K251">
        <f>COUNTIF('rEKAP kls MK'!$A$2:$A$35,Worksheet!C251)</f>
        <v>1</v>
      </c>
      <c r="L251" t="str">
        <f t="shared" si="12"/>
        <v>F1B114007</v>
      </c>
      <c r="M251" t="str">
        <f t="shared" si="13"/>
        <v>BIJE SYIAPRIADI D</v>
      </c>
      <c r="O251" t="str">
        <f t="shared" si="14"/>
        <v/>
      </c>
      <c r="P251" t="str">
        <f t="shared" si="15"/>
        <v/>
      </c>
    </row>
    <row r="252" spans="1:16">
      <c r="A252" t="s">
        <v>52</v>
      </c>
      <c r="B252" t="s">
        <v>53</v>
      </c>
      <c r="C252" t="s">
        <v>12</v>
      </c>
      <c r="D252" t="s">
        <v>13</v>
      </c>
      <c r="E252">
        <v>20171</v>
      </c>
      <c r="F252" t="s">
        <v>14</v>
      </c>
      <c r="G252" t="s">
        <v>18</v>
      </c>
      <c r="H252">
        <v>3</v>
      </c>
      <c r="I252">
        <v>0</v>
      </c>
      <c r="J252">
        <v>20201</v>
      </c>
      <c r="K252">
        <f>COUNTIF('rEKAP kls MK'!$A$2:$A$35,Worksheet!C252)</f>
        <v>1</v>
      </c>
      <c r="L252" t="str">
        <f t="shared" si="12"/>
        <v>F1B114014</v>
      </c>
      <c r="M252" t="str">
        <f t="shared" si="13"/>
        <v>HAMDUN</v>
      </c>
      <c r="O252" t="str">
        <f t="shared" si="14"/>
        <v/>
      </c>
      <c r="P252" t="str">
        <f t="shared" si="15"/>
        <v/>
      </c>
    </row>
    <row r="253" spans="1:16">
      <c r="A253" t="s">
        <v>54</v>
      </c>
      <c r="B253" t="s">
        <v>55</v>
      </c>
      <c r="C253" t="s">
        <v>12</v>
      </c>
      <c r="D253" t="s">
        <v>13</v>
      </c>
      <c r="E253">
        <v>20171</v>
      </c>
      <c r="F253" t="s">
        <v>14</v>
      </c>
      <c r="G253" t="s">
        <v>51</v>
      </c>
      <c r="H253">
        <v>3.5</v>
      </c>
      <c r="I253">
        <v>0</v>
      </c>
      <c r="J253">
        <v>20201</v>
      </c>
      <c r="K253">
        <f>COUNTIF('rEKAP kls MK'!$A$2:$A$35,Worksheet!C253)</f>
        <v>1</v>
      </c>
      <c r="L253" t="str">
        <f t="shared" si="12"/>
        <v>F1B114028</v>
      </c>
      <c r="M253" t="str">
        <f t="shared" si="13"/>
        <v>MUHAMMAD HAJRUL MUZAQI</v>
      </c>
      <c r="O253" t="str">
        <f t="shared" si="14"/>
        <v/>
      </c>
      <c r="P253" t="str">
        <f t="shared" si="15"/>
        <v/>
      </c>
    </row>
    <row r="254" spans="1:16">
      <c r="A254" t="s">
        <v>56</v>
      </c>
      <c r="B254" t="s">
        <v>57</v>
      </c>
      <c r="C254" t="s">
        <v>12</v>
      </c>
      <c r="D254" t="s">
        <v>13</v>
      </c>
      <c r="E254">
        <v>20171</v>
      </c>
      <c r="F254" t="s">
        <v>14</v>
      </c>
      <c r="G254" t="s">
        <v>51</v>
      </c>
      <c r="H254">
        <v>3.5</v>
      </c>
      <c r="I254">
        <v>0</v>
      </c>
      <c r="J254">
        <v>20201</v>
      </c>
      <c r="K254">
        <f>COUNTIF('rEKAP kls MK'!$A$2:$A$35,Worksheet!C254)</f>
        <v>1</v>
      </c>
      <c r="L254" t="str">
        <f t="shared" si="12"/>
        <v>F1B116001</v>
      </c>
      <c r="M254" t="str">
        <f t="shared" si="13"/>
        <v>AHMAD MUHAJIR</v>
      </c>
      <c r="O254" t="str">
        <f t="shared" si="14"/>
        <v/>
      </c>
      <c r="P254" t="str">
        <f t="shared" si="15"/>
        <v/>
      </c>
    </row>
    <row r="255" spans="1:16">
      <c r="A255" t="s">
        <v>58</v>
      </c>
      <c r="B255" t="s">
        <v>59</v>
      </c>
      <c r="C255" t="s">
        <v>12</v>
      </c>
      <c r="D255" t="s">
        <v>13</v>
      </c>
      <c r="E255">
        <v>20171</v>
      </c>
      <c r="F255" t="s">
        <v>14</v>
      </c>
      <c r="G255" t="s">
        <v>26</v>
      </c>
      <c r="H255">
        <v>2</v>
      </c>
      <c r="I255">
        <v>0</v>
      </c>
      <c r="J255">
        <v>20201</v>
      </c>
      <c r="K255">
        <f>COUNTIF('rEKAP kls MK'!$A$2:$A$35,Worksheet!C255)</f>
        <v>1</v>
      </c>
      <c r="L255" t="str">
        <f t="shared" si="12"/>
        <v>F1B116003</v>
      </c>
      <c r="M255" t="str">
        <f t="shared" si="13"/>
        <v>DONI PRANATA</v>
      </c>
      <c r="O255" t="str">
        <f t="shared" si="14"/>
        <v/>
      </c>
      <c r="P255" t="str">
        <f t="shared" si="15"/>
        <v/>
      </c>
    </row>
    <row r="256" spans="1:16">
      <c r="A256" t="s">
        <v>60</v>
      </c>
      <c r="B256" t="s">
        <v>61</v>
      </c>
      <c r="C256" t="s">
        <v>12</v>
      </c>
      <c r="D256" t="s">
        <v>13</v>
      </c>
      <c r="E256">
        <v>20171</v>
      </c>
      <c r="F256" t="s">
        <v>14</v>
      </c>
      <c r="G256" t="s">
        <v>18</v>
      </c>
      <c r="H256">
        <v>3</v>
      </c>
      <c r="I256">
        <v>0</v>
      </c>
      <c r="J256">
        <v>20201</v>
      </c>
      <c r="K256">
        <f>COUNTIF('rEKAP kls MK'!$A$2:$A$35,Worksheet!C256)</f>
        <v>1</v>
      </c>
      <c r="L256" t="str">
        <f t="shared" si="12"/>
        <v>F1B116005</v>
      </c>
      <c r="M256" t="str">
        <f t="shared" si="13"/>
        <v>FENDY KURNIAWAN</v>
      </c>
      <c r="O256" t="str">
        <f t="shared" si="14"/>
        <v/>
      </c>
      <c r="P256" t="str">
        <f t="shared" si="15"/>
        <v/>
      </c>
    </row>
    <row r="257" spans="1:16">
      <c r="A257" t="s">
        <v>64</v>
      </c>
      <c r="B257" t="s">
        <v>65</v>
      </c>
      <c r="C257" t="s">
        <v>12</v>
      </c>
      <c r="D257" t="s">
        <v>13</v>
      </c>
      <c r="E257">
        <v>20171</v>
      </c>
      <c r="F257" t="s">
        <v>14</v>
      </c>
      <c r="G257" t="s">
        <v>23</v>
      </c>
      <c r="H257">
        <v>2.5</v>
      </c>
      <c r="I257">
        <v>0</v>
      </c>
      <c r="J257">
        <v>20201</v>
      </c>
      <c r="K257">
        <f>COUNTIF('rEKAP kls MK'!$A$2:$A$35,Worksheet!C257)</f>
        <v>1</v>
      </c>
      <c r="L257" t="str">
        <f t="shared" si="12"/>
        <v>F1B116008</v>
      </c>
      <c r="M257" t="str">
        <f t="shared" si="13"/>
        <v>Harjo Sumitro</v>
      </c>
      <c r="O257" t="str">
        <f t="shared" si="14"/>
        <v/>
      </c>
      <c r="P257" t="str">
        <f t="shared" si="15"/>
        <v/>
      </c>
    </row>
    <row r="258" spans="1:16">
      <c r="A258" t="s">
        <v>66</v>
      </c>
      <c r="B258" t="s">
        <v>67</v>
      </c>
      <c r="C258" t="s">
        <v>12</v>
      </c>
      <c r="D258" t="s">
        <v>13</v>
      </c>
      <c r="E258">
        <v>20171</v>
      </c>
      <c r="F258" t="s">
        <v>14</v>
      </c>
      <c r="G258" t="s">
        <v>18</v>
      </c>
      <c r="H258">
        <v>3</v>
      </c>
      <c r="I258">
        <v>0</v>
      </c>
      <c r="J258">
        <v>20201</v>
      </c>
      <c r="K258">
        <f>COUNTIF('rEKAP kls MK'!$A$2:$A$35,Worksheet!C258)</f>
        <v>1</v>
      </c>
      <c r="L258" t="str">
        <f t="shared" si="12"/>
        <v>F1B116009</v>
      </c>
      <c r="M258" t="str">
        <f t="shared" si="13"/>
        <v>HASAN BASRI</v>
      </c>
      <c r="O258" t="str">
        <f t="shared" si="14"/>
        <v/>
      </c>
      <c r="P258" t="str">
        <f t="shared" si="15"/>
        <v/>
      </c>
    </row>
    <row r="259" spans="1:16">
      <c r="A259" t="s">
        <v>68</v>
      </c>
      <c r="B259" t="s">
        <v>69</v>
      </c>
      <c r="C259" t="s">
        <v>12</v>
      </c>
      <c r="D259" t="s">
        <v>13</v>
      </c>
      <c r="E259">
        <v>20171</v>
      </c>
      <c r="F259" t="s">
        <v>14</v>
      </c>
      <c r="G259" t="s">
        <v>51</v>
      </c>
      <c r="H259">
        <v>3.5</v>
      </c>
      <c r="I259">
        <v>0</v>
      </c>
      <c r="J259">
        <v>20201</v>
      </c>
      <c r="K259">
        <f>COUNTIF('rEKAP kls MK'!$A$2:$A$35,Worksheet!C259)</f>
        <v>1</v>
      </c>
      <c r="L259" t="str">
        <f t="shared" ref="L259:L322" si="16">IF(A258&lt;&gt;A259,A259,"")</f>
        <v>F1B116010</v>
      </c>
      <c r="M259" t="str">
        <f t="shared" ref="M259:M322" si="17">IF(B258&lt;&gt;B259,B259,"")</f>
        <v>Ihsan Syaputro</v>
      </c>
      <c r="O259" t="str">
        <f t="shared" ref="O259:O322" si="18">IF(D258&lt;&gt;D259,D259,"")</f>
        <v/>
      </c>
      <c r="P259" t="str">
        <f t="shared" ref="P259:P322" si="19">IF(F258&lt;&gt;F259,F259,"")</f>
        <v/>
      </c>
    </row>
    <row r="260" spans="1:16">
      <c r="A260" t="s">
        <v>70</v>
      </c>
      <c r="B260" t="s">
        <v>71</v>
      </c>
      <c r="C260" t="s">
        <v>12</v>
      </c>
      <c r="D260" t="s">
        <v>13</v>
      </c>
      <c r="E260">
        <v>20171</v>
      </c>
      <c r="F260" t="s">
        <v>14</v>
      </c>
      <c r="G260" t="s">
        <v>26</v>
      </c>
      <c r="H260">
        <v>2</v>
      </c>
      <c r="I260">
        <v>0</v>
      </c>
      <c r="J260">
        <v>20201</v>
      </c>
      <c r="K260">
        <f>COUNTIF('rEKAP kls MK'!$A$2:$A$35,Worksheet!C260)</f>
        <v>1</v>
      </c>
      <c r="L260" t="str">
        <f t="shared" si="16"/>
        <v>F1B116012</v>
      </c>
      <c r="M260" t="str">
        <f t="shared" si="17"/>
        <v>JEMMY FEBRY SUMANDA</v>
      </c>
      <c r="O260" t="str">
        <f t="shared" si="18"/>
        <v/>
      </c>
      <c r="P260" t="str">
        <f t="shared" si="19"/>
        <v/>
      </c>
    </row>
    <row r="261" spans="1:16">
      <c r="A261" t="s">
        <v>72</v>
      </c>
      <c r="B261" t="s">
        <v>73</v>
      </c>
      <c r="C261" t="s">
        <v>12</v>
      </c>
      <c r="D261" t="s">
        <v>13</v>
      </c>
      <c r="E261">
        <v>20171</v>
      </c>
      <c r="F261" t="s">
        <v>14</v>
      </c>
      <c r="G261" t="s">
        <v>23</v>
      </c>
      <c r="H261">
        <v>2.5</v>
      </c>
      <c r="I261">
        <v>0</v>
      </c>
      <c r="J261">
        <v>20201</v>
      </c>
      <c r="K261">
        <f>COUNTIF('rEKAP kls MK'!$A$2:$A$35,Worksheet!C261)</f>
        <v>1</v>
      </c>
      <c r="L261" t="str">
        <f t="shared" si="16"/>
        <v>F1B116014</v>
      </c>
      <c r="M261" t="str">
        <f t="shared" si="17"/>
        <v>LALU ARIF TASIBANA</v>
      </c>
      <c r="O261" t="str">
        <f t="shared" si="18"/>
        <v/>
      </c>
      <c r="P261" t="str">
        <f t="shared" si="19"/>
        <v/>
      </c>
    </row>
    <row r="262" spans="1:16">
      <c r="A262" t="s">
        <v>74</v>
      </c>
      <c r="B262" t="s">
        <v>75</v>
      </c>
      <c r="C262" t="s">
        <v>12</v>
      </c>
      <c r="D262" t="s">
        <v>13</v>
      </c>
      <c r="E262">
        <v>20171</v>
      </c>
      <c r="F262" t="s">
        <v>14</v>
      </c>
      <c r="G262" t="s">
        <v>51</v>
      </c>
      <c r="H262">
        <v>3.5</v>
      </c>
      <c r="I262">
        <v>0</v>
      </c>
      <c r="J262">
        <v>20201</v>
      </c>
      <c r="K262">
        <f>COUNTIF('rEKAP kls MK'!$A$2:$A$35,Worksheet!C262)</f>
        <v>1</v>
      </c>
      <c r="L262" t="str">
        <f t="shared" si="16"/>
        <v>F1B116015</v>
      </c>
      <c r="M262" t="str">
        <f t="shared" si="17"/>
        <v>LALU MAHSAR KHAIRUDI</v>
      </c>
      <c r="O262" t="str">
        <f t="shared" si="18"/>
        <v/>
      </c>
      <c r="P262" t="str">
        <f t="shared" si="19"/>
        <v/>
      </c>
    </row>
    <row r="263" spans="1:16">
      <c r="A263" t="s">
        <v>76</v>
      </c>
      <c r="B263" t="s">
        <v>77</v>
      </c>
      <c r="C263" t="s">
        <v>12</v>
      </c>
      <c r="D263" t="s">
        <v>13</v>
      </c>
      <c r="E263">
        <v>20171</v>
      </c>
      <c r="F263" t="s">
        <v>14</v>
      </c>
      <c r="G263" t="s">
        <v>23</v>
      </c>
      <c r="H263">
        <v>2.5</v>
      </c>
      <c r="I263">
        <v>0</v>
      </c>
      <c r="J263">
        <v>20201</v>
      </c>
      <c r="K263">
        <f>COUNTIF('rEKAP kls MK'!$A$2:$A$35,Worksheet!C263)</f>
        <v>1</v>
      </c>
      <c r="L263" t="str">
        <f t="shared" si="16"/>
        <v>F1B116016</v>
      </c>
      <c r="M263" t="str">
        <f t="shared" si="17"/>
        <v>LALU MOHAMAD FAESAL RAHMAN</v>
      </c>
      <c r="O263" t="str">
        <f t="shared" si="18"/>
        <v/>
      </c>
      <c r="P263" t="str">
        <f t="shared" si="19"/>
        <v/>
      </c>
    </row>
    <row r="264" spans="1:16">
      <c r="A264" t="s">
        <v>78</v>
      </c>
      <c r="B264" t="s">
        <v>79</v>
      </c>
      <c r="C264" t="s">
        <v>12</v>
      </c>
      <c r="D264" t="s">
        <v>13</v>
      </c>
      <c r="E264">
        <v>20171</v>
      </c>
      <c r="F264" t="s">
        <v>14</v>
      </c>
      <c r="G264" t="s">
        <v>18</v>
      </c>
      <c r="H264">
        <v>3</v>
      </c>
      <c r="I264">
        <v>0</v>
      </c>
      <c r="J264">
        <v>20201</v>
      </c>
      <c r="K264">
        <f>COUNTIF('rEKAP kls MK'!$A$2:$A$35,Worksheet!C264)</f>
        <v>1</v>
      </c>
      <c r="L264" t="str">
        <f t="shared" si="16"/>
        <v>F1B116021</v>
      </c>
      <c r="M264" t="str">
        <f t="shared" si="17"/>
        <v>NELIN AYU NIRWANA</v>
      </c>
      <c r="O264" t="str">
        <f t="shared" si="18"/>
        <v/>
      </c>
      <c r="P264" t="str">
        <f t="shared" si="19"/>
        <v/>
      </c>
    </row>
    <row r="265" spans="1:16">
      <c r="A265" t="s">
        <v>80</v>
      </c>
      <c r="B265" t="s">
        <v>81</v>
      </c>
      <c r="C265" t="s">
        <v>12</v>
      </c>
      <c r="D265" t="s">
        <v>13</v>
      </c>
      <c r="E265">
        <v>20171</v>
      </c>
      <c r="F265" t="s">
        <v>14</v>
      </c>
      <c r="G265" t="s">
        <v>82</v>
      </c>
      <c r="H265">
        <v>4</v>
      </c>
      <c r="I265">
        <v>0</v>
      </c>
      <c r="J265">
        <v>20201</v>
      </c>
      <c r="K265">
        <f>COUNTIF('rEKAP kls MK'!$A$2:$A$35,Worksheet!C265)</f>
        <v>1</v>
      </c>
      <c r="L265" t="str">
        <f t="shared" si="16"/>
        <v>F1B116022</v>
      </c>
      <c r="M265" t="str">
        <f t="shared" si="17"/>
        <v>NOVA HENDRI KURNIAWAN</v>
      </c>
      <c r="O265" t="str">
        <f t="shared" si="18"/>
        <v/>
      </c>
      <c r="P265" t="str">
        <f t="shared" si="19"/>
        <v/>
      </c>
    </row>
    <row r="266" spans="1:16">
      <c r="A266" t="s">
        <v>83</v>
      </c>
      <c r="B266" t="s">
        <v>84</v>
      </c>
      <c r="C266" t="s">
        <v>12</v>
      </c>
      <c r="D266" t="s">
        <v>13</v>
      </c>
      <c r="E266">
        <v>20171</v>
      </c>
      <c r="F266" t="s">
        <v>14</v>
      </c>
      <c r="G266" t="s">
        <v>23</v>
      </c>
      <c r="H266">
        <v>2.5</v>
      </c>
      <c r="I266">
        <v>0</v>
      </c>
      <c r="J266">
        <v>20201</v>
      </c>
      <c r="K266">
        <f>COUNTIF('rEKAP kls MK'!$A$2:$A$35,Worksheet!C266)</f>
        <v>1</v>
      </c>
      <c r="L266" t="str">
        <f t="shared" si="16"/>
        <v>F1B116024</v>
      </c>
      <c r="M266" t="str">
        <f t="shared" si="17"/>
        <v>RENA RAMDINAWATI</v>
      </c>
      <c r="O266" t="str">
        <f t="shared" si="18"/>
        <v/>
      </c>
      <c r="P266" t="str">
        <f t="shared" si="19"/>
        <v/>
      </c>
    </row>
    <row r="267" spans="1:16">
      <c r="A267" t="s">
        <v>85</v>
      </c>
      <c r="B267" t="s">
        <v>86</v>
      </c>
      <c r="C267" t="s">
        <v>12</v>
      </c>
      <c r="D267" t="s">
        <v>13</v>
      </c>
      <c r="E267">
        <v>20171</v>
      </c>
      <c r="F267" t="s">
        <v>14</v>
      </c>
      <c r="G267" t="s">
        <v>18</v>
      </c>
      <c r="H267">
        <v>3</v>
      </c>
      <c r="I267">
        <v>0</v>
      </c>
      <c r="J267">
        <v>20201</v>
      </c>
      <c r="K267">
        <f>COUNTIF('rEKAP kls MK'!$A$2:$A$35,Worksheet!C267)</f>
        <v>1</v>
      </c>
      <c r="L267" t="str">
        <f t="shared" si="16"/>
        <v>F1B116025</v>
      </c>
      <c r="M267" t="str">
        <f t="shared" si="17"/>
        <v>RISMAN ALFIAN LUTHFI</v>
      </c>
      <c r="O267" t="str">
        <f t="shared" si="18"/>
        <v/>
      </c>
      <c r="P267" t="str">
        <f t="shared" si="19"/>
        <v/>
      </c>
    </row>
    <row r="268" spans="1:16">
      <c r="A268" t="s">
        <v>87</v>
      </c>
      <c r="B268" t="s">
        <v>88</v>
      </c>
      <c r="C268" t="s">
        <v>12</v>
      </c>
      <c r="D268" t="s">
        <v>13</v>
      </c>
      <c r="E268">
        <v>20171</v>
      </c>
      <c r="F268" t="s">
        <v>14</v>
      </c>
      <c r="G268" t="s">
        <v>18</v>
      </c>
      <c r="H268">
        <v>3</v>
      </c>
      <c r="I268">
        <v>0</v>
      </c>
      <c r="J268">
        <v>20201</v>
      </c>
      <c r="K268">
        <f>COUNTIF('rEKAP kls MK'!$A$2:$A$35,Worksheet!C268)</f>
        <v>1</v>
      </c>
      <c r="L268" t="str">
        <f t="shared" si="16"/>
        <v>F1B116027</v>
      </c>
      <c r="M268" t="str">
        <f t="shared" si="17"/>
        <v>ROYHAN ADEKA SAPUTRA</v>
      </c>
      <c r="O268" t="str">
        <f t="shared" si="18"/>
        <v/>
      </c>
      <c r="P268" t="str">
        <f t="shared" si="19"/>
        <v/>
      </c>
    </row>
    <row r="269" spans="1:16">
      <c r="A269" t="s">
        <v>89</v>
      </c>
      <c r="B269" t="s">
        <v>90</v>
      </c>
      <c r="C269" t="s">
        <v>12</v>
      </c>
      <c r="D269" t="s">
        <v>13</v>
      </c>
      <c r="E269">
        <v>20171</v>
      </c>
      <c r="F269" t="s">
        <v>14</v>
      </c>
      <c r="G269" t="s">
        <v>82</v>
      </c>
      <c r="H269">
        <v>4</v>
      </c>
      <c r="I269">
        <v>0</v>
      </c>
      <c r="J269">
        <v>20201</v>
      </c>
      <c r="K269">
        <f>COUNTIF('rEKAP kls MK'!$A$2:$A$35,Worksheet!C269)</f>
        <v>1</v>
      </c>
      <c r="L269" t="str">
        <f t="shared" si="16"/>
        <v>F1B116029</v>
      </c>
      <c r="M269" t="str">
        <f t="shared" si="17"/>
        <v>TAUFIK ZUBAIDILLAH</v>
      </c>
      <c r="O269" t="str">
        <f t="shared" si="18"/>
        <v/>
      </c>
      <c r="P269" t="str">
        <f t="shared" si="19"/>
        <v/>
      </c>
    </row>
    <row r="270" spans="1:16">
      <c r="A270" t="s">
        <v>91</v>
      </c>
      <c r="B270" t="s">
        <v>92</v>
      </c>
      <c r="C270" t="s">
        <v>12</v>
      </c>
      <c r="D270" t="s">
        <v>13</v>
      </c>
      <c r="E270">
        <v>20171</v>
      </c>
      <c r="F270" t="s">
        <v>14</v>
      </c>
      <c r="G270" t="s">
        <v>18</v>
      </c>
      <c r="H270">
        <v>3</v>
      </c>
      <c r="I270">
        <v>0</v>
      </c>
      <c r="J270">
        <v>20201</v>
      </c>
      <c r="K270">
        <f>COUNTIF('rEKAP kls MK'!$A$2:$A$35,Worksheet!C270)</f>
        <v>1</v>
      </c>
      <c r="L270" t="str">
        <f t="shared" si="16"/>
        <v>F1B116030</v>
      </c>
      <c r="M270" t="str">
        <f t="shared" si="17"/>
        <v>Yanuardi</v>
      </c>
      <c r="O270" t="str">
        <f t="shared" si="18"/>
        <v/>
      </c>
      <c r="P270" t="str">
        <f t="shared" si="19"/>
        <v/>
      </c>
    </row>
    <row r="271" spans="1:16">
      <c r="A271" t="s">
        <v>93</v>
      </c>
      <c r="B271" t="s">
        <v>94</v>
      </c>
      <c r="C271" t="s">
        <v>12</v>
      </c>
      <c r="D271" t="s">
        <v>13</v>
      </c>
      <c r="E271">
        <v>20171</v>
      </c>
      <c r="F271" t="s">
        <v>14</v>
      </c>
      <c r="G271" t="s">
        <v>18</v>
      </c>
      <c r="H271">
        <v>3</v>
      </c>
      <c r="I271">
        <v>0</v>
      </c>
      <c r="J271">
        <v>20201</v>
      </c>
      <c r="K271">
        <f>COUNTIF('rEKAP kls MK'!$A$2:$A$35,Worksheet!C271)</f>
        <v>1</v>
      </c>
      <c r="L271" t="str">
        <f t="shared" si="16"/>
        <v>F1B116032</v>
      </c>
      <c r="M271" t="str">
        <f t="shared" si="17"/>
        <v>Yuma</v>
      </c>
      <c r="O271" t="str">
        <f t="shared" si="18"/>
        <v/>
      </c>
      <c r="P271" t="str">
        <f t="shared" si="19"/>
        <v/>
      </c>
    </row>
    <row r="272" spans="1:16">
      <c r="A272" t="s">
        <v>95</v>
      </c>
      <c r="B272" t="s">
        <v>96</v>
      </c>
      <c r="C272" t="s">
        <v>12</v>
      </c>
      <c r="D272" t="s">
        <v>13</v>
      </c>
      <c r="E272">
        <v>20171</v>
      </c>
      <c r="F272" t="s">
        <v>14</v>
      </c>
      <c r="G272" t="s">
        <v>23</v>
      </c>
      <c r="H272">
        <v>2.5</v>
      </c>
      <c r="I272">
        <v>0</v>
      </c>
      <c r="J272">
        <v>20201</v>
      </c>
      <c r="K272">
        <f>COUNTIF('rEKAP kls MK'!$A$2:$A$35,Worksheet!C272)</f>
        <v>1</v>
      </c>
      <c r="L272" t="str">
        <f t="shared" si="16"/>
        <v>F1B116033</v>
      </c>
      <c r="M272" t="str">
        <f t="shared" si="17"/>
        <v>Yusril Bagas Sevyanto</v>
      </c>
      <c r="O272" t="str">
        <f t="shared" si="18"/>
        <v/>
      </c>
      <c r="P272" t="str">
        <f t="shared" si="19"/>
        <v/>
      </c>
    </row>
    <row r="273" spans="1:16">
      <c r="A273" t="s">
        <v>142</v>
      </c>
      <c r="B273" t="s">
        <v>143</v>
      </c>
      <c r="C273" t="s">
        <v>189</v>
      </c>
      <c r="D273" t="s">
        <v>190</v>
      </c>
      <c r="E273">
        <v>20171</v>
      </c>
      <c r="F273" t="s">
        <v>14</v>
      </c>
      <c r="G273" t="s">
        <v>82</v>
      </c>
      <c r="H273">
        <v>4</v>
      </c>
      <c r="I273">
        <v>0</v>
      </c>
      <c r="J273">
        <v>20201</v>
      </c>
      <c r="K273">
        <f>COUNTIF('rEKAP kls MK'!$A$2:$A$35,Worksheet!C273)</f>
        <v>2</v>
      </c>
      <c r="L273" t="str">
        <f t="shared" si="16"/>
        <v>F1B114018</v>
      </c>
      <c r="M273" t="str">
        <f t="shared" si="17"/>
        <v>I GUSTI BAGUS HENDRA PRADIPTA</v>
      </c>
      <c r="O273" t="str">
        <f t="shared" si="18"/>
        <v>DASAR TENAGA LISTRIK</v>
      </c>
      <c r="P273" t="str">
        <f t="shared" si="19"/>
        <v/>
      </c>
    </row>
    <row r="274" spans="1:16">
      <c r="A274" t="s">
        <v>114</v>
      </c>
      <c r="B274" t="s">
        <v>115</v>
      </c>
      <c r="C274" t="s">
        <v>189</v>
      </c>
      <c r="D274" t="s">
        <v>190</v>
      </c>
      <c r="E274">
        <v>20171</v>
      </c>
      <c r="F274" t="s">
        <v>14</v>
      </c>
      <c r="G274" t="s">
        <v>15</v>
      </c>
      <c r="H274">
        <v>0</v>
      </c>
      <c r="I274">
        <v>0</v>
      </c>
      <c r="J274">
        <v>20201</v>
      </c>
      <c r="K274">
        <f>COUNTIF('rEKAP kls MK'!$A$2:$A$35,Worksheet!C274)</f>
        <v>2</v>
      </c>
      <c r="L274" t="str">
        <f t="shared" si="16"/>
        <v>F1B112030</v>
      </c>
      <c r="M274" t="str">
        <f t="shared" si="17"/>
        <v>I Wayan Juniartha</v>
      </c>
      <c r="O274" t="str">
        <f t="shared" si="18"/>
        <v/>
      </c>
      <c r="P274" t="str">
        <f t="shared" si="19"/>
        <v/>
      </c>
    </row>
    <row r="275" spans="1:16">
      <c r="A275" t="s">
        <v>19</v>
      </c>
      <c r="B275" t="s">
        <v>20</v>
      </c>
      <c r="C275" t="s">
        <v>189</v>
      </c>
      <c r="D275" t="s">
        <v>190</v>
      </c>
      <c r="E275">
        <v>20171</v>
      </c>
      <c r="F275" t="s">
        <v>14</v>
      </c>
      <c r="G275" t="s">
        <v>116</v>
      </c>
      <c r="H275">
        <v>1.5</v>
      </c>
      <c r="I275">
        <v>0</v>
      </c>
      <c r="J275">
        <v>20201</v>
      </c>
      <c r="K275">
        <f>COUNTIF('rEKAP kls MK'!$A$2:$A$35,Worksheet!C275)</f>
        <v>2</v>
      </c>
      <c r="L275" t="str">
        <f t="shared" si="16"/>
        <v>F1B113001</v>
      </c>
      <c r="M275" t="str">
        <f t="shared" si="17"/>
        <v>ADAM VERGIAN B</v>
      </c>
      <c r="O275" t="str">
        <f t="shared" si="18"/>
        <v/>
      </c>
      <c r="P275" t="str">
        <f t="shared" si="19"/>
        <v/>
      </c>
    </row>
    <row r="276" spans="1:16">
      <c r="A276" t="s">
        <v>132</v>
      </c>
      <c r="B276" t="s">
        <v>133</v>
      </c>
      <c r="C276" t="s">
        <v>189</v>
      </c>
      <c r="D276" t="s">
        <v>190</v>
      </c>
      <c r="E276">
        <v>20171</v>
      </c>
      <c r="F276" t="s">
        <v>14</v>
      </c>
      <c r="G276" t="s">
        <v>18</v>
      </c>
      <c r="H276">
        <v>3</v>
      </c>
      <c r="I276">
        <v>0</v>
      </c>
      <c r="J276">
        <v>20201</v>
      </c>
      <c r="K276">
        <f>COUNTIF('rEKAP kls MK'!$A$2:$A$35,Worksheet!C276)</f>
        <v>2</v>
      </c>
      <c r="L276" t="str">
        <f t="shared" si="16"/>
        <v>F1B113013</v>
      </c>
      <c r="M276" t="str">
        <f t="shared" si="17"/>
        <v>I NENGAH AGUS YOGI A</v>
      </c>
      <c r="O276" t="str">
        <f t="shared" si="18"/>
        <v/>
      </c>
      <c r="P276" t="str">
        <f t="shared" si="19"/>
        <v/>
      </c>
    </row>
    <row r="277" spans="1:16">
      <c r="A277" t="s">
        <v>35</v>
      </c>
      <c r="B277" t="s">
        <v>36</v>
      </c>
      <c r="C277" t="s">
        <v>189</v>
      </c>
      <c r="D277" t="s">
        <v>190</v>
      </c>
      <c r="E277">
        <v>20171</v>
      </c>
      <c r="F277" t="s">
        <v>14</v>
      </c>
      <c r="G277" t="s">
        <v>116</v>
      </c>
      <c r="H277">
        <v>1.5</v>
      </c>
      <c r="I277">
        <v>0</v>
      </c>
      <c r="J277">
        <v>20201</v>
      </c>
      <c r="K277">
        <f>COUNTIF('rEKAP kls MK'!$A$2:$A$35,Worksheet!C277)</f>
        <v>2</v>
      </c>
      <c r="L277" t="str">
        <f t="shared" si="16"/>
        <v>F1B113028</v>
      </c>
      <c r="M277" t="str">
        <f t="shared" si="17"/>
        <v>PUGUH DWI ANTARA</v>
      </c>
      <c r="O277" t="str">
        <f t="shared" si="18"/>
        <v/>
      </c>
      <c r="P277" t="str">
        <f t="shared" si="19"/>
        <v/>
      </c>
    </row>
    <row r="278" spans="1:16">
      <c r="A278" t="s">
        <v>136</v>
      </c>
      <c r="B278" t="s">
        <v>137</v>
      </c>
      <c r="C278" t="s">
        <v>189</v>
      </c>
      <c r="D278" t="s">
        <v>190</v>
      </c>
      <c r="E278">
        <v>20171</v>
      </c>
      <c r="F278" t="s">
        <v>14</v>
      </c>
      <c r="G278" t="s">
        <v>18</v>
      </c>
      <c r="H278">
        <v>3</v>
      </c>
      <c r="I278">
        <v>0</v>
      </c>
      <c r="J278">
        <v>20201</v>
      </c>
      <c r="K278">
        <f>COUNTIF('rEKAP kls MK'!$A$2:$A$35,Worksheet!C278)</f>
        <v>2</v>
      </c>
      <c r="L278" t="str">
        <f t="shared" si="16"/>
        <v>F1B113030</v>
      </c>
      <c r="M278" t="str">
        <f t="shared" si="17"/>
        <v>RIZAL ADI SAPUTRA</v>
      </c>
      <c r="O278" t="str">
        <f t="shared" si="18"/>
        <v/>
      </c>
      <c r="P278" t="str">
        <f t="shared" si="19"/>
        <v/>
      </c>
    </row>
    <row r="279" spans="1:16">
      <c r="A279" t="s">
        <v>39</v>
      </c>
      <c r="B279" t="s">
        <v>40</v>
      </c>
      <c r="C279" t="s">
        <v>189</v>
      </c>
      <c r="D279" t="s">
        <v>190</v>
      </c>
      <c r="E279">
        <v>20171</v>
      </c>
      <c r="F279" t="s">
        <v>14</v>
      </c>
      <c r="G279" t="s">
        <v>15</v>
      </c>
      <c r="H279">
        <v>0</v>
      </c>
      <c r="I279">
        <v>0</v>
      </c>
      <c r="J279">
        <v>20201</v>
      </c>
      <c r="K279">
        <f>COUNTIF('rEKAP kls MK'!$A$2:$A$35,Worksheet!C279)</f>
        <v>2</v>
      </c>
      <c r="L279" t="str">
        <f t="shared" si="16"/>
        <v>F1B113031</v>
      </c>
      <c r="M279" t="str">
        <f t="shared" si="17"/>
        <v>SADIQ RAMADHOAN</v>
      </c>
      <c r="O279" t="str">
        <f t="shared" si="18"/>
        <v/>
      </c>
      <c r="P279" t="str">
        <f t="shared" si="19"/>
        <v/>
      </c>
    </row>
    <row r="280" spans="1:16">
      <c r="A280" t="s">
        <v>191</v>
      </c>
      <c r="B280" t="s">
        <v>192</v>
      </c>
      <c r="C280" t="s">
        <v>189</v>
      </c>
      <c r="D280" t="s">
        <v>190</v>
      </c>
      <c r="E280">
        <v>20171</v>
      </c>
      <c r="F280" t="s">
        <v>14</v>
      </c>
      <c r="G280" t="s">
        <v>82</v>
      </c>
      <c r="H280">
        <v>4</v>
      </c>
      <c r="I280">
        <v>0</v>
      </c>
      <c r="J280">
        <v>20201</v>
      </c>
      <c r="K280">
        <f>COUNTIF('rEKAP kls MK'!$A$2:$A$35,Worksheet!C280)</f>
        <v>2</v>
      </c>
      <c r="L280" t="str">
        <f t="shared" si="16"/>
        <v>F1B115018</v>
      </c>
      <c r="M280" t="str">
        <f t="shared" si="17"/>
        <v>JANUARMAN MAULANA PUTRA</v>
      </c>
      <c r="O280" t="str">
        <f t="shared" si="18"/>
        <v/>
      </c>
      <c r="P280" t="str">
        <f t="shared" si="19"/>
        <v/>
      </c>
    </row>
    <row r="281" spans="1:16">
      <c r="A281" t="s">
        <v>193</v>
      </c>
      <c r="B281" t="s">
        <v>194</v>
      </c>
      <c r="C281" t="s">
        <v>189</v>
      </c>
      <c r="D281" t="s">
        <v>190</v>
      </c>
      <c r="E281">
        <v>20171</v>
      </c>
      <c r="F281" t="s">
        <v>14</v>
      </c>
      <c r="G281" t="s">
        <v>18</v>
      </c>
      <c r="H281">
        <v>3</v>
      </c>
      <c r="I281">
        <v>0</v>
      </c>
      <c r="J281">
        <v>20201</v>
      </c>
      <c r="K281">
        <f>COUNTIF('rEKAP kls MK'!$A$2:$A$35,Worksheet!C281)</f>
        <v>2</v>
      </c>
      <c r="L281" t="str">
        <f t="shared" si="16"/>
        <v>F1B115026</v>
      </c>
      <c r="M281" t="str">
        <f t="shared" si="17"/>
        <v>MUCHAMMAD BAGIR</v>
      </c>
      <c r="O281" t="str">
        <f t="shared" si="18"/>
        <v/>
      </c>
      <c r="P281" t="str">
        <f t="shared" si="19"/>
        <v/>
      </c>
    </row>
    <row r="282" spans="1:16">
      <c r="A282" t="s">
        <v>195</v>
      </c>
      <c r="B282" t="s">
        <v>196</v>
      </c>
      <c r="C282" t="s">
        <v>189</v>
      </c>
      <c r="D282" t="s">
        <v>190</v>
      </c>
      <c r="E282">
        <v>20171</v>
      </c>
      <c r="F282" t="s">
        <v>14</v>
      </c>
      <c r="G282" t="s">
        <v>51</v>
      </c>
      <c r="H282">
        <v>3.5</v>
      </c>
      <c r="I282">
        <v>0</v>
      </c>
      <c r="J282">
        <v>20201</v>
      </c>
      <c r="K282">
        <f>COUNTIF('rEKAP kls MK'!$A$2:$A$35,Worksheet!C282)</f>
        <v>2</v>
      </c>
      <c r="L282" t="str">
        <f t="shared" si="16"/>
        <v>F1B115034</v>
      </c>
      <c r="M282" t="str">
        <f t="shared" si="17"/>
        <v>NAUFAL ATSAURI</v>
      </c>
      <c r="O282" t="str">
        <f t="shared" si="18"/>
        <v/>
      </c>
      <c r="P282" t="str">
        <f t="shared" si="19"/>
        <v/>
      </c>
    </row>
    <row r="283" spans="1:16">
      <c r="A283" t="s">
        <v>56</v>
      </c>
      <c r="B283" t="s">
        <v>57</v>
      </c>
      <c r="C283" t="s">
        <v>189</v>
      </c>
      <c r="D283" t="s">
        <v>190</v>
      </c>
      <c r="E283">
        <v>20171</v>
      </c>
      <c r="F283" t="s">
        <v>14</v>
      </c>
      <c r="G283" t="s">
        <v>23</v>
      </c>
      <c r="H283">
        <v>2.5</v>
      </c>
      <c r="I283">
        <v>0</v>
      </c>
      <c r="J283">
        <v>20201</v>
      </c>
      <c r="K283">
        <f>COUNTIF('rEKAP kls MK'!$A$2:$A$35,Worksheet!C283)</f>
        <v>2</v>
      </c>
      <c r="L283" t="str">
        <f t="shared" si="16"/>
        <v>F1B116001</v>
      </c>
      <c r="M283" t="str">
        <f t="shared" si="17"/>
        <v>AHMAD MUHAJIR</v>
      </c>
      <c r="O283" t="str">
        <f t="shared" si="18"/>
        <v/>
      </c>
      <c r="P283" t="str">
        <f t="shared" si="19"/>
        <v/>
      </c>
    </row>
    <row r="284" spans="1:16">
      <c r="A284" t="s">
        <v>58</v>
      </c>
      <c r="B284" t="s">
        <v>59</v>
      </c>
      <c r="C284" t="s">
        <v>189</v>
      </c>
      <c r="D284" t="s">
        <v>190</v>
      </c>
      <c r="E284">
        <v>20171</v>
      </c>
      <c r="F284" t="s">
        <v>14</v>
      </c>
      <c r="G284" t="s">
        <v>125</v>
      </c>
      <c r="H284">
        <v>1</v>
      </c>
      <c r="I284">
        <v>0</v>
      </c>
      <c r="J284">
        <v>20201</v>
      </c>
      <c r="K284">
        <f>COUNTIF('rEKAP kls MK'!$A$2:$A$35,Worksheet!C284)</f>
        <v>2</v>
      </c>
      <c r="L284" t="str">
        <f t="shared" si="16"/>
        <v>F1B116003</v>
      </c>
      <c r="M284" t="str">
        <f t="shared" si="17"/>
        <v>DONI PRANATA</v>
      </c>
      <c r="O284" t="str">
        <f t="shared" si="18"/>
        <v/>
      </c>
      <c r="P284" t="str">
        <f t="shared" si="19"/>
        <v/>
      </c>
    </row>
    <row r="285" spans="1:16">
      <c r="A285" t="s">
        <v>60</v>
      </c>
      <c r="B285" t="s">
        <v>61</v>
      </c>
      <c r="C285" t="s">
        <v>189</v>
      </c>
      <c r="D285" t="s">
        <v>190</v>
      </c>
      <c r="E285">
        <v>20171</v>
      </c>
      <c r="F285" t="s">
        <v>14</v>
      </c>
      <c r="G285" t="s">
        <v>26</v>
      </c>
      <c r="H285">
        <v>2</v>
      </c>
      <c r="I285">
        <v>0</v>
      </c>
      <c r="J285">
        <v>20201</v>
      </c>
      <c r="K285">
        <f>COUNTIF('rEKAP kls MK'!$A$2:$A$35,Worksheet!C285)</f>
        <v>2</v>
      </c>
      <c r="L285" t="str">
        <f t="shared" si="16"/>
        <v>F1B116005</v>
      </c>
      <c r="M285" t="str">
        <f t="shared" si="17"/>
        <v>FENDY KURNIAWAN</v>
      </c>
      <c r="O285" t="str">
        <f t="shared" si="18"/>
        <v/>
      </c>
      <c r="P285" t="str">
        <f t="shared" si="19"/>
        <v/>
      </c>
    </row>
    <row r="286" spans="1:16">
      <c r="A286" t="s">
        <v>123</v>
      </c>
      <c r="B286" t="s">
        <v>124</v>
      </c>
      <c r="C286" t="s">
        <v>189</v>
      </c>
      <c r="D286" t="s">
        <v>190</v>
      </c>
      <c r="E286">
        <v>20171</v>
      </c>
      <c r="F286" t="s">
        <v>14</v>
      </c>
      <c r="G286" t="s">
        <v>23</v>
      </c>
      <c r="H286">
        <v>2.5</v>
      </c>
      <c r="I286">
        <v>0</v>
      </c>
      <c r="J286">
        <v>20201</v>
      </c>
      <c r="K286">
        <f>COUNTIF('rEKAP kls MK'!$A$2:$A$35,Worksheet!C286)</f>
        <v>2</v>
      </c>
      <c r="L286" t="str">
        <f t="shared" si="16"/>
        <v>F1B116007</v>
      </c>
      <c r="M286" t="str">
        <f t="shared" si="17"/>
        <v>HARIS MUNANDAR</v>
      </c>
      <c r="O286" t="str">
        <f t="shared" si="18"/>
        <v/>
      </c>
      <c r="P286" t="str">
        <f t="shared" si="19"/>
        <v/>
      </c>
    </row>
    <row r="287" spans="1:16">
      <c r="A287" t="s">
        <v>64</v>
      </c>
      <c r="B287" t="s">
        <v>65</v>
      </c>
      <c r="C287" t="s">
        <v>189</v>
      </c>
      <c r="D287" t="s">
        <v>190</v>
      </c>
      <c r="E287">
        <v>20171</v>
      </c>
      <c r="F287" t="s">
        <v>14</v>
      </c>
      <c r="G287" t="s">
        <v>116</v>
      </c>
      <c r="H287">
        <v>1.5</v>
      </c>
      <c r="I287">
        <v>0</v>
      </c>
      <c r="J287">
        <v>20201</v>
      </c>
      <c r="K287">
        <f>COUNTIF('rEKAP kls MK'!$A$2:$A$35,Worksheet!C287)</f>
        <v>2</v>
      </c>
      <c r="L287" t="str">
        <f t="shared" si="16"/>
        <v>F1B116008</v>
      </c>
      <c r="M287" t="str">
        <f t="shared" si="17"/>
        <v>Harjo Sumitro</v>
      </c>
      <c r="O287" t="str">
        <f t="shared" si="18"/>
        <v/>
      </c>
      <c r="P287" t="str">
        <f t="shared" si="19"/>
        <v/>
      </c>
    </row>
    <row r="288" spans="1:16">
      <c r="A288" t="s">
        <v>66</v>
      </c>
      <c r="B288" t="s">
        <v>67</v>
      </c>
      <c r="C288" t="s">
        <v>189</v>
      </c>
      <c r="D288" t="s">
        <v>190</v>
      </c>
      <c r="E288">
        <v>20171</v>
      </c>
      <c r="F288" t="s">
        <v>14</v>
      </c>
      <c r="G288" t="s">
        <v>18</v>
      </c>
      <c r="H288">
        <v>3</v>
      </c>
      <c r="I288">
        <v>0</v>
      </c>
      <c r="J288">
        <v>20201</v>
      </c>
      <c r="K288">
        <f>COUNTIF('rEKAP kls MK'!$A$2:$A$35,Worksheet!C288)</f>
        <v>2</v>
      </c>
      <c r="L288" t="str">
        <f t="shared" si="16"/>
        <v>F1B116009</v>
      </c>
      <c r="M288" t="str">
        <f t="shared" si="17"/>
        <v>HASAN BASRI</v>
      </c>
      <c r="O288" t="str">
        <f t="shared" si="18"/>
        <v/>
      </c>
      <c r="P288" t="str">
        <f t="shared" si="19"/>
        <v/>
      </c>
    </row>
    <row r="289" spans="1:16">
      <c r="A289" t="s">
        <v>68</v>
      </c>
      <c r="B289" t="s">
        <v>69</v>
      </c>
      <c r="C289" t="s">
        <v>189</v>
      </c>
      <c r="D289" t="s">
        <v>190</v>
      </c>
      <c r="E289">
        <v>20171</v>
      </c>
      <c r="F289" t="s">
        <v>14</v>
      </c>
      <c r="G289" t="s">
        <v>116</v>
      </c>
      <c r="H289">
        <v>1.5</v>
      </c>
      <c r="I289">
        <v>0</v>
      </c>
      <c r="J289">
        <v>20201</v>
      </c>
      <c r="K289">
        <f>COUNTIF('rEKAP kls MK'!$A$2:$A$35,Worksheet!C289)</f>
        <v>2</v>
      </c>
      <c r="L289" t="str">
        <f t="shared" si="16"/>
        <v>F1B116010</v>
      </c>
      <c r="M289" t="str">
        <f t="shared" si="17"/>
        <v>Ihsan Syaputro</v>
      </c>
      <c r="O289" t="str">
        <f t="shared" si="18"/>
        <v/>
      </c>
      <c r="P289" t="str">
        <f t="shared" si="19"/>
        <v/>
      </c>
    </row>
    <row r="290" spans="1:16">
      <c r="A290" t="s">
        <v>70</v>
      </c>
      <c r="B290" t="s">
        <v>71</v>
      </c>
      <c r="C290" t="s">
        <v>189</v>
      </c>
      <c r="D290" t="s">
        <v>190</v>
      </c>
      <c r="E290">
        <v>20171</v>
      </c>
      <c r="F290" t="s">
        <v>14</v>
      </c>
      <c r="G290" t="s">
        <v>15</v>
      </c>
      <c r="H290">
        <v>0</v>
      </c>
      <c r="I290">
        <v>0</v>
      </c>
      <c r="J290">
        <v>20201</v>
      </c>
      <c r="K290">
        <f>COUNTIF('rEKAP kls MK'!$A$2:$A$35,Worksheet!C290)</f>
        <v>2</v>
      </c>
      <c r="L290" t="str">
        <f t="shared" si="16"/>
        <v>F1B116012</v>
      </c>
      <c r="M290" t="str">
        <f t="shared" si="17"/>
        <v>JEMMY FEBRY SUMANDA</v>
      </c>
      <c r="O290" t="str">
        <f t="shared" si="18"/>
        <v/>
      </c>
      <c r="P290" t="str">
        <f t="shared" si="19"/>
        <v/>
      </c>
    </row>
    <row r="291" spans="1:16">
      <c r="A291" t="s">
        <v>72</v>
      </c>
      <c r="B291" t="s">
        <v>73</v>
      </c>
      <c r="C291" t="s">
        <v>189</v>
      </c>
      <c r="D291" t="s">
        <v>190</v>
      </c>
      <c r="E291">
        <v>20171</v>
      </c>
      <c r="F291" t="s">
        <v>14</v>
      </c>
      <c r="G291" t="s">
        <v>15</v>
      </c>
      <c r="H291">
        <v>0</v>
      </c>
      <c r="I291">
        <v>0</v>
      </c>
      <c r="J291">
        <v>20201</v>
      </c>
      <c r="K291">
        <f>COUNTIF('rEKAP kls MK'!$A$2:$A$35,Worksheet!C291)</f>
        <v>2</v>
      </c>
      <c r="L291" t="str">
        <f t="shared" si="16"/>
        <v>F1B116014</v>
      </c>
      <c r="M291" t="str">
        <f t="shared" si="17"/>
        <v>LALU ARIF TASIBANA</v>
      </c>
      <c r="O291" t="str">
        <f t="shared" si="18"/>
        <v/>
      </c>
      <c r="P291" t="str">
        <f t="shared" si="19"/>
        <v/>
      </c>
    </row>
    <row r="292" spans="1:16">
      <c r="A292" t="s">
        <v>74</v>
      </c>
      <c r="B292" t="s">
        <v>75</v>
      </c>
      <c r="C292" t="s">
        <v>189</v>
      </c>
      <c r="D292" t="s">
        <v>190</v>
      </c>
      <c r="E292">
        <v>20171</v>
      </c>
      <c r="F292" t="s">
        <v>14</v>
      </c>
      <c r="G292" t="s">
        <v>125</v>
      </c>
      <c r="H292">
        <v>1</v>
      </c>
      <c r="I292">
        <v>0</v>
      </c>
      <c r="J292">
        <v>20201</v>
      </c>
      <c r="K292">
        <f>COUNTIF('rEKAP kls MK'!$A$2:$A$35,Worksheet!C292)</f>
        <v>2</v>
      </c>
      <c r="L292" t="str">
        <f t="shared" si="16"/>
        <v>F1B116015</v>
      </c>
      <c r="M292" t="str">
        <f t="shared" si="17"/>
        <v>LALU MAHSAR KHAIRUDI</v>
      </c>
      <c r="O292" t="str">
        <f t="shared" si="18"/>
        <v/>
      </c>
      <c r="P292" t="str">
        <f t="shared" si="19"/>
        <v/>
      </c>
    </row>
    <row r="293" spans="1:16">
      <c r="A293" t="s">
        <v>76</v>
      </c>
      <c r="B293" t="s">
        <v>77</v>
      </c>
      <c r="C293" t="s">
        <v>189</v>
      </c>
      <c r="D293" t="s">
        <v>190</v>
      </c>
      <c r="E293">
        <v>20171</v>
      </c>
      <c r="F293" t="s">
        <v>14</v>
      </c>
      <c r="G293" t="s">
        <v>116</v>
      </c>
      <c r="H293">
        <v>1.5</v>
      </c>
      <c r="I293">
        <v>0</v>
      </c>
      <c r="J293">
        <v>20201</v>
      </c>
      <c r="K293">
        <f>COUNTIF('rEKAP kls MK'!$A$2:$A$35,Worksheet!C293)</f>
        <v>2</v>
      </c>
      <c r="L293" t="str">
        <f t="shared" si="16"/>
        <v>F1B116016</v>
      </c>
      <c r="M293" t="str">
        <f t="shared" si="17"/>
        <v>LALU MOHAMAD FAESAL RAHMAN</v>
      </c>
      <c r="O293" t="str">
        <f t="shared" si="18"/>
        <v/>
      </c>
      <c r="P293" t="str">
        <f t="shared" si="19"/>
        <v/>
      </c>
    </row>
    <row r="294" spans="1:16">
      <c r="A294" t="s">
        <v>126</v>
      </c>
      <c r="B294" t="s">
        <v>127</v>
      </c>
      <c r="C294" t="s">
        <v>189</v>
      </c>
      <c r="D294" t="s">
        <v>190</v>
      </c>
      <c r="E294">
        <v>20171</v>
      </c>
      <c r="F294" t="s">
        <v>14</v>
      </c>
      <c r="G294" t="s">
        <v>15</v>
      </c>
      <c r="H294">
        <v>0</v>
      </c>
      <c r="I294">
        <v>0</v>
      </c>
      <c r="J294">
        <v>20201</v>
      </c>
      <c r="K294">
        <f>COUNTIF('rEKAP kls MK'!$A$2:$A$35,Worksheet!C294)</f>
        <v>2</v>
      </c>
      <c r="L294" t="str">
        <f t="shared" si="16"/>
        <v>F1B116017</v>
      </c>
      <c r="M294" t="str">
        <f t="shared" si="17"/>
        <v xml:space="preserve">MAULANA ADI PRASETIO </v>
      </c>
      <c r="O294" t="str">
        <f t="shared" si="18"/>
        <v/>
      </c>
      <c r="P294" t="str">
        <f t="shared" si="19"/>
        <v/>
      </c>
    </row>
    <row r="295" spans="1:16">
      <c r="A295" t="s">
        <v>128</v>
      </c>
      <c r="B295" t="s">
        <v>129</v>
      </c>
      <c r="C295" t="s">
        <v>189</v>
      </c>
      <c r="D295" t="s">
        <v>190</v>
      </c>
      <c r="E295">
        <v>20171</v>
      </c>
      <c r="F295" t="s">
        <v>14</v>
      </c>
      <c r="G295" t="s">
        <v>15</v>
      </c>
      <c r="H295">
        <v>0</v>
      </c>
      <c r="I295">
        <v>0</v>
      </c>
      <c r="J295">
        <v>20201</v>
      </c>
      <c r="K295">
        <f>COUNTIF('rEKAP kls MK'!$A$2:$A$35,Worksheet!C295)</f>
        <v>2</v>
      </c>
      <c r="L295" t="str">
        <f t="shared" si="16"/>
        <v>F1B116020</v>
      </c>
      <c r="M295" t="str">
        <f t="shared" si="17"/>
        <v>Muhammad Zarrin Al Mansyury</v>
      </c>
      <c r="O295" t="str">
        <f t="shared" si="18"/>
        <v/>
      </c>
      <c r="P295" t="str">
        <f t="shared" si="19"/>
        <v/>
      </c>
    </row>
    <row r="296" spans="1:16">
      <c r="A296" t="s">
        <v>78</v>
      </c>
      <c r="B296" t="s">
        <v>79</v>
      </c>
      <c r="C296" t="s">
        <v>189</v>
      </c>
      <c r="D296" t="s">
        <v>190</v>
      </c>
      <c r="E296">
        <v>20171</v>
      </c>
      <c r="F296" t="s">
        <v>14</v>
      </c>
      <c r="G296" t="s">
        <v>26</v>
      </c>
      <c r="H296">
        <v>2</v>
      </c>
      <c r="I296">
        <v>0</v>
      </c>
      <c r="J296">
        <v>20201</v>
      </c>
      <c r="K296">
        <f>COUNTIF('rEKAP kls MK'!$A$2:$A$35,Worksheet!C296)</f>
        <v>2</v>
      </c>
      <c r="L296" t="str">
        <f t="shared" si="16"/>
        <v>F1B116021</v>
      </c>
      <c r="M296" t="str">
        <f t="shared" si="17"/>
        <v>NELIN AYU NIRWANA</v>
      </c>
      <c r="O296" t="str">
        <f t="shared" si="18"/>
        <v/>
      </c>
      <c r="P296" t="str">
        <f t="shared" si="19"/>
        <v/>
      </c>
    </row>
    <row r="297" spans="1:16">
      <c r="A297" t="s">
        <v>80</v>
      </c>
      <c r="B297" t="s">
        <v>81</v>
      </c>
      <c r="C297" t="s">
        <v>189</v>
      </c>
      <c r="D297" t="s">
        <v>190</v>
      </c>
      <c r="E297">
        <v>20171</v>
      </c>
      <c r="F297" t="s">
        <v>14</v>
      </c>
      <c r="G297" t="s">
        <v>23</v>
      </c>
      <c r="H297">
        <v>2.5</v>
      </c>
      <c r="I297">
        <v>0</v>
      </c>
      <c r="J297">
        <v>20201</v>
      </c>
      <c r="K297">
        <f>COUNTIF('rEKAP kls MK'!$A$2:$A$35,Worksheet!C297)</f>
        <v>2</v>
      </c>
      <c r="L297" t="str">
        <f t="shared" si="16"/>
        <v>F1B116022</v>
      </c>
      <c r="M297" t="str">
        <f t="shared" si="17"/>
        <v>NOVA HENDRI KURNIAWAN</v>
      </c>
      <c r="O297" t="str">
        <f t="shared" si="18"/>
        <v/>
      </c>
      <c r="P297" t="str">
        <f t="shared" si="19"/>
        <v/>
      </c>
    </row>
    <row r="298" spans="1:16">
      <c r="A298" t="s">
        <v>83</v>
      </c>
      <c r="B298" t="s">
        <v>84</v>
      </c>
      <c r="C298" t="s">
        <v>189</v>
      </c>
      <c r="D298" t="s">
        <v>190</v>
      </c>
      <c r="E298">
        <v>20171</v>
      </c>
      <c r="F298" t="s">
        <v>14</v>
      </c>
      <c r="G298" t="s">
        <v>26</v>
      </c>
      <c r="H298">
        <v>2</v>
      </c>
      <c r="I298">
        <v>0</v>
      </c>
      <c r="J298">
        <v>20201</v>
      </c>
      <c r="K298">
        <f>COUNTIF('rEKAP kls MK'!$A$2:$A$35,Worksheet!C298)</f>
        <v>2</v>
      </c>
      <c r="L298" t="str">
        <f t="shared" si="16"/>
        <v>F1B116024</v>
      </c>
      <c r="M298" t="str">
        <f t="shared" si="17"/>
        <v>RENA RAMDINAWATI</v>
      </c>
      <c r="O298" t="str">
        <f t="shared" si="18"/>
        <v/>
      </c>
      <c r="P298" t="str">
        <f t="shared" si="19"/>
        <v/>
      </c>
    </row>
    <row r="299" spans="1:16">
      <c r="A299" t="s">
        <v>85</v>
      </c>
      <c r="B299" t="s">
        <v>86</v>
      </c>
      <c r="C299" t="s">
        <v>189</v>
      </c>
      <c r="D299" t="s">
        <v>190</v>
      </c>
      <c r="E299">
        <v>20171</v>
      </c>
      <c r="F299" t="s">
        <v>14</v>
      </c>
      <c r="G299" t="s">
        <v>18</v>
      </c>
      <c r="H299">
        <v>3</v>
      </c>
      <c r="I299">
        <v>0</v>
      </c>
      <c r="J299">
        <v>20201</v>
      </c>
      <c r="K299">
        <f>COUNTIF('rEKAP kls MK'!$A$2:$A$35,Worksheet!C299)</f>
        <v>2</v>
      </c>
      <c r="L299" t="str">
        <f t="shared" si="16"/>
        <v>F1B116025</v>
      </c>
      <c r="M299" t="str">
        <f t="shared" si="17"/>
        <v>RISMAN ALFIAN LUTHFI</v>
      </c>
      <c r="O299" t="str">
        <f t="shared" si="18"/>
        <v/>
      </c>
      <c r="P299" t="str">
        <f t="shared" si="19"/>
        <v/>
      </c>
    </row>
    <row r="300" spans="1:16">
      <c r="A300" t="s">
        <v>87</v>
      </c>
      <c r="B300" t="s">
        <v>88</v>
      </c>
      <c r="C300" t="s">
        <v>189</v>
      </c>
      <c r="D300" t="s">
        <v>190</v>
      </c>
      <c r="E300">
        <v>20171</v>
      </c>
      <c r="F300" t="s">
        <v>14</v>
      </c>
      <c r="G300" t="s">
        <v>116</v>
      </c>
      <c r="H300">
        <v>1.5</v>
      </c>
      <c r="I300">
        <v>0</v>
      </c>
      <c r="J300">
        <v>20201</v>
      </c>
      <c r="K300">
        <f>COUNTIF('rEKAP kls MK'!$A$2:$A$35,Worksheet!C300)</f>
        <v>2</v>
      </c>
      <c r="L300" t="str">
        <f t="shared" si="16"/>
        <v>F1B116027</v>
      </c>
      <c r="M300" t="str">
        <f t="shared" si="17"/>
        <v>ROYHAN ADEKA SAPUTRA</v>
      </c>
      <c r="O300" t="str">
        <f t="shared" si="18"/>
        <v/>
      </c>
      <c r="P300" t="str">
        <f t="shared" si="19"/>
        <v/>
      </c>
    </row>
    <row r="301" spans="1:16">
      <c r="A301" t="s">
        <v>89</v>
      </c>
      <c r="B301" t="s">
        <v>90</v>
      </c>
      <c r="C301" t="s">
        <v>189</v>
      </c>
      <c r="D301" t="s">
        <v>190</v>
      </c>
      <c r="E301">
        <v>20171</v>
      </c>
      <c r="F301" t="s">
        <v>14</v>
      </c>
      <c r="G301" t="s">
        <v>23</v>
      </c>
      <c r="H301">
        <v>2.5</v>
      </c>
      <c r="I301">
        <v>0</v>
      </c>
      <c r="J301">
        <v>20201</v>
      </c>
      <c r="K301">
        <f>COUNTIF('rEKAP kls MK'!$A$2:$A$35,Worksheet!C301)</f>
        <v>2</v>
      </c>
    </row>
    <row r="302" spans="1:16">
      <c r="A302" t="s">
        <v>91</v>
      </c>
      <c r="B302" t="s">
        <v>92</v>
      </c>
      <c r="C302" t="s">
        <v>189</v>
      </c>
      <c r="D302" t="s">
        <v>190</v>
      </c>
      <c r="E302">
        <v>20171</v>
      </c>
      <c r="F302" t="s">
        <v>14</v>
      </c>
      <c r="G302" t="s">
        <v>51</v>
      </c>
      <c r="H302">
        <v>3.5</v>
      </c>
      <c r="I302">
        <v>0</v>
      </c>
      <c r="J302">
        <v>20201</v>
      </c>
      <c r="K302">
        <f>COUNTIF('rEKAP kls MK'!$A$2:$A$35,Worksheet!C302)</f>
        <v>2</v>
      </c>
      <c r="L302" t="str">
        <f t="shared" si="16"/>
        <v>F1B116030</v>
      </c>
      <c r="M302" t="str">
        <f t="shared" si="17"/>
        <v>Yanuardi</v>
      </c>
      <c r="O302" t="str">
        <f t="shared" si="18"/>
        <v/>
      </c>
      <c r="P302" t="str">
        <f t="shared" si="19"/>
        <v/>
      </c>
    </row>
    <row r="303" spans="1:16">
      <c r="A303" t="s">
        <v>93</v>
      </c>
      <c r="B303" t="s">
        <v>94</v>
      </c>
      <c r="C303" t="s">
        <v>189</v>
      </c>
      <c r="D303" t="s">
        <v>190</v>
      </c>
      <c r="E303">
        <v>20171</v>
      </c>
      <c r="F303" t="s">
        <v>14</v>
      </c>
      <c r="G303" t="s">
        <v>23</v>
      </c>
      <c r="H303">
        <v>2.5</v>
      </c>
      <c r="I303">
        <v>0</v>
      </c>
      <c r="J303">
        <v>20201</v>
      </c>
      <c r="K303">
        <f>COUNTIF('rEKAP kls MK'!$A$2:$A$35,Worksheet!C303)</f>
        <v>2</v>
      </c>
      <c r="L303" t="str">
        <f t="shared" si="16"/>
        <v>F1B116032</v>
      </c>
      <c r="M303" t="str">
        <f t="shared" si="17"/>
        <v>Yuma</v>
      </c>
      <c r="O303" t="str">
        <f t="shared" si="18"/>
        <v/>
      </c>
      <c r="P303" t="str">
        <f t="shared" si="19"/>
        <v/>
      </c>
    </row>
    <row r="304" spans="1:16">
      <c r="A304" t="s">
        <v>95</v>
      </c>
      <c r="B304" t="s">
        <v>96</v>
      </c>
      <c r="C304" t="s">
        <v>189</v>
      </c>
      <c r="D304" t="s">
        <v>190</v>
      </c>
      <c r="E304">
        <v>20171</v>
      </c>
      <c r="F304" t="s">
        <v>14</v>
      </c>
      <c r="G304" t="s">
        <v>23</v>
      </c>
      <c r="H304">
        <v>2.5</v>
      </c>
      <c r="I304">
        <v>0</v>
      </c>
      <c r="J304">
        <v>20201</v>
      </c>
      <c r="K304">
        <f>COUNTIF('rEKAP kls MK'!$A$2:$A$35,Worksheet!C304)</f>
        <v>2</v>
      </c>
      <c r="L304" t="str">
        <f t="shared" si="16"/>
        <v>F1B116033</v>
      </c>
      <c r="M304" t="str">
        <f t="shared" si="17"/>
        <v>Yusril Bagas Sevyanto</v>
      </c>
      <c r="O304" t="str">
        <f t="shared" si="18"/>
        <v/>
      </c>
      <c r="P304" t="str">
        <f t="shared" si="19"/>
        <v/>
      </c>
    </row>
    <row r="305" spans="1:16">
      <c r="A305" t="s">
        <v>130</v>
      </c>
      <c r="B305" t="s">
        <v>131</v>
      </c>
      <c r="C305" t="s">
        <v>189</v>
      </c>
      <c r="D305" t="s">
        <v>190</v>
      </c>
      <c r="E305">
        <v>20171</v>
      </c>
      <c r="F305" t="s">
        <v>14</v>
      </c>
      <c r="G305" t="s">
        <v>15</v>
      </c>
      <c r="H305">
        <v>0</v>
      </c>
      <c r="I305">
        <v>0</v>
      </c>
      <c r="J305">
        <v>20201</v>
      </c>
      <c r="K305">
        <f>COUNTIF('rEKAP kls MK'!$A$2:$A$35,Worksheet!C305)</f>
        <v>2</v>
      </c>
      <c r="L305" t="str">
        <f t="shared" si="16"/>
        <v>F1B116034</v>
      </c>
      <c r="M305" t="str">
        <f t="shared" si="17"/>
        <v>YUSRON ALIF SETIAWAN</v>
      </c>
      <c r="O305" t="str">
        <f t="shared" si="18"/>
        <v/>
      </c>
      <c r="P305" t="str">
        <f t="shared" si="19"/>
        <v/>
      </c>
    </row>
    <row r="306" spans="1:16">
      <c r="A306" t="s">
        <v>197</v>
      </c>
      <c r="B306" t="s">
        <v>198</v>
      </c>
      <c r="C306" t="s">
        <v>247</v>
      </c>
      <c r="D306" t="s">
        <v>248</v>
      </c>
      <c r="E306">
        <v>20171</v>
      </c>
      <c r="F306" t="s">
        <v>14</v>
      </c>
      <c r="G306" t="s">
        <v>26</v>
      </c>
      <c r="H306">
        <v>2</v>
      </c>
      <c r="I306">
        <v>0</v>
      </c>
      <c r="J306">
        <v>20201</v>
      </c>
      <c r="K306">
        <f>COUNTIF('rEKAP kls MK'!$A$2:$A$35,Worksheet!C306)</f>
        <v>2</v>
      </c>
      <c r="L306" t="str">
        <f t="shared" si="16"/>
        <v>F1B111004</v>
      </c>
      <c r="M306" t="str">
        <f t="shared" si="17"/>
        <v>Ahmadi</v>
      </c>
      <c r="O306" t="str">
        <f t="shared" si="18"/>
        <v>EKONOMI TEKNIK</v>
      </c>
      <c r="P306" t="str">
        <f t="shared" si="19"/>
        <v/>
      </c>
    </row>
    <row r="307" spans="1:16">
      <c r="A307" t="s">
        <v>146</v>
      </c>
      <c r="B307" t="s">
        <v>147</v>
      </c>
      <c r="C307" t="s">
        <v>247</v>
      </c>
      <c r="D307" t="s">
        <v>248</v>
      </c>
      <c r="E307">
        <v>20171</v>
      </c>
      <c r="F307" t="s">
        <v>14</v>
      </c>
      <c r="G307" t="s">
        <v>26</v>
      </c>
      <c r="H307">
        <v>2</v>
      </c>
      <c r="I307">
        <v>0</v>
      </c>
      <c r="J307">
        <v>20201</v>
      </c>
      <c r="K307">
        <f>COUNTIF('rEKAP kls MK'!$A$2:$A$35,Worksheet!C307)</f>
        <v>2</v>
      </c>
      <c r="L307" t="str">
        <f t="shared" si="16"/>
        <v>F1B111036</v>
      </c>
      <c r="M307" t="str">
        <f t="shared" si="17"/>
        <v>Lalu Anja Sukmana</v>
      </c>
      <c r="O307" t="str">
        <f t="shared" si="18"/>
        <v/>
      </c>
      <c r="P307" t="str">
        <f t="shared" si="19"/>
        <v/>
      </c>
    </row>
    <row r="308" spans="1:16">
      <c r="A308" t="s">
        <v>249</v>
      </c>
      <c r="B308" t="s">
        <v>250</v>
      </c>
      <c r="C308" t="s">
        <v>247</v>
      </c>
      <c r="D308" t="s">
        <v>248</v>
      </c>
      <c r="E308">
        <v>20171</v>
      </c>
      <c r="F308" t="s">
        <v>14</v>
      </c>
      <c r="G308" t="s">
        <v>18</v>
      </c>
      <c r="H308">
        <v>3</v>
      </c>
      <c r="I308">
        <v>0</v>
      </c>
      <c r="J308">
        <v>20201</v>
      </c>
      <c r="K308">
        <f>COUNTIF('rEKAP kls MK'!$A$2:$A$35,Worksheet!C308)</f>
        <v>2</v>
      </c>
      <c r="L308" t="str">
        <f t="shared" si="16"/>
        <v>F1B111077</v>
      </c>
      <c r="M308" t="str">
        <f t="shared" si="17"/>
        <v>Samsul Hadi</v>
      </c>
      <c r="O308" t="str">
        <f t="shared" si="18"/>
        <v/>
      </c>
      <c r="P308" t="str">
        <f t="shared" si="19"/>
        <v/>
      </c>
    </row>
    <row r="309" spans="1:16">
      <c r="A309" t="s">
        <v>106</v>
      </c>
      <c r="B309" t="s">
        <v>107</v>
      </c>
      <c r="C309" t="s">
        <v>247</v>
      </c>
      <c r="D309" t="s">
        <v>248</v>
      </c>
      <c r="E309">
        <v>20171</v>
      </c>
      <c r="F309" t="s">
        <v>14</v>
      </c>
      <c r="G309" t="s">
        <v>101</v>
      </c>
      <c r="H309">
        <v>0</v>
      </c>
      <c r="I309">
        <v>0</v>
      </c>
      <c r="J309">
        <v>20201</v>
      </c>
      <c r="K309">
        <f>COUNTIF('rEKAP kls MK'!$A$2:$A$35,Worksheet!C309)</f>
        <v>2</v>
      </c>
      <c r="L309" t="str">
        <f t="shared" si="16"/>
        <v>F1B112003</v>
      </c>
      <c r="M309" t="str">
        <f t="shared" si="17"/>
        <v>Aditya Kadarusman</v>
      </c>
      <c r="O309" t="str">
        <f t="shared" si="18"/>
        <v/>
      </c>
      <c r="P309" t="str">
        <f t="shared" si="19"/>
        <v/>
      </c>
    </row>
    <row r="310" spans="1:16">
      <c r="A310" t="s">
        <v>151</v>
      </c>
      <c r="B310" t="s">
        <v>152</v>
      </c>
      <c r="C310" t="s">
        <v>247</v>
      </c>
      <c r="D310" t="s">
        <v>248</v>
      </c>
      <c r="E310">
        <v>20171</v>
      </c>
      <c r="F310" t="s">
        <v>14</v>
      </c>
      <c r="G310" t="s">
        <v>23</v>
      </c>
      <c r="H310">
        <v>2.5</v>
      </c>
      <c r="I310">
        <v>0</v>
      </c>
      <c r="J310">
        <v>20201</v>
      </c>
      <c r="K310">
        <f>COUNTIF('rEKAP kls MK'!$A$2:$A$35,Worksheet!C310)</f>
        <v>2</v>
      </c>
      <c r="L310" t="str">
        <f t="shared" si="16"/>
        <v>F1B112004</v>
      </c>
      <c r="M310" t="str">
        <f t="shared" si="17"/>
        <v>Alimudin Embu Tara</v>
      </c>
      <c r="O310" t="str">
        <f t="shared" si="18"/>
        <v/>
      </c>
      <c r="P310" t="str">
        <f t="shared" si="19"/>
        <v/>
      </c>
    </row>
    <row r="311" spans="1:16">
      <c r="A311" t="s">
        <v>251</v>
      </c>
      <c r="B311" t="s">
        <v>252</v>
      </c>
      <c r="C311" t="s">
        <v>247</v>
      </c>
      <c r="D311" t="s">
        <v>248</v>
      </c>
      <c r="E311">
        <v>20171</v>
      </c>
      <c r="F311" t="s">
        <v>14</v>
      </c>
      <c r="G311" t="s">
        <v>51</v>
      </c>
      <c r="H311">
        <v>3.5</v>
      </c>
      <c r="I311">
        <v>0</v>
      </c>
      <c r="J311">
        <v>20201</v>
      </c>
      <c r="K311">
        <f>COUNTIF('rEKAP kls MK'!$A$2:$A$35,Worksheet!C311)</f>
        <v>2</v>
      </c>
      <c r="L311" t="str">
        <f t="shared" si="16"/>
        <v>F1B112016</v>
      </c>
      <c r="M311" t="str">
        <f t="shared" si="17"/>
        <v>Ditya Timur Aska</v>
      </c>
      <c r="O311" t="str">
        <f t="shared" si="18"/>
        <v/>
      </c>
      <c r="P311" t="str">
        <f t="shared" si="19"/>
        <v/>
      </c>
    </row>
    <row r="312" spans="1:16">
      <c r="A312" t="s">
        <v>205</v>
      </c>
      <c r="B312" t="s">
        <v>206</v>
      </c>
      <c r="C312" t="s">
        <v>247</v>
      </c>
      <c r="D312" t="s">
        <v>248</v>
      </c>
      <c r="E312">
        <v>20171</v>
      </c>
      <c r="F312" t="s">
        <v>14</v>
      </c>
      <c r="G312" t="s">
        <v>101</v>
      </c>
      <c r="H312">
        <v>0</v>
      </c>
      <c r="I312">
        <v>0</v>
      </c>
      <c r="J312">
        <v>20201</v>
      </c>
      <c r="K312">
        <f>COUNTIF('rEKAP kls MK'!$A$2:$A$35,Worksheet!C312)</f>
        <v>2</v>
      </c>
      <c r="L312" t="str">
        <f t="shared" si="16"/>
        <v>F1B112018</v>
      </c>
      <c r="M312" t="str">
        <f t="shared" si="17"/>
        <v>Edi Zulkarnain</v>
      </c>
      <c r="O312" t="str">
        <f t="shared" si="18"/>
        <v/>
      </c>
      <c r="P312" t="str">
        <f t="shared" si="19"/>
        <v/>
      </c>
    </row>
    <row r="313" spans="1:16">
      <c r="A313" t="s">
        <v>253</v>
      </c>
      <c r="B313" t="s">
        <v>254</v>
      </c>
      <c r="C313" t="s">
        <v>247</v>
      </c>
      <c r="D313" t="s">
        <v>248</v>
      </c>
      <c r="E313">
        <v>20171</v>
      </c>
      <c r="F313" t="s">
        <v>14</v>
      </c>
      <c r="G313" t="s">
        <v>51</v>
      </c>
      <c r="H313">
        <v>3.5</v>
      </c>
      <c r="I313">
        <v>0</v>
      </c>
      <c r="J313">
        <v>20201</v>
      </c>
      <c r="K313">
        <f>COUNTIF('rEKAP kls MK'!$A$2:$A$35,Worksheet!C313)</f>
        <v>2</v>
      </c>
      <c r="L313" t="str">
        <f t="shared" si="16"/>
        <v>F1B112025</v>
      </c>
      <c r="M313" t="str">
        <f t="shared" si="17"/>
        <v>Haerur Rosyid</v>
      </c>
      <c r="O313" t="str">
        <f t="shared" si="18"/>
        <v/>
      </c>
      <c r="P313" t="str">
        <f t="shared" si="19"/>
        <v/>
      </c>
    </row>
    <row r="314" spans="1:16">
      <c r="A314" t="s">
        <v>16</v>
      </c>
      <c r="B314" t="s">
        <v>17</v>
      </c>
      <c r="C314" t="s">
        <v>247</v>
      </c>
      <c r="D314" t="s">
        <v>248</v>
      </c>
      <c r="E314">
        <v>20171</v>
      </c>
      <c r="F314" t="s">
        <v>14</v>
      </c>
      <c r="G314" t="s">
        <v>18</v>
      </c>
      <c r="H314">
        <v>3</v>
      </c>
      <c r="I314">
        <v>0</v>
      </c>
      <c r="J314">
        <v>20201</v>
      </c>
      <c r="K314">
        <f>COUNTIF('rEKAP kls MK'!$A$2:$A$35,Worksheet!C314)</f>
        <v>2</v>
      </c>
      <c r="L314" t="str">
        <f t="shared" si="16"/>
        <v>F1B112042</v>
      </c>
      <c r="M314" t="str">
        <f t="shared" si="17"/>
        <v>Muhammad Satriawan A</v>
      </c>
      <c r="O314" t="str">
        <f t="shared" si="18"/>
        <v/>
      </c>
      <c r="P314" t="str">
        <f t="shared" si="19"/>
        <v/>
      </c>
    </row>
    <row r="315" spans="1:16">
      <c r="A315" t="s">
        <v>24</v>
      </c>
      <c r="B315" t="s">
        <v>25</v>
      </c>
      <c r="C315" t="s">
        <v>247</v>
      </c>
      <c r="D315" t="s">
        <v>248</v>
      </c>
      <c r="E315">
        <v>20171</v>
      </c>
      <c r="F315" t="s">
        <v>14</v>
      </c>
      <c r="G315" t="s">
        <v>116</v>
      </c>
      <c r="H315">
        <v>1.5</v>
      </c>
      <c r="I315">
        <v>0</v>
      </c>
      <c r="J315">
        <v>20201</v>
      </c>
      <c r="K315">
        <f>COUNTIF('rEKAP kls MK'!$A$2:$A$35,Worksheet!C315)</f>
        <v>2</v>
      </c>
      <c r="L315" t="str">
        <f t="shared" si="16"/>
        <v>F1B113015</v>
      </c>
      <c r="M315" t="str">
        <f t="shared" si="17"/>
        <v>IMAM RAHMATULLAH S</v>
      </c>
      <c r="O315" t="str">
        <f t="shared" si="18"/>
        <v/>
      </c>
      <c r="P315" t="str">
        <f t="shared" si="19"/>
        <v/>
      </c>
    </row>
    <row r="316" spans="1:16">
      <c r="A316" t="s">
        <v>29</v>
      </c>
      <c r="B316" t="s">
        <v>30</v>
      </c>
      <c r="C316" t="s">
        <v>247</v>
      </c>
      <c r="D316" t="s">
        <v>248</v>
      </c>
      <c r="E316">
        <v>20171</v>
      </c>
      <c r="F316" t="s">
        <v>14</v>
      </c>
      <c r="G316" t="s">
        <v>26</v>
      </c>
      <c r="H316">
        <v>2</v>
      </c>
      <c r="I316">
        <v>0</v>
      </c>
      <c r="J316">
        <v>20201</v>
      </c>
      <c r="K316">
        <f>COUNTIF('rEKAP kls MK'!$A$2:$A$35,Worksheet!C316)</f>
        <v>2</v>
      </c>
      <c r="L316" t="str">
        <f t="shared" si="16"/>
        <v>F1B113021</v>
      </c>
      <c r="M316" t="str">
        <f t="shared" si="17"/>
        <v>LALU MUHAMMAD IBNU N</v>
      </c>
      <c r="O316" t="str">
        <f t="shared" si="18"/>
        <v/>
      </c>
      <c r="P316" t="str">
        <f t="shared" si="19"/>
        <v/>
      </c>
    </row>
    <row r="317" spans="1:16">
      <c r="A317" t="s">
        <v>35</v>
      </c>
      <c r="B317" t="s">
        <v>36</v>
      </c>
      <c r="C317" t="s">
        <v>247</v>
      </c>
      <c r="D317" t="s">
        <v>248</v>
      </c>
      <c r="E317">
        <v>20171</v>
      </c>
      <c r="F317" t="s">
        <v>14</v>
      </c>
      <c r="G317" t="s">
        <v>116</v>
      </c>
      <c r="H317">
        <v>1.5</v>
      </c>
      <c r="I317">
        <v>0</v>
      </c>
      <c r="J317">
        <v>20201</v>
      </c>
      <c r="K317">
        <f>COUNTIF('rEKAP kls MK'!$A$2:$A$35,Worksheet!C317)</f>
        <v>2</v>
      </c>
      <c r="L317" t="str">
        <f t="shared" si="16"/>
        <v>F1B113028</v>
      </c>
      <c r="M317" t="str">
        <f t="shared" si="17"/>
        <v>PUGUH DWI ANTARA</v>
      </c>
      <c r="O317" t="str">
        <f t="shared" si="18"/>
        <v/>
      </c>
      <c r="P317" t="str">
        <f t="shared" si="19"/>
        <v/>
      </c>
    </row>
    <row r="318" spans="1:16">
      <c r="A318" t="s">
        <v>37</v>
      </c>
      <c r="B318" t="s">
        <v>38</v>
      </c>
      <c r="C318" t="s">
        <v>247</v>
      </c>
      <c r="D318" t="s">
        <v>248</v>
      </c>
      <c r="E318">
        <v>20171</v>
      </c>
      <c r="F318" t="s">
        <v>14</v>
      </c>
      <c r="G318" t="s">
        <v>18</v>
      </c>
      <c r="H318">
        <v>3</v>
      </c>
      <c r="I318">
        <v>0</v>
      </c>
      <c r="J318">
        <v>20201</v>
      </c>
      <c r="K318">
        <f>COUNTIF('rEKAP kls MK'!$A$2:$A$35,Worksheet!C318)</f>
        <v>2</v>
      </c>
      <c r="L318" t="str">
        <f t="shared" si="16"/>
        <v>F1B113029</v>
      </c>
      <c r="M318" t="str">
        <f t="shared" si="17"/>
        <v>RANGGA FAJAR MAULANA</v>
      </c>
      <c r="O318" t="str">
        <f t="shared" si="18"/>
        <v/>
      </c>
      <c r="P318" t="str">
        <f t="shared" si="19"/>
        <v/>
      </c>
    </row>
    <row r="319" spans="1:16">
      <c r="A319" t="s">
        <v>41</v>
      </c>
      <c r="B319" t="s">
        <v>42</v>
      </c>
      <c r="C319" t="s">
        <v>247</v>
      </c>
      <c r="D319" t="s">
        <v>248</v>
      </c>
      <c r="E319">
        <v>20171</v>
      </c>
      <c r="F319" t="s">
        <v>14</v>
      </c>
      <c r="G319" t="s">
        <v>51</v>
      </c>
      <c r="H319">
        <v>3.5</v>
      </c>
      <c r="I319">
        <v>0</v>
      </c>
      <c r="J319">
        <v>20201</v>
      </c>
      <c r="K319">
        <f>COUNTIF('rEKAP kls MK'!$A$2:$A$35,Worksheet!C319)</f>
        <v>2</v>
      </c>
      <c r="L319" t="str">
        <f t="shared" si="16"/>
        <v>F1B113032</v>
      </c>
      <c r="M319" t="str">
        <f t="shared" si="17"/>
        <v>SAMSUL AZWARI</v>
      </c>
      <c r="O319" t="str">
        <f t="shared" si="18"/>
        <v/>
      </c>
      <c r="P319" t="str">
        <f t="shared" si="19"/>
        <v/>
      </c>
    </row>
    <row r="320" spans="1:16">
      <c r="A320" t="s">
        <v>43</v>
      </c>
      <c r="B320" t="s">
        <v>44</v>
      </c>
      <c r="C320" t="s">
        <v>247</v>
      </c>
      <c r="D320" t="s">
        <v>248</v>
      </c>
      <c r="E320">
        <v>20171</v>
      </c>
      <c r="F320" t="s">
        <v>14</v>
      </c>
      <c r="G320" t="s">
        <v>116</v>
      </c>
      <c r="H320">
        <v>1.5</v>
      </c>
      <c r="I320">
        <v>0</v>
      </c>
      <c r="J320">
        <v>20201</v>
      </c>
      <c r="K320">
        <f>COUNTIF('rEKAP kls MK'!$A$2:$A$35,Worksheet!C320)</f>
        <v>2</v>
      </c>
      <c r="L320" t="str">
        <f t="shared" si="16"/>
        <v>F1B113034</v>
      </c>
      <c r="M320" t="str">
        <f t="shared" si="17"/>
        <v>SHIR AJIE ASMORO</v>
      </c>
      <c r="O320" t="str">
        <f t="shared" si="18"/>
        <v/>
      </c>
      <c r="P320" t="str">
        <f t="shared" si="19"/>
        <v/>
      </c>
    </row>
    <row r="321" spans="1:16">
      <c r="A321" t="s">
        <v>215</v>
      </c>
      <c r="B321" t="s">
        <v>216</v>
      </c>
      <c r="C321" t="s">
        <v>247</v>
      </c>
      <c r="D321" t="s">
        <v>248</v>
      </c>
      <c r="E321">
        <v>20171</v>
      </c>
      <c r="F321" t="s">
        <v>14</v>
      </c>
      <c r="G321" t="s">
        <v>101</v>
      </c>
      <c r="H321">
        <v>0</v>
      </c>
      <c r="I321">
        <v>0</v>
      </c>
      <c r="J321">
        <v>20201</v>
      </c>
      <c r="K321">
        <f>COUNTIF('rEKAP kls MK'!$A$2:$A$35,Worksheet!C321)</f>
        <v>2</v>
      </c>
      <c r="L321" t="str">
        <f t="shared" si="16"/>
        <v>F1B115014</v>
      </c>
      <c r="M321" t="str">
        <f t="shared" si="17"/>
        <v>ILHAMUDDIN</v>
      </c>
      <c r="O321" t="str">
        <f t="shared" si="18"/>
        <v/>
      </c>
      <c r="P321" t="str">
        <f t="shared" si="19"/>
        <v/>
      </c>
    </row>
    <row r="322" spans="1:16">
      <c r="A322" t="s">
        <v>185</v>
      </c>
      <c r="B322" t="s">
        <v>186</v>
      </c>
      <c r="C322" t="s">
        <v>247</v>
      </c>
      <c r="D322" t="s">
        <v>248</v>
      </c>
      <c r="E322">
        <v>20171</v>
      </c>
      <c r="F322" t="s">
        <v>14</v>
      </c>
      <c r="G322" t="s">
        <v>125</v>
      </c>
      <c r="H322">
        <v>1</v>
      </c>
      <c r="I322">
        <v>0</v>
      </c>
      <c r="J322">
        <v>20201</v>
      </c>
      <c r="K322">
        <f>COUNTIF('rEKAP kls MK'!$A$2:$A$35,Worksheet!C322)</f>
        <v>2</v>
      </c>
      <c r="L322" t="str">
        <f t="shared" si="16"/>
        <v>F1B115015</v>
      </c>
      <c r="M322" t="str">
        <f t="shared" si="17"/>
        <v>ILMAN HIDAYAT</v>
      </c>
      <c r="O322" t="str">
        <f t="shared" si="18"/>
        <v/>
      </c>
      <c r="P322" t="str">
        <f t="shared" si="19"/>
        <v/>
      </c>
    </row>
    <row r="323" spans="1:16">
      <c r="A323" t="s">
        <v>221</v>
      </c>
      <c r="B323" t="s">
        <v>222</v>
      </c>
      <c r="C323" t="s">
        <v>247</v>
      </c>
      <c r="D323" t="s">
        <v>248</v>
      </c>
      <c r="E323">
        <v>20171</v>
      </c>
      <c r="F323" t="s">
        <v>14</v>
      </c>
      <c r="G323" t="s">
        <v>125</v>
      </c>
      <c r="H323">
        <v>1</v>
      </c>
      <c r="I323">
        <v>0</v>
      </c>
      <c r="J323">
        <v>20201</v>
      </c>
      <c r="K323">
        <f>COUNTIF('rEKAP kls MK'!$A$2:$A$35,Worksheet!C323)</f>
        <v>2</v>
      </c>
      <c r="L323" t="str">
        <f t="shared" ref="L323:L386" si="20">IF(A322&lt;&gt;A323,A323,"")</f>
        <v>F1B115021</v>
      </c>
      <c r="M323" t="str">
        <f t="shared" ref="M323:M386" si="21">IF(B322&lt;&gt;B323,B323,"")</f>
        <v>LALU TRIAWANRI NOVIANUNG</v>
      </c>
      <c r="O323" t="str">
        <f t="shared" ref="O323:O386" si="22">IF(D322&lt;&gt;D323,D323,"")</f>
        <v/>
      </c>
      <c r="P323" t="str">
        <f t="shared" ref="P323:P386" si="23">IF(F322&lt;&gt;F323,F323,"")</f>
        <v/>
      </c>
    </row>
    <row r="324" spans="1:16">
      <c r="A324" t="s">
        <v>225</v>
      </c>
      <c r="B324" t="s">
        <v>226</v>
      </c>
      <c r="C324" t="s">
        <v>247</v>
      </c>
      <c r="D324" t="s">
        <v>248</v>
      </c>
      <c r="E324">
        <v>20171</v>
      </c>
      <c r="F324" t="s">
        <v>14</v>
      </c>
      <c r="G324" t="s">
        <v>101</v>
      </c>
      <c r="H324">
        <v>0</v>
      </c>
      <c r="I324">
        <v>0</v>
      </c>
      <c r="J324">
        <v>20201</v>
      </c>
      <c r="K324">
        <f>COUNTIF('rEKAP kls MK'!$A$2:$A$35,Worksheet!C324)</f>
        <v>2</v>
      </c>
      <c r="L324" t="str">
        <f t="shared" si="20"/>
        <v>F1B115023</v>
      </c>
      <c r="M324" t="str">
        <f t="shared" si="21"/>
        <v>M Habibillah</v>
      </c>
      <c r="O324" t="str">
        <f t="shared" si="22"/>
        <v/>
      </c>
      <c r="P324" t="str">
        <f t="shared" si="23"/>
        <v/>
      </c>
    </row>
    <row r="325" spans="1:16">
      <c r="A325" t="s">
        <v>229</v>
      </c>
      <c r="B325" t="s">
        <v>230</v>
      </c>
      <c r="C325" t="s">
        <v>247</v>
      </c>
      <c r="D325" t="s">
        <v>248</v>
      </c>
      <c r="E325">
        <v>20171</v>
      </c>
      <c r="F325" t="s">
        <v>14</v>
      </c>
      <c r="G325" t="s">
        <v>23</v>
      </c>
      <c r="H325">
        <v>2.5</v>
      </c>
      <c r="I325">
        <v>0</v>
      </c>
      <c r="J325">
        <v>20201</v>
      </c>
      <c r="K325">
        <f>COUNTIF('rEKAP kls MK'!$A$2:$A$35,Worksheet!C325)</f>
        <v>2</v>
      </c>
      <c r="L325" t="str">
        <f t="shared" si="20"/>
        <v>F1B115029</v>
      </c>
      <c r="M325" t="str">
        <f t="shared" si="21"/>
        <v>MUHAMAT TAUFIK</v>
      </c>
      <c r="O325" t="str">
        <f t="shared" si="22"/>
        <v/>
      </c>
      <c r="P325" t="str">
        <f t="shared" si="23"/>
        <v/>
      </c>
    </row>
    <row r="326" spans="1:16">
      <c r="A326" t="s">
        <v>80</v>
      </c>
      <c r="B326" t="s">
        <v>81</v>
      </c>
      <c r="C326" t="s">
        <v>247</v>
      </c>
      <c r="D326" t="s">
        <v>248</v>
      </c>
      <c r="E326">
        <v>20171</v>
      </c>
      <c r="F326" t="s">
        <v>14</v>
      </c>
      <c r="G326" t="s">
        <v>23</v>
      </c>
      <c r="H326">
        <v>2.5</v>
      </c>
      <c r="I326">
        <v>0</v>
      </c>
      <c r="J326">
        <v>20201</v>
      </c>
      <c r="K326">
        <f>COUNTIF('rEKAP kls MK'!$A$2:$A$35,Worksheet!C326)</f>
        <v>2</v>
      </c>
      <c r="L326" t="str">
        <f t="shared" si="20"/>
        <v>F1B116022</v>
      </c>
      <c r="M326" t="str">
        <f t="shared" si="21"/>
        <v>NOVA HENDRI KURNIAWAN</v>
      </c>
      <c r="O326" t="str">
        <f t="shared" si="22"/>
        <v/>
      </c>
      <c r="P326" t="str">
        <f t="shared" si="23"/>
        <v/>
      </c>
    </row>
    <row r="327" spans="1:16">
      <c r="A327" t="s">
        <v>91</v>
      </c>
      <c r="B327" t="s">
        <v>92</v>
      </c>
      <c r="C327" t="s">
        <v>247</v>
      </c>
      <c r="D327" t="s">
        <v>248</v>
      </c>
      <c r="E327">
        <v>20171</v>
      </c>
      <c r="F327" t="s">
        <v>14</v>
      </c>
      <c r="G327" t="s">
        <v>18</v>
      </c>
      <c r="H327">
        <v>3</v>
      </c>
      <c r="I327">
        <v>0</v>
      </c>
      <c r="J327">
        <v>20201</v>
      </c>
      <c r="K327">
        <f>COUNTIF('rEKAP kls MK'!$A$2:$A$35,Worksheet!C327)</f>
        <v>2</v>
      </c>
      <c r="L327" t="str">
        <f t="shared" si="20"/>
        <v>F1B116030</v>
      </c>
      <c r="M327" t="str">
        <f t="shared" si="21"/>
        <v>Yanuardi</v>
      </c>
      <c r="O327" t="str">
        <f t="shared" si="22"/>
        <v/>
      </c>
      <c r="P327" t="str">
        <f t="shared" si="23"/>
        <v/>
      </c>
    </row>
    <row r="328" spans="1:16">
      <c r="A328" t="s">
        <v>24</v>
      </c>
      <c r="B328" t="s">
        <v>25</v>
      </c>
      <c r="C328" t="s">
        <v>423</v>
      </c>
      <c r="D328" t="s">
        <v>424</v>
      </c>
      <c r="E328">
        <v>20171</v>
      </c>
      <c r="F328" t="s">
        <v>575</v>
      </c>
      <c r="G328" t="s">
        <v>125</v>
      </c>
      <c r="H328">
        <v>1</v>
      </c>
      <c r="I328">
        <v>0</v>
      </c>
      <c r="J328">
        <v>20201</v>
      </c>
      <c r="K328">
        <f>COUNTIF('rEKAP kls MK'!$A$2:$A$35,Worksheet!C328)</f>
        <v>0</v>
      </c>
      <c r="L328" t="str">
        <f t="shared" si="20"/>
        <v>F1B113015</v>
      </c>
      <c r="M328" t="str">
        <f t="shared" si="21"/>
        <v>IMAM RAHMATULLAH S</v>
      </c>
      <c r="O328" t="str">
        <f t="shared" si="22"/>
        <v>ELEKTRONIKA ANALOG</v>
      </c>
      <c r="P328" t="str">
        <f t="shared" si="23"/>
        <v>P</v>
      </c>
    </row>
    <row r="329" spans="1:16">
      <c r="A329" t="s">
        <v>249</v>
      </c>
      <c r="B329" t="s">
        <v>250</v>
      </c>
      <c r="C329" t="s">
        <v>448</v>
      </c>
      <c r="D329" t="s">
        <v>449</v>
      </c>
      <c r="E329">
        <v>20171</v>
      </c>
      <c r="F329" t="s">
        <v>14</v>
      </c>
      <c r="G329" t="s">
        <v>26</v>
      </c>
      <c r="H329">
        <v>2</v>
      </c>
      <c r="I329">
        <v>0</v>
      </c>
      <c r="J329">
        <v>20201</v>
      </c>
      <c r="K329">
        <f>COUNTIF('rEKAP kls MK'!$A$2:$A$35,Worksheet!C329)</f>
        <v>1</v>
      </c>
      <c r="L329" t="str">
        <f t="shared" si="20"/>
        <v>F1B111077</v>
      </c>
      <c r="M329" t="str">
        <f t="shared" si="21"/>
        <v>Samsul Hadi</v>
      </c>
      <c r="O329" t="str">
        <f t="shared" si="22"/>
        <v>ELEKTRONIKA DAYA</v>
      </c>
      <c r="P329" t="str">
        <f t="shared" si="23"/>
        <v>S</v>
      </c>
    </row>
    <row r="330" spans="1:16">
      <c r="A330" t="s">
        <v>380</v>
      </c>
      <c r="B330" t="s">
        <v>381</v>
      </c>
      <c r="C330" t="s">
        <v>448</v>
      </c>
      <c r="D330" t="s">
        <v>449</v>
      </c>
      <c r="E330">
        <v>20171</v>
      </c>
      <c r="F330" t="s">
        <v>14</v>
      </c>
      <c r="G330" t="s">
        <v>18</v>
      </c>
      <c r="H330">
        <v>3</v>
      </c>
      <c r="I330">
        <v>0</v>
      </c>
      <c r="J330">
        <v>20201</v>
      </c>
      <c r="K330">
        <f>COUNTIF('rEKAP kls MK'!$A$2:$A$35,Worksheet!C330)</f>
        <v>1</v>
      </c>
      <c r="L330" t="str">
        <f t="shared" si="20"/>
        <v>F1B113006</v>
      </c>
      <c r="M330" t="str">
        <f t="shared" si="21"/>
        <v>ELAN CRIYANTO</v>
      </c>
      <c r="O330" t="str">
        <f t="shared" si="22"/>
        <v/>
      </c>
      <c r="P330" t="str">
        <f t="shared" si="23"/>
        <v/>
      </c>
    </row>
    <row r="331" spans="1:16">
      <c r="A331" t="s">
        <v>37</v>
      </c>
      <c r="B331" t="s">
        <v>38</v>
      </c>
      <c r="C331" t="s">
        <v>448</v>
      </c>
      <c r="D331" t="s">
        <v>449</v>
      </c>
      <c r="E331">
        <v>20171</v>
      </c>
      <c r="F331" t="s">
        <v>14</v>
      </c>
      <c r="G331" t="s">
        <v>26</v>
      </c>
      <c r="H331">
        <v>2</v>
      </c>
      <c r="I331">
        <v>0</v>
      </c>
      <c r="J331">
        <v>20201</v>
      </c>
      <c r="K331">
        <f>COUNTIF('rEKAP kls MK'!$A$2:$A$35,Worksheet!C331)</f>
        <v>1</v>
      </c>
      <c r="L331" t="str">
        <f t="shared" si="20"/>
        <v>F1B113029</v>
      </c>
      <c r="M331" t="str">
        <f t="shared" si="21"/>
        <v>RANGGA FAJAR MAULANA</v>
      </c>
      <c r="O331" t="str">
        <f t="shared" si="22"/>
        <v/>
      </c>
      <c r="P331" t="str">
        <f t="shared" si="23"/>
        <v/>
      </c>
    </row>
    <row r="332" spans="1:16">
      <c r="A332" t="s">
        <v>47</v>
      </c>
      <c r="B332" t="s">
        <v>48</v>
      </c>
      <c r="C332" t="s">
        <v>448</v>
      </c>
      <c r="D332" t="s">
        <v>449</v>
      </c>
      <c r="E332">
        <v>20171</v>
      </c>
      <c r="F332" t="s">
        <v>14</v>
      </c>
      <c r="G332" t="s">
        <v>23</v>
      </c>
      <c r="H332">
        <v>2.5</v>
      </c>
      <c r="I332">
        <v>0</v>
      </c>
      <c r="J332">
        <v>20201</v>
      </c>
      <c r="K332">
        <f>COUNTIF('rEKAP kls MK'!$A$2:$A$35,Worksheet!C332)</f>
        <v>1</v>
      </c>
      <c r="L332" t="str">
        <f t="shared" si="20"/>
        <v>F1B114004</v>
      </c>
      <c r="M332" t="str">
        <f t="shared" si="21"/>
        <v>AKHMAD AKHIR BULAN</v>
      </c>
      <c r="O332" t="str">
        <f t="shared" si="22"/>
        <v/>
      </c>
      <c r="P332" t="str">
        <f t="shared" si="23"/>
        <v/>
      </c>
    </row>
    <row r="333" spans="1:16">
      <c r="A333" t="s">
        <v>52</v>
      </c>
      <c r="B333" t="s">
        <v>53</v>
      </c>
      <c r="C333" t="s">
        <v>448</v>
      </c>
      <c r="D333" t="s">
        <v>449</v>
      </c>
      <c r="E333">
        <v>20171</v>
      </c>
      <c r="F333" t="s">
        <v>14</v>
      </c>
      <c r="G333" t="s">
        <v>23</v>
      </c>
      <c r="H333">
        <v>2.5</v>
      </c>
      <c r="I333">
        <v>0</v>
      </c>
      <c r="J333">
        <v>20201</v>
      </c>
      <c r="K333">
        <f>COUNTIF('rEKAP kls MK'!$A$2:$A$35,Worksheet!C333)</f>
        <v>1</v>
      </c>
      <c r="L333" t="str">
        <f t="shared" si="20"/>
        <v>F1B114014</v>
      </c>
      <c r="M333" t="str">
        <f t="shared" si="21"/>
        <v>HAMDUN</v>
      </c>
      <c r="O333" t="str">
        <f t="shared" si="22"/>
        <v/>
      </c>
      <c r="P333" t="str">
        <f t="shared" si="23"/>
        <v/>
      </c>
    </row>
    <row r="334" spans="1:16">
      <c r="A334" t="s">
        <v>163</v>
      </c>
      <c r="B334" t="s">
        <v>164</v>
      </c>
      <c r="C334" t="s">
        <v>448</v>
      </c>
      <c r="D334" t="s">
        <v>449</v>
      </c>
      <c r="E334">
        <v>20171</v>
      </c>
      <c r="F334" t="s">
        <v>14</v>
      </c>
      <c r="G334" t="s">
        <v>23</v>
      </c>
      <c r="H334">
        <v>2.5</v>
      </c>
      <c r="I334">
        <v>0</v>
      </c>
      <c r="J334">
        <v>20201</v>
      </c>
      <c r="K334">
        <f>COUNTIF('rEKAP kls MK'!$A$2:$A$35,Worksheet!C334)</f>
        <v>1</v>
      </c>
      <c r="L334" t="str">
        <f t="shared" si="20"/>
        <v>F1B114016</v>
      </c>
      <c r="M334" t="str">
        <f t="shared" si="21"/>
        <v>HERLAN</v>
      </c>
      <c r="O334" t="str">
        <f t="shared" si="22"/>
        <v/>
      </c>
      <c r="P334" t="str">
        <f t="shared" si="23"/>
        <v/>
      </c>
    </row>
    <row r="335" spans="1:16">
      <c r="A335" t="s">
        <v>446</v>
      </c>
      <c r="B335" t="s">
        <v>447</v>
      </c>
      <c r="C335" t="s">
        <v>448</v>
      </c>
      <c r="D335" t="s">
        <v>449</v>
      </c>
      <c r="E335">
        <v>20171</v>
      </c>
      <c r="F335" t="s">
        <v>14</v>
      </c>
      <c r="G335" t="s">
        <v>125</v>
      </c>
      <c r="H335">
        <v>1</v>
      </c>
      <c r="I335">
        <v>0</v>
      </c>
      <c r="J335">
        <v>20201</v>
      </c>
      <c r="K335">
        <f>COUNTIF('rEKAP kls MK'!$A$2:$A$35,Worksheet!C335)</f>
        <v>1</v>
      </c>
      <c r="L335" t="str">
        <f t="shared" si="20"/>
        <v>F1B114021</v>
      </c>
      <c r="M335" t="str">
        <f t="shared" si="21"/>
        <v>JAUHARI MAKNUN</v>
      </c>
      <c r="O335" t="str">
        <f t="shared" si="22"/>
        <v/>
      </c>
      <c r="P335" t="str">
        <f t="shared" si="23"/>
        <v/>
      </c>
    </row>
    <row r="336" spans="1:16">
      <c r="A336" t="s">
        <v>257</v>
      </c>
      <c r="B336" t="s">
        <v>258</v>
      </c>
      <c r="C336" t="s">
        <v>448</v>
      </c>
      <c r="D336" t="s">
        <v>449</v>
      </c>
      <c r="E336">
        <v>20171</v>
      </c>
      <c r="F336" t="s">
        <v>14</v>
      </c>
      <c r="G336" t="s">
        <v>18</v>
      </c>
      <c r="H336">
        <v>3</v>
      </c>
      <c r="I336">
        <v>0</v>
      </c>
      <c r="J336">
        <v>20201</v>
      </c>
      <c r="K336">
        <f>COUNTIF('rEKAP kls MK'!$A$2:$A$35,Worksheet!C336)</f>
        <v>1</v>
      </c>
      <c r="L336" t="str">
        <f t="shared" si="20"/>
        <v>F1B114027</v>
      </c>
      <c r="M336" t="str">
        <f t="shared" si="21"/>
        <v>MUHAMMAD FEBRIAN RAMADAN</v>
      </c>
      <c r="O336" t="str">
        <f t="shared" si="22"/>
        <v/>
      </c>
      <c r="P336" t="str">
        <f t="shared" si="23"/>
        <v/>
      </c>
    </row>
    <row r="337" spans="1:16">
      <c r="A337" t="s">
        <v>146</v>
      </c>
      <c r="B337" t="s">
        <v>147</v>
      </c>
      <c r="C337" t="s">
        <v>419</v>
      </c>
      <c r="D337" t="s">
        <v>420</v>
      </c>
      <c r="E337">
        <v>20171</v>
      </c>
      <c r="F337" t="s">
        <v>575</v>
      </c>
      <c r="G337" t="s">
        <v>23</v>
      </c>
      <c r="H337">
        <v>2.5</v>
      </c>
      <c r="I337">
        <v>0</v>
      </c>
      <c r="J337">
        <v>20201</v>
      </c>
      <c r="K337">
        <f>COUNTIF('rEKAP kls MK'!$A$2:$A$35,Worksheet!C337)</f>
        <v>0</v>
      </c>
      <c r="L337" t="str">
        <f t="shared" si="20"/>
        <v>F1B111036</v>
      </c>
      <c r="M337" t="str">
        <f t="shared" si="21"/>
        <v>Lalu Anja Sukmana</v>
      </c>
      <c r="O337" t="str">
        <f t="shared" si="22"/>
        <v>ELEKTRONIKA DIGITAL</v>
      </c>
      <c r="P337" t="str">
        <f t="shared" si="23"/>
        <v>P</v>
      </c>
    </row>
    <row r="338" spans="1:16">
      <c r="A338" t="s">
        <v>24</v>
      </c>
      <c r="B338" t="s">
        <v>25</v>
      </c>
      <c r="C338" t="s">
        <v>419</v>
      </c>
      <c r="D338" t="s">
        <v>420</v>
      </c>
      <c r="E338">
        <v>20171</v>
      </c>
      <c r="F338" t="s">
        <v>575</v>
      </c>
      <c r="G338" t="s">
        <v>26</v>
      </c>
      <c r="H338">
        <v>2</v>
      </c>
      <c r="I338">
        <v>0</v>
      </c>
      <c r="J338">
        <v>20201</v>
      </c>
      <c r="K338">
        <f>COUNTIF('rEKAP kls MK'!$A$2:$A$35,Worksheet!C338)</f>
        <v>0</v>
      </c>
      <c r="L338" t="str">
        <f t="shared" si="20"/>
        <v>F1B113015</v>
      </c>
      <c r="M338" t="str">
        <f t="shared" si="21"/>
        <v>IMAM RAHMATULLAH S</v>
      </c>
      <c r="O338" t="str">
        <f t="shared" si="22"/>
        <v/>
      </c>
      <c r="P338" t="str">
        <f t="shared" si="23"/>
        <v/>
      </c>
    </row>
    <row r="339" spans="1:16">
      <c r="A339" t="s">
        <v>112</v>
      </c>
      <c r="B339" t="s">
        <v>113</v>
      </c>
      <c r="C339" t="s">
        <v>558</v>
      </c>
      <c r="D339" t="s">
        <v>559</v>
      </c>
      <c r="E339">
        <v>20171</v>
      </c>
      <c r="F339" t="s">
        <v>467</v>
      </c>
      <c r="G339" t="s">
        <v>116</v>
      </c>
      <c r="H339">
        <v>1.5</v>
      </c>
      <c r="I339">
        <v>0</v>
      </c>
      <c r="J339">
        <v>20201</v>
      </c>
      <c r="K339">
        <f>COUNTIF('rEKAP kls MK'!$A$2:$A$35,Worksheet!C339)</f>
        <v>0</v>
      </c>
      <c r="L339" t="str">
        <f t="shared" si="20"/>
        <v>F1B112026</v>
      </c>
      <c r="M339" t="str">
        <f t="shared" si="21"/>
        <v>Hartono Fiyono</v>
      </c>
      <c r="O339" t="str">
        <f t="shared" si="22"/>
        <v>FISIKA DASAR</v>
      </c>
      <c r="P339" t="str">
        <f t="shared" si="23"/>
        <v>TPB</v>
      </c>
    </row>
    <row r="340" spans="1:16">
      <c r="A340" t="s">
        <v>24</v>
      </c>
      <c r="B340" t="s">
        <v>25</v>
      </c>
      <c r="C340" t="s">
        <v>558</v>
      </c>
      <c r="D340" t="s">
        <v>559</v>
      </c>
      <c r="E340">
        <v>20171</v>
      </c>
      <c r="F340" t="s">
        <v>467</v>
      </c>
      <c r="G340" t="s">
        <v>23</v>
      </c>
      <c r="H340">
        <v>2.5</v>
      </c>
      <c r="I340">
        <v>0</v>
      </c>
      <c r="J340">
        <v>20201</v>
      </c>
      <c r="K340">
        <f>COUNTIF('rEKAP kls MK'!$A$2:$A$35,Worksheet!C340)</f>
        <v>0</v>
      </c>
      <c r="L340" t="str">
        <f t="shared" si="20"/>
        <v>F1B113015</v>
      </c>
      <c r="M340" t="str">
        <f t="shared" si="21"/>
        <v>IMAM RAHMATULLAH S</v>
      </c>
      <c r="O340" t="str">
        <f t="shared" si="22"/>
        <v/>
      </c>
      <c r="P340" t="str">
        <f t="shared" si="23"/>
        <v/>
      </c>
    </row>
    <row r="341" spans="1:16">
      <c r="A341" t="s">
        <v>27</v>
      </c>
      <c r="B341" t="s">
        <v>28</v>
      </c>
      <c r="C341" t="s">
        <v>558</v>
      </c>
      <c r="D341" t="s">
        <v>559</v>
      </c>
      <c r="E341">
        <v>20171</v>
      </c>
      <c r="F341" t="s">
        <v>467</v>
      </c>
      <c r="G341" t="s">
        <v>23</v>
      </c>
      <c r="H341">
        <v>2.5</v>
      </c>
      <c r="I341">
        <v>0</v>
      </c>
      <c r="J341">
        <v>20201</v>
      </c>
      <c r="K341">
        <f>COUNTIF('rEKAP kls MK'!$A$2:$A$35,Worksheet!C341)</f>
        <v>0</v>
      </c>
      <c r="L341" t="str">
        <f t="shared" si="20"/>
        <v>F1B113016</v>
      </c>
      <c r="M341" t="str">
        <f t="shared" si="21"/>
        <v>JUZI SYUKRAN</v>
      </c>
      <c r="O341" t="str">
        <f t="shared" si="22"/>
        <v/>
      </c>
      <c r="P341" t="str">
        <f t="shared" si="23"/>
        <v/>
      </c>
    </row>
    <row r="342" spans="1:16">
      <c r="A342" t="s">
        <v>29</v>
      </c>
      <c r="B342" t="s">
        <v>30</v>
      </c>
      <c r="C342" t="s">
        <v>558</v>
      </c>
      <c r="D342" t="s">
        <v>559</v>
      </c>
      <c r="E342">
        <v>20171</v>
      </c>
      <c r="F342" t="s">
        <v>467</v>
      </c>
      <c r="G342" t="s">
        <v>26</v>
      </c>
      <c r="H342">
        <v>2</v>
      </c>
      <c r="I342">
        <v>0</v>
      </c>
      <c r="J342">
        <v>20201</v>
      </c>
      <c r="K342">
        <f>COUNTIF('rEKAP kls MK'!$A$2:$A$35,Worksheet!C342)</f>
        <v>0</v>
      </c>
      <c r="L342" t="str">
        <f t="shared" si="20"/>
        <v>F1B113021</v>
      </c>
      <c r="M342" t="str">
        <f t="shared" si="21"/>
        <v>LALU MUHAMMAD IBNU N</v>
      </c>
      <c r="O342" t="str">
        <f t="shared" si="22"/>
        <v/>
      </c>
      <c r="P342" t="str">
        <f t="shared" si="23"/>
        <v/>
      </c>
    </row>
    <row r="343" spans="1:16">
      <c r="A343" t="s">
        <v>35</v>
      </c>
      <c r="B343" t="s">
        <v>36</v>
      </c>
      <c r="C343" t="s">
        <v>558</v>
      </c>
      <c r="D343" t="s">
        <v>559</v>
      </c>
      <c r="E343">
        <v>20171</v>
      </c>
      <c r="F343" t="s">
        <v>467</v>
      </c>
      <c r="G343" t="s">
        <v>26</v>
      </c>
      <c r="H343">
        <v>2</v>
      </c>
      <c r="I343">
        <v>0</v>
      </c>
      <c r="J343">
        <v>20201</v>
      </c>
      <c r="K343">
        <f>COUNTIF('rEKAP kls MK'!$A$2:$A$35,Worksheet!C343)</f>
        <v>0</v>
      </c>
      <c r="L343" t="str">
        <f t="shared" si="20"/>
        <v>F1B113028</v>
      </c>
      <c r="M343" t="str">
        <f t="shared" si="21"/>
        <v>PUGUH DWI ANTARA</v>
      </c>
      <c r="O343" t="str">
        <f t="shared" si="22"/>
        <v/>
      </c>
      <c r="P343" t="str">
        <f t="shared" si="23"/>
        <v/>
      </c>
    </row>
    <row r="344" spans="1:16">
      <c r="A344" t="s">
        <v>37</v>
      </c>
      <c r="B344" t="s">
        <v>38</v>
      </c>
      <c r="C344" t="s">
        <v>558</v>
      </c>
      <c r="D344" t="s">
        <v>559</v>
      </c>
      <c r="E344">
        <v>20171</v>
      </c>
      <c r="F344" t="s">
        <v>467</v>
      </c>
      <c r="G344" t="s">
        <v>26</v>
      </c>
      <c r="H344">
        <v>2</v>
      </c>
      <c r="I344">
        <v>0</v>
      </c>
      <c r="J344">
        <v>20201</v>
      </c>
      <c r="K344">
        <f>COUNTIF('rEKAP kls MK'!$A$2:$A$35,Worksheet!C344)</f>
        <v>0</v>
      </c>
      <c r="L344" t="str">
        <f t="shared" si="20"/>
        <v>F1B113029</v>
      </c>
      <c r="M344" t="str">
        <f t="shared" si="21"/>
        <v>RANGGA FAJAR MAULANA</v>
      </c>
      <c r="O344" t="str">
        <f t="shared" si="22"/>
        <v/>
      </c>
      <c r="P344" t="str">
        <f t="shared" si="23"/>
        <v/>
      </c>
    </row>
    <row r="345" spans="1:16">
      <c r="A345" t="s">
        <v>136</v>
      </c>
      <c r="B345" t="s">
        <v>137</v>
      </c>
      <c r="C345" t="s">
        <v>558</v>
      </c>
      <c r="D345" t="s">
        <v>559</v>
      </c>
      <c r="E345">
        <v>20171</v>
      </c>
      <c r="F345" t="s">
        <v>467</v>
      </c>
      <c r="G345" t="s">
        <v>23</v>
      </c>
      <c r="H345">
        <v>2.5</v>
      </c>
      <c r="I345">
        <v>0</v>
      </c>
      <c r="J345">
        <v>20201</v>
      </c>
      <c r="K345">
        <f>COUNTIF('rEKAP kls MK'!$A$2:$A$35,Worksheet!C345)</f>
        <v>0</v>
      </c>
      <c r="L345" t="str">
        <f t="shared" si="20"/>
        <v>F1B113030</v>
      </c>
      <c r="M345" t="str">
        <f t="shared" si="21"/>
        <v>RIZAL ADI SAPUTRA</v>
      </c>
      <c r="O345" t="str">
        <f t="shared" si="22"/>
        <v/>
      </c>
      <c r="P345" t="str">
        <f t="shared" si="23"/>
        <v/>
      </c>
    </row>
    <row r="346" spans="1:16">
      <c r="A346" t="s">
        <v>41</v>
      </c>
      <c r="B346" t="s">
        <v>42</v>
      </c>
      <c r="C346" t="s">
        <v>558</v>
      </c>
      <c r="D346" t="s">
        <v>559</v>
      </c>
      <c r="E346">
        <v>20171</v>
      </c>
      <c r="F346" t="s">
        <v>467</v>
      </c>
      <c r="G346" t="s">
        <v>26</v>
      </c>
      <c r="H346">
        <v>2</v>
      </c>
      <c r="I346">
        <v>0</v>
      </c>
      <c r="J346">
        <v>20201</v>
      </c>
      <c r="K346">
        <f>COUNTIF('rEKAP kls MK'!$A$2:$A$35,Worksheet!C346)</f>
        <v>0</v>
      </c>
      <c r="L346" t="str">
        <f t="shared" si="20"/>
        <v>F1B113032</v>
      </c>
      <c r="M346" t="str">
        <f t="shared" si="21"/>
        <v>SAMSUL AZWARI</v>
      </c>
      <c r="O346" t="str">
        <f t="shared" si="22"/>
        <v/>
      </c>
      <c r="P346" t="str">
        <f t="shared" si="23"/>
        <v/>
      </c>
    </row>
    <row r="347" spans="1:16">
      <c r="A347" t="s">
        <v>43</v>
      </c>
      <c r="B347" t="s">
        <v>44</v>
      </c>
      <c r="C347" t="s">
        <v>558</v>
      </c>
      <c r="D347" t="s">
        <v>559</v>
      </c>
      <c r="E347">
        <v>20171</v>
      </c>
      <c r="F347" t="s">
        <v>467</v>
      </c>
      <c r="G347" t="s">
        <v>23</v>
      </c>
      <c r="H347">
        <v>2.5</v>
      </c>
      <c r="I347">
        <v>0</v>
      </c>
      <c r="J347">
        <v>20201</v>
      </c>
      <c r="K347">
        <f>COUNTIF('rEKAP kls MK'!$A$2:$A$35,Worksheet!C347)</f>
        <v>0</v>
      </c>
      <c r="L347" t="str">
        <f t="shared" si="20"/>
        <v>F1B113034</v>
      </c>
      <c r="M347" t="str">
        <f t="shared" si="21"/>
        <v>SHIR AJIE ASMORO</v>
      </c>
      <c r="O347" t="str">
        <f t="shared" si="22"/>
        <v/>
      </c>
      <c r="P347" t="str">
        <f t="shared" si="23"/>
        <v/>
      </c>
    </row>
    <row r="348" spans="1:16">
      <c r="A348" t="s">
        <v>468</v>
      </c>
      <c r="B348" t="s">
        <v>469</v>
      </c>
      <c r="C348" t="s">
        <v>558</v>
      </c>
      <c r="D348" t="s">
        <v>559</v>
      </c>
      <c r="E348">
        <v>20171</v>
      </c>
      <c r="F348" t="s">
        <v>467</v>
      </c>
      <c r="G348" t="s">
        <v>18</v>
      </c>
      <c r="H348">
        <v>3</v>
      </c>
      <c r="I348">
        <v>0</v>
      </c>
      <c r="J348">
        <v>20201</v>
      </c>
      <c r="K348">
        <f>COUNTIF('rEKAP kls MK'!$A$2:$A$35,Worksheet!C348)</f>
        <v>0</v>
      </c>
      <c r="L348" t="str">
        <f t="shared" si="20"/>
        <v>F1B117001</v>
      </c>
      <c r="M348" t="str">
        <f t="shared" si="21"/>
        <v>ABI LASKAR</v>
      </c>
      <c r="O348" t="str">
        <f t="shared" si="22"/>
        <v/>
      </c>
      <c r="P348" t="str">
        <f t="shared" si="23"/>
        <v/>
      </c>
    </row>
    <row r="349" spans="1:16">
      <c r="A349" t="s">
        <v>470</v>
      </c>
      <c r="B349" t="s">
        <v>471</v>
      </c>
      <c r="C349" t="s">
        <v>558</v>
      </c>
      <c r="D349" t="s">
        <v>559</v>
      </c>
      <c r="E349">
        <v>20171</v>
      </c>
      <c r="F349" t="s">
        <v>467</v>
      </c>
      <c r="G349" t="s">
        <v>23</v>
      </c>
      <c r="H349">
        <v>2.5</v>
      </c>
      <c r="I349">
        <v>0</v>
      </c>
      <c r="J349">
        <v>20201</v>
      </c>
      <c r="K349">
        <f>COUNTIF('rEKAP kls MK'!$A$2:$A$35,Worksheet!C349)</f>
        <v>0</v>
      </c>
      <c r="L349" t="str">
        <f t="shared" si="20"/>
        <v>F1B117002</v>
      </c>
      <c r="M349" t="str">
        <f t="shared" si="21"/>
        <v>ADE PUTRA CAHYADI</v>
      </c>
      <c r="O349" t="str">
        <f t="shared" si="22"/>
        <v/>
      </c>
      <c r="P349" t="str">
        <f t="shared" si="23"/>
        <v/>
      </c>
    </row>
    <row r="350" spans="1:16">
      <c r="A350" t="s">
        <v>472</v>
      </c>
      <c r="B350" t="s">
        <v>473</v>
      </c>
      <c r="C350" t="s">
        <v>558</v>
      </c>
      <c r="D350" t="s">
        <v>559</v>
      </c>
      <c r="E350">
        <v>20171</v>
      </c>
      <c r="F350" t="s">
        <v>467</v>
      </c>
      <c r="G350" t="s">
        <v>18</v>
      </c>
      <c r="H350">
        <v>3</v>
      </c>
      <c r="I350">
        <v>0</v>
      </c>
      <c r="J350">
        <v>20201</v>
      </c>
      <c r="K350">
        <f>COUNTIF('rEKAP kls MK'!$A$2:$A$35,Worksheet!C350)</f>
        <v>0</v>
      </c>
      <c r="L350" t="str">
        <f t="shared" si="20"/>
        <v>F1B117003</v>
      </c>
      <c r="M350" t="str">
        <f t="shared" si="21"/>
        <v>ADELIA RIZKY FEBRIANTI</v>
      </c>
      <c r="O350" t="str">
        <f t="shared" si="22"/>
        <v/>
      </c>
      <c r="P350" t="str">
        <f t="shared" si="23"/>
        <v/>
      </c>
    </row>
    <row r="351" spans="1:16">
      <c r="A351" t="s">
        <v>474</v>
      </c>
      <c r="B351" t="s">
        <v>475</v>
      </c>
      <c r="C351" t="s">
        <v>558</v>
      </c>
      <c r="D351" t="s">
        <v>559</v>
      </c>
      <c r="E351">
        <v>20171</v>
      </c>
      <c r="F351" t="s">
        <v>467</v>
      </c>
      <c r="G351" t="s">
        <v>26</v>
      </c>
      <c r="H351">
        <v>2</v>
      </c>
      <c r="I351">
        <v>0</v>
      </c>
      <c r="J351">
        <v>20201</v>
      </c>
      <c r="K351">
        <f>COUNTIF('rEKAP kls MK'!$A$2:$A$35,Worksheet!C351)</f>
        <v>0</v>
      </c>
      <c r="L351" t="str">
        <f t="shared" si="20"/>
        <v>F1B117004</v>
      </c>
      <c r="M351" t="str">
        <f t="shared" si="21"/>
        <v>AHMAD RAJABUL AKBAR KHAIRU</v>
      </c>
      <c r="O351" t="str">
        <f t="shared" si="22"/>
        <v/>
      </c>
      <c r="P351" t="str">
        <f t="shared" si="23"/>
        <v/>
      </c>
    </row>
    <row r="352" spans="1:16">
      <c r="A352" t="s">
        <v>476</v>
      </c>
      <c r="B352" t="s">
        <v>477</v>
      </c>
      <c r="C352" t="s">
        <v>558</v>
      </c>
      <c r="D352" t="s">
        <v>559</v>
      </c>
      <c r="E352">
        <v>20171</v>
      </c>
      <c r="F352" t="s">
        <v>467</v>
      </c>
      <c r="G352" t="s">
        <v>23</v>
      </c>
      <c r="H352">
        <v>2.5</v>
      </c>
      <c r="I352">
        <v>0</v>
      </c>
      <c r="J352">
        <v>20201</v>
      </c>
      <c r="K352">
        <f>COUNTIF('rEKAP kls MK'!$A$2:$A$35,Worksheet!C352)</f>
        <v>0</v>
      </c>
      <c r="L352" t="str">
        <f t="shared" si="20"/>
        <v>F1B117005</v>
      </c>
      <c r="M352" t="str">
        <f t="shared" si="21"/>
        <v>AKBAR MAJID</v>
      </c>
      <c r="O352" t="str">
        <f t="shared" si="22"/>
        <v/>
      </c>
      <c r="P352" t="str">
        <f t="shared" si="23"/>
        <v/>
      </c>
    </row>
    <row r="353" spans="1:16">
      <c r="A353" t="s">
        <v>478</v>
      </c>
      <c r="B353" t="s">
        <v>479</v>
      </c>
      <c r="C353" t="s">
        <v>558</v>
      </c>
      <c r="D353" t="s">
        <v>559</v>
      </c>
      <c r="E353">
        <v>20171</v>
      </c>
      <c r="F353" t="s">
        <v>467</v>
      </c>
      <c r="G353" t="s">
        <v>23</v>
      </c>
      <c r="H353">
        <v>2.5</v>
      </c>
      <c r="I353">
        <v>0</v>
      </c>
      <c r="J353">
        <v>20201</v>
      </c>
      <c r="K353">
        <f>COUNTIF('rEKAP kls MK'!$A$2:$A$35,Worksheet!C353)</f>
        <v>0</v>
      </c>
      <c r="L353" t="str">
        <f t="shared" si="20"/>
        <v>F1B117006</v>
      </c>
      <c r="M353" t="str">
        <f t="shared" si="21"/>
        <v>ANDI MUHAMAD HANIF</v>
      </c>
      <c r="O353" t="str">
        <f t="shared" si="22"/>
        <v/>
      </c>
      <c r="P353" t="str">
        <f t="shared" si="23"/>
        <v/>
      </c>
    </row>
    <row r="354" spans="1:16">
      <c r="A354" t="s">
        <v>480</v>
      </c>
      <c r="B354" t="s">
        <v>481</v>
      </c>
      <c r="C354" t="s">
        <v>558</v>
      </c>
      <c r="D354" t="s">
        <v>559</v>
      </c>
      <c r="E354">
        <v>20171</v>
      </c>
      <c r="F354" t="s">
        <v>467</v>
      </c>
      <c r="G354" t="s">
        <v>51</v>
      </c>
      <c r="H354">
        <v>3.5</v>
      </c>
      <c r="I354">
        <v>0</v>
      </c>
      <c r="J354">
        <v>20201</v>
      </c>
      <c r="K354">
        <f>COUNTIF('rEKAP kls MK'!$A$2:$A$35,Worksheet!C354)</f>
        <v>0</v>
      </c>
      <c r="L354" t="str">
        <f t="shared" si="20"/>
        <v>F1B117007</v>
      </c>
      <c r="M354" t="str">
        <f t="shared" si="21"/>
        <v>ANDIKA RAHMAN</v>
      </c>
      <c r="O354" t="str">
        <f t="shared" si="22"/>
        <v/>
      </c>
      <c r="P354" t="str">
        <f t="shared" si="23"/>
        <v/>
      </c>
    </row>
    <row r="355" spans="1:16">
      <c r="A355" t="s">
        <v>482</v>
      </c>
      <c r="B355" t="s">
        <v>483</v>
      </c>
      <c r="C355" t="s">
        <v>558</v>
      </c>
      <c r="D355" t="s">
        <v>559</v>
      </c>
      <c r="E355">
        <v>20171</v>
      </c>
      <c r="F355" t="s">
        <v>467</v>
      </c>
      <c r="G355" t="s">
        <v>18</v>
      </c>
      <c r="H355">
        <v>3</v>
      </c>
      <c r="I355">
        <v>0</v>
      </c>
      <c r="J355">
        <v>20201</v>
      </c>
      <c r="K355">
        <f>COUNTIF('rEKAP kls MK'!$A$2:$A$35,Worksheet!C355)</f>
        <v>0</v>
      </c>
      <c r="L355" t="str">
        <f t="shared" si="20"/>
        <v>F1B117008</v>
      </c>
      <c r="M355" t="str">
        <f t="shared" si="21"/>
        <v>ANDRE PRATAMA</v>
      </c>
      <c r="O355" t="str">
        <f t="shared" si="22"/>
        <v/>
      </c>
      <c r="P355" t="str">
        <f t="shared" si="23"/>
        <v/>
      </c>
    </row>
    <row r="356" spans="1:16">
      <c r="A356" t="s">
        <v>484</v>
      </c>
      <c r="B356" t="s">
        <v>485</v>
      </c>
      <c r="C356" t="s">
        <v>558</v>
      </c>
      <c r="D356" t="s">
        <v>559</v>
      </c>
      <c r="E356">
        <v>20171</v>
      </c>
      <c r="F356" t="s">
        <v>467</v>
      </c>
      <c r="G356" t="s">
        <v>23</v>
      </c>
      <c r="H356">
        <v>2.5</v>
      </c>
      <c r="I356">
        <v>0</v>
      </c>
      <c r="J356">
        <v>20201</v>
      </c>
      <c r="K356">
        <f>COUNTIF('rEKAP kls MK'!$A$2:$A$35,Worksheet!C356)</f>
        <v>0</v>
      </c>
      <c r="L356" t="str">
        <f t="shared" si="20"/>
        <v>F1B117009</v>
      </c>
      <c r="M356" t="str">
        <f t="shared" si="21"/>
        <v>ANDREAN EKO RAMADHAN</v>
      </c>
      <c r="O356" t="str">
        <f t="shared" si="22"/>
        <v/>
      </c>
      <c r="P356" t="str">
        <f t="shared" si="23"/>
        <v/>
      </c>
    </row>
    <row r="357" spans="1:16">
      <c r="A357" t="s">
        <v>486</v>
      </c>
      <c r="B357" t="s">
        <v>487</v>
      </c>
      <c r="C357" t="s">
        <v>558</v>
      </c>
      <c r="D357" t="s">
        <v>559</v>
      </c>
      <c r="E357">
        <v>20171</v>
      </c>
      <c r="F357" t="s">
        <v>467</v>
      </c>
      <c r="G357" t="s">
        <v>18</v>
      </c>
      <c r="H357">
        <v>3</v>
      </c>
      <c r="I357">
        <v>0</v>
      </c>
      <c r="J357">
        <v>20201</v>
      </c>
      <c r="K357">
        <f>COUNTIF('rEKAP kls MK'!$A$2:$A$35,Worksheet!C357)</f>
        <v>0</v>
      </c>
      <c r="L357" t="str">
        <f t="shared" si="20"/>
        <v>F1B117010</v>
      </c>
      <c r="M357" t="str">
        <f t="shared" si="21"/>
        <v>ARGA SUTRI PRATAMA</v>
      </c>
      <c r="O357" t="str">
        <f t="shared" si="22"/>
        <v/>
      </c>
      <c r="P357" t="str">
        <f t="shared" si="23"/>
        <v/>
      </c>
    </row>
    <row r="358" spans="1:16">
      <c r="A358" t="s">
        <v>488</v>
      </c>
      <c r="B358" t="s">
        <v>489</v>
      </c>
      <c r="C358" t="s">
        <v>558</v>
      </c>
      <c r="D358" t="s">
        <v>559</v>
      </c>
      <c r="E358">
        <v>20171</v>
      </c>
      <c r="F358" t="s">
        <v>467</v>
      </c>
      <c r="G358" t="s">
        <v>26</v>
      </c>
      <c r="H358">
        <v>2</v>
      </c>
      <c r="I358">
        <v>0</v>
      </c>
      <c r="J358">
        <v>20201</v>
      </c>
      <c r="K358">
        <f>COUNTIF('rEKAP kls MK'!$A$2:$A$35,Worksheet!C358)</f>
        <v>0</v>
      </c>
      <c r="L358" t="str">
        <f t="shared" si="20"/>
        <v>F1B117011</v>
      </c>
      <c r="M358" t="str">
        <f t="shared" si="21"/>
        <v>BAYU ADE SURYA</v>
      </c>
      <c r="O358" t="str">
        <f t="shared" si="22"/>
        <v/>
      </c>
      <c r="P358" t="str">
        <f t="shared" si="23"/>
        <v/>
      </c>
    </row>
    <row r="359" spans="1:16">
      <c r="A359" t="s">
        <v>490</v>
      </c>
      <c r="B359" t="s">
        <v>491</v>
      </c>
      <c r="C359" t="s">
        <v>558</v>
      </c>
      <c r="D359" t="s">
        <v>559</v>
      </c>
      <c r="E359">
        <v>20171</v>
      </c>
      <c r="F359" t="s">
        <v>467</v>
      </c>
      <c r="G359" t="s">
        <v>18</v>
      </c>
      <c r="H359">
        <v>3</v>
      </c>
      <c r="I359">
        <v>0</v>
      </c>
      <c r="J359">
        <v>20201</v>
      </c>
      <c r="K359">
        <f>COUNTIF('rEKAP kls MK'!$A$2:$A$35,Worksheet!C359)</f>
        <v>0</v>
      </c>
      <c r="L359" t="str">
        <f t="shared" si="20"/>
        <v>F1B117012</v>
      </c>
      <c r="M359" t="str">
        <f t="shared" si="21"/>
        <v>ERLAN BAHTIAR</v>
      </c>
      <c r="O359" t="str">
        <f t="shared" si="22"/>
        <v/>
      </c>
      <c r="P359" t="str">
        <f t="shared" si="23"/>
        <v/>
      </c>
    </row>
    <row r="360" spans="1:16">
      <c r="A360" t="s">
        <v>492</v>
      </c>
      <c r="B360" t="s">
        <v>493</v>
      </c>
      <c r="C360" t="s">
        <v>558</v>
      </c>
      <c r="D360" t="s">
        <v>559</v>
      </c>
      <c r="E360">
        <v>20171</v>
      </c>
      <c r="F360" t="s">
        <v>467</v>
      </c>
      <c r="G360" t="s">
        <v>23</v>
      </c>
      <c r="H360">
        <v>2.5</v>
      </c>
      <c r="I360">
        <v>0</v>
      </c>
      <c r="J360">
        <v>20201</v>
      </c>
      <c r="K360">
        <f>COUNTIF('rEKAP kls MK'!$A$2:$A$35,Worksheet!C360)</f>
        <v>0</v>
      </c>
      <c r="L360" t="str">
        <f t="shared" si="20"/>
        <v>F1B117013</v>
      </c>
      <c r="M360" t="str">
        <f t="shared" si="21"/>
        <v>FADHLI EKO PRASETYO</v>
      </c>
      <c r="O360" t="str">
        <f t="shared" si="22"/>
        <v/>
      </c>
      <c r="P360" t="str">
        <f t="shared" si="23"/>
        <v/>
      </c>
    </row>
    <row r="361" spans="1:16">
      <c r="A361" t="s">
        <v>494</v>
      </c>
      <c r="B361" t="s">
        <v>495</v>
      </c>
      <c r="C361" t="s">
        <v>558</v>
      </c>
      <c r="D361" t="s">
        <v>559</v>
      </c>
      <c r="E361">
        <v>20171</v>
      </c>
      <c r="F361" t="s">
        <v>467</v>
      </c>
      <c r="G361" t="s">
        <v>18</v>
      </c>
      <c r="H361">
        <v>3</v>
      </c>
      <c r="I361">
        <v>0</v>
      </c>
      <c r="J361">
        <v>20201</v>
      </c>
      <c r="K361">
        <f>COUNTIF('rEKAP kls MK'!$A$2:$A$35,Worksheet!C361)</f>
        <v>0</v>
      </c>
      <c r="L361" t="str">
        <f t="shared" si="20"/>
        <v>F1B117014</v>
      </c>
      <c r="M361" t="str">
        <f t="shared" si="21"/>
        <v>FANNY WINDARY BATANIA</v>
      </c>
      <c r="O361" t="str">
        <f t="shared" si="22"/>
        <v/>
      </c>
      <c r="P361" t="str">
        <f t="shared" si="23"/>
        <v/>
      </c>
    </row>
    <row r="362" spans="1:16">
      <c r="A362" t="s">
        <v>496</v>
      </c>
      <c r="B362" t="s">
        <v>497</v>
      </c>
      <c r="C362" t="s">
        <v>558</v>
      </c>
      <c r="D362" t="s">
        <v>559</v>
      </c>
      <c r="E362">
        <v>20171</v>
      </c>
      <c r="F362" t="s">
        <v>467</v>
      </c>
      <c r="G362" t="s">
        <v>23</v>
      </c>
      <c r="H362">
        <v>2.5</v>
      </c>
      <c r="I362">
        <v>0</v>
      </c>
      <c r="J362">
        <v>20201</v>
      </c>
      <c r="K362">
        <f>COUNTIF('rEKAP kls MK'!$A$2:$A$35,Worksheet!C362)</f>
        <v>0</v>
      </c>
      <c r="L362" t="str">
        <f t="shared" si="20"/>
        <v>F1B117015</v>
      </c>
      <c r="M362" t="str">
        <f t="shared" si="21"/>
        <v>GALI GALUH SAKTI</v>
      </c>
      <c r="O362" t="str">
        <f t="shared" si="22"/>
        <v/>
      </c>
      <c r="P362" t="str">
        <f t="shared" si="23"/>
        <v/>
      </c>
    </row>
    <row r="363" spans="1:16">
      <c r="A363" t="s">
        <v>498</v>
      </c>
      <c r="B363" t="s">
        <v>499</v>
      </c>
      <c r="C363" t="s">
        <v>558</v>
      </c>
      <c r="D363" t="s">
        <v>559</v>
      </c>
      <c r="E363">
        <v>20171</v>
      </c>
      <c r="F363" t="s">
        <v>467</v>
      </c>
      <c r="G363" t="s">
        <v>18</v>
      </c>
      <c r="H363">
        <v>3</v>
      </c>
      <c r="I363">
        <v>0</v>
      </c>
      <c r="J363">
        <v>20201</v>
      </c>
      <c r="K363">
        <f>COUNTIF('rEKAP kls MK'!$A$2:$A$35,Worksheet!C363)</f>
        <v>0</v>
      </c>
      <c r="L363" t="str">
        <f t="shared" si="20"/>
        <v>F1B117016</v>
      </c>
      <c r="M363" t="str">
        <f t="shared" si="21"/>
        <v>GAUSS NUR SALAM</v>
      </c>
      <c r="O363" t="str">
        <f t="shared" si="22"/>
        <v/>
      </c>
      <c r="P363" t="str">
        <f t="shared" si="23"/>
        <v/>
      </c>
    </row>
    <row r="364" spans="1:16">
      <c r="A364" t="s">
        <v>500</v>
      </c>
      <c r="B364" t="s">
        <v>501</v>
      </c>
      <c r="C364" t="s">
        <v>558</v>
      </c>
      <c r="D364" t="s">
        <v>559</v>
      </c>
      <c r="E364">
        <v>20171</v>
      </c>
      <c r="F364" t="s">
        <v>467</v>
      </c>
      <c r="G364" t="s">
        <v>51</v>
      </c>
      <c r="H364">
        <v>3.5</v>
      </c>
      <c r="I364">
        <v>0</v>
      </c>
      <c r="J364">
        <v>20201</v>
      </c>
      <c r="K364">
        <f>COUNTIF('rEKAP kls MK'!$A$2:$A$35,Worksheet!C364)</f>
        <v>0</v>
      </c>
      <c r="L364" t="str">
        <f t="shared" si="20"/>
        <v>F1B117017</v>
      </c>
      <c r="M364" t="str">
        <f t="shared" si="21"/>
        <v>HELMY AMALIA ARIESTA</v>
      </c>
      <c r="O364" t="str">
        <f t="shared" si="22"/>
        <v/>
      </c>
      <c r="P364" t="str">
        <f t="shared" si="23"/>
        <v/>
      </c>
    </row>
    <row r="365" spans="1:16">
      <c r="A365" t="s">
        <v>502</v>
      </c>
      <c r="B365" t="s">
        <v>503</v>
      </c>
      <c r="C365" t="s">
        <v>558</v>
      </c>
      <c r="D365" t="s">
        <v>559</v>
      </c>
      <c r="E365">
        <v>20171</v>
      </c>
      <c r="F365" t="s">
        <v>467</v>
      </c>
      <c r="G365" t="s">
        <v>23</v>
      </c>
      <c r="H365">
        <v>2.5</v>
      </c>
      <c r="I365">
        <v>0</v>
      </c>
      <c r="J365">
        <v>20201</v>
      </c>
      <c r="K365">
        <f>COUNTIF('rEKAP kls MK'!$A$2:$A$35,Worksheet!C365)</f>
        <v>0</v>
      </c>
      <c r="L365" t="str">
        <f t="shared" si="20"/>
        <v>F1B117018</v>
      </c>
      <c r="M365" t="str">
        <f t="shared" si="21"/>
        <v>ILHAM MUHAMMAD</v>
      </c>
      <c r="O365" t="str">
        <f t="shared" si="22"/>
        <v/>
      </c>
      <c r="P365" t="str">
        <f t="shared" si="23"/>
        <v/>
      </c>
    </row>
    <row r="366" spans="1:16">
      <c r="A366" t="s">
        <v>504</v>
      </c>
      <c r="B366" t="s">
        <v>505</v>
      </c>
      <c r="C366" t="s">
        <v>558</v>
      </c>
      <c r="D366" t="s">
        <v>559</v>
      </c>
      <c r="E366">
        <v>20171</v>
      </c>
      <c r="F366" t="s">
        <v>467</v>
      </c>
      <c r="G366" t="s">
        <v>18</v>
      </c>
      <c r="H366">
        <v>3</v>
      </c>
      <c r="I366">
        <v>0</v>
      </c>
      <c r="J366">
        <v>20201</v>
      </c>
      <c r="K366">
        <f>COUNTIF('rEKAP kls MK'!$A$2:$A$35,Worksheet!C366)</f>
        <v>0</v>
      </c>
      <c r="L366" t="str">
        <f t="shared" si="20"/>
        <v>F1B117019</v>
      </c>
      <c r="M366" t="str">
        <f t="shared" si="21"/>
        <v>KHAIRUL MUAMALAH</v>
      </c>
      <c r="O366" t="str">
        <f t="shared" si="22"/>
        <v/>
      </c>
      <c r="P366" t="str">
        <f t="shared" si="23"/>
        <v/>
      </c>
    </row>
    <row r="367" spans="1:16">
      <c r="A367" t="s">
        <v>506</v>
      </c>
      <c r="B367" t="s">
        <v>507</v>
      </c>
      <c r="C367" t="s">
        <v>558</v>
      </c>
      <c r="D367" t="s">
        <v>559</v>
      </c>
      <c r="E367">
        <v>20171</v>
      </c>
      <c r="F367" t="s">
        <v>467</v>
      </c>
      <c r="G367" t="s">
        <v>51</v>
      </c>
      <c r="H367">
        <v>3.5</v>
      </c>
      <c r="I367">
        <v>0</v>
      </c>
      <c r="J367">
        <v>20201</v>
      </c>
      <c r="K367">
        <f>COUNTIF('rEKAP kls MK'!$A$2:$A$35,Worksheet!C367)</f>
        <v>0</v>
      </c>
      <c r="L367" t="str">
        <f t="shared" si="20"/>
        <v>F1B117020</v>
      </c>
      <c r="M367" t="str">
        <f t="shared" si="21"/>
        <v>LENKA AURELIE YUDHISTIRA</v>
      </c>
      <c r="O367" t="str">
        <f t="shared" si="22"/>
        <v/>
      </c>
      <c r="P367" t="str">
        <f t="shared" si="23"/>
        <v/>
      </c>
    </row>
    <row r="368" spans="1:16">
      <c r="A368" t="s">
        <v>508</v>
      </c>
      <c r="B368" t="s">
        <v>509</v>
      </c>
      <c r="C368" t="s">
        <v>558</v>
      </c>
      <c r="D368" t="s">
        <v>559</v>
      </c>
      <c r="E368">
        <v>20171</v>
      </c>
      <c r="F368" t="s">
        <v>467</v>
      </c>
      <c r="G368" t="s">
        <v>18</v>
      </c>
      <c r="H368">
        <v>3</v>
      </c>
      <c r="I368">
        <v>0</v>
      </c>
      <c r="J368">
        <v>20201</v>
      </c>
      <c r="K368">
        <f>COUNTIF('rEKAP kls MK'!$A$2:$A$35,Worksheet!C368)</f>
        <v>0</v>
      </c>
      <c r="L368" t="str">
        <f t="shared" si="20"/>
        <v>F1B117021</v>
      </c>
      <c r="M368" t="str">
        <f t="shared" si="21"/>
        <v>M. AL ZAIDIN</v>
      </c>
      <c r="O368" t="str">
        <f t="shared" si="22"/>
        <v/>
      </c>
      <c r="P368" t="str">
        <f t="shared" si="23"/>
        <v/>
      </c>
    </row>
    <row r="369" spans="1:16">
      <c r="A369" t="s">
        <v>510</v>
      </c>
      <c r="B369" t="s">
        <v>511</v>
      </c>
      <c r="C369" t="s">
        <v>558</v>
      </c>
      <c r="D369" t="s">
        <v>559</v>
      </c>
      <c r="E369">
        <v>20171</v>
      </c>
      <c r="F369" t="s">
        <v>467</v>
      </c>
      <c r="G369" t="s">
        <v>18</v>
      </c>
      <c r="H369">
        <v>3</v>
      </c>
      <c r="I369">
        <v>0</v>
      </c>
      <c r="J369">
        <v>20201</v>
      </c>
      <c r="K369">
        <f>COUNTIF('rEKAP kls MK'!$A$2:$A$35,Worksheet!C369)</f>
        <v>0</v>
      </c>
      <c r="L369" t="str">
        <f t="shared" si="20"/>
        <v>F1B117022</v>
      </c>
      <c r="M369" t="str">
        <f t="shared" si="21"/>
        <v>M. FAUZUL AKBAR</v>
      </c>
      <c r="O369" t="str">
        <f t="shared" si="22"/>
        <v/>
      </c>
      <c r="P369" t="str">
        <f t="shared" si="23"/>
        <v/>
      </c>
    </row>
    <row r="370" spans="1:16">
      <c r="A370" t="s">
        <v>512</v>
      </c>
      <c r="B370" t="s">
        <v>513</v>
      </c>
      <c r="C370" t="s">
        <v>558</v>
      </c>
      <c r="D370" t="s">
        <v>559</v>
      </c>
      <c r="E370">
        <v>20171</v>
      </c>
      <c r="F370" t="s">
        <v>467</v>
      </c>
      <c r="G370" t="s">
        <v>82</v>
      </c>
      <c r="H370">
        <v>4</v>
      </c>
      <c r="I370">
        <v>0</v>
      </c>
      <c r="J370">
        <v>20201</v>
      </c>
      <c r="K370">
        <f>COUNTIF('rEKAP kls MK'!$A$2:$A$35,Worksheet!C370)</f>
        <v>0</v>
      </c>
      <c r="L370" t="str">
        <f t="shared" si="20"/>
        <v>F1B117023</v>
      </c>
      <c r="M370" t="str">
        <f t="shared" si="21"/>
        <v>M.FAISAL</v>
      </c>
      <c r="O370" t="str">
        <f t="shared" si="22"/>
        <v/>
      </c>
      <c r="P370" t="str">
        <f t="shared" si="23"/>
        <v/>
      </c>
    </row>
    <row r="371" spans="1:16">
      <c r="A371" t="s">
        <v>514</v>
      </c>
      <c r="B371" t="s">
        <v>515</v>
      </c>
      <c r="C371" t="s">
        <v>558</v>
      </c>
      <c r="D371" t="s">
        <v>559</v>
      </c>
      <c r="E371">
        <v>20171</v>
      </c>
      <c r="F371" t="s">
        <v>467</v>
      </c>
      <c r="G371" t="s">
        <v>18</v>
      </c>
      <c r="H371">
        <v>3</v>
      </c>
      <c r="I371">
        <v>0</v>
      </c>
      <c r="J371">
        <v>20201</v>
      </c>
      <c r="K371">
        <f>COUNTIF('rEKAP kls MK'!$A$2:$A$35,Worksheet!C371)</f>
        <v>0</v>
      </c>
      <c r="L371" t="str">
        <f t="shared" si="20"/>
        <v>F1B117024</v>
      </c>
      <c r="M371" t="str">
        <f t="shared" si="21"/>
        <v>MUH. RISKI RAMADHAN</v>
      </c>
      <c r="O371" t="str">
        <f t="shared" si="22"/>
        <v/>
      </c>
      <c r="P371" t="str">
        <f t="shared" si="23"/>
        <v/>
      </c>
    </row>
    <row r="372" spans="1:16">
      <c r="A372" t="s">
        <v>516</v>
      </c>
      <c r="B372" t="s">
        <v>517</v>
      </c>
      <c r="C372" t="s">
        <v>558</v>
      </c>
      <c r="D372" t="s">
        <v>559</v>
      </c>
      <c r="E372">
        <v>20171</v>
      </c>
      <c r="F372" t="s">
        <v>467</v>
      </c>
      <c r="G372" t="s">
        <v>18</v>
      </c>
      <c r="H372">
        <v>3</v>
      </c>
      <c r="I372">
        <v>0</v>
      </c>
      <c r="J372">
        <v>20201</v>
      </c>
      <c r="K372">
        <f>COUNTIF('rEKAP kls MK'!$A$2:$A$35,Worksheet!C372)</f>
        <v>0</v>
      </c>
      <c r="L372" t="str">
        <f t="shared" si="20"/>
        <v>F1B117025</v>
      </c>
      <c r="M372" t="str">
        <f t="shared" si="21"/>
        <v>MUH. SALDA WINTARA</v>
      </c>
      <c r="O372" t="str">
        <f t="shared" si="22"/>
        <v/>
      </c>
      <c r="P372" t="str">
        <f t="shared" si="23"/>
        <v/>
      </c>
    </row>
    <row r="373" spans="1:16">
      <c r="A373" t="s">
        <v>518</v>
      </c>
      <c r="B373" t="s">
        <v>519</v>
      </c>
      <c r="C373" t="s">
        <v>558</v>
      </c>
      <c r="D373" t="s">
        <v>559</v>
      </c>
      <c r="E373">
        <v>20171</v>
      </c>
      <c r="F373" t="s">
        <v>467</v>
      </c>
      <c r="G373" t="s">
        <v>51</v>
      </c>
      <c r="H373">
        <v>3.5</v>
      </c>
      <c r="I373">
        <v>0</v>
      </c>
      <c r="J373">
        <v>20201</v>
      </c>
      <c r="K373">
        <f>COUNTIF('rEKAP kls MK'!$A$2:$A$35,Worksheet!C373)</f>
        <v>0</v>
      </c>
      <c r="L373" t="str">
        <f t="shared" si="20"/>
        <v>F1B117026</v>
      </c>
      <c r="M373" t="str">
        <f t="shared" si="21"/>
        <v>MUHAMMAD KHAIRUL HADI SYURAHMAN</v>
      </c>
      <c r="O373" t="str">
        <f t="shared" si="22"/>
        <v/>
      </c>
      <c r="P373" t="str">
        <f t="shared" si="23"/>
        <v/>
      </c>
    </row>
    <row r="374" spans="1:16">
      <c r="A374" t="s">
        <v>520</v>
      </c>
      <c r="B374" t="s">
        <v>521</v>
      </c>
      <c r="C374" t="s">
        <v>558</v>
      </c>
      <c r="D374" t="s">
        <v>559</v>
      </c>
      <c r="E374">
        <v>20171</v>
      </c>
      <c r="F374" t="s">
        <v>467</v>
      </c>
      <c r="G374" t="s">
        <v>82</v>
      </c>
      <c r="H374">
        <v>4</v>
      </c>
      <c r="I374">
        <v>0</v>
      </c>
      <c r="J374">
        <v>20201</v>
      </c>
      <c r="K374">
        <f>COUNTIF('rEKAP kls MK'!$A$2:$A$35,Worksheet!C374)</f>
        <v>0</v>
      </c>
      <c r="L374" t="str">
        <f t="shared" si="20"/>
        <v>F1B117027</v>
      </c>
      <c r="M374" t="str">
        <f t="shared" si="21"/>
        <v>MUHAMMAD MUKALLIBIN</v>
      </c>
      <c r="O374" t="str">
        <f t="shared" si="22"/>
        <v/>
      </c>
      <c r="P374" t="str">
        <f t="shared" si="23"/>
        <v/>
      </c>
    </row>
    <row r="375" spans="1:16">
      <c r="A375" t="s">
        <v>522</v>
      </c>
      <c r="B375" t="s">
        <v>523</v>
      </c>
      <c r="C375" t="s">
        <v>558</v>
      </c>
      <c r="D375" t="s">
        <v>559</v>
      </c>
      <c r="E375">
        <v>20171</v>
      </c>
      <c r="F375" t="s">
        <v>467</v>
      </c>
      <c r="G375" t="s">
        <v>18</v>
      </c>
      <c r="H375">
        <v>3</v>
      </c>
      <c r="I375">
        <v>0</v>
      </c>
      <c r="J375">
        <v>20201</v>
      </c>
      <c r="K375">
        <f>COUNTIF('rEKAP kls MK'!$A$2:$A$35,Worksheet!C375)</f>
        <v>0</v>
      </c>
      <c r="L375" t="str">
        <f t="shared" si="20"/>
        <v>F1B117028</v>
      </c>
      <c r="M375" t="str">
        <f t="shared" si="21"/>
        <v>MUHAMMAD NABIL</v>
      </c>
      <c r="O375" t="str">
        <f t="shared" si="22"/>
        <v/>
      </c>
      <c r="P375" t="str">
        <f t="shared" si="23"/>
        <v/>
      </c>
    </row>
    <row r="376" spans="1:16">
      <c r="A376" t="s">
        <v>524</v>
      </c>
      <c r="B376" t="s">
        <v>525</v>
      </c>
      <c r="C376" t="s">
        <v>558</v>
      </c>
      <c r="D376" t="s">
        <v>559</v>
      </c>
      <c r="E376">
        <v>20171</v>
      </c>
      <c r="F376" t="s">
        <v>467</v>
      </c>
      <c r="G376" t="s">
        <v>82</v>
      </c>
      <c r="H376">
        <v>4</v>
      </c>
      <c r="I376">
        <v>0</v>
      </c>
      <c r="J376">
        <v>20201</v>
      </c>
      <c r="K376">
        <f>COUNTIF('rEKAP kls MK'!$A$2:$A$35,Worksheet!C376)</f>
        <v>0</v>
      </c>
      <c r="L376" t="str">
        <f t="shared" si="20"/>
        <v>F1B117029</v>
      </c>
      <c r="M376" t="str">
        <f t="shared" si="21"/>
        <v>MUHAMMAD THORIQ DWI SETYAWAN</v>
      </c>
      <c r="O376" t="str">
        <f t="shared" si="22"/>
        <v/>
      </c>
      <c r="P376" t="str">
        <f t="shared" si="23"/>
        <v/>
      </c>
    </row>
    <row r="377" spans="1:16">
      <c r="A377" t="s">
        <v>526</v>
      </c>
      <c r="B377" t="s">
        <v>527</v>
      </c>
      <c r="C377" t="s">
        <v>558</v>
      </c>
      <c r="D377" t="s">
        <v>559</v>
      </c>
      <c r="E377">
        <v>20171</v>
      </c>
      <c r="F377" t="s">
        <v>467</v>
      </c>
      <c r="G377" t="s">
        <v>51</v>
      </c>
      <c r="H377">
        <v>3.5</v>
      </c>
      <c r="I377">
        <v>0</v>
      </c>
      <c r="J377">
        <v>20201</v>
      </c>
      <c r="K377">
        <f>COUNTIF('rEKAP kls MK'!$A$2:$A$35,Worksheet!C377)</f>
        <v>0</v>
      </c>
      <c r="L377" t="str">
        <f t="shared" si="20"/>
        <v>F1B117030</v>
      </c>
      <c r="M377" t="str">
        <f t="shared" si="21"/>
        <v>NURAFRINA</v>
      </c>
      <c r="O377" t="str">
        <f t="shared" si="22"/>
        <v/>
      </c>
      <c r="P377" t="str">
        <f t="shared" si="23"/>
        <v/>
      </c>
    </row>
    <row r="378" spans="1:16">
      <c r="A378" t="s">
        <v>528</v>
      </c>
      <c r="B378" t="s">
        <v>529</v>
      </c>
      <c r="C378" t="s">
        <v>558</v>
      </c>
      <c r="D378" t="s">
        <v>559</v>
      </c>
      <c r="E378">
        <v>20171</v>
      </c>
      <c r="F378" t="s">
        <v>467</v>
      </c>
      <c r="G378" t="s">
        <v>51</v>
      </c>
      <c r="H378">
        <v>3.5</v>
      </c>
      <c r="I378">
        <v>0</v>
      </c>
      <c r="J378">
        <v>20201</v>
      </c>
      <c r="K378">
        <f>COUNTIF('rEKAP kls MK'!$A$2:$A$35,Worksheet!C378)</f>
        <v>0</v>
      </c>
      <c r="L378" t="str">
        <f t="shared" si="20"/>
        <v>F1B117031</v>
      </c>
      <c r="M378" t="str">
        <f t="shared" si="21"/>
        <v>RAHMAT ADITYA PRADANA</v>
      </c>
      <c r="O378" t="str">
        <f t="shared" si="22"/>
        <v/>
      </c>
      <c r="P378" t="str">
        <f t="shared" si="23"/>
        <v/>
      </c>
    </row>
    <row r="379" spans="1:16">
      <c r="A379" t="s">
        <v>530</v>
      </c>
      <c r="B379" t="s">
        <v>531</v>
      </c>
      <c r="C379" t="s">
        <v>558</v>
      </c>
      <c r="D379" t="s">
        <v>559</v>
      </c>
      <c r="E379">
        <v>20171</v>
      </c>
      <c r="F379" t="s">
        <v>467</v>
      </c>
      <c r="G379" t="s">
        <v>51</v>
      </c>
      <c r="H379">
        <v>3.5</v>
      </c>
      <c r="I379">
        <v>0</v>
      </c>
      <c r="J379">
        <v>20201</v>
      </c>
      <c r="K379">
        <f>COUNTIF('rEKAP kls MK'!$A$2:$A$35,Worksheet!C379)</f>
        <v>0</v>
      </c>
      <c r="L379" t="str">
        <f t="shared" si="20"/>
        <v>F1B117032</v>
      </c>
      <c r="M379" t="str">
        <f t="shared" si="21"/>
        <v>RAMZY TAUFIQ HANIF</v>
      </c>
      <c r="O379" t="str">
        <f t="shared" si="22"/>
        <v/>
      </c>
      <c r="P379" t="str">
        <f t="shared" si="23"/>
        <v/>
      </c>
    </row>
    <row r="380" spans="1:16">
      <c r="A380" t="s">
        <v>532</v>
      </c>
      <c r="B380" t="s">
        <v>533</v>
      </c>
      <c r="C380" t="s">
        <v>558</v>
      </c>
      <c r="D380" t="s">
        <v>559</v>
      </c>
      <c r="E380">
        <v>20171</v>
      </c>
      <c r="F380" t="s">
        <v>467</v>
      </c>
      <c r="G380" t="s">
        <v>51</v>
      </c>
      <c r="H380">
        <v>3.5</v>
      </c>
      <c r="I380">
        <v>0</v>
      </c>
      <c r="J380">
        <v>20201</v>
      </c>
      <c r="K380">
        <f>COUNTIF('rEKAP kls MK'!$A$2:$A$35,Worksheet!C380)</f>
        <v>0</v>
      </c>
      <c r="L380" t="str">
        <f t="shared" si="20"/>
        <v>F1B117033</v>
      </c>
      <c r="M380" t="str">
        <f t="shared" si="21"/>
        <v>RIAN HENDRAWAN</v>
      </c>
      <c r="O380" t="str">
        <f t="shared" si="22"/>
        <v/>
      </c>
      <c r="P380" t="str">
        <f t="shared" si="23"/>
        <v/>
      </c>
    </row>
    <row r="381" spans="1:16">
      <c r="A381" t="s">
        <v>534</v>
      </c>
      <c r="B381" t="s">
        <v>535</v>
      </c>
      <c r="C381" t="s">
        <v>558</v>
      </c>
      <c r="D381" t="s">
        <v>559</v>
      </c>
      <c r="E381">
        <v>20171</v>
      </c>
      <c r="F381" t="s">
        <v>467</v>
      </c>
      <c r="G381" t="s">
        <v>51</v>
      </c>
      <c r="H381">
        <v>3.5</v>
      </c>
      <c r="I381">
        <v>0</v>
      </c>
      <c r="J381">
        <v>20201</v>
      </c>
      <c r="K381">
        <f>COUNTIF('rEKAP kls MK'!$A$2:$A$35,Worksheet!C381)</f>
        <v>0</v>
      </c>
      <c r="L381" t="str">
        <f t="shared" si="20"/>
        <v>F1B117034</v>
      </c>
      <c r="M381" t="str">
        <f t="shared" si="21"/>
        <v>RISKI KHARISMA PUTRA</v>
      </c>
      <c r="O381" t="str">
        <f t="shared" si="22"/>
        <v/>
      </c>
      <c r="P381" t="str">
        <f t="shared" si="23"/>
        <v/>
      </c>
    </row>
    <row r="382" spans="1:16">
      <c r="A382" t="s">
        <v>536</v>
      </c>
      <c r="B382" t="s">
        <v>537</v>
      </c>
      <c r="C382" t="s">
        <v>558</v>
      </c>
      <c r="D382" t="s">
        <v>559</v>
      </c>
      <c r="E382">
        <v>20171</v>
      </c>
      <c r="F382" t="s">
        <v>467</v>
      </c>
      <c r="G382" t="s">
        <v>51</v>
      </c>
      <c r="H382">
        <v>3.5</v>
      </c>
      <c r="I382">
        <v>0</v>
      </c>
      <c r="J382">
        <v>20201</v>
      </c>
      <c r="K382">
        <f>COUNTIF('rEKAP kls MK'!$A$2:$A$35,Worksheet!C382)</f>
        <v>0</v>
      </c>
      <c r="L382" t="str">
        <f t="shared" si="20"/>
        <v>F1B117035</v>
      </c>
      <c r="M382" t="str">
        <f t="shared" si="21"/>
        <v>RIZALUL HAQ</v>
      </c>
      <c r="O382" t="str">
        <f t="shared" si="22"/>
        <v/>
      </c>
      <c r="P382" t="str">
        <f t="shared" si="23"/>
        <v/>
      </c>
    </row>
    <row r="383" spans="1:16">
      <c r="A383" t="s">
        <v>538</v>
      </c>
      <c r="B383" t="s">
        <v>539</v>
      </c>
      <c r="C383" t="s">
        <v>558</v>
      </c>
      <c r="D383" t="s">
        <v>559</v>
      </c>
      <c r="E383">
        <v>20171</v>
      </c>
      <c r="F383" t="s">
        <v>467</v>
      </c>
      <c r="G383" t="s">
        <v>51</v>
      </c>
      <c r="H383">
        <v>3.5</v>
      </c>
      <c r="I383">
        <v>0</v>
      </c>
      <c r="J383">
        <v>20201</v>
      </c>
      <c r="K383">
        <f>COUNTIF('rEKAP kls MK'!$A$2:$A$35,Worksheet!C383)</f>
        <v>0</v>
      </c>
      <c r="L383" t="str">
        <f t="shared" si="20"/>
        <v>F1B117036</v>
      </c>
      <c r="M383" t="str">
        <f t="shared" si="21"/>
        <v>RIZKA MARDANI</v>
      </c>
      <c r="O383" t="str">
        <f t="shared" si="22"/>
        <v/>
      </c>
      <c r="P383" t="str">
        <f t="shared" si="23"/>
        <v/>
      </c>
    </row>
    <row r="384" spans="1:16">
      <c r="A384" t="s">
        <v>540</v>
      </c>
      <c r="B384" t="s">
        <v>541</v>
      </c>
      <c r="C384" t="s">
        <v>558</v>
      </c>
      <c r="D384" t="s">
        <v>559</v>
      </c>
      <c r="E384">
        <v>20171</v>
      </c>
      <c r="F384" t="s">
        <v>467</v>
      </c>
      <c r="G384" t="s">
        <v>51</v>
      </c>
      <c r="H384">
        <v>3.5</v>
      </c>
      <c r="I384">
        <v>0</v>
      </c>
      <c r="J384">
        <v>20201</v>
      </c>
      <c r="K384">
        <f>COUNTIF('rEKAP kls MK'!$A$2:$A$35,Worksheet!C384)</f>
        <v>0</v>
      </c>
      <c r="L384" t="str">
        <f t="shared" si="20"/>
        <v>F1B117037</v>
      </c>
      <c r="M384" t="str">
        <f t="shared" si="21"/>
        <v>TEJAMAN MULKI</v>
      </c>
      <c r="O384" t="str">
        <f t="shared" si="22"/>
        <v/>
      </c>
      <c r="P384" t="str">
        <f t="shared" si="23"/>
        <v/>
      </c>
    </row>
    <row r="385" spans="1:16">
      <c r="A385" t="s">
        <v>542</v>
      </c>
      <c r="B385" t="s">
        <v>543</v>
      </c>
      <c r="C385" t="s">
        <v>558</v>
      </c>
      <c r="D385" t="s">
        <v>559</v>
      </c>
      <c r="E385">
        <v>20171</v>
      </c>
      <c r="F385" t="s">
        <v>467</v>
      </c>
      <c r="G385" t="s">
        <v>82</v>
      </c>
      <c r="H385">
        <v>4</v>
      </c>
      <c r="I385">
        <v>0</v>
      </c>
      <c r="J385">
        <v>20201</v>
      </c>
      <c r="K385">
        <f>COUNTIF('rEKAP kls MK'!$A$2:$A$35,Worksheet!C385)</f>
        <v>0</v>
      </c>
      <c r="L385" t="str">
        <f t="shared" si="20"/>
        <v>F1B117038</v>
      </c>
      <c r="M385" t="str">
        <f t="shared" si="21"/>
        <v>VENI ASTUTI</v>
      </c>
      <c r="O385" t="str">
        <f t="shared" si="22"/>
        <v/>
      </c>
      <c r="P385" t="str">
        <f t="shared" si="23"/>
        <v/>
      </c>
    </row>
    <row r="386" spans="1:16">
      <c r="A386" t="s">
        <v>544</v>
      </c>
      <c r="B386" t="s">
        <v>545</v>
      </c>
      <c r="C386" t="s">
        <v>558</v>
      </c>
      <c r="D386" t="s">
        <v>559</v>
      </c>
      <c r="E386">
        <v>20171</v>
      </c>
      <c r="F386" t="s">
        <v>467</v>
      </c>
      <c r="G386" t="s">
        <v>51</v>
      </c>
      <c r="H386">
        <v>3.5</v>
      </c>
      <c r="I386">
        <v>0</v>
      </c>
      <c r="J386">
        <v>20201</v>
      </c>
      <c r="K386">
        <f>COUNTIF('rEKAP kls MK'!$A$2:$A$35,Worksheet!C386)</f>
        <v>0</v>
      </c>
      <c r="L386" t="str">
        <f t="shared" si="20"/>
        <v>F1B117039</v>
      </c>
      <c r="M386" t="str">
        <f t="shared" si="21"/>
        <v>WAHYU SIOPANO</v>
      </c>
      <c r="O386" t="str">
        <f t="shared" si="22"/>
        <v/>
      </c>
      <c r="P386" t="str">
        <f t="shared" si="23"/>
        <v/>
      </c>
    </row>
    <row r="387" spans="1:16">
      <c r="A387" t="s">
        <v>546</v>
      </c>
      <c r="B387" t="s">
        <v>547</v>
      </c>
      <c r="C387" t="s">
        <v>558</v>
      </c>
      <c r="D387" t="s">
        <v>559</v>
      </c>
      <c r="E387">
        <v>20171</v>
      </c>
      <c r="F387" t="s">
        <v>467</v>
      </c>
      <c r="G387" t="s">
        <v>82</v>
      </c>
      <c r="H387">
        <v>4</v>
      </c>
      <c r="I387">
        <v>0</v>
      </c>
      <c r="J387">
        <v>20201</v>
      </c>
      <c r="K387">
        <f>COUNTIF('rEKAP kls MK'!$A$2:$A$35,Worksheet!C387)</f>
        <v>0</v>
      </c>
    </row>
    <row r="388" spans="1:16">
      <c r="A388" t="s">
        <v>548</v>
      </c>
      <c r="B388" t="s">
        <v>549</v>
      </c>
      <c r="C388" t="s">
        <v>558</v>
      </c>
      <c r="D388" t="s">
        <v>559</v>
      </c>
      <c r="E388">
        <v>20171</v>
      </c>
      <c r="F388" t="s">
        <v>467</v>
      </c>
      <c r="G388" t="s">
        <v>82</v>
      </c>
      <c r="H388">
        <v>4</v>
      </c>
      <c r="I388">
        <v>0</v>
      </c>
      <c r="J388">
        <v>20201</v>
      </c>
      <c r="K388">
        <f>COUNTIF('rEKAP kls MK'!$A$2:$A$35,Worksheet!C388)</f>
        <v>0</v>
      </c>
      <c r="L388" t="str">
        <f t="shared" ref="L388:L450" si="24">IF(A387&lt;&gt;A388,A388,"")</f>
        <v>F1B117041</v>
      </c>
      <c r="M388" t="str">
        <f t="shared" ref="M388:M450" si="25">IF(B387&lt;&gt;B388,B388,"")</f>
        <v>WILLY PRADIYANTO</v>
      </c>
      <c r="O388" t="str">
        <f t="shared" ref="O388:O450" si="26">IF(D387&lt;&gt;D388,D388,"")</f>
        <v/>
      </c>
      <c r="P388" t="str">
        <f t="shared" ref="P388:P450" si="27">IF(F387&lt;&gt;F388,F388,"")</f>
        <v/>
      </c>
    </row>
    <row r="389" spans="1:16">
      <c r="A389" t="s">
        <v>380</v>
      </c>
      <c r="B389" t="s">
        <v>381</v>
      </c>
      <c r="C389" t="s">
        <v>460</v>
      </c>
      <c r="D389" t="s">
        <v>461</v>
      </c>
      <c r="E389">
        <v>20171</v>
      </c>
      <c r="F389" t="s">
        <v>575</v>
      </c>
      <c r="G389" t="s">
        <v>101</v>
      </c>
      <c r="H389">
        <v>0</v>
      </c>
      <c r="I389">
        <v>0</v>
      </c>
      <c r="J389">
        <v>20201</v>
      </c>
      <c r="K389">
        <f>COUNTIF('rEKAP kls MK'!$A$2:$A$35,Worksheet!C389)</f>
        <v>0</v>
      </c>
      <c r="L389" t="str">
        <f t="shared" si="24"/>
        <v>F1B113006</v>
      </c>
      <c r="M389" t="str">
        <f t="shared" si="25"/>
        <v>ELAN CRIYANTO</v>
      </c>
      <c r="O389" t="str">
        <f t="shared" si="26"/>
        <v>GEJALA MEDAN TINGGI</v>
      </c>
      <c r="P389" t="str">
        <f t="shared" si="27"/>
        <v>P</v>
      </c>
    </row>
    <row r="390" spans="1:16">
      <c r="A390" t="s">
        <v>384</v>
      </c>
      <c r="B390" t="s">
        <v>385</v>
      </c>
      <c r="C390" t="s">
        <v>460</v>
      </c>
      <c r="D390" t="s">
        <v>461</v>
      </c>
      <c r="E390">
        <v>20171</v>
      </c>
      <c r="F390" t="s">
        <v>575</v>
      </c>
      <c r="G390" t="s">
        <v>101</v>
      </c>
      <c r="H390">
        <v>0</v>
      </c>
      <c r="I390">
        <v>0</v>
      </c>
      <c r="J390">
        <v>20201</v>
      </c>
      <c r="K390">
        <f>COUNTIF('rEKAP kls MK'!$A$2:$A$35,Worksheet!C390)</f>
        <v>0</v>
      </c>
      <c r="L390" t="str">
        <f t="shared" si="24"/>
        <v>F1B113024</v>
      </c>
      <c r="M390" t="str">
        <f t="shared" si="25"/>
        <v>MARATUS SOLEHA</v>
      </c>
      <c r="O390" t="str">
        <f t="shared" si="26"/>
        <v/>
      </c>
      <c r="P390" t="str">
        <f t="shared" si="27"/>
        <v/>
      </c>
    </row>
    <row r="391" spans="1:16">
      <c r="A391" t="s">
        <v>140</v>
      </c>
      <c r="B391" t="s">
        <v>141</v>
      </c>
      <c r="C391" t="s">
        <v>460</v>
      </c>
      <c r="D391" t="s">
        <v>461</v>
      </c>
      <c r="E391">
        <v>20171</v>
      </c>
      <c r="F391" t="s">
        <v>575</v>
      </c>
      <c r="G391" t="s">
        <v>82</v>
      </c>
      <c r="H391">
        <v>4</v>
      </c>
      <c r="I391">
        <v>0</v>
      </c>
      <c r="J391">
        <v>20201</v>
      </c>
      <c r="K391">
        <f>COUNTIF('rEKAP kls MK'!$A$2:$A$35,Worksheet!C391)</f>
        <v>0</v>
      </c>
      <c r="L391" t="str">
        <f t="shared" si="24"/>
        <v>F1B114003</v>
      </c>
      <c r="M391" t="str">
        <f t="shared" si="25"/>
        <v>AGUS SUPANDI</v>
      </c>
      <c r="O391" t="str">
        <f t="shared" si="26"/>
        <v/>
      </c>
      <c r="P391" t="str">
        <f t="shared" si="27"/>
        <v/>
      </c>
    </row>
    <row r="392" spans="1:16">
      <c r="A392" t="s">
        <v>132</v>
      </c>
      <c r="B392" t="s">
        <v>133</v>
      </c>
      <c r="C392" t="s">
        <v>431</v>
      </c>
      <c r="D392" t="s">
        <v>432</v>
      </c>
      <c r="E392">
        <v>20171</v>
      </c>
      <c r="F392" t="s">
        <v>575</v>
      </c>
      <c r="G392" t="s">
        <v>116</v>
      </c>
      <c r="H392">
        <v>1.5</v>
      </c>
      <c r="I392">
        <v>0</v>
      </c>
      <c r="J392">
        <v>20201</v>
      </c>
      <c r="K392">
        <f>COUNTIF('rEKAP kls MK'!$A$2:$A$35,Worksheet!C392)</f>
        <v>0</v>
      </c>
      <c r="L392" t="str">
        <f t="shared" si="24"/>
        <v>F1B113013</v>
      </c>
      <c r="M392" t="str">
        <f t="shared" si="25"/>
        <v>I NENGAH AGUS YOGI A</v>
      </c>
      <c r="O392" t="str">
        <f t="shared" si="26"/>
        <v>JARINGAN SYARAF TIRUAN</v>
      </c>
      <c r="P392" t="str">
        <f t="shared" si="27"/>
        <v/>
      </c>
    </row>
    <row r="393" spans="1:16">
      <c r="A393" t="s">
        <v>16</v>
      </c>
      <c r="B393" t="s">
        <v>17</v>
      </c>
      <c r="C393" t="s">
        <v>454</v>
      </c>
      <c r="D393" t="s">
        <v>455</v>
      </c>
      <c r="E393">
        <v>20171</v>
      </c>
      <c r="F393" t="s">
        <v>14</v>
      </c>
      <c r="G393" t="s">
        <v>51</v>
      </c>
      <c r="H393">
        <v>3.5</v>
      </c>
      <c r="I393">
        <v>0</v>
      </c>
      <c r="J393">
        <v>20201</v>
      </c>
      <c r="K393">
        <f>COUNTIF('rEKAP kls MK'!$A$2:$A$35,Worksheet!C393)</f>
        <v>1</v>
      </c>
      <c r="L393" t="str">
        <f t="shared" si="24"/>
        <v>F1B112042</v>
      </c>
      <c r="M393" t="str">
        <f t="shared" si="25"/>
        <v>Muhammad Satriawan A</v>
      </c>
      <c r="O393" t="str">
        <f t="shared" si="26"/>
        <v>KECERDASAN BUATAN DALAM STL</v>
      </c>
      <c r="P393" t="str">
        <f t="shared" si="27"/>
        <v>S</v>
      </c>
    </row>
    <row r="394" spans="1:16">
      <c r="A394" t="s">
        <v>45</v>
      </c>
      <c r="B394" t="s">
        <v>46</v>
      </c>
      <c r="C394" t="s">
        <v>454</v>
      </c>
      <c r="D394" t="s">
        <v>455</v>
      </c>
      <c r="E394">
        <v>20171</v>
      </c>
      <c r="F394" t="s">
        <v>14</v>
      </c>
      <c r="G394" t="s">
        <v>18</v>
      </c>
      <c r="H394">
        <v>3</v>
      </c>
      <c r="I394">
        <v>0</v>
      </c>
      <c r="J394">
        <v>20201</v>
      </c>
      <c r="K394">
        <f>COUNTIF('rEKAP kls MK'!$A$2:$A$35,Worksheet!C394)</f>
        <v>1</v>
      </c>
      <c r="L394" t="str">
        <f t="shared" si="24"/>
        <v>F1B114001</v>
      </c>
      <c r="M394" t="str">
        <f t="shared" si="25"/>
        <v>ADI PURNA</v>
      </c>
      <c r="O394" t="str">
        <f t="shared" si="26"/>
        <v/>
      </c>
      <c r="P394" t="str">
        <f t="shared" si="27"/>
        <v/>
      </c>
    </row>
    <row r="395" spans="1:16">
      <c r="A395" t="s">
        <v>140</v>
      </c>
      <c r="B395" t="s">
        <v>141</v>
      </c>
      <c r="C395" t="s">
        <v>454</v>
      </c>
      <c r="D395" t="s">
        <v>455</v>
      </c>
      <c r="E395">
        <v>20171</v>
      </c>
      <c r="F395" t="s">
        <v>14</v>
      </c>
      <c r="G395" t="s">
        <v>51</v>
      </c>
      <c r="H395">
        <v>3.5</v>
      </c>
      <c r="I395">
        <v>0</v>
      </c>
      <c r="J395">
        <v>20201</v>
      </c>
      <c r="K395">
        <f>COUNTIF('rEKAP kls MK'!$A$2:$A$35,Worksheet!C395)</f>
        <v>1</v>
      </c>
      <c r="L395" t="str">
        <f t="shared" si="24"/>
        <v>F1B114003</v>
      </c>
      <c r="M395" t="str">
        <f t="shared" si="25"/>
        <v>AGUS SUPANDI</v>
      </c>
      <c r="O395" t="str">
        <f t="shared" si="26"/>
        <v/>
      </c>
      <c r="P395" t="str">
        <f t="shared" si="27"/>
        <v/>
      </c>
    </row>
    <row r="396" spans="1:16">
      <c r="A396" t="s">
        <v>47</v>
      </c>
      <c r="B396" t="s">
        <v>48</v>
      </c>
      <c r="C396" t="s">
        <v>454</v>
      </c>
      <c r="D396" t="s">
        <v>455</v>
      </c>
      <c r="E396">
        <v>20171</v>
      </c>
      <c r="F396" t="s">
        <v>14</v>
      </c>
      <c r="G396" t="s">
        <v>101</v>
      </c>
      <c r="H396">
        <v>0</v>
      </c>
      <c r="I396">
        <v>0</v>
      </c>
      <c r="J396">
        <v>20201</v>
      </c>
      <c r="K396">
        <f>COUNTIF('rEKAP kls MK'!$A$2:$A$35,Worksheet!C396)</f>
        <v>1</v>
      </c>
      <c r="L396" t="str">
        <f t="shared" si="24"/>
        <v>F1B114004</v>
      </c>
      <c r="M396" t="str">
        <f t="shared" si="25"/>
        <v>AKHMAD AKHIR BULAN</v>
      </c>
      <c r="O396" t="str">
        <f t="shared" si="26"/>
        <v/>
      </c>
      <c r="P396" t="str">
        <f t="shared" si="27"/>
        <v/>
      </c>
    </row>
    <row r="397" spans="1:16">
      <c r="A397" t="s">
        <v>163</v>
      </c>
      <c r="B397" t="s">
        <v>164</v>
      </c>
      <c r="C397" t="s">
        <v>454</v>
      </c>
      <c r="D397" t="s">
        <v>455</v>
      </c>
      <c r="E397">
        <v>20171</v>
      </c>
      <c r="F397" t="s">
        <v>14</v>
      </c>
      <c r="G397" t="s">
        <v>51</v>
      </c>
      <c r="H397">
        <v>3.5</v>
      </c>
      <c r="I397">
        <v>0</v>
      </c>
      <c r="J397">
        <v>20201</v>
      </c>
      <c r="K397">
        <f>COUNTIF('rEKAP kls MK'!$A$2:$A$35,Worksheet!C397)</f>
        <v>1</v>
      </c>
      <c r="L397" t="str">
        <f t="shared" si="24"/>
        <v>F1B114016</v>
      </c>
      <c r="M397" t="str">
        <f t="shared" si="25"/>
        <v>HERLAN</v>
      </c>
      <c r="O397" t="str">
        <f t="shared" si="26"/>
        <v/>
      </c>
      <c r="P397" t="str">
        <f t="shared" si="27"/>
        <v/>
      </c>
    </row>
    <row r="398" spans="1:16">
      <c r="A398" t="s">
        <v>117</v>
      </c>
      <c r="B398" t="s">
        <v>118</v>
      </c>
      <c r="C398" t="s">
        <v>454</v>
      </c>
      <c r="D398" t="s">
        <v>455</v>
      </c>
      <c r="E398">
        <v>20171</v>
      </c>
      <c r="F398" t="s">
        <v>14</v>
      </c>
      <c r="G398" t="s">
        <v>51</v>
      </c>
      <c r="H398">
        <v>3.5</v>
      </c>
      <c r="I398">
        <v>0</v>
      </c>
      <c r="J398">
        <v>20201</v>
      </c>
      <c r="K398">
        <f>COUNTIF('rEKAP kls MK'!$A$2:$A$35,Worksheet!C398)</f>
        <v>1</v>
      </c>
      <c r="L398" t="str">
        <f t="shared" si="24"/>
        <v>F1B115002</v>
      </c>
      <c r="M398" t="str">
        <f t="shared" si="25"/>
        <v>AGUS SUPRIADI</v>
      </c>
      <c r="O398" t="str">
        <f t="shared" si="26"/>
        <v/>
      </c>
      <c r="P398" t="str">
        <f t="shared" si="27"/>
        <v/>
      </c>
    </row>
    <row r="399" spans="1:16">
      <c r="A399" t="s">
        <v>119</v>
      </c>
      <c r="B399" t="s">
        <v>120</v>
      </c>
      <c r="C399" t="s">
        <v>454</v>
      </c>
      <c r="D399" t="s">
        <v>455</v>
      </c>
      <c r="E399">
        <v>20171</v>
      </c>
      <c r="F399" t="s">
        <v>14</v>
      </c>
      <c r="G399" t="s">
        <v>82</v>
      </c>
      <c r="H399">
        <v>4</v>
      </c>
      <c r="I399">
        <v>0</v>
      </c>
      <c r="J399">
        <v>20201</v>
      </c>
      <c r="K399">
        <f>COUNTIF('rEKAP kls MK'!$A$2:$A$35,Worksheet!C399)</f>
        <v>1</v>
      </c>
      <c r="L399" t="str">
        <f t="shared" si="24"/>
        <v>F1B115008</v>
      </c>
      <c r="M399" t="str">
        <f t="shared" si="25"/>
        <v>ESI BIRAHMATIHI</v>
      </c>
      <c r="O399" t="str">
        <f t="shared" si="26"/>
        <v/>
      </c>
      <c r="P399" t="str">
        <f t="shared" si="27"/>
        <v/>
      </c>
    </row>
    <row r="400" spans="1:16">
      <c r="A400" t="s">
        <v>213</v>
      </c>
      <c r="B400" t="s">
        <v>214</v>
      </c>
      <c r="C400" t="s">
        <v>454</v>
      </c>
      <c r="D400" t="s">
        <v>455</v>
      </c>
      <c r="E400">
        <v>20171</v>
      </c>
      <c r="F400" t="s">
        <v>14</v>
      </c>
      <c r="G400" t="s">
        <v>51</v>
      </c>
      <c r="H400">
        <v>3.5</v>
      </c>
      <c r="I400">
        <v>0</v>
      </c>
      <c r="J400">
        <v>20201</v>
      </c>
      <c r="K400">
        <f>COUNTIF('rEKAP kls MK'!$A$2:$A$35,Worksheet!C400)</f>
        <v>1</v>
      </c>
      <c r="L400" t="str">
        <f t="shared" si="24"/>
        <v>F1B115009</v>
      </c>
      <c r="M400" t="str">
        <f t="shared" si="25"/>
        <v>FADILAH KURNIATI</v>
      </c>
      <c r="O400" t="str">
        <f t="shared" si="26"/>
        <v/>
      </c>
      <c r="P400" t="str">
        <f t="shared" si="27"/>
        <v/>
      </c>
    </row>
    <row r="401" spans="1:16">
      <c r="A401" t="s">
        <v>223</v>
      </c>
      <c r="B401" t="s">
        <v>224</v>
      </c>
      <c r="C401" t="s">
        <v>454</v>
      </c>
      <c r="D401" t="s">
        <v>455</v>
      </c>
      <c r="E401">
        <v>20171</v>
      </c>
      <c r="F401" t="s">
        <v>14</v>
      </c>
      <c r="G401" t="s">
        <v>82</v>
      </c>
      <c r="H401">
        <v>4</v>
      </c>
      <c r="I401">
        <v>0</v>
      </c>
      <c r="J401">
        <v>20201</v>
      </c>
      <c r="K401">
        <f>COUNTIF('rEKAP kls MK'!$A$2:$A$35,Worksheet!C401)</f>
        <v>1</v>
      </c>
      <c r="L401" t="str">
        <f t="shared" si="24"/>
        <v>F1B115022</v>
      </c>
      <c r="M401" t="str">
        <f t="shared" si="25"/>
        <v>LAZARINA MARIANA</v>
      </c>
      <c r="O401" t="str">
        <f t="shared" si="26"/>
        <v/>
      </c>
      <c r="P401" t="str">
        <f t="shared" si="27"/>
        <v/>
      </c>
    </row>
    <row r="402" spans="1:16">
      <c r="A402" t="s">
        <v>121</v>
      </c>
      <c r="B402" t="s">
        <v>122</v>
      </c>
      <c r="C402" t="s">
        <v>454</v>
      </c>
      <c r="D402" t="s">
        <v>455</v>
      </c>
      <c r="E402">
        <v>20171</v>
      </c>
      <c r="F402" t="s">
        <v>14</v>
      </c>
      <c r="G402" t="s">
        <v>51</v>
      </c>
      <c r="H402">
        <v>3.5</v>
      </c>
      <c r="I402">
        <v>0</v>
      </c>
      <c r="J402">
        <v>20201</v>
      </c>
      <c r="K402">
        <f>COUNTIF('rEKAP kls MK'!$A$2:$A$35,Worksheet!C402)</f>
        <v>1</v>
      </c>
      <c r="L402" t="str">
        <f t="shared" si="24"/>
        <v>F1B115025</v>
      </c>
      <c r="M402" t="str">
        <f t="shared" si="25"/>
        <v>MERRY MICHELLINA</v>
      </c>
      <c r="O402" t="str">
        <f t="shared" si="26"/>
        <v/>
      </c>
      <c r="P402" t="str">
        <f t="shared" si="27"/>
        <v/>
      </c>
    </row>
    <row r="403" spans="1:16">
      <c r="A403" t="s">
        <v>227</v>
      </c>
      <c r="B403" t="s">
        <v>228</v>
      </c>
      <c r="C403" t="s">
        <v>454</v>
      </c>
      <c r="D403" t="s">
        <v>455</v>
      </c>
      <c r="E403">
        <v>20171</v>
      </c>
      <c r="F403" t="s">
        <v>14</v>
      </c>
      <c r="G403" t="s">
        <v>51</v>
      </c>
      <c r="H403">
        <v>3.5</v>
      </c>
      <c r="I403">
        <v>0</v>
      </c>
      <c r="J403">
        <v>20201</v>
      </c>
      <c r="K403">
        <f>COUNTIF('rEKAP kls MK'!$A$2:$A$35,Worksheet!C403)</f>
        <v>1</v>
      </c>
      <c r="L403" t="str">
        <f t="shared" si="24"/>
        <v>F1B115027</v>
      </c>
      <c r="M403" t="str">
        <f t="shared" si="25"/>
        <v>MUHAMAD NUDISANTANA RISWANDI</v>
      </c>
      <c r="O403" t="str">
        <f t="shared" si="26"/>
        <v/>
      </c>
      <c r="P403" t="str">
        <f t="shared" si="27"/>
        <v/>
      </c>
    </row>
    <row r="404" spans="1:16">
      <c r="A404" t="s">
        <v>195</v>
      </c>
      <c r="B404" t="s">
        <v>196</v>
      </c>
      <c r="C404" t="s">
        <v>454</v>
      </c>
      <c r="D404" t="s">
        <v>455</v>
      </c>
      <c r="E404">
        <v>20171</v>
      </c>
      <c r="F404" t="s">
        <v>14</v>
      </c>
      <c r="G404" t="s">
        <v>18</v>
      </c>
      <c r="H404">
        <v>3</v>
      </c>
      <c r="I404">
        <v>0</v>
      </c>
      <c r="J404">
        <v>20201</v>
      </c>
      <c r="K404">
        <f>COUNTIF('rEKAP kls MK'!$A$2:$A$35,Worksheet!C404)</f>
        <v>1</v>
      </c>
      <c r="L404" t="str">
        <f t="shared" si="24"/>
        <v>F1B115034</v>
      </c>
      <c r="M404" t="str">
        <f t="shared" si="25"/>
        <v>NAUFAL ATSAURI</v>
      </c>
      <c r="O404" t="str">
        <f t="shared" si="26"/>
        <v/>
      </c>
      <c r="P404" t="str">
        <f t="shared" si="27"/>
        <v/>
      </c>
    </row>
    <row r="405" spans="1:16">
      <c r="A405" t="s">
        <v>468</v>
      </c>
      <c r="B405" t="s">
        <v>469</v>
      </c>
      <c r="C405" t="s">
        <v>554</v>
      </c>
      <c r="D405" t="s">
        <v>555</v>
      </c>
      <c r="E405">
        <v>20171</v>
      </c>
      <c r="F405" t="s">
        <v>467</v>
      </c>
      <c r="G405" t="s">
        <v>23</v>
      </c>
      <c r="H405">
        <v>2.5</v>
      </c>
      <c r="I405">
        <v>0</v>
      </c>
      <c r="J405">
        <v>20201</v>
      </c>
      <c r="K405">
        <f>COUNTIF('rEKAP kls MK'!$A$2:$A$35,Worksheet!C405)</f>
        <v>0</v>
      </c>
      <c r="L405" t="str">
        <f t="shared" si="24"/>
        <v>F1B117001</v>
      </c>
      <c r="M405" t="str">
        <f t="shared" si="25"/>
        <v>ABI LASKAR</v>
      </c>
      <c r="O405" t="str">
        <f t="shared" si="26"/>
        <v>KIMIA DASAR</v>
      </c>
      <c r="P405" t="str">
        <f t="shared" si="27"/>
        <v>TPB</v>
      </c>
    </row>
    <row r="406" spans="1:16">
      <c r="A406" t="s">
        <v>470</v>
      </c>
      <c r="B406" t="s">
        <v>471</v>
      </c>
      <c r="C406" t="s">
        <v>554</v>
      </c>
      <c r="D406" t="s">
        <v>555</v>
      </c>
      <c r="E406">
        <v>20171</v>
      </c>
      <c r="F406" t="s">
        <v>467</v>
      </c>
      <c r="G406" t="s">
        <v>18</v>
      </c>
      <c r="H406">
        <v>3</v>
      </c>
      <c r="I406">
        <v>0</v>
      </c>
      <c r="J406">
        <v>20201</v>
      </c>
      <c r="K406">
        <f>COUNTIF('rEKAP kls MK'!$A$2:$A$35,Worksheet!C406)</f>
        <v>0</v>
      </c>
      <c r="L406" t="str">
        <f t="shared" si="24"/>
        <v>F1B117002</v>
      </c>
      <c r="M406" t="str">
        <f t="shared" si="25"/>
        <v>ADE PUTRA CAHYADI</v>
      </c>
      <c r="O406" t="str">
        <f t="shared" si="26"/>
        <v/>
      </c>
      <c r="P406" t="str">
        <f t="shared" si="27"/>
        <v/>
      </c>
    </row>
    <row r="407" spans="1:16">
      <c r="A407" t="s">
        <v>472</v>
      </c>
      <c r="B407" t="s">
        <v>473</v>
      </c>
      <c r="C407" t="s">
        <v>554</v>
      </c>
      <c r="D407" t="s">
        <v>555</v>
      </c>
      <c r="E407">
        <v>20171</v>
      </c>
      <c r="F407" t="s">
        <v>467</v>
      </c>
      <c r="G407" t="s">
        <v>18</v>
      </c>
      <c r="H407">
        <v>3</v>
      </c>
      <c r="I407">
        <v>0</v>
      </c>
      <c r="J407">
        <v>20201</v>
      </c>
      <c r="K407">
        <f>COUNTIF('rEKAP kls MK'!$A$2:$A$35,Worksheet!C407)</f>
        <v>0</v>
      </c>
      <c r="L407" t="str">
        <f t="shared" si="24"/>
        <v>F1B117003</v>
      </c>
      <c r="M407" t="str">
        <f t="shared" si="25"/>
        <v>ADELIA RIZKY FEBRIANTI</v>
      </c>
      <c r="O407" t="str">
        <f t="shared" si="26"/>
        <v/>
      </c>
      <c r="P407" t="str">
        <f t="shared" si="27"/>
        <v/>
      </c>
    </row>
    <row r="408" spans="1:16">
      <c r="A408" t="s">
        <v>474</v>
      </c>
      <c r="B408" t="s">
        <v>475</v>
      </c>
      <c r="C408" t="s">
        <v>554</v>
      </c>
      <c r="D408" t="s">
        <v>555</v>
      </c>
      <c r="E408">
        <v>20171</v>
      </c>
      <c r="F408" t="s">
        <v>467</v>
      </c>
      <c r="G408" t="s">
        <v>51</v>
      </c>
      <c r="H408">
        <v>3.5</v>
      </c>
      <c r="I408">
        <v>0</v>
      </c>
      <c r="J408">
        <v>20201</v>
      </c>
      <c r="K408">
        <f>COUNTIF('rEKAP kls MK'!$A$2:$A$35,Worksheet!C408)</f>
        <v>0</v>
      </c>
      <c r="L408" t="str">
        <f t="shared" si="24"/>
        <v>F1B117004</v>
      </c>
      <c r="M408" t="str">
        <f t="shared" si="25"/>
        <v>AHMAD RAJABUL AKBAR KHAIRU</v>
      </c>
      <c r="O408" t="str">
        <f t="shared" si="26"/>
        <v/>
      </c>
      <c r="P408" t="str">
        <f t="shared" si="27"/>
        <v/>
      </c>
    </row>
    <row r="409" spans="1:16">
      <c r="A409" t="s">
        <v>476</v>
      </c>
      <c r="B409" t="s">
        <v>477</v>
      </c>
      <c r="C409" t="s">
        <v>554</v>
      </c>
      <c r="D409" t="s">
        <v>555</v>
      </c>
      <c r="E409">
        <v>20171</v>
      </c>
      <c r="F409" t="s">
        <v>467</v>
      </c>
      <c r="G409" t="s">
        <v>51</v>
      </c>
      <c r="H409">
        <v>3.5</v>
      </c>
      <c r="I409">
        <v>0</v>
      </c>
      <c r="J409">
        <v>20201</v>
      </c>
      <c r="K409">
        <f>COUNTIF('rEKAP kls MK'!$A$2:$A$35,Worksheet!C409)</f>
        <v>0</v>
      </c>
      <c r="L409" t="str">
        <f t="shared" si="24"/>
        <v>F1B117005</v>
      </c>
      <c r="M409" t="str">
        <f t="shared" si="25"/>
        <v>AKBAR MAJID</v>
      </c>
      <c r="O409" t="str">
        <f t="shared" si="26"/>
        <v/>
      </c>
      <c r="P409" t="str">
        <f t="shared" si="27"/>
        <v/>
      </c>
    </row>
    <row r="410" spans="1:16">
      <c r="A410" t="s">
        <v>478</v>
      </c>
      <c r="B410" t="s">
        <v>479</v>
      </c>
      <c r="C410" t="s">
        <v>554</v>
      </c>
      <c r="D410" t="s">
        <v>555</v>
      </c>
      <c r="E410">
        <v>20171</v>
      </c>
      <c r="F410" t="s">
        <v>467</v>
      </c>
      <c r="G410" t="s">
        <v>18</v>
      </c>
      <c r="H410">
        <v>3</v>
      </c>
      <c r="I410">
        <v>0</v>
      </c>
      <c r="J410">
        <v>20201</v>
      </c>
      <c r="K410">
        <f>COUNTIF('rEKAP kls MK'!$A$2:$A$35,Worksheet!C410)</f>
        <v>0</v>
      </c>
      <c r="L410" t="str">
        <f t="shared" si="24"/>
        <v>F1B117006</v>
      </c>
      <c r="M410" t="str">
        <f t="shared" si="25"/>
        <v>ANDI MUHAMAD HANIF</v>
      </c>
      <c r="O410" t="str">
        <f t="shared" si="26"/>
        <v/>
      </c>
      <c r="P410" t="str">
        <f t="shared" si="27"/>
        <v/>
      </c>
    </row>
    <row r="411" spans="1:16">
      <c r="A411" t="s">
        <v>480</v>
      </c>
      <c r="B411" t="s">
        <v>481</v>
      </c>
      <c r="C411" t="s">
        <v>554</v>
      </c>
      <c r="D411" t="s">
        <v>555</v>
      </c>
      <c r="E411">
        <v>20171</v>
      </c>
      <c r="F411" t="s">
        <v>467</v>
      </c>
      <c r="G411" t="s">
        <v>51</v>
      </c>
      <c r="H411">
        <v>3.5</v>
      </c>
      <c r="I411">
        <v>0</v>
      </c>
      <c r="J411">
        <v>20201</v>
      </c>
      <c r="K411">
        <f>COUNTIF('rEKAP kls MK'!$A$2:$A$35,Worksheet!C411)</f>
        <v>0</v>
      </c>
      <c r="L411" t="str">
        <f t="shared" si="24"/>
        <v>F1B117007</v>
      </c>
      <c r="M411" t="str">
        <f t="shared" si="25"/>
        <v>ANDIKA RAHMAN</v>
      </c>
      <c r="O411" t="str">
        <f t="shared" si="26"/>
        <v/>
      </c>
      <c r="P411" t="str">
        <f t="shared" si="27"/>
        <v/>
      </c>
    </row>
    <row r="412" spans="1:16">
      <c r="A412" t="s">
        <v>482</v>
      </c>
      <c r="B412" t="s">
        <v>483</v>
      </c>
      <c r="C412" t="s">
        <v>554</v>
      </c>
      <c r="D412" t="s">
        <v>555</v>
      </c>
      <c r="E412">
        <v>20171</v>
      </c>
      <c r="F412" t="s">
        <v>467</v>
      </c>
      <c r="G412" t="s">
        <v>18</v>
      </c>
      <c r="H412">
        <v>3</v>
      </c>
      <c r="I412">
        <v>0</v>
      </c>
      <c r="J412">
        <v>20201</v>
      </c>
      <c r="K412">
        <f>COUNTIF('rEKAP kls MK'!$A$2:$A$35,Worksheet!C412)</f>
        <v>0</v>
      </c>
      <c r="L412" t="str">
        <f t="shared" si="24"/>
        <v>F1B117008</v>
      </c>
      <c r="M412" t="str">
        <f t="shared" si="25"/>
        <v>ANDRE PRATAMA</v>
      </c>
      <c r="O412" t="str">
        <f t="shared" si="26"/>
        <v/>
      </c>
      <c r="P412" t="str">
        <f t="shared" si="27"/>
        <v/>
      </c>
    </row>
    <row r="413" spans="1:16">
      <c r="A413" t="s">
        <v>484</v>
      </c>
      <c r="B413" t="s">
        <v>485</v>
      </c>
      <c r="C413" t="s">
        <v>554</v>
      </c>
      <c r="D413" t="s">
        <v>555</v>
      </c>
      <c r="E413">
        <v>20171</v>
      </c>
      <c r="F413" t="s">
        <v>467</v>
      </c>
      <c r="G413" t="s">
        <v>51</v>
      </c>
      <c r="H413">
        <v>3.5</v>
      </c>
      <c r="I413">
        <v>0</v>
      </c>
      <c r="J413">
        <v>20201</v>
      </c>
      <c r="K413">
        <f>COUNTIF('rEKAP kls MK'!$A$2:$A$35,Worksheet!C413)</f>
        <v>0</v>
      </c>
      <c r="L413" t="str">
        <f t="shared" si="24"/>
        <v>F1B117009</v>
      </c>
      <c r="M413" t="str">
        <f t="shared" si="25"/>
        <v>ANDREAN EKO RAMADHAN</v>
      </c>
      <c r="O413" t="str">
        <f t="shared" si="26"/>
        <v/>
      </c>
      <c r="P413" t="str">
        <f t="shared" si="27"/>
        <v/>
      </c>
    </row>
    <row r="414" spans="1:16">
      <c r="A414" t="s">
        <v>486</v>
      </c>
      <c r="B414" t="s">
        <v>487</v>
      </c>
      <c r="C414" t="s">
        <v>554</v>
      </c>
      <c r="D414" t="s">
        <v>555</v>
      </c>
      <c r="E414">
        <v>20171</v>
      </c>
      <c r="F414" t="s">
        <v>467</v>
      </c>
      <c r="G414" t="s">
        <v>23</v>
      </c>
      <c r="H414">
        <v>2.5</v>
      </c>
      <c r="I414">
        <v>0</v>
      </c>
      <c r="J414">
        <v>20201</v>
      </c>
      <c r="K414">
        <f>COUNTIF('rEKAP kls MK'!$A$2:$A$35,Worksheet!C414)</f>
        <v>0</v>
      </c>
      <c r="L414" t="str">
        <f t="shared" si="24"/>
        <v>F1B117010</v>
      </c>
      <c r="M414" t="str">
        <f t="shared" si="25"/>
        <v>ARGA SUTRI PRATAMA</v>
      </c>
      <c r="O414" t="str">
        <f t="shared" si="26"/>
        <v/>
      </c>
      <c r="P414" t="str">
        <f t="shared" si="27"/>
        <v/>
      </c>
    </row>
    <row r="415" spans="1:16">
      <c r="A415" t="s">
        <v>488</v>
      </c>
      <c r="B415" t="s">
        <v>489</v>
      </c>
      <c r="C415" t="s">
        <v>554</v>
      </c>
      <c r="D415" t="s">
        <v>555</v>
      </c>
      <c r="E415">
        <v>20171</v>
      </c>
      <c r="F415" t="s">
        <v>467</v>
      </c>
      <c r="G415" t="s">
        <v>18</v>
      </c>
      <c r="H415">
        <v>3</v>
      </c>
      <c r="I415">
        <v>0</v>
      </c>
      <c r="J415">
        <v>20201</v>
      </c>
      <c r="K415">
        <f>COUNTIF('rEKAP kls MK'!$A$2:$A$35,Worksheet!C415)</f>
        <v>0</v>
      </c>
      <c r="L415" t="str">
        <f t="shared" si="24"/>
        <v>F1B117011</v>
      </c>
      <c r="M415" t="str">
        <f t="shared" si="25"/>
        <v>BAYU ADE SURYA</v>
      </c>
      <c r="O415" t="str">
        <f t="shared" si="26"/>
        <v/>
      </c>
      <c r="P415" t="str">
        <f t="shared" si="27"/>
        <v/>
      </c>
    </row>
    <row r="416" spans="1:16">
      <c r="A416" t="s">
        <v>490</v>
      </c>
      <c r="B416" t="s">
        <v>491</v>
      </c>
      <c r="C416" t="s">
        <v>554</v>
      </c>
      <c r="D416" t="s">
        <v>555</v>
      </c>
      <c r="E416">
        <v>20171</v>
      </c>
      <c r="F416" t="s">
        <v>467</v>
      </c>
      <c r="G416" t="s">
        <v>51</v>
      </c>
      <c r="H416">
        <v>3.5</v>
      </c>
      <c r="I416">
        <v>0</v>
      </c>
      <c r="J416">
        <v>20201</v>
      </c>
      <c r="K416">
        <f>COUNTIF('rEKAP kls MK'!$A$2:$A$35,Worksheet!C416)</f>
        <v>0</v>
      </c>
      <c r="L416" t="str">
        <f t="shared" si="24"/>
        <v>F1B117012</v>
      </c>
      <c r="M416" t="str">
        <f t="shared" si="25"/>
        <v>ERLAN BAHTIAR</v>
      </c>
      <c r="O416" t="str">
        <f t="shared" si="26"/>
        <v/>
      </c>
      <c r="P416" t="str">
        <f t="shared" si="27"/>
        <v/>
      </c>
    </row>
    <row r="417" spans="1:16">
      <c r="A417" t="s">
        <v>492</v>
      </c>
      <c r="B417" t="s">
        <v>493</v>
      </c>
      <c r="C417" t="s">
        <v>554</v>
      </c>
      <c r="D417" t="s">
        <v>555</v>
      </c>
      <c r="E417">
        <v>20171</v>
      </c>
      <c r="F417" t="s">
        <v>467</v>
      </c>
      <c r="G417" t="s">
        <v>18</v>
      </c>
      <c r="H417">
        <v>3</v>
      </c>
      <c r="I417">
        <v>0</v>
      </c>
      <c r="J417">
        <v>20201</v>
      </c>
      <c r="K417">
        <f>COUNTIF('rEKAP kls MK'!$A$2:$A$35,Worksheet!C417)</f>
        <v>0</v>
      </c>
      <c r="L417" t="str">
        <f t="shared" si="24"/>
        <v>F1B117013</v>
      </c>
      <c r="M417" t="str">
        <f t="shared" si="25"/>
        <v>FADHLI EKO PRASETYO</v>
      </c>
      <c r="O417" t="str">
        <f t="shared" si="26"/>
        <v/>
      </c>
      <c r="P417" t="str">
        <f t="shared" si="27"/>
        <v/>
      </c>
    </row>
    <row r="418" spans="1:16">
      <c r="A418" t="s">
        <v>494</v>
      </c>
      <c r="B418" t="s">
        <v>495</v>
      </c>
      <c r="C418" t="s">
        <v>554</v>
      </c>
      <c r="D418" t="s">
        <v>555</v>
      </c>
      <c r="E418">
        <v>20171</v>
      </c>
      <c r="F418" t="s">
        <v>467</v>
      </c>
      <c r="G418" t="s">
        <v>51</v>
      </c>
      <c r="H418">
        <v>3.5</v>
      </c>
      <c r="I418">
        <v>0</v>
      </c>
      <c r="J418">
        <v>20201</v>
      </c>
      <c r="K418">
        <f>COUNTIF('rEKAP kls MK'!$A$2:$A$35,Worksheet!C418)</f>
        <v>0</v>
      </c>
      <c r="L418" t="str">
        <f t="shared" si="24"/>
        <v>F1B117014</v>
      </c>
      <c r="M418" t="str">
        <f t="shared" si="25"/>
        <v>FANNY WINDARY BATANIA</v>
      </c>
      <c r="O418" t="str">
        <f t="shared" si="26"/>
        <v/>
      </c>
      <c r="P418" t="str">
        <f t="shared" si="27"/>
        <v/>
      </c>
    </row>
    <row r="419" spans="1:16">
      <c r="A419" t="s">
        <v>496</v>
      </c>
      <c r="B419" t="s">
        <v>497</v>
      </c>
      <c r="C419" t="s">
        <v>554</v>
      </c>
      <c r="D419" t="s">
        <v>555</v>
      </c>
      <c r="E419">
        <v>20171</v>
      </c>
      <c r="F419" t="s">
        <v>467</v>
      </c>
      <c r="G419" t="s">
        <v>18</v>
      </c>
      <c r="H419">
        <v>3</v>
      </c>
      <c r="I419">
        <v>0</v>
      </c>
      <c r="J419">
        <v>20201</v>
      </c>
      <c r="K419">
        <f>COUNTIF('rEKAP kls MK'!$A$2:$A$35,Worksheet!C419)</f>
        <v>0</v>
      </c>
      <c r="L419" t="str">
        <f t="shared" si="24"/>
        <v>F1B117015</v>
      </c>
      <c r="M419" t="str">
        <f t="shared" si="25"/>
        <v>GALI GALUH SAKTI</v>
      </c>
      <c r="O419" t="str">
        <f t="shared" si="26"/>
        <v/>
      </c>
      <c r="P419" t="str">
        <f t="shared" si="27"/>
        <v/>
      </c>
    </row>
    <row r="420" spans="1:16">
      <c r="A420" t="s">
        <v>498</v>
      </c>
      <c r="B420" t="s">
        <v>499</v>
      </c>
      <c r="C420" t="s">
        <v>554</v>
      </c>
      <c r="D420" t="s">
        <v>555</v>
      </c>
      <c r="E420">
        <v>20171</v>
      </c>
      <c r="F420" t="s">
        <v>467</v>
      </c>
      <c r="G420" t="s">
        <v>51</v>
      </c>
      <c r="H420">
        <v>3.5</v>
      </c>
      <c r="I420">
        <v>0</v>
      </c>
      <c r="J420">
        <v>20201</v>
      </c>
      <c r="K420">
        <f>COUNTIF('rEKAP kls MK'!$A$2:$A$35,Worksheet!C420)</f>
        <v>0</v>
      </c>
      <c r="L420" t="str">
        <f t="shared" si="24"/>
        <v>F1B117016</v>
      </c>
      <c r="M420" t="str">
        <f t="shared" si="25"/>
        <v>GAUSS NUR SALAM</v>
      </c>
      <c r="O420" t="str">
        <f t="shared" si="26"/>
        <v/>
      </c>
      <c r="P420" t="str">
        <f t="shared" si="27"/>
        <v/>
      </c>
    </row>
    <row r="421" spans="1:16">
      <c r="A421" t="s">
        <v>500</v>
      </c>
      <c r="B421" t="s">
        <v>501</v>
      </c>
      <c r="C421" t="s">
        <v>554</v>
      </c>
      <c r="D421" t="s">
        <v>555</v>
      </c>
      <c r="E421">
        <v>20171</v>
      </c>
      <c r="F421" t="s">
        <v>467</v>
      </c>
      <c r="G421" t="s">
        <v>18</v>
      </c>
      <c r="H421">
        <v>3</v>
      </c>
      <c r="I421">
        <v>0</v>
      </c>
      <c r="J421">
        <v>20201</v>
      </c>
      <c r="K421">
        <f>COUNTIF('rEKAP kls MK'!$A$2:$A$35,Worksheet!C421)</f>
        <v>0</v>
      </c>
      <c r="L421" t="str">
        <f t="shared" si="24"/>
        <v>F1B117017</v>
      </c>
      <c r="M421" t="str">
        <f t="shared" si="25"/>
        <v>HELMY AMALIA ARIESTA</v>
      </c>
      <c r="O421" t="str">
        <f t="shared" si="26"/>
        <v/>
      </c>
      <c r="P421" t="str">
        <f t="shared" si="27"/>
        <v/>
      </c>
    </row>
    <row r="422" spans="1:16">
      <c r="A422" t="s">
        <v>502</v>
      </c>
      <c r="B422" t="s">
        <v>503</v>
      </c>
      <c r="C422" t="s">
        <v>554</v>
      </c>
      <c r="D422" t="s">
        <v>555</v>
      </c>
      <c r="E422">
        <v>20171</v>
      </c>
      <c r="F422" t="s">
        <v>467</v>
      </c>
      <c r="G422" t="s">
        <v>18</v>
      </c>
      <c r="H422">
        <v>3</v>
      </c>
      <c r="I422">
        <v>0</v>
      </c>
      <c r="J422">
        <v>20201</v>
      </c>
      <c r="K422">
        <f>COUNTIF('rEKAP kls MK'!$A$2:$A$35,Worksheet!C422)</f>
        <v>0</v>
      </c>
      <c r="L422" t="str">
        <f t="shared" si="24"/>
        <v>F1B117018</v>
      </c>
      <c r="M422" t="str">
        <f t="shared" si="25"/>
        <v>ILHAM MUHAMMAD</v>
      </c>
      <c r="O422" t="str">
        <f t="shared" si="26"/>
        <v/>
      </c>
      <c r="P422" t="str">
        <f t="shared" si="27"/>
        <v/>
      </c>
    </row>
    <row r="423" spans="1:16">
      <c r="A423" t="s">
        <v>504</v>
      </c>
      <c r="B423" t="s">
        <v>505</v>
      </c>
      <c r="C423" t="s">
        <v>554</v>
      </c>
      <c r="D423" t="s">
        <v>555</v>
      </c>
      <c r="E423">
        <v>20171</v>
      </c>
      <c r="F423" t="s">
        <v>467</v>
      </c>
      <c r="G423" t="s">
        <v>18</v>
      </c>
      <c r="H423">
        <v>3</v>
      </c>
      <c r="I423">
        <v>0</v>
      </c>
      <c r="J423">
        <v>20201</v>
      </c>
      <c r="K423">
        <f>COUNTIF('rEKAP kls MK'!$A$2:$A$35,Worksheet!C423)</f>
        <v>0</v>
      </c>
      <c r="L423" t="str">
        <f t="shared" si="24"/>
        <v>F1B117019</v>
      </c>
      <c r="M423" t="str">
        <f t="shared" si="25"/>
        <v>KHAIRUL MUAMALAH</v>
      </c>
      <c r="O423" t="str">
        <f t="shared" si="26"/>
        <v/>
      </c>
      <c r="P423" t="str">
        <f t="shared" si="27"/>
        <v/>
      </c>
    </row>
    <row r="424" spans="1:16">
      <c r="A424" t="s">
        <v>506</v>
      </c>
      <c r="B424" t="s">
        <v>507</v>
      </c>
      <c r="C424" t="s">
        <v>554</v>
      </c>
      <c r="D424" t="s">
        <v>555</v>
      </c>
      <c r="E424">
        <v>20171</v>
      </c>
      <c r="F424" t="s">
        <v>467</v>
      </c>
      <c r="G424" t="s">
        <v>51</v>
      </c>
      <c r="H424">
        <v>3.5</v>
      </c>
      <c r="I424">
        <v>0</v>
      </c>
      <c r="J424">
        <v>20201</v>
      </c>
      <c r="K424">
        <f>COUNTIF('rEKAP kls MK'!$A$2:$A$35,Worksheet!C424)</f>
        <v>0</v>
      </c>
      <c r="L424" t="str">
        <f t="shared" si="24"/>
        <v>F1B117020</v>
      </c>
      <c r="M424" t="str">
        <f t="shared" si="25"/>
        <v>LENKA AURELIE YUDHISTIRA</v>
      </c>
      <c r="O424" t="str">
        <f t="shared" si="26"/>
        <v/>
      </c>
      <c r="P424" t="str">
        <f t="shared" si="27"/>
        <v/>
      </c>
    </row>
    <row r="425" spans="1:16">
      <c r="A425" t="s">
        <v>508</v>
      </c>
      <c r="B425" t="s">
        <v>509</v>
      </c>
      <c r="C425" t="s">
        <v>554</v>
      </c>
      <c r="D425" t="s">
        <v>555</v>
      </c>
      <c r="E425">
        <v>20171</v>
      </c>
      <c r="F425" t="s">
        <v>467</v>
      </c>
      <c r="G425" t="s">
        <v>18</v>
      </c>
      <c r="H425">
        <v>3</v>
      </c>
      <c r="I425">
        <v>0</v>
      </c>
      <c r="J425">
        <v>20201</v>
      </c>
      <c r="K425">
        <f>COUNTIF('rEKAP kls MK'!$A$2:$A$35,Worksheet!C425)</f>
        <v>0</v>
      </c>
      <c r="L425" t="str">
        <f t="shared" si="24"/>
        <v>F1B117021</v>
      </c>
      <c r="M425" t="str">
        <f t="shared" si="25"/>
        <v>M. AL ZAIDIN</v>
      </c>
      <c r="O425" t="str">
        <f t="shared" si="26"/>
        <v/>
      </c>
      <c r="P425" t="str">
        <f t="shared" si="27"/>
        <v/>
      </c>
    </row>
    <row r="426" spans="1:16">
      <c r="A426" t="s">
        <v>510</v>
      </c>
      <c r="B426" t="s">
        <v>511</v>
      </c>
      <c r="C426" t="s">
        <v>554</v>
      </c>
      <c r="D426" t="s">
        <v>555</v>
      </c>
      <c r="E426">
        <v>20171</v>
      </c>
      <c r="F426" t="s">
        <v>467</v>
      </c>
      <c r="G426" t="s">
        <v>18</v>
      </c>
      <c r="H426">
        <v>3</v>
      </c>
      <c r="I426">
        <v>0</v>
      </c>
      <c r="J426">
        <v>20201</v>
      </c>
      <c r="K426">
        <f>COUNTIF('rEKAP kls MK'!$A$2:$A$35,Worksheet!C426)</f>
        <v>0</v>
      </c>
      <c r="L426" t="str">
        <f t="shared" si="24"/>
        <v>F1B117022</v>
      </c>
      <c r="M426" t="str">
        <f t="shared" si="25"/>
        <v>M. FAUZUL AKBAR</v>
      </c>
      <c r="O426" t="str">
        <f t="shared" si="26"/>
        <v/>
      </c>
      <c r="P426" t="str">
        <f t="shared" si="27"/>
        <v/>
      </c>
    </row>
    <row r="427" spans="1:16">
      <c r="A427" t="s">
        <v>512</v>
      </c>
      <c r="B427" t="s">
        <v>513</v>
      </c>
      <c r="C427" t="s">
        <v>554</v>
      </c>
      <c r="D427" t="s">
        <v>555</v>
      </c>
      <c r="E427">
        <v>20171</v>
      </c>
      <c r="F427" t="s">
        <v>467</v>
      </c>
      <c r="G427" t="s">
        <v>18</v>
      </c>
      <c r="H427">
        <v>3</v>
      </c>
      <c r="I427">
        <v>0</v>
      </c>
      <c r="J427">
        <v>20201</v>
      </c>
      <c r="K427">
        <f>COUNTIF('rEKAP kls MK'!$A$2:$A$35,Worksheet!C427)</f>
        <v>0</v>
      </c>
      <c r="L427" t="str">
        <f t="shared" si="24"/>
        <v>F1B117023</v>
      </c>
      <c r="M427" t="str">
        <f t="shared" si="25"/>
        <v>M.FAISAL</v>
      </c>
      <c r="O427" t="str">
        <f t="shared" si="26"/>
        <v/>
      </c>
      <c r="P427" t="str">
        <f t="shared" si="27"/>
        <v/>
      </c>
    </row>
    <row r="428" spans="1:16">
      <c r="A428" t="s">
        <v>514</v>
      </c>
      <c r="B428" t="s">
        <v>515</v>
      </c>
      <c r="C428" t="s">
        <v>554</v>
      </c>
      <c r="D428" t="s">
        <v>555</v>
      </c>
      <c r="E428">
        <v>20171</v>
      </c>
      <c r="F428" t="s">
        <v>467</v>
      </c>
      <c r="G428" t="s">
        <v>18</v>
      </c>
      <c r="H428">
        <v>3</v>
      </c>
      <c r="I428">
        <v>0</v>
      </c>
      <c r="J428">
        <v>20201</v>
      </c>
      <c r="K428">
        <f>COUNTIF('rEKAP kls MK'!$A$2:$A$35,Worksheet!C428)</f>
        <v>0</v>
      </c>
      <c r="L428" t="str">
        <f t="shared" si="24"/>
        <v>F1B117024</v>
      </c>
      <c r="M428" t="str">
        <f t="shared" si="25"/>
        <v>MUH. RISKI RAMADHAN</v>
      </c>
      <c r="O428" t="str">
        <f t="shared" si="26"/>
        <v/>
      </c>
      <c r="P428" t="str">
        <f t="shared" si="27"/>
        <v/>
      </c>
    </row>
    <row r="429" spans="1:16">
      <c r="A429" t="s">
        <v>516</v>
      </c>
      <c r="B429" t="s">
        <v>517</v>
      </c>
      <c r="C429" t="s">
        <v>554</v>
      </c>
      <c r="D429" t="s">
        <v>555</v>
      </c>
      <c r="E429">
        <v>20171</v>
      </c>
      <c r="F429" t="s">
        <v>467</v>
      </c>
      <c r="G429" t="s">
        <v>18</v>
      </c>
      <c r="H429">
        <v>3</v>
      </c>
      <c r="I429">
        <v>0</v>
      </c>
      <c r="J429">
        <v>20201</v>
      </c>
      <c r="K429">
        <f>COUNTIF('rEKAP kls MK'!$A$2:$A$35,Worksheet!C429)</f>
        <v>0</v>
      </c>
      <c r="L429" t="str">
        <f t="shared" si="24"/>
        <v>F1B117025</v>
      </c>
      <c r="M429" t="str">
        <f t="shared" si="25"/>
        <v>MUH. SALDA WINTARA</v>
      </c>
      <c r="O429" t="str">
        <f t="shared" si="26"/>
        <v/>
      </c>
      <c r="P429" t="str">
        <f t="shared" si="27"/>
        <v/>
      </c>
    </row>
    <row r="430" spans="1:16">
      <c r="A430" t="s">
        <v>518</v>
      </c>
      <c r="B430" t="s">
        <v>519</v>
      </c>
      <c r="C430" t="s">
        <v>554</v>
      </c>
      <c r="D430" t="s">
        <v>555</v>
      </c>
      <c r="E430">
        <v>20171</v>
      </c>
      <c r="F430" t="s">
        <v>467</v>
      </c>
      <c r="G430" t="s">
        <v>18</v>
      </c>
      <c r="H430">
        <v>3</v>
      </c>
      <c r="I430">
        <v>0</v>
      </c>
      <c r="J430">
        <v>20201</v>
      </c>
      <c r="K430">
        <f>COUNTIF('rEKAP kls MK'!$A$2:$A$35,Worksheet!C430)</f>
        <v>0</v>
      </c>
      <c r="L430" t="str">
        <f t="shared" si="24"/>
        <v>F1B117026</v>
      </c>
      <c r="M430" t="str">
        <f t="shared" si="25"/>
        <v>MUHAMMAD KHAIRUL HADI SYURAHMAN</v>
      </c>
      <c r="O430" t="str">
        <f t="shared" si="26"/>
        <v/>
      </c>
      <c r="P430" t="str">
        <f t="shared" si="27"/>
        <v/>
      </c>
    </row>
    <row r="431" spans="1:16">
      <c r="A431" t="s">
        <v>520</v>
      </c>
      <c r="B431" t="s">
        <v>521</v>
      </c>
      <c r="C431" t="s">
        <v>554</v>
      </c>
      <c r="D431" t="s">
        <v>555</v>
      </c>
      <c r="E431">
        <v>20171</v>
      </c>
      <c r="F431" t="s">
        <v>467</v>
      </c>
      <c r="G431" t="s">
        <v>18</v>
      </c>
      <c r="H431">
        <v>3</v>
      </c>
      <c r="I431">
        <v>0</v>
      </c>
      <c r="J431">
        <v>20201</v>
      </c>
      <c r="K431">
        <f>COUNTIF('rEKAP kls MK'!$A$2:$A$35,Worksheet!C431)</f>
        <v>0</v>
      </c>
      <c r="L431" t="str">
        <f t="shared" si="24"/>
        <v>F1B117027</v>
      </c>
      <c r="M431" t="str">
        <f t="shared" si="25"/>
        <v>MUHAMMAD MUKALLIBIN</v>
      </c>
      <c r="O431" t="str">
        <f t="shared" si="26"/>
        <v/>
      </c>
      <c r="P431" t="str">
        <f t="shared" si="27"/>
        <v/>
      </c>
    </row>
    <row r="432" spans="1:16">
      <c r="A432" t="s">
        <v>522</v>
      </c>
      <c r="B432" t="s">
        <v>523</v>
      </c>
      <c r="C432" t="s">
        <v>554</v>
      </c>
      <c r="D432" t="s">
        <v>555</v>
      </c>
      <c r="E432">
        <v>20171</v>
      </c>
      <c r="F432" t="s">
        <v>467</v>
      </c>
      <c r="G432" t="s">
        <v>23</v>
      </c>
      <c r="H432">
        <v>2.5</v>
      </c>
      <c r="I432">
        <v>0</v>
      </c>
      <c r="J432">
        <v>20201</v>
      </c>
      <c r="K432">
        <f>COUNTIF('rEKAP kls MK'!$A$2:$A$35,Worksheet!C432)</f>
        <v>0</v>
      </c>
      <c r="L432" t="str">
        <f t="shared" si="24"/>
        <v>F1B117028</v>
      </c>
      <c r="M432" t="str">
        <f t="shared" si="25"/>
        <v>MUHAMMAD NABIL</v>
      </c>
      <c r="O432" t="str">
        <f t="shared" si="26"/>
        <v/>
      </c>
      <c r="P432" t="str">
        <f t="shared" si="27"/>
        <v/>
      </c>
    </row>
    <row r="433" spans="1:16">
      <c r="A433" t="s">
        <v>524</v>
      </c>
      <c r="B433" t="s">
        <v>525</v>
      </c>
      <c r="C433" t="s">
        <v>554</v>
      </c>
      <c r="D433" t="s">
        <v>555</v>
      </c>
      <c r="E433">
        <v>20171</v>
      </c>
      <c r="F433" t="s">
        <v>467</v>
      </c>
      <c r="G433" t="s">
        <v>18</v>
      </c>
      <c r="H433">
        <v>3</v>
      </c>
      <c r="I433">
        <v>0</v>
      </c>
      <c r="J433">
        <v>20201</v>
      </c>
      <c r="K433">
        <f>COUNTIF('rEKAP kls MK'!$A$2:$A$35,Worksheet!C433)</f>
        <v>0</v>
      </c>
      <c r="L433" t="str">
        <f t="shared" si="24"/>
        <v>F1B117029</v>
      </c>
      <c r="M433" t="str">
        <f t="shared" si="25"/>
        <v>MUHAMMAD THORIQ DWI SETYAWAN</v>
      </c>
      <c r="O433" t="str">
        <f t="shared" si="26"/>
        <v/>
      </c>
      <c r="P433" t="str">
        <f t="shared" si="27"/>
        <v/>
      </c>
    </row>
    <row r="434" spans="1:16">
      <c r="A434" t="s">
        <v>526</v>
      </c>
      <c r="B434" t="s">
        <v>527</v>
      </c>
      <c r="C434" t="s">
        <v>554</v>
      </c>
      <c r="D434" t="s">
        <v>555</v>
      </c>
      <c r="E434">
        <v>20171</v>
      </c>
      <c r="F434" t="s">
        <v>467</v>
      </c>
      <c r="G434" t="s">
        <v>18</v>
      </c>
      <c r="H434">
        <v>3</v>
      </c>
      <c r="I434">
        <v>0</v>
      </c>
      <c r="J434">
        <v>20201</v>
      </c>
      <c r="K434">
        <f>COUNTIF('rEKAP kls MK'!$A$2:$A$35,Worksheet!C434)</f>
        <v>0</v>
      </c>
      <c r="L434" t="str">
        <f t="shared" si="24"/>
        <v>F1B117030</v>
      </c>
      <c r="M434" t="str">
        <f t="shared" si="25"/>
        <v>NURAFRINA</v>
      </c>
      <c r="O434" t="str">
        <f t="shared" si="26"/>
        <v/>
      </c>
      <c r="P434" t="str">
        <f t="shared" si="27"/>
        <v/>
      </c>
    </row>
    <row r="435" spans="1:16">
      <c r="A435" t="s">
        <v>528</v>
      </c>
      <c r="B435" t="s">
        <v>529</v>
      </c>
      <c r="C435" t="s">
        <v>554</v>
      </c>
      <c r="D435" t="s">
        <v>555</v>
      </c>
      <c r="E435">
        <v>20171</v>
      </c>
      <c r="F435" t="s">
        <v>467</v>
      </c>
      <c r="G435" t="s">
        <v>51</v>
      </c>
      <c r="H435">
        <v>3.5</v>
      </c>
      <c r="I435">
        <v>0</v>
      </c>
      <c r="J435">
        <v>20201</v>
      </c>
      <c r="K435">
        <f>COUNTIF('rEKAP kls MK'!$A$2:$A$35,Worksheet!C435)</f>
        <v>0</v>
      </c>
      <c r="L435" t="str">
        <f t="shared" si="24"/>
        <v>F1B117031</v>
      </c>
      <c r="M435" t="str">
        <f t="shared" si="25"/>
        <v>RAHMAT ADITYA PRADANA</v>
      </c>
      <c r="O435" t="str">
        <f t="shared" si="26"/>
        <v/>
      </c>
      <c r="P435" t="str">
        <f t="shared" si="27"/>
        <v/>
      </c>
    </row>
    <row r="436" spans="1:16">
      <c r="A436" t="s">
        <v>530</v>
      </c>
      <c r="B436" t="s">
        <v>531</v>
      </c>
      <c r="C436" t="s">
        <v>554</v>
      </c>
      <c r="D436" t="s">
        <v>555</v>
      </c>
      <c r="E436">
        <v>20171</v>
      </c>
      <c r="F436" t="s">
        <v>467</v>
      </c>
      <c r="G436" t="s">
        <v>18</v>
      </c>
      <c r="H436">
        <v>3</v>
      </c>
      <c r="I436">
        <v>0</v>
      </c>
      <c r="J436">
        <v>20201</v>
      </c>
      <c r="K436">
        <f>COUNTIF('rEKAP kls MK'!$A$2:$A$35,Worksheet!C436)</f>
        <v>0</v>
      </c>
      <c r="L436" t="str">
        <f t="shared" si="24"/>
        <v>F1B117032</v>
      </c>
      <c r="M436" t="str">
        <f t="shared" si="25"/>
        <v>RAMZY TAUFIQ HANIF</v>
      </c>
      <c r="O436" t="str">
        <f t="shared" si="26"/>
        <v/>
      </c>
      <c r="P436" t="str">
        <f t="shared" si="27"/>
        <v/>
      </c>
    </row>
    <row r="437" spans="1:16">
      <c r="A437" t="s">
        <v>532</v>
      </c>
      <c r="B437" t="s">
        <v>533</v>
      </c>
      <c r="C437" t="s">
        <v>554</v>
      </c>
      <c r="D437" t="s">
        <v>555</v>
      </c>
      <c r="E437">
        <v>20171</v>
      </c>
      <c r="F437" t="s">
        <v>467</v>
      </c>
      <c r="G437" t="s">
        <v>18</v>
      </c>
      <c r="H437">
        <v>3</v>
      </c>
      <c r="I437">
        <v>0</v>
      </c>
      <c r="J437">
        <v>20201</v>
      </c>
      <c r="K437">
        <f>COUNTIF('rEKAP kls MK'!$A$2:$A$35,Worksheet!C437)</f>
        <v>0</v>
      </c>
      <c r="L437" t="str">
        <f t="shared" si="24"/>
        <v>F1B117033</v>
      </c>
      <c r="M437" t="str">
        <f t="shared" si="25"/>
        <v>RIAN HENDRAWAN</v>
      </c>
      <c r="O437" t="str">
        <f t="shared" si="26"/>
        <v/>
      </c>
      <c r="P437" t="str">
        <f t="shared" si="27"/>
        <v/>
      </c>
    </row>
    <row r="438" spans="1:16">
      <c r="A438" t="s">
        <v>534</v>
      </c>
      <c r="B438" t="s">
        <v>535</v>
      </c>
      <c r="C438" t="s">
        <v>554</v>
      </c>
      <c r="D438" t="s">
        <v>555</v>
      </c>
      <c r="E438">
        <v>20171</v>
      </c>
      <c r="F438" t="s">
        <v>467</v>
      </c>
      <c r="G438" t="s">
        <v>18</v>
      </c>
      <c r="H438">
        <v>3</v>
      </c>
      <c r="I438">
        <v>0</v>
      </c>
      <c r="J438">
        <v>20201</v>
      </c>
      <c r="K438">
        <f>COUNTIF('rEKAP kls MK'!$A$2:$A$35,Worksheet!C438)</f>
        <v>0</v>
      </c>
      <c r="L438" t="str">
        <f t="shared" si="24"/>
        <v>F1B117034</v>
      </c>
      <c r="M438" t="str">
        <f t="shared" si="25"/>
        <v>RISKI KHARISMA PUTRA</v>
      </c>
      <c r="O438" t="str">
        <f t="shared" si="26"/>
        <v/>
      </c>
      <c r="P438" t="str">
        <f t="shared" si="27"/>
        <v/>
      </c>
    </row>
    <row r="439" spans="1:16">
      <c r="A439" t="s">
        <v>536</v>
      </c>
      <c r="B439" t="s">
        <v>537</v>
      </c>
      <c r="C439" t="s">
        <v>554</v>
      </c>
      <c r="D439" t="s">
        <v>555</v>
      </c>
      <c r="E439">
        <v>20171</v>
      </c>
      <c r="F439" t="s">
        <v>467</v>
      </c>
      <c r="G439" t="s">
        <v>18</v>
      </c>
      <c r="H439">
        <v>3</v>
      </c>
      <c r="I439">
        <v>0</v>
      </c>
      <c r="J439">
        <v>20201</v>
      </c>
      <c r="K439">
        <f>COUNTIF('rEKAP kls MK'!$A$2:$A$35,Worksheet!C439)</f>
        <v>0</v>
      </c>
      <c r="L439" t="str">
        <f t="shared" si="24"/>
        <v>F1B117035</v>
      </c>
      <c r="M439" t="str">
        <f t="shared" si="25"/>
        <v>RIZALUL HAQ</v>
      </c>
      <c r="O439" t="str">
        <f t="shared" si="26"/>
        <v/>
      </c>
      <c r="P439" t="str">
        <f t="shared" si="27"/>
        <v/>
      </c>
    </row>
    <row r="440" spans="1:16">
      <c r="A440" t="s">
        <v>538</v>
      </c>
      <c r="B440" t="s">
        <v>539</v>
      </c>
      <c r="C440" t="s">
        <v>554</v>
      </c>
      <c r="D440" t="s">
        <v>555</v>
      </c>
      <c r="E440">
        <v>20171</v>
      </c>
      <c r="F440" t="s">
        <v>467</v>
      </c>
      <c r="G440" t="s">
        <v>18</v>
      </c>
      <c r="H440">
        <v>3</v>
      </c>
      <c r="I440">
        <v>0</v>
      </c>
      <c r="J440">
        <v>20201</v>
      </c>
      <c r="K440">
        <f>COUNTIF('rEKAP kls MK'!$A$2:$A$35,Worksheet!C440)</f>
        <v>0</v>
      </c>
      <c r="L440" t="str">
        <f t="shared" si="24"/>
        <v>F1B117036</v>
      </c>
      <c r="M440" t="str">
        <f t="shared" si="25"/>
        <v>RIZKA MARDANI</v>
      </c>
      <c r="O440" t="str">
        <f t="shared" si="26"/>
        <v/>
      </c>
      <c r="P440" t="str">
        <f t="shared" si="27"/>
        <v/>
      </c>
    </row>
    <row r="441" spans="1:16">
      <c r="A441" t="s">
        <v>540</v>
      </c>
      <c r="B441" t="s">
        <v>541</v>
      </c>
      <c r="C441" t="s">
        <v>554</v>
      </c>
      <c r="D441" t="s">
        <v>555</v>
      </c>
      <c r="E441">
        <v>20171</v>
      </c>
      <c r="F441" t="s">
        <v>467</v>
      </c>
      <c r="G441" t="s">
        <v>18</v>
      </c>
      <c r="H441">
        <v>3</v>
      </c>
      <c r="I441">
        <v>0</v>
      </c>
      <c r="J441">
        <v>20201</v>
      </c>
      <c r="K441">
        <f>COUNTIF('rEKAP kls MK'!$A$2:$A$35,Worksheet!C441)</f>
        <v>0</v>
      </c>
      <c r="L441" t="str">
        <f t="shared" si="24"/>
        <v>F1B117037</v>
      </c>
      <c r="M441" t="str">
        <f t="shared" si="25"/>
        <v>TEJAMAN MULKI</v>
      </c>
      <c r="O441" t="str">
        <f t="shared" si="26"/>
        <v/>
      </c>
      <c r="P441" t="str">
        <f t="shared" si="27"/>
        <v/>
      </c>
    </row>
    <row r="442" spans="1:16">
      <c r="A442" t="s">
        <v>542</v>
      </c>
      <c r="B442" t="s">
        <v>543</v>
      </c>
      <c r="C442" t="s">
        <v>554</v>
      </c>
      <c r="D442" t="s">
        <v>555</v>
      </c>
      <c r="E442">
        <v>20171</v>
      </c>
      <c r="F442" t="s">
        <v>467</v>
      </c>
      <c r="G442" t="s">
        <v>18</v>
      </c>
      <c r="H442">
        <v>3</v>
      </c>
      <c r="I442">
        <v>0</v>
      </c>
      <c r="J442">
        <v>20201</v>
      </c>
      <c r="K442">
        <f>COUNTIF('rEKAP kls MK'!$A$2:$A$35,Worksheet!C442)</f>
        <v>0</v>
      </c>
      <c r="L442" t="str">
        <f t="shared" si="24"/>
        <v>F1B117038</v>
      </c>
      <c r="M442" t="str">
        <f t="shared" si="25"/>
        <v>VENI ASTUTI</v>
      </c>
      <c r="O442" t="str">
        <f t="shared" si="26"/>
        <v/>
      </c>
      <c r="P442" t="str">
        <f t="shared" si="27"/>
        <v/>
      </c>
    </row>
    <row r="443" spans="1:16">
      <c r="A443" t="s">
        <v>544</v>
      </c>
      <c r="B443" t="s">
        <v>545</v>
      </c>
      <c r="C443" t="s">
        <v>554</v>
      </c>
      <c r="D443" t="s">
        <v>555</v>
      </c>
      <c r="E443">
        <v>20171</v>
      </c>
      <c r="F443" t="s">
        <v>467</v>
      </c>
      <c r="G443" t="s">
        <v>18</v>
      </c>
      <c r="H443">
        <v>3</v>
      </c>
      <c r="I443">
        <v>0</v>
      </c>
      <c r="J443">
        <v>20201</v>
      </c>
      <c r="K443">
        <f>COUNTIF('rEKAP kls MK'!$A$2:$A$35,Worksheet!C443)</f>
        <v>0</v>
      </c>
      <c r="L443" t="str">
        <f t="shared" si="24"/>
        <v>F1B117039</v>
      </c>
      <c r="M443" t="str">
        <f t="shared" si="25"/>
        <v>WAHYU SIOPANO</v>
      </c>
      <c r="O443" t="str">
        <f t="shared" si="26"/>
        <v/>
      </c>
      <c r="P443" t="str">
        <f t="shared" si="27"/>
        <v/>
      </c>
    </row>
    <row r="444" spans="1:16">
      <c r="A444" t="s">
        <v>546</v>
      </c>
      <c r="B444" t="s">
        <v>547</v>
      </c>
      <c r="C444" t="s">
        <v>554</v>
      </c>
      <c r="D444" t="s">
        <v>555</v>
      </c>
      <c r="E444">
        <v>20171</v>
      </c>
      <c r="F444" t="s">
        <v>467</v>
      </c>
      <c r="G444" t="s">
        <v>18</v>
      </c>
      <c r="H444">
        <v>3</v>
      </c>
      <c r="I444">
        <v>0</v>
      </c>
      <c r="J444">
        <v>20201</v>
      </c>
      <c r="K444">
        <f>COUNTIF('rEKAP kls MK'!$A$2:$A$35,Worksheet!C444)</f>
        <v>0</v>
      </c>
      <c r="L444" t="str">
        <f t="shared" si="24"/>
        <v>F1B117040</v>
      </c>
      <c r="M444" t="str">
        <f t="shared" si="25"/>
        <v>WILLY HISBULLOH FAUZY FIRDAUS</v>
      </c>
      <c r="O444" t="str">
        <f t="shared" si="26"/>
        <v/>
      </c>
      <c r="P444" t="str">
        <f t="shared" si="27"/>
        <v/>
      </c>
    </row>
    <row r="445" spans="1:16">
      <c r="A445" t="s">
        <v>548</v>
      </c>
      <c r="B445" t="s">
        <v>549</v>
      </c>
      <c r="C445" t="s">
        <v>554</v>
      </c>
      <c r="D445" t="s">
        <v>555</v>
      </c>
      <c r="E445">
        <v>20171</v>
      </c>
      <c r="F445" t="s">
        <v>467</v>
      </c>
      <c r="G445" t="s">
        <v>18</v>
      </c>
      <c r="H445">
        <v>3</v>
      </c>
      <c r="I445">
        <v>0</v>
      </c>
      <c r="J445">
        <v>20201</v>
      </c>
      <c r="K445">
        <f>COUNTIF('rEKAP kls MK'!$A$2:$A$35,Worksheet!C445)</f>
        <v>0</v>
      </c>
      <c r="L445" t="str">
        <f t="shared" si="24"/>
        <v>F1B117041</v>
      </c>
      <c r="M445" t="str">
        <f t="shared" si="25"/>
        <v>WILLY PRADIYANTO</v>
      </c>
      <c r="O445" t="str">
        <f t="shared" si="26"/>
        <v/>
      </c>
      <c r="P445" t="str">
        <f t="shared" si="27"/>
        <v/>
      </c>
    </row>
    <row r="446" spans="1:16">
      <c r="A446" t="s">
        <v>151</v>
      </c>
      <c r="B446" t="s">
        <v>152</v>
      </c>
      <c r="C446" t="s">
        <v>275</v>
      </c>
      <c r="D446" t="s">
        <v>276</v>
      </c>
      <c r="E446">
        <v>20171</v>
      </c>
      <c r="F446" t="s">
        <v>576</v>
      </c>
      <c r="G446" t="s">
        <v>82</v>
      </c>
      <c r="H446">
        <v>4</v>
      </c>
      <c r="I446">
        <v>0</v>
      </c>
      <c r="J446">
        <v>20201</v>
      </c>
      <c r="K446">
        <f>COUNTIF('rEKAP kls MK'!$A$2:$A$35,Worksheet!C446)</f>
        <v>0</v>
      </c>
      <c r="L446" t="str">
        <f t="shared" si="24"/>
        <v>F1B112004</v>
      </c>
      <c r="M446" t="str">
        <f t="shared" si="25"/>
        <v>Alimudin Embu Tara</v>
      </c>
      <c r="O446" t="str">
        <f t="shared" si="26"/>
        <v>KULIAH KERJA NYATA (KKN)</v>
      </c>
      <c r="P446" t="str">
        <f t="shared" si="27"/>
        <v>R</v>
      </c>
    </row>
    <row r="447" spans="1:16">
      <c r="A447" t="s">
        <v>110</v>
      </c>
      <c r="B447" t="s">
        <v>111</v>
      </c>
      <c r="C447" t="s">
        <v>275</v>
      </c>
      <c r="D447" t="s">
        <v>276</v>
      </c>
      <c r="E447">
        <v>20171</v>
      </c>
      <c r="F447" t="s">
        <v>576</v>
      </c>
      <c r="G447" t="s">
        <v>82</v>
      </c>
      <c r="H447">
        <v>4</v>
      </c>
      <c r="I447">
        <v>0</v>
      </c>
      <c r="J447">
        <v>20201</v>
      </c>
      <c r="K447">
        <f>COUNTIF('rEKAP kls MK'!$A$2:$A$35,Worksheet!C447)</f>
        <v>0</v>
      </c>
      <c r="L447" t="str">
        <f t="shared" si="24"/>
        <v>F1B112011</v>
      </c>
      <c r="M447" t="str">
        <f t="shared" si="25"/>
        <v>Cokorda Indra Darma Putra</v>
      </c>
      <c r="O447" t="str">
        <f t="shared" si="26"/>
        <v/>
      </c>
      <c r="P447" t="str">
        <f t="shared" si="27"/>
        <v/>
      </c>
    </row>
    <row r="448" spans="1:16">
      <c r="A448" t="s">
        <v>205</v>
      </c>
      <c r="B448" t="s">
        <v>206</v>
      </c>
      <c r="C448" t="s">
        <v>275</v>
      </c>
      <c r="D448" t="s">
        <v>276</v>
      </c>
      <c r="E448">
        <v>20171</v>
      </c>
      <c r="F448" t="s">
        <v>576</v>
      </c>
      <c r="G448" t="s">
        <v>82</v>
      </c>
      <c r="H448">
        <v>4</v>
      </c>
      <c r="I448">
        <v>0</v>
      </c>
      <c r="J448">
        <v>20201</v>
      </c>
      <c r="K448">
        <f>COUNTIF('rEKAP kls MK'!$A$2:$A$35,Worksheet!C448)</f>
        <v>0</v>
      </c>
      <c r="L448" t="str">
        <f t="shared" si="24"/>
        <v>F1B112018</v>
      </c>
      <c r="M448" t="str">
        <f t="shared" si="25"/>
        <v>Edi Zulkarnain</v>
      </c>
      <c r="O448" t="str">
        <f t="shared" si="26"/>
        <v/>
      </c>
      <c r="P448" t="str">
        <f t="shared" si="27"/>
        <v/>
      </c>
    </row>
    <row r="449" spans="1:16">
      <c r="A449" t="s">
        <v>207</v>
      </c>
      <c r="B449" t="s">
        <v>208</v>
      </c>
      <c r="C449" t="s">
        <v>275</v>
      </c>
      <c r="D449" t="s">
        <v>276</v>
      </c>
      <c r="E449">
        <v>20171</v>
      </c>
      <c r="F449" t="s">
        <v>576</v>
      </c>
      <c r="G449" t="s">
        <v>82</v>
      </c>
      <c r="H449">
        <v>4</v>
      </c>
      <c r="I449">
        <v>0</v>
      </c>
      <c r="J449">
        <v>20201</v>
      </c>
      <c r="K449">
        <f>COUNTIF('rEKAP kls MK'!$A$2:$A$35,Worksheet!C449)</f>
        <v>0</v>
      </c>
      <c r="L449" t="str">
        <f t="shared" si="24"/>
        <v>F1B112051</v>
      </c>
      <c r="M449" t="str">
        <f t="shared" si="25"/>
        <v>Teguh Agamawan Putra</v>
      </c>
      <c r="O449" t="str">
        <f t="shared" si="26"/>
        <v/>
      </c>
      <c r="P449" t="str">
        <f t="shared" si="27"/>
        <v/>
      </c>
    </row>
    <row r="450" spans="1:16">
      <c r="A450" t="s">
        <v>27</v>
      </c>
      <c r="B450" t="s">
        <v>28</v>
      </c>
      <c r="C450" t="s">
        <v>275</v>
      </c>
      <c r="D450" t="s">
        <v>276</v>
      </c>
      <c r="E450">
        <v>20171</v>
      </c>
      <c r="F450" t="s">
        <v>576</v>
      </c>
      <c r="G450" t="s">
        <v>82</v>
      </c>
      <c r="H450">
        <v>4</v>
      </c>
      <c r="I450">
        <v>0</v>
      </c>
      <c r="J450">
        <v>20201</v>
      </c>
      <c r="K450">
        <f>COUNTIF('rEKAP kls MK'!$A$2:$A$35,Worksheet!C450)</f>
        <v>0</v>
      </c>
      <c r="L450" t="str">
        <f t="shared" si="24"/>
        <v>F1B113016</v>
      </c>
      <c r="M450" t="str">
        <f t="shared" si="25"/>
        <v>JUZI SYUKRAN</v>
      </c>
      <c r="O450" t="str">
        <f t="shared" si="26"/>
        <v/>
      </c>
      <c r="P450" t="str">
        <f t="shared" si="27"/>
        <v/>
      </c>
    </row>
    <row r="451" spans="1:16">
      <c r="A451" t="s">
        <v>29</v>
      </c>
      <c r="B451" t="s">
        <v>30</v>
      </c>
      <c r="C451" t="s">
        <v>275</v>
      </c>
      <c r="D451" t="s">
        <v>276</v>
      </c>
      <c r="E451">
        <v>20171</v>
      </c>
      <c r="F451" t="s">
        <v>576</v>
      </c>
      <c r="G451" t="s">
        <v>82</v>
      </c>
      <c r="H451">
        <v>4</v>
      </c>
      <c r="I451">
        <v>0</v>
      </c>
      <c r="J451">
        <v>20201</v>
      </c>
      <c r="K451">
        <f>COUNTIF('rEKAP kls MK'!$A$2:$A$35,Worksheet!C451)</f>
        <v>0</v>
      </c>
      <c r="L451" t="str">
        <f t="shared" ref="L451:L514" si="28">IF(A450&lt;&gt;A451,A451,"")</f>
        <v>F1B113021</v>
      </c>
      <c r="M451" t="str">
        <f t="shared" ref="M451:M514" si="29">IF(B450&lt;&gt;B451,B451,"")</f>
        <v>LALU MUHAMMAD IBNU N</v>
      </c>
      <c r="O451" t="str">
        <f t="shared" ref="O451:O514" si="30">IF(D450&lt;&gt;D451,D451,"")</f>
        <v/>
      </c>
      <c r="P451" t="str">
        <f t="shared" ref="P451:P514" si="31">IF(F450&lt;&gt;F451,F451,"")</f>
        <v/>
      </c>
    </row>
    <row r="452" spans="1:16">
      <c r="A452" t="s">
        <v>33</v>
      </c>
      <c r="B452" t="s">
        <v>34</v>
      </c>
      <c r="C452" t="s">
        <v>275</v>
      </c>
      <c r="D452" t="s">
        <v>276</v>
      </c>
      <c r="E452">
        <v>20171</v>
      </c>
      <c r="F452" t="s">
        <v>576</v>
      </c>
      <c r="G452" t="s">
        <v>82</v>
      </c>
      <c r="H452">
        <v>4</v>
      </c>
      <c r="I452">
        <v>0</v>
      </c>
      <c r="J452">
        <v>20201</v>
      </c>
      <c r="K452">
        <f>COUNTIF('rEKAP kls MK'!$A$2:$A$35,Worksheet!C452)</f>
        <v>0</v>
      </c>
      <c r="L452" t="str">
        <f t="shared" si="28"/>
        <v>F1B113026</v>
      </c>
      <c r="M452" t="str">
        <f t="shared" si="29"/>
        <v>MUHAMAD ARDI RAHMAN</v>
      </c>
      <c r="O452" t="str">
        <f t="shared" si="30"/>
        <v/>
      </c>
      <c r="P452" t="str">
        <f t="shared" si="31"/>
        <v/>
      </c>
    </row>
    <row r="453" spans="1:16">
      <c r="A453" t="s">
        <v>35</v>
      </c>
      <c r="B453" t="s">
        <v>36</v>
      </c>
      <c r="C453" t="s">
        <v>275</v>
      </c>
      <c r="D453" t="s">
        <v>276</v>
      </c>
      <c r="E453">
        <v>20171</v>
      </c>
      <c r="F453" t="s">
        <v>576</v>
      </c>
      <c r="G453" t="s">
        <v>82</v>
      </c>
      <c r="H453">
        <v>4</v>
      </c>
      <c r="I453">
        <v>0</v>
      </c>
      <c r="J453">
        <v>20201</v>
      </c>
      <c r="K453">
        <f>COUNTIF('rEKAP kls MK'!$A$2:$A$35,Worksheet!C453)</f>
        <v>0</v>
      </c>
      <c r="L453" t="str">
        <f t="shared" si="28"/>
        <v>F1B113028</v>
      </c>
      <c r="M453" t="str">
        <f t="shared" si="29"/>
        <v>PUGUH DWI ANTARA</v>
      </c>
      <c r="O453" t="str">
        <f t="shared" si="30"/>
        <v/>
      </c>
      <c r="P453" t="str">
        <f t="shared" si="31"/>
        <v/>
      </c>
    </row>
    <row r="454" spans="1:16">
      <c r="A454" t="s">
        <v>37</v>
      </c>
      <c r="B454" t="s">
        <v>38</v>
      </c>
      <c r="C454" t="s">
        <v>275</v>
      </c>
      <c r="D454" t="s">
        <v>276</v>
      </c>
      <c r="E454">
        <v>20171</v>
      </c>
      <c r="F454" t="s">
        <v>576</v>
      </c>
      <c r="G454" t="s">
        <v>82</v>
      </c>
      <c r="H454">
        <v>4</v>
      </c>
      <c r="I454">
        <v>0</v>
      </c>
      <c r="J454">
        <v>20201</v>
      </c>
      <c r="K454">
        <f>COUNTIF('rEKAP kls MK'!$A$2:$A$35,Worksheet!C454)</f>
        <v>0</v>
      </c>
      <c r="L454" t="str">
        <f t="shared" si="28"/>
        <v>F1B113029</v>
      </c>
      <c r="M454" t="str">
        <f t="shared" si="29"/>
        <v>RANGGA FAJAR MAULANA</v>
      </c>
      <c r="O454" t="str">
        <f t="shared" si="30"/>
        <v/>
      </c>
      <c r="P454" t="str">
        <f t="shared" si="31"/>
        <v/>
      </c>
    </row>
    <row r="455" spans="1:16">
      <c r="A455" t="s">
        <v>136</v>
      </c>
      <c r="B455" t="s">
        <v>137</v>
      </c>
      <c r="C455" t="s">
        <v>275</v>
      </c>
      <c r="D455" t="s">
        <v>276</v>
      </c>
      <c r="E455">
        <v>20171</v>
      </c>
      <c r="F455" t="s">
        <v>576</v>
      </c>
      <c r="G455" t="s">
        <v>82</v>
      </c>
      <c r="H455">
        <v>4</v>
      </c>
      <c r="I455">
        <v>0</v>
      </c>
      <c r="J455">
        <v>20201</v>
      </c>
      <c r="K455">
        <f>COUNTIF('rEKAP kls MK'!$A$2:$A$35,Worksheet!C455)</f>
        <v>0</v>
      </c>
      <c r="L455" t="str">
        <f t="shared" si="28"/>
        <v>F1B113030</v>
      </c>
      <c r="M455" t="str">
        <f t="shared" si="29"/>
        <v>RIZAL ADI SAPUTRA</v>
      </c>
      <c r="O455" t="str">
        <f t="shared" si="30"/>
        <v/>
      </c>
      <c r="P455" t="str">
        <f t="shared" si="31"/>
        <v/>
      </c>
    </row>
    <row r="456" spans="1:16">
      <c r="A456" t="s">
        <v>39</v>
      </c>
      <c r="B456" t="s">
        <v>40</v>
      </c>
      <c r="C456" t="s">
        <v>275</v>
      </c>
      <c r="D456" t="s">
        <v>276</v>
      </c>
      <c r="E456">
        <v>20171</v>
      </c>
      <c r="F456" t="s">
        <v>576</v>
      </c>
      <c r="G456" t="s">
        <v>82</v>
      </c>
      <c r="H456">
        <v>4</v>
      </c>
      <c r="I456">
        <v>0</v>
      </c>
      <c r="J456">
        <v>20201</v>
      </c>
      <c r="K456">
        <f>COUNTIF('rEKAP kls MK'!$A$2:$A$35,Worksheet!C456)</f>
        <v>0</v>
      </c>
      <c r="L456" t="str">
        <f t="shared" si="28"/>
        <v>F1B113031</v>
      </c>
      <c r="M456" t="str">
        <f t="shared" si="29"/>
        <v>SADIQ RAMADHOAN</v>
      </c>
      <c r="O456" t="str">
        <f t="shared" si="30"/>
        <v/>
      </c>
      <c r="P456" t="str">
        <f t="shared" si="31"/>
        <v/>
      </c>
    </row>
    <row r="457" spans="1:16">
      <c r="A457" t="s">
        <v>41</v>
      </c>
      <c r="B457" t="s">
        <v>42</v>
      </c>
      <c r="C457" t="s">
        <v>275</v>
      </c>
      <c r="D457" t="s">
        <v>276</v>
      </c>
      <c r="E457">
        <v>20171</v>
      </c>
      <c r="F457" t="s">
        <v>576</v>
      </c>
      <c r="G457" t="s">
        <v>82</v>
      </c>
      <c r="H457">
        <v>4</v>
      </c>
      <c r="I457">
        <v>0</v>
      </c>
      <c r="J457">
        <v>20201</v>
      </c>
      <c r="K457">
        <f>COUNTIF('rEKAP kls MK'!$A$2:$A$35,Worksheet!C457)</f>
        <v>0</v>
      </c>
      <c r="L457" t="str">
        <f t="shared" si="28"/>
        <v>F1B113032</v>
      </c>
      <c r="M457" t="str">
        <f t="shared" si="29"/>
        <v>SAMSUL AZWARI</v>
      </c>
      <c r="O457" t="str">
        <f t="shared" si="30"/>
        <v/>
      </c>
      <c r="P457" t="str">
        <f t="shared" si="31"/>
        <v/>
      </c>
    </row>
    <row r="458" spans="1:16">
      <c r="A458" t="s">
        <v>43</v>
      </c>
      <c r="B458" t="s">
        <v>44</v>
      </c>
      <c r="C458" t="s">
        <v>275</v>
      </c>
      <c r="D458" t="s">
        <v>276</v>
      </c>
      <c r="E458">
        <v>20171</v>
      </c>
      <c r="F458" t="s">
        <v>576</v>
      </c>
      <c r="G458" t="s">
        <v>82</v>
      </c>
      <c r="H458">
        <v>4</v>
      </c>
      <c r="I458">
        <v>0</v>
      </c>
      <c r="J458">
        <v>20201</v>
      </c>
      <c r="K458">
        <f>COUNTIF('rEKAP kls MK'!$A$2:$A$35,Worksheet!C458)</f>
        <v>0</v>
      </c>
      <c r="L458" t="str">
        <f t="shared" si="28"/>
        <v>F1B113034</v>
      </c>
      <c r="M458" t="str">
        <f t="shared" si="29"/>
        <v>SHIR AJIE ASMORO</v>
      </c>
      <c r="O458" t="str">
        <f t="shared" si="30"/>
        <v/>
      </c>
      <c r="P458" t="str">
        <f t="shared" si="31"/>
        <v/>
      </c>
    </row>
    <row r="459" spans="1:16">
      <c r="A459" t="s">
        <v>173</v>
      </c>
      <c r="B459" t="s">
        <v>174</v>
      </c>
      <c r="C459" t="s">
        <v>275</v>
      </c>
      <c r="D459" t="s">
        <v>276</v>
      </c>
      <c r="E459">
        <v>20171</v>
      </c>
      <c r="F459" t="s">
        <v>576</v>
      </c>
      <c r="G459" t="s">
        <v>82</v>
      </c>
      <c r="H459">
        <v>4</v>
      </c>
      <c r="I459">
        <v>0</v>
      </c>
      <c r="J459">
        <v>20201</v>
      </c>
      <c r="K459">
        <f>COUNTIF('rEKAP kls MK'!$A$2:$A$35,Worksheet!C459)</f>
        <v>0</v>
      </c>
      <c r="L459" t="str">
        <f t="shared" si="28"/>
        <v>F1B113037</v>
      </c>
      <c r="M459" t="str">
        <f t="shared" si="29"/>
        <v>ULUL AZMI</v>
      </c>
      <c r="O459" t="str">
        <f t="shared" si="30"/>
        <v/>
      </c>
      <c r="P459" t="str">
        <f t="shared" si="31"/>
        <v/>
      </c>
    </row>
    <row r="460" spans="1:16">
      <c r="A460" t="s">
        <v>45</v>
      </c>
      <c r="B460" t="s">
        <v>46</v>
      </c>
      <c r="C460" t="s">
        <v>275</v>
      </c>
      <c r="D460" t="s">
        <v>276</v>
      </c>
      <c r="E460">
        <v>20171</v>
      </c>
      <c r="F460" t="s">
        <v>576</v>
      </c>
      <c r="G460" t="s">
        <v>82</v>
      </c>
      <c r="H460">
        <v>4</v>
      </c>
      <c r="I460">
        <v>0</v>
      </c>
      <c r="J460">
        <v>20201</v>
      </c>
      <c r="K460">
        <f>COUNTIF('rEKAP kls MK'!$A$2:$A$35,Worksheet!C460)</f>
        <v>0</v>
      </c>
      <c r="L460" t="str">
        <f t="shared" si="28"/>
        <v>F1B114001</v>
      </c>
      <c r="M460" t="str">
        <f t="shared" si="29"/>
        <v>ADI PURNA</v>
      </c>
      <c r="O460" t="str">
        <f t="shared" si="30"/>
        <v/>
      </c>
      <c r="P460" t="str">
        <f t="shared" si="31"/>
        <v/>
      </c>
    </row>
    <row r="461" spans="1:16">
      <c r="A461" t="s">
        <v>261</v>
      </c>
      <c r="B461" t="s">
        <v>262</v>
      </c>
      <c r="C461" t="s">
        <v>275</v>
      </c>
      <c r="D461" t="s">
        <v>276</v>
      </c>
      <c r="E461">
        <v>20171</v>
      </c>
      <c r="F461" t="s">
        <v>576</v>
      </c>
      <c r="G461" t="s">
        <v>82</v>
      </c>
      <c r="H461">
        <v>4</v>
      </c>
      <c r="I461">
        <v>0</v>
      </c>
      <c r="J461">
        <v>20201</v>
      </c>
      <c r="K461">
        <f>COUNTIF('rEKAP kls MK'!$A$2:$A$35,Worksheet!C461)</f>
        <v>0</v>
      </c>
      <c r="L461" t="str">
        <f t="shared" si="28"/>
        <v>F1B114006</v>
      </c>
      <c r="M461" t="str">
        <f t="shared" si="29"/>
        <v>BAYU RAMADHAN</v>
      </c>
      <c r="O461" t="str">
        <f t="shared" si="30"/>
        <v/>
      </c>
      <c r="P461" t="str">
        <f t="shared" si="31"/>
        <v/>
      </c>
    </row>
    <row r="462" spans="1:16">
      <c r="A462" t="s">
        <v>49</v>
      </c>
      <c r="B462" t="s">
        <v>50</v>
      </c>
      <c r="C462" t="s">
        <v>275</v>
      </c>
      <c r="D462" t="s">
        <v>276</v>
      </c>
      <c r="E462">
        <v>20171</v>
      </c>
      <c r="F462" t="s">
        <v>576</v>
      </c>
      <c r="G462" t="s">
        <v>150</v>
      </c>
      <c r="H462">
        <v>0</v>
      </c>
      <c r="I462">
        <v>0</v>
      </c>
      <c r="J462">
        <v>20201</v>
      </c>
      <c r="K462">
        <f>COUNTIF('rEKAP kls MK'!$A$2:$A$35,Worksheet!C462)</f>
        <v>0</v>
      </c>
      <c r="L462" t="str">
        <f t="shared" si="28"/>
        <v>F1B114007</v>
      </c>
      <c r="M462" t="str">
        <f t="shared" si="29"/>
        <v>BIJE SYIAPRIADI D</v>
      </c>
      <c r="O462" t="str">
        <f t="shared" si="30"/>
        <v/>
      </c>
      <c r="P462" t="str">
        <f t="shared" si="31"/>
        <v/>
      </c>
    </row>
    <row r="463" spans="1:16">
      <c r="A463" t="s">
        <v>155</v>
      </c>
      <c r="B463" t="s">
        <v>156</v>
      </c>
      <c r="C463" t="s">
        <v>275</v>
      </c>
      <c r="D463" t="s">
        <v>276</v>
      </c>
      <c r="E463">
        <v>20171</v>
      </c>
      <c r="F463" t="s">
        <v>576</v>
      </c>
      <c r="G463" t="s">
        <v>82</v>
      </c>
      <c r="H463">
        <v>4</v>
      </c>
      <c r="I463">
        <v>0</v>
      </c>
      <c r="J463">
        <v>20201</v>
      </c>
      <c r="K463">
        <f>COUNTIF('rEKAP kls MK'!$A$2:$A$35,Worksheet!C463)</f>
        <v>0</v>
      </c>
      <c r="L463" t="str">
        <f t="shared" si="28"/>
        <v>F1B114008</v>
      </c>
      <c r="M463" t="str">
        <f t="shared" si="29"/>
        <v>BRIAN ABBY ARIESTYO WIRYANDITO</v>
      </c>
      <c r="O463" t="str">
        <f t="shared" si="30"/>
        <v/>
      </c>
      <c r="P463" t="str">
        <f t="shared" si="31"/>
        <v/>
      </c>
    </row>
    <row r="464" spans="1:16">
      <c r="A464" t="s">
        <v>175</v>
      </c>
      <c r="B464" t="s">
        <v>176</v>
      </c>
      <c r="C464" t="s">
        <v>275</v>
      </c>
      <c r="D464" t="s">
        <v>276</v>
      </c>
      <c r="E464">
        <v>20171</v>
      </c>
      <c r="F464" t="s">
        <v>576</v>
      </c>
      <c r="G464" t="s">
        <v>150</v>
      </c>
      <c r="H464">
        <v>0</v>
      </c>
      <c r="I464">
        <v>0</v>
      </c>
      <c r="J464">
        <v>20201</v>
      </c>
      <c r="K464">
        <f>COUNTIF('rEKAP kls MK'!$A$2:$A$35,Worksheet!C464)</f>
        <v>0</v>
      </c>
      <c r="L464" t="str">
        <f t="shared" si="28"/>
        <v>F1B114009</v>
      </c>
      <c r="M464" t="str">
        <f t="shared" si="29"/>
        <v>DANA SELVIA HADISWARA</v>
      </c>
      <c r="O464" t="str">
        <f t="shared" si="30"/>
        <v/>
      </c>
      <c r="P464" t="str">
        <f t="shared" si="31"/>
        <v/>
      </c>
    </row>
    <row r="465" spans="1:16">
      <c r="A465" t="s">
        <v>161</v>
      </c>
      <c r="B465" t="s">
        <v>162</v>
      </c>
      <c r="C465" t="s">
        <v>275</v>
      </c>
      <c r="D465" t="s">
        <v>276</v>
      </c>
      <c r="E465">
        <v>20171</v>
      </c>
      <c r="F465" t="s">
        <v>576</v>
      </c>
      <c r="G465" t="s">
        <v>150</v>
      </c>
      <c r="H465">
        <v>0</v>
      </c>
      <c r="I465">
        <v>0</v>
      </c>
      <c r="J465">
        <v>20201</v>
      </c>
      <c r="K465">
        <f>COUNTIF('rEKAP kls MK'!$A$2:$A$35,Worksheet!C465)</f>
        <v>0</v>
      </c>
      <c r="L465" t="str">
        <f t="shared" si="28"/>
        <v>F1B114012</v>
      </c>
      <c r="M465" t="str">
        <f t="shared" si="29"/>
        <v>FATHUL AZIZ</v>
      </c>
      <c r="O465" t="str">
        <f t="shared" si="30"/>
        <v/>
      </c>
      <c r="P465" t="str">
        <f t="shared" si="31"/>
        <v/>
      </c>
    </row>
    <row r="466" spans="1:16">
      <c r="A466" t="s">
        <v>52</v>
      </c>
      <c r="B466" t="s">
        <v>53</v>
      </c>
      <c r="C466" t="s">
        <v>275</v>
      </c>
      <c r="D466" t="s">
        <v>276</v>
      </c>
      <c r="E466">
        <v>20171</v>
      </c>
      <c r="F466" t="s">
        <v>576</v>
      </c>
      <c r="G466" t="s">
        <v>150</v>
      </c>
      <c r="H466">
        <v>0</v>
      </c>
      <c r="I466">
        <v>0</v>
      </c>
      <c r="J466">
        <v>20201</v>
      </c>
      <c r="K466">
        <f>COUNTIF('rEKAP kls MK'!$A$2:$A$35,Worksheet!C466)</f>
        <v>0</v>
      </c>
      <c r="L466" t="str">
        <f t="shared" si="28"/>
        <v>F1B114014</v>
      </c>
      <c r="M466" t="str">
        <f t="shared" si="29"/>
        <v>HAMDUN</v>
      </c>
      <c r="O466" t="str">
        <f t="shared" si="30"/>
        <v/>
      </c>
      <c r="P466" t="str">
        <f t="shared" si="31"/>
        <v/>
      </c>
    </row>
    <row r="467" spans="1:16">
      <c r="A467" t="s">
        <v>163</v>
      </c>
      <c r="B467" t="s">
        <v>164</v>
      </c>
      <c r="C467" t="s">
        <v>275</v>
      </c>
      <c r="D467" t="s">
        <v>276</v>
      </c>
      <c r="E467">
        <v>20171</v>
      </c>
      <c r="F467" t="s">
        <v>576</v>
      </c>
      <c r="G467" t="s">
        <v>150</v>
      </c>
      <c r="H467">
        <v>0</v>
      </c>
      <c r="I467">
        <v>0</v>
      </c>
      <c r="J467">
        <v>20201</v>
      </c>
      <c r="K467">
        <f>COUNTIF('rEKAP kls MK'!$A$2:$A$35,Worksheet!C467)</f>
        <v>0</v>
      </c>
      <c r="L467" t="str">
        <f t="shared" si="28"/>
        <v>F1B114016</v>
      </c>
      <c r="M467" t="str">
        <f t="shared" si="29"/>
        <v>HERLAN</v>
      </c>
      <c r="O467" t="str">
        <f t="shared" si="30"/>
        <v/>
      </c>
      <c r="P467" t="str">
        <f t="shared" si="31"/>
        <v/>
      </c>
    </row>
    <row r="468" spans="1:16">
      <c r="A468" t="s">
        <v>263</v>
      </c>
      <c r="B468" t="s">
        <v>264</v>
      </c>
      <c r="C468" t="s">
        <v>275</v>
      </c>
      <c r="D468" t="s">
        <v>276</v>
      </c>
      <c r="E468">
        <v>20171</v>
      </c>
      <c r="F468" t="s">
        <v>576</v>
      </c>
      <c r="G468" t="s">
        <v>150</v>
      </c>
      <c r="H468">
        <v>0</v>
      </c>
      <c r="I468">
        <v>0</v>
      </c>
      <c r="J468">
        <v>20201</v>
      </c>
      <c r="K468">
        <f>COUNTIF('rEKAP kls MK'!$A$2:$A$35,Worksheet!C468)</f>
        <v>0</v>
      </c>
      <c r="L468" t="str">
        <f t="shared" si="28"/>
        <v>F1B114017</v>
      </c>
      <c r="M468" t="str">
        <f t="shared" si="29"/>
        <v>HIDAYATUR RAHMAN</v>
      </c>
      <c r="O468" t="str">
        <f t="shared" si="30"/>
        <v/>
      </c>
      <c r="P468" t="str">
        <f t="shared" si="31"/>
        <v/>
      </c>
    </row>
    <row r="469" spans="1:16">
      <c r="A469" t="s">
        <v>142</v>
      </c>
      <c r="B469" t="s">
        <v>143</v>
      </c>
      <c r="C469" t="s">
        <v>275</v>
      </c>
      <c r="D469" t="s">
        <v>276</v>
      </c>
      <c r="E469">
        <v>20171</v>
      </c>
      <c r="F469" t="s">
        <v>576</v>
      </c>
      <c r="G469" t="s">
        <v>150</v>
      </c>
      <c r="H469">
        <v>0</v>
      </c>
      <c r="I469">
        <v>0</v>
      </c>
      <c r="J469">
        <v>20201</v>
      </c>
      <c r="K469">
        <f>COUNTIF('rEKAP kls MK'!$A$2:$A$35,Worksheet!C469)</f>
        <v>0</v>
      </c>
      <c r="L469" t="str">
        <f t="shared" si="28"/>
        <v>F1B114018</v>
      </c>
      <c r="M469" t="str">
        <f t="shared" si="29"/>
        <v>I GUSTI BAGUS HENDRA PRADIPTA</v>
      </c>
      <c r="O469" t="str">
        <f t="shared" si="30"/>
        <v/>
      </c>
      <c r="P469" t="str">
        <f t="shared" si="31"/>
        <v/>
      </c>
    </row>
    <row r="470" spans="1:16">
      <c r="A470" t="s">
        <v>265</v>
      </c>
      <c r="B470" t="s">
        <v>266</v>
      </c>
      <c r="C470" t="s">
        <v>275</v>
      </c>
      <c r="D470" t="s">
        <v>276</v>
      </c>
      <c r="E470">
        <v>20171</v>
      </c>
      <c r="F470" t="s">
        <v>576</v>
      </c>
      <c r="G470" t="s">
        <v>82</v>
      </c>
      <c r="H470">
        <v>4</v>
      </c>
      <c r="I470">
        <v>0</v>
      </c>
      <c r="J470">
        <v>20201</v>
      </c>
      <c r="K470">
        <f>COUNTIF('rEKAP kls MK'!$A$2:$A$35,Worksheet!C470)</f>
        <v>0</v>
      </c>
      <c r="L470" t="str">
        <f t="shared" si="28"/>
        <v>F1B114020</v>
      </c>
      <c r="M470" t="str">
        <f t="shared" si="29"/>
        <v>IMRAN</v>
      </c>
      <c r="O470" t="str">
        <f t="shared" si="30"/>
        <v/>
      </c>
      <c r="P470" t="str">
        <f t="shared" si="31"/>
        <v/>
      </c>
    </row>
    <row r="471" spans="1:16">
      <c r="A471" t="s">
        <v>165</v>
      </c>
      <c r="B471" t="s">
        <v>166</v>
      </c>
      <c r="C471" t="s">
        <v>275</v>
      </c>
      <c r="D471" t="s">
        <v>276</v>
      </c>
      <c r="E471">
        <v>20171</v>
      </c>
      <c r="F471" t="s">
        <v>576</v>
      </c>
      <c r="G471" t="s">
        <v>150</v>
      </c>
      <c r="H471">
        <v>0</v>
      </c>
      <c r="I471">
        <v>0</v>
      </c>
      <c r="J471">
        <v>20201</v>
      </c>
      <c r="K471">
        <f>COUNTIF('rEKAP kls MK'!$A$2:$A$35,Worksheet!C471)</f>
        <v>0</v>
      </c>
      <c r="L471" t="str">
        <f t="shared" si="28"/>
        <v>F1B114022</v>
      </c>
      <c r="M471" t="str">
        <f t="shared" si="29"/>
        <v>JUWITA ASRI</v>
      </c>
      <c r="O471" t="str">
        <f t="shared" si="30"/>
        <v/>
      </c>
      <c r="P471" t="str">
        <f t="shared" si="31"/>
        <v/>
      </c>
    </row>
    <row r="472" spans="1:16">
      <c r="A472" t="s">
        <v>267</v>
      </c>
      <c r="B472" t="s">
        <v>268</v>
      </c>
      <c r="C472" t="s">
        <v>275</v>
      </c>
      <c r="D472" t="s">
        <v>276</v>
      </c>
      <c r="E472">
        <v>20171</v>
      </c>
      <c r="F472" t="s">
        <v>576</v>
      </c>
      <c r="G472" t="s">
        <v>82</v>
      </c>
      <c r="H472">
        <v>4</v>
      </c>
      <c r="I472">
        <v>0</v>
      </c>
      <c r="J472">
        <v>20201</v>
      </c>
      <c r="K472">
        <f>COUNTIF('rEKAP kls MK'!$A$2:$A$35,Worksheet!C472)</f>
        <v>0</v>
      </c>
      <c r="L472" t="str">
        <f t="shared" si="28"/>
        <v>F1B114025</v>
      </c>
      <c r="M472" t="str">
        <f t="shared" si="29"/>
        <v>MUAMMAR GHIRAHANDI HAMARIS</v>
      </c>
      <c r="O472" t="str">
        <f t="shared" si="30"/>
        <v/>
      </c>
      <c r="P472" t="str">
        <f t="shared" si="31"/>
        <v/>
      </c>
    </row>
    <row r="473" spans="1:16">
      <c r="A473" t="s">
        <v>257</v>
      </c>
      <c r="B473" t="s">
        <v>258</v>
      </c>
      <c r="C473" t="s">
        <v>275</v>
      </c>
      <c r="D473" t="s">
        <v>276</v>
      </c>
      <c r="E473">
        <v>20171</v>
      </c>
      <c r="F473" t="s">
        <v>576</v>
      </c>
      <c r="G473" t="s">
        <v>150</v>
      </c>
      <c r="H473">
        <v>0</v>
      </c>
      <c r="I473">
        <v>0</v>
      </c>
      <c r="J473">
        <v>20201</v>
      </c>
      <c r="K473">
        <f>COUNTIF('rEKAP kls MK'!$A$2:$A$35,Worksheet!C473)</f>
        <v>0</v>
      </c>
      <c r="L473" t="str">
        <f t="shared" si="28"/>
        <v>F1B114027</v>
      </c>
      <c r="M473" t="str">
        <f t="shared" si="29"/>
        <v>MUHAMMAD FEBRIAN RAMADAN</v>
      </c>
      <c r="O473" t="str">
        <f t="shared" si="30"/>
        <v/>
      </c>
      <c r="P473" t="str">
        <f t="shared" si="31"/>
        <v/>
      </c>
    </row>
    <row r="474" spans="1:16">
      <c r="A474" t="s">
        <v>201</v>
      </c>
      <c r="B474" t="s">
        <v>202</v>
      </c>
      <c r="C474" t="s">
        <v>275</v>
      </c>
      <c r="D474" t="s">
        <v>276</v>
      </c>
      <c r="E474">
        <v>20171</v>
      </c>
      <c r="F474" t="s">
        <v>576</v>
      </c>
      <c r="G474" t="s">
        <v>150</v>
      </c>
      <c r="H474">
        <v>0</v>
      </c>
      <c r="I474">
        <v>0</v>
      </c>
      <c r="J474">
        <v>20201</v>
      </c>
      <c r="K474">
        <f>COUNTIF('rEKAP kls MK'!$A$2:$A$35,Worksheet!C474)</f>
        <v>0</v>
      </c>
      <c r="L474" t="str">
        <f t="shared" si="28"/>
        <v>F1B114030</v>
      </c>
      <c r="M474" t="str">
        <f t="shared" si="29"/>
        <v>PUTRA RAHMAT RAMADAN</v>
      </c>
      <c r="O474" t="str">
        <f t="shared" si="30"/>
        <v/>
      </c>
      <c r="P474" t="str">
        <f t="shared" si="31"/>
        <v/>
      </c>
    </row>
    <row r="475" spans="1:16">
      <c r="A475" t="s">
        <v>45</v>
      </c>
      <c r="B475" t="s">
        <v>46</v>
      </c>
      <c r="C475" t="s">
        <v>444</v>
      </c>
      <c r="D475" t="s">
        <v>445</v>
      </c>
      <c r="E475">
        <v>20171</v>
      </c>
      <c r="F475" t="s">
        <v>14</v>
      </c>
      <c r="G475" t="s">
        <v>18</v>
      </c>
      <c r="H475">
        <v>3</v>
      </c>
      <c r="I475">
        <v>0</v>
      </c>
      <c r="J475">
        <v>20201</v>
      </c>
      <c r="K475">
        <f>COUNTIF('rEKAP kls MK'!$A$2:$A$35,Worksheet!C475)</f>
        <v>1</v>
      </c>
      <c r="L475" t="str">
        <f t="shared" si="28"/>
        <v>F1B114001</v>
      </c>
      <c r="M475" t="str">
        <f t="shared" si="29"/>
        <v>ADI PURNA</v>
      </c>
      <c r="O475" t="str">
        <f t="shared" si="30"/>
        <v>MANAJEMEN OPERASI SISTEM TENAGA</v>
      </c>
      <c r="P475" t="str">
        <f t="shared" si="31"/>
        <v>S</v>
      </c>
    </row>
    <row r="476" spans="1:16">
      <c r="A476" t="s">
        <v>140</v>
      </c>
      <c r="B476" t="s">
        <v>141</v>
      </c>
      <c r="C476" t="s">
        <v>444</v>
      </c>
      <c r="D476" t="s">
        <v>445</v>
      </c>
      <c r="E476">
        <v>20171</v>
      </c>
      <c r="F476" t="s">
        <v>14</v>
      </c>
      <c r="G476" t="s">
        <v>23</v>
      </c>
      <c r="H476">
        <v>2.5</v>
      </c>
      <c r="I476">
        <v>0</v>
      </c>
      <c r="J476">
        <v>20201</v>
      </c>
      <c r="K476">
        <f>COUNTIF('rEKAP kls MK'!$A$2:$A$35,Worksheet!C476)</f>
        <v>1</v>
      </c>
      <c r="L476" t="str">
        <f t="shared" si="28"/>
        <v>F1B114003</v>
      </c>
      <c r="M476" t="str">
        <f t="shared" si="29"/>
        <v>AGUS SUPANDI</v>
      </c>
      <c r="O476" t="str">
        <f t="shared" si="30"/>
        <v/>
      </c>
      <c r="P476" t="str">
        <f t="shared" si="31"/>
        <v/>
      </c>
    </row>
    <row r="477" spans="1:16">
      <c r="A477" t="s">
        <v>47</v>
      </c>
      <c r="B477" t="s">
        <v>48</v>
      </c>
      <c r="C477" t="s">
        <v>444</v>
      </c>
      <c r="D477" t="s">
        <v>445</v>
      </c>
      <c r="E477">
        <v>20171</v>
      </c>
      <c r="F477" t="s">
        <v>14</v>
      </c>
      <c r="G477" t="s">
        <v>18</v>
      </c>
      <c r="H477">
        <v>3</v>
      </c>
      <c r="I477">
        <v>0</v>
      </c>
      <c r="J477">
        <v>20201</v>
      </c>
      <c r="K477">
        <f>COUNTIF('rEKAP kls MK'!$A$2:$A$35,Worksheet!C477)</f>
        <v>1</v>
      </c>
      <c r="L477" t="str">
        <f t="shared" si="28"/>
        <v>F1B114004</v>
      </c>
      <c r="M477" t="str">
        <f t="shared" si="29"/>
        <v>AKHMAD AKHIR BULAN</v>
      </c>
      <c r="O477" t="str">
        <f t="shared" si="30"/>
        <v/>
      </c>
      <c r="P477" t="str">
        <f t="shared" si="31"/>
        <v/>
      </c>
    </row>
    <row r="478" spans="1:16">
      <c r="A478" t="s">
        <v>261</v>
      </c>
      <c r="B478" t="s">
        <v>262</v>
      </c>
      <c r="C478" t="s">
        <v>444</v>
      </c>
      <c r="D478" t="s">
        <v>445</v>
      </c>
      <c r="E478">
        <v>20171</v>
      </c>
      <c r="F478" t="s">
        <v>14</v>
      </c>
      <c r="G478" t="s">
        <v>51</v>
      </c>
      <c r="H478">
        <v>3.5</v>
      </c>
      <c r="I478">
        <v>0</v>
      </c>
      <c r="J478">
        <v>20201</v>
      </c>
      <c r="K478">
        <f>COUNTIF('rEKAP kls MK'!$A$2:$A$35,Worksheet!C478)</f>
        <v>1</v>
      </c>
      <c r="L478" t="str">
        <f t="shared" si="28"/>
        <v>F1B114006</v>
      </c>
      <c r="M478" t="str">
        <f t="shared" si="29"/>
        <v>BAYU RAMADHAN</v>
      </c>
      <c r="O478" t="str">
        <f t="shared" si="30"/>
        <v/>
      </c>
      <c r="P478" t="str">
        <f t="shared" si="31"/>
        <v/>
      </c>
    </row>
    <row r="479" spans="1:16">
      <c r="A479" t="s">
        <v>52</v>
      </c>
      <c r="B479" t="s">
        <v>53</v>
      </c>
      <c r="C479" t="s">
        <v>444</v>
      </c>
      <c r="D479" t="s">
        <v>445</v>
      </c>
      <c r="E479">
        <v>20171</v>
      </c>
      <c r="F479" t="s">
        <v>14</v>
      </c>
      <c r="G479" t="s">
        <v>51</v>
      </c>
      <c r="H479">
        <v>3.5</v>
      </c>
      <c r="I479">
        <v>0</v>
      </c>
      <c r="J479">
        <v>20201</v>
      </c>
      <c r="K479">
        <f>COUNTIF('rEKAP kls MK'!$A$2:$A$35,Worksheet!C479)</f>
        <v>1</v>
      </c>
      <c r="L479" t="str">
        <f t="shared" si="28"/>
        <v>F1B114014</v>
      </c>
      <c r="M479" t="str">
        <f t="shared" si="29"/>
        <v>HAMDUN</v>
      </c>
      <c r="O479" t="str">
        <f t="shared" si="30"/>
        <v/>
      </c>
      <c r="P479" t="str">
        <f t="shared" si="31"/>
        <v/>
      </c>
    </row>
    <row r="480" spans="1:16">
      <c r="A480" t="s">
        <v>163</v>
      </c>
      <c r="B480" t="s">
        <v>164</v>
      </c>
      <c r="C480" t="s">
        <v>444</v>
      </c>
      <c r="D480" t="s">
        <v>445</v>
      </c>
      <c r="E480">
        <v>20171</v>
      </c>
      <c r="F480" t="s">
        <v>14</v>
      </c>
      <c r="G480" t="s">
        <v>51</v>
      </c>
      <c r="H480">
        <v>3.5</v>
      </c>
      <c r="I480">
        <v>0</v>
      </c>
      <c r="J480">
        <v>20201</v>
      </c>
      <c r="K480">
        <f>COUNTIF('rEKAP kls MK'!$A$2:$A$35,Worksheet!C480)</f>
        <v>1</v>
      </c>
      <c r="L480" t="str">
        <f t="shared" si="28"/>
        <v>F1B114016</v>
      </c>
      <c r="M480" t="str">
        <f t="shared" si="29"/>
        <v>HERLAN</v>
      </c>
      <c r="O480" t="str">
        <f t="shared" si="30"/>
        <v/>
      </c>
      <c r="P480" t="str">
        <f t="shared" si="31"/>
        <v/>
      </c>
    </row>
    <row r="481" spans="1:16">
      <c r="A481" t="s">
        <v>263</v>
      </c>
      <c r="B481" t="s">
        <v>264</v>
      </c>
      <c r="C481" t="s">
        <v>444</v>
      </c>
      <c r="D481" t="s">
        <v>445</v>
      </c>
      <c r="E481">
        <v>20171</v>
      </c>
      <c r="F481" t="s">
        <v>14</v>
      </c>
      <c r="G481" t="s">
        <v>51</v>
      </c>
      <c r="H481">
        <v>3.5</v>
      </c>
      <c r="I481">
        <v>0</v>
      </c>
      <c r="J481">
        <v>20201</v>
      </c>
      <c r="K481">
        <f>COUNTIF('rEKAP kls MK'!$A$2:$A$35,Worksheet!C481)</f>
        <v>1</v>
      </c>
      <c r="L481" t="str">
        <f t="shared" si="28"/>
        <v>F1B114017</v>
      </c>
      <c r="M481" t="str">
        <f t="shared" si="29"/>
        <v>HIDAYATUR RAHMAN</v>
      </c>
      <c r="O481" t="str">
        <f t="shared" si="30"/>
        <v/>
      </c>
      <c r="P481" t="str">
        <f t="shared" si="31"/>
        <v/>
      </c>
    </row>
    <row r="482" spans="1:16">
      <c r="A482" t="s">
        <v>265</v>
      </c>
      <c r="B482" t="s">
        <v>266</v>
      </c>
      <c r="C482" t="s">
        <v>444</v>
      </c>
      <c r="D482" t="s">
        <v>445</v>
      </c>
      <c r="E482">
        <v>20171</v>
      </c>
      <c r="F482" t="s">
        <v>14</v>
      </c>
      <c r="G482" t="s">
        <v>18</v>
      </c>
      <c r="H482">
        <v>3</v>
      </c>
      <c r="I482">
        <v>0</v>
      </c>
      <c r="J482">
        <v>20201</v>
      </c>
      <c r="K482">
        <f>COUNTIF('rEKAP kls MK'!$A$2:$A$35,Worksheet!C482)</f>
        <v>1</v>
      </c>
      <c r="L482" t="str">
        <f t="shared" si="28"/>
        <v>F1B114020</v>
      </c>
      <c r="M482" t="str">
        <f t="shared" si="29"/>
        <v>IMRAN</v>
      </c>
      <c r="O482" t="str">
        <f t="shared" si="30"/>
        <v/>
      </c>
      <c r="P482" t="str">
        <f t="shared" si="31"/>
        <v/>
      </c>
    </row>
    <row r="483" spans="1:16">
      <c r="A483" t="s">
        <v>446</v>
      </c>
      <c r="B483" t="s">
        <v>447</v>
      </c>
      <c r="C483" t="s">
        <v>444</v>
      </c>
      <c r="D483" t="s">
        <v>445</v>
      </c>
      <c r="E483">
        <v>20171</v>
      </c>
      <c r="F483" t="s">
        <v>14</v>
      </c>
      <c r="G483" t="s">
        <v>101</v>
      </c>
      <c r="H483">
        <v>0</v>
      </c>
      <c r="I483">
        <v>0</v>
      </c>
      <c r="J483">
        <v>20201</v>
      </c>
      <c r="K483">
        <f>COUNTIF('rEKAP kls MK'!$A$2:$A$35,Worksheet!C483)</f>
        <v>1</v>
      </c>
      <c r="L483" t="str">
        <f t="shared" si="28"/>
        <v>F1B114021</v>
      </c>
      <c r="M483" t="str">
        <f t="shared" si="29"/>
        <v>JAUHARI MAKNUN</v>
      </c>
      <c r="O483" t="str">
        <f t="shared" si="30"/>
        <v/>
      </c>
      <c r="P483" t="str">
        <f t="shared" si="31"/>
        <v/>
      </c>
    </row>
    <row r="484" spans="1:16">
      <c r="A484" t="s">
        <v>267</v>
      </c>
      <c r="B484" t="s">
        <v>268</v>
      </c>
      <c r="C484" t="s">
        <v>444</v>
      </c>
      <c r="D484" t="s">
        <v>445</v>
      </c>
      <c r="E484">
        <v>20171</v>
      </c>
      <c r="F484" t="s">
        <v>14</v>
      </c>
      <c r="G484" t="s">
        <v>18</v>
      </c>
      <c r="H484">
        <v>3</v>
      </c>
      <c r="I484">
        <v>0</v>
      </c>
      <c r="J484">
        <v>20201</v>
      </c>
      <c r="K484">
        <f>COUNTIF('rEKAP kls MK'!$A$2:$A$35,Worksheet!C484)</f>
        <v>1</v>
      </c>
      <c r="L484" t="str">
        <f t="shared" si="28"/>
        <v>F1B114025</v>
      </c>
      <c r="M484" t="str">
        <f t="shared" si="29"/>
        <v>MUAMMAR GHIRAHANDI HAMARIS</v>
      </c>
      <c r="O484" t="str">
        <f t="shared" si="30"/>
        <v/>
      </c>
      <c r="P484" t="str">
        <f t="shared" si="31"/>
        <v/>
      </c>
    </row>
    <row r="485" spans="1:16">
      <c r="A485" t="s">
        <v>257</v>
      </c>
      <c r="B485" t="s">
        <v>258</v>
      </c>
      <c r="C485" t="s">
        <v>444</v>
      </c>
      <c r="D485" t="s">
        <v>445</v>
      </c>
      <c r="E485">
        <v>20171</v>
      </c>
      <c r="F485" t="s">
        <v>14</v>
      </c>
      <c r="G485" t="s">
        <v>18</v>
      </c>
      <c r="H485">
        <v>3</v>
      </c>
      <c r="I485">
        <v>0</v>
      </c>
      <c r="J485">
        <v>20201</v>
      </c>
      <c r="K485">
        <f>COUNTIF('rEKAP kls MK'!$A$2:$A$35,Worksheet!C485)</f>
        <v>1</v>
      </c>
      <c r="L485" t="str">
        <f t="shared" si="28"/>
        <v>F1B114027</v>
      </c>
      <c r="M485" t="str">
        <f t="shared" si="29"/>
        <v>MUHAMMAD FEBRIAN RAMADAN</v>
      </c>
      <c r="O485" t="str">
        <f t="shared" si="30"/>
        <v/>
      </c>
      <c r="P485" t="str">
        <f t="shared" si="31"/>
        <v/>
      </c>
    </row>
    <row r="486" spans="1:16">
      <c r="A486" t="s">
        <v>243</v>
      </c>
      <c r="B486" t="s">
        <v>244</v>
      </c>
      <c r="C486" t="s">
        <v>444</v>
      </c>
      <c r="D486" t="s">
        <v>445</v>
      </c>
      <c r="E486">
        <v>20171</v>
      </c>
      <c r="F486" t="s">
        <v>14</v>
      </c>
      <c r="G486" t="s">
        <v>15</v>
      </c>
      <c r="H486">
        <v>0</v>
      </c>
      <c r="I486">
        <v>0</v>
      </c>
      <c r="J486">
        <v>20201</v>
      </c>
      <c r="K486">
        <f>COUNTIF('rEKAP kls MK'!$A$2:$A$35,Worksheet!C486)</f>
        <v>1</v>
      </c>
      <c r="L486" t="str">
        <f t="shared" si="28"/>
        <v>F1B115019</v>
      </c>
      <c r="M486" t="str">
        <f t="shared" si="29"/>
        <v>Jumriati</v>
      </c>
      <c r="O486" t="str">
        <f t="shared" si="30"/>
        <v/>
      </c>
      <c r="P486" t="str">
        <f t="shared" si="31"/>
        <v/>
      </c>
    </row>
    <row r="487" spans="1:16">
      <c r="A487" t="s">
        <v>177</v>
      </c>
      <c r="B487" t="s">
        <v>178</v>
      </c>
      <c r="C487" t="s">
        <v>465</v>
      </c>
      <c r="D487" t="s">
        <v>466</v>
      </c>
      <c r="E487">
        <v>20171</v>
      </c>
      <c r="F487" t="s">
        <v>467</v>
      </c>
      <c r="G487" t="s">
        <v>150</v>
      </c>
      <c r="H487">
        <v>0</v>
      </c>
      <c r="I487">
        <v>0</v>
      </c>
      <c r="J487">
        <v>20201</v>
      </c>
      <c r="K487">
        <f>COUNTIF('rEKAP kls MK'!$A$2:$A$35,Worksheet!C487)</f>
        <v>0</v>
      </c>
      <c r="L487" t="str">
        <f t="shared" si="28"/>
        <v>F1B111030</v>
      </c>
      <c r="M487" t="str">
        <f t="shared" si="29"/>
        <v>Islahudin</v>
      </c>
      <c r="O487" t="str">
        <f t="shared" si="30"/>
        <v>MATEMATIKA DASAR</v>
      </c>
      <c r="P487" t="str">
        <f t="shared" si="31"/>
        <v>TPB</v>
      </c>
    </row>
    <row r="488" spans="1:16">
      <c r="A488" t="s">
        <v>136</v>
      </c>
      <c r="B488" t="s">
        <v>137</v>
      </c>
      <c r="C488" t="s">
        <v>465</v>
      </c>
      <c r="D488" t="s">
        <v>466</v>
      </c>
      <c r="E488">
        <v>20171</v>
      </c>
      <c r="F488" t="s">
        <v>467</v>
      </c>
      <c r="G488" t="s">
        <v>51</v>
      </c>
      <c r="H488">
        <v>3.5</v>
      </c>
      <c r="I488">
        <v>0</v>
      </c>
      <c r="J488">
        <v>20201</v>
      </c>
      <c r="K488">
        <f>COUNTIF('rEKAP kls MK'!$A$2:$A$35,Worksheet!C488)</f>
        <v>0</v>
      </c>
      <c r="L488" t="str">
        <f t="shared" si="28"/>
        <v>F1B113030</v>
      </c>
      <c r="M488" t="str">
        <f t="shared" si="29"/>
        <v>RIZAL ADI SAPUTRA</v>
      </c>
      <c r="O488" t="str">
        <f t="shared" si="30"/>
        <v/>
      </c>
      <c r="P488" t="str">
        <f t="shared" si="31"/>
        <v/>
      </c>
    </row>
    <row r="489" spans="1:16">
      <c r="A489" t="s">
        <v>173</v>
      </c>
      <c r="B489" t="s">
        <v>174</v>
      </c>
      <c r="C489" t="s">
        <v>465</v>
      </c>
      <c r="D489" t="s">
        <v>466</v>
      </c>
      <c r="E489">
        <v>20171</v>
      </c>
      <c r="F489" t="s">
        <v>467</v>
      </c>
      <c r="G489" t="s">
        <v>51</v>
      </c>
      <c r="H489">
        <v>3.5</v>
      </c>
      <c r="I489">
        <v>0</v>
      </c>
      <c r="J489">
        <v>20201</v>
      </c>
      <c r="K489">
        <f>COUNTIF('rEKAP kls MK'!$A$2:$A$35,Worksheet!C489)</f>
        <v>0</v>
      </c>
      <c r="L489" t="str">
        <f t="shared" si="28"/>
        <v>F1B113037</v>
      </c>
      <c r="M489" t="str">
        <f t="shared" si="29"/>
        <v>ULUL AZMI</v>
      </c>
      <c r="O489" t="str">
        <f t="shared" si="30"/>
        <v/>
      </c>
      <c r="P489" t="str">
        <f t="shared" si="31"/>
        <v/>
      </c>
    </row>
    <row r="490" spans="1:16">
      <c r="A490" t="s">
        <v>144</v>
      </c>
      <c r="B490" t="s">
        <v>145</v>
      </c>
      <c r="C490" t="s">
        <v>465</v>
      </c>
      <c r="D490" t="s">
        <v>466</v>
      </c>
      <c r="E490">
        <v>20171</v>
      </c>
      <c r="F490" t="s">
        <v>467</v>
      </c>
      <c r="G490" t="s">
        <v>23</v>
      </c>
      <c r="H490">
        <v>2.5</v>
      </c>
      <c r="I490">
        <v>0</v>
      </c>
      <c r="J490">
        <v>20201</v>
      </c>
      <c r="K490">
        <f>COUNTIF('rEKAP kls MK'!$A$2:$A$35,Worksheet!C490)</f>
        <v>0</v>
      </c>
      <c r="L490" t="str">
        <f t="shared" si="28"/>
        <v>F1B115013</v>
      </c>
      <c r="M490" t="str">
        <f t="shared" si="29"/>
        <v>HERU WILUKMAN HAKIM</v>
      </c>
      <c r="O490" t="str">
        <f t="shared" si="30"/>
        <v/>
      </c>
      <c r="P490" t="str">
        <f t="shared" si="31"/>
        <v/>
      </c>
    </row>
    <row r="491" spans="1:16">
      <c r="A491" t="s">
        <v>227</v>
      </c>
      <c r="B491" t="s">
        <v>228</v>
      </c>
      <c r="C491" t="s">
        <v>465</v>
      </c>
      <c r="D491" t="s">
        <v>466</v>
      </c>
      <c r="E491">
        <v>20171</v>
      </c>
      <c r="F491" t="s">
        <v>467</v>
      </c>
      <c r="G491" t="s">
        <v>116</v>
      </c>
      <c r="H491">
        <v>1.5</v>
      </c>
      <c r="I491">
        <v>0</v>
      </c>
      <c r="J491">
        <v>20201</v>
      </c>
      <c r="K491">
        <f>COUNTIF('rEKAP kls MK'!$A$2:$A$35,Worksheet!C491)</f>
        <v>0</v>
      </c>
      <c r="L491" t="str">
        <f t="shared" si="28"/>
        <v>F1B115027</v>
      </c>
      <c r="M491" t="str">
        <f t="shared" si="29"/>
        <v>MUHAMAD NUDISANTANA RISWANDI</v>
      </c>
      <c r="O491" t="str">
        <f t="shared" si="30"/>
        <v/>
      </c>
      <c r="P491" t="str">
        <f t="shared" si="31"/>
        <v/>
      </c>
    </row>
    <row r="492" spans="1:16">
      <c r="A492" t="s">
        <v>229</v>
      </c>
      <c r="B492" t="s">
        <v>230</v>
      </c>
      <c r="C492" t="s">
        <v>465</v>
      </c>
      <c r="D492" t="s">
        <v>466</v>
      </c>
      <c r="E492">
        <v>20171</v>
      </c>
      <c r="F492" t="s">
        <v>467</v>
      </c>
      <c r="G492" t="s">
        <v>26</v>
      </c>
      <c r="H492">
        <v>2</v>
      </c>
      <c r="I492">
        <v>0</v>
      </c>
      <c r="J492">
        <v>20201</v>
      </c>
      <c r="K492">
        <f>COUNTIF('rEKAP kls MK'!$A$2:$A$35,Worksheet!C492)</f>
        <v>0</v>
      </c>
      <c r="L492" t="str">
        <f t="shared" si="28"/>
        <v>F1B115029</v>
      </c>
      <c r="M492" t="str">
        <f t="shared" si="29"/>
        <v>MUHAMAT TAUFIK</v>
      </c>
      <c r="O492" t="str">
        <f t="shared" si="30"/>
        <v/>
      </c>
      <c r="P492" t="str">
        <f t="shared" si="31"/>
        <v/>
      </c>
    </row>
    <row r="493" spans="1:16">
      <c r="A493" t="s">
        <v>468</v>
      </c>
      <c r="B493" t="s">
        <v>469</v>
      </c>
      <c r="C493" t="s">
        <v>465</v>
      </c>
      <c r="D493" t="s">
        <v>466</v>
      </c>
      <c r="E493">
        <v>20171</v>
      </c>
      <c r="F493" t="s">
        <v>467</v>
      </c>
      <c r="G493" t="s">
        <v>26</v>
      </c>
      <c r="H493">
        <v>2</v>
      </c>
      <c r="I493">
        <v>0</v>
      </c>
      <c r="J493">
        <v>20201</v>
      </c>
      <c r="K493">
        <f>COUNTIF('rEKAP kls MK'!$A$2:$A$35,Worksheet!C493)</f>
        <v>0</v>
      </c>
      <c r="L493" t="str">
        <f t="shared" si="28"/>
        <v>F1B117001</v>
      </c>
      <c r="M493" t="str">
        <f t="shared" si="29"/>
        <v>ABI LASKAR</v>
      </c>
      <c r="O493" t="str">
        <f t="shared" si="30"/>
        <v/>
      </c>
      <c r="P493" t="str">
        <f t="shared" si="31"/>
        <v/>
      </c>
    </row>
    <row r="494" spans="1:16">
      <c r="A494" t="s">
        <v>470</v>
      </c>
      <c r="B494" t="s">
        <v>471</v>
      </c>
      <c r="C494" t="s">
        <v>465</v>
      </c>
      <c r="D494" t="s">
        <v>466</v>
      </c>
      <c r="E494">
        <v>20171</v>
      </c>
      <c r="F494" t="s">
        <v>467</v>
      </c>
      <c r="G494" t="s">
        <v>116</v>
      </c>
      <c r="H494">
        <v>1.5</v>
      </c>
      <c r="I494">
        <v>0</v>
      </c>
      <c r="J494">
        <v>20201</v>
      </c>
      <c r="K494">
        <f>COUNTIF('rEKAP kls MK'!$A$2:$A$35,Worksheet!C494)</f>
        <v>0</v>
      </c>
      <c r="L494" t="str">
        <f t="shared" si="28"/>
        <v>F1B117002</v>
      </c>
      <c r="M494" t="str">
        <f t="shared" si="29"/>
        <v>ADE PUTRA CAHYADI</v>
      </c>
      <c r="O494" t="str">
        <f t="shared" si="30"/>
        <v/>
      </c>
      <c r="P494" t="str">
        <f t="shared" si="31"/>
        <v/>
      </c>
    </row>
    <row r="495" spans="1:16">
      <c r="A495" t="s">
        <v>472</v>
      </c>
      <c r="B495" t="s">
        <v>473</v>
      </c>
      <c r="C495" t="s">
        <v>465</v>
      </c>
      <c r="D495" t="s">
        <v>466</v>
      </c>
      <c r="E495">
        <v>20171</v>
      </c>
      <c r="F495" t="s">
        <v>467</v>
      </c>
      <c r="G495" t="s">
        <v>18</v>
      </c>
      <c r="H495">
        <v>3</v>
      </c>
      <c r="I495">
        <v>0</v>
      </c>
      <c r="J495">
        <v>20201</v>
      </c>
      <c r="K495">
        <f>COUNTIF('rEKAP kls MK'!$A$2:$A$35,Worksheet!C495)</f>
        <v>0</v>
      </c>
      <c r="L495" t="str">
        <f t="shared" si="28"/>
        <v>F1B117003</v>
      </c>
      <c r="M495" t="str">
        <f t="shared" si="29"/>
        <v>ADELIA RIZKY FEBRIANTI</v>
      </c>
      <c r="O495" t="str">
        <f t="shared" si="30"/>
        <v/>
      </c>
      <c r="P495" t="str">
        <f t="shared" si="31"/>
        <v/>
      </c>
    </row>
    <row r="496" spans="1:16">
      <c r="A496" t="s">
        <v>474</v>
      </c>
      <c r="B496" t="s">
        <v>475</v>
      </c>
      <c r="C496" t="s">
        <v>465</v>
      </c>
      <c r="D496" t="s">
        <v>466</v>
      </c>
      <c r="E496">
        <v>20171</v>
      </c>
      <c r="F496" t="s">
        <v>467</v>
      </c>
      <c r="G496" t="s">
        <v>51</v>
      </c>
      <c r="H496">
        <v>3.5</v>
      </c>
      <c r="I496">
        <v>0</v>
      </c>
      <c r="J496">
        <v>20201</v>
      </c>
      <c r="K496">
        <f>COUNTIF('rEKAP kls MK'!$A$2:$A$35,Worksheet!C496)</f>
        <v>0</v>
      </c>
      <c r="L496" t="str">
        <f t="shared" si="28"/>
        <v>F1B117004</v>
      </c>
      <c r="M496" t="str">
        <f t="shared" si="29"/>
        <v>AHMAD RAJABUL AKBAR KHAIRU</v>
      </c>
      <c r="O496" t="str">
        <f t="shared" si="30"/>
        <v/>
      </c>
      <c r="P496" t="str">
        <f t="shared" si="31"/>
        <v/>
      </c>
    </row>
    <row r="497" spans="1:16">
      <c r="A497" t="s">
        <v>476</v>
      </c>
      <c r="B497" t="s">
        <v>477</v>
      </c>
      <c r="C497" t="s">
        <v>465</v>
      </c>
      <c r="D497" t="s">
        <v>466</v>
      </c>
      <c r="E497">
        <v>20171</v>
      </c>
      <c r="F497" t="s">
        <v>467</v>
      </c>
      <c r="G497" t="s">
        <v>18</v>
      </c>
      <c r="H497">
        <v>3</v>
      </c>
      <c r="I497">
        <v>0</v>
      </c>
      <c r="J497">
        <v>20201</v>
      </c>
      <c r="K497">
        <f>COUNTIF('rEKAP kls MK'!$A$2:$A$35,Worksheet!C497)</f>
        <v>0</v>
      </c>
      <c r="L497" t="str">
        <f t="shared" si="28"/>
        <v>F1B117005</v>
      </c>
      <c r="M497" t="str">
        <f t="shared" si="29"/>
        <v>AKBAR MAJID</v>
      </c>
      <c r="O497" t="str">
        <f t="shared" si="30"/>
        <v/>
      </c>
      <c r="P497" t="str">
        <f t="shared" si="31"/>
        <v/>
      </c>
    </row>
    <row r="498" spans="1:16">
      <c r="A498" t="s">
        <v>478</v>
      </c>
      <c r="B498" t="s">
        <v>479</v>
      </c>
      <c r="C498" t="s">
        <v>465</v>
      </c>
      <c r="D498" t="s">
        <v>466</v>
      </c>
      <c r="E498">
        <v>20171</v>
      </c>
      <c r="F498" t="s">
        <v>467</v>
      </c>
      <c r="G498" t="s">
        <v>116</v>
      </c>
      <c r="H498">
        <v>1.5</v>
      </c>
      <c r="I498">
        <v>0</v>
      </c>
      <c r="J498">
        <v>20201</v>
      </c>
      <c r="K498">
        <f>COUNTIF('rEKAP kls MK'!$A$2:$A$35,Worksheet!C498)</f>
        <v>0</v>
      </c>
      <c r="L498" t="str">
        <f t="shared" si="28"/>
        <v>F1B117006</v>
      </c>
      <c r="M498" t="str">
        <f t="shared" si="29"/>
        <v>ANDI MUHAMAD HANIF</v>
      </c>
      <c r="O498" t="str">
        <f t="shared" si="30"/>
        <v/>
      </c>
      <c r="P498" t="str">
        <f t="shared" si="31"/>
        <v/>
      </c>
    </row>
    <row r="499" spans="1:16">
      <c r="A499" t="s">
        <v>480</v>
      </c>
      <c r="B499" t="s">
        <v>481</v>
      </c>
      <c r="C499" t="s">
        <v>465</v>
      </c>
      <c r="D499" t="s">
        <v>466</v>
      </c>
      <c r="E499">
        <v>20171</v>
      </c>
      <c r="F499" t="s">
        <v>467</v>
      </c>
      <c r="G499" t="s">
        <v>18</v>
      </c>
      <c r="H499">
        <v>3</v>
      </c>
      <c r="I499">
        <v>0</v>
      </c>
      <c r="J499">
        <v>20201</v>
      </c>
      <c r="K499">
        <f>COUNTIF('rEKAP kls MK'!$A$2:$A$35,Worksheet!C499)</f>
        <v>0</v>
      </c>
      <c r="L499" t="str">
        <f t="shared" si="28"/>
        <v>F1B117007</v>
      </c>
      <c r="M499" t="str">
        <f t="shared" si="29"/>
        <v>ANDIKA RAHMAN</v>
      </c>
      <c r="O499" t="str">
        <f t="shared" si="30"/>
        <v/>
      </c>
      <c r="P499" t="str">
        <f t="shared" si="31"/>
        <v/>
      </c>
    </row>
    <row r="500" spans="1:16">
      <c r="A500" t="s">
        <v>482</v>
      </c>
      <c r="B500" t="s">
        <v>483</v>
      </c>
      <c r="C500" t="s">
        <v>465</v>
      </c>
      <c r="D500" t="s">
        <v>466</v>
      </c>
      <c r="E500">
        <v>20171</v>
      </c>
      <c r="F500" t="s">
        <v>467</v>
      </c>
      <c r="G500" t="s">
        <v>18</v>
      </c>
      <c r="H500">
        <v>3</v>
      </c>
      <c r="I500">
        <v>0</v>
      </c>
      <c r="J500">
        <v>20201</v>
      </c>
      <c r="K500">
        <f>COUNTIF('rEKAP kls MK'!$A$2:$A$35,Worksheet!C500)</f>
        <v>0</v>
      </c>
      <c r="L500" t="str">
        <f t="shared" si="28"/>
        <v>F1B117008</v>
      </c>
      <c r="M500" t="str">
        <f t="shared" si="29"/>
        <v>ANDRE PRATAMA</v>
      </c>
      <c r="O500" t="str">
        <f t="shared" si="30"/>
        <v/>
      </c>
      <c r="P500" t="str">
        <f t="shared" si="31"/>
        <v/>
      </c>
    </row>
    <row r="501" spans="1:16">
      <c r="A501" t="s">
        <v>484</v>
      </c>
      <c r="B501" t="s">
        <v>485</v>
      </c>
      <c r="C501" t="s">
        <v>465</v>
      </c>
      <c r="D501" t="s">
        <v>466</v>
      </c>
      <c r="E501">
        <v>20171</v>
      </c>
      <c r="F501" t="s">
        <v>467</v>
      </c>
      <c r="G501" t="s">
        <v>15</v>
      </c>
      <c r="H501">
        <v>0</v>
      </c>
      <c r="I501">
        <v>0</v>
      </c>
      <c r="J501">
        <v>20201</v>
      </c>
      <c r="K501">
        <f>COUNTIF('rEKAP kls MK'!$A$2:$A$35,Worksheet!C501)</f>
        <v>0</v>
      </c>
      <c r="L501" t="str">
        <f t="shared" si="28"/>
        <v>F1B117009</v>
      </c>
      <c r="M501" t="str">
        <f t="shared" si="29"/>
        <v>ANDREAN EKO RAMADHAN</v>
      </c>
      <c r="O501" t="str">
        <f t="shared" si="30"/>
        <v/>
      </c>
      <c r="P501" t="str">
        <f t="shared" si="31"/>
        <v/>
      </c>
    </row>
    <row r="502" spans="1:16">
      <c r="A502" t="s">
        <v>486</v>
      </c>
      <c r="B502" t="s">
        <v>487</v>
      </c>
      <c r="C502" t="s">
        <v>465</v>
      </c>
      <c r="D502" t="s">
        <v>466</v>
      </c>
      <c r="E502">
        <v>20171</v>
      </c>
      <c r="F502" t="s">
        <v>467</v>
      </c>
      <c r="G502" t="s">
        <v>23</v>
      </c>
      <c r="H502">
        <v>2.5</v>
      </c>
      <c r="I502">
        <v>0</v>
      </c>
      <c r="J502">
        <v>20201</v>
      </c>
      <c r="K502">
        <f>COUNTIF('rEKAP kls MK'!$A$2:$A$35,Worksheet!C502)</f>
        <v>0</v>
      </c>
      <c r="L502" t="str">
        <f t="shared" si="28"/>
        <v>F1B117010</v>
      </c>
      <c r="M502" t="str">
        <f t="shared" si="29"/>
        <v>ARGA SUTRI PRATAMA</v>
      </c>
      <c r="O502" t="str">
        <f t="shared" si="30"/>
        <v/>
      </c>
      <c r="P502" t="str">
        <f t="shared" si="31"/>
        <v/>
      </c>
    </row>
    <row r="503" spans="1:16">
      <c r="A503" t="s">
        <v>488</v>
      </c>
      <c r="B503" t="s">
        <v>489</v>
      </c>
      <c r="C503" t="s">
        <v>465</v>
      </c>
      <c r="D503" t="s">
        <v>466</v>
      </c>
      <c r="E503">
        <v>20171</v>
      </c>
      <c r="F503" t="s">
        <v>467</v>
      </c>
      <c r="G503" t="s">
        <v>18</v>
      </c>
      <c r="H503">
        <v>3</v>
      </c>
      <c r="I503">
        <v>0</v>
      </c>
      <c r="J503">
        <v>20201</v>
      </c>
      <c r="K503">
        <f>COUNTIF('rEKAP kls MK'!$A$2:$A$35,Worksheet!C503)</f>
        <v>0</v>
      </c>
      <c r="L503" t="str">
        <f t="shared" si="28"/>
        <v>F1B117011</v>
      </c>
      <c r="M503" t="str">
        <f t="shared" si="29"/>
        <v>BAYU ADE SURYA</v>
      </c>
      <c r="O503" t="str">
        <f t="shared" si="30"/>
        <v/>
      </c>
      <c r="P503" t="str">
        <f t="shared" si="31"/>
        <v/>
      </c>
    </row>
    <row r="504" spans="1:16">
      <c r="A504" t="s">
        <v>490</v>
      </c>
      <c r="B504" t="s">
        <v>491</v>
      </c>
      <c r="C504" t="s">
        <v>465</v>
      </c>
      <c r="D504" t="s">
        <v>466</v>
      </c>
      <c r="E504">
        <v>20171</v>
      </c>
      <c r="F504" t="s">
        <v>467</v>
      </c>
      <c r="G504" t="s">
        <v>23</v>
      </c>
      <c r="H504">
        <v>2.5</v>
      </c>
      <c r="I504">
        <v>0</v>
      </c>
      <c r="J504">
        <v>20201</v>
      </c>
      <c r="K504">
        <f>COUNTIF('rEKAP kls MK'!$A$2:$A$35,Worksheet!C504)</f>
        <v>0</v>
      </c>
      <c r="L504" t="str">
        <f t="shared" si="28"/>
        <v>F1B117012</v>
      </c>
      <c r="M504" t="str">
        <f t="shared" si="29"/>
        <v>ERLAN BAHTIAR</v>
      </c>
      <c r="O504" t="str">
        <f t="shared" si="30"/>
        <v/>
      </c>
      <c r="P504" t="str">
        <f t="shared" si="31"/>
        <v/>
      </c>
    </row>
    <row r="505" spans="1:16">
      <c r="A505" t="s">
        <v>492</v>
      </c>
      <c r="B505" t="s">
        <v>493</v>
      </c>
      <c r="C505" t="s">
        <v>465</v>
      </c>
      <c r="D505" t="s">
        <v>466</v>
      </c>
      <c r="E505">
        <v>20171</v>
      </c>
      <c r="F505" t="s">
        <v>467</v>
      </c>
      <c r="G505" t="s">
        <v>116</v>
      </c>
      <c r="H505">
        <v>1.5</v>
      </c>
      <c r="I505">
        <v>0</v>
      </c>
      <c r="J505">
        <v>20201</v>
      </c>
      <c r="K505">
        <f>COUNTIF('rEKAP kls MK'!$A$2:$A$35,Worksheet!C505)</f>
        <v>0</v>
      </c>
      <c r="L505" t="str">
        <f t="shared" si="28"/>
        <v>F1B117013</v>
      </c>
      <c r="M505" t="str">
        <f t="shared" si="29"/>
        <v>FADHLI EKO PRASETYO</v>
      </c>
      <c r="O505" t="str">
        <f t="shared" si="30"/>
        <v/>
      </c>
      <c r="P505" t="str">
        <f t="shared" si="31"/>
        <v/>
      </c>
    </row>
    <row r="506" spans="1:16">
      <c r="A506" t="s">
        <v>494</v>
      </c>
      <c r="B506" t="s">
        <v>495</v>
      </c>
      <c r="C506" t="s">
        <v>465</v>
      </c>
      <c r="D506" t="s">
        <v>466</v>
      </c>
      <c r="E506">
        <v>20171</v>
      </c>
      <c r="F506" t="s">
        <v>467</v>
      </c>
      <c r="G506" t="s">
        <v>116</v>
      </c>
      <c r="H506">
        <v>1.5</v>
      </c>
      <c r="I506">
        <v>0</v>
      </c>
      <c r="J506">
        <v>20201</v>
      </c>
      <c r="K506">
        <f>COUNTIF('rEKAP kls MK'!$A$2:$A$35,Worksheet!C506)</f>
        <v>0</v>
      </c>
      <c r="L506" t="str">
        <f t="shared" si="28"/>
        <v>F1B117014</v>
      </c>
      <c r="M506" t="str">
        <f t="shared" si="29"/>
        <v>FANNY WINDARY BATANIA</v>
      </c>
      <c r="O506" t="str">
        <f t="shared" si="30"/>
        <v/>
      </c>
      <c r="P506" t="str">
        <f t="shared" si="31"/>
        <v/>
      </c>
    </row>
    <row r="507" spans="1:16">
      <c r="A507" t="s">
        <v>496</v>
      </c>
      <c r="B507" t="s">
        <v>497</v>
      </c>
      <c r="C507" t="s">
        <v>465</v>
      </c>
      <c r="D507" t="s">
        <v>466</v>
      </c>
      <c r="E507">
        <v>20171</v>
      </c>
      <c r="F507" t="s">
        <v>467</v>
      </c>
      <c r="G507" t="s">
        <v>116</v>
      </c>
      <c r="H507">
        <v>1.5</v>
      </c>
      <c r="I507">
        <v>0</v>
      </c>
      <c r="J507">
        <v>20201</v>
      </c>
      <c r="K507">
        <f>COUNTIF('rEKAP kls MK'!$A$2:$A$35,Worksheet!C507)</f>
        <v>0</v>
      </c>
      <c r="L507" t="str">
        <f t="shared" si="28"/>
        <v>F1B117015</v>
      </c>
      <c r="M507" t="str">
        <f t="shared" si="29"/>
        <v>GALI GALUH SAKTI</v>
      </c>
      <c r="O507" t="str">
        <f t="shared" si="30"/>
        <v/>
      </c>
      <c r="P507" t="str">
        <f t="shared" si="31"/>
        <v/>
      </c>
    </row>
    <row r="508" spans="1:16">
      <c r="A508" t="s">
        <v>498</v>
      </c>
      <c r="B508" t="s">
        <v>499</v>
      </c>
      <c r="C508" t="s">
        <v>465</v>
      </c>
      <c r="D508" t="s">
        <v>466</v>
      </c>
      <c r="E508">
        <v>20171</v>
      </c>
      <c r="F508" t="s">
        <v>467</v>
      </c>
      <c r="G508" t="s">
        <v>18</v>
      </c>
      <c r="H508">
        <v>3</v>
      </c>
      <c r="I508">
        <v>0</v>
      </c>
      <c r="J508">
        <v>20201</v>
      </c>
      <c r="K508">
        <f>COUNTIF('rEKAP kls MK'!$A$2:$A$35,Worksheet!C508)</f>
        <v>0</v>
      </c>
      <c r="L508" t="str">
        <f t="shared" si="28"/>
        <v>F1B117016</v>
      </c>
      <c r="M508" t="str">
        <f t="shared" si="29"/>
        <v>GAUSS NUR SALAM</v>
      </c>
      <c r="O508" t="str">
        <f t="shared" si="30"/>
        <v/>
      </c>
      <c r="P508" t="str">
        <f t="shared" si="31"/>
        <v/>
      </c>
    </row>
    <row r="509" spans="1:16">
      <c r="A509" t="s">
        <v>500</v>
      </c>
      <c r="B509" t="s">
        <v>501</v>
      </c>
      <c r="C509" t="s">
        <v>465</v>
      </c>
      <c r="D509" t="s">
        <v>466</v>
      </c>
      <c r="E509">
        <v>20171</v>
      </c>
      <c r="F509" t="s">
        <v>467</v>
      </c>
      <c r="G509" t="s">
        <v>51</v>
      </c>
      <c r="H509">
        <v>3.5</v>
      </c>
      <c r="I509">
        <v>0</v>
      </c>
      <c r="J509">
        <v>20201</v>
      </c>
      <c r="K509">
        <f>COUNTIF('rEKAP kls MK'!$A$2:$A$35,Worksheet!C509)</f>
        <v>0</v>
      </c>
      <c r="L509" t="str">
        <f t="shared" si="28"/>
        <v>F1B117017</v>
      </c>
      <c r="M509" t="str">
        <f t="shared" si="29"/>
        <v>HELMY AMALIA ARIESTA</v>
      </c>
      <c r="O509" t="str">
        <f t="shared" si="30"/>
        <v/>
      </c>
      <c r="P509" t="str">
        <f t="shared" si="31"/>
        <v/>
      </c>
    </row>
    <row r="510" spans="1:16">
      <c r="A510" t="s">
        <v>502</v>
      </c>
      <c r="B510" t="s">
        <v>503</v>
      </c>
      <c r="C510" t="s">
        <v>465</v>
      </c>
      <c r="D510" t="s">
        <v>466</v>
      </c>
      <c r="E510">
        <v>20171</v>
      </c>
      <c r="F510" t="s">
        <v>467</v>
      </c>
      <c r="G510" t="s">
        <v>116</v>
      </c>
      <c r="H510">
        <v>1.5</v>
      </c>
      <c r="I510">
        <v>0</v>
      </c>
      <c r="J510">
        <v>20201</v>
      </c>
      <c r="K510">
        <f>COUNTIF('rEKAP kls MK'!$A$2:$A$35,Worksheet!C510)</f>
        <v>0</v>
      </c>
      <c r="L510" t="str">
        <f t="shared" si="28"/>
        <v>F1B117018</v>
      </c>
      <c r="M510" t="str">
        <f t="shared" si="29"/>
        <v>ILHAM MUHAMMAD</v>
      </c>
      <c r="O510" t="str">
        <f t="shared" si="30"/>
        <v/>
      </c>
      <c r="P510" t="str">
        <f t="shared" si="31"/>
        <v/>
      </c>
    </row>
    <row r="511" spans="1:16">
      <c r="A511" t="s">
        <v>504</v>
      </c>
      <c r="B511" t="s">
        <v>505</v>
      </c>
      <c r="C511" t="s">
        <v>465</v>
      </c>
      <c r="D511" t="s">
        <v>466</v>
      </c>
      <c r="E511">
        <v>20171</v>
      </c>
      <c r="F511" t="s">
        <v>467</v>
      </c>
      <c r="G511" t="s">
        <v>101</v>
      </c>
      <c r="H511">
        <v>0</v>
      </c>
      <c r="I511">
        <v>0</v>
      </c>
      <c r="J511">
        <v>20201</v>
      </c>
      <c r="K511">
        <f>COUNTIF('rEKAP kls MK'!$A$2:$A$35,Worksheet!C511)</f>
        <v>0</v>
      </c>
      <c r="L511" t="str">
        <f t="shared" si="28"/>
        <v>F1B117019</v>
      </c>
      <c r="M511" t="str">
        <f t="shared" si="29"/>
        <v>KHAIRUL MUAMALAH</v>
      </c>
      <c r="O511" t="str">
        <f t="shared" si="30"/>
        <v/>
      </c>
      <c r="P511" t="str">
        <f t="shared" si="31"/>
        <v/>
      </c>
    </row>
    <row r="512" spans="1:16">
      <c r="A512" t="s">
        <v>506</v>
      </c>
      <c r="B512" t="s">
        <v>507</v>
      </c>
      <c r="C512" t="s">
        <v>465</v>
      </c>
      <c r="D512" t="s">
        <v>466</v>
      </c>
      <c r="E512">
        <v>20171</v>
      </c>
      <c r="F512" t="s">
        <v>467</v>
      </c>
      <c r="G512" t="s">
        <v>18</v>
      </c>
      <c r="H512">
        <v>3</v>
      </c>
      <c r="I512">
        <v>0</v>
      </c>
      <c r="J512">
        <v>20201</v>
      </c>
      <c r="K512">
        <f>COUNTIF('rEKAP kls MK'!$A$2:$A$35,Worksheet!C512)</f>
        <v>0</v>
      </c>
      <c r="L512" t="str">
        <f t="shared" si="28"/>
        <v>F1B117020</v>
      </c>
      <c r="M512" t="str">
        <f t="shared" si="29"/>
        <v>LENKA AURELIE YUDHISTIRA</v>
      </c>
      <c r="O512" t="str">
        <f t="shared" si="30"/>
        <v/>
      </c>
      <c r="P512" t="str">
        <f t="shared" si="31"/>
        <v/>
      </c>
    </row>
    <row r="513" spans="1:16">
      <c r="A513" t="s">
        <v>508</v>
      </c>
      <c r="B513" t="s">
        <v>509</v>
      </c>
      <c r="C513" t="s">
        <v>465</v>
      </c>
      <c r="D513" t="s">
        <v>466</v>
      </c>
      <c r="E513">
        <v>20171</v>
      </c>
      <c r="F513" t="s">
        <v>467</v>
      </c>
      <c r="G513" t="s">
        <v>18</v>
      </c>
      <c r="H513">
        <v>3</v>
      </c>
      <c r="I513">
        <v>0</v>
      </c>
      <c r="J513">
        <v>20201</v>
      </c>
      <c r="K513">
        <f>COUNTIF('rEKAP kls MK'!$A$2:$A$35,Worksheet!C513)</f>
        <v>0</v>
      </c>
      <c r="L513" t="str">
        <f t="shared" si="28"/>
        <v>F1B117021</v>
      </c>
      <c r="M513" t="str">
        <f t="shared" si="29"/>
        <v>M. AL ZAIDIN</v>
      </c>
      <c r="O513" t="str">
        <f t="shared" si="30"/>
        <v/>
      </c>
      <c r="P513" t="str">
        <f t="shared" si="31"/>
        <v/>
      </c>
    </row>
    <row r="514" spans="1:16">
      <c r="A514" t="s">
        <v>510</v>
      </c>
      <c r="B514" t="s">
        <v>511</v>
      </c>
      <c r="C514" t="s">
        <v>465</v>
      </c>
      <c r="D514" t="s">
        <v>466</v>
      </c>
      <c r="E514">
        <v>20171</v>
      </c>
      <c r="F514" t="s">
        <v>467</v>
      </c>
      <c r="G514" t="s">
        <v>18</v>
      </c>
      <c r="H514">
        <v>3</v>
      </c>
      <c r="I514">
        <v>0</v>
      </c>
      <c r="J514">
        <v>20201</v>
      </c>
      <c r="K514">
        <f>COUNTIF('rEKAP kls MK'!$A$2:$A$35,Worksheet!C514)</f>
        <v>0</v>
      </c>
      <c r="L514" t="str">
        <f t="shared" si="28"/>
        <v>F1B117022</v>
      </c>
      <c r="M514" t="str">
        <f t="shared" si="29"/>
        <v>M. FAUZUL AKBAR</v>
      </c>
      <c r="O514" t="str">
        <f t="shared" si="30"/>
        <v/>
      </c>
      <c r="P514" t="str">
        <f t="shared" si="31"/>
        <v/>
      </c>
    </row>
    <row r="515" spans="1:16">
      <c r="A515" t="s">
        <v>512</v>
      </c>
      <c r="B515" t="s">
        <v>513</v>
      </c>
      <c r="C515" t="s">
        <v>465</v>
      </c>
      <c r="D515" t="s">
        <v>466</v>
      </c>
      <c r="E515">
        <v>20171</v>
      </c>
      <c r="F515" t="s">
        <v>467</v>
      </c>
      <c r="G515" t="s">
        <v>18</v>
      </c>
      <c r="H515">
        <v>3</v>
      </c>
      <c r="I515">
        <v>0</v>
      </c>
      <c r="J515">
        <v>20201</v>
      </c>
      <c r="K515">
        <f>COUNTIF('rEKAP kls MK'!$A$2:$A$35,Worksheet!C515)</f>
        <v>0</v>
      </c>
    </row>
    <row r="516" spans="1:16">
      <c r="A516" t="s">
        <v>514</v>
      </c>
      <c r="B516" t="s">
        <v>515</v>
      </c>
      <c r="C516" t="s">
        <v>465</v>
      </c>
      <c r="D516" t="s">
        <v>466</v>
      </c>
      <c r="E516">
        <v>20171</v>
      </c>
      <c r="F516" t="s">
        <v>467</v>
      </c>
      <c r="G516" t="s">
        <v>18</v>
      </c>
      <c r="H516">
        <v>3</v>
      </c>
      <c r="I516">
        <v>0</v>
      </c>
      <c r="J516">
        <v>20201</v>
      </c>
      <c r="K516">
        <f>COUNTIF('rEKAP kls MK'!$A$2:$A$35,Worksheet!C516)</f>
        <v>0</v>
      </c>
      <c r="L516" t="str">
        <f t="shared" ref="L516:L578" si="32">IF(A515&lt;&gt;A516,A516,"")</f>
        <v>F1B117024</v>
      </c>
      <c r="M516" t="str">
        <f t="shared" ref="M516:M578" si="33">IF(B515&lt;&gt;B516,B516,"")</f>
        <v>MUH. RISKI RAMADHAN</v>
      </c>
      <c r="O516" t="str">
        <f t="shared" ref="O516:O578" si="34">IF(D515&lt;&gt;D516,D516,"")</f>
        <v/>
      </c>
      <c r="P516" t="str">
        <f t="shared" ref="P516:P578" si="35">IF(F515&lt;&gt;F516,F516,"")</f>
        <v/>
      </c>
    </row>
    <row r="517" spans="1:16">
      <c r="A517" t="s">
        <v>516</v>
      </c>
      <c r="B517" t="s">
        <v>517</v>
      </c>
      <c r="C517" t="s">
        <v>465</v>
      </c>
      <c r="D517" t="s">
        <v>466</v>
      </c>
      <c r="E517">
        <v>20171</v>
      </c>
      <c r="F517" t="s">
        <v>467</v>
      </c>
      <c r="G517" t="s">
        <v>18</v>
      </c>
      <c r="H517">
        <v>3</v>
      </c>
      <c r="I517">
        <v>0</v>
      </c>
      <c r="J517">
        <v>20201</v>
      </c>
      <c r="K517">
        <f>COUNTIF('rEKAP kls MK'!$A$2:$A$35,Worksheet!C517)</f>
        <v>0</v>
      </c>
      <c r="L517" t="str">
        <f t="shared" si="32"/>
        <v>F1B117025</v>
      </c>
      <c r="M517" t="str">
        <f t="shared" si="33"/>
        <v>MUH. SALDA WINTARA</v>
      </c>
      <c r="O517" t="str">
        <f t="shared" si="34"/>
        <v/>
      </c>
      <c r="P517" t="str">
        <f t="shared" si="35"/>
        <v/>
      </c>
    </row>
    <row r="518" spans="1:16">
      <c r="A518" t="s">
        <v>518</v>
      </c>
      <c r="B518" t="s">
        <v>519</v>
      </c>
      <c r="C518" t="s">
        <v>465</v>
      </c>
      <c r="D518" t="s">
        <v>466</v>
      </c>
      <c r="E518">
        <v>20171</v>
      </c>
      <c r="F518" t="s">
        <v>467</v>
      </c>
      <c r="G518" t="s">
        <v>26</v>
      </c>
      <c r="H518">
        <v>2</v>
      </c>
      <c r="I518">
        <v>0</v>
      </c>
      <c r="J518">
        <v>20201</v>
      </c>
      <c r="K518">
        <f>COUNTIF('rEKAP kls MK'!$A$2:$A$35,Worksheet!C518)</f>
        <v>0</v>
      </c>
      <c r="L518" t="str">
        <f t="shared" si="32"/>
        <v>F1B117026</v>
      </c>
      <c r="M518" t="str">
        <f t="shared" si="33"/>
        <v>MUHAMMAD KHAIRUL HADI SYURAHMAN</v>
      </c>
      <c r="O518" t="str">
        <f t="shared" si="34"/>
        <v/>
      </c>
      <c r="P518" t="str">
        <f t="shared" si="35"/>
        <v/>
      </c>
    </row>
    <row r="519" spans="1:16">
      <c r="A519" t="s">
        <v>520</v>
      </c>
      <c r="B519" t="s">
        <v>521</v>
      </c>
      <c r="C519" t="s">
        <v>465</v>
      </c>
      <c r="D519" t="s">
        <v>466</v>
      </c>
      <c r="E519">
        <v>20171</v>
      </c>
      <c r="F519" t="s">
        <v>467</v>
      </c>
      <c r="G519" t="s">
        <v>23</v>
      </c>
      <c r="H519">
        <v>2.5</v>
      </c>
      <c r="I519">
        <v>0</v>
      </c>
      <c r="J519">
        <v>20201</v>
      </c>
      <c r="K519">
        <f>COUNTIF('rEKAP kls MK'!$A$2:$A$35,Worksheet!C519)</f>
        <v>0</v>
      </c>
      <c r="L519" t="str">
        <f t="shared" si="32"/>
        <v>F1B117027</v>
      </c>
      <c r="M519" t="str">
        <f t="shared" si="33"/>
        <v>MUHAMMAD MUKALLIBIN</v>
      </c>
      <c r="O519" t="str">
        <f t="shared" si="34"/>
        <v/>
      </c>
      <c r="P519" t="str">
        <f t="shared" si="35"/>
        <v/>
      </c>
    </row>
    <row r="520" spans="1:16">
      <c r="A520" t="s">
        <v>522</v>
      </c>
      <c r="B520" t="s">
        <v>523</v>
      </c>
      <c r="C520" t="s">
        <v>465</v>
      </c>
      <c r="D520" t="s">
        <v>466</v>
      </c>
      <c r="E520">
        <v>20171</v>
      </c>
      <c r="F520" t="s">
        <v>467</v>
      </c>
      <c r="G520" t="s">
        <v>51</v>
      </c>
      <c r="H520">
        <v>3.5</v>
      </c>
      <c r="I520">
        <v>0</v>
      </c>
      <c r="J520">
        <v>20201</v>
      </c>
      <c r="K520">
        <f>COUNTIF('rEKAP kls MK'!$A$2:$A$35,Worksheet!C520)</f>
        <v>0</v>
      </c>
      <c r="L520" t="str">
        <f t="shared" si="32"/>
        <v>F1B117028</v>
      </c>
      <c r="M520" t="str">
        <f t="shared" si="33"/>
        <v>MUHAMMAD NABIL</v>
      </c>
      <c r="O520" t="str">
        <f t="shared" si="34"/>
        <v/>
      </c>
      <c r="P520" t="str">
        <f t="shared" si="35"/>
        <v/>
      </c>
    </row>
    <row r="521" spans="1:16">
      <c r="A521" t="s">
        <v>524</v>
      </c>
      <c r="B521" t="s">
        <v>525</v>
      </c>
      <c r="C521" t="s">
        <v>465</v>
      </c>
      <c r="D521" t="s">
        <v>466</v>
      </c>
      <c r="E521">
        <v>20171</v>
      </c>
      <c r="F521" t="s">
        <v>467</v>
      </c>
      <c r="G521" t="s">
        <v>18</v>
      </c>
      <c r="H521">
        <v>3</v>
      </c>
      <c r="I521">
        <v>0</v>
      </c>
      <c r="J521">
        <v>20201</v>
      </c>
      <c r="K521">
        <f>COUNTIF('rEKAP kls MK'!$A$2:$A$35,Worksheet!C521)</f>
        <v>0</v>
      </c>
      <c r="L521" t="str">
        <f t="shared" si="32"/>
        <v>F1B117029</v>
      </c>
      <c r="M521" t="str">
        <f t="shared" si="33"/>
        <v>MUHAMMAD THORIQ DWI SETYAWAN</v>
      </c>
      <c r="O521" t="str">
        <f t="shared" si="34"/>
        <v/>
      </c>
      <c r="P521" t="str">
        <f t="shared" si="35"/>
        <v/>
      </c>
    </row>
    <row r="522" spans="1:16">
      <c r="A522" t="s">
        <v>526</v>
      </c>
      <c r="B522" t="s">
        <v>527</v>
      </c>
      <c r="C522" t="s">
        <v>465</v>
      </c>
      <c r="D522" t="s">
        <v>466</v>
      </c>
      <c r="E522">
        <v>20171</v>
      </c>
      <c r="F522" t="s">
        <v>467</v>
      </c>
      <c r="G522" t="s">
        <v>18</v>
      </c>
      <c r="H522">
        <v>3</v>
      </c>
      <c r="I522">
        <v>0</v>
      </c>
      <c r="J522">
        <v>20201</v>
      </c>
      <c r="K522">
        <f>COUNTIF('rEKAP kls MK'!$A$2:$A$35,Worksheet!C522)</f>
        <v>0</v>
      </c>
      <c r="L522" t="str">
        <f t="shared" si="32"/>
        <v>F1B117030</v>
      </c>
      <c r="M522" t="str">
        <f t="shared" si="33"/>
        <v>NURAFRINA</v>
      </c>
      <c r="O522" t="str">
        <f t="shared" si="34"/>
        <v/>
      </c>
      <c r="P522" t="str">
        <f t="shared" si="35"/>
        <v/>
      </c>
    </row>
    <row r="523" spans="1:16">
      <c r="A523" t="s">
        <v>528</v>
      </c>
      <c r="B523" t="s">
        <v>529</v>
      </c>
      <c r="C523" t="s">
        <v>465</v>
      </c>
      <c r="D523" t="s">
        <v>466</v>
      </c>
      <c r="E523">
        <v>20171</v>
      </c>
      <c r="F523" t="s">
        <v>467</v>
      </c>
      <c r="G523" t="s">
        <v>51</v>
      </c>
      <c r="H523">
        <v>3.5</v>
      </c>
      <c r="I523">
        <v>0</v>
      </c>
      <c r="J523">
        <v>20201</v>
      </c>
      <c r="K523">
        <f>COUNTIF('rEKAP kls MK'!$A$2:$A$35,Worksheet!C523)</f>
        <v>0</v>
      </c>
      <c r="L523" t="str">
        <f t="shared" si="32"/>
        <v>F1B117031</v>
      </c>
      <c r="M523" t="str">
        <f t="shared" si="33"/>
        <v>RAHMAT ADITYA PRADANA</v>
      </c>
      <c r="O523" t="str">
        <f t="shared" si="34"/>
        <v/>
      </c>
      <c r="P523" t="str">
        <f t="shared" si="35"/>
        <v/>
      </c>
    </row>
    <row r="524" spans="1:16">
      <c r="A524" t="s">
        <v>530</v>
      </c>
      <c r="B524" t="s">
        <v>531</v>
      </c>
      <c r="C524" t="s">
        <v>465</v>
      </c>
      <c r="D524" t="s">
        <v>466</v>
      </c>
      <c r="E524">
        <v>20171</v>
      </c>
      <c r="F524" t="s">
        <v>467</v>
      </c>
      <c r="G524" t="s">
        <v>18</v>
      </c>
      <c r="H524">
        <v>3</v>
      </c>
      <c r="I524">
        <v>0</v>
      </c>
      <c r="J524">
        <v>20201</v>
      </c>
      <c r="K524">
        <f>COUNTIF('rEKAP kls MK'!$A$2:$A$35,Worksheet!C524)</f>
        <v>0</v>
      </c>
      <c r="L524" t="str">
        <f t="shared" si="32"/>
        <v>F1B117032</v>
      </c>
      <c r="M524" t="str">
        <f t="shared" si="33"/>
        <v>RAMZY TAUFIQ HANIF</v>
      </c>
      <c r="O524" t="str">
        <f t="shared" si="34"/>
        <v/>
      </c>
      <c r="P524" t="str">
        <f t="shared" si="35"/>
        <v/>
      </c>
    </row>
    <row r="525" spans="1:16">
      <c r="A525" t="s">
        <v>532</v>
      </c>
      <c r="B525" t="s">
        <v>533</v>
      </c>
      <c r="C525" t="s">
        <v>465</v>
      </c>
      <c r="D525" t="s">
        <v>466</v>
      </c>
      <c r="E525">
        <v>20171</v>
      </c>
      <c r="F525" t="s">
        <v>467</v>
      </c>
      <c r="G525" t="s">
        <v>18</v>
      </c>
      <c r="H525">
        <v>3</v>
      </c>
      <c r="I525">
        <v>0</v>
      </c>
      <c r="J525">
        <v>20201</v>
      </c>
      <c r="K525">
        <f>COUNTIF('rEKAP kls MK'!$A$2:$A$35,Worksheet!C525)</f>
        <v>0</v>
      </c>
      <c r="L525" t="str">
        <f t="shared" si="32"/>
        <v>F1B117033</v>
      </c>
      <c r="M525" t="str">
        <f t="shared" si="33"/>
        <v>RIAN HENDRAWAN</v>
      </c>
      <c r="O525" t="str">
        <f t="shared" si="34"/>
        <v/>
      </c>
      <c r="P525" t="str">
        <f t="shared" si="35"/>
        <v/>
      </c>
    </row>
    <row r="526" spans="1:16">
      <c r="A526" t="s">
        <v>534</v>
      </c>
      <c r="B526" t="s">
        <v>535</v>
      </c>
      <c r="C526" t="s">
        <v>465</v>
      </c>
      <c r="D526" t="s">
        <v>466</v>
      </c>
      <c r="E526">
        <v>20171</v>
      </c>
      <c r="F526" t="s">
        <v>467</v>
      </c>
      <c r="G526" t="s">
        <v>18</v>
      </c>
      <c r="H526">
        <v>3</v>
      </c>
      <c r="I526">
        <v>0</v>
      </c>
      <c r="J526">
        <v>20201</v>
      </c>
      <c r="K526">
        <f>COUNTIF('rEKAP kls MK'!$A$2:$A$35,Worksheet!C526)</f>
        <v>0</v>
      </c>
      <c r="L526" t="str">
        <f t="shared" si="32"/>
        <v>F1B117034</v>
      </c>
      <c r="M526" t="str">
        <f t="shared" si="33"/>
        <v>RISKI KHARISMA PUTRA</v>
      </c>
      <c r="O526" t="str">
        <f t="shared" si="34"/>
        <v/>
      </c>
      <c r="P526" t="str">
        <f t="shared" si="35"/>
        <v/>
      </c>
    </row>
    <row r="527" spans="1:16">
      <c r="A527" t="s">
        <v>536</v>
      </c>
      <c r="B527" t="s">
        <v>537</v>
      </c>
      <c r="C527" t="s">
        <v>465</v>
      </c>
      <c r="D527" t="s">
        <v>466</v>
      </c>
      <c r="E527">
        <v>20171</v>
      </c>
      <c r="F527" t="s">
        <v>467</v>
      </c>
      <c r="G527" t="s">
        <v>23</v>
      </c>
      <c r="H527">
        <v>2.5</v>
      </c>
      <c r="I527">
        <v>0</v>
      </c>
      <c r="J527">
        <v>20201</v>
      </c>
      <c r="K527">
        <f>COUNTIF('rEKAP kls MK'!$A$2:$A$35,Worksheet!C527)</f>
        <v>0</v>
      </c>
      <c r="L527" t="str">
        <f t="shared" si="32"/>
        <v>F1B117035</v>
      </c>
      <c r="M527" t="str">
        <f t="shared" si="33"/>
        <v>RIZALUL HAQ</v>
      </c>
      <c r="O527" t="str">
        <f t="shared" si="34"/>
        <v/>
      </c>
      <c r="P527" t="str">
        <f t="shared" si="35"/>
        <v/>
      </c>
    </row>
    <row r="528" spans="1:16">
      <c r="A528" t="s">
        <v>538</v>
      </c>
      <c r="B528" t="s">
        <v>539</v>
      </c>
      <c r="C528" t="s">
        <v>465</v>
      </c>
      <c r="D528" t="s">
        <v>466</v>
      </c>
      <c r="E528">
        <v>20171</v>
      </c>
      <c r="F528" t="s">
        <v>467</v>
      </c>
      <c r="G528" t="s">
        <v>18</v>
      </c>
      <c r="H528">
        <v>3</v>
      </c>
      <c r="I528">
        <v>0</v>
      </c>
      <c r="J528">
        <v>20201</v>
      </c>
      <c r="K528">
        <f>COUNTIF('rEKAP kls MK'!$A$2:$A$35,Worksheet!C528)</f>
        <v>0</v>
      </c>
      <c r="L528" t="str">
        <f t="shared" si="32"/>
        <v>F1B117036</v>
      </c>
      <c r="M528" t="str">
        <f t="shared" si="33"/>
        <v>RIZKA MARDANI</v>
      </c>
      <c r="O528" t="str">
        <f t="shared" si="34"/>
        <v/>
      </c>
      <c r="P528" t="str">
        <f t="shared" si="35"/>
        <v/>
      </c>
    </row>
    <row r="529" spans="1:16">
      <c r="A529" t="s">
        <v>540</v>
      </c>
      <c r="B529" t="s">
        <v>541</v>
      </c>
      <c r="C529" t="s">
        <v>465</v>
      </c>
      <c r="D529" t="s">
        <v>466</v>
      </c>
      <c r="E529">
        <v>20171</v>
      </c>
      <c r="F529" t="s">
        <v>467</v>
      </c>
      <c r="G529" t="s">
        <v>26</v>
      </c>
      <c r="H529">
        <v>2</v>
      </c>
      <c r="I529">
        <v>0</v>
      </c>
      <c r="J529">
        <v>20201</v>
      </c>
      <c r="K529">
        <f>COUNTIF('rEKAP kls MK'!$A$2:$A$35,Worksheet!C529)</f>
        <v>0</v>
      </c>
      <c r="L529" t="str">
        <f t="shared" si="32"/>
        <v>F1B117037</v>
      </c>
      <c r="M529" t="str">
        <f t="shared" si="33"/>
        <v>TEJAMAN MULKI</v>
      </c>
      <c r="O529" t="str">
        <f t="shared" si="34"/>
        <v/>
      </c>
      <c r="P529" t="str">
        <f t="shared" si="35"/>
        <v/>
      </c>
    </row>
    <row r="530" spans="1:16">
      <c r="A530" t="s">
        <v>542</v>
      </c>
      <c r="B530" t="s">
        <v>543</v>
      </c>
      <c r="C530" t="s">
        <v>465</v>
      </c>
      <c r="D530" t="s">
        <v>466</v>
      </c>
      <c r="E530">
        <v>20171</v>
      </c>
      <c r="F530" t="s">
        <v>467</v>
      </c>
      <c r="G530" t="s">
        <v>18</v>
      </c>
      <c r="H530">
        <v>3</v>
      </c>
      <c r="I530">
        <v>0</v>
      </c>
      <c r="J530">
        <v>20201</v>
      </c>
      <c r="K530">
        <f>COUNTIF('rEKAP kls MK'!$A$2:$A$35,Worksheet!C530)</f>
        <v>0</v>
      </c>
      <c r="L530" t="str">
        <f t="shared" si="32"/>
        <v>F1B117038</v>
      </c>
      <c r="M530" t="str">
        <f t="shared" si="33"/>
        <v>VENI ASTUTI</v>
      </c>
      <c r="O530" t="str">
        <f t="shared" si="34"/>
        <v/>
      </c>
      <c r="P530" t="str">
        <f t="shared" si="35"/>
        <v/>
      </c>
    </row>
    <row r="531" spans="1:16">
      <c r="A531" t="s">
        <v>544</v>
      </c>
      <c r="B531" t="s">
        <v>545</v>
      </c>
      <c r="C531" t="s">
        <v>465</v>
      </c>
      <c r="D531" t="s">
        <v>466</v>
      </c>
      <c r="E531">
        <v>20171</v>
      </c>
      <c r="F531" t="s">
        <v>467</v>
      </c>
      <c r="G531" t="s">
        <v>51</v>
      </c>
      <c r="H531">
        <v>3.5</v>
      </c>
      <c r="I531">
        <v>0</v>
      </c>
      <c r="J531">
        <v>20201</v>
      </c>
      <c r="K531">
        <f>COUNTIF('rEKAP kls MK'!$A$2:$A$35,Worksheet!C531)</f>
        <v>0</v>
      </c>
      <c r="L531" t="str">
        <f t="shared" si="32"/>
        <v>F1B117039</v>
      </c>
      <c r="M531" t="str">
        <f t="shared" si="33"/>
        <v>WAHYU SIOPANO</v>
      </c>
      <c r="O531" t="str">
        <f t="shared" si="34"/>
        <v/>
      </c>
      <c r="P531" t="str">
        <f t="shared" si="35"/>
        <v/>
      </c>
    </row>
    <row r="532" spans="1:16">
      <c r="A532" t="s">
        <v>546</v>
      </c>
      <c r="B532" t="s">
        <v>547</v>
      </c>
      <c r="C532" t="s">
        <v>465</v>
      </c>
      <c r="D532" t="s">
        <v>466</v>
      </c>
      <c r="E532">
        <v>20171</v>
      </c>
      <c r="F532" t="s">
        <v>467</v>
      </c>
      <c r="G532" t="s">
        <v>18</v>
      </c>
      <c r="H532">
        <v>3</v>
      </c>
      <c r="I532">
        <v>0</v>
      </c>
      <c r="J532">
        <v>20201</v>
      </c>
      <c r="K532">
        <f>COUNTIF('rEKAP kls MK'!$A$2:$A$35,Worksheet!C532)</f>
        <v>0</v>
      </c>
      <c r="L532" t="str">
        <f t="shared" si="32"/>
        <v>F1B117040</v>
      </c>
      <c r="M532" t="str">
        <f t="shared" si="33"/>
        <v>WILLY HISBULLOH FAUZY FIRDAUS</v>
      </c>
      <c r="O532" t="str">
        <f t="shared" si="34"/>
        <v/>
      </c>
      <c r="P532" t="str">
        <f t="shared" si="35"/>
        <v/>
      </c>
    </row>
    <row r="533" spans="1:16">
      <c r="A533" t="s">
        <v>548</v>
      </c>
      <c r="B533" t="s">
        <v>549</v>
      </c>
      <c r="C533" t="s">
        <v>465</v>
      </c>
      <c r="D533" t="s">
        <v>466</v>
      </c>
      <c r="E533">
        <v>20171</v>
      </c>
      <c r="F533" t="s">
        <v>467</v>
      </c>
      <c r="G533" t="s">
        <v>82</v>
      </c>
      <c r="H533">
        <v>4</v>
      </c>
      <c r="I533">
        <v>0</v>
      </c>
      <c r="J533">
        <v>20201</v>
      </c>
      <c r="K533">
        <f>COUNTIF('rEKAP kls MK'!$A$2:$A$35,Worksheet!C533)</f>
        <v>0</v>
      </c>
      <c r="L533" t="str">
        <f t="shared" si="32"/>
        <v>F1B117041</v>
      </c>
      <c r="M533" t="str">
        <f t="shared" si="33"/>
        <v>WILLY PRADIYANTO</v>
      </c>
      <c r="O533" t="str">
        <f t="shared" si="34"/>
        <v/>
      </c>
      <c r="P533" t="str">
        <f t="shared" si="35"/>
        <v/>
      </c>
    </row>
    <row r="534" spans="1:16">
      <c r="A534" t="s">
        <v>181</v>
      </c>
      <c r="B534" t="s">
        <v>182</v>
      </c>
      <c r="C534" t="s">
        <v>388</v>
      </c>
      <c r="D534" t="s">
        <v>389</v>
      </c>
      <c r="E534">
        <v>20171</v>
      </c>
      <c r="F534" t="s">
        <v>14</v>
      </c>
      <c r="G534" t="s">
        <v>26</v>
      </c>
      <c r="H534">
        <v>2</v>
      </c>
      <c r="I534">
        <v>0</v>
      </c>
      <c r="J534">
        <v>20201</v>
      </c>
      <c r="K534">
        <f>COUNTIF('rEKAP kls MK'!$A$2:$A$35,Worksheet!C534)</f>
        <v>1</v>
      </c>
      <c r="L534" t="str">
        <f t="shared" si="32"/>
        <v>F1B115004</v>
      </c>
      <c r="M534" t="str">
        <f t="shared" si="33"/>
        <v>ANDZAR QINTHARA</v>
      </c>
      <c r="O534" t="str">
        <f t="shared" si="34"/>
        <v>MATEMATIKA DISKRIT</v>
      </c>
      <c r="P534" t="str">
        <f t="shared" si="35"/>
        <v>S</v>
      </c>
    </row>
    <row r="535" spans="1:16">
      <c r="A535" t="s">
        <v>209</v>
      </c>
      <c r="B535" t="s">
        <v>210</v>
      </c>
      <c r="C535" t="s">
        <v>388</v>
      </c>
      <c r="D535" t="s">
        <v>389</v>
      </c>
      <c r="E535">
        <v>20171</v>
      </c>
      <c r="F535" t="s">
        <v>14</v>
      </c>
      <c r="G535" t="s">
        <v>26</v>
      </c>
      <c r="H535">
        <v>2</v>
      </c>
      <c r="I535">
        <v>0</v>
      </c>
      <c r="J535">
        <v>20201</v>
      </c>
      <c r="K535">
        <f>COUNTIF('rEKAP kls MK'!$A$2:$A$35,Worksheet!C535)</f>
        <v>1</v>
      </c>
      <c r="L535" t="str">
        <f t="shared" si="32"/>
        <v>F1B115005</v>
      </c>
      <c r="M535" t="str">
        <f t="shared" si="33"/>
        <v>ANWAR SAPI I</v>
      </c>
      <c r="O535" t="str">
        <f t="shared" si="34"/>
        <v/>
      </c>
      <c r="P535" t="str">
        <f t="shared" si="35"/>
        <v/>
      </c>
    </row>
    <row r="536" spans="1:16">
      <c r="A536" t="s">
        <v>183</v>
      </c>
      <c r="B536" t="s">
        <v>184</v>
      </c>
      <c r="C536" t="s">
        <v>388</v>
      </c>
      <c r="D536" t="s">
        <v>389</v>
      </c>
      <c r="E536">
        <v>20171</v>
      </c>
      <c r="F536" t="s">
        <v>14</v>
      </c>
      <c r="G536" t="s">
        <v>15</v>
      </c>
      <c r="H536">
        <v>0</v>
      </c>
      <c r="I536">
        <v>0</v>
      </c>
      <c r="J536">
        <v>20201</v>
      </c>
      <c r="K536">
        <f>COUNTIF('rEKAP kls MK'!$A$2:$A$35,Worksheet!C536)</f>
        <v>1</v>
      </c>
      <c r="L536" t="str">
        <f t="shared" si="32"/>
        <v>F1B115006</v>
      </c>
      <c r="M536" t="str">
        <f t="shared" si="33"/>
        <v>Bagas Akbar Aznurinto</v>
      </c>
      <c r="O536" t="str">
        <f t="shared" si="34"/>
        <v/>
      </c>
      <c r="P536" t="str">
        <f t="shared" si="35"/>
        <v/>
      </c>
    </row>
    <row r="537" spans="1:16">
      <c r="A537" t="s">
        <v>211</v>
      </c>
      <c r="B537" t="s">
        <v>212</v>
      </c>
      <c r="C537" t="s">
        <v>388</v>
      </c>
      <c r="D537" t="s">
        <v>389</v>
      </c>
      <c r="E537">
        <v>20171</v>
      </c>
      <c r="F537" t="s">
        <v>14</v>
      </c>
      <c r="G537" t="s">
        <v>26</v>
      </c>
      <c r="H537">
        <v>2</v>
      </c>
      <c r="I537">
        <v>0</v>
      </c>
      <c r="J537">
        <v>20201</v>
      </c>
      <c r="K537">
        <f>COUNTIF('rEKAP kls MK'!$A$2:$A$35,Worksheet!C537)</f>
        <v>1</v>
      </c>
      <c r="L537" t="str">
        <f t="shared" si="32"/>
        <v>F1B115007</v>
      </c>
      <c r="M537" t="str">
        <f t="shared" si="33"/>
        <v>BAIHAKI</v>
      </c>
      <c r="O537" t="str">
        <f t="shared" si="34"/>
        <v/>
      </c>
      <c r="P537" t="str">
        <f t="shared" si="35"/>
        <v/>
      </c>
    </row>
    <row r="538" spans="1:16">
      <c r="A538" t="s">
        <v>237</v>
      </c>
      <c r="B538" t="s">
        <v>238</v>
      </c>
      <c r="C538" t="s">
        <v>388</v>
      </c>
      <c r="D538" t="s">
        <v>389</v>
      </c>
      <c r="E538">
        <v>20171</v>
      </c>
      <c r="F538" t="s">
        <v>14</v>
      </c>
      <c r="G538" t="s">
        <v>116</v>
      </c>
      <c r="H538">
        <v>1.5</v>
      </c>
      <c r="I538">
        <v>0</v>
      </c>
      <c r="J538">
        <v>20201</v>
      </c>
      <c r="K538">
        <f>COUNTIF('rEKAP kls MK'!$A$2:$A$35,Worksheet!C538)</f>
        <v>1</v>
      </c>
      <c r="L538" t="str">
        <f t="shared" si="32"/>
        <v>F1B115012</v>
      </c>
      <c r="M538" t="str">
        <f t="shared" si="33"/>
        <v>HARZA WISNU SAPUTRA</v>
      </c>
      <c r="O538" t="str">
        <f t="shared" si="34"/>
        <v/>
      </c>
      <c r="P538" t="str">
        <f t="shared" si="35"/>
        <v/>
      </c>
    </row>
    <row r="539" spans="1:16">
      <c r="A539" t="s">
        <v>215</v>
      </c>
      <c r="B539" t="s">
        <v>216</v>
      </c>
      <c r="C539" t="s">
        <v>388</v>
      </c>
      <c r="D539" t="s">
        <v>389</v>
      </c>
      <c r="E539">
        <v>20171</v>
      </c>
      <c r="F539" t="s">
        <v>14</v>
      </c>
      <c r="G539" t="s">
        <v>18</v>
      </c>
      <c r="H539">
        <v>3</v>
      </c>
      <c r="I539">
        <v>0</v>
      </c>
      <c r="J539">
        <v>20201</v>
      </c>
      <c r="K539">
        <f>COUNTIF('rEKAP kls MK'!$A$2:$A$35,Worksheet!C539)</f>
        <v>1</v>
      </c>
      <c r="L539" t="str">
        <f t="shared" si="32"/>
        <v>F1B115014</v>
      </c>
      <c r="M539" t="str">
        <f t="shared" si="33"/>
        <v>ILHAMUDDIN</v>
      </c>
      <c r="O539" t="str">
        <f t="shared" si="34"/>
        <v/>
      </c>
      <c r="P539" t="str">
        <f t="shared" si="35"/>
        <v/>
      </c>
    </row>
    <row r="540" spans="1:16">
      <c r="A540" t="s">
        <v>185</v>
      </c>
      <c r="B540" t="s">
        <v>186</v>
      </c>
      <c r="C540" t="s">
        <v>388</v>
      </c>
      <c r="D540" t="s">
        <v>389</v>
      </c>
      <c r="E540">
        <v>20171</v>
      </c>
      <c r="F540" t="s">
        <v>14</v>
      </c>
      <c r="G540" t="s">
        <v>18</v>
      </c>
      <c r="H540">
        <v>3</v>
      </c>
      <c r="I540">
        <v>0</v>
      </c>
      <c r="J540">
        <v>20201</v>
      </c>
      <c r="K540">
        <f>COUNTIF('rEKAP kls MK'!$A$2:$A$35,Worksheet!C540)</f>
        <v>1</v>
      </c>
      <c r="L540" t="str">
        <f t="shared" si="32"/>
        <v>F1B115015</v>
      </c>
      <c r="M540" t="str">
        <f t="shared" si="33"/>
        <v>ILMAN HIDAYAT</v>
      </c>
      <c r="O540" t="str">
        <f t="shared" si="34"/>
        <v/>
      </c>
      <c r="P540" t="str">
        <f t="shared" si="35"/>
        <v/>
      </c>
    </row>
    <row r="541" spans="1:16">
      <c r="A541" t="s">
        <v>217</v>
      </c>
      <c r="B541" t="s">
        <v>218</v>
      </c>
      <c r="C541" t="s">
        <v>388</v>
      </c>
      <c r="D541" t="s">
        <v>389</v>
      </c>
      <c r="E541">
        <v>20171</v>
      </c>
      <c r="F541" t="s">
        <v>14</v>
      </c>
      <c r="G541" t="s">
        <v>51</v>
      </c>
      <c r="H541">
        <v>3.5</v>
      </c>
      <c r="I541">
        <v>0</v>
      </c>
      <c r="J541">
        <v>20201</v>
      </c>
      <c r="K541">
        <f>COUNTIF('rEKAP kls MK'!$A$2:$A$35,Worksheet!C541)</f>
        <v>1</v>
      </c>
      <c r="L541" t="str">
        <f t="shared" si="32"/>
        <v>F1B115016</v>
      </c>
      <c r="M541" t="str">
        <f t="shared" si="33"/>
        <v>Imam Syuhada</v>
      </c>
      <c r="O541" t="str">
        <f t="shared" si="34"/>
        <v/>
      </c>
      <c r="P541" t="str">
        <f t="shared" si="35"/>
        <v/>
      </c>
    </row>
    <row r="542" spans="1:16">
      <c r="A542" t="s">
        <v>191</v>
      </c>
      <c r="B542" t="s">
        <v>192</v>
      </c>
      <c r="C542" t="s">
        <v>388</v>
      </c>
      <c r="D542" t="s">
        <v>389</v>
      </c>
      <c r="E542">
        <v>20171</v>
      </c>
      <c r="F542" t="s">
        <v>14</v>
      </c>
      <c r="G542" t="s">
        <v>18</v>
      </c>
      <c r="H542">
        <v>3</v>
      </c>
      <c r="I542">
        <v>0</v>
      </c>
      <c r="J542">
        <v>20201</v>
      </c>
      <c r="K542">
        <f>COUNTIF('rEKAP kls MK'!$A$2:$A$35,Worksheet!C542)</f>
        <v>1</v>
      </c>
      <c r="L542" t="str">
        <f t="shared" si="32"/>
        <v>F1B115018</v>
      </c>
      <c r="M542" t="str">
        <f t="shared" si="33"/>
        <v>JANUARMAN MAULANA PUTRA</v>
      </c>
      <c r="O542" t="str">
        <f t="shared" si="34"/>
        <v/>
      </c>
      <c r="P542" t="str">
        <f t="shared" si="35"/>
        <v/>
      </c>
    </row>
    <row r="543" spans="1:16">
      <c r="A543" t="s">
        <v>219</v>
      </c>
      <c r="B543" t="s">
        <v>220</v>
      </c>
      <c r="C543" t="s">
        <v>388</v>
      </c>
      <c r="D543" t="s">
        <v>389</v>
      </c>
      <c r="E543">
        <v>20171</v>
      </c>
      <c r="F543" t="s">
        <v>14</v>
      </c>
      <c r="G543" t="s">
        <v>23</v>
      </c>
      <c r="H543">
        <v>2.5</v>
      </c>
      <c r="I543">
        <v>0</v>
      </c>
      <c r="J543">
        <v>20201</v>
      </c>
      <c r="K543">
        <f>COUNTIF('rEKAP kls MK'!$A$2:$A$35,Worksheet!C543)</f>
        <v>1</v>
      </c>
      <c r="L543" t="str">
        <f t="shared" si="32"/>
        <v>F1B115020</v>
      </c>
      <c r="M543" t="str">
        <f t="shared" si="33"/>
        <v>KHAIRIL SUDARMANTO</v>
      </c>
      <c r="O543" t="str">
        <f t="shared" si="34"/>
        <v/>
      </c>
      <c r="P543" t="str">
        <f t="shared" si="35"/>
        <v/>
      </c>
    </row>
    <row r="544" spans="1:16">
      <c r="A544" t="s">
        <v>221</v>
      </c>
      <c r="B544" t="s">
        <v>222</v>
      </c>
      <c r="C544" t="s">
        <v>388</v>
      </c>
      <c r="D544" t="s">
        <v>389</v>
      </c>
      <c r="E544">
        <v>20171</v>
      </c>
      <c r="F544" t="s">
        <v>14</v>
      </c>
      <c r="G544" t="s">
        <v>26</v>
      </c>
      <c r="H544">
        <v>2</v>
      </c>
      <c r="I544">
        <v>0</v>
      </c>
      <c r="J544">
        <v>20201</v>
      </c>
      <c r="K544">
        <f>COUNTIF('rEKAP kls MK'!$A$2:$A$35,Worksheet!C544)</f>
        <v>1</v>
      </c>
      <c r="L544" t="str">
        <f t="shared" si="32"/>
        <v>F1B115021</v>
      </c>
      <c r="M544" t="str">
        <f t="shared" si="33"/>
        <v>LALU TRIAWANRI NOVIANUNG</v>
      </c>
      <c r="O544" t="str">
        <f t="shared" si="34"/>
        <v/>
      </c>
      <c r="P544" t="str">
        <f t="shared" si="35"/>
        <v/>
      </c>
    </row>
    <row r="545" spans="1:16">
      <c r="A545" t="s">
        <v>225</v>
      </c>
      <c r="B545" t="s">
        <v>226</v>
      </c>
      <c r="C545" t="s">
        <v>388</v>
      </c>
      <c r="D545" t="s">
        <v>389</v>
      </c>
      <c r="E545">
        <v>20171</v>
      </c>
      <c r="F545" t="s">
        <v>14</v>
      </c>
      <c r="G545" t="s">
        <v>18</v>
      </c>
      <c r="H545">
        <v>3</v>
      </c>
      <c r="I545">
        <v>0</v>
      </c>
      <c r="J545">
        <v>20201</v>
      </c>
      <c r="K545">
        <f>COUNTIF('rEKAP kls MK'!$A$2:$A$35,Worksheet!C545)</f>
        <v>1</v>
      </c>
      <c r="L545" t="str">
        <f t="shared" si="32"/>
        <v>F1B115023</v>
      </c>
      <c r="M545" t="str">
        <f t="shared" si="33"/>
        <v>M Habibillah</v>
      </c>
      <c r="O545" t="str">
        <f t="shared" si="34"/>
        <v/>
      </c>
      <c r="P545" t="str">
        <f t="shared" si="35"/>
        <v/>
      </c>
    </row>
    <row r="546" spans="1:16">
      <c r="A546" t="s">
        <v>229</v>
      </c>
      <c r="B546" t="s">
        <v>230</v>
      </c>
      <c r="C546" t="s">
        <v>388</v>
      </c>
      <c r="D546" t="s">
        <v>389</v>
      </c>
      <c r="E546">
        <v>20171</v>
      </c>
      <c r="F546" t="s">
        <v>14</v>
      </c>
      <c r="G546" t="s">
        <v>18</v>
      </c>
      <c r="H546">
        <v>3</v>
      </c>
      <c r="I546">
        <v>0</v>
      </c>
      <c r="J546">
        <v>20201</v>
      </c>
      <c r="K546">
        <f>COUNTIF('rEKAP kls MK'!$A$2:$A$35,Worksheet!C546)</f>
        <v>1</v>
      </c>
      <c r="L546" t="str">
        <f t="shared" si="32"/>
        <v>F1B115029</v>
      </c>
      <c r="M546" t="str">
        <f t="shared" si="33"/>
        <v>MUHAMAT TAUFIK</v>
      </c>
      <c r="O546" t="str">
        <f t="shared" si="34"/>
        <v/>
      </c>
      <c r="P546" t="str">
        <f t="shared" si="35"/>
        <v/>
      </c>
    </row>
    <row r="547" spans="1:16">
      <c r="A547" t="s">
        <v>231</v>
      </c>
      <c r="B547" t="s">
        <v>232</v>
      </c>
      <c r="C547" t="s">
        <v>388</v>
      </c>
      <c r="D547" t="s">
        <v>389</v>
      </c>
      <c r="E547">
        <v>20171</v>
      </c>
      <c r="F547" t="s">
        <v>14</v>
      </c>
      <c r="G547" t="s">
        <v>18</v>
      </c>
      <c r="H547">
        <v>3</v>
      </c>
      <c r="I547">
        <v>0</v>
      </c>
      <c r="J547">
        <v>20201</v>
      </c>
      <c r="K547">
        <f>COUNTIF('rEKAP kls MK'!$A$2:$A$35,Worksheet!C547)</f>
        <v>1</v>
      </c>
      <c r="L547" t="str">
        <f t="shared" si="32"/>
        <v>F1B115030</v>
      </c>
      <c r="M547" t="str">
        <f t="shared" si="33"/>
        <v>MUHAMMAD FIQRIL</v>
      </c>
      <c r="O547" t="str">
        <f t="shared" si="34"/>
        <v/>
      </c>
      <c r="P547" t="str">
        <f t="shared" si="35"/>
        <v/>
      </c>
    </row>
    <row r="548" spans="1:16">
      <c r="A548" t="s">
        <v>187</v>
      </c>
      <c r="B548" t="s">
        <v>188</v>
      </c>
      <c r="C548" t="s">
        <v>388</v>
      </c>
      <c r="D548" t="s">
        <v>389</v>
      </c>
      <c r="E548">
        <v>20171</v>
      </c>
      <c r="F548" t="s">
        <v>14</v>
      </c>
      <c r="G548" t="s">
        <v>51</v>
      </c>
      <c r="H548">
        <v>3.5</v>
      </c>
      <c r="I548">
        <v>0</v>
      </c>
      <c r="J548">
        <v>20201</v>
      </c>
      <c r="K548">
        <f>COUNTIF('rEKAP kls MK'!$A$2:$A$35,Worksheet!C548)</f>
        <v>1</v>
      </c>
      <c r="L548" t="str">
        <f t="shared" si="32"/>
        <v>F1B115032</v>
      </c>
      <c r="M548" t="str">
        <f t="shared" si="33"/>
        <v>Muhammad Rozziq Syaputra</v>
      </c>
      <c r="O548" t="str">
        <f t="shared" si="34"/>
        <v/>
      </c>
      <c r="P548" t="str">
        <f t="shared" si="35"/>
        <v/>
      </c>
    </row>
    <row r="549" spans="1:16">
      <c r="A549" t="s">
        <v>197</v>
      </c>
      <c r="B549" t="s">
        <v>198</v>
      </c>
      <c r="C549" t="s">
        <v>199</v>
      </c>
      <c r="D549" t="s">
        <v>200</v>
      </c>
      <c r="E549">
        <v>20171</v>
      </c>
      <c r="F549" t="s">
        <v>14</v>
      </c>
      <c r="G549" t="s">
        <v>15</v>
      </c>
      <c r="H549">
        <v>0</v>
      </c>
      <c r="I549">
        <v>0</v>
      </c>
      <c r="J549">
        <v>20201</v>
      </c>
      <c r="K549">
        <f>COUNTIF('rEKAP kls MK'!$A$2:$A$35,Worksheet!C549)</f>
        <v>1</v>
      </c>
      <c r="L549" t="str">
        <f t="shared" si="32"/>
        <v>F1B111004</v>
      </c>
      <c r="M549" t="str">
        <f t="shared" si="33"/>
        <v>Ahmadi</v>
      </c>
      <c r="O549" t="str">
        <f t="shared" si="34"/>
        <v>MATEMATIKA TEKNIK I</v>
      </c>
      <c r="P549" t="str">
        <f t="shared" si="35"/>
        <v/>
      </c>
    </row>
    <row r="550" spans="1:16">
      <c r="A550" t="s">
        <v>110</v>
      </c>
      <c r="B550" t="s">
        <v>111</v>
      </c>
      <c r="C550" t="s">
        <v>199</v>
      </c>
      <c r="D550" t="s">
        <v>200</v>
      </c>
      <c r="E550">
        <v>20171</v>
      </c>
      <c r="F550" t="s">
        <v>14</v>
      </c>
      <c r="G550" t="s">
        <v>26</v>
      </c>
      <c r="H550">
        <v>2</v>
      </c>
      <c r="I550">
        <v>0</v>
      </c>
      <c r="J550">
        <v>20201</v>
      </c>
      <c r="K550">
        <f>COUNTIF('rEKAP kls MK'!$A$2:$A$35,Worksheet!C550)</f>
        <v>1</v>
      </c>
      <c r="L550" t="str">
        <f t="shared" si="32"/>
        <v>F1B112011</v>
      </c>
      <c r="M550" t="str">
        <f t="shared" si="33"/>
        <v>Cokorda Indra Darma Putra</v>
      </c>
      <c r="O550" t="str">
        <f t="shared" si="34"/>
        <v/>
      </c>
      <c r="P550" t="str">
        <f t="shared" si="35"/>
        <v/>
      </c>
    </row>
    <row r="551" spans="1:16">
      <c r="A551" t="s">
        <v>177</v>
      </c>
      <c r="B551" t="s">
        <v>178</v>
      </c>
      <c r="C551" t="s">
        <v>199</v>
      </c>
      <c r="D551" t="s">
        <v>200</v>
      </c>
      <c r="E551">
        <v>20171</v>
      </c>
      <c r="F551" t="s">
        <v>14</v>
      </c>
      <c r="G551" t="s">
        <v>15</v>
      </c>
      <c r="H551">
        <v>0</v>
      </c>
      <c r="I551">
        <v>0</v>
      </c>
      <c r="J551">
        <v>20201</v>
      </c>
      <c r="K551">
        <f>COUNTIF('rEKAP kls MK'!$A$2:$A$35,Worksheet!C551)</f>
        <v>1</v>
      </c>
      <c r="L551" t="str">
        <f t="shared" si="32"/>
        <v>F1B111030</v>
      </c>
      <c r="M551" t="str">
        <f t="shared" si="33"/>
        <v>Islahudin</v>
      </c>
      <c r="O551" t="str">
        <f t="shared" si="34"/>
        <v/>
      </c>
      <c r="P551" t="str">
        <f t="shared" si="35"/>
        <v/>
      </c>
    </row>
    <row r="552" spans="1:16">
      <c r="A552" t="s">
        <v>132</v>
      </c>
      <c r="B552" t="s">
        <v>133</v>
      </c>
      <c r="C552" t="s">
        <v>199</v>
      </c>
      <c r="D552" t="s">
        <v>200</v>
      </c>
      <c r="E552">
        <v>20171</v>
      </c>
      <c r="F552" t="s">
        <v>14</v>
      </c>
      <c r="G552" t="s">
        <v>23</v>
      </c>
      <c r="H552">
        <v>2.5</v>
      </c>
      <c r="I552">
        <v>0</v>
      </c>
      <c r="J552">
        <v>20201</v>
      </c>
      <c r="K552">
        <f>COUNTIF('rEKAP kls MK'!$A$2:$A$35,Worksheet!C552)</f>
        <v>1</v>
      </c>
      <c r="L552" t="str">
        <f t="shared" si="32"/>
        <v>F1B113013</v>
      </c>
      <c r="M552" t="str">
        <f t="shared" si="33"/>
        <v>I NENGAH AGUS YOGI A</v>
      </c>
      <c r="O552" t="str">
        <f t="shared" si="34"/>
        <v/>
      </c>
      <c r="P552" t="str">
        <f t="shared" si="35"/>
        <v/>
      </c>
    </row>
    <row r="553" spans="1:16">
      <c r="A553" t="s">
        <v>24</v>
      </c>
      <c r="B553" t="s">
        <v>25</v>
      </c>
      <c r="C553" t="s">
        <v>199</v>
      </c>
      <c r="D553" t="s">
        <v>200</v>
      </c>
      <c r="E553">
        <v>20171</v>
      </c>
      <c r="F553" t="s">
        <v>14</v>
      </c>
      <c r="G553" t="s">
        <v>23</v>
      </c>
      <c r="H553">
        <v>2.5</v>
      </c>
      <c r="I553">
        <v>0</v>
      </c>
      <c r="J553">
        <v>20201</v>
      </c>
      <c r="K553">
        <f>COUNTIF('rEKAP kls MK'!$A$2:$A$35,Worksheet!C553)</f>
        <v>1</v>
      </c>
      <c r="L553" t="str">
        <f t="shared" si="32"/>
        <v>F1B113015</v>
      </c>
      <c r="M553" t="str">
        <f t="shared" si="33"/>
        <v>IMAM RAHMATULLAH S</v>
      </c>
      <c r="O553" t="str">
        <f t="shared" si="34"/>
        <v/>
      </c>
      <c r="P553" t="str">
        <f t="shared" si="35"/>
        <v/>
      </c>
    </row>
    <row r="554" spans="1:16">
      <c r="A554" t="s">
        <v>29</v>
      </c>
      <c r="B554" t="s">
        <v>30</v>
      </c>
      <c r="C554" t="s">
        <v>199</v>
      </c>
      <c r="D554" t="s">
        <v>200</v>
      </c>
      <c r="E554">
        <v>20171</v>
      </c>
      <c r="F554" t="s">
        <v>14</v>
      </c>
      <c r="G554" t="s">
        <v>23</v>
      </c>
      <c r="H554">
        <v>2.5</v>
      </c>
      <c r="I554">
        <v>0</v>
      </c>
      <c r="J554">
        <v>20201</v>
      </c>
      <c r="K554">
        <f>COUNTIF('rEKAP kls MK'!$A$2:$A$35,Worksheet!C554)</f>
        <v>1</v>
      </c>
      <c r="L554" t="str">
        <f t="shared" si="32"/>
        <v>F1B113021</v>
      </c>
      <c r="M554" t="str">
        <f t="shared" si="33"/>
        <v>LALU MUHAMMAD IBNU N</v>
      </c>
      <c r="O554" t="str">
        <f t="shared" si="34"/>
        <v/>
      </c>
      <c r="P554" t="str">
        <f t="shared" si="35"/>
        <v/>
      </c>
    </row>
    <row r="555" spans="1:16">
      <c r="A555" t="s">
        <v>41</v>
      </c>
      <c r="B555" t="s">
        <v>42</v>
      </c>
      <c r="C555" t="s">
        <v>199</v>
      </c>
      <c r="D555" t="s">
        <v>200</v>
      </c>
      <c r="E555">
        <v>20171</v>
      </c>
      <c r="F555" t="s">
        <v>14</v>
      </c>
      <c r="G555" t="s">
        <v>116</v>
      </c>
      <c r="H555">
        <v>1.5</v>
      </c>
      <c r="I555">
        <v>0</v>
      </c>
      <c r="J555">
        <v>20201</v>
      </c>
      <c r="K555">
        <f>COUNTIF('rEKAP kls MK'!$A$2:$A$35,Worksheet!C555)</f>
        <v>1</v>
      </c>
      <c r="L555" t="str">
        <f t="shared" si="32"/>
        <v>F1B113032</v>
      </c>
      <c r="M555" t="str">
        <f t="shared" si="33"/>
        <v>SAMSUL AZWARI</v>
      </c>
      <c r="O555" t="str">
        <f t="shared" si="34"/>
        <v/>
      </c>
      <c r="P555" t="str">
        <f t="shared" si="35"/>
        <v/>
      </c>
    </row>
    <row r="556" spans="1:16">
      <c r="A556" t="s">
        <v>43</v>
      </c>
      <c r="B556" t="s">
        <v>44</v>
      </c>
      <c r="C556" t="s">
        <v>199</v>
      </c>
      <c r="D556" t="s">
        <v>200</v>
      </c>
      <c r="E556">
        <v>20171</v>
      </c>
      <c r="F556" t="s">
        <v>14</v>
      </c>
      <c r="G556" t="s">
        <v>26</v>
      </c>
      <c r="H556">
        <v>2</v>
      </c>
      <c r="I556">
        <v>0</v>
      </c>
      <c r="J556">
        <v>20201</v>
      </c>
      <c r="K556">
        <f>COUNTIF('rEKAP kls MK'!$A$2:$A$35,Worksheet!C556)</f>
        <v>1</v>
      </c>
      <c r="L556" t="str">
        <f t="shared" si="32"/>
        <v>F1B113034</v>
      </c>
      <c r="M556" t="str">
        <f t="shared" si="33"/>
        <v>SHIR AJIE ASMORO</v>
      </c>
      <c r="O556" t="str">
        <f t="shared" si="34"/>
        <v/>
      </c>
      <c r="P556" t="str">
        <f t="shared" si="35"/>
        <v/>
      </c>
    </row>
    <row r="557" spans="1:16">
      <c r="A557" t="s">
        <v>47</v>
      </c>
      <c r="B557" t="s">
        <v>48</v>
      </c>
      <c r="C557" t="s">
        <v>199</v>
      </c>
      <c r="D557" t="s">
        <v>200</v>
      </c>
      <c r="E557">
        <v>20171</v>
      </c>
      <c r="F557" t="s">
        <v>14</v>
      </c>
      <c r="G557" t="s">
        <v>18</v>
      </c>
      <c r="H557">
        <v>3</v>
      </c>
      <c r="I557">
        <v>0</v>
      </c>
      <c r="J557">
        <v>20201</v>
      </c>
      <c r="K557">
        <f>COUNTIF('rEKAP kls MK'!$A$2:$A$35,Worksheet!C557)</f>
        <v>1</v>
      </c>
      <c r="L557" t="str">
        <f t="shared" si="32"/>
        <v>F1B114004</v>
      </c>
      <c r="M557" t="str">
        <f t="shared" si="33"/>
        <v>AKHMAD AKHIR BULAN</v>
      </c>
      <c r="O557" t="str">
        <f t="shared" si="34"/>
        <v/>
      </c>
      <c r="P557" t="str">
        <f t="shared" si="35"/>
        <v/>
      </c>
    </row>
    <row r="558" spans="1:16">
      <c r="A558" t="s">
        <v>157</v>
      </c>
      <c r="B558" t="s">
        <v>158</v>
      </c>
      <c r="C558" t="s">
        <v>199</v>
      </c>
      <c r="D558" t="s">
        <v>200</v>
      </c>
      <c r="E558">
        <v>20171</v>
      </c>
      <c r="F558" t="s">
        <v>14</v>
      </c>
      <c r="G558" t="s">
        <v>23</v>
      </c>
      <c r="H558">
        <v>2.5</v>
      </c>
      <c r="I558">
        <v>0</v>
      </c>
      <c r="J558">
        <v>20201</v>
      </c>
      <c r="K558">
        <f>COUNTIF('rEKAP kls MK'!$A$2:$A$35,Worksheet!C558)</f>
        <v>1</v>
      </c>
      <c r="L558" t="str">
        <f t="shared" si="32"/>
        <v>F1B114010</v>
      </c>
      <c r="M558" t="str">
        <f t="shared" si="33"/>
        <v>EKA MARTA SIOMI</v>
      </c>
      <c r="O558" t="str">
        <f t="shared" si="34"/>
        <v/>
      </c>
      <c r="P558" t="str">
        <f t="shared" si="35"/>
        <v/>
      </c>
    </row>
    <row r="559" spans="1:16">
      <c r="A559" t="s">
        <v>159</v>
      </c>
      <c r="B559" t="s">
        <v>160</v>
      </c>
      <c r="C559" t="s">
        <v>199</v>
      </c>
      <c r="D559" t="s">
        <v>200</v>
      </c>
      <c r="E559">
        <v>20171</v>
      </c>
      <c r="F559" t="s">
        <v>14</v>
      </c>
      <c r="G559" t="s">
        <v>116</v>
      </c>
      <c r="H559">
        <v>1.5</v>
      </c>
      <c r="I559">
        <v>0</v>
      </c>
      <c r="J559">
        <v>20201</v>
      </c>
      <c r="K559">
        <f>COUNTIF('rEKAP kls MK'!$A$2:$A$35,Worksheet!C559)</f>
        <v>1</v>
      </c>
      <c r="L559" t="str">
        <f t="shared" si="32"/>
        <v>F1B114011</v>
      </c>
      <c r="M559" t="str">
        <f t="shared" si="33"/>
        <v>ERWIN LINGGA SAPUTRA</v>
      </c>
      <c r="O559" t="str">
        <f t="shared" si="34"/>
        <v/>
      </c>
      <c r="P559" t="str">
        <f t="shared" si="35"/>
        <v/>
      </c>
    </row>
    <row r="560" spans="1:16">
      <c r="A560" t="s">
        <v>161</v>
      </c>
      <c r="B560" t="s">
        <v>162</v>
      </c>
      <c r="C560" t="s">
        <v>199</v>
      </c>
      <c r="D560" t="s">
        <v>200</v>
      </c>
      <c r="E560">
        <v>20171</v>
      </c>
      <c r="F560" t="s">
        <v>14</v>
      </c>
      <c r="G560" t="s">
        <v>116</v>
      </c>
      <c r="H560">
        <v>1.5</v>
      </c>
      <c r="I560">
        <v>0</v>
      </c>
      <c r="J560">
        <v>20201</v>
      </c>
      <c r="K560">
        <f>COUNTIF('rEKAP kls MK'!$A$2:$A$35,Worksheet!C560)</f>
        <v>1</v>
      </c>
      <c r="L560" t="str">
        <f t="shared" si="32"/>
        <v>F1B114012</v>
      </c>
      <c r="M560" t="str">
        <f t="shared" si="33"/>
        <v>FATHUL AZIZ</v>
      </c>
      <c r="O560" t="str">
        <f t="shared" si="34"/>
        <v/>
      </c>
      <c r="P560" t="str">
        <f t="shared" si="35"/>
        <v/>
      </c>
    </row>
    <row r="561" spans="1:16">
      <c r="A561" t="s">
        <v>52</v>
      </c>
      <c r="B561" t="s">
        <v>53</v>
      </c>
      <c r="C561" t="s">
        <v>199</v>
      </c>
      <c r="D561" t="s">
        <v>200</v>
      </c>
      <c r="E561">
        <v>20171</v>
      </c>
      <c r="F561" t="s">
        <v>14</v>
      </c>
      <c r="G561" t="s">
        <v>51</v>
      </c>
      <c r="H561">
        <v>3.5</v>
      </c>
      <c r="I561">
        <v>0</v>
      </c>
      <c r="J561">
        <v>20201</v>
      </c>
      <c r="K561">
        <f>COUNTIF('rEKAP kls MK'!$A$2:$A$35,Worksheet!C561)</f>
        <v>1</v>
      </c>
      <c r="L561" t="str">
        <f t="shared" si="32"/>
        <v>F1B114014</v>
      </c>
      <c r="M561" t="str">
        <f t="shared" si="33"/>
        <v>HAMDUN</v>
      </c>
      <c r="O561" t="str">
        <f t="shared" si="34"/>
        <v/>
      </c>
      <c r="P561" t="str">
        <f t="shared" si="35"/>
        <v/>
      </c>
    </row>
    <row r="562" spans="1:16">
      <c r="A562" t="s">
        <v>201</v>
      </c>
      <c r="B562" t="s">
        <v>202</v>
      </c>
      <c r="C562" t="s">
        <v>199</v>
      </c>
      <c r="D562" t="s">
        <v>200</v>
      </c>
      <c r="E562">
        <v>20171</v>
      </c>
      <c r="F562" t="s">
        <v>14</v>
      </c>
      <c r="G562" t="s">
        <v>116</v>
      </c>
      <c r="H562">
        <v>1.5</v>
      </c>
      <c r="I562">
        <v>0</v>
      </c>
      <c r="J562">
        <v>20201</v>
      </c>
      <c r="K562">
        <f>COUNTIF('rEKAP kls MK'!$A$2:$A$35,Worksheet!C562)</f>
        <v>1</v>
      </c>
      <c r="L562" t="str">
        <f t="shared" si="32"/>
        <v>F1B114030</v>
      </c>
      <c r="M562" t="str">
        <f t="shared" si="33"/>
        <v>PUTRA RAHMAT RAMADAN</v>
      </c>
      <c r="O562" t="str">
        <f t="shared" si="34"/>
        <v/>
      </c>
      <c r="P562" t="str">
        <f t="shared" si="35"/>
        <v/>
      </c>
    </row>
    <row r="563" spans="1:16">
      <c r="A563" t="s">
        <v>56</v>
      </c>
      <c r="B563" t="s">
        <v>57</v>
      </c>
      <c r="C563" t="s">
        <v>199</v>
      </c>
      <c r="D563" t="s">
        <v>200</v>
      </c>
      <c r="E563">
        <v>20171</v>
      </c>
      <c r="F563" t="s">
        <v>14</v>
      </c>
      <c r="G563" t="s">
        <v>82</v>
      </c>
      <c r="H563">
        <v>4</v>
      </c>
      <c r="I563">
        <v>0</v>
      </c>
      <c r="J563">
        <v>20201</v>
      </c>
      <c r="K563">
        <f>COUNTIF('rEKAP kls MK'!$A$2:$A$35,Worksheet!C563)</f>
        <v>1</v>
      </c>
      <c r="L563" t="str">
        <f t="shared" si="32"/>
        <v>F1B116001</v>
      </c>
      <c r="M563" t="str">
        <f t="shared" si="33"/>
        <v>AHMAD MUHAJIR</v>
      </c>
      <c r="O563" t="str">
        <f t="shared" si="34"/>
        <v/>
      </c>
      <c r="P563" t="str">
        <f t="shared" si="35"/>
        <v/>
      </c>
    </row>
    <row r="564" spans="1:16">
      <c r="A564" t="s">
        <v>58</v>
      </c>
      <c r="B564" t="s">
        <v>59</v>
      </c>
      <c r="C564" t="s">
        <v>199</v>
      </c>
      <c r="D564" t="s">
        <v>200</v>
      </c>
      <c r="E564">
        <v>20171</v>
      </c>
      <c r="F564" t="s">
        <v>14</v>
      </c>
      <c r="G564" t="s">
        <v>15</v>
      </c>
      <c r="H564">
        <v>0</v>
      </c>
      <c r="I564">
        <v>0</v>
      </c>
      <c r="J564">
        <v>20201</v>
      </c>
      <c r="K564">
        <f>COUNTIF('rEKAP kls MK'!$A$2:$A$35,Worksheet!C564)</f>
        <v>1</v>
      </c>
      <c r="L564" t="str">
        <f t="shared" si="32"/>
        <v>F1B116003</v>
      </c>
      <c r="M564" t="str">
        <f t="shared" si="33"/>
        <v>DONI PRANATA</v>
      </c>
      <c r="O564" t="str">
        <f t="shared" si="34"/>
        <v/>
      </c>
      <c r="P564" t="str">
        <f t="shared" si="35"/>
        <v/>
      </c>
    </row>
    <row r="565" spans="1:16">
      <c r="A565" t="s">
        <v>60</v>
      </c>
      <c r="B565" t="s">
        <v>61</v>
      </c>
      <c r="C565" t="s">
        <v>199</v>
      </c>
      <c r="D565" t="s">
        <v>200</v>
      </c>
      <c r="E565">
        <v>20171</v>
      </c>
      <c r="F565" t="s">
        <v>14</v>
      </c>
      <c r="G565" t="s">
        <v>82</v>
      </c>
      <c r="H565">
        <v>4</v>
      </c>
      <c r="I565">
        <v>0</v>
      </c>
      <c r="J565">
        <v>20201</v>
      </c>
      <c r="K565">
        <f>COUNTIF('rEKAP kls MK'!$A$2:$A$35,Worksheet!C565)</f>
        <v>1</v>
      </c>
      <c r="L565" t="str">
        <f t="shared" si="32"/>
        <v>F1B116005</v>
      </c>
      <c r="M565" t="str">
        <f t="shared" si="33"/>
        <v>FENDY KURNIAWAN</v>
      </c>
      <c r="O565" t="str">
        <f t="shared" si="34"/>
        <v/>
      </c>
      <c r="P565" t="str">
        <f t="shared" si="35"/>
        <v/>
      </c>
    </row>
    <row r="566" spans="1:16">
      <c r="A566" t="s">
        <v>123</v>
      </c>
      <c r="B566" t="s">
        <v>124</v>
      </c>
      <c r="C566" t="s">
        <v>199</v>
      </c>
      <c r="D566" t="s">
        <v>200</v>
      </c>
      <c r="E566">
        <v>20171</v>
      </c>
      <c r="F566" t="s">
        <v>14</v>
      </c>
      <c r="G566" t="s">
        <v>23</v>
      </c>
      <c r="H566">
        <v>2.5</v>
      </c>
      <c r="I566">
        <v>0</v>
      </c>
      <c r="J566">
        <v>20201</v>
      </c>
      <c r="K566">
        <f>COUNTIF('rEKAP kls MK'!$A$2:$A$35,Worksheet!C566)</f>
        <v>1</v>
      </c>
      <c r="L566" t="str">
        <f t="shared" si="32"/>
        <v>F1B116007</v>
      </c>
      <c r="M566" t="str">
        <f t="shared" si="33"/>
        <v>HARIS MUNANDAR</v>
      </c>
      <c r="O566" t="str">
        <f t="shared" si="34"/>
        <v/>
      </c>
      <c r="P566" t="str">
        <f t="shared" si="35"/>
        <v/>
      </c>
    </row>
    <row r="567" spans="1:16">
      <c r="A567" t="s">
        <v>64</v>
      </c>
      <c r="B567" t="s">
        <v>65</v>
      </c>
      <c r="C567" t="s">
        <v>199</v>
      </c>
      <c r="D567" t="s">
        <v>200</v>
      </c>
      <c r="E567">
        <v>20171</v>
      </c>
      <c r="F567" t="s">
        <v>14</v>
      </c>
      <c r="G567" t="s">
        <v>23</v>
      </c>
      <c r="H567">
        <v>2.5</v>
      </c>
      <c r="I567">
        <v>0</v>
      </c>
      <c r="J567">
        <v>20201</v>
      </c>
      <c r="K567">
        <f>COUNTIF('rEKAP kls MK'!$A$2:$A$35,Worksheet!C567)</f>
        <v>1</v>
      </c>
      <c r="L567" t="str">
        <f t="shared" si="32"/>
        <v>F1B116008</v>
      </c>
      <c r="M567" t="str">
        <f t="shared" si="33"/>
        <v>Harjo Sumitro</v>
      </c>
      <c r="O567" t="str">
        <f t="shared" si="34"/>
        <v/>
      </c>
      <c r="P567" t="str">
        <f t="shared" si="35"/>
        <v/>
      </c>
    </row>
    <row r="568" spans="1:16">
      <c r="A568" t="s">
        <v>66</v>
      </c>
      <c r="B568" t="s">
        <v>67</v>
      </c>
      <c r="C568" t="s">
        <v>199</v>
      </c>
      <c r="D568" t="s">
        <v>200</v>
      </c>
      <c r="E568">
        <v>20171</v>
      </c>
      <c r="F568" t="s">
        <v>14</v>
      </c>
      <c r="G568" t="s">
        <v>51</v>
      </c>
      <c r="H568">
        <v>3.5</v>
      </c>
      <c r="I568">
        <v>0</v>
      </c>
      <c r="J568">
        <v>20201</v>
      </c>
      <c r="K568">
        <f>COUNTIF('rEKAP kls MK'!$A$2:$A$35,Worksheet!C568)</f>
        <v>1</v>
      </c>
      <c r="L568" t="str">
        <f t="shared" si="32"/>
        <v>F1B116009</v>
      </c>
      <c r="M568" t="str">
        <f t="shared" si="33"/>
        <v>HASAN BASRI</v>
      </c>
      <c r="O568" t="str">
        <f t="shared" si="34"/>
        <v/>
      </c>
      <c r="P568" t="str">
        <f t="shared" si="35"/>
        <v/>
      </c>
    </row>
    <row r="569" spans="1:16">
      <c r="A569" t="s">
        <v>68</v>
      </c>
      <c r="B569" t="s">
        <v>69</v>
      </c>
      <c r="C569" t="s">
        <v>199</v>
      </c>
      <c r="D569" t="s">
        <v>200</v>
      </c>
      <c r="E569">
        <v>20171</v>
      </c>
      <c r="F569" t="s">
        <v>14</v>
      </c>
      <c r="G569" t="s">
        <v>18</v>
      </c>
      <c r="H569">
        <v>3</v>
      </c>
      <c r="I569">
        <v>0</v>
      </c>
      <c r="J569">
        <v>20201</v>
      </c>
      <c r="K569">
        <f>COUNTIF('rEKAP kls MK'!$A$2:$A$35,Worksheet!C569)</f>
        <v>1</v>
      </c>
      <c r="L569" t="str">
        <f t="shared" si="32"/>
        <v>F1B116010</v>
      </c>
      <c r="M569" t="str">
        <f t="shared" si="33"/>
        <v>Ihsan Syaputro</v>
      </c>
      <c r="O569" t="str">
        <f t="shared" si="34"/>
        <v/>
      </c>
      <c r="P569" t="str">
        <f t="shared" si="35"/>
        <v/>
      </c>
    </row>
    <row r="570" spans="1:16">
      <c r="A570" t="s">
        <v>72</v>
      </c>
      <c r="B570" t="s">
        <v>73</v>
      </c>
      <c r="C570" t="s">
        <v>199</v>
      </c>
      <c r="D570" t="s">
        <v>200</v>
      </c>
      <c r="E570">
        <v>20171</v>
      </c>
      <c r="F570" t="s">
        <v>14</v>
      </c>
      <c r="G570" t="s">
        <v>116</v>
      </c>
      <c r="H570">
        <v>1.5</v>
      </c>
      <c r="I570">
        <v>0</v>
      </c>
      <c r="J570">
        <v>20201</v>
      </c>
      <c r="K570">
        <f>COUNTIF('rEKAP kls MK'!$A$2:$A$35,Worksheet!C570)</f>
        <v>1</v>
      </c>
      <c r="L570" t="str">
        <f t="shared" si="32"/>
        <v>F1B116014</v>
      </c>
      <c r="M570" t="str">
        <f t="shared" si="33"/>
        <v>LALU ARIF TASIBANA</v>
      </c>
      <c r="O570" t="str">
        <f t="shared" si="34"/>
        <v/>
      </c>
      <c r="P570" t="str">
        <f t="shared" si="35"/>
        <v/>
      </c>
    </row>
    <row r="571" spans="1:16">
      <c r="A571" t="s">
        <v>74</v>
      </c>
      <c r="B571" t="s">
        <v>75</v>
      </c>
      <c r="C571" t="s">
        <v>199</v>
      </c>
      <c r="D571" t="s">
        <v>200</v>
      </c>
      <c r="E571">
        <v>20171</v>
      </c>
      <c r="F571" t="s">
        <v>14</v>
      </c>
      <c r="G571" t="s">
        <v>18</v>
      </c>
      <c r="H571">
        <v>3</v>
      </c>
      <c r="I571">
        <v>0</v>
      </c>
      <c r="J571">
        <v>20201</v>
      </c>
      <c r="K571">
        <f>COUNTIF('rEKAP kls MK'!$A$2:$A$35,Worksheet!C571)</f>
        <v>1</v>
      </c>
      <c r="L571" t="str">
        <f t="shared" si="32"/>
        <v>F1B116015</v>
      </c>
      <c r="M571" t="str">
        <f t="shared" si="33"/>
        <v>LALU MAHSAR KHAIRUDI</v>
      </c>
      <c r="O571" t="str">
        <f t="shared" si="34"/>
        <v/>
      </c>
      <c r="P571" t="str">
        <f t="shared" si="35"/>
        <v/>
      </c>
    </row>
    <row r="572" spans="1:16">
      <c r="A572" t="s">
        <v>76</v>
      </c>
      <c r="B572" t="s">
        <v>77</v>
      </c>
      <c r="C572" t="s">
        <v>199</v>
      </c>
      <c r="D572" t="s">
        <v>200</v>
      </c>
      <c r="E572">
        <v>20171</v>
      </c>
      <c r="F572" t="s">
        <v>14</v>
      </c>
      <c r="G572" t="s">
        <v>23</v>
      </c>
      <c r="H572">
        <v>2.5</v>
      </c>
      <c r="I572">
        <v>0</v>
      </c>
      <c r="J572">
        <v>20201</v>
      </c>
      <c r="K572">
        <f>COUNTIF('rEKAP kls MK'!$A$2:$A$35,Worksheet!C572)</f>
        <v>1</v>
      </c>
      <c r="L572" t="str">
        <f t="shared" si="32"/>
        <v>F1B116016</v>
      </c>
      <c r="M572" t="str">
        <f t="shared" si="33"/>
        <v>LALU MOHAMAD FAESAL RAHMAN</v>
      </c>
      <c r="O572" t="str">
        <f t="shared" si="34"/>
        <v/>
      </c>
      <c r="P572" t="str">
        <f t="shared" si="35"/>
        <v/>
      </c>
    </row>
    <row r="573" spans="1:16">
      <c r="A573" t="s">
        <v>126</v>
      </c>
      <c r="B573" t="s">
        <v>127</v>
      </c>
      <c r="C573" t="s">
        <v>199</v>
      </c>
      <c r="D573" t="s">
        <v>200</v>
      </c>
      <c r="E573">
        <v>20171</v>
      </c>
      <c r="F573" t="s">
        <v>14</v>
      </c>
      <c r="G573" t="s">
        <v>125</v>
      </c>
      <c r="H573">
        <v>1</v>
      </c>
      <c r="I573">
        <v>0</v>
      </c>
      <c r="J573">
        <v>20201</v>
      </c>
      <c r="K573">
        <f>COUNTIF('rEKAP kls MK'!$A$2:$A$35,Worksheet!C573)</f>
        <v>1</v>
      </c>
      <c r="L573" t="str">
        <f t="shared" si="32"/>
        <v>F1B116017</v>
      </c>
      <c r="M573" t="str">
        <f t="shared" si="33"/>
        <v xml:space="preserve">MAULANA ADI PRASETIO </v>
      </c>
      <c r="O573" t="str">
        <f t="shared" si="34"/>
        <v/>
      </c>
      <c r="P573" t="str">
        <f t="shared" si="35"/>
        <v/>
      </c>
    </row>
    <row r="574" spans="1:16">
      <c r="A574" t="s">
        <v>128</v>
      </c>
      <c r="B574" t="s">
        <v>129</v>
      </c>
      <c r="C574" t="s">
        <v>199</v>
      </c>
      <c r="D574" t="s">
        <v>200</v>
      </c>
      <c r="E574">
        <v>20171</v>
      </c>
      <c r="F574" t="s">
        <v>14</v>
      </c>
      <c r="G574" t="s">
        <v>51</v>
      </c>
      <c r="H574">
        <v>3.5</v>
      </c>
      <c r="I574">
        <v>0</v>
      </c>
      <c r="J574">
        <v>20201</v>
      </c>
      <c r="K574">
        <f>COUNTIF('rEKAP kls MK'!$A$2:$A$35,Worksheet!C574)</f>
        <v>1</v>
      </c>
      <c r="L574" t="str">
        <f t="shared" si="32"/>
        <v>F1B116020</v>
      </c>
      <c r="M574" t="str">
        <f t="shared" si="33"/>
        <v>Muhammad Zarrin Al Mansyury</v>
      </c>
      <c r="O574" t="str">
        <f t="shared" si="34"/>
        <v/>
      </c>
      <c r="P574" t="str">
        <f t="shared" si="35"/>
        <v/>
      </c>
    </row>
    <row r="575" spans="1:16">
      <c r="A575" t="s">
        <v>78</v>
      </c>
      <c r="B575" t="s">
        <v>79</v>
      </c>
      <c r="C575" t="s">
        <v>199</v>
      </c>
      <c r="D575" t="s">
        <v>200</v>
      </c>
      <c r="E575">
        <v>20171</v>
      </c>
      <c r="F575" t="s">
        <v>14</v>
      </c>
      <c r="G575" t="s">
        <v>26</v>
      </c>
      <c r="H575">
        <v>2</v>
      </c>
      <c r="I575">
        <v>0</v>
      </c>
      <c r="J575">
        <v>20201</v>
      </c>
      <c r="K575">
        <f>COUNTIF('rEKAP kls MK'!$A$2:$A$35,Worksheet!C575)</f>
        <v>1</v>
      </c>
      <c r="L575" t="str">
        <f t="shared" si="32"/>
        <v>F1B116021</v>
      </c>
      <c r="M575" t="str">
        <f t="shared" si="33"/>
        <v>NELIN AYU NIRWANA</v>
      </c>
      <c r="O575" t="str">
        <f t="shared" si="34"/>
        <v/>
      </c>
      <c r="P575" t="str">
        <f t="shared" si="35"/>
        <v/>
      </c>
    </row>
    <row r="576" spans="1:16">
      <c r="A576" t="s">
        <v>80</v>
      </c>
      <c r="B576" t="s">
        <v>81</v>
      </c>
      <c r="C576" t="s">
        <v>199</v>
      </c>
      <c r="D576" t="s">
        <v>200</v>
      </c>
      <c r="E576">
        <v>20171</v>
      </c>
      <c r="F576" t="s">
        <v>14</v>
      </c>
      <c r="G576" t="s">
        <v>51</v>
      </c>
      <c r="H576">
        <v>3.5</v>
      </c>
      <c r="I576">
        <v>0</v>
      </c>
      <c r="J576">
        <v>20201</v>
      </c>
      <c r="K576">
        <f>COUNTIF('rEKAP kls MK'!$A$2:$A$35,Worksheet!C576)</f>
        <v>1</v>
      </c>
      <c r="L576" t="str">
        <f t="shared" si="32"/>
        <v>F1B116022</v>
      </c>
      <c r="M576" t="str">
        <f t="shared" si="33"/>
        <v>NOVA HENDRI KURNIAWAN</v>
      </c>
      <c r="O576" t="str">
        <f t="shared" si="34"/>
        <v/>
      </c>
      <c r="P576" t="str">
        <f t="shared" si="35"/>
        <v/>
      </c>
    </row>
    <row r="577" spans="1:16">
      <c r="A577" t="s">
        <v>83</v>
      </c>
      <c r="B577" t="s">
        <v>84</v>
      </c>
      <c r="C577" t="s">
        <v>199</v>
      </c>
      <c r="D577" t="s">
        <v>200</v>
      </c>
      <c r="E577">
        <v>20171</v>
      </c>
      <c r="F577" t="s">
        <v>14</v>
      </c>
      <c r="G577" t="s">
        <v>18</v>
      </c>
      <c r="H577">
        <v>3</v>
      </c>
      <c r="I577">
        <v>0</v>
      </c>
      <c r="J577">
        <v>20201</v>
      </c>
      <c r="K577">
        <f>COUNTIF('rEKAP kls MK'!$A$2:$A$35,Worksheet!C577)</f>
        <v>1</v>
      </c>
      <c r="L577" t="str">
        <f t="shared" si="32"/>
        <v>F1B116024</v>
      </c>
      <c r="M577" t="str">
        <f t="shared" si="33"/>
        <v>RENA RAMDINAWATI</v>
      </c>
      <c r="O577" t="str">
        <f t="shared" si="34"/>
        <v/>
      </c>
      <c r="P577" t="str">
        <f t="shared" si="35"/>
        <v/>
      </c>
    </row>
    <row r="578" spans="1:16">
      <c r="A578" t="s">
        <v>85</v>
      </c>
      <c r="B578" t="s">
        <v>86</v>
      </c>
      <c r="C578" t="s">
        <v>199</v>
      </c>
      <c r="D578" t="s">
        <v>200</v>
      </c>
      <c r="E578">
        <v>20171</v>
      </c>
      <c r="F578" t="s">
        <v>14</v>
      </c>
      <c r="G578" t="s">
        <v>82</v>
      </c>
      <c r="H578">
        <v>4</v>
      </c>
      <c r="I578">
        <v>0</v>
      </c>
      <c r="J578">
        <v>20201</v>
      </c>
      <c r="K578">
        <f>COUNTIF('rEKAP kls MK'!$A$2:$A$35,Worksheet!C578)</f>
        <v>1</v>
      </c>
      <c r="L578" t="str">
        <f t="shared" si="32"/>
        <v>F1B116025</v>
      </c>
      <c r="M578" t="str">
        <f t="shared" si="33"/>
        <v>RISMAN ALFIAN LUTHFI</v>
      </c>
      <c r="O578" t="str">
        <f t="shared" si="34"/>
        <v/>
      </c>
      <c r="P578" t="str">
        <f t="shared" si="35"/>
        <v/>
      </c>
    </row>
    <row r="579" spans="1:16">
      <c r="A579" t="s">
        <v>87</v>
      </c>
      <c r="B579" t="s">
        <v>88</v>
      </c>
      <c r="C579" t="s">
        <v>199</v>
      </c>
      <c r="D579" t="s">
        <v>200</v>
      </c>
      <c r="E579">
        <v>20171</v>
      </c>
      <c r="F579" t="s">
        <v>14</v>
      </c>
      <c r="G579" t="s">
        <v>18</v>
      </c>
      <c r="H579">
        <v>3</v>
      </c>
      <c r="I579">
        <v>0</v>
      </c>
      <c r="J579">
        <v>20201</v>
      </c>
      <c r="K579">
        <f>COUNTIF('rEKAP kls MK'!$A$2:$A$35,Worksheet!C579)</f>
        <v>1</v>
      </c>
      <c r="L579" t="str">
        <f t="shared" ref="L579:L642" si="36">IF(A578&lt;&gt;A579,A579,"")</f>
        <v>F1B116027</v>
      </c>
      <c r="M579" t="str">
        <f t="shared" ref="M579:M642" si="37">IF(B578&lt;&gt;B579,B579,"")</f>
        <v>ROYHAN ADEKA SAPUTRA</v>
      </c>
      <c r="O579" t="str">
        <f t="shared" ref="O579:O642" si="38">IF(D578&lt;&gt;D579,D579,"")</f>
        <v/>
      </c>
      <c r="P579" t="str">
        <f t="shared" ref="P579:P642" si="39">IF(F578&lt;&gt;F579,F579,"")</f>
        <v/>
      </c>
    </row>
    <row r="580" spans="1:16">
      <c r="A580" t="s">
        <v>89</v>
      </c>
      <c r="B580" t="s">
        <v>90</v>
      </c>
      <c r="C580" t="s">
        <v>199</v>
      </c>
      <c r="D580" t="s">
        <v>200</v>
      </c>
      <c r="E580">
        <v>20171</v>
      </c>
      <c r="F580" t="s">
        <v>14</v>
      </c>
      <c r="G580" t="s">
        <v>18</v>
      </c>
      <c r="H580">
        <v>3</v>
      </c>
      <c r="I580">
        <v>0</v>
      </c>
      <c r="J580">
        <v>20201</v>
      </c>
      <c r="K580">
        <f>COUNTIF('rEKAP kls MK'!$A$2:$A$35,Worksheet!C580)</f>
        <v>1</v>
      </c>
      <c r="L580" t="str">
        <f t="shared" si="36"/>
        <v>F1B116029</v>
      </c>
      <c r="M580" t="str">
        <f t="shared" si="37"/>
        <v>TAUFIK ZUBAIDILLAH</v>
      </c>
      <c r="O580" t="str">
        <f t="shared" si="38"/>
        <v/>
      </c>
      <c r="P580" t="str">
        <f t="shared" si="39"/>
        <v/>
      </c>
    </row>
    <row r="581" spans="1:16">
      <c r="A581" t="s">
        <v>91</v>
      </c>
      <c r="B581" t="s">
        <v>92</v>
      </c>
      <c r="C581" t="s">
        <v>199</v>
      </c>
      <c r="D581" t="s">
        <v>200</v>
      </c>
      <c r="E581">
        <v>20171</v>
      </c>
      <c r="F581" t="s">
        <v>14</v>
      </c>
      <c r="G581" t="s">
        <v>18</v>
      </c>
      <c r="H581">
        <v>3</v>
      </c>
      <c r="I581">
        <v>0</v>
      </c>
      <c r="J581">
        <v>20201</v>
      </c>
      <c r="K581">
        <f>COUNTIF('rEKAP kls MK'!$A$2:$A$35,Worksheet!C581)</f>
        <v>1</v>
      </c>
      <c r="L581" t="str">
        <f t="shared" si="36"/>
        <v>F1B116030</v>
      </c>
      <c r="M581" t="str">
        <f t="shared" si="37"/>
        <v>Yanuardi</v>
      </c>
      <c r="O581" t="str">
        <f t="shared" si="38"/>
        <v/>
      </c>
      <c r="P581" t="str">
        <f t="shared" si="39"/>
        <v/>
      </c>
    </row>
    <row r="582" spans="1:16">
      <c r="A582" t="s">
        <v>93</v>
      </c>
      <c r="B582" t="s">
        <v>94</v>
      </c>
      <c r="C582" t="s">
        <v>199</v>
      </c>
      <c r="D582" t="s">
        <v>200</v>
      </c>
      <c r="E582">
        <v>20171</v>
      </c>
      <c r="F582" t="s">
        <v>14</v>
      </c>
      <c r="G582" t="s">
        <v>18</v>
      </c>
      <c r="H582">
        <v>3</v>
      </c>
      <c r="I582">
        <v>0</v>
      </c>
      <c r="J582">
        <v>20201</v>
      </c>
      <c r="K582">
        <f>COUNTIF('rEKAP kls MK'!$A$2:$A$35,Worksheet!C582)</f>
        <v>1</v>
      </c>
      <c r="L582" t="str">
        <f t="shared" si="36"/>
        <v>F1B116032</v>
      </c>
      <c r="M582" t="str">
        <f t="shared" si="37"/>
        <v>Yuma</v>
      </c>
      <c r="O582" t="str">
        <f t="shared" si="38"/>
        <v/>
      </c>
      <c r="P582" t="str">
        <f t="shared" si="39"/>
        <v/>
      </c>
    </row>
    <row r="583" spans="1:16">
      <c r="A583" t="s">
        <v>95</v>
      </c>
      <c r="B583" t="s">
        <v>96</v>
      </c>
      <c r="C583" t="s">
        <v>199</v>
      </c>
      <c r="D583" t="s">
        <v>200</v>
      </c>
      <c r="E583">
        <v>20171</v>
      </c>
      <c r="F583" t="s">
        <v>14</v>
      </c>
      <c r="G583" t="s">
        <v>51</v>
      </c>
      <c r="H583">
        <v>3.5</v>
      </c>
      <c r="I583">
        <v>0</v>
      </c>
      <c r="J583">
        <v>20201</v>
      </c>
      <c r="K583">
        <f>COUNTIF('rEKAP kls MK'!$A$2:$A$35,Worksheet!C583)</f>
        <v>1</v>
      </c>
      <c r="L583" t="str">
        <f t="shared" si="36"/>
        <v>F1B116033</v>
      </c>
      <c r="M583" t="str">
        <f t="shared" si="37"/>
        <v>Yusril Bagas Sevyanto</v>
      </c>
      <c r="O583" t="str">
        <f t="shared" si="38"/>
        <v/>
      </c>
      <c r="P583" t="str">
        <f t="shared" si="39"/>
        <v/>
      </c>
    </row>
    <row r="584" spans="1:16">
      <c r="A584" t="s">
        <v>130</v>
      </c>
      <c r="B584" t="s">
        <v>131</v>
      </c>
      <c r="C584" t="s">
        <v>199</v>
      </c>
      <c r="D584" t="s">
        <v>200</v>
      </c>
      <c r="E584">
        <v>20171</v>
      </c>
      <c r="F584" t="s">
        <v>14</v>
      </c>
      <c r="G584" t="s">
        <v>15</v>
      </c>
      <c r="H584">
        <v>0</v>
      </c>
      <c r="I584">
        <v>0</v>
      </c>
      <c r="J584">
        <v>20201</v>
      </c>
      <c r="K584">
        <f>COUNTIF('rEKAP kls MK'!$A$2:$A$35,Worksheet!C584)</f>
        <v>1</v>
      </c>
      <c r="L584" t="str">
        <f t="shared" si="36"/>
        <v>F1B116034</v>
      </c>
      <c r="M584" t="str">
        <f t="shared" si="37"/>
        <v>YUSRON ALIF SETIAWAN</v>
      </c>
      <c r="O584" t="str">
        <f t="shared" si="38"/>
        <v/>
      </c>
      <c r="P584" t="str">
        <f t="shared" si="39"/>
        <v/>
      </c>
    </row>
    <row r="585" spans="1:16">
      <c r="A585" t="s">
        <v>373</v>
      </c>
      <c r="B585" t="s">
        <v>374</v>
      </c>
      <c r="C585" t="s">
        <v>442</v>
      </c>
      <c r="D585" t="s">
        <v>443</v>
      </c>
      <c r="E585">
        <v>20171</v>
      </c>
      <c r="F585" t="s">
        <v>14</v>
      </c>
      <c r="G585" t="s">
        <v>116</v>
      </c>
      <c r="H585">
        <v>1.5</v>
      </c>
      <c r="I585">
        <v>0</v>
      </c>
      <c r="J585">
        <v>20201</v>
      </c>
      <c r="K585">
        <f>COUNTIF('rEKAP kls MK'!$A$2:$A$35,Worksheet!C585)</f>
        <v>1</v>
      </c>
      <c r="L585" t="str">
        <f t="shared" si="36"/>
        <v>F1B112027</v>
      </c>
      <c r="M585" t="str">
        <f t="shared" si="37"/>
        <v>Husni Tamrin</v>
      </c>
      <c r="O585" t="str">
        <f t="shared" si="38"/>
        <v>MESIN LISTRIK I</v>
      </c>
      <c r="P585" t="str">
        <f t="shared" si="39"/>
        <v/>
      </c>
    </row>
    <row r="586" spans="1:16">
      <c r="A586" t="s">
        <v>16</v>
      </c>
      <c r="B586" t="s">
        <v>17</v>
      </c>
      <c r="C586" t="s">
        <v>442</v>
      </c>
      <c r="D586" t="s">
        <v>443</v>
      </c>
      <c r="E586">
        <v>20171</v>
      </c>
      <c r="F586" t="s">
        <v>14</v>
      </c>
      <c r="G586" t="s">
        <v>18</v>
      </c>
      <c r="H586">
        <v>3</v>
      </c>
      <c r="I586">
        <v>0</v>
      </c>
      <c r="J586">
        <v>20201</v>
      </c>
      <c r="K586">
        <f>COUNTIF('rEKAP kls MK'!$A$2:$A$35,Worksheet!C586)</f>
        <v>1</v>
      </c>
      <c r="L586" t="str">
        <f t="shared" si="36"/>
        <v>F1B112042</v>
      </c>
      <c r="M586" t="str">
        <f t="shared" si="37"/>
        <v>Muhammad Satriawan A</v>
      </c>
      <c r="O586" t="str">
        <f t="shared" si="38"/>
        <v/>
      </c>
      <c r="P586" t="str">
        <f t="shared" si="39"/>
        <v/>
      </c>
    </row>
    <row r="587" spans="1:16">
      <c r="A587" t="s">
        <v>117</v>
      </c>
      <c r="B587" t="s">
        <v>118</v>
      </c>
      <c r="C587" t="s">
        <v>442</v>
      </c>
      <c r="D587" t="s">
        <v>443</v>
      </c>
      <c r="E587">
        <v>20171</v>
      </c>
      <c r="F587" t="s">
        <v>14</v>
      </c>
      <c r="G587" t="s">
        <v>26</v>
      </c>
      <c r="H587">
        <v>2</v>
      </c>
      <c r="I587">
        <v>0</v>
      </c>
      <c r="J587">
        <v>20201</v>
      </c>
      <c r="K587">
        <f>COUNTIF('rEKAP kls MK'!$A$2:$A$35,Worksheet!C587)</f>
        <v>1</v>
      </c>
    </row>
    <row r="588" spans="1:16">
      <c r="A588" t="s">
        <v>119</v>
      </c>
      <c r="B588" t="s">
        <v>120</v>
      </c>
      <c r="C588" t="s">
        <v>442</v>
      </c>
      <c r="D588" t="s">
        <v>443</v>
      </c>
      <c r="E588">
        <v>20171</v>
      </c>
      <c r="F588" t="s">
        <v>14</v>
      </c>
      <c r="G588" t="s">
        <v>51</v>
      </c>
      <c r="H588">
        <v>3.5</v>
      </c>
      <c r="I588">
        <v>0</v>
      </c>
      <c r="J588">
        <v>20201</v>
      </c>
      <c r="K588">
        <f>COUNTIF('rEKAP kls MK'!$A$2:$A$35,Worksheet!C588)</f>
        <v>1</v>
      </c>
      <c r="L588" t="str">
        <f t="shared" si="36"/>
        <v>F1B115008</v>
      </c>
      <c r="M588" t="str">
        <f t="shared" si="37"/>
        <v>ESI BIRAHMATIHI</v>
      </c>
      <c r="O588" t="str">
        <f t="shared" si="38"/>
        <v/>
      </c>
      <c r="P588" t="str">
        <f t="shared" si="39"/>
        <v/>
      </c>
    </row>
    <row r="589" spans="1:16">
      <c r="A589" t="s">
        <v>213</v>
      </c>
      <c r="B589" t="s">
        <v>214</v>
      </c>
      <c r="C589" t="s">
        <v>442</v>
      </c>
      <c r="D589" t="s">
        <v>443</v>
      </c>
      <c r="E589">
        <v>20171</v>
      </c>
      <c r="F589" t="s">
        <v>14</v>
      </c>
      <c r="G589" t="s">
        <v>18</v>
      </c>
      <c r="H589">
        <v>3</v>
      </c>
      <c r="I589">
        <v>0</v>
      </c>
      <c r="J589">
        <v>20201</v>
      </c>
      <c r="K589">
        <f>COUNTIF('rEKAP kls MK'!$A$2:$A$35,Worksheet!C589)</f>
        <v>1</v>
      </c>
      <c r="L589" t="str">
        <f t="shared" si="36"/>
        <v>F1B115009</v>
      </c>
      <c r="M589" t="str">
        <f t="shared" si="37"/>
        <v>FADILAH KURNIATI</v>
      </c>
      <c r="O589" t="str">
        <f t="shared" si="38"/>
        <v/>
      </c>
      <c r="P589" t="str">
        <f t="shared" si="39"/>
        <v/>
      </c>
    </row>
    <row r="590" spans="1:16">
      <c r="A590" t="s">
        <v>144</v>
      </c>
      <c r="B590" t="s">
        <v>145</v>
      </c>
      <c r="C590" t="s">
        <v>442</v>
      </c>
      <c r="D590" t="s">
        <v>443</v>
      </c>
      <c r="E590">
        <v>20171</v>
      </c>
      <c r="F590" t="s">
        <v>14</v>
      </c>
      <c r="G590" t="s">
        <v>82</v>
      </c>
      <c r="H590">
        <v>4</v>
      </c>
      <c r="I590">
        <v>0</v>
      </c>
      <c r="J590">
        <v>20201</v>
      </c>
      <c r="K590">
        <f>COUNTIF('rEKAP kls MK'!$A$2:$A$35,Worksheet!C590)</f>
        <v>1</v>
      </c>
      <c r="L590" t="str">
        <f t="shared" si="36"/>
        <v>F1B115013</v>
      </c>
      <c r="M590" t="str">
        <f t="shared" si="37"/>
        <v>HERU WILUKMAN HAKIM</v>
      </c>
      <c r="O590" t="str">
        <f t="shared" si="38"/>
        <v/>
      </c>
      <c r="P590" t="str">
        <f t="shared" si="39"/>
        <v/>
      </c>
    </row>
    <row r="591" spans="1:16">
      <c r="A591" t="s">
        <v>243</v>
      </c>
      <c r="B591" t="s">
        <v>244</v>
      </c>
      <c r="C591" t="s">
        <v>442</v>
      </c>
      <c r="D591" t="s">
        <v>443</v>
      </c>
      <c r="E591">
        <v>20171</v>
      </c>
      <c r="F591" t="s">
        <v>14</v>
      </c>
      <c r="G591" t="s">
        <v>15</v>
      </c>
      <c r="H591">
        <v>0</v>
      </c>
      <c r="I591">
        <v>0</v>
      </c>
      <c r="J591">
        <v>20201</v>
      </c>
      <c r="K591">
        <f>COUNTIF('rEKAP kls MK'!$A$2:$A$35,Worksheet!C591)</f>
        <v>1</v>
      </c>
      <c r="L591" t="str">
        <f t="shared" si="36"/>
        <v>F1B115019</v>
      </c>
      <c r="M591" t="str">
        <f t="shared" si="37"/>
        <v>Jumriati</v>
      </c>
      <c r="O591" t="str">
        <f t="shared" si="38"/>
        <v/>
      </c>
      <c r="P591" t="str">
        <f t="shared" si="39"/>
        <v/>
      </c>
    </row>
    <row r="592" spans="1:16">
      <c r="A592" t="s">
        <v>219</v>
      </c>
      <c r="B592" t="s">
        <v>220</v>
      </c>
      <c r="C592" t="s">
        <v>442</v>
      </c>
      <c r="D592" t="s">
        <v>443</v>
      </c>
      <c r="E592">
        <v>20171</v>
      </c>
      <c r="F592" t="s">
        <v>14</v>
      </c>
      <c r="G592" t="s">
        <v>15</v>
      </c>
      <c r="H592">
        <v>0</v>
      </c>
      <c r="I592">
        <v>0</v>
      </c>
      <c r="J592">
        <v>20201</v>
      </c>
      <c r="K592">
        <f>COUNTIF('rEKAP kls MK'!$A$2:$A$35,Worksheet!C592)</f>
        <v>1</v>
      </c>
      <c r="L592" t="str">
        <f t="shared" si="36"/>
        <v>F1B115020</v>
      </c>
      <c r="M592" t="str">
        <f t="shared" si="37"/>
        <v>KHAIRIL SUDARMANTO</v>
      </c>
      <c r="O592" t="str">
        <f t="shared" si="38"/>
        <v/>
      </c>
      <c r="P592" t="str">
        <f t="shared" si="39"/>
        <v/>
      </c>
    </row>
    <row r="593" spans="1:16">
      <c r="A593" t="s">
        <v>223</v>
      </c>
      <c r="B593" t="s">
        <v>224</v>
      </c>
      <c r="C593" t="s">
        <v>442</v>
      </c>
      <c r="D593" t="s">
        <v>443</v>
      </c>
      <c r="E593">
        <v>20171</v>
      </c>
      <c r="F593" t="s">
        <v>14</v>
      </c>
      <c r="G593" t="s">
        <v>51</v>
      </c>
      <c r="H593">
        <v>3.5</v>
      </c>
      <c r="I593">
        <v>0</v>
      </c>
      <c r="J593">
        <v>20201</v>
      </c>
      <c r="K593">
        <f>COUNTIF('rEKAP kls MK'!$A$2:$A$35,Worksheet!C593)</f>
        <v>1</v>
      </c>
      <c r="L593" t="str">
        <f t="shared" si="36"/>
        <v>F1B115022</v>
      </c>
      <c r="M593" t="str">
        <f t="shared" si="37"/>
        <v>LAZARINA MARIANA</v>
      </c>
      <c r="O593" t="str">
        <f t="shared" si="38"/>
        <v/>
      </c>
      <c r="P593" t="str">
        <f t="shared" si="39"/>
        <v/>
      </c>
    </row>
    <row r="594" spans="1:16">
      <c r="A594" t="s">
        <v>121</v>
      </c>
      <c r="B594" t="s">
        <v>122</v>
      </c>
      <c r="C594" t="s">
        <v>442</v>
      </c>
      <c r="D594" t="s">
        <v>443</v>
      </c>
      <c r="E594">
        <v>20171</v>
      </c>
      <c r="F594" t="s">
        <v>14</v>
      </c>
      <c r="G594" t="s">
        <v>116</v>
      </c>
      <c r="H594">
        <v>1.5</v>
      </c>
      <c r="I594">
        <v>0</v>
      </c>
      <c r="J594">
        <v>20201</v>
      </c>
      <c r="K594">
        <f>COUNTIF('rEKAP kls MK'!$A$2:$A$35,Worksheet!C594)</f>
        <v>1</v>
      </c>
      <c r="L594" t="str">
        <f t="shared" si="36"/>
        <v>F1B115025</v>
      </c>
      <c r="M594" t="str">
        <f t="shared" si="37"/>
        <v>MERRY MICHELLINA</v>
      </c>
      <c r="O594" t="str">
        <f t="shared" si="38"/>
        <v/>
      </c>
      <c r="P594" t="str">
        <f t="shared" si="39"/>
        <v/>
      </c>
    </row>
    <row r="595" spans="1:16">
      <c r="A595" t="s">
        <v>193</v>
      </c>
      <c r="B595" t="s">
        <v>194</v>
      </c>
      <c r="C595" t="s">
        <v>442</v>
      </c>
      <c r="D595" t="s">
        <v>443</v>
      </c>
      <c r="E595">
        <v>20171</v>
      </c>
      <c r="F595" t="s">
        <v>14</v>
      </c>
      <c r="G595" t="s">
        <v>18</v>
      </c>
      <c r="H595">
        <v>3</v>
      </c>
      <c r="I595">
        <v>0</v>
      </c>
      <c r="J595">
        <v>20201</v>
      </c>
      <c r="K595">
        <f>COUNTIF('rEKAP kls MK'!$A$2:$A$35,Worksheet!C595)</f>
        <v>1</v>
      </c>
      <c r="L595" t="str">
        <f t="shared" si="36"/>
        <v>F1B115026</v>
      </c>
      <c r="M595" t="str">
        <f t="shared" si="37"/>
        <v>MUCHAMMAD BAGIR</v>
      </c>
      <c r="O595" t="str">
        <f t="shared" si="38"/>
        <v/>
      </c>
      <c r="P595" t="str">
        <f t="shared" si="39"/>
        <v/>
      </c>
    </row>
    <row r="596" spans="1:16">
      <c r="A596" t="s">
        <v>227</v>
      </c>
      <c r="B596" t="s">
        <v>228</v>
      </c>
      <c r="C596" t="s">
        <v>442</v>
      </c>
      <c r="D596" t="s">
        <v>443</v>
      </c>
      <c r="E596">
        <v>20171</v>
      </c>
      <c r="F596" t="s">
        <v>14</v>
      </c>
      <c r="G596" t="s">
        <v>23</v>
      </c>
      <c r="H596">
        <v>2.5</v>
      </c>
      <c r="I596">
        <v>0</v>
      </c>
      <c r="J596">
        <v>20201</v>
      </c>
      <c r="K596">
        <f>COUNTIF('rEKAP kls MK'!$A$2:$A$35,Worksheet!C596)</f>
        <v>1</v>
      </c>
      <c r="L596" t="str">
        <f t="shared" si="36"/>
        <v>F1B115027</v>
      </c>
      <c r="M596" t="str">
        <f t="shared" si="37"/>
        <v>MUHAMAD NUDISANTANA RISWANDI</v>
      </c>
      <c r="O596" t="str">
        <f t="shared" si="38"/>
        <v/>
      </c>
      <c r="P596" t="str">
        <f t="shared" si="39"/>
        <v/>
      </c>
    </row>
    <row r="597" spans="1:16">
      <c r="A597" t="s">
        <v>195</v>
      </c>
      <c r="B597" t="s">
        <v>196</v>
      </c>
      <c r="C597" t="s">
        <v>442</v>
      </c>
      <c r="D597" t="s">
        <v>443</v>
      </c>
      <c r="E597">
        <v>20171</v>
      </c>
      <c r="F597" t="s">
        <v>14</v>
      </c>
      <c r="G597" t="s">
        <v>18</v>
      </c>
      <c r="H597">
        <v>3</v>
      </c>
      <c r="I597">
        <v>0</v>
      </c>
      <c r="J597">
        <v>20201</v>
      </c>
      <c r="K597">
        <f>COUNTIF('rEKAP kls MK'!$A$2:$A$35,Worksheet!C597)</f>
        <v>1</v>
      </c>
      <c r="L597" t="str">
        <f t="shared" si="36"/>
        <v>F1B115034</v>
      </c>
      <c r="M597" t="str">
        <f t="shared" si="37"/>
        <v>NAUFAL ATSAURI</v>
      </c>
      <c r="O597" t="str">
        <f t="shared" si="38"/>
        <v/>
      </c>
      <c r="P597" t="str">
        <f t="shared" si="39"/>
        <v/>
      </c>
    </row>
    <row r="598" spans="1:16">
      <c r="A598" t="s">
        <v>151</v>
      </c>
      <c r="B598" t="s">
        <v>152</v>
      </c>
      <c r="C598" t="s">
        <v>556</v>
      </c>
      <c r="D598" t="s">
        <v>557</v>
      </c>
      <c r="E598">
        <v>20171</v>
      </c>
      <c r="F598" t="s">
        <v>467</v>
      </c>
      <c r="G598" t="s">
        <v>18</v>
      </c>
      <c r="H598">
        <v>3</v>
      </c>
      <c r="I598">
        <v>0</v>
      </c>
      <c r="J598">
        <v>20201</v>
      </c>
      <c r="K598">
        <f>COUNTIF('rEKAP kls MK'!$A$2:$A$35,Worksheet!C598)</f>
        <v>0</v>
      </c>
      <c r="L598" t="str">
        <f t="shared" si="36"/>
        <v>F1B112004</v>
      </c>
      <c r="M598" t="str">
        <f t="shared" si="37"/>
        <v>Alimudin Embu Tara</v>
      </c>
      <c r="O598" t="str">
        <f t="shared" si="38"/>
        <v>PANCASILA</v>
      </c>
      <c r="P598" t="str">
        <f t="shared" si="39"/>
        <v>TPB</v>
      </c>
    </row>
    <row r="599" spans="1:16">
      <c r="A599" t="s">
        <v>468</v>
      </c>
      <c r="B599" t="s">
        <v>469</v>
      </c>
      <c r="C599" t="s">
        <v>556</v>
      </c>
      <c r="D599" t="s">
        <v>557</v>
      </c>
      <c r="E599">
        <v>20171</v>
      </c>
      <c r="F599" t="s">
        <v>467</v>
      </c>
      <c r="G599" t="s">
        <v>18</v>
      </c>
      <c r="H599">
        <v>3</v>
      </c>
      <c r="I599">
        <v>0</v>
      </c>
      <c r="J599">
        <v>20201</v>
      </c>
      <c r="K599">
        <f>COUNTIF('rEKAP kls MK'!$A$2:$A$35,Worksheet!C599)</f>
        <v>0</v>
      </c>
      <c r="L599" t="str">
        <f t="shared" si="36"/>
        <v>F1B117001</v>
      </c>
      <c r="M599" t="str">
        <f t="shared" si="37"/>
        <v>ABI LASKAR</v>
      </c>
      <c r="O599" t="str">
        <f t="shared" si="38"/>
        <v/>
      </c>
      <c r="P599" t="str">
        <f t="shared" si="39"/>
        <v/>
      </c>
    </row>
    <row r="600" spans="1:16">
      <c r="A600" t="s">
        <v>470</v>
      </c>
      <c r="B600" t="s">
        <v>471</v>
      </c>
      <c r="C600" t="s">
        <v>556</v>
      </c>
      <c r="D600" t="s">
        <v>557</v>
      </c>
      <c r="E600">
        <v>20171</v>
      </c>
      <c r="F600" t="s">
        <v>467</v>
      </c>
      <c r="G600" t="s">
        <v>125</v>
      </c>
      <c r="H600">
        <v>1</v>
      </c>
      <c r="I600">
        <v>0</v>
      </c>
      <c r="J600">
        <v>20201</v>
      </c>
      <c r="K600">
        <f>COUNTIF('rEKAP kls MK'!$A$2:$A$35,Worksheet!C600)</f>
        <v>0</v>
      </c>
      <c r="L600" t="str">
        <f t="shared" si="36"/>
        <v>F1B117002</v>
      </c>
      <c r="M600" t="str">
        <f t="shared" si="37"/>
        <v>ADE PUTRA CAHYADI</v>
      </c>
      <c r="O600" t="str">
        <f t="shared" si="38"/>
        <v/>
      </c>
      <c r="P600" t="str">
        <f t="shared" si="39"/>
        <v/>
      </c>
    </row>
    <row r="601" spans="1:16">
      <c r="A601" t="s">
        <v>472</v>
      </c>
      <c r="B601" t="s">
        <v>473</v>
      </c>
      <c r="C601" t="s">
        <v>556</v>
      </c>
      <c r="D601" t="s">
        <v>557</v>
      </c>
      <c r="E601">
        <v>20171</v>
      </c>
      <c r="F601" t="s">
        <v>467</v>
      </c>
      <c r="G601" t="s">
        <v>125</v>
      </c>
      <c r="H601">
        <v>1</v>
      </c>
      <c r="I601">
        <v>0</v>
      </c>
      <c r="J601">
        <v>20201</v>
      </c>
      <c r="K601">
        <f>COUNTIF('rEKAP kls MK'!$A$2:$A$35,Worksheet!C601)</f>
        <v>0</v>
      </c>
      <c r="L601" t="str">
        <f t="shared" si="36"/>
        <v>F1B117003</v>
      </c>
      <c r="M601" t="str">
        <f t="shared" si="37"/>
        <v>ADELIA RIZKY FEBRIANTI</v>
      </c>
      <c r="O601" t="str">
        <f t="shared" si="38"/>
        <v/>
      </c>
      <c r="P601" t="str">
        <f t="shared" si="39"/>
        <v/>
      </c>
    </row>
    <row r="602" spans="1:16">
      <c r="A602" t="s">
        <v>474</v>
      </c>
      <c r="B602" t="s">
        <v>475</v>
      </c>
      <c r="C602" t="s">
        <v>556</v>
      </c>
      <c r="D602" t="s">
        <v>557</v>
      </c>
      <c r="E602">
        <v>20171</v>
      </c>
      <c r="F602" t="s">
        <v>467</v>
      </c>
      <c r="G602" t="s">
        <v>125</v>
      </c>
      <c r="H602">
        <v>1</v>
      </c>
      <c r="I602">
        <v>0</v>
      </c>
      <c r="J602">
        <v>20201</v>
      </c>
      <c r="K602">
        <f>COUNTIF('rEKAP kls MK'!$A$2:$A$35,Worksheet!C602)</f>
        <v>0</v>
      </c>
      <c r="L602" t="str">
        <f t="shared" si="36"/>
        <v>F1B117004</v>
      </c>
      <c r="M602" t="str">
        <f t="shared" si="37"/>
        <v>AHMAD RAJABUL AKBAR KHAIRU</v>
      </c>
      <c r="O602" t="str">
        <f t="shared" si="38"/>
        <v/>
      </c>
      <c r="P602" t="str">
        <f t="shared" si="39"/>
        <v/>
      </c>
    </row>
    <row r="603" spans="1:16">
      <c r="A603" t="s">
        <v>476</v>
      </c>
      <c r="B603" t="s">
        <v>477</v>
      </c>
      <c r="C603" t="s">
        <v>556</v>
      </c>
      <c r="D603" t="s">
        <v>557</v>
      </c>
      <c r="E603">
        <v>20171</v>
      </c>
      <c r="F603" t="s">
        <v>467</v>
      </c>
      <c r="G603" t="s">
        <v>23</v>
      </c>
      <c r="H603">
        <v>2.5</v>
      </c>
      <c r="I603">
        <v>0</v>
      </c>
      <c r="J603">
        <v>20201</v>
      </c>
      <c r="K603">
        <f>COUNTIF('rEKAP kls MK'!$A$2:$A$35,Worksheet!C603)</f>
        <v>0</v>
      </c>
      <c r="L603" t="str">
        <f t="shared" si="36"/>
        <v>F1B117005</v>
      </c>
      <c r="M603" t="str">
        <f t="shared" si="37"/>
        <v>AKBAR MAJID</v>
      </c>
      <c r="O603" t="str">
        <f t="shared" si="38"/>
        <v/>
      </c>
      <c r="P603" t="str">
        <f t="shared" si="39"/>
        <v/>
      </c>
    </row>
    <row r="604" spans="1:16">
      <c r="A604" t="s">
        <v>478</v>
      </c>
      <c r="B604" t="s">
        <v>479</v>
      </c>
      <c r="C604" t="s">
        <v>556</v>
      </c>
      <c r="D604" t="s">
        <v>557</v>
      </c>
      <c r="E604">
        <v>20171</v>
      </c>
      <c r="F604" t="s">
        <v>467</v>
      </c>
      <c r="G604" t="s">
        <v>125</v>
      </c>
      <c r="H604">
        <v>1</v>
      </c>
      <c r="I604">
        <v>0</v>
      </c>
      <c r="J604">
        <v>20201</v>
      </c>
      <c r="K604">
        <f>COUNTIF('rEKAP kls MK'!$A$2:$A$35,Worksheet!C604)</f>
        <v>0</v>
      </c>
      <c r="L604" t="str">
        <f t="shared" si="36"/>
        <v>F1B117006</v>
      </c>
      <c r="M604" t="str">
        <f t="shared" si="37"/>
        <v>ANDI MUHAMAD HANIF</v>
      </c>
      <c r="O604" t="str">
        <f t="shared" si="38"/>
        <v/>
      </c>
      <c r="P604" t="str">
        <f t="shared" si="39"/>
        <v/>
      </c>
    </row>
    <row r="605" spans="1:16">
      <c r="A605" t="s">
        <v>480</v>
      </c>
      <c r="B605" t="s">
        <v>481</v>
      </c>
      <c r="C605" t="s">
        <v>556</v>
      </c>
      <c r="D605" t="s">
        <v>557</v>
      </c>
      <c r="E605">
        <v>20171</v>
      </c>
      <c r="F605" t="s">
        <v>467</v>
      </c>
      <c r="G605" t="s">
        <v>125</v>
      </c>
      <c r="H605">
        <v>1</v>
      </c>
      <c r="I605">
        <v>0</v>
      </c>
      <c r="J605">
        <v>20201</v>
      </c>
      <c r="K605">
        <f>COUNTIF('rEKAP kls MK'!$A$2:$A$35,Worksheet!C605)</f>
        <v>0</v>
      </c>
      <c r="L605" t="str">
        <f t="shared" si="36"/>
        <v>F1B117007</v>
      </c>
      <c r="M605" t="str">
        <f t="shared" si="37"/>
        <v>ANDIKA RAHMAN</v>
      </c>
      <c r="O605" t="str">
        <f t="shared" si="38"/>
        <v/>
      </c>
      <c r="P605" t="str">
        <f t="shared" si="39"/>
        <v/>
      </c>
    </row>
    <row r="606" spans="1:16">
      <c r="A606" t="s">
        <v>482</v>
      </c>
      <c r="B606" t="s">
        <v>483</v>
      </c>
      <c r="C606" t="s">
        <v>556</v>
      </c>
      <c r="D606" t="s">
        <v>557</v>
      </c>
      <c r="E606">
        <v>20171</v>
      </c>
      <c r="F606" t="s">
        <v>467</v>
      </c>
      <c r="G606" t="s">
        <v>18</v>
      </c>
      <c r="H606">
        <v>3</v>
      </c>
      <c r="I606">
        <v>0</v>
      </c>
      <c r="J606">
        <v>20201</v>
      </c>
      <c r="K606">
        <f>COUNTIF('rEKAP kls MK'!$A$2:$A$35,Worksheet!C606)</f>
        <v>0</v>
      </c>
      <c r="L606" t="str">
        <f t="shared" si="36"/>
        <v>F1B117008</v>
      </c>
      <c r="M606" t="str">
        <f t="shared" si="37"/>
        <v>ANDRE PRATAMA</v>
      </c>
      <c r="O606" t="str">
        <f t="shared" si="38"/>
        <v/>
      </c>
      <c r="P606" t="str">
        <f t="shared" si="39"/>
        <v/>
      </c>
    </row>
    <row r="607" spans="1:16">
      <c r="A607" t="s">
        <v>484</v>
      </c>
      <c r="B607" t="s">
        <v>485</v>
      </c>
      <c r="C607" t="s">
        <v>556</v>
      </c>
      <c r="D607" t="s">
        <v>557</v>
      </c>
      <c r="E607">
        <v>20171</v>
      </c>
      <c r="F607" t="s">
        <v>467</v>
      </c>
      <c r="G607" t="s">
        <v>101</v>
      </c>
      <c r="H607">
        <v>0</v>
      </c>
      <c r="I607">
        <v>0</v>
      </c>
      <c r="J607">
        <v>20201</v>
      </c>
      <c r="K607">
        <f>COUNTIF('rEKAP kls MK'!$A$2:$A$35,Worksheet!C607)</f>
        <v>0</v>
      </c>
      <c r="L607" t="str">
        <f t="shared" si="36"/>
        <v>F1B117009</v>
      </c>
      <c r="M607" t="str">
        <f t="shared" si="37"/>
        <v>ANDREAN EKO RAMADHAN</v>
      </c>
      <c r="O607" t="str">
        <f t="shared" si="38"/>
        <v/>
      </c>
      <c r="P607" t="str">
        <f t="shared" si="39"/>
        <v/>
      </c>
    </row>
    <row r="608" spans="1:16">
      <c r="A608" t="s">
        <v>486</v>
      </c>
      <c r="B608" t="s">
        <v>487</v>
      </c>
      <c r="C608" t="s">
        <v>556</v>
      </c>
      <c r="D608" t="s">
        <v>557</v>
      </c>
      <c r="E608">
        <v>20171</v>
      </c>
      <c r="F608" t="s">
        <v>467</v>
      </c>
      <c r="G608" t="s">
        <v>125</v>
      </c>
      <c r="H608">
        <v>1</v>
      </c>
      <c r="I608">
        <v>0</v>
      </c>
      <c r="J608">
        <v>20201</v>
      </c>
      <c r="K608">
        <f>COUNTIF('rEKAP kls MK'!$A$2:$A$35,Worksheet!C608)</f>
        <v>0</v>
      </c>
      <c r="L608" t="str">
        <f t="shared" si="36"/>
        <v>F1B117010</v>
      </c>
      <c r="M608" t="str">
        <f t="shared" si="37"/>
        <v>ARGA SUTRI PRATAMA</v>
      </c>
      <c r="O608" t="str">
        <f t="shared" si="38"/>
        <v/>
      </c>
      <c r="P608" t="str">
        <f t="shared" si="39"/>
        <v/>
      </c>
    </row>
    <row r="609" spans="1:16">
      <c r="A609" t="s">
        <v>488</v>
      </c>
      <c r="B609" t="s">
        <v>489</v>
      </c>
      <c r="C609" t="s">
        <v>556</v>
      </c>
      <c r="D609" t="s">
        <v>557</v>
      </c>
      <c r="E609">
        <v>20171</v>
      </c>
      <c r="F609" t="s">
        <v>467</v>
      </c>
      <c r="G609" t="s">
        <v>125</v>
      </c>
      <c r="H609">
        <v>1</v>
      </c>
      <c r="I609">
        <v>0</v>
      </c>
      <c r="J609">
        <v>20201</v>
      </c>
      <c r="K609">
        <f>COUNTIF('rEKAP kls MK'!$A$2:$A$35,Worksheet!C609)</f>
        <v>0</v>
      </c>
      <c r="L609" t="str">
        <f t="shared" si="36"/>
        <v>F1B117011</v>
      </c>
      <c r="M609" t="str">
        <f t="shared" si="37"/>
        <v>BAYU ADE SURYA</v>
      </c>
      <c r="O609" t="str">
        <f t="shared" si="38"/>
        <v/>
      </c>
      <c r="P609" t="str">
        <f t="shared" si="39"/>
        <v/>
      </c>
    </row>
    <row r="610" spans="1:16">
      <c r="A610" t="s">
        <v>490</v>
      </c>
      <c r="B610" t="s">
        <v>491</v>
      </c>
      <c r="C610" t="s">
        <v>556</v>
      </c>
      <c r="D610" t="s">
        <v>557</v>
      </c>
      <c r="E610">
        <v>20171</v>
      </c>
      <c r="F610" t="s">
        <v>467</v>
      </c>
      <c r="G610" t="s">
        <v>23</v>
      </c>
      <c r="H610">
        <v>2.5</v>
      </c>
      <c r="I610">
        <v>0</v>
      </c>
      <c r="J610">
        <v>20201</v>
      </c>
      <c r="K610">
        <f>COUNTIF('rEKAP kls MK'!$A$2:$A$35,Worksheet!C610)</f>
        <v>0</v>
      </c>
      <c r="L610" t="str">
        <f t="shared" si="36"/>
        <v>F1B117012</v>
      </c>
      <c r="M610" t="str">
        <f t="shared" si="37"/>
        <v>ERLAN BAHTIAR</v>
      </c>
      <c r="O610" t="str">
        <f t="shared" si="38"/>
        <v/>
      </c>
      <c r="P610" t="str">
        <f t="shared" si="39"/>
        <v/>
      </c>
    </row>
    <row r="611" spans="1:16">
      <c r="A611" t="s">
        <v>492</v>
      </c>
      <c r="B611" t="s">
        <v>493</v>
      </c>
      <c r="C611" t="s">
        <v>556</v>
      </c>
      <c r="D611" t="s">
        <v>557</v>
      </c>
      <c r="E611">
        <v>20171</v>
      </c>
      <c r="F611" t="s">
        <v>467</v>
      </c>
      <c r="G611" t="s">
        <v>125</v>
      </c>
      <c r="H611">
        <v>1</v>
      </c>
      <c r="I611">
        <v>0</v>
      </c>
      <c r="J611">
        <v>20201</v>
      </c>
      <c r="K611">
        <f>COUNTIF('rEKAP kls MK'!$A$2:$A$35,Worksheet!C611)</f>
        <v>0</v>
      </c>
      <c r="L611" t="str">
        <f t="shared" si="36"/>
        <v>F1B117013</v>
      </c>
      <c r="M611" t="str">
        <f t="shared" si="37"/>
        <v>FADHLI EKO PRASETYO</v>
      </c>
      <c r="O611" t="str">
        <f t="shared" si="38"/>
        <v/>
      </c>
      <c r="P611" t="str">
        <f t="shared" si="39"/>
        <v/>
      </c>
    </row>
    <row r="612" spans="1:16">
      <c r="A612" t="s">
        <v>494</v>
      </c>
      <c r="B612" t="s">
        <v>495</v>
      </c>
      <c r="C612" t="s">
        <v>556</v>
      </c>
      <c r="D612" t="s">
        <v>557</v>
      </c>
      <c r="E612">
        <v>20171</v>
      </c>
      <c r="F612" t="s">
        <v>467</v>
      </c>
      <c r="G612" t="s">
        <v>125</v>
      </c>
      <c r="H612">
        <v>1</v>
      </c>
      <c r="I612">
        <v>0</v>
      </c>
      <c r="J612">
        <v>20201</v>
      </c>
      <c r="K612">
        <f>COUNTIF('rEKAP kls MK'!$A$2:$A$35,Worksheet!C612)</f>
        <v>0</v>
      </c>
      <c r="L612" t="str">
        <f t="shared" si="36"/>
        <v>F1B117014</v>
      </c>
      <c r="M612" t="str">
        <f t="shared" si="37"/>
        <v>FANNY WINDARY BATANIA</v>
      </c>
      <c r="O612" t="str">
        <f t="shared" si="38"/>
        <v/>
      </c>
      <c r="P612" t="str">
        <f t="shared" si="39"/>
        <v/>
      </c>
    </row>
    <row r="613" spans="1:16">
      <c r="A613" t="s">
        <v>496</v>
      </c>
      <c r="B613" t="s">
        <v>497</v>
      </c>
      <c r="C613" t="s">
        <v>556</v>
      </c>
      <c r="D613" t="s">
        <v>557</v>
      </c>
      <c r="E613">
        <v>20171</v>
      </c>
      <c r="F613" t="s">
        <v>467</v>
      </c>
      <c r="G613" t="s">
        <v>26</v>
      </c>
      <c r="H613">
        <v>2</v>
      </c>
      <c r="I613">
        <v>0</v>
      </c>
      <c r="J613">
        <v>20201</v>
      </c>
      <c r="K613">
        <f>COUNTIF('rEKAP kls MK'!$A$2:$A$35,Worksheet!C613)</f>
        <v>0</v>
      </c>
      <c r="L613" t="str">
        <f t="shared" si="36"/>
        <v>F1B117015</v>
      </c>
      <c r="M613" t="str">
        <f t="shared" si="37"/>
        <v>GALI GALUH SAKTI</v>
      </c>
      <c r="O613" t="str">
        <f t="shared" si="38"/>
        <v/>
      </c>
      <c r="P613" t="str">
        <f t="shared" si="39"/>
        <v/>
      </c>
    </row>
    <row r="614" spans="1:16">
      <c r="A614" t="s">
        <v>498</v>
      </c>
      <c r="B614" t="s">
        <v>499</v>
      </c>
      <c r="C614" t="s">
        <v>556</v>
      </c>
      <c r="D614" t="s">
        <v>557</v>
      </c>
      <c r="E614">
        <v>20171</v>
      </c>
      <c r="F614" t="s">
        <v>467</v>
      </c>
      <c r="G614" t="s">
        <v>125</v>
      </c>
      <c r="H614">
        <v>1</v>
      </c>
      <c r="I614">
        <v>0</v>
      </c>
      <c r="J614">
        <v>20201</v>
      </c>
      <c r="K614">
        <f>COUNTIF('rEKAP kls MK'!$A$2:$A$35,Worksheet!C614)</f>
        <v>0</v>
      </c>
      <c r="L614" t="str">
        <f t="shared" si="36"/>
        <v>F1B117016</v>
      </c>
      <c r="M614" t="str">
        <f t="shared" si="37"/>
        <v>GAUSS NUR SALAM</v>
      </c>
      <c r="O614" t="str">
        <f t="shared" si="38"/>
        <v/>
      </c>
      <c r="P614" t="str">
        <f t="shared" si="39"/>
        <v/>
      </c>
    </row>
    <row r="615" spans="1:16">
      <c r="A615" t="s">
        <v>500</v>
      </c>
      <c r="B615" t="s">
        <v>501</v>
      </c>
      <c r="C615" t="s">
        <v>556</v>
      </c>
      <c r="D615" t="s">
        <v>557</v>
      </c>
      <c r="E615">
        <v>20171</v>
      </c>
      <c r="F615" t="s">
        <v>467</v>
      </c>
      <c r="G615" t="s">
        <v>125</v>
      </c>
      <c r="H615">
        <v>1</v>
      </c>
      <c r="I615">
        <v>0</v>
      </c>
      <c r="J615">
        <v>20201</v>
      </c>
      <c r="K615">
        <f>COUNTIF('rEKAP kls MK'!$A$2:$A$35,Worksheet!C615)</f>
        <v>0</v>
      </c>
      <c r="L615" t="str">
        <f t="shared" si="36"/>
        <v>F1B117017</v>
      </c>
      <c r="M615" t="str">
        <f t="shared" si="37"/>
        <v>HELMY AMALIA ARIESTA</v>
      </c>
      <c r="O615" t="str">
        <f t="shared" si="38"/>
        <v/>
      </c>
      <c r="P615" t="str">
        <f t="shared" si="39"/>
        <v/>
      </c>
    </row>
    <row r="616" spans="1:16">
      <c r="A616" t="s">
        <v>502</v>
      </c>
      <c r="B616" t="s">
        <v>503</v>
      </c>
      <c r="C616" t="s">
        <v>556</v>
      </c>
      <c r="D616" t="s">
        <v>557</v>
      </c>
      <c r="E616">
        <v>20171</v>
      </c>
      <c r="F616" t="s">
        <v>467</v>
      </c>
      <c r="G616" t="s">
        <v>125</v>
      </c>
      <c r="H616">
        <v>1</v>
      </c>
      <c r="I616">
        <v>0</v>
      </c>
      <c r="J616">
        <v>20201</v>
      </c>
      <c r="K616">
        <f>COUNTIF('rEKAP kls MK'!$A$2:$A$35,Worksheet!C616)</f>
        <v>0</v>
      </c>
      <c r="L616" t="str">
        <f t="shared" si="36"/>
        <v>F1B117018</v>
      </c>
      <c r="M616" t="str">
        <f t="shared" si="37"/>
        <v>ILHAM MUHAMMAD</v>
      </c>
      <c r="O616" t="str">
        <f t="shared" si="38"/>
        <v/>
      </c>
      <c r="P616" t="str">
        <f t="shared" si="39"/>
        <v/>
      </c>
    </row>
    <row r="617" spans="1:16">
      <c r="A617" t="s">
        <v>504</v>
      </c>
      <c r="B617" t="s">
        <v>505</v>
      </c>
      <c r="C617" t="s">
        <v>556</v>
      </c>
      <c r="D617" t="s">
        <v>557</v>
      </c>
      <c r="E617">
        <v>20171</v>
      </c>
      <c r="F617" t="s">
        <v>467</v>
      </c>
      <c r="G617" t="s">
        <v>125</v>
      </c>
      <c r="H617">
        <v>1</v>
      </c>
      <c r="I617">
        <v>0</v>
      </c>
      <c r="J617">
        <v>20201</v>
      </c>
      <c r="K617">
        <f>COUNTIF('rEKAP kls MK'!$A$2:$A$35,Worksheet!C617)</f>
        <v>0</v>
      </c>
      <c r="L617" t="str">
        <f t="shared" si="36"/>
        <v>F1B117019</v>
      </c>
      <c r="M617" t="str">
        <f t="shared" si="37"/>
        <v>KHAIRUL MUAMALAH</v>
      </c>
      <c r="O617" t="str">
        <f t="shared" si="38"/>
        <v/>
      </c>
      <c r="P617" t="str">
        <f t="shared" si="39"/>
        <v/>
      </c>
    </row>
    <row r="618" spans="1:16">
      <c r="A618" t="s">
        <v>506</v>
      </c>
      <c r="B618" t="s">
        <v>507</v>
      </c>
      <c r="C618" t="s">
        <v>556</v>
      </c>
      <c r="D618" t="s">
        <v>557</v>
      </c>
      <c r="E618">
        <v>20171</v>
      </c>
      <c r="F618" t="s">
        <v>467</v>
      </c>
      <c r="G618" t="s">
        <v>18</v>
      </c>
      <c r="H618">
        <v>3</v>
      </c>
      <c r="I618">
        <v>0</v>
      </c>
      <c r="J618">
        <v>20201</v>
      </c>
      <c r="K618">
        <f>COUNTIF('rEKAP kls MK'!$A$2:$A$35,Worksheet!C618)</f>
        <v>0</v>
      </c>
      <c r="L618" t="str">
        <f t="shared" si="36"/>
        <v>F1B117020</v>
      </c>
      <c r="M618" t="str">
        <f t="shared" si="37"/>
        <v>LENKA AURELIE YUDHISTIRA</v>
      </c>
      <c r="O618" t="str">
        <f t="shared" si="38"/>
        <v/>
      </c>
      <c r="P618" t="str">
        <f t="shared" si="39"/>
        <v/>
      </c>
    </row>
    <row r="619" spans="1:16">
      <c r="A619" t="s">
        <v>508</v>
      </c>
      <c r="B619" t="s">
        <v>509</v>
      </c>
      <c r="C619" t="s">
        <v>556</v>
      </c>
      <c r="D619" t="s">
        <v>557</v>
      </c>
      <c r="E619">
        <v>20171</v>
      </c>
      <c r="F619" t="s">
        <v>467</v>
      </c>
      <c r="G619" t="s">
        <v>18</v>
      </c>
      <c r="H619">
        <v>3</v>
      </c>
      <c r="I619">
        <v>0</v>
      </c>
      <c r="J619">
        <v>20201</v>
      </c>
      <c r="K619">
        <f>COUNTIF('rEKAP kls MK'!$A$2:$A$35,Worksheet!C619)</f>
        <v>0</v>
      </c>
      <c r="L619" t="str">
        <f t="shared" si="36"/>
        <v>F1B117021</v>
      </c>
      <c r="M619" t="str">
        <f t="shared" si="37"/>
        <v>M. AL ZAIDIN</v>
      </c>
      <c r="O619" t="str">
        <f t="shared" si="38"/>
        <v/>
      </c>
      <c r="P619" t="str">
        <f t="shared" si="39"/>
        <v/>
      </c>
    </row>
    <row r="620" spans="1:16">
      <c r="A620" t="s">
        <v>510</v>
      </c>
      <c r="B620" t="s">
        <v>511</v>
      </c>
      <c r="C620" t="s">
        <v>556</v>
      </c>
      <c r="D620" t="s">
        <v>557</v>
      </c>
      <c r="E620">
        <v>20171</v>
      </c>
      <c r="F620" t="s">
        <v>467</v>
      </c>
      <c r="G620" t="s">
        <v>18</v>
      </c>
      <c r="H620">
        <v>3</v>
      </c>
      <c r="I620">
        <v>0</v>
      </c>
      <c r="J620">
        <v>20201</v>
      </c>
      <c r="K620">
        <f>COUNTIF('rEKAP kls MK'!$A$2:$A$35,Worksheet!C620)</f>
        <v>0</v>
      </c>
      <c r="L620" t="str">
        <f t="shared" si="36"/>
        <v>F1B117022</v>
      </c>
      <c r="M620" t="str">
        <f t="shared" si="37"/>
        <v>M. FAUZUL AKBAR</v>
      </c>
      <c r="O620" t="str">
        <f t="shared" si="38"/>
        <v/>
      </c>
      <c r="P620" t="str">
        <f t="shared" si="39"/>
        <v/>
      </c>
    </row>
    <row r="621" spans="1:16">
      <c r="A621" t="s">
        <v>512</v>
      </c>
      <c r="B621" t="s">
        <v>513</v>
      </c>
      <c r="C621" t="s">
        <v>556</v>
      </c>
      <c r="D621" t="s">
        <v>557</v>
      </c>
      <c r="E621">
        <v>20171</v>
      </c>
      <c r="F621" t="s">
        <v>467</v>
      </c>
      <c r="G621" t="s">
        <v>18</v>
      </c>
      <c r="H621">
        <v>3</v>
      </c>
      <c r="I621">
        <v>0</v>
      </c>
      <c r="J621">
        <v>20201</v>
      </c>
      <c r="K621">
        <f>COUNTIF('rEKAP kls MK'!$A$2:$A$35,Worksheet!C621)</f>
        <v>0</v>
      </c>
      <c r="L621" t="str">
        <f t="shared" si="36"/>
        <v>F1B117023</v>
      </c>
      <c r="M621" t="str">
        <f t="shared" si="37"/>
        <v>M.FAISAL</v>
      </c>
      <c r="O621" t="str">
        <f t="shared" si="38"/>
        <v/>
      </c>
      <c r="P621" t="str">
        <f t="shared" si="39"/>
        <v/>
      </c>
    </row>
    <row r="622" spans="1:16">
      <c r="A622" t="s">
        <v>514</v>
      </c>
      <c r="B622" t="s">
        <v>515</v>
      </c>
      <c r="C622" t="s">
        <v>556</v>
      </c>
      <c r="D622" t="s">
        <v>557</v>
      </c>
      <c r="E622">
        <v>20171</v>
      </c>
      <c r="F622" t="s">
        <v>467</v>
      </c>
      <c r="G622" t="s">
        <v>18</v>
      </c>
      <c r="H622">
        <v>3</v>
      </c>
      <c r="I622">
        <v>0</v>
      </c>
      <c r="J622">
        <v>20201</v>
      </c>
      <c r="K622">
        <f>COUNTIF('rEKAP kls MK'!$A$2:$A$35,Worksheet!C622)</f>
        <v>0</v>
      </c>
      <c r="L622" t="str">
        <f t="shared" si="36"/>
        <v>F1B117024</v>
      </c>
      <c r="M622" t="str">
        <f t="shared" si="37"/>
        <v>MUH. RISKI RAMADHAN</v>
      </c>
      <c r="O622" t="str">
        <f t="shared" si="38"/>
        <v/>
      </c>
      <c r="P622" t="str">
        <f t="shared" si="39"/>
        <v/>
      </c>
    </row>
    <row r="623" spans="1:16">
      <c r="A623" t="s">
        <v>516</v>
      </c>
      <c r="B623" t="s">
        <v>517</v>
      </c>
      <c r="C623" t="s">
        <v>556</v>
      </c>
      <c r="D623" t="s">
        <v>557</v>
      </c>
      <c r="E623">
        <v>20171</v>
      </c>
      <c r="F623" t="s">
        <v>467</v>
      </c>
      <c r="G623" t="s">
        <v>18</v>
      </c>
      <c r="H623">
        <v>3</v>
      </c>
      <c r="I623">
        <v>0</v>
      </c>
      <c r="J623">
        <v>20201</v>
      </c>
      <c r="K623">
        <f>COUNTIF('rEKAP kls MK'!$A$2:$A$35,Worksheet!C623)</f>
        <v>0</v>
      </c>
      <c r="L623" t="str">
        <f t="shared" si="36"/>
        <v>F1B117025</v>
      </c>
      <c r="M623" t="str">
        <f t="shared" si="37"/>
        <v>MUH. SALDA WINTARA</v>
      </c>
      <c r="O623" t="str">
        <f t="shared" si="38"/>
        <v/>
      </c>
      <c r="P623" t="str">
        <f t="shared" si="39"/>
        <v/>
      </c>
    </row>
    <row r="624" spans="1:16">
      <c r="A624" t="s">
        <v>518</v>
      </c>
      <c r="B624" t="s">
        <v>519</v>
      </c>
      <c r="C624" t="s">
        <v>556</v>
      </c>
      <c r="D624" t="s">
        <v>557</v>
      </c>
      <c r="E624">
        <v>20171</v>
      </c>
      <c r="F624" t="s">
        <v>467</v>
      </c>
      <c r="G624" t="s">
        <v>18</v>
      </c>
      <c r="H624">
        <v>3</v>
      </c>
      <c r="I624">
        <v>0</v>
      </c>
      <c r="J624">
        <v>20201</v>
      </c>
      <c r="K624">
        <f>COUNTIF('rEKAP kls MK'!$A$2:$A$35,Worksheet!C624)</f>
        <v>0</v>
      </c>
      <c r="L624" t="str">
        <f t="shared" si="36"/>
        <v>F1B117026</v>
      </c>
      <c r="M624" t="str">
        <f t="shared" si="37"/>
        <v>MUHAMMAD KHAIRUL HADI SYURAHMAN</v>
      </c>
      <c r="O624" t="str">
        <f t="shared" si="38"/>
        <v/>
      </c>
      <c r="P624" t="str">
        <f t="shared" si="39"/>
        <v/>
      </c>
    </row>
    <row r="625" spans="1:16">
      <c r="A625" t="s">
        <v>520</v>
      </c>
      <c r="B625" t="s">
        <v>521</v>
      </c>
      <c r="C625" t="s">
        <v>556</v>
      </c>
      <c r="D625" t="s">
        <v>557</v>
      </c>
      <c r="E625">
        <v>20171</v>
      </c>
      <c r="F625" t="s">
        <v>467</v>
      </c>
      <c r="G625" t="s">
        <v>18</v>
      </c>
      <c r="H625">
        <v>3</v>
      </c>
      <c r="I625">
        <v>0</v>
      </c>
      <c r="J625">
        <v>20201</v>
      </c>
      <c r="K625">
        <f>COUNTIF('rEKAP kls MK'!$A$2:$A$35,Worksheet!C625)</f>
        <v>0</v>
      </c>
      <c r="L625" t="str">
        <f t="shared" si="36"/>
        <v>F1B117027</v>
      </c>
      <c r="M625" t="str">
        <f t="shared" si="37"/>
        <v>MUHAMMAD MUKALLIBIN</v>
      </c>
      <c r="O625" t="str">
        <f t="shared" si="38"/>
        <v/>
      </c>
      <c r="P625" t="str">
        <f t="shared" si="39"/>
        <v/>
      </c>
    </row>
    <row r="626" spans="1:16">
      <c r="A626" t="s">
        <v>522</v>
      </c>
      <c r="B626" t="s">
        <v>523</v>
      </c>
      <c r="C626" t="s">
        <v>556</v>
      </c>
      <c r="D626" t="s">
        <v>557</v>
      </c>
      <c r="E626">
        <v>20171</v>
      </c>
      <c r="F626" t="s">
        <v>467</v>
      </c>
      <c r="G626" t="s">
        <v>18</v>
      </c>
      <c r="H626">
        <v>3</v>
      </c>
      <c r="I626">
        <v>0</v>
      </c>
      <c r="J626">
        <v>20201</v>
      </c>
      <c r="K626">
        <f>COUNTIF('rEKAP kls MK'!$A$2:$A$35,Worksheet!C626)</f>
        <v>0</v>
      </c>
      <c r="L626" t="str">
        <f t="shared" si="36"/>
        <v>F1B117028</v>
      </c>
      <c r="M626" t="str">
        <f t="shared" si="37"/>
        <v>MUHAMMAD NABIL</v>
      </c>
      <c r="O626" t="str">
        <f t="shared" si="38"/>
        <v/>
      </c>
      <c r="P626" t="str">
        <f t="shared" si="39"/>
        <v/>
      </c>
    </row>
    <row r="627" spans="1:16">
      <c r="A627" t="s">
        <v>524</v>
      </c>
      <c r="B627" t="s">
        <v>525</v>
      </c>
      <c r="C627" t="s">
        <v>556</v>
      </c>
      <c r="D627" t="s">
        <v>557</v>
      </c>
      <c r="E627">
        <v>20171</v>
      </c>
      <c r="F627" t="s">
        <v>467</v>
      </c>
      <c r="G627" t="s">
        <v>18</v>
      </c>
      <c r="H627">
        <v>3</v>
      </c>
      <c r="I627">
        <v>0</v>
      </c>
      <c r="J627">
        <v>20201</v>
      </c>
      <c r="K627">
        <f>COUNTIF('rEKAP kls MK'!$A$2:$A$35,Worksheet!C627)</f>
        <v>0</v>
      </c>
      <c r="L627" t="str">
        <f t="shared" si="36"/>
        <v>F1B117029</v>
      </c>
      <c r="M627" t="str">
        <f t="shared" si="37"/>
        <v>MUHAMMAD THORIQ DWI SETYAWAN</v>
      </c>
      <c r="O627" t="str">
        <f t="shared" si="38"/>
        <v/>
      </c>
      <c r="P627" t="str">
        <f t="shared" si="39"/>
        <v/>
      </c>
    </row>
    <row r="628" spans="1:16">
      <c r="A628" t="s">
        <v>526</v>
      </c>
      <c r="B628" t="s">
        <v>527</v>
      </c>
      <c r="C628" t="s">
        <v>556</v>
      </c>
      <c r="D628" t="s">
        <v>557</v>
      </c>
      <c r="E628">
        <v>20171</v>
      </c>
      <c r="F628" t="s">
        <v>467</v>
      </c>
      <c r="G628" t="s">
        <v>18</v>
      </c>
      <c r="H628">
        <v>3</v>
      </c>
      <c r="I628">
        <v>0</v>
      </c>
      <c r="J628">
        <v>20201</v>
      </c>
      <c r="K628">
        <f>COUNTIF('rEKAP kls MK'!$A$2:$A$35,Worksheet!C628)</f>
        <v>0</v>
      </c>
      <c r="L628" t="str">
        <f t="shared" si="36"/>
        <v>F1B117030</v>
      </c>
      <c r="M628" t="str">
        <f t="shared" si="37"/>
        <v>NURAFRINA</v>
      </c>
      <c r="O628" t="str">
        <f t="shared" si="38"/>
        <v/>
      </c>
      <c r="P628" t="str">
        <f t="shared" si="39"/>
        <v/>
      </c>
    </row>
    <row r="629" spans="1:16">
      <c r="A629" t="s">
        <v>528</v>
      </c>
      <c r="B629" t="s">
        <v>529</v>
      </c>
      <c r="C629" t="s">
        <v>556</v>
      </c>
      <c r="D629" t="s">
        <v>557</v>
      </c>
      <c r="E629">
        <v>20171</v>
      </c>
      <c r="F629" t="s">
        <v>467</v>
      </c>
      <c r="G629" t="s">
        <v>18</v>
      </c>
      <c r="H629">
        <v>3</v>
      </c>
      <c r="I629">
        <v>0</v>
      </c>
      <c r="J629">
        <v>20201</v>
      </c>
      <c r="K629">
        <f>COUNTIF('rEKAP kls MK'!$A$2:$A$35,Worksheet!C629)</f>
        <v>0</v>
      </c>
      <c r="L629" t="str">
        <f t="shared" si="36"/>
        <v>F1B117031</v>
      </c>
      <c r="M629" t="str">
        <f t="shared" si="37"/>
        <v>RAHMAT ADITYA PRADANA</v>
      </c>
      <c r="O629" t="str">
        <f t="shared" si="38"/>
        <v/>
      </c>
      <c r="P629" t="str">
        <f t="shared" si="39"/>
        <v/>
      </c>
    </row>
    <row r="630" spans="1:16">
      <c r="A630" t="s">
        <v>530</v>
      </c>
      <c r="B630" t="s">
        <v>531</v>
      </c>
      <c r="C630" t="s">
        <v>556</v>
      </c>
      <c r="D630" t="s">
        <v>557</v>
      </c>
      <c r="E630">
        <v>20171</v>
      </c>
      <c r="F630" t="s">
        <v>467</v>
      </c>
      <c r="G630" t="s">
        <v>18</v>
      </c>
      <c r="H630">
        <v>3</v>
      </c>
      <c r="I630">
        <v>0</v>
      </c>
      <c r="J630">
        <v>20201</v>
      </c>
      <c r="K630">
        <f>COUNTIF('rEKAP kls MK'!$A$2:$A$35,Worksheet!C630)</f>
        <v>0</v>
      </c>
      <c r="L630" t="str">
        <f t="shared" si="36"/>
        <v>F1B117032</v>
      </c>
      <c r="M630" t="str">
        <f t="shared" si="37"/>
        <v>RAMZY TAUFIQ HANIF</v>
      </c>
      <c r="O630" t="str">
        <f t="shared" si="38"/>
        <v/>
      </c>
      <c r="P630" t="str">
        <f t="shared" si="39"/>
        <v/>
      </c>
    </row>
    <row r="631" spans="1:16">
      <c r="A631" t="s">
        <v>532</v>
      </c>
      <c r="B631" t="s">
        <v>533</v>
      </c>
      <c r="C631" t="s">
        <v>556</v>
      </c>
      <c r="D631" t="s">
        <v>557</v>
      </c>
      <c r="E631">
        <v>20171</v>
      </c>
      <c r="F631" t="s">
        <v>467</v>
      </c>
      <c r="G631" t="s">
        <v>18</v>
      </c>
      <c r="H631">
        <v>3</v>
      </c>
      <c r="I631">
        <v>0</v>
      </c>
      <c r="J631">
        <v>20201</v>
      </c>
      <c r="K631">
        <f>COUNTIF('rEKAP kls MK'!$A$2:$A$35,Worksheet!C631)</f>
        <v>0</v>
      </c>
      <c r="L631" t="str">
        <f t="shared" si="36"/>
        <v>F1B117033</v>
      </c>
      <c r="M631" t="str">
        <f t="shared" si="37"/>
        <v>RIAN HENDRAWAN</v>
      </c>
      <c r="O631" t="str">
        <f t="shared" si="38"/>
        <v/>
      </c>
      <c r="P631" t="str">
        <f t="shared" si="39"/>
        <v/>
      </c>
    </row>
    <row r="632" spans="1:16">
      <c r="A632" t="s">
        <v>534</v>
      </c>
      <c r="B632" t="s">
        <v>535</v>
      </c>
      <c r="C632" t="s">
        <v>556</v>
      </c>
      <c r="D632" t="s">
        <v>557</v>
      </c>
      <c r="E632">
        <v>20171</v>
      </c>
      <c r="F632" t="s">
        <v>467</v>
      </c>
      <c r="G632" t="s">
        <v>18</v>
      </c>
      <c r="H632">
        <v>3</v>
      </c>
      <c r="I632">
        <v>0</v>
      </c>
      <c r="J632">
        <v>20201</v>
      </c>
      <c r="K632">
        <f>COUNTIF('rEKAP kls MK'!$A$2:$A$35,Worksheet!C632)</f>
        <v>0</v>
      </c>
      <c r="L632" t="str">
        <f t="shared" si="36"/>
        <v>F1B117034</v>
      </c>
      <c r="M632" t="str">
        <f t="shared" si="37"/>
        <v>RISKI KHARISMA PUTRA</v>
      </c>
      <c r="O632" t="str">
        <f t="shared" si="38"/>
        <v/>
      </c>
      <c r="P632" t="str">
        <f t="shared" si="39"/>
        <v/>
      </c>
    </row>
    <row r="633" spans="1:16">
      <c r="A633" t="s">
        <v>536</v>
      </c>
      <c r="B633" t="s">
        <v>537</v>
      </c>
      <c r="C633" t="s">
        <v>556</v>
      </c>
      <c r="D633" t="s">
        <v>557</v>
      </c>
      <c r="E633">
        <v>20171</v>
      </c>
      <c r="F633" t="s">
        <v>467</v>
      </c>
      <c r="G633" t="s">
        <v>18</v>
      </c>
      <c r="H633">
        <v>3</v>
      </c>
      <c r="I633">
        <v>0</v>
      </c>
      <c r="J633">
        <v>20201</v>
      </c>
      <c r="K633">
        <f>COUNTIF('rEKAP kls MK'!$A$2:$A$35,Worksheet!C633)</f>
        <v>0</v>
      </c>
      <c r="L633" t="str">
        <f t="shared" si="36"/>
        <v>F1B117035</v>
      </c>
      <c r="M633" t="str">
        <f t="shared" si="37"/>
        <v>RIZALUL HAQ</v>
      </c>
      <c r="O633" t="str">
        <f t="shared" si="38"/>
        <v/>
      </c>
      <c r="P633" t="str">
        <f t="shared" si="39"/>
        <v/>
      </c>
    </row>
    <row r="634" spans="1:16">
      <c r="A634" t="s">
        <v>538</v>
      </c>
      <c r="B634" t="s">
        <v>539</v>
      </c>
      <c r="C634" t="s">
        <v>556</v>
      </c>
      <c r="D634" t="s">
        <v>557</v>
      </c>
      <c r="E634">
        <v>20171</v>
      </c>
      <c r="F634" t="s">
        <v>467</v>
      </c>
      <c r="G634" t="s">
        <v>18</v>
      </c>
      <c r="H634">
        <v>3</v>
      </c>
      <c r="I634">
        <v>0</v>
      </c>
      <c r="J634">
        <v>20201</v>
      </c>
      <c r="K634">
        <f>COUNTIF('rEKAP kls MK'!$A$2:$A$35,Worksheet!C634)</f>
        <v>0</v>
      </c>
      <c r="L634" t="str">
        <f t="shared" si="36"/>
        <v>F1B117036</v>
      </c>
      <c r="M634" t="str">
        <f t="shared" si="37"/>
        <v>RIZKA MARDANI</v>
      </c>
      <c r="O634" t="str">
        <f t="shared" si="38"/>
        <v/>
      </c>
      <c r="P634" t="str">
        <f t="shared" si="39"/>
        <v/>
      </c>
    </row>
    <row r="635" spans="1:16">
      <c r="A635" t="s">
        <v>540</v>
      </c>
      <c r="B635" t="s">
        <v>541</v>
      </c>
      <c r="C635" t="s">
        <v>556</v>
      </c>
      <c r="D635" t="s">
        <v>557</v>
      </c>
      <c r="E635">
        <v>20171</v>
      </c>
      <c r="F635" t="s">
        <v>467</v>
      </c>
      <c r="G635" t="s">
        <v>18</v>
      </c>
      <c r="H635">
        <v>3</v>
      </c>
      <c r="I635">
        <v>0</v>
      </c>
      <c r="J635">
        <v>20201</v>
      </c>
      <c r="K635">
        <f>COUNTIF('rEKAP kls MK'!$A$2:$A$35,Worksheet!C635)</f>
        <v>0</v>
      </c>
      <c r="L635" t="str">
        <f t="shared" si="36"/>
        <v>F1B117037</v>
      </c>
      <c r="M635" t="str">
        <f t="shared" si="37"/>
        <v>TEJAMAN MULKI</v>
      </c>
      <c r="O635" t="str">
        <f t="shared" si="38"/>
        <v/>
      </c>
      <c r="P635" t="str">
        <f t="shared" si="39"/>
        <v/>
      </c>
    </row>
    <row r="636" spans="1:16">
      <c r="A636" t="s">
        <v>542</v>
      </c>
      <c r="B636" t="s">
        <v>543</v>
      </c>
      <c r="C636" t="s">
        <v>556</v>
      </c>
      <c r="D636" t="s">
        <v>557</v>
      </c>
      <c r="E636">
        <v>20171</v>
      </c>
      <c r="F636" t="s">
        <v>467</v>
      </c>
      <c r="G636" t="s">
        <v>18</v>
      </c>
      <c r="H636">
        <v>3</v>
      </c>
      <c r="I636">
        <v>0</v>
      </c>
      <c r="J636">
        <v>20201</v>
      </c>
      <c r="K636">
        <f>COUNTIF('rEKAP kls MK'!$A$2:$A$35,Worksheet!C636)</f>
        <v>0</v>
      </c>
      <c r="L636" t="str">
        <f t="shared" si="36"/>
        <v>F1B117038</v>
      </c>
      <c r="M636" t="str">
        <f t="shared" si="37"/>
        <v>VENI ASTUTI</v>
      </c>
      <c r="O636" t="str">
        <f t="shared" si="38"/>
        <v/>
      </c>
      <c r="P636" t="str">
        <f t="shared" si="39"/>
        <v/>
      </c>
    </row>
    <row r="637" spans="1:16">
      <c r="A637" t="s">
        <v>544</v>
      </c>
      <c r="B637" t="s">
        <v>545</v>
      </c>
      <c r="C637" t="s">
        <v>556</v>
      </c>
      <c r="D637" t="s">
        <v>557</v>
      </c>
      <c r="E637">
        <v>20171</v>
      </c>
      <c r="F637" t="s">
        <v>467</v>
      </c>
      <c r="G637" t="s">
        <v>18</v>
      </c>
      <c r="H637">
        <v>3</v>
      </c>
      <c r="I637">
        <v>0</v>
      </c>
      <c r="J637">
        <v>20201</v>
      </c>
      <c r="K637">
        <f>COUNTIF('rEKAP kls MK'!$A$2:$A$35,Worksheet!C637)</f>
        <v>0</v>
      </c>
      <c r="L637" t="str">
        <f t="shared" si="36"/>
        <v>F1B117039</v>
      </c>
      <c r="M637" t="str">
        <f t="shared" si="37"/>
        <v>WAHYU SIOPANO</v>
      </c>
      <c r="O637" t="str">
        <f t="shared" si="38"/>
        <v/>
      </c>
      <c r="P637" t="str">
        <f t="shared" si="39"/>
        <v/>
      </c>
    </row>
    <row r="638" spans="1:16">
      <c r="A638" t="s">
        <v>546</v>
      </c>
      <c r="B638" t="s">
        <v>547</v>
      </c>
      <c r="C638" t="s">
        <v>556</v>
      </c>
      <c r="D638" t="s">
        <v>557</v>
      </c>
      <c r="E638">
        <v>20171</v>
      </c>
      <c r="F638" t="s">
        <v>467</v>
      </c>
      <c r="G638" t="s">
        <v>18</v>
      </c>
      <c r="H638">
        <v>3</v>
      </c>
      <c r="I638">
        <v>0</v>
      </c>
      <c r="J638">
        <v>20201</v>
      </c>
      <c r="K638">
        <f>COUNTIF('rEKAP kls MK'!$A$2:$A$35,Worksheet!C638)</f>
        <v>0</v>
      </c>
      <c r="L638" t="str">
        <f t="shared" si="36"/>
        <v>F1B117040</v>
      </c>
      <c r="M638" t="str">
        <f t="shared" si="37"/>
        <v>WILLY HISBULLOH FAUZY FIRDAUS</v>
      </c>
      <c r="O638" t="str">
        <f t="shared" si="38"/>
        <v/>
      </c>
      <c r="P638" t="str">
        <f t="shared" si="39"/>
        <v/>
      </c>
    </row>
    <row r="639" spans="1:16">
      <c r="A639" t="s">
        <v>548</v>
      </c>
      <c r="B639" t="s">
        <v>549</v>
      </c>
      <c r="C639" t="s">
        <v>556</v>
      </c>
      <c r="D639" t="s">
        <v>557</v>
      </c>
      <c r="E639">
        <v>20171</v>
      </c>
      <c r="F639" t="s">
        <v>467</v>
      </c>
      <c r="G639" t="s">
        <v>18</v>
      </c>
      <c r="H639">
        <v>3</v>
      </c>
      <c r="I639">
        <v>0</v>
      </c>
      <c r="J639">
        <v>20201</v>
      </c>
      <c r="K639">
        <f>COUNTIF('rEKAP kls MK'!$A$2:$A$35,Worksheet!C639)</f>
        <v>0</v>
      </c>
      <c r="L639" t="str">
        <f t="shared" si="36"/>
        <v>F1B117041</v>
      </c>
      <c r="M639" t="str">
        <f t="shared" si="37"/>
        <v>WILLY PRADIYANTO</v>
      </c>
      <c r="O639" t="str">
        <f t="shared" si="38"/>
        <v/>
      </c>
      <c r="P639" t="str">
        <f t="shared" si="39"/>
        <v/>
      </c>
    </row>
    <row r="640" spans="1:16">
      <c r="A640" t="s">
        <v>117</v>
      </c>
      <c r="B640" t="s">
        <v>118</v>
      </c>
      <c r="C640" t="s">
        <v>440</v>
      </c>
      <c r="D640" t="s">
        <v>441</v>
      </c>
      <c r="E640">
        <v>20171</v>
      </c>
      <c r="F640" t="s">
        <v>14</v>
      </c>
      <c r="G640" t="s">
        <v>18</v>
      </c>
      <c r="H640">
        <v>3</v>
      </c>
      <c r="I640">
        <v>0</v>
      </c>
      <c r="J640">
        <v>20201</v>
      </c>
      <c r="K640">
        <f>COUNTIF('rEKAP kls MK'!$A$2:$A$35,Worksheet!C640)</f>
        <v>1</v>
      </c>
      <c r="L640" t="str">
        <f t="shared" si="36"/>
        <v>F1B115002</v>
      </c>
      <c r="M640" t="str">
        <f t="shared" si="37"/>
        <v>AGUS SUPRIADI</v>
      </c>
      <c r="O640" t="str">
        <f t="shared" si="38"/>
        <v>PEMBANGKIT TENAGA LISTRIK</v>
      </c>
      <c r="P640" t="str">
        <f t="shared" si="39"/>
        <v>S</v>
      </c>
    </row>
    <row r="641" spans="1:16">
      <c r="A641" t="s">
        <v>119</v>
      </c>
      <c r="B641" t="s">
        <v>120</v>
      </c>
      <c r="C641" t="s">
        <v>440</v>
      </c>
      <c r="D641" t="s">
        <v>441</v>
      </c>
      <c r="E641">
        <v>20171</v>
      </c>
      <c r="F641" t="s">
        <v>14</v>
      </c>
      <c r="G641" t="s">
        <v>51</v>
      </c>
      <c r="H641">
        <v>3.5</v>
      </c>
      <c r="I641">
        <v>0</v>
      </c>
      <c r="J641">
        <v>20201</v>
      </c>
      <c r="K641">
        <f>COUNTIF('rEKAP kls MK'!$A$2:$A$35,Worksheet!C641)</f>
        <v>1</v>
      </c>
      <c r="L641" t="str">
        <f t="shared" si="36"/>
        <v>F1B115008</v>
      </c>
      <c r="M641" t="str">
        <f t="shared" si="37"/>
        <v>ESI BIRAHMATIHI</v>
      </c>
      <c r="O641" t="str">
        <f t="shared" si="38"/>
        <v/>
      </c>
      <c r="P641" t="str">
        <f t="shared" si="39"/>
        <v/>
      </c>
    </row>
    <row r="642" spans="1:16">
      <c r="A642" t="s">
        <v>213</v>
      </c>
      <c r="B642" t="s">
        <v>214</v>
      </c>
      <c r="C642" t="s">
        <v>440</v>
      </c>
      <c r="D642" t="s">
        <v>441</v>
      </c>
      <c r="E642">
        <v>20171</v>
      </c>
      <c r="F642" t="s">
        <v>14</v>
      </c>
      <c r="G642" t="s">
        <v>51</v>
      </c>
      <c r="H642">
        <v>3.5</v>
      </c>
      <c r="I642">
        <v>0</v>
      </c>
      <c r="J642">
        <v>20201</v>
      </c>
      <c r="K642">
        <f>COUNTIF('rEKAP kls MK'!$A$2:$A$35,Worksheet!C642)</f>
        <v>1</v>
      </c>
      <c r="L642" t="str">
        <f t="shared" si="36"/>
        <v>F1B115009</v>
      </c>
      <c r="M642" t="str">
        <f t="shared" si="37"/>
        <v>FADILAH KURNIATI</v>
      </c>
      <c r="O642" t="str">
        <f t="shared" si="38"/>
        <v/>
      </c>
      <c r="P642" t="str">
        <f t="shared" si="39"/>
        <v/>
      </c>
    </row>
    <row r="643" spans="1:16">
      <c r="A643" t="s">
        <v>144</v>
      </c>
      <c r="B643" t="s">
        <v>145</v>
      </c>
      <c r="C643" t="s">
        <v>440</v>
      </c>
      <c r="D643" t="s">
        <v>441</v>
      </c>
      <c r="E643">
        <v>20171</v>
      </c>
      <c r="F643" t="s">
        <v>14</v>
      </c>
      <c r="G643" t="s">
        <v>51</v>
      </c>
      <c r="H643">
        <v>3.5</v>
      </c>
      <c r="I643">
        <v>0</v>
      </c>
      <c r="J643">
        <v>20201</v>
      </c>
      <c r="K643">
        <f>COUNTIF('rEKAP kls MK'!$A$2:$A$35,Worksheet!C643)</f>
        <v>1</v>
      </c>
      <c r="L643" t="str">
        <f t="shared" ref="L643:L706" si="40">IF(A642&lt;&gt;A643,A643,"")</f>
        <v>F1B115013</v>
      </c>
      <c r="M643" t="str">
        <f t="shared" ref="M643:M706" si="41">IF(B642&lt;&gt;B643,B643,"")</f>
        <v>HERU WILUKMAN HAKIM</v>
      </c>
      <c r="O643" t="str">
        <f t="shared" ref="O643:O706" si="42">IF(D642&lt;&gt;D643,D643,"")</f>
        <v/>
      </c>
      <c r="P643" t="str">
        <f t="shared" ref="P643:P706" si="43">IF(F642&lt;&gt;F643,F643,"")</f>
        <v/>
      </c>
    </row>
    <row r="644" spans="1:16">
      <c r="A644" t="s">
        <v>243</v>
      </c>
      <c r="B644" t="s">
        <v>244</v>
      </c>
      <c r="C644" t="s">
        <v>440</v>
      </c>
      <c r="D644" t="s">
        <v>441</v>
      </c>
      <c r="E644">
        <v>20171</v>
      </c>
      <c r="F644" t="s">
        <v>14</v>
      </c>
      <c r="G644" t="s">
        <v>150</v>
      </c>
      <c r="H644">
        <v>0</v>
      </c>
      <c r="I644">
        <v>0</v>
      </c>
      <c r="J644">
        <v>20201</v>
      </c>
      <c r="K644">
        <f>COUNTIF('rEKAP kls MK'!$A$2:$A$35,Worksheet!C644)</f>
        <v>1</v>
      </c>
      <c r="L644" t="str">
        <f t="shared" si="40"/>
        <v>F1B115019</v>
      </c>
      <c r="M644" t="str">
        <f t="shared" si="41"/>
        <v>Jumriati</v>
      </c>
      <c r="O644" t="str">
        <f t="shared" si="42"/>
        <v/>
      </c>
      <c r="P644" t="str">
        <f t="shared" si="43"/>
        <v/>
      </c>
    </row>
    <row r="645" spans="1:16">
      <c r="A645" t="s">
        <v>223</v>
      </c>
      <c r="B645" t="s">
        <v>224</v>
      </c>
      <c r="C645" t="s">
        <v>440</v>
      </c>
      <c r="D645" t="s">
        <v>441</v>
      </c>
      <c r="E645">
        <v>20171</v>
      </c>
      <c r="F645" t="s">
        <v>14</v>
      </c>
      <c r="G645" t="s">
        <v>18</v>
      </c>
      <c r="H645">
        <v>3</v>
      </c>
      <c r="I645">
        <v>0</v>
      </c>
      <c r="J645">
        <v>20201</v>
      </c>
      <c r="K645">
        <f>COUNTIF('rEKAP kls MK'!$A$2:$A$35,Worksheet!C645)</f>
        <v>1</v>
      </c>
      <c r="L645" t="str">
        <f t="shared" si="40"/>
        <v>F1B115022</v>
      </c>
      <c r="M645" t="str">
        <f t="shared" si="41"/>
        <v>LAZARINA MARIANA</v>
      </c>
      <c r="O645" t="str">
        <f t="shared" si="42"/>
        <v/>
      </c>
      <c r="P645" t="str">
        <f t="shared" si="43"/>
        <v/>
      </c>
    </row>
    <row r="646" spans="1:16">
      <c r="A646" t="s">
        <v>121</v>
      </c>
      <c r="B646" t="s">
        <v>122</v>
      </c>
      <c r="C646" t="s">
        <v>440</v>
      </c>
      <c r="D646" t="s">
        <v>441</v>
      </c>
      <c r="E646">
        <v>20171</v>
      </c>
      <c r="F646" t="s">
        <v>14</v>
      </c>
      <c r="G646" t="s">
        <v>51</v>
      </c>
      <c r="H646">
        <v>3.5</v>
      </c>
      <c r="I646">
        <v>0</v>
      </c>
      <c r="J646">
        <v>20201</v>
      </c>
      <c r="K646">
        <f>COUNTIF('rEKAP kls MK'!$A$2:$A$35,Worksheet!C646)</f>
        <v>1</v>
      </c>
      <c r="L646" t="str">
        <f t="shared" si="40"/>
        <v>F1B115025</v>
      </c>
      <c r="M646" t="str">
        <f t="shared" si="41"/>
        <v>MERRY MICHELLINA</v>
      </c>
      <c r="O646" t="str">
        <f t="shared" si="42"/>
        <v/>
      </c>
      <c r="P646" t="str">
        <f t="shared" si="43"/>
        <v/>
      </c>
    </row>
    <row r="647" spans="1:16">
      <c r="A647" t="s">
        <v>193</v>
      </c>
      <c r="B647" t="s">
        <v>194</v>
      </c>
      <c r="C647" t="s">
        <v>440</v>
      </c>
      <c r="D647" t="s">
        <v>441</v>
      </c>
      <c r="E647">
        <v>20171</v>
      </c>
      <c r="F647" t="s">
        <v>14</v>
      </c>
      <c r="G647" t="s">
        <v>23</v>
      </c>
      <c r="H647">
        <v>2.5</v>
      </c>
      <c r="I647">
        <v>0</v>
      </c>
      <c r="J647">
        <v>20201</v>
      </c>
      <c r="K647">
        <f>COUNTIF('rEKAP kls MK'!$A$2:$A$35,Worksheet!C647)</f>
        <v>1</v>
      </c>
      <c r="L647" t="str">
        <f t="shared" si="40"/>
        <v>F1B115026</v>
      </c>
      <c r="M647" t="str">
        <f t="shared" si="41"/>
        <v>MUCHAMMAD BAGIR</v>
      </c>
      <c r="O647" t="str">
        <f t="shared" si="42"/>
        <v/>
      </c>
      <c r="P647" t="str">
        <f t="shared" si="43"/>
        <v/>
      </c>
    </row>
    <row r="648" spans="1:16">
      <c r="A648" t="s">
        <v>227</v>
      </c>
      <c r="B648" t="s">
        <v>228</v>
      </c>
      <c r="C648" t="s">
        <v>440</v>
      </c>
      <c r="D648" t="s">
        <v>441</v>
      </c>
      <c r="E648">
        <v>20171</v>
      </c>
      <c r="F648" t="s">
        <v>14</v>
      </c>
      <c r="G648" t="s">
        <v>23</v>
      </c>
      <c r="H648">
        <v>2.5</v>
      </c>
      <c r="I648">
        <v>0</v>
      </c>
      <c r="J648">
        <v>20201</v>
      </c>
      <c r="K648">
        <f>COUNTIF('rEKAP kls MK'!$A$2:$A$35,Worksheet!C648)</f>
        <v>1</v>
      </c>
      <c r="L648" t="str">
        <f t="shared" si="40"/>
        <v>F1B115027</v>
      </c>
      <c r="M648" t="str">
        <f t="shared" si="41"/>
        <v>MUHAMAD NUDISANTANA RISWANDI</v>
      </c>
      <c r="O648" t="str">
        <f t="shared" si="42"/>
        <v/>
      </c>
      <c r="P648" t="str">
        <f t="shared" si="43"/>
        <v/>
      </c>
    </row>
    <row r="649" spans="1:16">
      <c r="A649" t="s">
        <v>195</v>
      </c>
      <c r="B649" t="s">
        <v>196</v>
      </c>
      <c r="C649" t="s">
        <v>440</v>
      </c>
      <c r="D649" t="s">
        <v>441</v>
      </c>
      <c r="E649">
        <v>20171</v>
      </c>
      <c r="F649" t="s">
        <v>14</v>
      </c>
      <c r="G649" t="s">
        <v>51</v>
      </c>
      <c r="H649">
        <v>3.5</v>
      </c>
      <c r="I649">
        <v>0</v>
      </c>
      <c r="J649">
        <v>20201</v>
      </c>
      <c r="K649">
        <f>COUNTIF('rEKAP kls MK'!$A$2:$A$35,Worksheet!C649)</f>
        <v>1</v>
      </c>
      <c r="L649" t="str">
        <f t="shared" si="40"/>
        <v>F1B115034</v>
      </c>
      <c r="M649" t="str">
        <f t="shared" si="41"/>
        <v>NAUFAL ATSAURI</v>
      </c>
      <c r="O649" t="str">
        <f t="shared" si="42"/>
        <v/>
      </c>
      <c r="P649" t="str">
        <f t="shared" si="43"/>
        <v/>
      </c>
    </row>
    <row r="650" spans="1:16">
      <c r="A650" t="s">
        <v>181</v>
      </c>
      <c r="B650" t="s">
        <v>182</v>
      </c>
      <c r="C650" t="s">
        <v>390</v>
      </c>
      <c r="D650" t="s">
        <v>391</v>
      </c>
      <c r="E650">
        <v>20171</v>
      </c>
      <c r="F650" t="s">
        <v>14</v>
      </c>
      <c r="G650" t="s">
        <v>82</v>
      </c>
      <c r="H650">
        <v>4</v>
      </c>
      <c r="I650">
        <v>0</v>
      </c>
      <c r="J650">
        <v>20201</v>
      </c>
      <c r="K650">
        <f>COUNTIF('rEKAP kls MK'!$A$2:$A$35,Worksheet!C650)</f>
        <v>1</v>
      </c>
      <c r="L650" t="str">
        <f t="shared" si="40"/>
        <v>F1B115004</v>
      </c>
      <c r="M650" t="str">
        <f t="shared" si="41"/>
        <v>ANDZAR QINTHARA</v>
      </c>
      <c r="O650" t="str">
        <f t="shared" si="42"/>
        <v>PEMROGRAMAN BERORIENTASI OBYEK</v>
      </c>
      <c r="P650" t="str">
        <f t="shared" si="43"/>
        <v/>
      </c>
    </row>
    <row r="651" spans="1:16">
      <c r="A651" t="s">
        <v>209</v>
      </c>
      <c r="B651" t="s">
        <v>210</v>
      </c>
      <c r="C651" t="s">
        <v>390</v>
      </c>
      <c r="D651" t="s">
        <v>391</v>
      </c>
      <c r="E651">
        <v>20171</v>
      </c>
      <c r="F651" t="s">
        <v>14</v>
      </c>
      <c r="G651" t="s">
        <v>82</v>
      </c>
      <c r="H651">
        <v>4</v>
      </c>
      <c r="I651">
        <v>0</v>
      </c>
      <c r="J651">
        <v>20201</v>
      </c>
      <c r="K651">
        <f>COUNTIF('rEKAP kls MK'!$A$2:$A$35,Worksheet!C651)</f>
        <v>1</v>
      </c>
      <c r="L651" t="str">
        <f t="shared" si="40"/>
        <v>F1B115005</v>
      </c>
      <c r="M651" t="str">
        <f t="shared" si="41"/>
        <v>ANWAR SAPI I</v>
      </c>
      <c r="O651" t="str">
        <f t="shared" si="42"/>
        <v/>
      </c>
      <c r="P651" t="str">
        <f t="shared" si="43"/>
        <v/>
      </c>
    </row>
    <row r="652" spans="1:16">
      <c r="A652" t="s">
        <v>183</v>
      </c>
      <c r="B652" t="s">
        <v>184</v>
      </c>
      <c r="C652" t="s">
        <v>390</v>
      </c>
      <c r="D652" t="s">
        <v>391</v>
      </c>
      <c r="E652">
        <v>20171</v>
      </c>
      <c r="F652" t="s">
        <v>14</v>
      </c>
      <c r="G652" t="s">
        <v>18</v>
      </c>
      <c r="H652">
        <v>3</v>
      </c>
      <c r="I652">
        <v>0</v>
      </c>
      <c r="J652">
        <v>20201</v>
      </c>
      <c r="K652">
        <f>COUNTIF('rEKAP kls MK'!$A$2:$A$35,Worksheet!C652)</f>
        <v>1</v>
      </c>
      <c r="L652" t="str">
        <f t="shared" si="40"/>
        <v>F1B115006</v>
      </c>
      <c r="M652" t="str">
        <f t="shared" si="41"/>
        <v>Bagas Akbar Aznurinto</v>
      </c>
      <c r="O652" t="str">
        <f t="shared" si="42"/>
        <v/>
      </c>
      <c r="P652" t="str">
        <f t="shared" si="43"/>
        <v/>
      </c>
    </row>
    <row r="653" spans="1:16">
      <c r="A653" t="s">
        <v>211</v>
      </c>
      <c r="B653" t="s">
        <v>212</v>
      </c>
      <c r="C653" t="s">
        <v>390</v>
      </c>
      <c r="D653" t="s">
        <v>391</v>
      </c>
      <c r="E653">
        <v>20171</v>
      </c>
      <c r="F653" t="s">
        <v>14</v>
      </c>
      <c r="G653" t="s">
        <v>82</v>
      </c>
      <c r="H653">
        <v>4</v>
      </c>
      <c r="I653">
        <v>0</v>
      </c>
      <c r="J653">
        <v>20201</v>
      </c>
      <c r="K653">
        <f>COUNTIF('rEKAP kls MK'!$A$2:$A$35,Worksheet!C653)</f>
        <v>1</v>
      </c>
      <c r="L653" t="str">
        <f t="shared" si="40"/>
        <v>F1B115007</v>
      </c>
      <c r="M653" t="str">
        <f t="shared" si="41"/>
        <v>BAIHAKI</v>
      </c>
      <c r="O653" t="str">
        <f t="shared" si="42"/>
        <v/>
      </c>
      <c r="P653" t="str">
        <f t="shared" si="43"/>
        <v/>
      </c>
    </row>
    <row r="654" spans="1:16">
      <c r="A654" t="s">
        <v>237</v>
      </c>
      <c r="B654" t="s">
        <v>238</v>
      </c>
      <c r="C654" t="s">
        <v>390</v>
      </c>
      <c r="D654" t="s">
        <v>391</v>
      </c>
      <c r="E654">
        <v>20171</v>
      </c>
      <c r="F654" t="s">
        <v>14</v>
      </c>
      <c r="G654" t="s">
        <v>82</v>
      </c>
      <c r="H654">
        <v>4</v>
      </c>
      <c r="I654">
        <v>0</v>
      </c>
      <c r="J654">
        <v>20201</v>
      </c>
      <c r="K654">
        <f>COUNTIF('rEKAP kls MK'!$A$2:$A$35,Worksheet!C654)</f>
        <v>1</v>
      </c>
      <c r="L654" t="str">
        <f t="shared" si="40"/>
        <v>F1B115012</v>
      </c>
      <c r="M654" t="str">
        <f t="shared" si="41"/>
        <v>HARZA WISNU SAPUTRA</v>
      </c>
      <c r="O654" t="str">
        <f t="shared" si="42"/>
        <v/>
      </c>
      <c r="P654" t="str">
        <f t="shared" si="43"/>
        <v/>
      </c>
    </row>
    <row r="655" spans="1:16">
      <c r="A655" t="s">
        <v>215</v>
      </c>
      <c r="B655" t="s">
        <v>216</v>
      </c>
      <c r="C655" t="s">
        <v>390</v>
      </c>
      <c r="D655" t="s">
        <v>391</v>
      </c>
      <c r="E655">
        <v>20171</v>
      </c>
      <c r="F655" t="s">
        <v>14</v>
      </c>
      <c r="G655" t="s">
        <v>82</v>
      </c>
      <c r="H655">
        <v>4</v>
      </c>
      <c r="I655">
        <v>0</v>
      </c>
      <c r="J655">
        <v>20201</v>
      </c>
      <c r="K655">
        <f>COUNTIF('rEKAP kls MK'!$A$2:$A$35,Worksheet!C655)</f>
        <v>1</v>
      </c>
      <c r="L655" t="str">
        <f t="shared" si="40"/>
        <v>F1B115014</v>
      </c>
      <c r="M655" t="str">
        <f t="shared" si="41"/>
        <v>ILHAMUDDIN</v>
      </c>
      <c r="O655" t="str">
        <f t="shared" si="42"/>
        <v/>
      </c>
      <c r="P655" t="str">
        <f t="shared" si="43"/>
        <v/>
      </c>
    </row>
    <row r="656" spans="1:16">
      <c r="A656" t="s">
        <v>185</v>
      </c>
      <c r="B656" t="s">
        <v>186</v>
      </c>
      <c r="C656" t="s">
        <v>390</v>
      </c>
      <c r="D656" t="s">
        <v>391</v>
      </c>
      <c r="E656">
        <v>20171</v>
      </c>
      <c r="F656" t="s">
        <v>14</v>
      </c>
      <c r="G656" t="s">
        <v>82</v>
      </c>
      <c r="H656">
        <v>4</v>
      </c>
      <c r="I656">
        <v>0</v>
      </c>
      <c r="J656">
        <v>20201</v>
      </c>
      <c r="K656">
        <f>COUNTIF('rEKAP kls MK'!$A$2:$A$35,Worksheet!C656)</f>
        <v>1</v>
      </c>
      <c r="L656" t="str">
        <f t="shared" si="40"/>
        <v>F1B115015</v>
      </c>
      <c r="M656" t="str">
        <f t="shared" si="41"/>
        <v>ILMAN HIDAYAT</v>
      </c>
      <c r="O656" t="str">
        <f t="shared" si="42"/>
        <v/>
      </c>
      <c r="P656" t="str">
        <f t="shared" si="43"/>
        <v/>
      </c>
    </row>
    <row r="657" spans="1:16">
      <c r="A657" t="s">
        <v>217</v>
      </c>
      <c r="B657" t="s">
        <v>218</v>
      </c>
      <c r="C657" t="s">
        <v>390</v>
      </c>
      <c r="D657" t="s">
        <v>391</v>
      </c>
      <c r="E657">
        <v>20171</v>
      </c>
      <c r="F657" t="s">
        <v>14</v>
      </c>
      <c r="G657" t="s">
        <v>82</v>
      </c>
      <c r="H657">
        <v>4</v>
      </c>
      <c r="I657">
        <v>0</v>
      </c>
      <c r="J657">
        <v>20201</v>
      </c>
      <c r="K657">
        <f>COUNTIF('rEKAP kls MK'!$A$2:$A$35,Worksheet!C657)</f>
        <v>1</v>
      </c>
      <c r="L657" t="str">
        <f t="shared" si="40"/>
        <v>F1B115016</v>
      </c>
      <c r="M657" t="str">
        <f t="shared" si="41"/>
        <v>Imam Syuhada</v>
      </c>
      <c r="O657" t="str">
        <f t="shared" si="42"/>
        <v/>
      </c>
      <c r="P657" t="str">
        <f t="shared" si="43"/>
        <v/>
      </c>
    </row>
    <row r="658" spans="1:16">
      <c r="A658" t="s">
        <v>191</v>
      </c>
      <c r="B658" t="s">
        <v>192</v>
      </c>
      <c r="C658" t="s">
        <v>390</v>
      </c>
      <c r="D658" t="s">
        <v>391</v>
      </c>
      <c r="E658">
        <v>20171</v>
      </c>
      <c r="F658" t="s">
        <v>14</v>
      </c>
      <c r="G658" t="s">
        <v>82</v>
      </c>
      <c r="H658">
        <v>4</v>
      </c>
      <c r="I658">
        <v>0</v>
      </c>
      <c r="J658">
        <v>20201</v>
      </c>
      <c r="K658">
        <f>COUNTIF('rEKAP kls MK'!$A$2:$A$35,Worksheet!C658)</f>
        <v>1</v>
      </c>
      <c r="L658" t="str">
        <f t="shared" si="40"/>
        <v>F1B115018</v>
      </c>
      <c r="M658" t="str">
        <f t="shared" si="41"/>
        <v>JANUARMAN MAULANA PUTRA</v>
      </c>
      <c r="O658" t="str">
        <f t="shared" si="42"/>
        <v/>
      </c>
      <c r="P658" t="str">
        <f t="shared" si="43"/>
        <v/>
      </c>
    </row>
    <row r="659" spans="1:16">
      <c r="A659" t="s">
        <v>219</v>
      </c>
      <c r="B659" t="s">
        <v>220</v>
      </c>
      <c r="C659" t="s">
        <v>390</v>
      </c>
      <c r="D659" t="s">
        <v>391</v>
      </c>
      <c r="E659">
        <v>20171</v>
      </c>
      <c r="F659" t="s">
        <v>14</v>
      </c>
      <c r="G659" t="s">
        <v>18</v>
      </c>
      <c r="H659">
        <v>3</v>
      </c>
      <c r="I659">
        <v>0</v>
      </c>
      <c r="J659">
        <v>20201</v>
      </c>
      <c r="K659">
        <f>COUNTIF('rEKAP kls MK'!$A$2:$A$35,Worksheet!C659)</f>
        <v>1</v>
      </c>
      <c r="L659" t="str">
        <f t="shared" si="40"/>
        <v>F1B115020</v>
      </c>
      <c r="M659" t="str">
        <f t="shared" si="41"/>
        <v>KHAIRIL SUDARMANTO</v>
      </c>
      <c r="O659" t="str">
        <f t="shared" si="42"/>
        <v/>
      </c>
      <c r="P659" t="str">
        <f t="shared" si="43"/>
        <v/>
      </c>
    </row>
    <row r="660" spans="1:16">
      <c r="A660" t="s">
        <v>221</v>
      </c>
      <c r="B660" t="s">
        <v>222</v>
      </c>
      <c r="C660" t="s">
        <v>390</v>
      </c>
      <c r="D660" t="s">
        <v>391</v>
      </c>
      <c r="E660">
        <v>20171</v>
      </c>
      <c r="F660" t="s">
        <v>14</v>
      </c>
      <c r="G660" t="s">
        <v>82</v>
      </c>
      <c r="H660">
        <v>4</v>
      </c>
      <c r="I660">
        <v>0</v>
      </c>
      <c r="J660">
        <v>20201</v>
      </c>
      <c r="K660">
        <f>COUNTIF('rEKAP kls MK'!$A$2:$A$35,Worksheet!C660)</f>
        <v>1</v>
      </c>
      <c r="L660" t="str">
        <f t="shared" si="40"/>
        <v>F1B115021</v>
      </c>
      <c r="M660" t="str">
        <f t="shared" si="41"/>
        <v>LALU TRIAWANRI NOVIANUNG</v>
      </c>
      <c r="O660" t="str">
        <f t="shared" si="42"/>
        <v/>
      </c>
      <c r="P660" t="str">
        <f t="shared" si="43"/>
        <v/>
      </c>
    </row>
    <row r="661" spans="1:16">
      <c r="A661" t="s">
        <v>225</v>
      </c>
      <c r="B661" t="s">
        <v>226</v>
      </c>
      <c r="C661" t="s">
        <v>390</v>
      </c>
      <c r="D661" t="s">
        <v>391</v>
      </c>
      <c r="E661">
        <v>20171</v>
      </c>
      <c r="F661" t="s">
        <v>14</v>
      </c>
      <c r="G661" t="s">
        <v>82</v>
      </c>
      <c r="H661">
        <v>4</v>
      </c>
      <c r="I661">
        <v>0</v>
      </c>
      <c r="J661">
        <v>20201</v>
      </c>
      <c r="K661">
        <f>COUNTIF('rEKAP kls MK'!$A$2:$A$35,Worksheet!C661)</f>
        <v>1</v>
      </c>
      <c r="L661" t="str">
        <f t="shared" si="40"/>
        <v>F1B115023</v>
      </c>
      <c r="M661" t="str">
        <f t="shared" si="41"/>
        <v>M Habibillah</v>
      </c>
      <c r="O661" t="str">
        <f t="shared" si="42"/>
        <v/>
      </c>
      <c r="P661" t="str">
        <f t="shared" si="43"/>
        <v/>
      </c>
    </row>
    <row r="662" spans="1:16">
      <c r="A662" t="s">
        <v>229</v>
      </c>
      <c r="B662" t="s">
        <v>230</v>
      </c>
      <c r="C662" t="s">
        <v>390</v>
      </c>
      <c r="D662" t="s">
        <v>391</v>
      </c>
      <c r="E662">
        <v>20171</v>
      </c>
      <c r="F662" t="s">
        <v>14</v>
      </c>
      <c r="G662" t="s">
        <v>82</v>
      </c>
      <c r="H662">
        <v>4</v>
      </c>
      <c r="I662">
        <v>0</v>
      </c>
      <c r="J662">
        <v>20201</v>
      </c>
      <c r="K662">
        <f>COUNTIF('rEKAP kls MK'!$A$2:$A$35,Worksheet!C662)</f>
        <v>1</v>
      </c>
      <c r="L662" t="str">
        <f t="shared" si="40"/>
        <v>F1B115029</v>
      </c>
      <c r="M662" t="str">
        <f t="shared" si="41"/>
        <v>MUHAMAT TAUFIK</v>
      </c>
      <c r="O662" t="str">
        <f t="shared" si="42"/>
        <v/>
      </c>
      <c r="P662" t="str">
        <f t="shared" si="43"/>
        <v/>
      </c>
    </row>
    <row r="663" spans="1:16">
      <c r="A663" t="s">
        <v>231</v>
      </c>
      <c r="B663" t="s">
        <v>232</v>
      </c>
      <c r="C663" t="s">
        <v>390</v>
      </c>
      <c r="D663" t="s">
        <v>391</v>
      </c>
      <c r="E663">
        <v>20171</v>
      </c>
      <c r="F663" t="s">
        <v>14</v>
      </c>
      <c r="G663" t="s">
        <v>18</v>
      </c>
      <c r="H663">
        <v>3</v>
      </c>
      <c r="I663">
        <v>0</v>
      </c>
      <c r="J663">
        <v>20201</v>
      </c>
      <c r="K663">
        <f>COUNTIF('rEKAP kls MK'!$A$2:$A$35,Worksheet!C663)</f>
        <v>1</v>
      </c>
      <c r="L663" t="str">
        <f t="shared" si="40"/>
        <v>F1B115030</v>
      </c>
      <c r="M663" t="str">
        <f t="shared" si="41"/>
        <v>MUHAMMAD FIQRIL</v>
      </c>
      <c r="O663" t="str">
        <f t="shared" si="42"/>
        <v/>
      </c>
      <c r="P663" t="str">
        <f t="shared" si="43"/>
        <v/>
      </c>
    </row>
    <row r="664" spans="1:16">
      <c r="A664" t="s">
        <v>187</v>
      </c>
      <c r="B664" t="s">
        <v>188</v>
      </c>
      <c r="C664" t="s">
        <v>390</v>
      </c>
      <c r="D664" t="s">
        <v>391</v>
      </c>
      <c r="E664">
        <v>20171</v>
      </c>
      <c r="F664" t="s">
        <v>14</v>
      </c>
      <c r="G664" t="s">
        <v>82</v>
      </c>
      <c r="H664">
        <v>4</v>
      </c>
      <c r="I664">
        <v>0</v>
      </c>
      <c r="J664">
        <v>20201</v>
      </c>
      <c r="K664">
        <f>COUNTIF('rEKAP kls MK'!$A$2:$A$35,Worksheet!C664)</f>
        <v>1</v>
      </c>
      <c r="L664" t="str">
        <f t="shared" si="40"/>
        <v>F1B115032</v>
      </c>
      <c r="M664" t="str">
        <f t="shared" si="41"/>
        <v>Muhammad Rozziq Syaputra</v>
      </c>
      <c r="O664" t="str">
        <f t="shared" si="42"/>
        <v/>
      </c>
      <c r="P664" t="str">
        <f t="shared" si="43"/>
        <v/>
      </c>
    </row>
    <row r="665" spans="1:16">
      <c r="A665" t="s">
        <v>49</v>
      </c>
      <c r="B665" t="s">
        <v>50</v>
      </c>
      <c r="C665" t="s">
        <v>407</v>
      </c>
      <c r="D665" t="s">
        <v>408</v>
      </c>
      <c r="E665">
        <v>20171</v>
      </c>
      <c r="F665" t="s">
        <v>14</v>
      </c>
      <c r="G665" t="s">
        <v>82</v>
      </c>
      <c r="H665">
        <v>4</v>
      </c>
      <c r="I665">
        <v>0</v>
      </c>
      <c r="J665">
        <v>20201</v>
      </c>
      <c r="K665">
        <f>COUNTIF('rEKAP kls MK'!$A$2:$A$35,Worksheet!C665)</f>
        <v>1</v>
      </c>
      <c r="L665" t="str">
        <f t="shared" si="40"/>
        <v>F1B114007</v>
      </c>
      <c r="M665" t="str">
        <f t="shared" si="41"/>
        <v>BIJE SYIAPRIADI D</v>
      </c>
      <c r="O665" t="str">
        <f t="shared" si="42"/>
        <v>PEMROGRAMAN PLATFORM INDEPENDENT</v>
      </c>
      <c r="P665" t="str">
        <f t="shared" si="43"/>
        <v/>
      </c>
    </row>
    <row r="666" spans="1:16">
      <c r="A666" t="s">
        <v>175</v>
      </c>
      <c r="B666" t="s">
        <v>176</v>
      </c>
      <c r="C666" t="s">
        <v>407</v>
      </c>
      <c r="D666" t="s">
        <v>408</v>
      </c>
      <c r="E666">
        <v>20171</v>
      </c>
      <c r="F666" t="s">
        <v>14</v>
      </c>
      <c r="G666" t="s">
        <v>82</v>
      </c>
      <c r="H666">
        <v>4</v>
      </c>
      <c r="I666">
        <v>0</v>
      </c>
      <c r="J666">
        <v>20201</v>
      </c>
      <c r="K666">
        <f>COUNTIF('rEKAP kls MK'!$A$2:$A$35,Worksheet!C666)</f>
        <v>1</v>
      </c>
      <c r="L666" t="str">
        <f t="shared" si="40"/>
        <v>F1B114009</v>
      </c>
      <c r="M666" t="str">
        <f t="shared" si="41"/>
        <v>DANA SELVIA HADISWARA</v>
      </c>
      <c r="O666" t="str">
        <f t="shared" si="42"/>
        <v/>
      </c>
      <c r="P666" t="str">
        <f t="shared" si="43"/>
        <v/>
      </c>
    </row>
    <row r="667" spans="1:16">
      <c r="A667" t="s">
        <v>157</v>
      </c>
      <c r="B667" t="s">
        <v>158</v>
      </c>
      <c r="C667" t="s">
        <v>407</v>
      </c>
      <c r="D667" t="s">
        <v>408</v>
      </c>
      <c r="E667">
        <v>20171</v>
      </c>
      <c r="F667" t="s">
        <v>14</v>
      </c>
      <c r="G667" t="s">
        <v>82</v>
      </c>
      <c r="H667">
        <v>4</v>
      </c>
      <c r="I667">
        <v>0</v>
      </c>
      <c r="J667">
        <v>20201</v>
      </c>
      <c r="K667">
        <f>COUNTIF('rEKAP kls MK'!$A$2:$A$35,Worksheet!C667)</f>
        <v>1</v>
      </c>
      <c r="L667" t="str">
        <f t="shared" si="40"/>
        <v>F1B114010</v>
      </c>
      <c r="M667" t="str">
        <f t="shared" si="41"/>
        <v>EKA MARTA SIOMI</v>
      </c>
      <c r="O667" t="str">
        <f t="shared" si="42"/>
        <v/>
      </c>
      <c r="P667" t="str">
        <f t="shared" si="43"/>
        <v/>
      </c>
    </row>
    <row r="668" spans="1:16">
      <c r="A668" t="s">
        <v>142</v>
      </c>
      <c r="B668" t="s">
        <v>143</v>
      </c>
      <c r="C668" t="s">
        <v>407</v>
      </c>
      <c r="D668" t="s">
        <v>408</v>
      </c>
      <c r="E668">
        <v>20171</v>
      </c>
      <c r="F668" t="s">
        <v>14</v>
      </c>
      <c r="G668" t="s">
        <v>82</v>
      </c>
      <c r="H668">
        <v>4</v>
      </c>
      <c r="I668">
        <v>0</v>
      </c>
      <c r="J668">
        <v>20201</v>
      </c>
      <c r="K668">
        <f>COUNTIF('rEKAP kls MK'!$A$2:$A$35,Worksheet!C668)</f>
        <v>1</v>
      </c>
      <c r="L668" t="str">
        <f t="shared" si="40"/>
        <v>F1B114018</v>
      </c>
      <c r="M668" t="str">
        <f t="shared" si="41"/>
        <v>I GUSTI BAGUS HENDRA PRADIPTA</v>
      </c>
      <c r="O668" t="str">
        <f t="shared" si="42"/>
        <v/>
      </c>
      <c r="P668" t="str">
        <f t="shared" si="43"/>
        <v/>
      </c>
    </row>
    <row r="669" spans="1:16">
      <c r="A669" t="s">
        <v>165</v>
      </c>
      <c r="B669" t="s">
        <v>166</v>
      </c>
      <c r="C669" t="s">
        <v>407</v>
      </c>
      <c r="D669" t="s">
        <v>408</v>
      </c>
      <c r="E669">
        <v>20171</v>
      </c>
      <c r="F669" t="s">
        <v>14</v>
      </c>
      <c r="G669" t="s">
        <v>82</v>
      </c>
      <c r="H669">
        <v>4</v>
      </c>
      <c r="I669">
        <v>0</v>
      </c>
      <c r="J669">
        <v>20201</v>
      </c>
      <c r="K669">
        <f>COUNTIF('rEKAP kls MK'!$A$2:$A$35,Worksheet!C669)</f>
        <v>1</v>
      </c>
      <c r="L669" t="str">
        <f t="shared" si="40"/>
        <v>F1B114022</v>
      </c>
      <c r="M669" t="str">
        <f t="shared" si="41"/>
        <v>JUWITA ASRI</v>
      </c>
      <c r="O669" t="str">
        <f t="shared" si="42"/>
        <v/>
      </c>
      <c r="P669" t="str">
        <f t="shared" si="43"/>
        <v/>
      </c>
    </row>
    <row r="670" spans="1:16">
      <c r="A670" t="s">
        <v>54</v>
      </c>
      <c r="B670" t="s">
        <v>55</v>
      </c>
      <c r="C670" t="s">
        <v>407</v>
      </c>
      <c r="D670" t="s">
        <v>408</v>
      </c>
      <c r="E670">
        <v>20171</v>
      </c>
      <c r="F670" t="s">
        <v>14</v>
      </c>
      <c r="G670" t="s">
        <v>82</v>
      </c>
      <c r="H670">
        <v>4</v>
      </c>
      <c r="I670">
        <v>0</v>
      </c>
      <c r="J670">
        <v>20201</v>
      </c>
      <c r="K670">
        <f>COUNTIF('rEKAP kls MK'!$A$2:$A$35,Worksheet!C670)</f>
        <v>1</v>
      </c>
      <c r="L670" t="str">
        <f t="shared" si="40"/>
        <v>F1B114028</v>
      </c>
      <c r="M670" t="str">
        <f t="shared" si="41"/>
        <v>MUHAMMAD HAJRUL MUZAQI</v>
      </c>
      <c r="O670" t="str">
        <f t="shared" si="42"/>
        <v/>
      </c>
      <c r="P670" t="str">
        <f t="shared" si="43"/>
        <v/>
      </c>
    </row>
    <row r="671" spans="1:16">
      <c r="A671" t="s">
        <v>201</v>
      </c>
      <c r="B671" t="s">
        <v>202</v>
      </c>
      <c r="C671" t="s">
        <v>407</v>
      </c>
      <c r="D671" t="s">
        <v>408</v>
      </c>
      <c r="E671">
        <v>20171</v>
      </c>
      <c r="F671" t="s">
        <v>14</v>
      </c>
      <c r="G671" t="s">
        <v>82</v>
      </c>
      <c r="H671">
        <v>4</v>
      </c>
      <c r="I671">
        <v>0</v>
      </c>
      <c r="J671">
        <v>20201</v>
      </c>
      <c r="K671">
        <f>COUNTIF('rEKAP kls MK'!$A$2:$A$35,Worksheet!C671)</f>
        <v>1</v>
      </c>
      <c r="L671" t="str">
        <f t="shared" si="40"/>
        <v>F1B114030</v>
      </c>
      <c r="M671" t="str">
        <f t="shared" si="41"/>
        <v>PUTRA RAHMAT RAMADAN</v>
      </c>
      <c r="O671" t="str">
        <f t="shared" si="42"/>
        <v/>
      </c>
      <c r="P671" t="str">
        <f t="shared" si="43"/>
        <v/>
      </c>
    </row>
    <row r="672" spans="1:16">
      <c r="A672" t="s">
        <v>181</v>
      </c>
      <c r="B672" t="s">
        <v>182</v>
      </c>
      <c r="C672" t="s">
        <v>407</v>
      </c>
      <c r="D672" t="s">
        <v>408</v>
      </c>
      <c r="E672">
        <v>20171</v>
      </c>
      <c r="F672" t="s">
        <v>14</v>
      </c>
      <c r="G672" t="s">
        <v>82</v>
      </c>
      <c r="H672">
        <v>4</v>
      </c>
      <c r="I672">
        <v>0</v>
      </c>
      <c r="J672">
        <v>20201</v>
      </c>
      <c r="K672">
        <f>COUNTIF('rEKAP kls MK'!$A$2:$A$35,Worksheet!C672)</f>
        <v>1</v>
      </c>
      <c r="L672" t="str">
        <f t="shared" si="40"/>
        <v>F1B115004</v>
      </c>
      <c r="M672" t="str">
        <f t="shared" si="41"/>
        <v>ANDZAR QINTHARA</v>
      </c>
      <c r="O672" t="str">
        <f t="shared" si="42"/>
        <v/>
      </c>
      <c r="P672" t="str">
        <f t="shared" si="43"/>
        <v/>
      </c>
    </row>
    <row r="673" spans="1:16">
      <c r="A673" t="s">
        <v>209</v>
      </c>
      <c r="B673" t="s">
        <v>210</v>
      </c>
      <c r="C673" t="s">
        <v>407</v>
      </c>
      <c r="D673" t="s">
        <v>408</v>
      </c>
      <c r="E673">
        <v>20171</v>
      </c>
      <c r="F673" t="s">
        <v>14</v>
      </c>
      <c r="G673" t="s">
        <v>82</v>
      </c>
      <c r="H673">
        <v>4</v>
      </c>
      <c r="I673">
        <v>0</v>
      </c>
      <c r="J673">
        <v>20201</v>
      </c>
      <c r="K673">
        <f>COUNTIF('rEKAP kls MK'!$A$2:$A$35,Worksheet!C673)</f>
        <v>1</v>
      </c>
      <c r="L673" t="str">
        <f t="shared" si="40"/>
        <v>F1B115005</v>
      </c>
      <c r="M673" t="str">
        <f t="shared" si="41"/>
        <v>ANWAR SAPI I</v>
      </c>
      <c r="O673" t="str">
        <f t="shared" si="42"/>
        <v/>
      </c>
      <c r="P673" t="str">
        <f t="shared" si="43"/>
        <v/>
      </c>
    </row>
    <row r="674" spans="1:16">
      <c r="A674" t="s">
        <v>183</v>
      </c>
      <c r="B674" t="s">
        <v>184</v>
      </c>
      <c r="C674" t="s">
        <v>407</v>
      </c>
      <c r="D674" t="s">
        <v>408</v>
      </c>
      <c r="E674">
        <v>20171</v>
      </c>
      <c r="F674" t="s">
        <v>14</v>
      </c>
      <c r="G674" t="s">
        <v>18</v>
      </c>
      <c r="H674">
        <v>3</v>
      </c>
      <c r="I674">
        <v>0</v>
      </c>
      <c r="J674">
        <v>20201</v>
      </c>
      <c r="K674">
        <f>COUNTIF('rEKAP kls MK'!$A$2:$A$35,Worksheet!C674)</f>
        <v>1</v>
      </c>
      <c r="L674" t="str">
        <f t="shared" si="40"/>
        <v>F1B115006</v>
      </c>
      <c r="M674" t="str">
        <f t="shared" si="41"/>
        <v>Bagas Akbar Aznurinto</v>
      </c>
      <c r="O674" t="str">
        <f t="shared" si="42"/>
        <v/>
      </c>
      <c r="P674" t="str">
        <f t="shared" si="43"/>
        <v/>
      </c>
    </row>
    <row r="675" spans="1:16">
      <c r="A675" t="s">
        <v>211</v>
      </c>
      <c r="B675" t="s">
        <v>212</v>
      </c>
      <c r="C675" t="s">
        <v>407</v>
      </c>
      <c r="D675" t="s">
        <v>408</v>
      </c>
      <c r="E675">
        <v>20171</v>
      </c>
      <c r="F675" t="s">
        <v>14</v>
      </c>
      <c r="G675" t="s">
        <v>82</v>
      </c>
      <c r="H675">
        <v>4</v>
      </c>
      <c r="I675">
        <v>0</v>
      </c>
      <c r="J675">
        <v>20201</v>
      </c>
      <c r="K675">
        <f>COUNTIF('rEKAP kls MK'!$A$2:$A$35,Worksheet!C675)</f>
        <v>1</v>
      </c>
      <c r="L675" t="str">
        <f t="shared" si="40"/>
        <v>F1B115007</v>
      </c>
      <c r="M675" t="str">
        <f t="shared" si="41"/>
        <v>BAIHAKI</v>
      </c>
      <c r="O675" t="str">
        <f t="shared" si="42"/>
        <v/>
      </c>
      <c r="P675" t="str">
        <f t="shared" si="43"/>
        <v/>
      </c>
    </row>
    <row r="676" spans="1:16">
      <c r="A676" t="s">
        <v>237</v>
      </c>
      <c r="B676" t="s">
        <v>238</v>
      </c>
      <c r="C676" t="s">
        <v>407</v>
      </c>
      <c r="D676" t="s">
        <v>408</v>
      </c>
      <c r="E676">
        <v>20171</v>
      </c>
      <c r="F676" t="s">
        <v>14</v>
      </c>
      <c r="G676" t="s">
        <v>82</v>
      </c>
      <c r="H676">
        <v>4</v>
      </c>
      <c r="I676">
        <v>0</v>
      </c>
      <c r="J676">
        <v>20201</v>
      </c>
      <c r="K676">
        <f>COUNTIF('rEKAP kls MK'!$A$2:$A$35,Worksheet!C676)</f>
        <v>1</v>
      </c>
      <c r="L676" t="str">
        <f t="shared" si="40"/>
        <v>F1B115012</v>
      </c>
      <c r="M676" t="str">
        <f t="shared" si="41"/>
        <v>HARZA WISNU SAPUTRA</v>
      </c>
      <c r="O676" t="str">
        <f t="shared" si="42"/>
        <v/>
      </c>
      <c r="P676" t="str">
        <f t="shared" si="43"/>
        <v/>
      </c>
    </row>
    <row r="677" spans="1:16">
      <c r="A677" t="s">
        <v>217</v>
      </c>
      <c r="B677" t="s">
        <v>218</v>
      </c>
      <c r="C677" t="s">
        <v>407</v>
      </c>
      <c r="D677" t="s">
        <v>408</v>
      </c>
      <c r="E677">
        <v>20171</v>
      </c>
      <c r="F677" t="s">
        <v>14</v>
      </c>
      <c r="G677" t="s">
        <v>82</v>
      </c>
      <c r="H677">
        <v>4</v>
      </c>
      <c r="I677">
        <v>0</v>
      </c>
      <c r="J677">
        <v>20201</v>
      </c>
      <c r="K677">
        <f>COUNTIF('rEKAP kls MK'!$A$2:$A$35,Worksheet!C677)</f>
        <v>1</v>
      </c>
      <c r="L677" t="str">
        <f t="shared" si="40"/>
        <v>F1B115016</v>
      </c>
      <c r="M677" t="str">
        <f t="shared" si="41"/>
        <v>Imam Syuhada</v>
      </c>
      <c r="O677" t="str">
        <f t="shared" si="42"/>
        <v/>
      </c>
      <c r="P677" t="str">
        <f t="shared" si="43"/>
        <v/>
      </c>
    </row>
    <row r="678" spans="1:16">
      <c r="A678" t="s">
        <v>191</v>
      </c>
      <c r="B678" t="s">
        <v>192</v>
      </c>
      <c r="C678" t="s">
        <v>407</v>
      </c>
      <c r="D678" t="s">
        <v>408</v>
      </c>
      <c r="E678">
        <v>20171</v>
      </c>
      <c r="F678" t="s">
        <v>14</v>
      </c>
      <c r="G678" t="s">
        <v>82</v>
      </c>
      <c r="H678">
        <v>4</v>
      </c>
      <c r="I678">
        <v>0</v>
      </c>
      <c r="J678">
        <v>20201</v>
      </c>
      <c r="K678">
        <f>COUNTIF('rEKAP kls MK'!$A$2:$A$35,Worksheet!C678)</f>
        <v>1</v>
      </c>
      <c r="L678" t="str">
        <f t="shared" si="40"/>
        <v>F1B115018</v>
      </c>
      <c r="M678" t="str">
        <f t="shared" si="41"/>
        <v>JANUARMAN MAULANA PUTRA</v>
      </c>
      <c r="O678" t="str">
        <f t="shared" si="42"/>
        <v/>
      </c>
      <c r="P678" t="str">
        <f t="shared" si="43"/>
        <v/>
      </c>
    </row>
    <row r="679" spans="1:16">
      <c r="A679" t="s">
        <v>221</v>
      </c>
      <c r="B679" t="s">
        <v>222</v>
      </c>
      <c r="C679" t="s">
        <v>407</v>
      </c>
      <c r="D679" t="s">
        <v>408</v>
      </c>
      <c r="E679">
        <v>20171</v>
      </c>
      <c r="F679" t="s">
        <v>14</v>
      </c>
      <c r="G679" t="s">
        <v>82</v>
      </c>
      <c r="H679">
        <v>4</v>
      </c>
      <c r="I679">
        <v>0</v>
      </c>
      <c r="J679">
        <v>20201</v>
      </c>
      <c r="K679">
        <f>COUNTIF('rEKAP kls MK'!$A$2:$A$35,Worksheet!C679)</f>
        <v>1</v>
      </c>
      <c r="L679" t="str">
        <f t="shared" si="40"/>
        <v>F1B115021</v>
      </c>
      <c r="M679" t="str">
        <f t="shared" si="41"/>
        <v>LALU TRIAWANRI NOVIANUNG</v>
      </c>
      <c r="O679" t="str">
        <f t="shared" si="42"/>
        <v/>
      </c>
      <c r="P679" t="str">
        <f t="shared" si="43"/>
        <v/>
      </c>
    </row>
    <row r="680" spans="1:16">
      <c r="A680" t="s">
        <v>229</v>
      </c>
      <c r="B680" t="s">
        <v>230</v>
      </c>
      <c r="C680" t="s">
        <v>407</v>
      </c>
      <c r="D680" t="s">
        <v>408</v>
      </c>
      <c r="E680">
        <v>20171</v>
      </c>
      <c r="F680" t="s">
        <v>14</v>
      </c>
      <c r="G680" t="s">
        <v>82</v>
      </c>
      <c r="H680">
        <v>4</v>
      </c>
      <c r="I680">
        <v>0</v>
      </c>
      <c r="J680">
        <v>20201</v>
      </c>
      <c r="K680">
        <f>COUNTIF('rEKAP kls MK'!$A$2:$A$35,Worksheet!C680)</f>
        <v>1</v>
      </c>
      <c r="L680" t="str">
        <f t="shared" si="40"/>
        <v>F1B115029</v>
      </c>
      <c r="M680" t="str">
        <f t="shared" si="41"/>
        <v>MUHAMAT TAUFIK</v>
      </c>
      <c r="O680" t="str">
        <f t="shared" si="42"/>
        <v/>
      </c>
      <c r="P680" t="str">
        <f t="shared" si="43"/>
        <v/>
      </c>
    </row>
    <row r="681" spans="1:16">
      <c r="A681" t="s">
        <v>187</v>
      </c>
      <c r="B681" t="s">
        <v>188</v>
      </c>
      <c r="C681" t="s">
        <v>407</v>
      </c>
      <c r="D681" t="s">
        <v>408</v>
      </c>
      <c r="E681">
        <v>20171</v>
      </c>
      <c r="F681" t="s">
        <v>14</v>
      </c>
      <c r="G681" t="s">
        <v>82</v>
      </c>
      <c r="H681">
        <v>4</v>
      </c>
      <c r="I681">
        <v>0</v>
      </c>
      <c r="J681">
        <v>20201</v>
      </c>
      <c r="K681">
        <f>COUNTIF('rEKAP kls MK'!$A$2:$A$35,Worksheet!C681)</f>
        <v>1</v>
      </c>
      <c r="L681" t="str">
        <f t="shared" si="40"/>
        <v>F1B115032</v>
      </c>
      <c r="M681" t="str">
        <f t="shared" si="41"/>
        <v>Muhammad Rozziq Syaputra</v>
      </c>
      <c r="O681" t="str">
        <f t="shared" si="42"/>
        <v/>
      </c>
      <c r="P681" t="str">
        <f t="shared" si="43"/>
        <v/>
      </c>
    </row>
    <row r="682" spans="1:16">
      <c r="A682" t="s">
        <v>177</v>
      </c>
      <c r="B682" t="s">
        <v>178</v>
      </c>
      <c r="C682" t="s">
        <v>562</v>
      </c>
      <c r="D682" t="s">
        <v>563</v>
      </c>
      <c r="E682">
        <v>20171</v>
      </c>
      <c r="F682" t="s">
        <v>467</v>
      </c>
      <c r="G682" t="s">
        <v>150</v>
      </c>
      <c r="H682">
        <v>0</v>
      </c>
      <c r="I682">
        <v>0</v>
      </c>
      <c r="J682">
        <v>20201</v>
      </c>
      <c r="K682">
        <f>COUNTIF('rEKAP kls MK'!$A$2:$A$35,Worksheet!C682)</f>
        <v>0</v>
      </c>
      <c r="L682" t="str">
        <f t="shared" si="40"/>
        <v>F1B111030</v>
      </c>
      <c r="M682" t="str">
        <f t="shared" si="41"/>
        <v>Islahudin</v>
      </c>
      <c r="O682" t="str">
        <f t="shared" si="42"/>
        <v>PENDIDIKAN AGAMA</v>
      </c>
      <c r="P682" t="str">
        <f t="shared" si="43"/>
        <v>TPB</v>
      </c>
    </row>
    <row r="683" spans="1:16">
      <c r="A683" t="s">
        <v>468</v>
      </c>
      <c r="B683" t="s">
        <v>469</v>
      </c>
      <c r="C683" t="s">
        <v>562</v>
      </c>
      <c r="D683" t="s">
        <v>563</v>
      </c>
      <c r="E683">
        <v>20171</v>
      </c>
      <c r="F683" t="s">
        <v>467</v>
      </c>
      <c r="G683" t="s">
        <v>51</v>
      </c>
      <c r="H683">
        <v>3.5</v>
      </c>
      <c r="I683">
        <v>0</v>
      </c>
      <c r="J683">
        <v>20201</v>
      </c>
      <c r="K683">
        <f>COUNTIF('rEKAP kls MK'!$A$2:$A$35,Worksheet!C683)</f>
        <v>0</v>
      </c>
      <c r="L683" t="str">
        <f t="shared" si="40"/>
        <v>F1B117001</v>
      </c>
      <c r="M683" t="str">
        <f t="shared" si="41"/>
        <v>ABI LASKAR</v>
      </c>
      <c r="O683" t="str">
        <f t="shared" si="42"/>
        <v/>
      </c>
      <c r="P683" t="str">
        <f t="shared" si="43"/>
        <v/>
      </c>
    </row>
    <row r="684" spans="1:16">
      <c r="A684" t="s">
        <v>470</v>
      </c>
      <c r="B684" t="s">
        <v>471</v>
      </c>
      <c r="C684" t="s">
        <v>562</v>
      </c>
      <c r="D684" t="s">
        <v>563</v>
      </c>
      <c r="E684">
        <v>20171</v>
      </c>
      <c r="F684" t="s">
        <v>467</v>
      </c>
      <c r="G684" t="s">
        <v>51</v>
      </c>
      <c r="H684">
        <v>3.5</v>
      </c>
      <c r="I684">
        <v>0</v>
      </c>
      <c r="J684">
        <v>20201</v>
      </c>
      <c r="K684">
        <f>COUNTIF('rEKAP kls MK'!$A$2:$A$35,Worksheet!C684)</f>
        <v>0</v>
      </c>
      <c r="L684" t="str">
        <f t="shared" si="40"/>
        <v>F1B117002</v>
      </c>
      <c r="M684" t="str">
        <f t="shared" si="41"/>
        <v>ADE PUTRA CAHYADI</v>
      </c>
      <c r="O684" t="str">
        <f t="shared" si="42"/>
        <v/>
      </c>
      <c r="P684" t="str">
        <f t="shared" si="43"/>
        <v/>
      </c>
    </row>
    <row r="685" spans="1:16">
      <c r="A685" t="s">
        <v>472</v>
      </c>
      <c r="B685" t="s">
        <v>473</v>
      </c>
      <c r="C685" t="s">
        <v>562</v>
      </c>
      <c r="D685" t="s">
        <v>563</v>
      </c>
      <c r="E685">
        <v>20171</v>
      </c>
      <c r="F685" t="s">
        <v>467</v>
      </c>
      <c r="G685" t="s">
        <v>51</v>
      </c>
      <c r="H685">
        <v>3.5</v>
      </c>
      <c r="I685">
        <v>0</v>
      </c>
      <c r="J685">
        <v>20201</v>
      </c>
      <c r="K685">
        <f>COUNTIF('rEKAP kls MK'!$A$2:$A$35,Worksheet!C685)</f>
        <v>0</v>
      </c>
      <c r="L685" t="str">
        <f t="shared" si="40"/>
        <v>F1B117003</v>
      </c>
      <c r="M685" t="str">
        <f t="shared" si="41"/>
        <v>ADELIA RIZKY FEBRIANTI</v>
      </c>
      <c r="O685" t="str">
        <f t="shared" si="42"/>
        <v/>
      </c>
      <c r="P685" t="str">
        <f t="shared" si="43"/>
        <v/>
      </c>
    </row>
    <row r="686" spans="1:16">
      <c r="A686" t="s">
        <v>474</v>
      </c>
      <c r="B686" t="s">
        <v>475</v>
      </c>
      <c r="C686" t="s">
        <v>562</v>
      </c>
      <c r="D686" t="s">
        <v>563</v>
      </c>
      <c r="E686">
        <v>20171</v>
      </c>
      <c r="F686" t="s">
        <v>467</v>
      </c>
      <c r="G686" t="s">
        <v>51</v>
      </c>
      <c r="H686">
        <v>3.5</v>
      </c>
      <c r="I686">
        <v>0</v>
      </c>
      <c r="J686">
        <v>20201</v>
      </c>
      <c r="K686">
        <f>COUNTIF('rEKAP kls MK'!$A$2:$A$35,Worksheet!C686)</f>
        <v>0</v>
      </c>
      <c r="L686" t="str">
        <f t="shared" si="40"/>
        <v>F1B117004</v>
      </c>
      <c r="M686" t="str">
        <f t="shared" si="41"/>
        <v>AHMAD RAJABUL AKBAR KHAIRU</v>
      </c>
      <c r="O686" t="str">
        <f t="shared" si="42"/>
        <v/>
      </c>
      <c r="P686" t="str">
        <f t="shared" si="43"/>
        <v/>
      </c>
    </row>
    <row r="687" spans="1:16">
      <c r="A687" t="s">
        <v>476</v>
      </c>
      <c r="B687" t="s">
        <v>477</v>
      </c>
      <c r="C687" t="s">
        <v>562</v>
      </c>
      <c r="D687" t="s">
        <v>563</v>
      </c>
      <c r="E687">
        <v>20171</v>
      </c>
      <c r="F687" t="s">
        <v>467</v>
      </c>
      <c r="G687" t="s">
        <v>51</v>
      </c>
      <c r="H687">
        <v>3.5</v>
      </c>
      <c r="I687">
        <v>0</v>
      </c>
      <c r="J687">
        <v>20201</v>
      </c>
      <c r="K687">
        <f>COUNTIF('rEKAP kls MK'!$A$2:$A$35,Worksheet!C687)</f>
        <v>0</v>
      </c>
      <c r="L687" t="str">
        <f t="shared" si="40"/>
        <v>F1B117005</v>
      </c>
      <c r="M687" t="str">
        <f t="shared" si="41"/>
        <v>AKBAR MAJID</v>
      </c>
      <c r="O687" t="str">
        <f t="shared" si="42"/>
        <v/>
      </c>
      <c r="P687" t="str">
        <f t="shared" si="43"/>
        <v/>
      </c>
    </row>
    <row r="688" spans="1:16">
      <c r="A688" t="s">
        <v>478</v>
      </c>
      <c r="B688" t="s">
        <v>479</v>
      </c>
      <c r="C688" t="s">
        <v>562</v>
      </c>
      <c r="D688" t="s">
        <v>563</v>
      </c>
      <c r="E688">
        <v>20171</v>
      </c>
      <c r="F688" t="s">
        <v>467</v>
      </c>
      <c r="G688" t="s">
        <v>51</v>
      </c>
      <c r="H688">
        <v>3.5</v>
      </c>
      <c r="I688">
        <v>0</v>
      </c>
      <c r="J688">
        <v>20201</v>
      </c>
      <c r="K688">
        <f>COUNTIF('rEKAP kls MK'!$A$2:$A$35,Worksheet!C688)</f>
        <v>0</v>
      </c>
      <c r="L688" t="str">
        <f t="shared" si="40"/>
        <v>F1B117006</v>
      </c>
      <c r="M688" t="str">
        <f t="shared" si="41"/>
        <v>ANDI MUHAMAD HANIF</v>
      </c>
      <c r="O688" t="str">
        <f t="shared" si="42"/>
        <v/>
      </c>
      <c r="P688" t="str">
        <f t="shared" si="43"/>
        <v/>
      </c>
    </row>
    <row r="689" spans="1:16">
      <c r="A689" t="s">
        <v>480</v>
      </c>
      <c r="B689" t="s">
        <v>481</v>
      </c>
      <c r="C689" t="s">
        <v>562</v>
      </c>
      <c r="D689" t="s">
        <v>563</v>
      </c>
      <c r="E689">
        <v>20171</v>
      </c>
      <c r="F689" t="s">
        <v>467</v>
      </c>
      <c r="G689" t="s">
        <v>51</v>
      </c>
      <c r="H689">
        <v>3.5</v>
      </c>
      <c r="I689">
        <v>0</v>
      </c>
      <c r="J689">
        <v>20201</v>
      </c>
      <c r="K689">
        <f>COUNTIF('rEKAP kls MK'!$A$2:$A$35,Worksheet!C689)</f>
        <v>0</v>
      </c>
      <c r="L689" t="str">
        <f t="shared" si="40"/>
        <v>F1B117007</v>
      </c>
      <c r="M689" t="str">
        <f t="shared" si="41"/>
        <v>ANDIKA RAHMAN</v>
      </c>
      <c r="O689" t="str">
        <f t="shared" si="42"/>
        <v/>
      </c>
      <c r="P689" t="str">
        <f t="shared" si="43"/>
        <v/>
      </c>
    </row>
    <row r="690" spans="1:16">
      <c r="A690" t="s">
        <v>482</v>
      </c>
      <c r="B690" t="s">
        <v>483</v>
      </c>
      <c r="C690" t="s">
        <v>562</v>
      </c>
      <c r="D690" t="s">
        <v>563</v>
      </c>
      <c r="E690">
        <v>20171</v>
      </c>
      <c r="F690" t="s">
        <v>467</v>
      </c>
      <c r="G690" t="s">
        <v>51</v>
      </c>
      <c r="H690">
        <v>3.5</v>
      </c>
      <c r="I690">
        <v>0</v>
      </c>
      <c r="J690">
        <v>20201</v>
      </c>
      <c r="K690">
        <f>COUNTIF('rEKAP kls MK'!$A$2:$A$35,Worksheet!C690)</f>
        <v>0</v>
      </c>
      <c r="L690" t="str">
        <f t="shared" si="40"/>
        <v>F1B117008</v>
      </c>
      <c r="M690" t="str">
        <f t="shared" si="41"/>
        <v>ANDRE PRATAMA</v>
      </c>
      <c r="O690" t="str">
        <f t="shared" si="42"/>
        <v/>
      </c>
      <c r="P690" t="str">
        <f t="shared" si="43"/>
        <v/>
      </c>
    </row>
    <row r="691" spans="1:16">
      <c r="A691" t="s">
        <v>484</v>
      </c>
      <c r="B691" t="s">
        <v>485</v>
      </c>
      <c r="C691" t="s">
        <v>562</v>
      </c>
      <c r="D691" t="s">
        <v>563</v>
      </c>
      <c r="E691">
        <v>20171</v>
      </c>
      <c r="F691" t="s">
        <v>467</v>
      </c>
      <c r="G691" t="s">
        <v>51</v>
      </c>
      <c r="H691">
        <v>3.5</v>
      </c>
      <c r="I691">
        <v>0</v>
      </c>
      <c r="J691">
        <v>20201</v>
      </c>
      <c r="K691">
        <f>COUNTIF('rEKAP kls MK'!$A$2:$A$35,Worksheet!C691)</f>
        <v>0</v>
      </c>
      <c r="L691" t="str">
        <f t="shared" si="40"/>
        <v>F1B117009</v>
      </c>
      <c r="M691" t="str">
        <f t="shared" si="41"/>
        <v>ANDREAN EKO RAMADHAN</v>
      </c>
      <c r="O691" t="str">
        <f t="shared" si="42"/>
        <v/>
      </c>
      <c r="P691" t="str">
        <f t="shared" si="43"/>
        <v/>
      </c>
    </row>
    <row r="692" spans="1:16">
      <c r="A692" t="s">
        <v>486</v>
      </c>
      <c r="B692" t="s">
        <v>487</v>
      </c>
      <c r="C692" t="s">
        <v>562</v>
      </c>
      <c r="D692" t="s">
        <v>563</v>
      </c>
      <c r="E692">
        <v>20171</v>
      </c>
      <c r="F692" t="s">
        <v>467</v>
      </c>
      <c r="G692" t="s">
        <v>51</v>
      </c>
      <c r="H692">
        <v>3.5</v>
      </c>
      <c r="I692">
        <v>0</v>
      </c>
      <c r="J692">
        <v>20201</v>
      </c>
      <c r="K692">
        <f>COUNTIF('rEKAP kls MK'!$A$2:$A$35,Worksheet!C692)</f>
        <v>0</v>
      </c>
      <c r="L692" t="str">
        <f t="shared" si="40"/>
        <v>F1B117010</v>
      </c>
      <c r="M692" t="str">
        <f t="shared" si="41"/>
        <v>ARGA SUTRI PRATAMA</v>
      </c>
      <c r="O692" t="str">
        <f t="shared" si="42"/>
        <v/>
      </c>
      <c r="P692" t="str">
        <f t="shared" si="43"/>
        <v/>
      </c>
    </row>
    <row r="693" spans="1:16">
      <c r="A693" t="s">
        <v>488</v>
      </c>
      <c r="B693" t="s">
        <v>489</v>
      </c>
      <c r="C693" t="s">
        <v>562</v>
      </c>
      <c r="D693" t="s">
        <v>563</v>
      </c>
      <c r="E693">
        <v>20171</v>
      </c>
      <c r="F693" t="s">
        <v>467</v>
      </c>
      <c r="G693" t="s">
        <v>51</v>
      </c>
      <c r="H693">
        <v>3.5</v>
      </c>
      <c r="I693">
        <v>0</v>
      </c>
      <c r="J693">
        <v>20201</v>
      </c>
      <c r="K693">
        <f>COUNTIF('rEKAP kls MK'!$A$2:$A$35,Worksheet!C693)</f>
        <v>0</v>
      </c>
      <c r="L693" t="str">
        <f t="shared" si="40"/>
        <v>F1B117011</v>
      </c>
      <c r="M693" t="str">
        <f t="shared" si="41"/>
        <v>BAYU ADE SURYA</v>
      </c>
      <c r="O693" t="str">
        <f t="shared" si="42"/>
        <v/>
      </c>
      <c r="P693" t="str">
        <f t="shared" si="43"/>
        <v/>
      </c>
    </row>
    <row r="694" spans="1:16">
      <c r="A694" t="s">
        <v>490</v>
      </c>
      <c r="B694" t="s">
        <v>491</v>
      </c>
      <c r="C694" t="s">
        <v>562</v>
      </c>
      <c r="D694" t="s">
        <v>563</v>
      </c>
      <c r="E694">
        <v>20171</v>
      </c>
      <c r="F694" t="s">
        <v>467</v>
      </c>
      <c r="G694" t="s">
        <v>51</v>
      </c>
      <c r="H694">
        <v>3.5</v>
      </c>
      <c r="I694">
        <v>0</v>
      </c>
      <c r="J694">
        <v>20201</v>
      </c>
      <c r="K694">
        <f>COUNTIF('rEKAP kls MK'!$A$2:$A$35,Worksheet!C694)</f>
        <v>0</v>
      </c>
      <c r="L694" t="str">
        <f t="shared" si="40"/>
        <v>F1B117012</v>
      </c>
      <c r="M694" t="str">
        <f t="shared" si="41"/>
        <v>ERLAN BAHTIAR</v>
      </c>
      <c r="O694" t="str">
        <f t="shared" si="42"/>
        <v/>
      </c>
      <c r="P694" t="str">
        <f t="shared" si="43"/>
        <v/>
      </c>
    </row>
    <row r="695" spans="1:16">
      <c r="A695" t="s">
        <v>492</v>
      </c>
      <c r="B695" t="s">
        <v>493</v>
      </c>
      <c r="C695" t="s">
        <v>562</v>
      </c>
      <c r="D695" t="s">
        <v>563</v>
      </c>
      <c r="E695">
        <v>20171</v>
      </c>
      <c r="F695" t="s">
        <v>467</v>
      </c>
      <c r="G695" t="s">
        <v>51</v>
      </c>
      <c r="H695">
        <v>3.5</v>
      </c>
      <c r="I695">
        <v>0</v>
      </c>
      <c r="J695">
        <v>20201</v>
      </c>
      <c r="K695">
        <f>COUNTIF('rEKAP kls MK'!$A$2:$A$35,Worksheet!C695)</f>
        <v>0</v>
      </c>
      <c r="L695" t="str">
        <f t="shared" si="40"/>
        <v>F1B117013</v>
      </c>
      <c r="M695" t="str">
        <f t="shared" si="41"/>
        <v>FADHLI EKO PRASETYO</v>
      </c>
      <c r="O695" t="str">
        <f t="shared" si="42"/>
        <v/>
      </c>
      <c r="P695" t="str">
        <f t="shared" si="43"/>
        <v/>
      </c>
    </row>
    <row r="696" spans="1:16">
      <c r="A696" t="s">
        <v>494</v>
      </c>
      <c r="B696" t="s">
        <v>495</v>
      </c>
      <c r="C696" t="s">
        <v>562</v>
      </c>
      <c r="D696" t="s">
        <v>563</v>
      </c>
      <c r="E696">
        <v>20171</v>
      </c>
      <c r="F696" t="s">
        <v>467</v>
      </c>
      <c r="G696" t="s">
        <v>51</v>
      </c>
      <c r="H696">
        <v>3.5</v>
      </c>
      <c r="I696">
        <v>0</v>
      </c>
      <c r="J696">
        <v>20201</v>
      </c>
      <c r="K696">
        <f>COUNTIF('rEKAP kls MK'!$A$2:$A$35,Worksheet!C696)</f>
        <v>0</v>
      </c>
      <c r="L696" t="str">
        <f t="shared" si="40"/>
        <v>F1B117014</v>
      </c>
      <c r="M696" t="str">
        <f t="shared" si="41"/>
        <v>FANNY WINDARY BATANIA</v>
      </c>
      <c r="O696" t="str">
        <f t="shared" si="42"/>
        <v/>
      </c>
      <c r="P696" t="str">
        <f t="shared" si="43"/>
        <v/>
      </c>
    </row>
    <row r="697" spans="1:16">
      <c r="A697" t="s">
        <v>496</v>
      </c>
      <c r="B697" t="s">
        <v>497</v>
      </c>
      <c r="C697" t="s">
        <v>562</v>
      </c>
      <c r="D697" t="s">
        <v>563</v>
      </c>
      <c r="E697">
        <v>20171</v>
      </c>
      <c r="F697" t="s">
        <v>467</v>
      </c>
      <c r="G697" t="s">
        <v>51</v>
      </c>
      <c r="H697">
        <v>3.5</v>
      </c>
      <c r="I697">
        <v>0</v>
      </c>
      <c r="J697">
        <v>20201</v>
      </c>
      <c r="K697">
        <f>COUNTIF('rEKAP kls MK'!$A$2:$A$35,Worksheet!C697)</f>
        <v>0</v>
      </c>
      <c r="L697" t="str">
        <f t="shared" si="40"/>
        <v>F1B117015</v>
      </c>
      <c r="M697" t="str">
        <f t="shared" si="41"/>
        <v>GALI GALUH SAKTI</v>
      </c>
      <c r="O697" t="str">
        <f t="shared" si="42"/>
        <v/>
      </c>
      <c r="P697" t="str">
        <f t="shared" si="43"/>
        <v/>
      </c>
    </row>
    <row r="698" spans="1:16">
      <c r="A698" t="s">
        <v>498</v>
      </c>
      <c r="B698" t="s">
        <v>499</v>
      </c>
      <c r="C698" t="s">
        <v>562</v>
      </c>
      <c r="D698" t="s">
        <v>563</v>
      </c>
      <c r="E698">
        <v>20171</v>
      </c>
      <c r="F698" t="s">
        <v>467</v>
      </c>
      <c r="G698" t="s">
        <v>51</v>
      </c>
      <c r="H698">
        <v>3.5</v>
      </c>
      <c r="I698">
        <v>0</v>
      </c>
      <c r="J698">
        <v>20201</v>
      </c>
      <c r="K698">
        <f>COUNTIF('rEKAP kls MK'!$A$2:$A$35,Worksheet!C698)</f>
        <v>0</v>
      </c>
      <c r="L698" t="str">
        <f t="shared" si="40"/>
        <v>F1B117016</v>
      </c>
      <c r="M698" t="str">
        <f t="shared" si="41"/>
        <v>GAUSS NUR SALAM</v>
      </c>
      <c r="O698" t="str">
        <f t="shared" si="42"/>
        <v/>
      </c>
      <c r="P698" t="str">
        <f t="shared" si="43"/>
        <v/>
      </c>
    </row>
    <row r="699" spans="1:16">
      <c r="A699" t="s">
        <v>500</v>
      </c>
      <c r="B699" t="s">
        <v>501</v>
      </c>
      <c r="C699" t="s">
        <v>562</v>
      </c>
      <c r="D699" t="s">
        <v>563</v>
      </c>
      <c r="E699">
        <v>20171</v>
      </c>
      <c r="F699" t="s">
        <v>467</v>
      </c>
      <c r="G699" t="s">
        <v>82</v>
      </c>
      <c r="H699">
        <v>4</v>
      </c>
      <c r="I699">
        <v>0</v>
      </c>
      <c r="J699">
        <v>20201</v>
      </c>
      <c r="K699">
        <f>COUNTIF('rEKAP kls MK'!$A$2:$A$35,Worksheet!C699)</f>
        <v>0</v>
      </c>
      <c r="L699" t="str">
        <f t="shared" si="40"/>
        <v>F1B117017</v>
      </c>
      <c r="M699" t="str">
        <f t="shared" si="41"/>
        <v>HELMY AMALIA ARIESTA</v>
      </c>
      <c r="O699" t="str">
        <f t="shared" si="42"/>
        <v/>
      </c>
      <c r="P699" t="str">
        <f t="shared" si="43"/>
        <v/>
      </c>
    </row>
    <row r="700" spans="1:16">
      <c r="A700" t="s">
        <v>502</v>
      </c>
      <c r="B700" t="s">
        <v>503</v>
      </c>
      <c r="C700" t="s">
        <v>562</v>
      </c>
      <c r="D700" t="s">
        <v>563</v>
      </c>
      <c r="E700">
        <v>20171</v>
      </c>
      <c r="F700" t="s">
        <v>467</v>
      </c>
      <c r="G700" t="s">
        <v>51</v>
      </c>
      <c r="H700">
        <v>3.5</v>
      </c>
      <c r="I700">
        <v>0</v>
      </c>
      <c r="J700">
        <v>20201</v>
      </c>
      <c r="K700">
        <f>COUNTIF('rEKAP kls MK'!$A$2:$A$35,Worksheet!C700)</f>
        <v>0</v>
      </c>
    </row>
    <row r="701" spans="1:16">
      <c r="A701" t="s">
        <v>504</v>
      </c>
      <c r="B701" t="s">
        <v>505</v>
      </c>
      <c r="C701" t="s">
        <v>562</v>
      </c>
      <c r="D701" t="s">
        <v>563</v>
      </c>
      <c r="E701">
        <v>20171</v>
      </c>
      <c r="F701" t="s">
        <v>467</v>
      </c>
      <c r="G701" t="s">
        <v>51</v>
      </c>
      <c r="H701">
        <v>3.5</v>
      </c>
      <c r="I701">
        <v>0</v>
      </c>
      <c r="J701">
        <v>20201</v>
      </c>
      <c r="K701">
        <f>COUNTIF('rEKAP kls MK'!$A$2:$A$35,Worksheet!C701)</f>
        <v>0</v>
      </c>
      <c r="L701" t="str">
        <f t="shared" si="40"/>
        <v>F1B117019</v>
      </c>
      <c r="M701" t="str">
        <f t="shared" si="41"/>
        <v>KHAIRUL MUAMALAH</v>
      </c>
      <c r="O701" t="str">
        <f t="shared" si="42"/>
        <v/>
      </c>
      <c r="P701" t="str">
        <f t="shared" si="43"/>
        <v/>
      </c>
    </row>
    <row r="702" spans="1:16">
      <c r="A702" t="s">
        <v>506</v>
      </c>
      <c r="B702" t="s">
        <v>507</v>
      </c>
      <c r="C702" t="s">
        <v>562</v>
      </c>
      <c r="D702" t="s">
        <v>563</v>
      </c>
      <c r="E702">
        <v>20171</v>
      </c>
      <c r="F702" t="s">
        <v>467</v>
      </c>
      <c r="G702" t="s">
        <v>18</v>
      </c>
      <c r="H702">
        <v>3</v>
      </c>
      <c r="I702">
        <v>0</v>
      </c>
      <c r="J702">
        <v>20201</v>
      </c>
      <c r="K702">
        <f>COUNTIF('rEKAP kls MK'!$A$2:$A$35,Worksheet!C702)</f>
        <v>0</v>
      </c>
      <c r="L702" t="str">
        <f t="shared" si="40"/>
        <v>F1B117020</v>
      </c>
      <c r="M702" t="str">
        <f t="shared" si="41"/>
        <v>LENKA AURELIE YUDHISTIRA</v>
      </c>
      <c r="O702" t="str">
        <f t="shared" si="42"/>
        <v/>
      </c>
      <c r="P702" t="str">
        <f t="shared" si="43"/>
        <v/>
      </c>
    </row>
    <row r="703" spans="1:16">
      <c r="A703" t="s">
        <v>508</v>
      </c>
      <c r="B703" t="s">
        <v>509</v>
      </c>
      <c r="C703" t="s">
        <v>562</v>
      </c>
      <c r="D703" t="s">
        <v>563</v>
      </c>
      <c r="E703">
        <v>20171</v>
      </c>
      <c r="F703" t="s">
        <v>467</v>
      </c>
      <c r="G703" t="s">
        <v>18</v>
      </c>
      <c r="H703">
        <v>3</v>
      </c>
      <c r="I703">
        <v>0</v>
      </c>
      <c r="J703">
        <v>20201</v>
      </c>
      <c r="K703">
        <f>COUNTIF('rEKAP kls MK'!$A$2:$A$35,Worksheet!C703)</f>
        <v>0</v>
      </c>
      <c r="L703" t="str">
        <f t="shared" si="40"/>
        <v>F1B117021</v>
      </c>
      <c r="M703" t="str">
        <f t="shared" si="41"/>
        <v>M. AL ZAIDIN</v>
      </c>
      <c r="O703" t="str">
        <f t="shared" si="42"/>
        <v/>
      </c>
      <c r="P703" t="str">
        <f t="shared" si="43"/>
        <v/>
      </c>
    </row>
    <row r="704" spans="1:16">
      <c r="A704" t="s">
        <v>510</v>
      </c>
      <c r="B704" t="s">
        <v>511</v>
      </c>
      <c r="C704" t="s">
        <v>562</v>
      </c>
      <c r="D704" t="s">
        <v>563</v>
      </c>
      <c r="E704">
        <v>20171</v>
      </c>
      <c r="F704" t="s">
        <v>467</v>
      </c>
      <c r="G704" t="s">
        <v>18</v>
      </c>
      <c r="H704">
        <v>3</v>
      </c>
      <c r="I704">
        <v>0</v>
      </c>
      <c r="J704">
        <v>20201</v>
      </c>
      <c r="K704">
        <f>COUNTIF('rEKAP kls MK'!$A$2:$A$35,Worksheet!C704)</f>
        <v>0</v>
      </c>
      <c r="L704" t="str">
        <f t="shared" si="40"/>
        <v>F1B117022</v>
      </c>
      <c r="M704" t="str">
        <f t="shared" si="41"/>
        <v>M. FAUZUL AKBAR</v>
      </c>
      <c r="O704" t="str">
        <f t="shared" si="42"/>
        <v/>
      </c>
      <c r="P704" t="str">
        <f t="shared" si="43"/>
        <v/>
      </c>
    </row>
    <row r="705" spans="1:16">
      <c r="A705" t="s">
        <v>512</v>
      </c>
      <c r="B705" t="s">
        <v>513</v>
      </c>
      <c r="C705" t="s">
        <v>562</v>
      </c>
      <c r="D705" t="s">
        <v>563</v>
      </c>
      <c r="E705">
        <v>20171</v>
      </c>
      <c r="F705" t="s">
        <v>467</v>
      </c>
      <c r="G705" t="s">
        <v>18</v>
      </c>
      <c r="H705">
        <v>3</v>
      </c>
      <c r="I705">
        <v>0</v>
      </c>
      <c r="J705">
        <v>20201</v>
      </c>
      <c r="K705">
        <f>COUNTIF('rEKAP kls MK'!$A$2:$A$35,Worksheet!C705)</f>
        <v>0</v>
      </c>
      <c r="L705" t="str">
        <f t="shared" si="40"/>
        <v>F1B117023</v>
      </c>
      <c r="M705" t="str">
        <f t="shared" si="41"/>
        <v>M.FAISAL</v>
      </c>
      <c r="O705" t="str">
        <f t="shared" si="42"/>
        <v/>
      </c>
      <c r="P705" t="str">
        <f t="shared" si="43"/>
        <v/>
      </c>
    </row>
    <row r="706" spans="1:16">
      <c r="A706" t="s">
        <v>514</v>
      </c>
      <c r="B706" t="s">
        <v>515</v>
      </c>
      <c r="C706" t="s">
        <v>562</v>
      </c>
      <c r="D706" t="s">
        <v>563</v>
      </c>
      <c r="E706">
        <v>20171</v>
      </c>
      <c r="F706" t="s">
        <v>467</v>
      </c>
      <c r="G706" t="s">
        <v>18</v>
      </c>
      <c r="H706">
        <v>3</v>
      </c>
      <c r="I706">
        <v>0</v>
      </c>
      <c r="J706">
        <v>20201</v>
      </c>
      <c r="K706">
        <f>COUNTIF('rEKAP kls MK'!$A$2:$A$35,Worksheet!C706)</f>
        <v>0</v>
      </c>
      <c r="L706" t="str">
        <f t="shared" si="40"/>
        <v>F1B117024</v>
      </c>
      <c r="M706" t="str">
        <f t="shared" si="41"/>
        <v>MUH. RISKI RAMADHAN</v>
      </c>
      <c r="O706" t="str">
        <f t="shared" si="42"/>
        <v/>
      </c>
      <c r="P706" t="str">
        <f t="shared" si="43"/>
        <v/>
      </c>
    </row>
    <row r="707" spans="1:16">
      <c r="A707" t="s">
        <v>516</v>
      </c>
      <c r="B707" t="s">
        <v>517</v>
      </c>
      <c r="C707" t="s">
        <v>562</v>
      </c>
      <c r="D707" t="s">
        <v>563</v>
      </c>
      <c r="E707">
        <v>20171</v>
      </c>
      <c r="F707" t="s">
        <v>467</v>
      </c>
      <c r="G707" t="s">
        <v>18</v>
      </c>
      <c r="H707">
        <v>3</v>
      </c>
      <c r="I707">
        <v>0</v>
      </c>
      <c r="J707">
        <v>20201</v>
      </c>
      <c r="K707">
        <f>COUNTIF('rEKAP kls MK'!$A$2:$A$35,Worksheet!C707)</f>
        <v>0</v>
      </c>
      <c r="L707" t="str">
        <f t="shared" ref="L707:L770" si="44">IF(A706&lt;&gt;A707,A707,"")</f>
        <v>F1B117025</v>
      </c>
      <c r="M707" t="str">
        <f t="shared" ref="M707:M770" si="45">IF(B706&lt;&gt;B707,B707,"")</f>
        <v>MUH. SALDA WINTARA</v>
      </c>
      <c r="O707" t="str">
        <f t="shared" ref="O707:O770" si="46">IF(D706&lt;&gt;D707,D707,"")</f>
        <v/>
      </c>
      <c r="P707" t="str">
        <f t="shared" ref="P707:P770" si="47">IF(F706&lt;&gt;F707,F707,"")</f>
        <v/>
      </c>
    </row>
    <row r="708" spans="1:16">
      <c r="A708" t="s">
        <v>518</v>
      </c>
      <c r="B708" t="s">
        <v>519</v>
      </c>
      <c r="C708" t="s">
        <v>562</v>
      </c>
      <c r="D708" t="s">
        <v>563</v>
      </c>
      <c r="E708">
        <v>20171</v>
      </c>
      <c r="F708" t="s">
        <v>467</v>
      </c>
      <c r="G708" t="s">
        <v>18</v>
      </c>
      <c r="H708">
        <v>3</v>
      </c>
      <c r="I708">
        <v>0</v>
      </c>
      <c r="J708">
        <v>20201</v>
      </c>
      <c r="K708">
        <f>COUNTIF('rEKAP kls MK'!$A$2:$A$35,Worksheet!C708)</f>
        <v>0</v>
      </c>
      <c r="L708" t="str">
        <f t="shared" si="44"/>
        <v>F1B117026</v>
      </c>
      <c r="M708" t="str">
        <f t="shared" si="45"/>
        <v>MUHAMMAD KHAIRUL HADI SYURAHMAN</v>
      </c>
      <c r="O708" t="str">
        <f t="shared" si="46"/>
        <v/>
      </c>
      <c r="P708" t="str">
        <f t="shared" si="47"/>
        <v/>
      </c>
    </row>
    <row r="709" spans="1:16">
      <c r="A709" t="s">
        <v>520</v>
      </c>
      <c r="B709" t="s">
        <v>521</v>
      </c>
      <c r="C709" t="s">
        <v>562</v>
      </c>
      <c r="D709" t="s">
        <v>563</v>
      </c>
      <c r="E709">
        <v>20171</v>
      </c>
      <c r="F709" t="s">
        <v>467</v>
      </c>
      <c r="G709" t="s">
        <v>18</v>
      </c>
      <c r="H709">
        <v>3</v>
      </c>
      <c r="I709">
        <v>0</v>
      </c>
      <c r="J709">
        <v>20201</v>
      </c>
      <c r="K709">
        <f>COUNTIF('rEKAP kls MK'!$A$2:$A$35,Worksheet!C709)</f>
        <v>0</v>
      </c>
      <c r="L709" t="str">
        <f t="shared" si="44"/>
        <v>F1B117027</v>
      </c>
      <c r="M709" t="str">
        <f t="shared" si="45"/>
        <v>MUHAMMAD MUKALLIBIN</v>
      </c>
      <c r="O709" t="str">
        <f t="shared" si="46"/>
        <v/>
      </c>
      <c r="P709" t="str">
        <f t="shared" si="47"/>
        <v/>
      </c>
    </row>
    <row r="710" spans="1:16">
      <c r="A710" t="s">
        <v>522</v>
      </c>
      <c r="B710" t="s">
        <v>523</v>
      </c>
      <c r="C710" t="s">
        <v>562</v>
      </c>
      <c r="D710" t="s">
        <v>563</v>
      </c>
      <c r="E710">
        <v>20171</v>
      </c>
      <c r="F710" t="s">
        <v>467</v>
      </c>
      <c r="G710" t="s">
        <v>18</v>
      </c>
      <c r="H710">
        <v>3</v>
      </c>
      <c r="I710">
        <v>0</v>
      </c>
      <c r="J710">
        <v>20201</v>
      </c>
      <c r="K710">
        <f>COUNTIF('rEKAP kls MK'!$A$2:$A$35,Worksheet!C710)</f>
        <v>0</v>
      </c>
      <c r="L710" t="str">
        <f t="shared" si="44"/>
        <v>F1B117028</v>
      </c>
      <c r="M710" t="str">
        <f t="shared" si="45"/>
        <v>MUHAMMAD NABIL</v>
      </c>
      <c r="O710" t="str">
        <f t="shared" si="46"/>
        <v/>
      </c>
      <c r="P710" t="str">
        <f t="shared" si="47"/>
        <v/>
      </c>
    </row>
    <row r="711" spans="1:16">
      <c r="A711" t="s">
        <v>524</v>
      </c>
      <c r="B711" t="s">
        <v>525</v>
      </c>
      <c r="C711" t="s">
        <v>562</v>
      </c>
      <c r="D711" t="s">
        <v>563</v>
      </c>
      <c r="E711">
        <v>20171</v>
      </c>
      <c r="F711" t="s">
        <v>467</v>
      </c>
      <c r="G711" t="s">
        <v>18</v>
      </c>
      <c r="H711">
        <v>3</v>
      </c>
      <c r="I711">
        <v>0</v>
      </c>
      <c r="J711">
        <v>20201</v>
      </c>
      <c r="K711">
        <f>COUNTIF('rEKAP kls MK'!$A$2:$A$35,Worksheet!C711)</f>
        <v>0</v>
      </c>
      <c r="L711" t="str">
        <f t="shared" si="44"/>
        <v>F1B117029</v>
      </c>
      <c r="M711" t="str">
        <f t="shared" si="45"/>
        <v>MUHAMMAD THORIQ DWI SETYAWAN</v>
      </c>
      <c r="O711" t="str">
        <f t="shared" si="46"/>
        <v/>
      </c>
      <c r="P711" t="str">
        <f t="shared" si="47"/>
        <v/>
      </c>
    </row>
    <row r="712" spans="1:16">
      <c r="A712" t="s">
        <v>526</v>
      </c>
      <c r="B712" t="s">
        <v>527</v>
      </c>
      <c r="C712" t="s">
        <v>562</v>
      </c>
      <c r="D712" t="s">
        <v>563</v>
      </c>
      <c r="E712">
        <v>20171</v>
      </c>
      <c r="F712" t="s">
        <v>467</v>
      </c>
      <c r="G712" t="s">
        <v>18</v>
      </c>
      <c r="H712">
        <v>3</v>
      </c>
      <c r="I712">
        <v>0</v>
      </c>
      <c r="J712">
        <v>20201</v>
      </c>
      <c r="K712">
        <f>COUNTIF('rEKAP kls MK'!$A$2:$A$35,Worksheet!C712)</f>
        <v>0</v>
      </c>
      <c r="L712" t="str">
        <f t="shared" si="44"/>
        <v>F1B117030</v>
      </c>
      <c r="M712" t="str">
        <f t="shared" si="45"/>
        <v>NURAFRINA</v>
      </c>
      <c r="O712" t="str">
        <f t="shared" si="46"/>
        <v/>
      </c>
      <c r="P712" t="str">
        <f t="shared" si="47"/>
        <v/>
      </c>
    </row>
    <row r="713" spans="1:16">
      <c r="A713" t="s">
        <v>528</v>
      </c>
      <c r="B713" t="s">
        <v>529</v>
      </c>
      <c r="C713" t="s">
        <v>562</v>
      </c>
      <c r="D713" t="s">
        <v>563</v>
      </c>
      <c r="E713">
        <v>20171</v>
      </c>
      <c r="F713" t="s">
        <v>467</v>
      </c>
      <c r="G713" t="s">
        <v>18</v>
      </c>
      <c r="H713">
        <v>3</v>
      </c>
      <c r="I713">
        <v>0</v>
      </c>
      <c r="J713">
        <v>20201</v>
      </c>
      <c r="K713">
        <f>COUNTIF('rEKAP kls MK'!$A$2:$A$35,Worksheet!C713)</f>
        <v>0</v>
      </c>
      <c r="L713" t="str">
        <f t="shared" si="44"/>
        <v>F1B117031</v>
      </c>
      <c r="M713" t="str">
        <f t="shared" si="45"/>
        <v>RAHMAT ADITYA PRADANA</v>
      </c>
      <c r="O713" t="str">
        <f t="shared" si="46"/>
        <v/>
      </c>
      <c r="P713" t="str">
        <f t="shared" si="47"/>
        <v/>
      </c>
    </row>
    <row r="714" spans="1:16">
      <c r="A714" t="s">
        <v>530</v>
      </c>
      <c r="B714" t="s">
        <v>531</v>
      </c>
      <c r="C714" t="s">
        <v>562</v>
      </c>
      <c r="D714" t="s">
        <v>563</v>
      </c>
      <c r="E714">
        <v>20171</v>
      </c>
      <c r="F714" t="s">
        <v>467</v>
      </c>
      <c r="G714" t="s">
        <v>18</v>
      </c>
      <c r="H714">
        <v>3</v>
      </c>
      <c r="I714">
        <v>0</v>
      </c>
      <c r="J714">
        <v>20201</v>
      </c>
      <c r="K714">
        <f>COUNTIF('rEKAP kls MK'!$A$2:$A$35,Worksheet!C714)</f>
        <v>0</v>
      </c>
      <c r="L714" t="str">
        <f t="shared" si="44"/>
        <v>F1B117032</v>
      </c>
      <c r="M714" t="str">
        <f t="shared" si="45"/>
        <v>RAMZY TAUFIQ HANIF</v>
      </c>
      <c r="O714" t="str">
        <f t="shared" si="46"/>
        <v/>
      </c>
      <c r="P714" t="str">
        <f t="shared" si="47"/>
        <v/>
      </c>
    </row>
    <row r="715" spans="1:16">
      <c r="A715" t="s">
        <v>532</v>
      </c>
      <c r="B715" t="s">
        <v>533</v>
      </c>
      <c r="C715" t="s">
        <v>562</v>
      </c>
      <c r="D715" t="s">
        <v>563</v>
      </c>
      <c r="E715">
        <v>20171</v>
      </c>
      <c r="F715" t="s">
        <v>467</v>
      </c>
      <c r="G715" t="s">
        <v>18</v>
      </c>
      <c r="H715">
        <v>3</v>
      </c>
      <c r="I715">
        <v>0</v>
      </c>
      <c r="J715">
        <v>20201</v>
      </c>
      <c r="K715">
        <f>COUNTIF('rEKAP kls MK'!$A$2:$A$35,Worksheet!C715)</f>
        <v>0</v>
      </c>
      <c r="L715" t="str">
        <f t="shared" si="44"/>
        <v>F1B117033</v>
      </c>
      <c r="M715" t="str">
        <f t="shared" si="45"/>
        <v>RIAN HENDRAWAN</v>
      </c>
      <c r="O715" t="str">
        <f t="shared" si="46"/>
        <v/>
      </c>
      <c r="P715" t="str">
        <f t="shared" si="47"/>
        <v/>
      </c>
    </row>
    <row r="716" spans="1:16">
      <c r="A716" t="s">
        <v>534</v>
      </c>
      <c r="B716" t="s">
        <v>535</v>
      </c>
      <c r="C716" t="s">
        <v>562</v>
      </c>
      <c r="D716" t="s">
        <v>563</v>
      </c>
      <c r="E716">
        <v>20171</v>
      </c>
      <c r="F716" t="s">
        <v>467</v>
      </c>
      <c r="G716" t="s">
        <v>18</v>
      </c>
      <c r="H716">
        <v>3</v>
      </c>
      <c r="I716">
        <v>0</v>
      </c>
      <c r="J716">
        <v>20201</v>
      </c>
      <c r="K716">
        <f>COUNTIF('rEKAP kls MK'!$A$2:$A$35,Worksheet!C716)</f>
        <v>0</v>
      </c>
      <c r="L716" t="str">
        <f t="shared" si="44"/>
        <v>F1B117034</v>
      </c>
      <c r="M716" t="str">
        <f t="shared" si="45"/>
        <v>RISKI KHARISMA PUTRA</v>
      </c>
      <c r="O716" t="str">
        <f t="shared" si="46"/>
        <v/>
      </c>
      <c r="P716" t="str">
        <f t="shared" si="47"/>
        <v/>
      </c>
    </row>
    <row r="717" spans="1:16">
      <c r="A717" t="s">
        <v>536</v>
      </c>
      <c r="B717" t="s">
        <v>537</v>
      </c>
      <c r="C717" t="s">
        <v>562</v>
      </c>
      <c r="D717" t="s">
        <v>563</v>
      </c>
      <c r="E717">
        <v>20171</v>
      </c>
      <c r="F717" t="s">
        <v>467</v>
      </c>
      <c r="G717" t="s">
        <v>18</v>
      </c>
      <c r="H717">
        <v>3</v>
      </c>
      <c r="I717">
        <v>0</v>
      </c>
      <c r="J717">
        <v>20201</v>
      </c>
      <c r="K717">
        <f>COUNTIF('rEKAP kls MK'!$A$2:$A$35,Worksheet!C717)</f>
        <v>0</v>
      </c>
      <c r="L717" t="str">
        <f t="shared" si="44"/>
        <v>F1B117035</v>
      </c>
      <c r="M717" t="str">
        <f t="shared" si="45"/>
        <v>RIZALUL HAQ</v>
      </c>
      <c r="O717" t="str">
        <f t="shared" si="46"/>
        <v/>
      </c>
      <c r="P717" t="str">
        <f t="shared" si="47"/>
        <v/>
      </c>
    </row>
    <row r="718" spans="1:16">
      <c r="A718" t="s">
        <v>538</v>
      </c>
      <c r="B718" t="s">
        <v>539</v>
      </c>
      <c r="C718" t="s">
        <v>562</v>
      </c>
      <c r="D718" t="s">
        <v>563</v>
      </c>
      <c r="E718">
        <v>20171</v>
      </c>
      <c r="F718" t="s">
        <v>467</v>
      </c>
      <c r="G718" t="s">
        <v>18</v>
      </c>
      <c r="H718">
        <v>3</v>
      </c>
      <c r="I718">
        <v>0</v>
      </c>
      <c r="J718">
        <v>20201</v>
      </c>
      <c r="K718">
        <f>COUNTIF('rEKAP kls MK'!$A$2:$A$35,Worksheet!C718)</f>
        <v>0</v>
      </c>
      <c r="L718" t="str">
        <f t="shared" si="44"/>
        <v>F1B117036</v>
      </c>
      <c r="M718" t="str">
        <f t="shared" si="45"/>
        <v>RIZKA MARDANI</v>
      </c>
      <c r="O718" t="str">
        <f t="shared" si="46"/>
        <v/>
      </c>
      <c r="P718" t="str">
        <f t="shared" si="47"/>
        <v/>
      </c>
    </row>
    <row r="719" spans="1:16">
      <c r="A719" t="s">
        <v>540</v>
      </c>
      <c r="B719" t="s">
        <v>541</v>
      </c>
      <c r="C719" t="s">
        <v>562</v>
      </c>
      <c r="D719" t="s">
        <v>563</v>
      </c>
      <c r="E719">
        <v>20171</v>
      </c>
      <c r="F719" t="s">
        <v>467</v>
      </c>
      <c r="G719" t="s">
        <v>18</v>
      </c>
      <c r="H719">
        <v>3</v>
      </c>
      <c r="I719">
        <v>0</v>
      </c>
      <c r="J719">
        <v>20201</v>
      </c>
      <c r="K719">
        <f>COUNTIF('rEKAP kls MK'!$A$2:$A$35,Worksheet!C719)</f>
        <v>0</v>
      </c>
      <c r="L719" t="str">
        <f t="shared" si="44"/>
        <v>F1B117037</v>
      </c>
      <c r="M719" t="str">
        <f t="shared" si="45"/>
        <v>TEJAMAN MULKI</v>
      </c>
      <c r="O719" t="str">
        <f t="shared" si="46"/>
        <v/>
      </c>
      <c r="P719" t="str">
        <f t="shared" si="47"/>
        <v/>
      </c>
    </row>
    <row r="720" spans="1:16">
      <c r="A720" t="s">
        <v>542</v>
      </c>
      <c r="B720" t="s">
        <v>543</v>
      </c>
      <c r="C720" t="s">
        <v>562</v>
      </c>
      <c r="D720" t="s">
        <v>563</v>
      </c>
      <c r="E720">
        <v>20171</v>
      </c>
      <c r="F720" t="s">
        <v>467</v>
      </c>
      <c r="G720" t="s">
        <v>18</v>
      </c>
      <c r="H720">
        <v>3</v>
      </c>
      <c r="I720">
        <v>0</v>
      </c>
      <c r="J720">
        <v>20201</v>
      </c>
      <c r="K720">
        <f>COUNTIF('rEKAP kls MK'!$A$2:$A$35,Worksheet!C720)</f>
        <v>0</v>
      </c>
      <c r="L720" t="str">
        <f t="shared" si="44"/>
        <v>F1B117038</v>
      </c>
      <c r="M720" t="str">
        <f t="shared" si="45"/>
        <v>VENI ASTUTI</v>
      </c>
      <c r="O720" t="str">
        <f t="shared" si="46"/>
        <v/>
      </c>
      <c r="P720" t="str">
        <f t="shared" si="47"/>
        <v/>
      </c>
    </row>
    <row r="721" spans="1:16">
      <c r="A721" t="s">
        <v>544</v>
      </c>
      <c r="B721" t="s">
        <v>545</v>
      </c>
      <c r="C721" t="s">
        <v>562</v>
      </c>
      <c r="D721" t="s">
        <v>563</v>
      </c>
      <c r="E721">
        <v>20171</v>
      </c>
      <c r="F721" t="s">
        <v>467</v>
      </c>
      <c r="G721" t="s">
        <v>18</v>
      </c>
      <c r="H721">
        <v>3</v>
      </c>
      <c r="I721">
        <v>0</v>
      </c>
      <c r="J721">
        <v>20201</v>
      </c>
      <c r="K721">
        <f>COUNTIF('rEKAP kls MK'!$A$2:$A$35,Worksheet!C721)</f>
        <v>0</v>
      </c>
      <c r="L721" t="str">
        <f t="shared" si="44"/>
        <v>F1B117039</v>
      </c>
      <c r="M721" t="str">
        <f t="shared" si="45"/>
        <v>WAHYU SIOPANO</v>
      </c>
      <c r="O721" t="str">
        <f t="shared" si="46"/>
        <v/>
      </c>
      <c r="P721" t="str">
        <f t="shared" si="47"/>
        <v/>
      </c>
    </row>
    <row r="722" spans="1:16">
      <c r="A722" t="s">
        <v>546</v>
      </c>
      <c r="B722" t="s">
        <v>547</v>
      </c>
      <c r="C722" t="s">
        <v>562</v>
      </c>
      <c r="D722" t="s">
        <v>563</v>
      </c>
      <c r="E722">
        <v>20171</v>
      </c>
      <c r="F722" t="s">
        <v>467</v>
      </c>
      <c r="G722" t="s">
        <v>18</v>
      </c>
      <c r="H722">
        <v>3</v>
      </c>
      <c r="I722">
        <v>0</v>
      </c>
      <c r="J722">
        <v>20201</v>
      </c>
      <c r="K722">
        <f>COUNTIF('rEKAP kls MK'!$A$2:$A$35,Worksheet!C722)</f>
        <v>0</v>
      </c>
      <c r="L722" t="str">
        <f t="shared" si="44"/>
        <v>F1B117040</v>
      </c>
      <c r="M722" t="str">
        <f t="shared" si="45"/>
        <v>WILLY HISBULLOH FAUZY FIRDAUS</v>
      </c>
      <c r="O722" t="str">
        <f t="shared" si="46"/>
        <v/>
      </c>
      <c r="P722" t="str">
        <f t="shared" si="47"/>
        <v/>
      </c>
    </row>
    <row r="723" spans="1:16">
      <c r="A723" t="s">
        <v>548</v>
      </c>
      <c r="B723" t="s">
        <v>549</v>
      </c>
      <c r="C723" t="s">
        <v>562</v>
      </c>
      <c r="D723" t="s">
        <v>563</v>
      </c>
      <c r="E723">
        <v>20171</v>
      </c>
      <c r="F723" t="s">
        <v>467</v>
      </c>
      <c r="G723" t="s">
        <v>18</v>
      </c>
      <c r="H723">
        <v>3</v>
      </c>
      <c r="I723">
        <v>0</v>
      </c>
      <c r="J723">
        <v>20201</v>
      </c>
      <c r="K723">
        <f>COUNTIF('rEKAP kls MK'!$A$2:$A$35,Worksheet!C723)</f>
        <v>0</v>
      </c>
      <c r="L723" t="str">
        <f t="shared" si="44"/>
        <v>F1B117041</v>
      </c>
      <c r="M723" t="str">
        <f t="shared" si="45"/>
        <v>WILLY PRADIYANTO</v>
      </c>
      <c r="O723" t="str">
        <f t="shared" si="46"/>
        <v/>
      </c>
      <c r="P723" t="str">
        <f t="shared" si="47"/>
        <v/>
      </c>
    </row>
    <row r="724" spans="1:16">
      <c r="A724" t="s">
        <v>110</v>
      </c>
      <c r="B724" t="s">
        <v>111</v>
      </c>
      <c r="C724" t="s">
        <v>425</v>
      </c>
      <c r="D724" t="s">
        <v>426</v>
      </c>
      <c r="E724">
        <v>20171</v>
      </c>
      <c r="F724" t="s">
        <v>575</v>
      </c>
      <c r="G724" t="s">
        <v>101</v>
      </c>
      <c r="H724">
        <v>0</v>
      </c>
      <c r="I724">
        <v>0</v>
      </c>
      <c r="J724">
        <v>20201</v>
      </c>
      <c r="K724">
        <f>COUNTIF('rEKAP kls MK'!$A$2:$A$35,Worksheet!C724)</f>
        <v>0</v>
      </c>
      <c r="L724" t="str">
        <f t="shared" si="44"/>
        <v>F1B112011</v>
      </c>
      <c r="M724" t="str">
        <f t="shared" si="45"/>
        <v>Cokorda Indra Darma Putra</v>
      </c>
      <c r="O724" t="str">
        <f t="shared" si="46"/>
        <v>PENGOLAHAN CITRA DIGITAL</v>
      </c>
      <c r="P724" t="str">
        <f t="shared" si="47"/>
        <v>P</v>
      </c>
    </row>
    <row r="725" spans="1:16">
      <c r="A725" t="s">
        <v>167</v>
      </c>
      <c r="B725" t="s">
        <v>168</v>
      </c>
      <c r="C725" t="s">
        <v>169</v>
      </c>
      <c r="D725" t="s">
        <v>170</v>
      </c>
      <c r="E725">
        <v>20171</v>
      </c>
      <c r="F725" t="s">
        <v>14</v>
      </c>
      <c r="G725" t="s">
        <v>101</v>
      </c>
      <c r="H725">
        <v>0</v>
      </c>
      <c r="I725">
        <v>0</v>
      </c>
      <c r="J725">
        <v>20201</v>
      </c>
      <c r="K725">
        <f>COUNTIF('rEKAP kls MK'!$A$2:$A$35,Worksheet!C725)</f>
        <v>2</v>
      </c>
      <c r="L725" t="str">
        <f t="shared" si="44"/>
        <v>F1B111045</v>
      </c>
      <c r="M725" t="str">
        <f t="shared" si="45"/>
        <v>M. Nurrahman</v>
      </c>
      <c r="O725" t="str">
        <f t="shared" si="46"/>
        <v>PENGUKURAN BESARAN LISTRIK</v>
      </c>
      <c r="P725" t="str">
        <f t="shared" si="47"/>
        <v>S</v>
      </c>
    </row>
    <row r="726" spans="1:16">
      <c r="A726" t="s">
        <v>171</v>
      </c>
      <c r="B726" t="s">
        <v>172</v>
      </c>
      <c r="C726" t="s">
        <v>169</v>
      </c>
      <c r="D726" t="s">
        <v>170</v>
      </c>
      <c r="E726">
        <v>20171</v>
      </c>
      <c r="F726" t="s">
        <v>14</v>
      </c>
      <c r="G726" t="s">
        <v>101</v>
      </c>
      <c r="H726">
        <v>0</v>
      </c>
      <c r="I726">
        <v>0</v>
      </c>
      <c r="J726">
        <v>20201</v>
      </c>
      <c r="K726">
        <f>COUNTIF('rEKAP kls MK'!$A$2:$A$35,Worksheet!C726)</f>
        <v>2</v>
      </c>
      <c r="L726" t="str">
        <f t="shared" si="44"/>
        <v>F1B111047</v>
      </c>
      <c r="M726" t="str">
        <f t="shared" si="45"/>
        <v>M. Sofyan Hakim</v>
      </c>
      <c r="O726" t="str">
        <f t="shared" si="46"/>
        <v/>
      </c>
      <c r="P726" t="str">
        <f t="shared" si="47"/>
        <v/>
      </c>
    </row>
    <row r="727" spans="1:16">
      <c r="A727" t="s">
        <v>112</v>
      </c>
      <c r="B727" t="s">
        <v>113</v>
      </c>
      <c r="C727" t="s">
        <v>169</v>
      </c>
      <c r="D727" t="s">
        <v>170</v>
      </c>
      <c r="E727">
        <v>20171</v>
      </c>
      <c r="F727" t="s">
        <v>14</v>
      </c>
      <c r="G727" t="s">
        <v>26</v>
      </c>
      <c r="H727">
        <v>2</v>
      </c>
      <c r="I727">
        <v>0</v>
      </c>
      <c r="J727">
        <v>20201</v>
      </c>
      <c r="K727">
        <f>COUNTIF('rEKAP kls MK'!$A$2:$A$35,Worksheet!C727)</f>
        <v>2</v>
      </c>
      <c r="L727" t="str">
        <f t="shared" si="44"/>
        <v>F1B112026</v>
      </c>
      <c r="M727" t="str">
        <f t="shared" si="45"/>
        <v>Hartono Fiyono</v>
      </c>
      <c r="O727" t="str">
        <f t="shared" si="46"/>
        <v/>
      </c>
      <c r="P727" t="str">
        <f t="shared" si="47"/>
        <v/>
      </c>
    </row>
    <row r="728" spans="1:16">
      <c r="A728" t="s">
        <v>136</v>
      </c>
      <c r="B728" t="s">
        <v>137</v>
      </c>
      <c r="C728" t="s">
        <v>169</v>
      </c>
      <c r="D728" t="s">
        <v>170</v>
      </c>
      <c r="E728">
        <v>20171</v>
      </c>
      <c r="F728" t="s">
        <v>14</v>
      </c>
      <c r="G728" t="s">
        <v>26</v>
      </c>
      <c r="H728">
        <v>2</v>
      </c>
      <c r="I728">
        <v>0</v>
      </c>
      <c r="J728">
        <v>20201</v>
      </c>
      <c r="K728">
        <f>COUNTIF('rEKAP kls MK'!$A$2:$A$35,Worksheet!C728)</f>
        <v>2</v>
      </c>
      <c r="L728" t="str">
        <f t="shared" si="44"/>
        <v>F1B113030</v>
      </c>
      <c r="M728" t="str">
        <f t="shared" si="45"/>
        <v>RIZAL ADI SAPUTRA</v>
      </c>
      <c r="O728" t="str">
        <f t="shared" si="46"/>
        <v/>
      </c>
      <c r="P728" t="str">
        <f t="shared" si="47"/>
        <v/>
      </c>
    </row>
    <row r="729" spans="1:16">
      <c r="A729" t="s">
        <v>173</v>
      </c>
      <c r="B729" t="s">
        <v>174</v>
      </c>
      <c r="C729" t="s">
        <v>169</v>
      </c>
      <c r="D729" t="s">
        <v>170</v>
      </c>
      <c r="E729">
        <v>20171</v>
      </c>
      <c r="F729" t="s">
        <v>14</v>
      </c>
      <c r="G729" t="s">
        <v>18</v>
      </c>
      <c r="H729">
        <v>3</v>
      </c>
      <c r="I729">
        <v>0</v>
      </c>
      <c r="J729">
        <v>20201</v>
      </c>
      <c r="K729">
        <f>COUNTIF('rEKAP kls MK'!$A$2:$A$35,Worksheet!C729)</f>
        <v>2</v>
      </c>
      <c r="L729" t="str">
        <f t="shared" si="44"/>
        <v>F1B113037</v>
      </c>
      <c r="M729" t="str">
        <f t="shared" si="45"/>
        <v>ULUL AZMI</v>
      </c>
      <c r="O729" t="str">
        <f t="shared" si="46"/>
        <v/>
      </c>
      <c r="P729" t="str">
        <f t="shared" si="47"/>
        <v/>
      </c>
    </row>
    <row r="730" spans="1:16">
      <c r="A730" t="s">
        <v>175</v>
      </c>
      <c r="B730" t="s">
        <v>176</v>
      </c>
      <c r="C730" t="s">
        <v>169</v>
      </c>
      <c r="D730" t="s">
        <v>170</v>
      </c>
      <c r="E730">
        <v>20171</v>
      </c>
      <c r="F730" t="s">
        <v>14</v>
      </c>
      <c r="G730" t="s">
        <v>26</v>
      </c>
      <c r="H730">
        <v>2</v>
      </c>
      <c r="I730">
        <v>0</v>
      </c>
      <c r="J730">
        <v>20201</v>
      </c>
      <c r="K730">
        <f>COUNTIF('rEKAP kls MK'!$A$2:$A$35,Worksheet!C730)</f>
        <v>2</v>
      </c>
      <c r="L730" t="str">
        <f t="shared" si="44"/>
        <v>F1B114009</v>
      </c>
      <c r="M730" t="str">
        <f t="shared" si="45"/>
        <v>DANA SELVIA HADISWARA</v>
      </c>
      <c r="O730" t="str">
        <f t="shared" si="46"/>
        <v/>
      </c>
      <c r="P730" t="str">
        <f t="shared" si="47"/>
        <v/>
      </c>
    </row>
    <row r="731" spans="1:16">
      <c r="A731" t="s">
        <v>165</v>
      </c>
      <c r="B731" t="s">
        <v>166</v>
      </c>
      <c r="C731" t="s">
        <v>169</v>
      </c>
      <c r="D731" t="s">
        <v>170</v>
      </c>
      <c r="E731">
        <v>20171</v>
      </c>
      <c r="F731" t="s">
        <v>14</v>
      </c>
      <c r="G731" t="s">
        <v>26</v>
      </c>
      <c r="H731">
        <v>2</v>
      </c>
      <c r="I731">
        <v>0</v>
      </c>
      <c r="J731">
        <v>20201</v>
      </c>
      <c r="K731">
        <f>COUNTIF('rEKAP kls MK'!$A$2:$A$35,Worksheet!C731)</f>
        <v>2</v>
      </c>
      <c r="L731" t="str">
        <f t="shared" si="44"/>
        <v>F1B114022</v>
      </c>
      <c r="M731" t="str">
        <f t="shared" si="45"/>
        <v>JUWITA ASRI</v>
      </c>
      <c r="O731" t="str">
        <f t="shared" si="46"/>
        <v/>
      </c>
      <c r="P731" t="str">
        <f t="shared" si="47"/>
        <v/>
      </c>
    </row>
    <row r="732" spans="1:16">
      <c r="A732" t="s">
        <v>56</v>
      </c>
      <c r="B732" t="s">
        <v>57</v>
      </c>
      <c r="C732" t="s">
        <v>169</v>
      </c>
      <c r="D732" t="s">
        <v>170</v>
      </c>
      <c r="E732">
        <v>20171</v>
      </c>
      <c r="F732" t="s">
        <v>14</v>
      </c>
      <c r="G732" t="s">
        <v>26</v>
      </c>
      <c r="H732">
        <v>2</v>
      </c>
      <c r="I732">
        <v>0</v>
      </c>
      <c r="J732">
        <v>20201</v>
      </c>
      <c r="K732">
        <f>COUNTIF('rEKAP kls MK'!$A$2:$A$35,Worksheet!C732)</f>
        <v>2</v>
      </c>
      <c r="L732" t="str">
        <f t="shared" si="44"/>
        <v>F1B116001</v>
      </c>
      <c r="M732" t="str">
        <f t="shared" si="45"/>
        <v>AHMAD MUHAJIR</v>
      </c>
      <c r="O732" t="str">
        <f t="shared" si="46"/>
        <v/>
      </c>
      <c r="P732" t="str">
        <f t="shared" si="47"/>
        <v/>
      </c>
    </row>
    <row r="733" spans="1:16">
      <c r="A733" t="s">
        <v>58</v>
      </c>
      <c r="B733" t="s">
        <v>59</v>
      </c>
      <c r="C733" t="s">
        <v>169</v>
      </c>
      <c r="D733" t="s">
        <v>170</v>
      </c>
      <c r="E733">
        <v>20171</v>
      </c>
      <c r="F733" t="s">
        <v>14</v>
      </c>
      <c r="G733" t="s">
        <v>116</v>
      </c>
      <c r="H733">
        <v>1.5</v>
      </c>
      <c r="I733">
        <v>0</v>
      </c>
      <c r="J733">
        <v>20201</v>
      </c>
      <c r="K733">
        <f>COUNTIF('rEKAP kls MK'!$A$2:$A$35,Worksheet!C733)</f>
        <v>2</v>
      </c>
      <c r="L733" t="str">
        <f t="shared" si="44"/>
        <v>F1B116003</v>
      </c>
      <c r="M733" t="str">
        <f t="shared" si="45"/>
        <v>DONI PRANATA</v>
      </c>
      <c r="O733" t="str">
        <f t="shared" si="46"/>
        <v/>
      </c>
      <c r="P733" t="str">
        <f t="shared" si="47"/>
        <v/>
      </c>
    </row>
    <row r="734" spans="1:16">
      <c r="A734" t="s">
        <v>60</v>
      </c>
      <c r="B734" t="s">
        <v>61</v>
      </c>
      <c r="C734" t="s">
        <v>169</v>
      </c>
      <c r="D734" t="s">
        <v>170</v>
      </c>
      <c r="E734">
        <v>20171</v>
      </c>
      <c r="F734" t="s">
        <v>14</v>
      </c>
      <c r="G734" t="s">
        <v>101</v>
      </c>
      <c r="H734">
        <v>0</v>
      </c>
      <c r="I734">
        <v>0</v>
      </c>
      <c r="J734">
        <v>20201</v>
      </c>
      <c r="K734">
        <f>COUNTIF('rEKAP kls MK'!$A$2:$A$35,Worksheet!C734)</f>
        <v>2</v>
      </c>
      <c r="L734" t="str">
        <f t="shared" si="44"/>
        <v>F1B116005</v>
      </c>
      <c r="M734" t="str">
        <f t="shared" si="45"/>
        <v>FENDY KURNIAWAN</v>
      </c>
      <c r="O734" t="str">
        <f t="shared" si="46"/>
        <v/>
      </c>
      <c r="P734" t="str">
        <f t="shared" si="47"/>
        <v/>
      </c>
    </row>
    <row r="735" spans="1:16">
      <c r="A735" t="s">
        <v>123</v>
      </c>
      <c r="B735" t="s">
        <v>124</v>
      </c>
      <c r="C735" t="s">
        <v>169</v>
      </c>
      <c r="D735" t="s">
        <v>170</v>
      </c>
      <c r="E735">
        <v>20171</v>
      </c>
      <c r="F735" t="s">
        <v>14</v>
      </c>
      <c r="G735" t="s">
        <v>26</v>
      </c>
      <c r="H735">
        <v>2</v>
      </c>
      <c r="I735">
        <v>0</v>
      </c>
      <c r="J735">
        <v>20201</v>
      </c>
      <c r="K735">
        <f>COUNTIF('rEKAP kls MK'!$A$2:$A$35,Worksheet!C735)</f>
        <v>2</v>
      </c>
      <c r="L735" t="str">
        <f t="shared" si="44"/>
        <v>F1B116007</v>
      </c>
      <c r="M735" t="str">
        <f t="shared" si="45"/>
        <v>HARIS MUNANDAR</v>
      </c>
      <c r="O735" t="str">
        <f t="shared" si="46"/>
        <v/>
      </c>
      <c r="P735" t="str">
        <f t="shared" si="47"/>
        <v/>
      </c>
    </row>
    <row r="736" spans="1:16">
      <c r="A736" t="s">
        <v>64</v>
      </c>
      <c r="B736" t="s">
        <v>65</v>
      </c>
      <c r="C736" t="s">
        <v>169</v>
      </c>
      <c r="D736" t="s">
        <v>170</v>
      </c>
      <c r="E736">
        <v>20171</v>
      </c>
      <c r="F736" t="s">
        <v>14</v>
      </c>
      <c r="G736" t="s">
        <v>116</v>
      </c>
      <c r="H736">
        <v>1.5</v>
      </c>
      <c r="I736">
        <v>0</v>
      </c>
      <c r="J736">
        <v>20201</v>
      </c>
      <c r="K736">
        <f>COUNTIF('rEKAP kls MK'!$A$2:$A$35,Worksheet!C736)</f>
        <v>2</v>
      </c>
      <c r="L736" t="str">
        <f t="shared" si="44"/>
        <v>F1B116008</v>
      </c>
      <c r="M736" t="str">
        <f t="shared" si="45"/>
        <v>Harjo Sumitro</v>
      </c>
      <c r="O736" t="str">
        <f t="shared" si="46"/>
        <v/>
      </c>
      <c r="P736" t="str">
        <f t="shared" si="47"/>
        <v/>
      </c>
    </row>
    <row r="737" spans="1:16">
      <c r="A737" t="s">
        <v>66</v>
      </c>
      <c r="B737" t="s">
        <v>67</v>
      </c>
      <c r="C737" t="s">
        <v>169</v>
      </c>
      <c r="D737" t="s">
        <v>170</v>
      </c>
      <c r="E737">
        <v>20171</v>
      </c>
      <c r="F737" t="s">
        <v>14</v>
      </c>
      <c r="G737" t="s">
        <v>23</v>
      </c>
      <c r="H737">
        <v>2.5</v>
      </c>
      <c r="I737">
        <v>0</v>
      </c>
      <c r="J737">
        <v>20201</v>
      </c>
      <c r="K737">
        <f>COUNTIF('rEKAP kls MK'!$A$2:$A$35,Worksheet!C737)</f>
        <v>2</v>
      </c>
      <c r="L737" t="str">
        <f t="shared" si="44"/>
        <v>F1B116009</v>
      </c>
      <c r="M737" t="str">
        <f t="shared" si="45"/>
        <v>HASAN BASRI</v>
      </c>
      <c r="O737" t="str">
        <f t="shared" si="46"/>
        <v/>
      </c>
      <c r="P737" t="str">
        <f t="shared" si="47"/>
        <v/>
      </c>
    </row>
    <row r="738" spans="1:16">
      <c r="A738" t="s">
        <v>68</v>
      </c>
      <c r="B738" t="s">
        <v>69</v>
      </c>
      <c r="C738" t="s">
        <v>169</v>
      </c>
      <c r="D738" t="s">
        <v>170</v>
      </c>
      <c r="E738">
        <v>20171</v>
      </c>
      <c r="F738" t="s">
        <v>14</v>
      </c>
      <c r="G738" t="s">
        <v>116</v>
      </c>
      <c r="H738">
        <v>1.5</v>
      </c>
      <c r="I738">
        <v>0</v>
      </c>
      <c r="J738">
        <v>20201</v>
      </c>
      <c r="K738">
        <f>COUNTIF('rEKAP kls MK'!$A$2:$A$35,Worksheet!C738)</f>
        <v>2</v>
      </c>
      <c r="L738" t="str">
        <f t="shared" si="44"/>
        <v>F1B116010</v>
      </c>
      <c r="M738" t="str">
        <f t="shared" si="45"/>
        <v>Ihsan Syaputro</v>
      </c>
      <c r="O738" t="str">
        <f t="shared" si="46"/>
        <v/>
      </c>
      <c r="P738" t="str">
        <f t="shared" si="47"/>
        <v/>
      </c>
    </row>
    <row r="739" spans="1:16">
      <c r="A739" t="s">
        <v>70</v>
      </c>
      <c r="B739" t="s">
        <v>71</v>
      </c>
      <c r="C739" t="s">
        <v>169</v>
      </c>
      <c r="D739" t="s">
        <v>170</v>
      </c>
      <c r="E739">
        <v>20171</v>
      </c>
      <c r="F739" t="s">
        <v>14</v>
      </c>
      <c r="G739" t="s">
        <v>15</v>
      </c>
      <c r="H739">
        <v>0</v>
      </c>
      <c r="I739">
        <v>0</v>
      </c>
      <c r="J739">
        <v>20201</v>
      </c>
      <c r="K739">
        <f>COUNTIF('rEKAP kls MK'!$A$2:$A$35,Worksheet!C739)</f>
        <v>2</v>
      </c>
      <c r="L739" t="str">
        <f t="shared" si="44"/>
        <v>F1B116012</v>
      </c>
      <c r="M739" t="str">
        <f t="shared" si="45"/>
        <v>JEMMY FEBRY SUMANDA</v>
      </c>
      <c r="O739" t="str">
        <f t="shared" si="46"/>
        <v/>
      </c>
      <c r="P739" t="str">
        <f t="shared" si="47"/>
        <v/>
      </c>
    </row>
    <row r="740" spans="1:16">
      <c r="A740" t="s">
        <v>72</v>
      </c>
      <c r="B740" t="s">
        <v>73</v>
      </c>
      <c r="C740" t="s">
        <v>169</v>
      </c>
      <c r="D740" t="s">
        <v>170</v>
      </c>
      <c r="E740">
        <v>20171</v>
      </c>
      <c r="F740" t="s">
        <v>14</v>
      </c>
      <c r="G740" t="s">
        <v>116</v>
      </c>
      <c r="H740">
        <v>1.5</v>
      </c>
      <c r="I740">
        <v>0</v>
      </c>
      <c r="J740">
        <v>20201</v>
      </c>
      <c r="K740">
        <f>COUNTIF('rEKAP kls MK'!$A$2:$A$35,Worksheet!C740)</f>
        <v>2</v>
      </c>
      <c r="L740" t="str">
        <f t="shared" si="44"/>
        <v>F1B116014</v>
      </c>
      <c r="M740" t="str">
        <f t="shared" si="45"/>
        <v>LALU ARIF TASIBANA</v>
      </c>
      <c r="O740" t="str">
        <f t="shared" si="46"/>
        <v/>
      </c>
      <c r="P740" t="str">
        <f t="shared" si="47"/>
        <v/>
      </c>
    </row>
    <row r="741" spans="1:16">
      <c r="A741" t="s">
        <v>74</v>
      </c>
      <c r="B741" t="s">
        <v>75</v>
      </c>
      <c r="C741" t="s">
        <v>169</v>
      </c>
      <c r="D741" t="s">
        <v>170</v>
      </c>
      <c r="E741">
        <v>20171</v>
      </c>
      <c r="F741" t="s">
        <v>14</v>
      </c>
      <c r="G741" t="s">
        <v>23</v>
      </c>
      <c r="H741">
        <v>2.5</v>
      </c>
      <c r="I741">
        <v>0</v>
      </c>
      <c r="J741">
        <v>20201</v>
      </c>
      <c r="K741">
        <f>COUNTIF('rEKAP kls MK'!$A$2:$A$35,Worksheet!C741)</f>
        <v>2</v>
      </c>
      <c r="L741" t="str">
        <f t="shared" si="44"/>
        <v>F1B116015</v>
      </c>
      <c r="M741" t="str">
        <f t="shared" si="45"/>
        <v>LALU MAHSAR KHAIRUDI</v>
      </c>
      <c r="O741" t="str">
        <f t="shared" si="46"/>
        <v/>
      </c>
      <c r="P741" t="str">
        <f t="shared" si="47"/>
        <v/>
      </c>
    </row>
    <row r="742" spans="1:16">
      <c r="A742" t="s">
        <v>76</v>
      </c>
      <c r="B742" t="s">
        <v>77</v>
      </c>
      <c r="C742" t="s">
        <v>169</v>
      </c>
      <c r="D742" t="s">
        <v>170</v>
      </c>
      <c r="E742">
        <v>20171</v>
      </c>
      <c r="F742" t="s">
        <v>14</v>
      </c>
      <c r="G742" t="s">
        <v>26</v>
      </c>
      <c r="H742">
        <v>2</v>
      </c>
      <c r="I742">
        <v>0</v>
      </c>
      <c r="J742">
        <v>20201</v>
      </c>
      <c r="K742">
        <f>COUNTIF('rEKAP kls MK'!$A$2:$A$35,Worksheet!C742)</f>
        <v>2</v>
      </c>
      <c r="L742" t="str">
        <f t="shared" si="44"/>
        <v>F1B116016</v>
      </c>
      <c r="M742" t="str">
        <f t="shared" si="45"/>
        <v>LALU MOHAMAD FAESAL RAHMAN</v>
      </c>
      <c r="O742" t="str">
        <f t="shared" si="46"/>
        <v/>
      </c>
      <c r="P742" t="str">
        <f t="shared" si="47"/>
        <v/>
      </c>
    </row>
    <row r="743" spans="1:16">
      <c r="A743" t="s">
        <v>126</v>
      </c>
      <c r="B743" t="s">
        <v>127</v>
      </c>
      <c r="C743" t="s">
        <v>169</v>
      </c>
      <c r="D743" t="s">
        <v>170</v>
      </c>
      <c r="E743">
        <v>20171</v>
      </c>
      <c r="F743" t="s">
        <v>14</v>
      </c>
      <c r="G743" t="s">
        <v>26</v>
      </c>
      <c r="H743">
        <v>2</v>
      </c>
      <c r="I743">
        <v>0</v>
      </c>
      <c r="J743">
        <v>20201</v>
      </c>
      <c r="K743">
        <f>COUNTIF('rEKAP kls MK'!$A$2:$A$35,Worksheet!C743)</f>
        <v>2</v>
      </c>
      <c r="L743" t="str">
        <f t="shared" si="44"/>
        <v>F1B116017</v>
      </c>
      <c r="M743" t="str">
        <f t="shared" si="45"/>
        <v xml:space="preserve">MAULANA ADI PRASETIO </v>
      </c>
      <c r="O743" t="str">
        <f t="shared" si="46"/>
        <v/>
      </c>
      <c r="P743" t="str">
        <f t="shared" si="47"/>
        <v/>
      </c>
    </row>
    <row r="744" spans="1:16">
      <c r="A744" t="s">
        <v>128</v>
      </c>
      <c r="B744" t="s">
        <v>129</v>
      </c>
      <c r="C744" t="s">
        <v>169</v>
      </c>
      <c r="D744" t="s">
        <v>170</v>
      </c>
      <c r="E744">
        <v>20171</v>
      </c>
      <c r="F744" t="s">
        <v>14</v>
      </c>
      <c r="G744" t="s">
        <v>116</v>
      </c>
      <c r="H744">
        <v>1.5</v>
      </c>
      <c r="I744">
        <v>0</v>
      </c>
      <c r="J744">
        <v>20201</v>
      </c>
      <c r="K744">
        <f>COUNTIF('rEKAP kls MK'!$A$2:$A$35,Worksheet!C744)</f>
        <v>2</v>
      </c>
      <c r="L744" t="str">
        <f t="shared" si="44"/>
        <v>F1B116020</v>
      </c>
      <c r="M744" t="str">
        <f t="shared" si="45"/>
        <v>Muhammad Zarrin Al Mansyury</v>
      </c>
      <c r="O744" t="str">
        <f t="shared" si="46"/>
        <v/>
      </c>
      <c r="P744" t="str">
        <f t="shared" si="47"/>
        <v/>
      </c>
    </row>
    <row r="745" spans="1:16">
      <c r="A745" t="s">
        <v>78</v>
      </c>
      <c r="B745" t="s">
        <v>79</v>
      </c>
      <c r="C745" t="s">
        <v>169</v>
      </c>
      <c r="D745" t="s">
        <v>170</v>
      </c>
      <c r="E745">
        <v>20171</v>
      </c>
      <c r="F745" t="s">
        <v>14</v>
      </c>
      <c r="G745" t="s">
        <v>26</v>
      </c>
      <c r="H745">
        <v>2</v>
      </c>
      <c r="I745">
        <v>0</v>
      </c>
      <c r="J745">
        <v>20201</v>
      </c>
      <c r="K745">
        <f>COUNTIF('rEKAP kls MK'!$A$2:$A$35,Worksheet!C745)</f>
        <v>2</v>
      </c>
      <c r="L745" t="str">
        <f t="shared" si="44"/>
        <v>F1B116021</v>
      </c>
      <c r="M745" t="str">
        <f t="shared" si="45"/>
        <v>NELIN AYU NIRWANA</v>
      </c>
      <c r="O745" t="str">
        <f t="shared" si="46"/>
        <v/>
      </c>
      <c r="P745" t="str">
        <f t="shared" si="47"/>
        <v/>
      </c>
    </row>
    <row r="746" spans="1:16">
      <c r="A746" t="s">
        <v>80</v>
      </c>
      <c r="B746" t="s">
        <v>81</v>
      </c>
      <c r="C746" t="s">
        <v>169</v>
      </c>
      <c r="D746" t="s">
        <v>170</v>
      </c>
      <c r="E746">
        <v>20171</v>
      </c>
      <c r="F746" t="s">
        <v>14</v>
      </c>
      <c r="G746" t="s">
        <v>23</v>
      </c>
      <c r="H746">
        <v>2.5</v>
      </c>
      <c r="I746">
        <v>0</v>
      </c>
      <c r="J746">
        <v>20201</v>
      </c>
      <c r="K746">
        <f>COUNTIF('rEKAP kls MK'!$A$2:$A$35,Worksheet!C746)</f>
        <v>2</v>
      </c>
      <c r="L746" t="str">
        <f t="shared" si="44"/>
        <v>F1B116022</v>
      </c>
      <c r="M746" t="str">
        <f t="shared" si="45"/>
        <v>NOVA HENDRI KURNIAWAN</v>
      </c>
      <c r="O746" t="str">
        <f t="shared" si="46"/>
        <v/>
      </c>
      <c r="P746" t="str">
        <f t="shared" si="47"/>
        <v/>
      </c>
    </row>
    <row r="747" spans="1:16">
      <c r="A747" t="s">
        <v>83</v>
      </c>
      <c r="B747" t="s">
        <v>84</v>
      </c>
      <c r="C747" t="s">
        <v>169</v>
      </c>
      <c r="D747" t="s">
        <v>170</v>
      </c>
      <c r="E747">
        <v>20171</v>
      </c>
      <c r="F747" t="s">
        <v>14</v>
      </c>
      <c r="G747" t="s">
        <v>23</v>
      </c>
      <c r="H747">
        <v>2.5</v>
      </c>
      <c r="I747">
        <v>0</v>
      </c>
      <c r="J747">
        <v>20201</v>
      </c>
      <c r="K747">
        <f>COUNTIF('rEKAP kls MK'!$A$2:$A$35,Worksheet!C747)</f>
        <v>2</v>
      </c>
      <c r="L747" t="str">
        <f t="shared" si="44"/>
        <v>F1B116024</v>
      </c>
      <c r="M747" t="str">
        <f t="shared" si="45"/>
        <v>RENA RAMDINAWATI</v>
      </c>
      <c r="O747" t="str">
        <f t="shared" si="46"/>
        <v/>
      </c>
      <c r="P747" t="str">
        <f t="shared" si="47"/>
        <v/>
      </c>
    </row>
    <row r="748" spans="1:16">
      <c r="A748" t="s">
        <v>85</v>
      </c>
      <c r="B748" t="s">
        <v>86</v>
      </c>
      <c r="C748" t="s">
        <v>169</v>
      </c>
      <c r="D748" t="s">
        <v>170</v>
      </c>
      <c r="E748">
        <v>20171</v>
      </c>
      <c r="F748" t="s">
        <v>14</v>
      </c>
      <c r="G748" t="s">
        <v>18</v>
      </c>
      <c r="H748">
        <v>3</v>
      </c>
      <c r="I748">
        <v>0</v>
      </c>
      <c r="J748">
        <v>20201</v>
      </c>
      <c r="K748">
        <f>COUNTIF('rEKAP kls MK'!$A$2:$A$35,Worksheet!C748)</f>
        <v>2</v>
      </c>
      <c r="L748" t="str">
        <f t="shared" si="44"/>
        <v>F1B116025</v>
      </c>
      <c r="M748" t="str">
        <f t="shared" si="45"/>
        <v>RISMAN ALFIAN LUTHFI</v>
      </c>
      <c r="O748" t="str">
        <f t="shared" si="46"/>
        <v/>
      </c>
      <c r="P748" t="str">
        <f t="shared" si="47"/>
        <v/>
      </c>
    </row>
    <row r="749" spans="1:16">
      <c r="A749" t="s">
        <v>87</v>
      </c>
      <c r="B749" t="s">
        <v>88</v>
      </c>
      <c r="C749" t="s">
        <v>169</v>
      </c>
      <c r="D749" t="s">
        <v>170</v>
      </c>
      <c r="E749">
        <v>20171</v>
      </c>
      <c r="F749" t="s">
        <v>14</v>
      </c>
      <c r="G749" t="s">
        <v>116</v>
      </c>
      <c r="H749">
        <v>1.5</v>
      </c>
      <c r="I749">
        <v>0</v>
      </c>
      <c r="J749">
        <v>20201</v>
      </c>
      <c r="K749">
        <f>COUNTIF('rEKAP kls MK'!$A$2:$A$35,Worksheet!C749)</f>
        <v>2</v>
      </c>
      <c r="L749" t="str">
        <f t="shared" si="44"/>
        <v>F1B116027</v>
      </c>
      <c r="M749" t="str">
        <f t="shared" si="45"/>
        <v>ROYHAN ADEKA SAPUTRA</v>
      </c>
      <c r="O749" t="str">
        <f t="shared" si="46"/>
        <v/>
      </c>
      <c r="P749" t="str">
        <f t="shared" si="47"/>
        <v/>
      </c>
    </row>
    <row r="750" spans="1:16">
      <c r="A750" t="s">
        <v>89</v>
      </c>
      <c r="B750" t="s">
        <v>90</v>
      </c>
      <c r="C750" t="s">
        <v>169</v>
      </c>
      <c r="D750" t="s">
        <v>170</v>
      </c>
      <c r="E750">
        <v>20171</v>
      </c>
      <c r="F750" t="s">
        <v>14</v>
      </c>
      <c r="G750" t="s">
        <v>23</v>
      </c>
      <c r="H750">
        <v>2.5</v>
      </c>
      <c r="I750">
        <v>0</v>
      </c>
      <c r="J750">
        <v>20201</v>
      </c>
      <c r="K750">
        <f>COUNTIF('rEKAP kls MK'!$A$2:$A$35,Worksheet!C750)</f>
        <v>2</v>
      </c>
      <c r="L750" t="str">
        <f t="shared" si="44"/>
        <v>F1B116029</v>
      </c>
      <c r="M750" t="str">
        <f t="shared" si="45"/>
        <v>TAUFIK ZUBAIDILLAH</v>
      </c>
      <c r="O750" t="str">
        <f t="shared" si="46"/>
        <v/>
      </c>
      <c r="P750" t="str">
        <f t="shared" si="47"/>
        <v/>
      </c>
    </row>
    <row r="751" spans="1:16">
      <c r="A751" t="s">
        <v>91</v>
      </c>
      <c r="B751" t="s">
        <v>92</v>
      </c>
      <c r="C751" t="s">
        <v>169</v>
      </c>
      <c r="D751" t="s">
        <v>170</v>
      </c>
      <c r="E751">
        <v>20171</v>
      </c>
      <c r="F751" t="s">
        <v>14</v>
      </c>
      <c r="G751" t="s">
        <v>18</v>
      </c>
      <c r="H751">
        <v>3</v>
      </c>
      <c r="I751">
        <v>0</v>
      </c>
      <c r="J751">
        <v>20201</v>
      </c>
      <c r="K751">
        <f>COUNTIF('rEKAP kls MK'!$A$2:$A$35,Worksheet!C751)</f>
        <v>2</v>
      </c>
      <c r="L751" t="str">
        <f t="shared" si="44"/>
        <v>F1B116030</v>
      </c>
      <c r="M751" t="str">
        <f t="shared" si="45"/>
        <v>Yanuardi</v>
      </c>
      <c r="O751" t="str">
        <f t="shared" si="46"/>
        <v/>
      </c>
      <c r="P751" t="str">
        <f t="shared" si="47"/>
        <v/>
      </c>
    </row>
    <row r="752" spans="1:16">
      <c r="A752" t="s">
        <v>93</v>
      </c>
      <c r="B752" t="s">
        <v>94</v>
      </c>
      <c r="C752" t="s">
        <v>169</v>
      </c>
      <c r="D752" t="s">
        <v>170</v>
      </c>
      <c r="E752">
        <v>20171</v>
      </c>
      <c r="F752" t="s">
        <v>14</v>
      </c>
      <c r="G752" t="s">
        <v>26</v>
      </c>
      <c r="H752">
        <v>2</v>
      </c>
      <c r="I752">
        <v>0</v>
      </c>
      <c r="J752">
        <v>20201</v>
      </c>
      <c r="K752">
        <f>COUNTIF('rEKAP kls MK'!$A$2:$A$35,Worksheet!C752)</f>
        <v>2</v>
      </c>
      <c r="L752" t="str">
        <f t="shared" si="44"/>
        <v>F1B116032</v>
      </c>
      <c r="M752" t="str">
        <f t="shared" si="45"/>
        <v>Yuma</v>
      </c>
      <c r="O752" t="str">
        <f t="shared" si="46"/>
        <v/>
      </c>
      <c r="P752" t="str">
        <f t="shared" si="47"/>
        <v/>
      </c>
    </row>
    <row r="753" spans="1:16">
      <c r="A753" t="s">
        <v>95</v>
      </c>
      <c r="B753" t="s">
        <v>96</v>
      </c>
      <c r="C753" t="s">
        <v>169</v>
      </c>
      <c r="D753" t="s">
        <v>170</v>
      </c>
      <c r="E753">
        <v>20171</v>
      </c>
      <c r="F753" t="s">
        <v>14</v>
      </c>
      <c r="G753" t="s">
        <v>125</v>
      </c>
      <c r="H753">
        <v>1</v>
      </c>
      <c r="I753">
        <v>0</v>
      </c>
      <c r="J753">
        <v>20201</v>
      </c>
      <c r="K753">
        <f>COUNTIF('rEKAP kls MK'!$A$2:$A$35,Worksheet!C753)</f>
        <v>2</v>
      </c>
      <c r="L753" t="str">
        <f t="shared" si="44"/>
        <v>F1B116033</v>
      </c>
      <c r="M753" t="str">
        <f t="shared" si="45"/>
        <v>Yusril Bagas Sevyanto</v>
      </c>
      <c r="O753" t="str">
        <f t="shared" si="46"/>
        <v/>
      </c>
      <c r="P753" t="str">
        <f t="shared" si="47"/>
        <v/>
      </c>
    </row>
    <row r="754" spans="1:16">
      <c r="A754" t="s">
        <v>130</v>
      </c>
      <c r="B754" t="s">
        <v>131</v>
      </c>
      <c r="C754" t="s">
        <v>169</v>
      </c>
      <c r="D754" t="s">
        <v>170</v>
      </c>
      <c r="E754">
        <v>20171</v>
      </c>
      <c r="F754" t="s">
        <v>14</v>
      </c>
      <c r="G754" t="s">
        <v>125</v>
      </c>
      <c r="H754">
        <v>1</v>
      </c>
      <c r="I754">
        <v>0</v>
      </c>
      <c r="J754">
        <v>20201</v>
      </c>
      <c r="K754">
        <f>COUNTIF('rEKAP kls MK'!$A$2:$A$35,Worksheet!C754)</f>
        <v>2</v>
      </c>
      <c r="L754" t="str">
        <f t="shared" si="44"/>
        <v>F1B116034</v>
      </c>
      <c r="M754" t="str">
        <f t="shared" si="45"/>
        <v>YUSRON ALIF SETIAWAN</v>
      </c>
      <c r="O754" t="str">
        <f t="shared" si="46"/>
        <v/>
      </c>
      <c r="P754" t="str">
        <f t="shared" si="47"/>
        <v/>
      </c>
    </row>
    <row r="755" spans="1:16">
      <c r="A755" t="s">
        <v>146</v>
      </c>
      <c r="B755" t="s">
        <v>147</v>
      </c>
      <c r="C755" t="s">
        <v>429</v>
      </c>
      <c r="D755" t="s">
        <v>430</v>
      </c>
      <c r="E755">
        <v>20171</v>
      </c>
      <c r="F755" t="s">
        <v>575</v>
      </c>
      <c r="G755" t="s">
        <v>26</v>
      </c>
      <c r="H755">
        <v>2</v>
      </c>
      <c r="I755">
        <v>0</v>
      </c>
      <c r="J755">
        <v>20201</v>
      </c>
      <c r="K755">
        <f>COUNTIF('rEKAP kls MK'!$A$2:$A$35,Worksheet!C755)</f>
        <v>0</v>
      </c>
      <c r="L755" t="str">
        <f t="shared" si="44"/>
        <v>F1B111036</v>
      </c>
      <c r="M755" t="str">
        <f t="shared" si="45"/>
        <v>Lalu Anja Sukmana</v>
      </c>
      <c r="O755" t="str">
        <f t="shared" si="46"/>
        <v>PERANCANGAN SISTEM ELEKTRONIKA</v>
      </c>
      <c r="P755" t="str">
        <f t="shared" si="47"/>
        <v>P</v>
      </c>
    </row>
    <row r="756" spans="1:16">
      <c r="A756" t="s">
        <v>19</v>
      </c>
      <c r="B756" t="s">
        <v>20</v>
      </c>
      <c r="C756" t="s">
        <v>429</v>
      </c>
      <c r="D756" t="s">
        <v>430</v>
      </c>
      <c r="E756">
        <v>20171</v>
      </c>
      <c r="F756" t="s">
        <v>575</v>
      </c>
      <c r="G756" t="s">
        <v>26</v>
      </c>
      <c r="H756">
        <v>2</v>
      </c>
      <c r="I756">
        <v>0</v>
      </c>
      <c r="J756">
        <v>20201</v>
      </c>
      <c r="K756">
        <f>COUNTIF('rEKAP kls MK'!$A$2:$A$35,Worksheet!C756)</f>
        <v>0</v>
      </c>
      <c r="L756" t="str">
        <f t="shared" si="44"/>
        <v>F1B113001</v>
      </c>
      <c r="M756" t="str">
        <f t="shared" si="45"/>
        <v>ADAM VERGIAN B</v>
      </c>
      <c r="O756" t="str">
        <f t="shared" si="46"/>
        <v/>
      </c>
      <c r="P756" t="str">
        <f t="shared" si="47"/>
        <v/>
      </c>
    </row>
    <row r="757" spans="1:16">
      <c r="A757" t="s">
        <v>265</v>
      </c>
      <c r="B757" t="s">
        <v>266</v>
      </c>
      <c r="C757" t="s">
        <v>259</v>
      </c>
      <c r="D757" t="s">
        <v>260</v>
      </c>
      <c r="E757">
        <v>20171</v>
      </c>
      <c r="F757" t="s">
        <v>14</v>
      </c>
      <c r="G757" t="s">
        <v>82</v>
      </c>
      <c r="H757">
        <v>4</v>
      </c>
      <c r="I757">
        <v>0</v>
      </c>
      <c r="J757">
        <v>20201</v>
      </c>
      <c r="K757">
        <f>COUNTIF('rEKAP kls MK'!$A$2:$A$35,Worksheet!C757)</f>
        <v>1</v>
      </c>
      <c r="L757" t="str">
        <f t="shared" si="44"/>
        <v>F1B114020</v>
      </c>
      <c r="M757" t="str">
        <f t="shared" si="45"/>
        <v>IMRAN</v>
      </c>
      <c r="O757" t="str">
        <f t="shared" si="46"/>
        <v>PRA TUGAS AKHIR</v>
      </c>
      <c r="P757" t="str">
        <f t="shared" si="47"/>
        <v>S</v>
      </c>
    </row>
    <row r="758" spans="1:16">
      <c r="A758" t="s">
        <v>177</v>
      </c>
      <c r="B758" t="s">
        <v>178</v>
      </c>
      <c r="C758" t="s">
        <v>259</v>
      </c>
      <c r="D758" t="s">
        <v>260</v>
      </c>
      <c r="E758">
        <v>20171</v>
      </c>
      <c r="F758" t="s">
        <v>14</v>
      </c>
      <c r="G758" t="s">
        <v>15</v>
      </c>
      <c r="H758">
        <v>0</v>
      </c>
      <c r="I758">
        <v>0</v>
      </c>
      <c r="J758">
        <v>20201</v>
      </c>
      <c r="K758">
        <f>COUNTIF('rEKAP kls MK'!$A$2:$A$35,Worksheet!C758)</f>
        <v>1</v>
      </c>
      <c r="L758" t="str">
        <f t="shared" si="44"/>
        <v>F1B111030</v>
      </c>
      <c r="M758" t="str">
        <f t="shared" si="45"/>
        <v>Islahudin</v>
      </c>
      <c r="O758" t="str">
        <f t="shared" si="46"/>
        <v/>
      </c>
      <c r="P758" t="str">
        <f t="shared" si="47"/>
        <v/>
      </c>
    </row>
    <row r="759" spans="1:16">
      <c r="A759" t="s">
        <v>132</v>
      </c>
      <c r="B759" t="s">
        <v>133</v>
      </c>
      <c r="C759" t="s">
        <v>259</v>
      </c>
      <c r="D759" t="s">
        <v>260</v>
      </c>
      <c r="E759">
        <v>20171</v>
      </c>
      <c r="F759" t="s">
        <v>14</v>
      </c>
      <c r="G759" t="s">
        <v>18</v>
      </c>
      <c r="H759">
        <v>3</v>
      </c>
      <c r="I759">
        <v>0</v>
      </c>
      <c r="J759">
        <v>20201</v>
      </c>
      <c r="K759">
        <f>COUNTIF('rEKAP kls MK'!$A$2:$A$35,Worksheet!C759)</f>
        <v>1</v>
      </c>
      <c r="L759" t="str">
        <f t="shared" si="44"/>
        <v>F1B113013</v>
      </c>
      <c r="M759" t="str">
        <f t="shared" si="45"/>
        <v>I NENGAH AGUS YOGI A</v>
      </c>
      <c r="O759" t="str">
        <f t="shared" si="46"/>
        <v/>
      </c>
      <c r="P759" t="str">
        <f t="shared" si="47"/>
        <v/>
      </c>
    </row>
    <row r="760" spans="1:16">
      <c r="A760" t="s">
        <v>37</v>
      </c>
      <c r="B760" t="s">
        <v>38</v>
      </c>
      <c r="C760" t="s">
        <v>259</v>
      </c>
      <c r="D760" t="s">
        <v>260</v>
      </c>
      <c r="E760">
        <v>20171</v>
      </c>
      <c r="F760" t="s">
        <v>14</v>
      </c>
      <c r="G760" t="s">
        <v>51</v>
      </c>
      <c r="H760">
        <v>3.5</v>
      </c>
      <c r="I760">
        <v>0</v>
      </c>
      <c r="J760">
        <v>20201</v>
      </c>
      <c r="K760">
        <f>COUNTIF('rEKAP kls MK'!$A$2:$A$35,Worksheet!C760)</f>
        <v>1</v>
      </c>
      <c r="L760" t="str">
        <f t="shared" si="44"/>
        <v>F1B113029</v>
      </c>
      <c r="M760" t="str">
        <f t="shared" si="45"/>
        <v>RANGGA FAJAR MAULANA</v>
      </c>
      <c r="O760" t="str">
        <f t="shared" si="46"/>
        <v/>
      </c>
      <c r="P760" t="str">
        <f t="shared" si="47"/>
        <v/>
      </c>
    </row>
    <row r="761" spans="1:16">
      <c r="A761" t="s">
        <v>45</v>
      </c>
      <c r="B761" t="s">
        <v>46</v>
      </c>
      <c r="C761" t="s">
        <v>259</v>
      </c>
      <c r="D761" t="s">
        <v>260</v>
      </c>
      <c r="E761">
        <v>20171</v>
      </c>
      <c r="F761" t="s">
        <v>14</v>
      </c>
      <c r="G761" t="s">
        <v>18</v>
      </c>
      <c r="H761">
        <v>3</v>
      </c>
      <c r="I761">
        <v>0</v>
      </c>
      <c r="J761">
        <v>20201</v>
      </c>
      <c r="K761">
        <f>COUNTIF('rEKAP kls MK'!$A$2:$A$35,Worksheet!C761)</f>
        <v>1</v>
      </c>
      <c r="L761" t="str">
        <f t="shared" si="44"/>
        <v>F1B114001</v>
      </c>
      <c r="M761" t="str">
        <f t="shared" si="45"/>
        <v>ADI PURNA</v>
      </c>
      <c r="O761" t="str">
        <f t="shared" si="46"/>
        <v/>
      </c>
      <c r="P761" t="str">
        <f t="shared" si="47"/>
        <v/>
      </c>
    </row>
    <row r="762" spans="1:16">
      <c r="A762" t="s">
        <v>140</v>
      </c>
      <c r="B762" t="s">
        <v>141</v>
      </c>
      <c r="C762" t="s">
        <v>259</v>
      </c>
      <c r="D762" t="s">
        <v>260</v>
      </c>
      <c r="E762">
        <v>20171</v>
      </c>
      <c r="F762" t="s">
        <v>14</v>
      </c>
      <c r="G762" t="s">
        <v>18</v>
      </c>
      <c r="H762">
        <v>3</v>
      </c>
      <c r="I762">
        <v>0</v>
      </c>
      <c r="J762">
        <v>20201</v>
      </c>
      <c r="K762">
        <f>COUNTIF('rEKAP kls MK'!$A$2:$A$35,Worksheet!C762)</f>
        <v>1</v>
      </c>
      <c r="L762" t="str">
        <f t="shared" si="44"/>
        <v>F1B114003</v>
      </c>
      <c r="M762" t="str">
        <f t="shared" si="45"/>
        <v>AGUS SUPANDI</v>
      </c>
      <c r="O762" t="str">
        <f t="shared" si="46"/>
        <v/>
      </c>
      <c r="P762" t="str">
        <f t="shared" si="47"/>
        <v/>
      </c>
    </row>
    <row r="763" spans="1:16">
      <c r="A763" t="s">
        <v>47</v>
      </c>
      <c r="B763" t="s">
        <v>48</v>
      </c>
      <c r="C763" t="s">
        <v>259</v>
      </c>
      <c r="D763" t="s">
        <v>260</v>
      </c>
      <c r="E763">
        <v>20171</v>
      </c>
      <c r="F763" t="s">
        <v>14</v>
      </c>
      <c r="G763" t="s">
        <v>101</v>
      </c>
      <c r="H763">
        <v>0</v>
      </c>
      <c r="I763">
        <v>0</v>
      </c>
      <c r="J763">
        <v>20201</v>
      </c>
      <c r="K763">
        <f>COUNTIF('rEKAP kls MK'!$A$2:$A$35,Worksheet!C763)</f>
        <v>1</v>
      </c>
      <c r="L763" t="str">
        <f t="shared" si="44"/>
        <v>F1B114004</v>
      </c>
      <c r="M763" t="str">
        <f t="shared" si="45"/>
        <v>AKHMAD AKHIR BULAN</v>
      </c>
      <c r="O763" t="str">
        <f t="shared" si="46"/>
        <v/>
      </c>
      <c r="P763" t="str">
        <f t="shared" si="47"/>
        <v/>
      </c>
    </row>
    <row r="764" spans="1:16">
      <c r="A764" t="s">
        <v>261</v>
      </c>
      <c r="B764" t="s">
        <v>262</v>
      </c>
      <c r="C764" t="s">
        <v>259</v>
      </c>
      <c r="D764" t="s">
        <v>260</v>
      </c>
      <c r="E764">
        <v>20171</v>
      </c>
      <c r="F764" t="s">
        <v>14</v>
      </c>
      <c r="G764" t="s">
        <v>18</v>
      </c>
      <c r="H764">
        <v>3</v>
      </c>
      <c r="I764">
        <v>0</v>
      </c>
      <c r="J764">
        <v>20201</v>
      </c>
      <c r="K764">
        <f>COUNTIF('rEKAP kls MK'!$A$2:$A$35,Worksheet!C764)</f>
        <v>1</v>
      </c>
      <c r="L764" t="str">
        <f t="shared" si="44"/>
        <v>F1B114006</v>
      </c>
      <c r="M764" t="str">
        <f t="shared" si="45"/>
        <v>BAYU RAMADHAN</v>
      </c>
      <c r="O764" t="str">
        <f t="shared" si="46"/>
        <v/>
      </c>
      <c r="P764" t="str">
        <f t="shared" si="47"/>
        <v/>
      </c>
    </row>
    <row r="765" spans="1:16">
      <c r="A765" t="s">
        <v>49</v>
      </c>
      <c r="B765" t="s">
        <v>50</v>
      </c>
      <c r="C765" t="s">
        <v>259</v>
      </c>
      <c r="D765" t="s">
        <v>260</v>
      </c>
      <c r="E765">
        <v>20171</v>
      </c>
      <c r="F765" t="s">
        <v>14</v>
      </c>
      <c r="G765" t="s">
        <v>18</v>
      </c>
      <c r="H765">
        <v>3</v>
      </c>
      <c r="I765">
        <v>0</v>
      </c>
      <c r="J765">
        <v>20201</v>
      </c>
      <c r="K765">
        <f>COUNTIF('rEKAP kls MK'!$A$2:$A$35,Worksheet!C765)</f>
        <v>1</v>
      </c>
      <c r="L765" t="str">
        <f t="shared" si="44"/>
        <v>F1B114007</v>
      </c>
      <c r="M765" t="str">
        <f t="shared" si="45"/>
        <v>BIJE SYIAPRIADI D</v>
      </c>
      <c r="O765" t="str">
        <f t="shared" si="46"/>
        <v/>
      </c>
      <c r="P765" t="str">
        <f t="shared" si="47"/>
        <v/>
      </c>
    </row>
    <row r="766" spans="1:16">
      <c r="A766" t="s">
        <v>155</v>
      </c>
      <c r="B766" t="s">
        <v>156</v>
      </c>
      <c r="C766" t="s">
        <v>259</v>
      </c>
      <c r="D766" t="s">
        <v>260</v>
      </c>
      <c r="E766">
        <v>20171</v>
      </c>
      <c r="F766" t="s">
        <v>14</v>
      </c>
      <c r="G766" t="s">
        <v>18</v>
      </c>
      <c r="H766">
        <v>3</v>
      </c>
      <c r="I766">
        <v>0</v>
      </c>
      <c r="J766">
        <v>20201</v>
      </c>
      <c r="K766">
        <f>COUNTIF('rEKAP kls MK'!$A$2:$A$35,Worksheet!C766)</f>
        <v>1</v>
      </c>
      <c r="L766" t="str">
        <f t="shared" si="44"/>
        <v>F1B114008</v>
      </c>
      <c r="M766" t="str">
        <f t="shared" si="45"/>
        <v>BRIAN ABBY ARIESTYO WIRYANDITO</v>
      </c>
      <c r="O766" t="str">
        <f t="shared" si="46"/>
        <v/>
      </c>
      <c r="P766" t="str">
        <f t="shared" si="47"/>
        <v/>
      </c>
    </row>
    <row r="767" spans="1:16">
      <c r="A767" t="s">
        <v>175</v>
      </c>
      <c r="B767" t="s">
        <v>176</v>
      </c>
      <c r="C767" t="s">
        <v>259</v>
      </c>
      <c r="D767" t="s">
        <v>260</v>
      </c>
      <c r="E767">
        <v>20171</v>
      </c>
      <c r="F767" t="s">
        <v>14</v>
      </c>
      <c r="G767" t="s">
        <v>51</v>
      </c>
      <c r="H767">
        <v>3.5</v>
      </c>
      <c r="I767">
        <v>0</v>
      </c>
      <c r="J767">
        <v>20201</v>
      </c>
      <c r="K767">
        <f>COUNTIF('rEKAP kls MK'!$A$2:$A$35,Worksheet!C767)</f>
        <v>1</v>
      </c>
      <c r="L767" t="str">
        <f t="shared" si="44"/>
        <v>F1B114009</v>
      </c>
      <c r="M767" t="str">
        <f t="shared" si="45"/>
        <v>DANA SELVIA HADISWARA</v>
      </c>
      <c r="O767" t="str">
        <f t="shared" si="46"/>
        <v/>
      </c>
      <c r="P767" t="str">
        <f t="shared" si="47"/>
        <v/>
      </c>
    </row>
    <row r="768" spans="1:16">
      <c r="A768" t="s">
        <v>157</v>
      </c>
      <c r="B768" t="s">
        <v>158</v>
      </c>
      <c r="C768" t="s">
        <v>259</v>
      </c>
      <c r="D768" t="s">
        <v>260</v>
      </c>
      <c r="E768">
        <v>20171</v>
      </c>
      <c r="F768" t="s">
        <v>14</v>
      </c>
      <c r="G768" t="s">
        <v>18</v>
      </c>
      <c r="H768">
        <v>3</v>
      </c>
      <c r="I768">
        <v>0</v>
      </c>
      <c r="J768">
        <v>20201</v>
      </c>
      <c r="K768">
        <f>COUNTIF('rEKAP kls MK'!$A$2:$A$35,Worksheet!C768)</f>
        <v>1</v>
      </c>
      <c r="L768" t="str">
        <f t="shared" si="44"/>
        <v>F1B114010</v>
      </c>
      <c r="M768" t="str">
        <f t="shared" si="45"/>
        <v>EKA MARTA SIOMI</v>
      </c>
      <c r="O768" t="str">
        <f t="shared" si="46"/>
        <v/>
      </c>
      <c r="P768" t="str">
        <f t="shared" si="47"/>
        <v/>
      </c>
    </row>
    <row r="769" spans="1:16">
      <c r="A769" t="s">
        <v>159</v>
      </c>
      <c r="B769" t="s">
        <v>160</v>
      </c>
      <c r="C769" t="s">
        <v>259</v>
      </c>
      <c r="D769" t="s">
        <v>260</v>
      </c>
      <c r="E769">
        <v>20171</v>
      </c>
      <c r="F769" t="s">
        <v>14</v>
      </c>
      <c r="G769" t="s">
        <v>23</v>
      </c>
      <c r="H769">
        <v>2.5</v>
      </c>
      <c r="I769">
        <v>0</v>
      </c>
      <c r="J769">
        <v>20201</v>
      </c>
      <c r="K769">
        <f>COUNTIF('rEKAP kls MK'!$A$2:$A$35,Worksheet!C769)</f>
        <v>1</v>
      </c>
      <c r="L769" t="str">
        <f t="shared" si="44"/>
        <v>F1B114011</v>
      </c>
      <c r="M769" t="str">
        <f t="shared" si="45"/>
        <v>ERWIN LINGGA SAPUTRA</v>
      </c>
      <c r="O769" t="str">
        <f t="shared" si="46"/>
        <v/>
      </c>
      <c r="P769" t="str">
        <f t="shared" si="47"/>
        <v/>
      </c>
    </row>
    <row r="770" spans="1:16">
      <c r="A770" t="s">
        <v>161</v>
      </c>
      <c r="B770" t="s">
        <v>162</v>
      </c>
      <c r="C770" t="s">
        <v>259</v>
      </c>
      <c r="D770" t="s">
        <v>260</v>
      </c>
      <c r="E770">
        <v>20171</v>
      </c>
      <c r="F770" t="s">
        <v>14</v>
      </c>
      <c r="G770" t="s">
        <v>51</v>
      </c>
      <c r="H770">
        <v>3.5</v>
      </c>
      <c r="I770">
        <v>0</v>
      </c>
      <c r="J770">
        <v>20201</v>
      </c>
      <c r="K770">
        <f>COUNTIF('rEKAP kls MK'!$A$2:$A$35,Worksheet!C770)</f>
        <v>1</v>
      </c>
      <c r="L770" t="str">
        <f t="shared" si="44"/>
        <v>F1B114012</v>
      </c>
      <c r="M770" t="str">
        <f t="shared" si="45"/>
        <v>FATHUL AZIZ</v>
      </c>
      <c r="O770" t="str">
        <f t="shared" si="46"/>
        <v/>
      </c>
      <c r="P770" t="str">
        <f t="shared" si="47"/>
        <v/>
      </c>
    </row>
    <row r="771" spans="1:16">
      <c r="A771" t="s">
        <v>52</v>
      </c>
      <c r="B771" t="s">
        <v>53</v>
      </c>
      <c r="C771" t="s">
        <v>259</v>
      </c>
      <c r="D771" t="s">
        <v>260</v>
      </c>
      <c r="E771">
        <v>20171</v>
      </c>
      <c r="F771" t="s">
        <v>14</v>
      </c>
      <c r="G771" t="s">
        <v>23</v>
      </c>
      <c r="H771">
        <v>2.5</v>
      </c>
      <c r="I771">
        <v>0</v>
      </c>
      <c r="J771">
        <v>20201</v>
      </c>
      <c r="K771">
        <f>COUNTIF('rEKAP kls MK'!$A$2:$A$35,Worksheet!C771)</f>
        <v>1</v>
      </c>
      <c r="L771" t="str">
        <f t="shared" ref="L771:L834" si="48">IF(A770&lt;&gt;A771,A771,"")</f>
        <v>F1B114014</v>
      </c>
      <c r="M771" t="str">
        <f t="shared" ref="M771:M834" si="49">IF(B770&lt;&gt;B771,B771,"")</f>
        <v>HAMDUN</v>
      </c>
      <c r="O771" t="str">
        <f t="shared" ref="O771:O834" si="50">IF(D770&lt;&gt;D771,D771,"")</f>
        <v/>
      </c>
      <c r="P771" t="str">
        <f t="shared" ref="P771:P834" si="51">IF(F770&lt;&gt;F771,F771,"")</f>
        <v/>
      </c>
    </row>
    <row r="772" spans="1:16">
      <c r="A772" t="s">
        <v>163</v>
      </c>
      <c r="B772" t="s">
        <v>164</v>
      </c>
      <c r="C772" t="s">
        <v>259</v>
      </c>
      <c r="D772" t="s">
        <v>260</v>
      </c>
      <c r="E772">
        <v>20171</v>
      </c>
      <c r="F772" t="s">
        <v>14</v>
      </c>
      <c r="G772" t="s">
        <v>18</v>
      </c>
      <c r="H772">
        <v>3</v>
      </c>
      <c r="I772">
        <v>0</v>
      </c>
      <c r="J772">
        <v>20201</v>
      </c>
      <c r="K772">
        <f>COUNTIF('rEKAP kls MK'!$A$2:$A$35,Worksheet!C772)</f>
        <v>1</v>
      </c>
      <c r="L772" t="str">
        <f t="shared" si="48"/>
        <v>F1B114016</v>
      </c>
      <c r="M772" t="str">
        <f t="shared" si="49"/>
        <v>HERLAN</v>
      </c>
      <c r="O772" t="str">
        <f t="shared" si="50"/>
        <v/>
      </c>
      <c r="P772" t="str">
        <f t="shared" si="51"/>
        <v/>
      </c>
    </row>
    <row r="773" spans="1:16">
      <c r="A773" t="s">
        <v>263</v>
      </c>
      <c r="B773" t="s">
        <v>264</v>
      </c>
      <c r="C773" t="s">
        <v>259</v>
      </c>
      <c r="D773" t="s">
        <v>260</v>
      </c>
      <c r="E773">
        <v>20171</v>
      </c>
      <c r="F773" t="s">
        <v>14</v>
      </c>
      <c r="G773" t="s">
        <v>51</v>
      </c>
      <c r="H773">
        <v>3.5</v>
      </c>
      <c r="I773">
        <v>0</v>
      </c>
      <c r="J773">
        <v>20201</v>
      </c>
      <c r="K773">
        <f>COUNTIF('rEKAP kls MK'!$A$2:$A$35,Worksheet!C773)</f>
        <v>1</v>
      </c>
      <c r="L773" t="str">
        <f t="shared" si="48"/>
        <v>F1B114017</v>
      </c>
      <c r="M773" t="str">
        <f t="shared" si="49"/>
        <v>HIDAYATUR RAHMAN</v>
      </c>
      <c r="O773" t="str">
        <f t="shared" si="50"/>
        <v/>
      </c>
      <c r="P773" t="str">
        <f t="shared" si="51"/>
        <v/>
      </c>
    </row>
    <row r="774" spans="1:16">
      <c r="A774" t="s">
        <v>142</v>
      </c>
      <c r="B774" t="s">
        <v>143</v>
      </c>
      <c r="C774" t="s">
        <v>259</v>
      </c>
      <c r="D774" t="s">
        <v>260</v>
      </c>
      <c r="E774">
        <v>20171</v>
      </c>
      <c r="F774" t="s">
        <v>14</v>
      </c>
      <c r="G774" t="s">
        <v>51</v>
      </c>
      <c r="H774">
        <v>3.5</v>
      </c>
      <c r="I774">
        <v>0</v>
      </c>
      <c r="J774">
        <v>20201</v>
      </c>
      <c r="K774">
        <f>COUNTIF('rEKAP kls MK'!$A$2:$A$35,Worksheet!C774)</f>
        <v>1</v>
      </c>
      <c r="L774" t="str">
        <f t="shared" si="48"/>
        <v>F1B114018</v>
      </c>
      <c r="M774" t="str">
        <f t="shared" si="49"/>
        <v>I GUSTI BAGUS HENDRA PRADIPTA</v>
      </c>
      <c r="O774" t="str">
        <f t="shared" si="50"/>
        <v/>
      </c>
      <c r="P774" t="str">
        <f t="shared" si="51"/>
        <v/>
      </c>
    </row>
    <row r="775" spans="1:16">
      <c r="A775" t="s">
        <v>165</v>
      </c>
      <c r="B775" t="s">
        <v>166</v>
      </c>
      <c r="C775" t="s">
        <v>259</v>
      </c>
      <c r="D775" t="s">
        <v>260</v>
      </c>
      <c r="E775">
        <v>20171</v>
      </c>
      <c r="F775" t="s">
        <v>14</v>
      </c>
      <c r="G775" t="s">
        <v>18</v>
      </c>
      <c r="H775">
        <v>3</v>
      </c>
      <c r="I775">
        <v>0</v>
      </c>
      <c r="J775">
        <v>20201</v>
      </c>
      <c r="K775">
        <f>COUNTIF('rEKAP kls MK'!$A$2:$A$35,Worksheet!C775)</f>
        <v>1</v>
      </c>
      <c r="L775" t="str">
        <f t="shared" si="48"/>
        <v>F1B114022</v>
      </c>
      <c r="M775" t="str">
        <f t="shared" si="49"/>
        <v>JUWITA ASRI</v>
      </c>
      <c r="O775" t="str">
        <f t="shared" si="50"/>
        <v/>
      </c>
      <c r="P775" t="str">
        <f t="shared" si="51"/>
        <v/>
      </c>
    </row>
    <row r="776" spans="1:16">
      <c r="A776" t="s">
        <v>267</v>
      </c>
      <c r="B776" t="s">
        <v>268</v>
      </c>
      <c r="C776" t="s">
        <v>259</v>
      </c>
      <c r="D776" t="s">
        <v>260</v>
      </c>
      <c r="E776">
        <v>20171</v>
      </c>
      <c r="F776" t="s">
        <v>14</v>
      </c>
      <c r="G776" t="s">
        <v>51</v>
      </c>
      <c r="H776">
        <v>3.5</v>
      </c>
      <c r="I776">
        <v>0</v>
      </c>
      <c r="J776">
        <v>20201</v>
      </c>
      <c r="K776">
        <f>COUNTIF('rEKAP kls MK'!$A$2:$A$35,Worksheet!C776)</f>
        <v>1</v>
      </c>
      <c r="L776" t="str">
        <f t="shared" si="48"/>
        <v>F1B114025</v>
      </c>
      <c r="M776" t="str">
        <f t="shared" si="49"/>
        <v>MUAMMAR GHIRAHANDI HAMARIS</v>
      </c>
      <c r="O776" t="str">
        <f t="shared" si="50"/>
        <v/>
      </c>
      <c r="P776" t="str">
        <f t="shared" si="51"/>
        <v/>
      </c>
    </row>
    <row r="777" spans="1:16">
      <c r="A777" t="s">
        <v>257</v>
      </c>
      <c r="B777" t="s">
        <v>258</v>
      </c>
      <c r="C777" t="s">
        <v>259</v>
      </c>
      <c r="D777" t="s">
        <v>260</v>
      </c>
      <c r="E777">
        <v>20171</v>
      </c>
      <c r="F777" t="s">
        <v>14</v>
      </c>
      <c r="G777" t="s">
        <v>51</v>
      </c>
      <c r="H777">
        <v>3.5</v>
      </c>
      <c r="I777">
        <v>0</v>
      </c>
      <c r="J777">
        <v>20201</v>
      </c>
      <c r="K777">
        <f>COUNTIF('rEKAP kls MK'!$A$2:$A$35,Worksheet!C777)</f>
        <v>1</v>
      </c>
      <c r="L777" t="str">
        <f t="shared" si="48"/>
        <v>F1B114027</v>
      </c>
      <c r="M777" t="str">
        <f t="shared" si="49"/>
        <v>MUHAMMAD FEBRIAN RAMADAN</v>
      </c>
      <c r="O777" t="str">
        <f t="shared" si="50"/>
        <v/>
      </c>
      <c r="P777" t="str">
        <f t="shared" si="51"/>
        <v/>
      </c>
    </row>
    <row r="778" spans="1:16">
      <c r="A778" t="s">
        <v>54</v>
      </c>
      <c r="B778" t="s">
        <v>55</v>
      </c>
      <c r="C778" t="s">
        <v>259</v>
      </c>
      <c r="D778" t="s">
        <v>260</v>
      </c>
      <c r="E778">
        <v>20171</v>
      </c>
      <c r="F778" t="s">
        <v>14</v>
      </c>
      <c r="G778" t="s">
        <v>18</v>
      </c>
      <c r="H778">
        <v>3</v>
      </c>
      <c r="I778">
        <v>0</v>
      </c>
      <c r="J778">
        <v>20201</v>
      </c>
      <c r="K778">
        <f>COUNTIF('rEKAP kls MK'!$A$2:$A$35,Worksheet!C778)</f>
        <v>1</v>
      </c>
      <c r="L778" t="str">
        <f t="shared" si="48"/>
        <v>F1B114028</v>
      </c>
      <c r="M778" t="str">
        <f t="shared" si="49"/>
        <v>MUHAMMAD HAJRUL MUZAQI</v>
      </c>
      <c r="O778" t="str">
        <f t="shared" si="50"/>
        <v/>
      </c>
      <c r="P778" t="str">
        <f t="shared" si="51"/>
        <v/>
      </c>
    </row>
    <row r="779" spans="1:16">
      <c r="A779" t="s">
        <v>201</v>
      </c>
      <c r="B779" t="s">
        <v>202</v>
      </c>
      <c r="C779" t="s">
        <v>259</v>
      </c>
      <c r="D779" t="s">
        <v>260</v>
      </c>
      <c r="E779">
        <v>20171</v>
      </c>
      <c r="F779" t="s">
        <v>14</v>
      </c>
      <c r="G779" t="s">
        <v>51</v>
      </c>
      <c r="H779">
        <v>3.5</v>
      </c>
      <c r="I779">
        <v>0</v>
      </c>
      <c r="J779">
        <v>20201</v>
      </c>
      <c r="K779">
        <f>COUNTIF('rEKAP kls MK'!$A$2:$A$35,Worksheet!C779)</f>
        <v>1</v>
      </c>
      <c r="L779" t="str">
        <f t="shared" si="48"/>
        <v>F1B114030</v>
      </c>
      <c r="M779" t="str">
        <f t="shared" si="49"/>
        <v>PUTRA RAHMAT RAMADAN</v>
      </c>
      <c r="O779" t="str">
        <f t="shared" si="50"/>
        <v/>
      </c>
      <c r="P779" t="str">
        <f t="shared" si="51"/>
        <v/>
      </c>
    </row>
    <row r="780" spans="1:16">
      <c r="A780" t="s">
        <v>243</v>
      </c>
      <c r="B780" t="s">
        <v>244</v>
      </c>
      <c r="C780" t="s">
        <v>259</v>
      </c>
      <c r="D780" t="s">
        <v>260</v>
      </c>
      <c r="E780">
        <v>20171</v>
      </c>
      <c r="F780" t="s">
        <v>14</v>
      </c>
      <c r="G780" t="s">
        <v>15</v>
      </c>
      <c r="H780">
        <v>0</v>
      </c>
      <c r="I780">
        <v>0</v>
      </c>
      <c r="J780">
        <v>20201</v>
      </c>
      <c r="K780">
        <f>COUNTIF('rEKAP kls MK'!$A$2:$A$35,Worksheet!C780)</f>
        <v>1</v>
      </c>
      <c r="L780" t="str">
        <f t="shared" si="48"/>
        <v>F1B115019</v>
      </c>
      <c r="M780" t="str">
        <f t="shared" si="49"/>
        <v>Jumriati</v>
      </c>
      <c r="O780" t="str">
        <f t="shared" si="50"/>
        <v/>
      </c>
      <c r="P780" t="str">
        <f t="shared" si="51"/>
        <v/>
      </c>
    </row>
    <row r="781" spans="1:16">
      <c r="A781" t="s">
        <v>45</v>
      </c>
      <c r="B781" t="s">
        <v>46</v>
      </c>
      <c r="C781" t="s">
        <v>462</v>
      </c>
      <c r="D781" t="s">
        <v>463</v>
      </c>
      <c r="E781">
        <v>20171</v>
      </c>
      <c r="F781" t="s">
        <v>576</v>
      </c>
      <c r="G781" t="s">
        <v>18</v>
      </c>
      <c r="H781">
        <v>3</v>
      </c>
      <c r="I781">
        <v>0</v>
      </c>
      <c r="J781">
        <v>20201</v>
      </c>
      <c r="K781">
        <f>COUNTIF('rEKAP kls MK'!$A$2:$A$35,Worksheet!C781)</f>
        <v>0</v>
      </c>
      <c r="L781" t="str">
        <f t="shared" si="48"/>
        <v>F1B114001</v>
      </c>
      <c r="M781" t="str">
        <f t="shared" si="49"/>
        <v>ADI PURNA</v>
      </c>
      <c r="O781" t="str">
        <f t="shared" si="50"/>
        <v>PRAK. ELEKTRONIKA DAYA</v>
      </c>
      <c r="P781" t="str">
        <f t="shared" si="51"/>
        <v>R</v>
      </c>
    </row>
    <row r="782" spans="1:16">
      <c r="A782" t="s">
        <v>47</v>
      </c>
      <c r="B782" t="s">
        <v>48</v>
      </c>
      <c r="C782" t="s">
        <v>462</v>
      </c>
      <c r="D782" t="s">
        <v>463</v>
      </c>
      <c r="E782">
        <v>20171</v>
      </c>
      <c r="F782" t="s">
        <v>576</v>
      </c>
      <c r="G782" t="s">
        <v>18</v>
      </c>
      <c r="H782">
        <v>3</v>
      </c>
      <c r="I782">
        <v>0</v>
      </c>
      <c r="J782">
        <v>20201</v>
      </c>
      <c r="K782">
        <f>COUNTIF('rEKAP kls MK'!$A$2:$A$35,Worksheet!C782)</f>
        <v>0</v>
      </c>
      <c r="L782" t="str">
        <f t="shared" si="48"/>
        <v>F1B114004</v>
      </c>
      <c r="M782" t="str">
        <f t="shared" si="49"/>
        <v>AKHMAD AKHIR BULAN</v>
      </c>
      <c r="O782" t="str">
        <f t="shared" si="50"/>
        <v/>
      </c>
      <c r="P782" t="str">
        <f t="shared" si="51"/>
        <v/>
      </c>
    </row>
    <row r="783" spans="1:16">
      <c r="A783" t="s">
        <v>52</v>
      </c>
      <c r="B783" t="s">
        <v>53</v>
      </c>
      <c r="C783" t="s">
        <v>462</v>
      </c>
      <c r="D783" t="s">
        <v>463</v>
      </c>
      <c r="E783">
        <v>20171</v>
      </c>
      <c r="F783" t="s">
        <v>576</v>
      </c>
      <c r="G783" t="s">
        <v>18</v>
      </c>
      <c r="H783">
        <v>3</v>
      </c>
      <c r="I783">
        <v>0</v>
      </c>
      <c r="J783">
        <v>20201</v>
      </c>
      <c r="K783">
        <f>COUNTIF('rEKAP kls MK'!$A$2:$A$35,Worksheet!C783)</f>
        <v>0</v>
      </c>
      <c r="L783" t="str">
        <f t="shared" si="48"/>
        <v>F1B114014</v>
      </c>
      <c r="M783" t="str">
        <f t="shared" si="49"/>
        <v>HAMDUN</v>
      </c>
      <c r="O783" t="str">
        <f t="shared" si="50"/>
        <v/>
      </c>
      <c r="P783" t="str">
        <f t="shared" si="51"/>
        <v/>
      </c>
    </row>
    <row r="784" spans="1:16">
      <c r="A784" t="s">
        <v>163</v>
      </c>
      <c r="B784" t="s">
        <v>164</v>
      </c>
      <c r="C784" t="s">
        <v>462</v>
      </c>
      <c r="D784" t="s">
        <v>463</v>
      </c>
      <c r="E784">
        <v>20171</v>
      </c>
      <c r="F784" t="s">
        <v>576</v>
      </c>
      <c r="G784" t="s">
        <v>23</v>
      </c>
      <c r="H784">
        <v>2.5</v>
      </c>
      <c r="I784">
        <v>0</v>
      </c>
      <c r="J784">
        <v>20201</v>
      </c>
      <c r="K784">
        <f>COUNTIF('rEKAP kls MK'!$A$2:$A$35,Worksheet!C784)</f>
        <v>0</v>
      </c>
      <c r="L784" t="str">
        <f t="shared" si="48"/>
        <v>F1B114016</v>
      </c>
      <c r="M784" t="str">
        <f t="shared" si="49"/>
        <v>HERLAN</v>
      </c>
      <c r="O784" t="str">
        <f t="shared" si="50"/>
        <v/>
      </c>
      <c r="P784" t="str">
        <f t="shared" si="51"/>
        <v/>
      </c>
    </row>
    <row r="785" spans="1:16">
      <c r="A785" t="s">
        <v>446</v>
      </c>
      <c r="B785" t="s">
        <v>447</v>
      </c>
      <c r="C785" t="s">
        <v>462</v>
      </c>
      <c r="D785" t="s">
        <v>463</v>
      </c>
      <c r="E785">
        <v>20171</v>
      </c>
      <c r="F785" t="s">
        <v>576</v>
      </c>
      <c r="G785" t="s">
        <v>101</v>
      </c>
      <c r="H785">
        <v>0</v>
      </c>
      <c r="I785">
        <v>0</v>
      </c>
      <c r="J785">
        <v>20201</v>
      </c>
      <c r="K785">
        <f>COUNTIF('rEKAP kls MK'!$A$2:$A$35,Worksheet!C785)</f>
        <v>0</v>
      </c>
      <c r="L785" t="str">
        <f t="shared" si="48"/>
        <v>F1B114021</v>
      </c>
      <c r="M785" t="str">
        <f t="shared" si="49"/>
        <v>JAUHARI MAKNUN</v>
      </c>
      <c r="O785" t="str">
        <f t="shared" si="50"/>
        <v/>
      </c>
      <c r="P785" t="str">
        <f t="shared" si="51"/>
        <v/>
      </c>
    </row>
    <row r="786" spans="1:16">
      <c r="A786" t="s">
        <v>257</v>
      </c>
      <c r="B786" t="s">
        <v>258</v>
      </c>
      <c r="C786" t="s">
        <v>462</v>
      </c>
      <c r="D786" t="s">
        <v>463</v>
      </c>
      <c r="E786">
        <v>20171</v>
      </c>
      <c r="F786" s="4" t="s">
        <v>576</v>
      </c>
      <c r="G786" t="s">
        <v>51</v>
      </c>
      <c r="H786">
        <v>3.5</v>
      </c>
      <c r="I786">
        <v>0</v>
      </c>
      <c r="J786">
        <v>20201</v>
      </c>
      <c r="K786">
        <f>COUNTIF('rEKAP kls MK'!$A$2:$A$35,Worksheet!C786)</f>
        <v>0</v>
      </c>
      <c r="L786" t="str">
        <f t="shared" si="48"/>
        <v>F1B114027</v>
      </c>
      <c r="M786" t="str">
        <f t="shared" si="49"/>
        <v>MUHAMMAD FEBRIAN RAMADAN</v>
      </c>
      <c r="O786" t="str">
        <f t="shared" si="50"/>
        <v/>
      </c>
      <c r="P786" t="str">
        <f t="shared" si="51"/>
        <v/>
      </c>
    </row>
    <row r="787" spans="1:16">
      <c r="A787" t="s">
        <v>45</v>
      </c>
      <c r="B787" t="s">
        <v>46</v>
      </c>
      <c r="C787" t="s">
        <v>452</v>
      </c>
      <c r="D787" t="s">
        <v>453</v>
      </c>
      <c r="E787">
        <v>20171</v>
      </c>
      <c r="F787" t="s">
        <v>576</v>
      </c>
      <c r="G787" t="s">
        <v>26</v>
      </c>
      <c r="H787">
        <v>2</v>
      </c>
      <c r="I787">
        <v>0</v>
      </c>
      <c r="J787">
        <v>20201</v>
      </c>
      <c r="K787">
        <f>COUNTIF('rEKAP kls MK'!$A$2:$A$35,Worksheet!C787)</f>
        <v>0</v>
      </c>
      <c r="L787" t="str">
        <f t="shared" si="48"/>
        <v>F1B114001</v>
      </c>
      <c r="M787" t="str">
        <f t="shared" si="49"/>
        <v>ADI PURNA</v>
      </c>
      <c r="O787" t="str">
        <f t="shared" si="50"/>
        <v>PRAK. PROTEKSI SISTEM TENAGA</v>
      </c>
      <c r="P787" t="str">
        <f t="shared" si="51"/>
        <v/>
      </c>
    </row>
    <row r="788" spans="1:16">
      <c r="A788" t="s">
        <v>140</v>
      </c>
      <c r="B788" t="s">
        <v>141</v>
      </c>
      <c r="C788" t="s">
        <v>452</v>
      </c>
      <c r="D788" t="s">
        <v>453</v>
      </c>
      <c r="E788">
        <v>20171</v>
      </c>
      <c r="F788" t="s">
        <v>576</v>
      </c>
      <c r="G788" t="s">
        <v>23</v>
      </c>
      <c r="H788">
        <v>2.5</v>
      </c>
      <c r="I788">
        <v>0</v>
      </c>
      <c r="J788">
        <v>20201</v>
      </c>
      <c r="K788">
        <f>COUNTIF('rEKAP kls MK'!$A$2:$A$35,Worksheet!C788)</f>
        <v>0</v>
      </c>
      <c r="L788" t="str">
        <f t="shared" si="48"/>
        <v>F1B114003</v>
      </c>
      <c r="M788" t="str">
        <f t="shared" si="49"/>
        <v>AGUS SUPANDI</v>
      </c>
      <c r="O788" t="str">
        <f t="shared" si="50"/>
        <v/>
      </c>
      <c r="P788" t="str">
        <f t="shared" si="51"/>
        <v/>
      </c>
    </row>
    <row r="789" spans="1:16">
      <c r="A789" t="s">
        <v>47</v>
      </c>
      <c r="B789" t="s">
        <v>48</v>
      </c>
      <c r="C789" t="s">
        <v>452</v>
      </c>
      <c r="D789" t="s">
        <v>453</v>
      </c>
      <c r="E789">
        <v>20171</v>
      </c>
      <c r="F789" t="s">
        <v>576</v>
      </c>
      <c r="G789" t="s">
        <v>125</v>
      </c>
      <c r="H789">
        <v>1</v>
      </c>
      <c r="I789">
        <v>0</v>
      </c>
      <c r="J789">
        <v>20201</v>
      </c>
      <c r="K789">
        <f>COUNTIF('rEKAP kls MK'!$A$2:$A$35,Worksheet!C789)</f>
        <v>0</v>
      </c>
      <c r="L789" t="str">
        <f t="shared" si="48"/>
        <v>F1B114004</v>
      </c>
      <c r="M789" t="str">
        <f t="shared" si="49"/>
        <v>AKHMAD AKHIR BULAN</v>
      </c>
      <c r="O789" t="str">
        <f t="shared" si="50"/>
        <v/>
      </c>
      <c r="P789" t="str">
        <f t="shared" si="51"/>
        <v/>
      </c>
    </row>
    <row r="790" spans="1:16">
      <c r="A790" t="s">
        <v>261</v>
      </c>
      <c r="B790" t="s">
        <v>262</v>
      </c>
      <c r="C790" t="s">
        <v>452</v>
      </c>
      <c r="D790" t="s">
        <v>453</v>
      </c>
      <c r="E790">
        <v>20171</v>
      </c>
      <c r="F790" t="s">
        <v>576</v>
      </c>
      <c r="G790" t="s">
        <v>26</v>
      </c>
      <c r="H790">
        <v>2</v>
      </c>
      <c r="I790">
        <v>0</v>
      </c>
      <c r="J790">
        <v>20201</v>
      </c>
      <c r="K790">
        <f>COUNTIF('rEKAP kls MK'!$A$2:$A$35,Worksheet!C790)</f>
        <v>0</v>
      </c>
      <c r="L790" t="str">
        <f t="shared" si="48"/>
        <v>F1B114006</v>
      </c>
      <c r="M790" t="str">
        <f t="shared" si="49"/>
        <v>BAYU RAMADHAN</v>
      </c>
      <c r="O790" t="str">
        <f t="shared" si="50"/>
        <v/>
      </c>
      <c r="P790" t="str">
        <f t="shared" si="51"/>
        <v/>
      </c>
    </row>
    <row r="791" spans="1:16">
      <c r="A791" t="s">
        <v>52</v>
      </c>
      <c r="B791" t="s">
        <v>53</v>
      </c>
      <c r="C791" t="s">
        <v>452</v>
      </c>
      <c r="D791" t="s">
        <v>453</v>
      </c>
      <c r="E791">
        <v>20171</v>
      </c>
      <c r="F791" t="s">
        <v>576</v>
      </c>
      <c r="G791" t="s">
        <v>116</v>
      </c>
      <c r="H791">
        <v>1.5</v>
      </c>
      <c r="I791">
        <v>0</v>
      </c>
      <c r="J791">
        <v>20201</v>
      </c>
      <c r="K791">
        <f>COUNTIF('rEKAP kls MK'!$A$2:$A$35,Worksheet!C791)</f>
        <v>0</v>
      </c>
      <c r="L791" t="str">
        <f t="shared" si="48"/>
        <v>F1B114014</v>
      </c>
      <c r="M791" t="str">
        <f t="shared" si="49"/>
        <v>HAMDUN</v>
      </c>
      <c r="O791" t="str">
        <f t="shared" si="50"/>
        <v/>
      </c>
      <c r="P791" t="str">
        <f t="shared" si="51"/>
        <v/>
      </c>
    </row>
    <row r="792" spans="1:16">
      <c r="A792" t="s">
        <v>163</v>
      </c>
      <c r="B792" t="s">
        <v>164</v>
      </c>
      <c r="C792" t="s">
        <v>452</v>
      </c>
      <c r="D792" t="s">
        <v>453</v>
      </c>
      <c r="E792">
        <v>20171</v>
      </c>
      <c r="F792" t="s">
        <v>576</v>
      </c>
      <c r="G792" t="s">
        <v>116</v>
      </c>
      <c r="H792">
        <v>1.5</v>
      </c>
      <c r="I792">
        <v>0</v>
      </c>
      <c r="J792">
        <v>20201</v>
      </c>
      <c r="K792">
        <f>COUNTIF('rEKAP kls MK'!$A$2:$A$35,Worksheet!C792)</f>
        <v>0</v>
      </c>
      <c r="L792" t="str">
        <f t="shared" si="48"/>
        <v>F1B114016</v>
      </c>
      <c r="M792" t="str">
        <f t="shared" si="49"/>
        <v>HERLAN</v>
      </c>
      <c r="O792" t="str">
        <f t="shared" si="50"/>
        <v/>
      </c>
      <c r="P792" t="str">
        <f t="shared" si="51"/>
        <v/>
      </c>
    </row>
    <row r="793" spans="1:16">
      <c r="A793" t="s">
        <v>263</v>
      </c>
      <c r="B793" t="s">
        <v>264</v>
      </c>
      <c r="C793" t="s">
        <v>452</v>
      </c>
      <c r="D793" t="s">
        <v>453</v>
      </c>
      <c r="E793">
        <v>20171</v>
      </c>
      <c r="F793" t="s">
        <v>576</v>
      </c>
      <c r="G793" t="s">
        <v>18</v>
      </c>
      <c r="H793">
        <v>3</v>
      </c>
      <c r="I793">
        <v>0</v>
      </c>
      <c r="J793">
        <v>20201</v>
      </c>
      <c r="K793">
        <f>COUNTIF('rEKAP kls MK'!$A$2:$A$35,Worksheet!C793)</f>
        <v>0</v>
      </c>
      <c r="L793" t="str">
        <f t="shared" si="48"/>
        <v>F1B114017</v>
      </c>
      <c r="M793" t="str">
        <f t="shared" si="49"/>
        <v>HIDAYATUR RAHMAN</v>
      </c>
      <c r="O793" t="str">
        <f t="shared" si="50"/>
        <v/>
      </c>
      <c r="P793" t="str">
        <f t="shared" si="51"/>
        <v/>
      </c>
    </row>
    <row r="794" spans="1:16">
      <c r="A794" t="s">
        <v>265</v>
      </c>
      <c r="B794" t="s">
        <v>266</v>
      </c>
      <c r="C794" t="s">
        <v>452</v>
      </c>
      <c r="D794" t="s">
        <v>453</v>
      </c>
      <c r="E794">
        <v>20171</v>
      </c>
      <c r="F794" t="s">
        <v>576</v>
      </c>
      <c r="G794" t="s">
        <v>18</v>
      </c>
      <c r="H794">
        <v>3</v>
      </c>
      <c r="I794">
        <v>0</v>
      </c>
      <c r="J794">
        <v>20201</v>
      </c>
      <c r="K794">
        <f>COUNTIF('rEKAP kls MK'!$A$2:$A$35,Worksheet!C794)</f>
        <v>0</v>
      </c>
      <c r="L794" t="str">
        <f t="shared" si="48"/>
        <v>F1B114020</v>
      </c>
      <c r="M794" t="str">
        <f t="shared" si="49"/>
        <v>IMRAN</v>
      </c>
      <c r="O794" t="str">
        <f t="shared" si="50"/>
        <v/>
      </c>
      <c r="P794" t="str">
        <f t="shared" si="51"/>
        <v/>
      </c>
    </row>
    <row r="795" spans="1:16">
      <c r="A795" t="s">
        <v>446</v>
      </c>
      <c r="B795" t="s">
        <v>447</v>
      </c>
      <c r="C795" t="s">
        <v>452</v>
      </c>
      <c r="D795" t="s">
        <v>453</v>
      </c>
      <c r="E795">
        <v>20171</v>
      </c>
      <c r="F795" t="s">
        <v>576</v>
      </c>
      <c r="G795" t="s">
        <v>101</v>
      </c>
      <c r="H795">
        <v>0</v>
      </c>
      <c r="I795">
        <v>0</v>
      </c>
      <c r="J795">
        <v>20201</v>
      </c>
      <c r="K795">
        <f>COUNTIF('rEKAP kls MK'!$A$2:$A$35,Worksheet!C795)</f>
        <v>0</v>
      </c>
      <c r="L795" t="str">
        <f t="shared" si="48"/>
        <v>F1B114021</v>
      </c>
      <c r="M795" t="str">
        <f t="shared" si="49"/>
        <v>JAUHARI MAKNUN</v>
      </c>
      <c r="O795" t="str">
        <f t="shared" si="50"/>
        <v/>
      </c>
      <c r="P795" t="str">
        <f t="shared" si="51"/>
        <v/>
      </c>
    </row>
    <row r="796" spans="1:16">
      <c r="A796" t="s">
        <v>267</v>
      </c>
      <c r="B796" t="s">
        <v>268</v>
      </c>
      <c r="C796" t="s">
        <v>452</v>
      </c>
      <c r="D796" t="s">
        <v>453</v>
      </c>
      <c r="E796">
        <v>20171</v>
      </c>
      <c r="F796" t="s">
        <v>576</v>
      </c>
      <c r="G796" t="s">
        <v>23</v>
      </c>
      <c r="H796">
        <v>2.5</v>
      </c>
      <c r="I796">
        <v>0</v>
      </c>
      <c r="J796">
        <v>20201</v>
      </c>
      <c r="K796">
        <f>COUNTIF('rEKAP kls MK'!$A$2:$A$35,Worksheet!C796)</f>
        <v>0</v>
      </c>
      <c r="L796" t="str">
        <f t="shared" si="48"/>
        <v>F1B114025</v>
      </c>
      <c r="M796" t="str">
        <f t="shared" si="49"/>
        <v>MUAMMAR GHIRAHANDI HAMARIS</v>
      </c>
      <c r="O796" t="str">
        <f t="shared" si="50"/>
        <v/>
      </c>
      <c r="P796" t="str">
        <f t="shared" si="51"/>
        <v/>
      </c>
    </row>
    <row r="797" spans="1:16">
      <c r="A797" t="s">
        <v>257</v>
      </c>
      <c r="B797" t="s">
        <v>258</v>
      </c>
      <c r="C797" t="s">
        <v>452</v>
      </c>
      <c r="D797" t="s">
        <v>453</v>
      </c>
      <c r="E797">
        <v>20171</v>
      </c>
      <c r="F797" t="s">
        <v>576</v>
      </c>
      <c r="G797" t="s">
        <v>101</v>
      </c>
      <c r="H797">
        <v>0</v>
      </c>
      <c r="I797">
        <v>0</v>
      </c>
      <c r="J797">
        <v>20201</v>
      </c>
      <c r="K797">
        <f>COUNTIF('rEKAP kls MK'!$A$2:$A$35,Worksheet!C797)</f>
        <v>0</v>
      </c>
      <c r="L797" t="str">
        <f t="shared" si="48"/>
        <v>F1B114027</v>
      </c>
      <c r="M797" t="str">
        <f t="shared" si="49"/>
        <v>MUHAMMAD FEBRIAN RAMADAN</v>
      </c>
      <c r="O797" t="str">
        <f t="shared" si="50"/>
        <v/>
      </c>
      <c r="P797" t="str">
        <f t="shared" si="51"/>
        <v/>
      </c>
    </row>
    <row r="798" spans="1:16">
      <c r="A798" t="s">
        <v>45</v>
      </c>
      <c r="B798" t="s">
        <v>46</v>
      </c>
      <c r="C798" t="s">
        <v>456</v>
      </c>
      <c r="D798" t="s">
        <v>457</v>
      </c>
      <c r="E798">
        <v>20171</v>
      </c>
      <c r="F798" t="s">
        <v>576</v>
      </c>
      <c r="G798" t="s">
        <v>18</v>
      </c>
      <c r="H798">
        <v>3</v>
      </c>
      <c r="I798">
        <v>0</v>
      </c>
      <c r="J798">
        <v>20201</v>
      </c>
      <c r="K798">
        <f>COUNTIF('rEKAP kls MK'!$A$2:$A$35,Worksheet!C798)</f>
        <v>0</v>
      </c>
      <c r="L798" t="str">
        <f t="shared" si="48"/>
        <v>F1B114001</v>
      </c>
      <c r="M798" t="str">
        <f t="shared" si="49"/>
        <v>ADI PURNA</v>
      </c>
      <c r="O798" t="str">
        <f t="shared" si="50"/>
        <v>PRAK. TRANSMISI &amp; DISTRIBUSI</v>
      </c>
      <c r="P798" t="str">
        <f t="shared" si="51"/>
        <v/>
      </c>
    </row>
    <row r="799" spans="1:16">
      <c r="A799" t="s">
        <v>140</v>
      </c>
      <c r="B799" t="s">
        <v>141</v>
      </c>
      <c r="C799" t="s">
        <v>456</v>
      </c>
      <c r="D799" t="s">
        <v>457</v>
      </c>
      <c r="E799">
        <v>20171</v>
      </c>
      <c r="F799" t="s">
        <v>576</v>
      </c>
      <c r="G799" t="s">
        <v>26</v>
      </c>
      <c r="H799">
        <v>2</v>
      </c>
      <c r="I799">
        <v>0</v>
      </c>
      <c r="J799">
        <v>20201</v>
      </c>
      <c r="K799">
        <f>COUNTIF('rEKAP kls MK'!$A$2:$A$35,Worksheet!C799)</f>
        <v>0</v>
      </c>
      <c r="L799" t="str">
        <f t="shared" si="48"/>
        <v>F1B114003</v>
      </c>
      <c r="M799" t="str">
        <f t="shared" si="49"/>
        <v>AGUS SUPANDI</v>
      </c>
      <c r="O799" t="str">
        <f t="shared" si="50"/>
        <v/>
      </c>
      <c r="P799" t="str">
        <f t="shared" si="51"/>
        <v/>
      </c>
    </row>
    <row r="800" spans="1:16">
      <c r="A800" t="s">
        <v>47</v>
      </c>
      <c r="B800" t="s">
        <v>48</v>
      </c>
      <c r="C800" t="s">
        <v>456</v>
      </c>
      <c r="D800" t="s">
        <v>457</v>
      </c>
      <c r="E800">
        <v>20171</v>
      </c>
      <c r="F800" t="s">
        <v>576</v>
      </c>
      <c r="G800" t="s">
        <v>23</v>
      </c>
      <c r="H800">
        <v>2.5</v>
      </c>
      <c r="I800">
        <v>0</v>
      </c>
      <c r="J800">
        <v>20201</v>
      </c>
      <c r="K800">
        <f>COUNTIF('rEKAP kls MK'!$A$2:$A$35,Worksheet!C800)</f>
        <v>0</v>
      </c>
      <c r="L800" t="str">
        <f t="shared" si="48"/>
        <v>F1B114004</v>
      </c>
      <c r="M800" t="str">
        <f t="shared" si="49"/>
        <v>AKHMAD AKHIR BULAN</v>
      </c>
      <c r="O800" t="str">
        <f t="shared" si="50"/>
        <v/>
      </c>
      <c r="P800" t="str">
        <f t="shared" si="51"/>
        <v/>
      </c>
    </row>
    <row r="801" spans="1:16">
      <c r="A801" t="s">
        <v>261</v>
      </c>
      <c r="B801" t="s">
        <v>262</v>
      </c>
      <c r="C801" t="s">
        <v>456</v>
      </c>
      <c r="D801" t="s">
        <v>457</v>
      </c>
      <c r="E801">
        <v>20171</v>
      </c>
      <c r="F801" t="s">
        <v>576</v>
      </c>
      <c r="G801" t="s">
        <v>18</v>
      </c>
      <c r="H801">
        <v>3</v>
      </c>
      <c r="I801">
        <v>0</v>
      </c>
      <c r="J801">
        <v>20201</v>
      </c>
      <c r="K801">
        <f>COUNTIF('rEKAP kls MK'!$A$2:$A$35,Worksheet!C801)</f>
        <v>0</v>
      </c>
      <c r="L801" t="str">
        <f t="shared" si="48"/>
        <v>F1B114006</v>
      </c>
      <c r="M801" t="str">
        <f t="shared" si="49"/>
        <v>BAYU RAMADHAN</v>
      </c>
      <c r="O801" t="str">
        <f t="shared" si="50"/>
        <v/>
      </c>
      <c r="P801" t="str">
        <f t="shared" si="51"/>
        <v/>
      </c>
    </row>
    <row r="802" spans="1:16">
      <c r="A802" t="s">
        <v>52</v>
      </c>
      <c r="B802" t="s">
        <v>53</v>
      </c>
      <c r="C802" t="s">
        <v>456</v>
      </c>
      <c r="D802" t="s">
        <v>457</v>
      </c>
      <c r="E802">
        <v>20171</v>
      </c>
      <c r="F802" t="s">
        <v>576</v>
      </c>
      <c r="G802" t="s">
        <v>101</v>
      </c>
      <c r="H802">
        <v>0</v>
      </c>
      <c r="I802">
        <v>0</v>
      </c>
      <c r="J802">
        <v>20201</v>
      </c>
      <c r="K802">
        <f>COUNTIF('rEKAP kls MK'!$A$2:$A$35,Worksheet!C802)</f>
        <v>0</v>
      </c>
      <c r="L802" t="str">
        <f t="shared" si="48"/>
        <v>F1B114014</v>
      </c>
      <c r="M802" t="str">
        <f t="shared" si="49"/>
        <v>HAMDUN</v>
      </c>
      <c r="O802" t="str">
        <f t="shared" si="50"/>
        <v/>
      </c>
      <c r="P802" t="str">
        <f t="shared" si="51"/>
        <v/>
      </c>
    </row>
    <row r="803" spans="1:16">
      <c r="A803" t="s">
        <v>263</v>
      </c>
      <c r="B803" t="s">
        <v>264</v>
      </c>
      <c r="C803" t="s">
        <v>456</v>
      </c>
      <c r="D803" t="s">
        <v>457</v>
      </c>
      <c r="E803">
        <v>20171</v>
      </c>
      <c r="F803" t="s">
        <v>576</v>
      </c>
      <c r="G803" t="s">
        <v>18</v>
      </c>
      <c r="H803">
        <v>3</v>
      </c>
      <c r="I803">
        <v>0</v>
      </c>
      <c r="J803">
        <v>20201</v>
      </c>
      <c r="K803">
        <f>COUNTIF('rEKAP kls MK'!$A$2:$A$35,Worksheet!C803)</f>
        <v>0</v>
      </c>
      <c r="L803" t="str">
        <f t="shared" si="48"/>
        <v>F1B114017</v>
      </c>
      <c r="M803" t="str">
        <f t="shared" si="49"/>
        <v>HIDAYATUR RAHMAN</v>
      </c>
      <c r="O803" t="str">
        <f t="shared" si="50"/>
        <v/>
      </c>
      <c r="P803" t="str">
        <f t="shared" si="51"/>
        <v/>
      </c>
    </row>
    <row r="804" spans="1:16">
      <c r="A804" t="s">
        <v>265</v>
      </c>
      <c r="B804" t="s">
        <v>266</v>
      </c>
      <c r="C804" t="s">
        <v>456</v>
      </c>
      <c r="D804" t="s">
        <v>457</v>
      </c>
      <c r="E804">
        <v>20171</v>
      </c>
      <c r="F804" t="s">
        <v>576</v>
      </c>
      <c r="G804" t="s">
        <v>23</v>
      </c>
      <c r="H804">
        <v>2.5</v>
      </c>
      <c r="I804">
        <v>0</v>
      </c>
      <c r="J804">
        <v>20201</v>
      </c>
      <c r="K804">
        <f>COUNTIF('rEKAP kls MK'!$A$2:$A$35,Worksheet!C804)</f>
        <v>0</v>
      </c>
      <c r="L804" t="str">
        <f t="shared" si="48"/>
        <v>F1B114020</v>
      </c>
      <c r="M804" t="str">
        <f t="shared" si="49"/>
        <v>IMRAN</v>
      </c>
      <c r="O804" t="str">
        <f t="shared" si="50"/>
        <v/>
      </c>
      <c r="P804" t="str">
        <f t="shared" si="51"/>
        <v/>
      </c>
    </row>
    <row r="805" spans="1:16">
      <c r="A805" t="s">
        <v>446</v>
      </c>
      <c r="B805" t="s">
        <v>447</v>
      </c>
      <c r="C805" t="s">
        <v>456</v>
      </c>
      <c r="D805" t="s">
        <v>457</v>
      </c>
      <c r="E805">
        <v>20171</v>
      </c>
      <c r="F805" t="s">
        <v>576</v>
      </c>
      <c r="G805" t="s">
        <v>15</v>
      </c>
      <c r="H805">
        <v>0</v>
      </c>
      <c r="I805">
        <v>0</v>
      </c>
      <c r="J805">
        <v>20201</v>
      </c>
      <c r="K805">
        <f>COUNTIF('rEKAP kls MK'!$A$2:$A$35,Worksheet!C805)</f>
        <v>0</v>
      </c>
      <c r="L805" t="str">
        <f t="shared" si="48"/>
        <v>F1B114021</v>
      </c>
      <c r="M805" t="str">
        <f t="shared" si="49"/>
        <v>JAUHARI MAKNUN</v>
      </c>
      <c r="O805" t="str">
        <f t="shared" si="50"/>
        <v/>
      </c>
      <c r="P805" t="str">
        <f t="shared" si="51"/>
        <v/>
      </c>
    </row>
    <row r="806" spans="1:16">
      <c r="A806" t="s">
        <v>267</v>
      </c>
      <c r="B806" t="s">
        <v>268</v>
      </c>
      <c r="C806" t="s">
        <v>456</v>
      </c>
      <c r="D806" t="s">
        <v>457</v>
      </c>
      <c r="E806">
        <v>20171</v>
      </c>
      <c r="F806" t="s">
        <v>576</v>
      </c>
      <c r="G806" t="s">
        <v>23</v>
      </c>
      <c r="H806">
        <v>2.5</v>
      </c>
      <c r="I806">
        <v>0</v>
      </c>
      <c r="J806">
        <v>20201</v>
      </c>
      <c r="K806">
        <f>COUNTIF('rEKAP kls MK'!$A$2:$A$35,Worksheet!C806)</f>
        <v>0</v>
      </c>
      <c r="L806" t="str">
        <f t="shared" si="48"/>
        <v>F1B114025</v>
      </c>
      <c r="M806" t="str">
        <f t="shared" si="49"/>
        <v>MUAMMAR GHIRAHANDI HAMARIS</v>
      </c>
      <c r="O806" t="str">
        <f t="shared" si="50"/>
        <v/>
      </c>
      <c r="P806" t="str">
        <f t="shared" si="51"/>
        <v/>
      </c>
    </row>
    <row r="807" spans="1:16">
      <c r="A807" t="s">
        <v>257</v>
      </c>
      <c r="B807" t="s">
        <v>258</v>
      </c>
      <c r="C807" t="s">
        <v>456</v>
      </c>
      <c r="D807" t="s">
        <v>457</v>
      </c>
      <c r="E807">
        <v>20171</v>
      </c>
      <c r="F807" t="s">
        <v>576</v>
      </c>
      <c r="G807" t="s">
        <v>23</v>
      </c>
      <c r="H807">
        <v>2.5</v>
      </c>
      <c r="I807">
        <v>0</v>
      </c>
      <c r="J807">
        <v>20201</v>
      </c>
      <c r="K807">
        <f>COUNTIF('rEKAP kls MK'!$A$2:$A$35,Worksheet!C807)</f>
        <v>0</v>
      </c>
      <c r="L807" t="str">
        <f t="shared" si="48"/>
        <v>F1B114027</v>
      </c>
      <c r="M807" t="str">
        <f t="shared" si="49"/>
        <v>MUHAMMAD FEBRIAN RAMADAN</v>
      </c>
      <c r="O807" t="str">
        <f t="shared" si="50"/>
        <v/>
      </c>
      <c r="P807" t="str">
        <f t="shared" si="51"/>
        <v/>
      </c>
    </row>
    <row r="808" spans="1:16">
      <c r="A808" t="s">
        <v>269</v>
      </c>
      <c r="B808" t="s">
        <v>270</v>
      </c>
      <c r="C808" t="s">
        <v>271</v>
      </c>
      <c r="D808" t="s">
        <v>272</v>
      </c>
      <c r="E808">
        <v>20171</v>
      </c>
      <c r="F808" t="s">
        <v>576</v>
      </c>
      <c r="G808" t="s">
        <v>150</v>
      </c>
      <c r="H808">
        <v>0</v>
      </c>
      <c r="I808">
        <v>0</v>
      </c>
      <c r="J808">
        <v>20201</v>
      </c>
      <c r="K808">
        <f>COUNTIF('rEKAP kls MK'!$A$2:$A$35,Worksheet!C808)</f>
        <v>0</v>
      </c>
      <c r="L808" t="str">
        <f t="shared" si="48"/>
        <v>F1B110010</v>
      </c>
      <c r="M808" t="str">
        <f t="shared" si="49"/>
        <v>GHAZI AKBAR</v>
      </c>
      <c r="O808" t="str">
        <f t="shared" si="50"/>
        <v>PRAKTEK KERJA LAPANGAN</v>
      </c>
      <c r="P808" t="str">
        <f t="shared" si="51"/>
        <v/>
      </c>
    </row>
    <row r="809" spans="1:16">
      <c r="A809" t="s">
        <v>273</v>
      </c>
      <c r="B809" t="s">
        <v>274</v>
      </c>
      <c r="C809" t="s">
        <v>271</v>
      </c>
      <c r="D809" t="s">
        <v>272</v>
      </c>
      <c r="E809">
        <v>20171</v>
      </c>
      <c r="F809" t="s">
        <v>576</v>
      </c>
      <c r="G809" t="s">
        <v>150</v>
      </c>
      <c r="H809">
        <v>0</v>
      </c>
      <c r="I809">
        <v>0</v>
      </c>
      <c r="J809">
        <v>20201</v>
      </c>
      <c r="K809">
        <f>COUNTIF('rEKAP kls MK'!$A$2:$A$35,Worksheet!C809)</f>
        <v>0</v>
      </c>
      <c r="L809" t="str">
        <f t="shared" si="48"/>
        <v>F1B110068</v>
      </c>
      <c r="M809" t="str">
        <f t="shared" si="49"/>
        <v>SUPARLAN ARDYANSYAH</v>
      </c>
      <c r="O809" t="str">
        <f t="shared" si="50"/>
        <v/>
      </c>
      <c r="P809" t="str">
        <f t="shared" si="51"/>
        <v/>
      </c>
    </row>
    <row r="810" spans="1:16">
      <c r="A810" t="s">
        <v>102</v>
      </c>
      <c r="B810" t="s">
        <v>103</v>
      </c>
      <c r="C810" t="s">
        <v>271</v>
      </c>
      <c r="D810" t="s">
        <v>272</v>
      </c>
      <c r="E810">
        <v>20171</v>
      </c>
      <c r="F810" t="s">
        <v>576</v>
      </c>
      <c r="G810" t="s">
        <v>82</v>
      </c>
      <c r="H810">
        <v>4</v>
      </c>
      <c r="I810">
        <v>0</v>
      </c>
      <c r="J810">
        <v>20201</v>
      </c>
      <c r="K810">
        <f>COUNTIF('rEKAP kls MK'!$A$2:$A$35,Worksheet!C810)</f>
        <v>0</v>
      </c>
      <c r="L810" t="str">
        <f t="shared" si="48"/>
        <v>F1B111033</v>
      </c>
      <c r="M810" t="str">
        <f t="shared" si="49"/>
        <v>Jumait</v>
      </c>
      <c r="O810" t="str">
        <f t="shared" si="50"/>
        <v/>
      </c>
      <c r="P810" t="str">
        <f t="shared" si="51"/>
        <v/>
      </c>
    </row>
    <row r="811" spans="1:16">
      <c r="A811" t="s">
        <v>205</v>
      </c>
      <c r="B811" t="s">
        <v>206</v>
      </c>
      <c r="C811" t="s">
        <v>271</v>
      </c>
      <c r="D811" t="s">
        <v>272</v>
      </c>
      <c r="E811">
        <v>20171</v>
      </c>
      <c r="F811" t="s">
        <v>576</v>
      </c>
      <c r="G811" t="s">
        <v>150</v>
      </c>
      <c r="H811">
        <v>0</v>
      </c>
      <c r="I811">
        <v>0</v>
      </c>
      <c r="J811">
        <v>20201</v>
      </c>
      <c r="K811">
        <f>COUNTIF('rEKAP kls MK'!$A$2:$A$35,Worksheet!C811)</f>
        <v>0</v>
      </c>
      <c r="L811" t="str">
        <f t="shared" si="48"/>
        <v>F1B112018</v>
      </c>
      <c r="M811" t="str">
        <f t="shared" si="49"/>
        <v>Edi Zulkarnain</v>
      </c>
      <c r="O811" t="str">
        <f t="shared" si="50"/>
        <v/>
      </c>
      <c r="P811" t="str">
        <f t="shared" si="51"/>
        <v/>
      </c>
    </row>
    <row r="812" spans="1:16">
      <c r="A812" t="s">
        <v>207</v>
      </c>
      <c r="B812" t="s">
        <v>208</v>
      </c>
      <c r="C812" t="s">
        <v>271</v>
      </c>
      <c r="D812" t="s">
        <v>272</v>
      </c>
      <c r="E812">
        <v>20171</v>
      </c>
      <c r="F812" t="s">
        <v>576</v>
      </c>
      <c r="G812" t="s">
        <v>82</v>
      </c>
      <c r="H812">
        <v>4</v>
      </c>
      <c r="I812">
        <v>0</v>
      </c>
      <c r="J812">
        <v>20201</v>
      </c>
      <c r="K812">
        <f>COUNTIF('rEKAP kls MK'!$A$2:$A$35,Worksheet!C812)</f>
        <v>0</v>
      </c>
      <c r="L812" t="str">
        <f t="shared" si="48"/>
        <v>F1B112051</v>
      </c>
      <c r="M812" t="str">
        <f t="shared" si="49"/>
        <v>Teguh Agamawan Putra</v>
      </c>
      <c r="O812" t="str">
        <f t="shared" si="50"/>
        <v/>
      </c>
      <c r="P812" t="str">
        <f t="shared" si="51"/>
        <v/>
      </c>
    </row>
    <row r="813" spans="1:16">
      <c r="A813" t="s">
        <v>132</v>
      </c>
      <c r="B813" t="s">
        <v>133</v>
      </c>
      <c r="C813" t="s">
        <v>271</v>
      </c>
      <c r="D813" t="s">
        <v>272</v>
      </c>
      <c r="E813">
        <v>20171</v>
      </c>
      <c r="F813" t="s">
        <v>576</v>
      </c>
      <c r="G813" t="s">
        <v>150</v>
      </c>
      <c r="H813">
        <v>0</v>
      </c>
      <c r="I813">
        <v>0</v>
      </c>
      <c r="J813">
        <v>20201</v>
      </c>
      <c r="K813">
        <f>COUNTIF('rEKAP kls MK'!$A$2:$A$35,Worksheet!C813)</f>
        <v>0</v>
      </c>
      <c r="L813" t="str">
        <f t="shared" si="48"/>
        <v>F1B113013</v>
      </c>
      <c r="M813" t="str">
        <f t="shared" si="49"/>
        <v>I NENGAH AGUS YOGI A</v>
      </c>
      <c r="O813" t="str">
        <f t="shared" si="50"/>
        <v/>
      </c>
      <c r="P813" t="str">
        <f t="shared" si="51"/>
        <v/>
      </c>
    </row>
    <row r="814" spans="1:16">
      <c r="A814" t="s">
        <v>173</v>
      </c>
      <c r="B814" t="s">
        <v>174</v>
      </c>
      <c r="C814" t="s">
        <v>271</v>
      </c>
      <c r="D814" t="s">
        <v>272</v>
      </c>
      <c r="E814">
        <v>20171</v>
      </c>
      <c r="F814" t="s">
        <v>576</v>
      </c>
      <c r="G814" t="s">
        <v>150</v>
      </c>
      <c r="H814">
        <v>0</v>
      </c>
      <c r="I814">
        <v>0</v>
      </c>
      <c r="J814">
        <v>20201</v>
      </c>
      <c r="K814">
        <f>COUNTIF('rEKAP kls MK'!$A$2:$A$35,Worksheet!C814)</f>
        <v>0</v>
      </c>
      <c r="L814" t="str">
        <f t="shared" si="48"/>
        <v>F1B113037</v>
      </c>
      <c r="M814" t="str">
        <f t="shared" si="49"/>
        <v>ULUL AZMI</v>
      </c>
      <c r="O814" t="str">
        <f t="shared" si="50"/>
        <v/>
      </c>
      <c r="P814" t="str">
        <f t="shared" si="51"/>
        <v/>
      </c>
    </row>
    <row r="815" spans="1:16">
      <c r="A815" t="s">
        <v>140</v>
      </c>
      <c r="B815" t="s">
        <v>141</v>
      </c>
      <c r="C815" t="s">
        <v>271</v>
      </c>
      <c r="D815" t="s">
        <v>272</v>
      </c>
      <c r="E815">
        <v>20171</v>
      </c>
      <c r="F815" t="s">
        <v>576</v>
      </c>
      <c r="G815" t="s">
        <v>82</v>
      </c>
      <c r="H815">
        <v>4</v>
      </c>
      <c r="I815">
        <v>0</v>
      </c>
      <c r="J815">
        <v>20201</v>
      </c>
      <c r="K815">
        <f>COUNTIF('rEKAP kls MK'!$A$2:$A$35,Worksheet!C815)</f>
        <v>0</v>
      </c>
      <c r="L815" t="str">
        <f t="shared" si="48"/>
        <v>F1B114003</v>
      </c>
      <c r="M815" t="str">
        <f t="shared" si="49"/>
        <v>AGUS SUPANDI</v>
      </c>
      <c r="O815" t="str">
        <f t="shared" si="50"/>
        <v/>
      </c>
      <c r="P815" t="str">
        <f t="shared" si="51"/>
        <v/>
      </c>
    </row>
    <row r="816" spans="1:16">
      <c r="A816" t="s">
        <v>155</v>
      </c>
      <c r="B816" t="s">
        <v>156</v>
      </c>
      <c r="C816" t="s">
        <v>271</v>
      </c>
      <c r="D816" t="s">
        <v>272</v>
      </c>
      <c r="E816">
        <v>20171</v>
      </c>
      <c r="F816" t="s">
        <v>576</v>
      </c>
      <c r="G816" t="s">
        <v>150</v>
      </c>
      <c r="H816">
        <v>0</v>
      </c>
      <c r="I816">
        <v>0</v>
      </c>
      <c r="J816">
        <v>20201</v>
      </c>
      <c r="K816">
        <f>COUNTIF('rEKAP kls MK'!$A$2:$A$35,Worksheet!C816)</f>
        <v>0</v>
      </c>
      <c r="L816" t="str">
        <f t="shared" si="48"/>
        <v>F1B114008</v>
      </c>
      <c r="M816" t="str">
        <f t="shared" si="49"/>
        <v>BRIAN ABBY ARIESTYO WIRYANDITO</v>
      </c>
      <c r="O816" t="str">
        <f t="shared" si="50"/>
        <v/>
      </c>
      <c r="P816" t="str">
        <f t="shared" si="51"/>
        <v/>
      </c>
    </row>
    <row r="817" spans="1:16">
      <c r="A817" t="s">
        <v>175</v>
      </c>
      <c r="B817" t="s">
        <v>176</v>
      </c>
      <c r="C817" t="s">
        <v>271</v>
      </c>
      <c r="D817" t="s">
        <v>272</v>
      </c>
      <c r="E817">
        <v>20171</v>
      </c>
      <c r="F817" t="s">
        <v>576</v>
      </c>
      <c r="G817" t="s">
        <v>150</v>
      </c>
      <c r="H817">
        <v>0</v>
      </c>
      <c r="I817">
        <v>0</v>
      </c>
      <c r="J817">
        <v>20201</v>
      </c>
      <c r="K817">
        <f>COUNTIF('rEKAP kls MK'!$A$2:$A$35,Worksheet!C817)</f>
        <v>0</v>
      </c>
      <c r="L817" t="str">
        <f t="shared" si="48"/>
        <v>F1B114009</v>
      </c>
      <c r="M817" t="str">
        <f t="shared" si="49"/>
        <v>DANA SELVIA HADISWARA</v>
      </c>
      <c r="O817" t="str">
        <f t="shared" si="50"/>
        <v/>
      </c>
      <c r="P817" t="str">
        <f t="shared" si="51"/>
        <v/>
      </c>
    </row>
    <row r="818" spans="1:16">
      <c r="A818" t="s">
        <v>157</v>
      </c>
      <c r="B818" t="s">
        <v>158</v>
      </c>
      <c r="C818" t="s">
        <v>271</v>
      </c>
      <c r="D818" t="s">
        <v>272</v>
      </c>
      <c r="E818">
        <v>20171</v>
      </c>
      <c r="F818" t="s">
        <v>576</v>
      </c>
      <c r="G818" t="s">
        <v>150</v>
      </c>
      <c r="H818">
        <v>0</v>
      </c>
      <c r="I818">
        <v>0</v>
      </c>
      <c r="J818">
        <v>20201</v>
      </c>
      <c r="K818">
        <f>COUNTIF('rEKAP kls MK'!$A$2:$A$35,Worksheet!C818)</f>
        <v>0</v>
      </c>
      <c r="L818" t="str">
        <f t="shared" si="48"/>
        <v>F1B114010</v>
      </c>
      <c r="M818" t="str">
        <f t="shared" si="49"/>
        <v>EKA MARTA SIOMI</v>
      </c>
      <c r="O818" t="str">
        <f t="shared" si="50"/>
        <v/>
      </c>
      <c r="P818" t="str">
        <f t="shared" si="51"/>
        <v/>
      </c>
    </row>
    <row r="819" spans="1:16">
      <c r="A819" t="s">
        <v>263</v>
      </c>
      <c r="B819" t="s">
        <v>264</v>
      </c>
      <c r="C819" t="s">
        <v>271</v>
      </c>
      <c r="D819" t="s">
        <v>272</v>
      </c>
      <c r="E819">
        <v>20171</v>
      </c>
      <c r="F819" t="s">
        <v>576</v>
      </c>
      <c r="G819" t="s">
        <v>150</v>
      </c>
      <c r="H819">
        <v>0</v>
      </c>
      <c r="I819">
        <v>0</v>
      </c>
      <c r="J819">
        <v>20201</v>
      </c>
      <c r="K819">
        <f>COUNTIF('rEKAP kls MK'!$A$2:$A$35,Worksheet!C819)</f>
        <v>0</v>
      </c>
      <c r="L819" t="str">
        <f t="shared" si="48"/>
        <v>F1B114017</v>
      </c>
      <c r="M819" t="str">
        <f t="shared" si="49"/>
        <v>HIDAYATUR RAHMAN</v>
      </c>
      <c r="O819" t="str">
        <f t="shared" si="50"/>
        <v/>
      </c>
      <c r="P819" t="str">
        <f t="shared" si="51"/>
        <v/>
      </c>
    </row>
    <row r="820" spans="1:16">
      <c r="A820" t="s">
        <v>142</v>
      </c>
      <c r="B820" t="s">
        <v>143</v>
      </c>
      <c r="C820" t="s">
        <v>271</v>
      </c>
      <c r="D820" t="s">
        <v>272</v>
      </c>
      <c r="E820">
        <v>20171</v>
      </c>
      <c r="F820" t="s">
        <v>576</v>
      </c>
      <c r="G820" t="s">
        <v>82</v>
      </c>
      <c r="H820">
        <v>4</v>
      </c>
      <c r="I820">
        <v>0</v>
      </c>
      <c r="J820">
        <v>20201</v>
      </c>
      <c r="K820">
        <f>COUNTIF('rEKAP kls MK'!$A$2:$A$35,Worksheet!C820)</f>
        <v>0</v>
      </c>
      <c r="L820" t="str">
        <f t="shared" si="48"/>
        <v>F1B114018</v>
      </c>
      <c r="M820" t="str">
        <f t="shared" si="49"/>
        <v>I GUSTI BAGUS HENDRA PRADIPTA</v>
      </c>
      <c r="O820" t="str">
        <f t="shared" si="50"/>
        <v/>
      </c>
      <c r="P820" t="str">
        <f t="shared" si="51"/>
        <v/>
      </c>
    </row>
    <row r="821" spans="1:16">
      <c r="A821" t="s">
        <v>265</v>
      </c>
      <c r="B821" t="s">
        <v>266</v>
      </c>
      <c r="C821" t="s">
        <v>271</v>
      </c>
      <c r="D821" t="s">
        <v>272</v>
      </c>
      <c r="E821">
        <v>20171</v>
      </c>
      <c r="F821" t="s">
        <v>576</v>
      </c>
      <c r="G821" t="s">
        <v>82</v>
      </c>
      <c r="H821">
        <v>4</v>
      </c>
      <c r="I821">
        <v>0</v>
      </c>
      <c r="J821">
        <v>20201</v>
      </c>
      <c r="K821">
        <f>COUNTIF('rEKAP kls MK'!$A$2:$A$35,Worksheet!C821)</f>
        <v>0</v>
      </c>
      <c r="L821" t="str">
        <f t="shared" si="48"/>
        <v>F1B114020</v>
      </c>
      <c r="M821" t="str">
        <f t="shared" si="49"/>
        <v>IMRAN</v>
      </c>
      <c r="O821" t="str">
        <f t="shared" si="50"/>
        <v/>
      </c>
      <c r="P821" t="str">
        <f t="shared" si="51"/>
        <v/>
      </c>
    </row>
    <row r="822" spans="1:16">
      <c r="A822" t="s">
        <v>267</v>
      </c>
      <c r="B822" t="s">
        <v>268</v>
      </c>
      <c r="C822" t="s">
        <v>271</v>
      </c>
      <c r="D822" t="s">
        <v>272</v>
      </c>
      <c r="E822">
        <v>20171</v>
      </c>
      <c r="F822" t="s">
        <v>576</v>
      </c>
      <c r="G822" t="s">
        <v>82</v>
      </c>
      <c r="H822">
        <v>4</v>
      </c>
      <c r="I822">
        <v>0</v>
      </c>
      <c r="J822">
        <v>20201</v>
      </c>
      <c r="K822">
        <f>COUNTIF('rEKAP kls MK'!$A$2:$A$35,Worksheet!C822)</f>
        <v>0</v>
      </c>
      <c r="L822" t="str">
        <f t="shared" si="48"/>
        <v>F1B114025</v>
      </c>
      <c r="M822" t="str">
        <f t="shared" si="49"/>
        <v>MUAMMAR GHIRAHANDI HAMARIS</v>
      </c>
      <c r="O822" t="str">
        <f t="shared" si="50"/>
        <v/>
      </c>
      <c r="P822" t="str">
        <f t="shared" si="51"/>
        <v/>
      </c>
    </row>
    <row r="823" spans="1:16">
      <c r="A823" t="s">
        <v>201</v>
      </c>
      <c r="B823" t="s">
        <v>202</v>
      </c>
      <c r="C823" t="s">
        <v>271</v>
      </c>
      <c r="D823" t="s">
        <v>272</v>
      </c>
      <c r="E823">
        <v>20171</v>
      </c>
      <c r="F823" t="s">
        <v>576</v>
      </c>
      <c r="G823" t="s">
        <v>82</v>
      </c>
      <c r="H823">
        <v>4</v>
      </c>
      <c r="I823">
        <v>0</v>
      </c>
      <c r="J823">
        <v>20201</v>
      </c>
      <c r="K823">
        <f>COUNTIF('rEKAP kls MK'!$A$2:$A$35,Worksheet!C823)</f>
        <v>0</v>
      </c>
      <c r="L823" t="str">
        <f t="shared" si="48"/>
        <v>F1B114030</v>
      </c>
      <c r="M823" t="str">
        <f t="shared" si="49"/>
        <v>PUTRA RAHMAT RAMADAN</v>
      </c>
      <c r="O823" t="str">
        <f t="shared" si="50"/>
        <v/>
      </c>
      <c r="P823" t="str">
        <f t="shared" si="51"/>
        <v/>
      </c>
    </row>
    <row r="824" spans="1:16">
      <c r="A824" t="s">
        <v>49</v>
      </c>
      <c r="B824" t="s">
        <v>50</v>
      </c>
      <c r="C824" t="s">
        <v>398</v>
      </c>
      <c r="D824" t="s">
        <v>399</v>
      </c>
      <c r="E824">
        <v>20171</v>
      </c>
      <c r="F824" t="s">
        <v>576</v>
      </c>
      <c r="G824" t="s">
        <v>101</v>
      </c>
      <c r="H824">
        <v>0</v>
      </c>
      <c r="I824">
        <v>0</v>
      </c>
      <c r="J824">
        <v>20201</v>
      </c>
      <c r="K824">
        <f>COUNTIF('rEKAP kls MK'!$A$2:$A$35,Worksheet!C824)</f>
        <v>0</v>
      </c>
      <c r="L824" t="str">
        <f t="shared" si="48"/>
        <v>F1B114007</v>
      </c>
      <c r="M824" t="str">
        <f t="shared" si="49"/>
        <v>BIJE SYIAPRIADI D</v>
      </c>
      <c r="O824" t="str">
        <f t="shared" si="50"/>
        <v>PRAKTIKUM ALGORITMA DAN STRUKTUR DATA</v>
      </c>
      <c r="P824" t="str">
        <f t="shared" si="51"/>
        <v/>
      </c>
    </row>
    <row r="825" spans="1:16">
      <c r="A825" t="s">
        <v>155</v>
      </c>
      <c r="B825" t="s">
        <v>156</v>
      </c>
      <c r="C825" t="s">
        <v>398</v>
      </c>
      <c r="D825" t="s">
        <v>399</v>
      </c>
      <c r="E825">
        <v>20171</v>
      </c>
      <c r="F825" t="s">
        <v>576</v>
      </c>
      <c r="G825" t="s">
        <v>51</v>
      </c>
      <c r="H825">
        <v>3.5</v>
      </c>
      <c r="I825">
        <v>0</v>
      </c>
      <c r="J825">
        <v>20201</v>
      </c>
      <c r="K825">
        <f>COUNTIF('rEKAP kls MK'!$A$2:$A$35,Worksheet!C825)</f>
        <v>0</v>
      </c>
      <c r="L825" t="str">
        <f t="shared" si="48"/>
        <v>F1B114008</v>
      </c>
      <c r="M825" t="str">
        <f t="shared" si="49"/>
        <v>BRIAN ABBY ARIESTYO WIRYANDITO</v>
      </c>
      <c r="O825" t="str">
        <f t="shared" si="50"/>
        <v/>
      </c>
      <c r="P825" t="str">
        <f t="shared" si="51"/>
        <v/>
      </c>
    </row>
    <row r="826" spans="1:16">
      <c r="A826" t="s">
        <v>175</v>
      </c>
      <c r="B826" t="s">
        <v>176</v>
      </c>
      <c r="C826" t="s">
        <v>398</v>
      </c>
      <c r="D826" t="s">
        <v>399</v>
      </c>
      <c r="E826">
        <v>20171</v>
      </c>
      <c r="F826" t="s">
        <v>576</v>
      </c>
      <c r="G826" t="s">
        <v>51</v>
      </c>
      <c r="H826">
        <v>3.5</v>
      </c>
      <c r="I826">
        <v>0</v>
      </c>
      <c r="J826">
        <v>20201</v>
      </c>
      <c r="K826">
        <f>COUNTIF('rEKAP kls MK'!$A$2:$A$35,Worksheet!C826)</f>
        <v>0</v>
      </c>
      <c r="L826" t="str">
        <f t="shared" si="48"/>
        <v>F1B114009</v>
      </c>
      <c r="M826" t="str">
        <f t="shared" si="49"/>
        <v>DANA SELVIA HADISWARA</v>
      </c>
      <c r="O826" t="str">
        <f t="shared" si="50"/>
        <v/>
      </c>
      <c r="P826" t="str">
        <f t="shared" si="51"/>
        <v/>
      </c>
    </row>
    <row r="827" spans="1:16">
      <c r="A827" t="s">
        <v>157</v>
      </c>
      <c r="B827" t="s">
        <v>158</v>
      </c>
      <c r="C827" t="s">
        <v>398</v>
      </c>
      <c r="D827" t="s">
        <v>399</v>
      </c>
      <c r="E827">
        <v>20171</v>
      </c>
      <c r="F827" t="s">
        <v>576</v>
      </c>
      <c r="G827" t="s">
        <v>51</v>
      </c>
      <c r="H827">
        <v>3.5</v>
      </c>
      <c r="I827">
        <v>0</v>
      </c>
      <c r="J827">
        <v>20201</v>
      </c>
      <c r="K827">
        <f>COUNTIF('rEKAP kls MK'!$A$2:$A$35,Worksheet!C827)</f>
        <v>0</v>
      </c>
      <c r="L827" t="str">
        <f t="shared" si="48"/>
        <v>F1B114010</v>
      </c>
      <c r="M827" t="str">
        <f t="shared" si="49"/>
        <v>EKA MARTA SIOMI</v>
      </c>
      <c r="O827" t="str">
        <f t="shared" si="50"/>
        <v/>
      </c>
      <c r="P827" t="str">
        <f t="shared" si="51"/>
        <v/>
      </c>
    </row>
    <row r="828" spans="1:16">
      <c r="A828" t="s">
        <v>159</v>
      </c>
      <c r="B828" t="s">
        <v>160</v>
      </c>
      <c r="C828" t="s">
        <v>398</v>
      </c>
      <c r="D828" t="s">
        <v>399</v>
      </c>
      <c r="E828">
        <v>20171</v>
      </c>
      <c r="F828" t="s">
        <v>576</v>
      </c>
      <c r="G828" t="s">
        <v>18</v>
      </c>
      <c r="H828">
        <v>3</v>
      </c>
      <c r="I828">
        <v>0</v>
      </c>
      <c r="J828">
        <v>20201</v>
      </c>
      <c r="K828">
        <f>COUNTIF('rEKAP kls MK'!$A$2:$A$35,Worksheet!C828)</f>
        <v>0</v>
      </c>
      <c r="L828" t="str">
        <f t="shared" si="48"/>
        <v>F1B114011</v>
      </c>
      <c r="M828" t="str">
        <f t="shared" si="49"/>
        <v>ERWIN LINGGA SAPUTRA</v>
      </c>
      <c r="O828" t="str">
        <f t="shared" si="50"/>
        <v/>
      </c>
      <c r="P828" t="str">
        <f t="shared" si="51"/>
        <v/>
      </c>
    </row>
    <row r="829" spans="1:16">
      <c r="A829" t="s">
        <v>161</v>
      </c>
      <c r="B829" t="s">
        <v>162</v>
      </c>
      <c r="C829" t="s">
        <v>398</v>
      </c>
      <c r="D829" t="s">
        <v>399</v>
      </c>
      <c r="E829">
        <v>20171</v>
      </c>
      <c r="F829" t="s">
        <v>576</v>
      </c>
      <c r="G829" t="s">
        <v>101</v>
      </c>
      <c r="H829">
        <v>0</v>
      </c>
      <c r="I829">
        <v>0</v>
      </c>
      <c r="J829">
        <v>20201</v>
      </c>
      <c r="K829">
        <f>COUNTIF('rEKAP kls MK'!$A$2:$A$35,Worksheet!C829)</f>
        <v>0</v>
      </c>
      <c r="L829" t="str">
        <f t="shared" si="48"/>
        <v>F1B114012</v>
      </c>
      <c r="M829" t="str">
        <f t="shared" si="49"/>
        <v>FATHUL AZIZ</v>
      </c>
      <c r="O829" t="str">
        <f t="shared" si="50"/>
        <v/>
      </c>
      <c r="P829" t="str">
        <f t="shared" si="51"/>
        <v/>
      </c>
    </row>
    <row r="830" spans="1:16">
      <c r="A830" t="s">
        <v>142</v>
      </c>
      <c r="B830" t="s">
        <v>143</v>
      </c>
      <c r="C830" t="s">
        <v>398</v>
      </c>
      <c r="D830" t="s">
        <v>399</v>
      </c>
      <c r="E830">
        <v>20171</v>
      </c>
      <c r="F830" t="s">
        <v>576</v>
      </c>
      <c r="G830" t="s">
        <v>51</v>
      </c>
      <c r="H830">
        <v>3.5</v>
      </c>
      <c r="I830">
        <v>0</v>
      </c>
      <c r="J830">
        <v>20201</v>
      </c>
      <c r="K830">
        <f>COUNTIF('rEKAP kls MK'!$A$2:$A$35,Worksheet!C830)</f>
        <v>0</v>
      </c>
      <c r="L830" t="str">
        <f t="shared" si="48"/>
        <v>F1B114018</v>
      </c>
      <c r="M830" t="str">
        <f t="shared" si="49"/>
        <v>I GUSTI BAGUS HENDRA PRADIPTA</v>
      </c>
      <c r="O830" t="str">
        <f t="shared" si="50"/>
        <v/>
      </c>
      <c r="P830" t="str">
        <f t="shared" si="51"/>
        <v/>
      </c>
    </row>
    <row r="831" spans="1:16">
      <c r="A831" t="s">
        <v>165</v>
      </c>
      <c r="B831" t="s">
        <v>166</v>
      </c>
      <c r="C831" t="s">
        <v>398</v>
      </c>
      <c r="D831" t="s">
        <v>399</v>
      </c>
      <c r="E831">
        <v>20171</v>
      </c>
      <c r="F831" t="s">
        <v>576</v>
      </c>
      <c r="G831" t="s">
        <v>51</v>
      </c>
      <c r="H831">
        <v>3.5</v>
      </c>
      <c r="I831">
        <v>0</v>
      </c>
      <c r="J831">
        <v>20201</v>
      </c>
      <c r="K831">
        <f>COUNTIF('rEKAP kls MK'!$A$2:$A$35,Worksheet!C831)</f>
        <v>0</v>
      </c>
      <c r="L831" t="str">
        <f t="shared" si="48"/>
        <v>F1B114022</v>
      </c>
      <c r="M831" t="str">
        <f t="shared" si="49"/>
        <v>JUWITA ASRI</v>
      </c>
      <c r="O831" t="str">
        <f t="shared" si="50"/>
        <v/>
      </c>
      <c r="P831" t="str">
        <f t="shared" si="51"/>
        <v/>
      </c>
    </row>
    <row r="832" spans="1:16">
      <c r="A832" t="s">
        <v>54</v>
      </c>
      <c r="B832" t="s">
        <v>55</v>
      </c>
      <c r="C832" t="s">
        <v>398</v>
      </c>
      <c r="D832" t="s">
        <v>399</v>
      </c>
      <c r="E832">
        <v>20171</v>
      </c>
      <c r="F832" t="s">
        <v>576</v>
      </c>
      <c r="G832" t="s">
        <v>51</v>
      </c>
      <c r="H832">
        <v>3.5</v>
      </c>
      <c r="I832">
        <v>0</v>
      </c>
      <c r="J832">
        <v>20201</v>
      </c>
      <c r="K832">
        <f>COUNTIF('rEKAP kls MK'!$A$2:$A$35,Worksheet!C832)</f>
        <v>0</v>
      </c>
      <c r="L832" t="str">
        <f t="shared" si="48"/>
        <v>F1B114028</v>
      </c>
      <c r="M832" t="str">
        <f t="shared" si="49"/>
        <v>MUHAMMAD HAJRUL MUZAQI</v>
      </c>
      <c r="O832" t="str">
        <f t="shared" si="50"/>
        <v/>
      </c>
      <c r="P832" t="str">
        <f t="shared" si="51"/>
        <v/>
      </c>
    </row>
    <row r="833" spans="1:16">
      <c r="A833" t="s">
        <v>201</v>
      </c>
      <c r="B833" t="s">
        <v>202</v>
      </c>
      <c r="C833" t="s">
        <v>398</v>
      </c>
      <c r="D833" t="s">
        <v>399</v>
      </c>
      <c r="E833">
        <v>20171</v>
      </c>
      <c r="F833" t="s">
        <v>576</v>
      </c>
      <c r="G833" t="s">
        <v>51</v>
      </c>
      <c r="H833">
        <v>3.5</v>
      </c>
      <c r="I833">
        <v>0</v>
      </c>
      <c r="J833">
        <v>20201</v>
      </c>
      <c r="K833">
        <f>COUNTIF('rEKAP kls MK'!$A$2:$A$35,Worksheet!C833)</f>
        <v>0</v>
      </c>
      <c r="L833" t="str">
        <f t="shared" si="48"/>
        <v>F1B114030</v>
      </c>
      <c r="M833" t="str">
        <f t="shared" si="49"/>
        <v>PUTRA RAHMAT RAMADAN</v>
      </c>
      <c r="O833" t="str">
        <f t="shared" si="50"/>
        <v/>
      </c>
      <c r="P833" t="str">
        <f t="shared" si="51"/>
        <v/>
      </c>
    </row>
    <row r="834" spans="1:16">
      <c r="A834" t="s">
        <v>49</v>
      </c>
      <c r="B834" t="s">
        <v>50</v>
      </c>
      <c r="C834" t="s">
        <v>409</v>
      </c>
      <c r="D834" t="s">
        <v>410</v>
      </c>
      <c r="E834">
        <v>20171</v>
      </c>
      <c r="F834" t="s">
        <v>576</v>
      </c>
      <c r="G834" t="s">
        <v>101</v>
      </c>
      <c r="H834">
        <v>0</v>
      </c>
      <c r="I834">
        <v>0</v>
      </c>
      <c r="J834">
        <v>20201</v>
      </c>
      <c r="K834">
        <f>COUNTIF('rEKAP kls MK'!$A$2:$A$35,Worksheet!C834)</f>
        <v>0</v>
      </c>
      <c r="L834" t="str">
        <f t="shared" si="48"/>
        <v>F1B114007</v>
      </c>
      <c r="M834" t="str">
        <f t="shared" si="49"/>
        <v>BIJE SYIAPRIADI D</v>
      </c>
      <c r="O834" t="str">
        <f t="shared" si="50"/>
        <v>PRAKTIKUM BASIS DATA</v>
      </c>
      <c r="P834" t="str">
        <f t="shared" si="51"/>
        <v/>
      </c>
    </row>
    <row r="835" spans="1:16">
      <c r="A835" t="s">
        <v>155</v>
      </c>
      <c r="B835" t="s">
        <v>156</v>
      </c>
      <c r="C835" t="s">
        <v>409</v>
      </c>
      <c r="D835" t="s">
        <v>410</v>
      </c>
      <c r="E835">
        <v>20171</v>
      </c>
      <c r="F835" t="s">
        <v>576</v>
      </c>
      <c r="G835" t="s">
        <v>51</v>
      </c>
      <c r="H835">
        <v>3.5</v>
      </c>
      <c r="I835">
        <v>0</v>
      </c>
      <c r="J835">
        <v>20201</v>
      </c>
      <c r="K835">
        <f>COUNTIF('rEKAP kls MK'!$A$2:$A$35,Worksheet!C835)</f>
        <v>0</v>
      </c>
      <c r="L835" t="str">
        <f t="shared" ref="L835:L898" si="52">IF(A834&lt;&gt;A835,A835,"")</f>
        <v>F1B114008</v>
      </c>
      <c r="M835" t="str">
        <f t="shared" ref="M835:M898" si="53">IF(B834&lt;&gt;B835,B835,"")</f>
        <v>BRIAN ABBY ARIESTYO WIRYANDITO</v>
      </c>
      <c r="O835" t="str">
        <f t="shared" ref="O835:O898" si="54">IF(D834&lt;&gt;D835,D835,"")</f>
        <v/>
      </c>
      <c r="P835" t="str">
        <f t="shared" ref="P835:P898" si="55">IF(F834&lt;&gt;F835,F835,"")</f>
        <v/>
      </c>
    </row>
    <row r="836" spans="1:16">
      <c r="A836" t="s">
        <v>175</v>
      </c>
      <c r="B836" t="s">
        <v>176</v>
      </c>
      <c r="C836" t="s">
        <v>409</v>
      </c>
      <c r="D836" t="s">
        <v>410</v>
      </c>
      <c r="E836">
        <v>20171</v>
      </c>
      <c r="F836" t="s">
        <v>576</v>
      </c>
      <c r="G836" t="s">
        <v>18</v>
      </c>
      <c r="H836">
        <v>3</v>
      </c>
      <c r="I836">
        <v>0</v>
      </c>
      <c r="J836">
        <v>20201</v>
      </c>
      <c r="K836">
        <f>COUNTIF('rEKAP kls MK'!$A$2:$A$35,Worksheet!C836)</f>
        <v>0</v>
      </c>
      <c r="L836" t="str">
        <f t="shared" si="52"/>
        <v>F1B114009</v>
      </c>
      <c r="M836" t="str">
        <f t="shared" si="53"/>
        <v>DANA SELVIA HADISWARA</v>
      </c>
      <c r="O836" t="str">
        <f t="shared" si="54"/>
        <v/>
      </c>
      <c r="P836" t="str">
        <f t="shared" si="55"/>
        <v/>
      </c>
    </row>
    <row r="837" spans="1:16">
      <c r="A837" t="s">
        <v>157</v>
      </c>
      <c r="B837" t="s">
        <v>158</v>
      </c>
      <c r="C837" t="s">
        <v>409</v>
      </c>
      <c r="D837" t="s">
        <v>410</v>
      </c>
      <c r="E837">
        <v>20171</v>
      </c>
      <c r="F837" t="s">
        <v>576</v>
      </c>
      <c r="G837" t="s">
        <v>18</v>
      </c>
      <c r="H837">
        <v>3</v>
      </c>
      <c r="I837">
        <v>0</v>
      </c>
      <c r="J837">
        <v>20201</v>
      </c>
      <c r="K837">
        <f>COUNTIF('rEKAP kls MK'!$A$2:$A$35,Worksheet!C837)</f>
        <v>0</v>
      </c>
      <c r="L837" t="str">
        <f t="shared" si="52"/>
        <v>F1B114010</v>
      </c>
      <c r="M837" t="str">
        <f t="shared" si="53"/>
        <v>EKA MARTA SIOMI</v>
      </c>
      <c r="O837" t="str">
        <f t="shared" si="54"/>
        <v/>
      </c>
      <c r="P837" t="str">
        <f t="shared" si="55"/>
        <v/>
      </c>
    </row>
    <row r="838" spans="1:16">
      <c r="A838" t="s">
        <v>159</v>
      </c>
      <c r="B838" t="s">
        <v>160</v>
      </c>
      <c r="C838" t="s">
        <v>409</v>
      </c>
      <c r="D838" t="s">
        <v>410</v>
      </c>
      <c r="E838">
        <v>20171</v>
      </c>
      <c r="F838" t="s">
        <v>576</v>
      </c>
      <c r="G838" t="s">
        <v>18</v>
      </c>
      <c r="H838">
        <v>3</v>
      </c>
      <c r="I838">
        <v>0</v>
      </c>
      <c r="J838">
        <v>20201</v>
      </c>
      <c r="K838">
        <f>COUNTIF('rEKAP kls MK'!$A$2:$A$35,Worksheet!C838)</f>
        <v>0</v>
      </c>
      <c r="L838" t="str">
        <f t="shared" si="52"/>
        <v>F1B114011</v>
      </c>
      <c r="M838" t="str">
        <f t="shared" si="53"/>
        <v>ERWIN LINGGA SAPUTRA</v>
      </c>
      <c r="O838" t="str">
        <f t="shared" si="54"/>
        <v/>
      </c>
      <c r="P838" t="str">
        <f t="shared" si="55"/>
        <v/>
      </c>
    </row>
    <row r="839" spans="1:16">
      <c r="A839" t="s">
        <v>161</v>
      </c>
      <c r="B839" t="s">
        <v>162</v>
      </c>
      <c r="C839" t="s">
        <v>409</v>
      </c>
      <c r="D839" t="s">
        <v>410</v>
      </c>
      <c r="E839">
        <v>20171</v>
      </c>
      <c r="F839" t="s">
        <v>576</v>
      </c>
      <c r="G839" t="s">
        <v>18</v>
      </c>
      <c r="H839">
        <v>3</v>
      </c>
      <c r="I839">
        <v>0</v>
      </c>
      <c r="J839">
        <v>20201</v>
      </c>
      <c r="K839">
        <f>COUNTIF('rEKAP kls MK'!$A$2:$A$35,Worksheet!C839)</f>
        <v>0</v>
      </c>
      <c r="L839" t="str">
        <f t="shared" si="52"/>
        <v>F1B114012</v>
      </c>
      <c r="M839" t="str">
        <f t="shared" si="53"/>
        <v>FATHUL AZIZ</v>
      </c>
      <c r="O839" t="str">
        <f t="shared" si="54"/>
        <v/>
      </c>
      <c r="P839" t="str">
        <f t="shared" si="55"/>
        <v/>
      </c>
    </row>
    <row r="840" spans="1:16">
      <c r="A840" t="s">
        <v>142</v>
      </c>
      <c r="B840" t="s">
        <v>143</v>
      </c>
      <c r="C840" t="s">
        <v>409</v>
      </c>
      <c r="D840" t="s">
        <v>410</v>
      </c>
      <c r="E840">
        <v>20171</v>
      </c>
      <c r="F840" t="s">
        <v>576</v>
      </c>
      <c r="G840" t="s">
        <v>51</v>
      </c>
      <c r="H840">
        <v>3.5</v>
      </c>
      <c r="I840">
        <v>0</v>
      </c>
      <c r="J840">
        <v>20201</v>
      </c>
      <c r="K840">
        <f>COUNTIF('rEKAP kls MK'!$A$2:$A$35,Worksheet!C840)</f>
        <v>0</v>
      </c>
      <c r="L840" t="str">
        <f t="shared" si="52"/>
        <v>F1B114018</v>
      </c>
      <c r="M840" t="str">
        <f t="shared" si="53"/>
        <v>I GUSTI BAGUS HENDRA PRADIPTA</v>
      </c>
      <c r="O840" t="str">
        <f t="shared" si="54"/>
        <v/>
      </c>
      <c r="P840" t="str">
        <f t="shared" si="55"/>
        <v/>
      </c>
    </row>
    <row r="841" spans="1:16">
      <c r="A841" t="s">
        <v>165</v>
      </c>
      <c r="B841" t="s">
        <v>166</v>
      </c>
      <c r="C841" t="s">
        <v>409</v>
      </c>
      <c r="D841" t="s">
        <v>410</v>
      </c>
      <c r="E841">
        <v>20171</v>
      </c>
      <c r="F841" t="s">
        <v>576</v>
      </c>
      <c r="G841" t="s">
        <v>18</v>
      </c>
      <c r="H841">
        <v>3</v>
      </c>
      <c r="I841">
        <v>0</v>
      </c>
      <c r="J841">
        <v>20201</v>
      </c>
      <c r="K841">
        <f>COUNTIF('rEKAP kls MK'!$A$2:$A$35,Worksheet!C841)</f>
        <v>0</v>
      </c>
      <c r="L841" t="str">
        <f t="shared" si="52"/>
        <v>F1B114022</v>
      </c>
      <c r="M841" t="str">
        <f t="shared" si="53"/>
        <v>JUWITA ASRI</v>
      </c>
      <c r="O841" t="str">
        <f t="shared" si="54"/>
        <v/>
      </c>
      <c r="P841" t="str">
        <f t="shared" si="55"/>
        <v/>
      </c>
    </row>
    <row r="842" spans="1:16">
      <c r="A842" t="s">
        <v>54</v>
      </c>
      <c r="B842" t="s">
        <v>55</v>
      </c>
      <c r="C842" t="s">
        <v>409</v>
      </c>
      <c r="D842" t="s">
        <v>410</v>
      </c>
      <c r="E842">
        <v>20171</v>
      </c>
      <c r="F842" t="s">
        <v>576</v>
      </c>
      <c r="G842" t="s">
        <v>18</v>
      </c>
      <c r="H842">
        <v>3</v>
      </c>
      <c r="I842">
        <v>0</v>
      </c>
      <c r="J842">
        <v>20201</v>
      </c>
      <c r="K842">
        <f>COUNTIF('rEKAP kls MK'!$A$2:$A$35,Worksheet!C842)</f>
        <v>0</v>
      </c>
      <c r="L842" t="str">
        <f t="shared" si="52"/>
        <v>F1B114028</v>
      </c>
      <c r="M842" t="str">
        <f t="shared" si="53"/>
        <v>MUHAMMAD HAJRUL MUZAQI</v>
      </c>
      <c r="O842" t="str">
        <f t="shared" si="54"/>
        <v/>
      </c>
      <c r="P842" t="str">
        <f t="shared" si="55"/>
        <v/>
      </c>
    </row>
    <row r="843" spans="1:16">
      <c r="A843" t="s">
        <v>201</v>
      </c>
      <c r="B843" t="s">
        <v>202</v>
      </c>
      <c r="C843" t="s">
        <v>409</v>
      </c>
      <c r="D843" t="s">
        <v>410</v>
      </c>
      <c r="E843">
        <v>20171</v>
      </c>
      <c r="F843" t="s">
        <v>576</v>
      </c>
      <c r="G843" t="s">
        <v>51</v>
      </c>
      <c r="H843">
        <v>3.5</v>
      </c>
      <c r="I843">
        <v>0</v>
      </c>
      <c r="J843">
        <v>20201</v>
      </c>
      <c r="K843">
        <f>COUNTIF('rEKAP kls MK'!$A$2:$A$35,Worksheet!C843)</f>
        <v>0</v>
      </c>
      <c r="L843" t="str">
        <f t="shared" si="52"/>
        <v>F1B114030</v>
      </c>
      <c r="M843" t="str">
        <f t="shared" si="53"/>
        <v>PUTRA RAHMAT RAMADAN</v>
      </c>
      <c r="O843" t="str">
        <f t="shared" si="54"/>
        <v/>
      </c>
      <c r="P843" t="str">
        <f t="shared" si="55"/>
        <v/>
      </c>
    </row>
    <row r="844" spans="1:16">
      <c r="A844" t="s">
        <v>146</v>
      </c>
      <c r="B844" t="s">
        <v>147</v>
      </c>
      <c r="C844" t="s">
        <v>417</v>
      </c>
      <c r="D844" t="s">
        <v>418</v>
      </c>
      <c r="E844">
        <v>20171</v>
      </c>
      <c r="F844" t="s">
        <v>576</v>
      </c>
      <c r="G844" t="s">
        <v>23</v>
      </c>
      <c r="H844">
        <v>2.5</v>
      </c>
      <c r="I844">
        <v>0</v>
      </c>
      <c r="J844">
        <v>20201</v>
      </c>
      <c r="K844">
        <f>COUNTIF('rEKAP kls MK'!$A$2:$A$35,Worksheet!C844)</f>
        <v>0</v>
      </c>
      <c r="L844" t="str">
        <f t="shared" si="52"/>
        <v>F1B111036</v>
      </c>
      <c r="M844" t="str">
        <f t="shared" si="53"/>
        <v>Lalu Anja Sukmana</v>
      </c>
      <c r="O844" t="str">
        <f t="shared" si="54"/>
        <v>PRAKTIKUM ELEKTRONIKA DIGITAL</v>
      </c>
      <c r="P844" t="str">
        <f t="shared" si="55"/>
        <v/>
      </c>
    </row>
    <row r="845" spans="1:16">
      <c r="A845" t="s">
        <v>24</v>
      </c>
      <c r="B845" t="s">
        <v>25</v>
      </c>
      <c r="C845" t="s">
        <v>417</v>
      </c>
      <c r="D845" t="s">
        <v>418</v>
      </c>
      <c r="E845">
        <v>20171</v>
      </c>
      <c r="F845" t="s">
        <v>576</v>
      </c>
      <c r="G845" t="s">
        <v>18</v>
      </c>
      <c r="H845">
        <v>3</v>
      </c>
      <c r="I845">
        <v>0</v>
      </c>
      <c r="J845">
        <v>20201</v>
      </c>
      <c r="K845">
        <f>COUNTIF('rEKAP kls MK'!$A$2:$A$35,Worksheet!C845)</f>
        <v>0</v>
      </c>
      <c r="L845" t="str">
        <f t="shared" si="52"/>
        <v>F1B113015</v>
      </c>
      <c r="M845" t="str">
        <f t="shared" si="53"/>
        <v>IMAM RAHMATULLAH S</v>
      </c>
      <c r="O845" t="str">
        <f t="shared" si="54"/>
        <v/>
      </c>
      <c r="P845" t="str">
        <f t="shared" si="55"/>
        <v/>
      </c>
    </row>
    <row r="846" spans="1:16">
      <c r="A846" t="s">
        <v>49</v>
      </c>
      <c r="B846" t="s">
        <v>50</v>
      </c>
      <c r="C846" t="s">
        <v>404</v>
      </c>
      <c r="D846" t="s">
        <v>405</v>
      </c>
      <c r="E846">
        <v>20171</v>
      </c>
      <c r="F846" t="s">
        <v>576</v>
      </c>
      <c r="G846" t="s">
        <v>101</v>
      </c>
      <c r="H846">
        <v>0</v>
      </c>
      <c r="I846">
        <v>0</v>
      </c>
      <c r="J846">
        <v>20201</v>
      </c>
      <c r="K846">
        <f>COUNTIF('rEKAP kls MK'!$A$2:$A$35,Worksheet!C846)</f>
        <v>0</v>
      </c>
      <c r="L846" t="str">
        <f t="shared" si="52"/>
        <v>F1B114007</v>
      </c>
      <c r="M846" t="str">
        <f t="shared" si="53"/>
        <v>BIJE SYIAPRIADI D</v>
      </c>
      <c r="O846" t="str">
        <f t="shared" si="54"/>
        <v>PRAKTIKUM JARINGAN KOMPUTER</v>
      </c>
      <c r="P846" t="str">
        <f t="shared" si="55"/>
        <v/>
      </c>
    </row>
    <row r="847" spans="1:16">
      <c r="A847" t="s">
        <v>155</v>
      </c>
      <c r="B847" t="s">
        <v>156</v>
      </c>
      <c r="C847" t="s">
        <v>404</v>
      </c>
      <c r="D847" t="s">
        <v>405</v>
      </c>
      <c r="E847">
        <v>20171</v>
      </c>
      <c r="F847" t="s">
        <v>576</v>
      </c>
      <c r="G847" t="s">
        <v>18</v>
      </c>
      <c r="H847">
        <v>3</v>
      </c>
      <c r="I847">
        <v>0</v>
      </c>
      <c r="J847">
        <v>20201</v>
      </c>
      <c r="K847">
        <f>COUNTIF('rEKAP kls MK'!$A$2:$A$35,Worksheet!C847)</f>
        <v>0</v>
      </c>
      <c r="L847" t="str">
        <f t="shared" si="52"/>
        <v>F1B114008</v>
      </c>
      <c r="M847" t="str">
        <f t="shared" si="53"/>
        <v>BRIAN ABBY ARIESTYO WIRYANDITO</v>
      </c>
      <c r="O847" t="str">
        <f t="shared" si="54"/>
        <v/>
      </c>
      <c r="P847" t="str">
        <f t="shared" si="55"/>
        <v/>
      </c>
    </row>
    <row r="848" spans="1:16">
      <c r="A848" t="s">
        <v>175</v>
      </c>
      <c r="B848" t="s">
        <v>176</v>
      </c>
      <c r="C848" t="s">
        <v>404</v>
      </c>
      <c r="D848" t="s">
        <v>405</v>
      </c>
      <c r="E848">
        <v>20171</v>
      </c>
      <c r="F848" t="s">
        <v>576</v>
      </c>
      <c r="G848" t="s">
        <v>18</v>
      </c>
      <c r="H848">
        <v>3</v>
      </c>
      <c r="I848">
        <v>0</v>
      </c>
      <c r="J848">
        <v>20201</v>
      </c>
      <c r="K848">
        <f>COUNTIF('rEKAP kls MK'!$A$2:$A$35,Worksheet!C848)</f>
        <v>0</v>
      </c>
      <c r="L848" t="str">
        <f t="shared" si="52"/>
        <v>F1B114009</v>
      </c>
      <c r="M848" t="str">
        <f t="shared" si="53"/>
        <v>DANA SELVIA HADISWARA</v>
      </c>
      <c r="O848" t="str">
        <f t="shared" si="54"/>
        <v/>
      </c>
      <c r="P848" t="str">
        <f t="shared" si="55"/>
        <v/>
      </c>
    </row>
    <row r="849" spans="1:16">
      <c r="A849" t="s">
        <v>157</v>
      </c>
      <c r="B849" t="s">
        <v>158</v>
      </c>
      <c r="C849" t="s">
        <v>404</v>
      </c>
      <c r="D849" t="s">
        <v>405</v>
      </c>
      <c r="E849">
        <v>20171</v>
      </c>
      <c r="F849" t="s">
        <v>576</v>
      </c>
      <c r="G849" t="s">
        <v>51</v>
      </c>
      <c r="H849">
        <v>3.5</v>
      </c>
      <c r="I849">
        <v>0</v>
      </c>
      <c r="J849">
        <v>20201</v>
      </c>
      <c r="K849">
        <f>COUNTIF('rEKAP kls MK'!$A$2:$A$35,Worksheet!C849)</f>
        <v>0</v>
      </c>
      <c r="L849" t="str">
        <f t="shared" si="52"/>
        <v>F1B114010</v>
      </c>
      <c r="M849" t="str">
        <f t="shared" si="53"/>
        <v>EKA MARTA SIOMI</v>
      </c>
      <c r="O849" t="str">
        <f t="shared" si="54"/>
        <v/>
      </c>
      <c r="P849" t="str">
        <f t="shared" si="55"/>
        <v/>
      </c>
    </row>
    <row r="850" spans="1:16">
      <c r="A850" t="s">
        <v>159</v>
      </c>
      <c r="B850" t="s">
        <v>160</v>
      </c>
      <c r="C850" t="s">
        <v>404</v>
      </c>
      <c r="D850" t="s">
        <v>405</v>
      </c>
      <c r="E850">
        <v>20171</v>
      </c>
      <c r="F850" t="s">
        <v>576</v>
      </c>
      <c r="G850" t="s">
        <v>101</v>
      </c>
      <c r="H850">
        <v>0</v>
      </c>
      <c r="I850">
        <v>0</v>
      </c>
      <c r="J850">
        <v>20201</v>
      </c>
      <c r="K850">
        <f>COUNTIF('rEKAP kls MK'!$A$2:$A$35,Worksheet!C850)</f>
        <v>0</v>
      </c>
      <c r="L850" t="str">
        <f t="shared" si="52"/>
        <v>F1B114011</v>
      </c>
      <c r="M850" t="str">
        <f t="shared" si="53"/>
        <v>ERWIN LINGGA SAPUTRA</v>
      </c>
      <c r="O850" t="str">
        <f t="shared" si="54"/>
        <v/>
      </c>
      <c r="P850" t="str">
        <f t="shared" si="55"/>
        <v/>
      </c>
    </row>
    <row r="851" spans="1:16">
      <c r="A851" t="s">
        <v>161</v>
      </c>
      <c r="B851" t="s">
        <v>162</v>
      </c>
      <c r="C851" t="s">
        <v>404</v>
      </c>
      <c r="D851" t="s">
        <v>405</v>
      </c>
      <c r="E851">
        <v>20171</v>
      </c>
      <c r="F851" t="s">
        <v>576</v>
      </c>
      <c r="G851" t="s">
        <v>18</v>
      </c>
      <c r="H851">
        <v>3</v>
      </c>
      <c r="I851">
        <v>0</v>
      </c>
      <c r="J851">
        <v>20201</v>
      </c>
      <c r="K851">
        <f>COUNTIF('rEKAP kls MK'!$A$2:$A$35,Worksheet!C851)</f>
        <v>0</v>
      </c>
      <c r="L851" t="str">
        <f t="shared" si="52"/>
        <v>F1B114012</v>
      </c>
      <c r="M851" t="str">
        <f t="shared" si="53"/>
        <v>FATHUL AZIZ</v>
      </c>
      <c r="O851" t="str">
        <f t="shared" si="54"/>
        <v/>
      </c>
      <c r="P851" t="str">
        <f t="shared" si="55"/>
        <v/>
      </c>
    </row>
    <row r="852" spans="1:16">
      <c r="A852" t="s">
        <v>142</v>
      </c>
      <c r="B852" t="s">
        <v>143</v>
      </c>
      <c r="C852" t="s">
        <v>404</v>
      </c>
      <c r="D852" t="s">
        <v>405</v>
      </c>
      <c r="E852">
        <v>20171</v>
      </c>
      <c r="F852" t="s">
        <v>576</v>
      </c>
      <c r="G852" t="s">
        <v>18</v>
      </c>
      <c r="H852">
        <v>3</v>
      </c>
      <c r="I852">
        <v>0</v>
      </c>
      <c r="J852">
        <v>20201</v>
      </c>
      <c r="K852">
        <f>COUNTIF('rEKAP kls MK'!$A$2:$A$35,Worksheet!C852)</f>
        <v>0</v>
      </c>
      <c r="L852" t="str">
        <f t="shared" si="52"/>
        <v>F1B114018</v>
      </c>
      <c r="M852" t="str">
        <f t="shared" si="53"/>
        <v>I GUSTI BAGUS HENDRA PRADIPTA</v>
      </c>
      <c r="O852" t="str">
        <f t="shared" si="54"/>
        <v/>
      </c>
      <c r="P852" t="str">
        <f t="shared" si="55"/>
        <v/>
      </c>
    </row>
    <row r="853" spans="1:16">
      <c r="A853" t="s">
        <v>165</v>
      </c>
      <c r="B853" t="s">
        <v>166</v>
      </c>
      <c r="C853" t="s">
        <v>404</v>
      </c>
      <c r="D853" t="s">
        <v>405</v>
      </c>
      <c r="E853">
        <v>20171</v>
      </c>
      <c r="F853" t="s">
        <v>576</v>
      </c>
      <c r="G853" t="s">
        <v>18</v>
      </c>
      <c r="H853">
        <v>3</v>
      </c>
      <c r="I853">
        <v>0</v>
      </c>
      <c r="J853">
        <v>20201</v>
      </c>
      <c r="K853">
        <f>COUNTIF('rEKAP kls MK'!$A$2:$A$35,Worksheet!C853)</f>
        <v>0</v>
      </c>
      <c r="L853" t="str">
        <f t="shared" si="52"/>
        <v>F1B114022</v>
      </c>
      <c r="M853" t="str">
        <f t="shared" si="53"/>
        <v>JUWITA ASRI</v>
      </c>
      <c r="O853" t="str">
        <f t="shared" si="54"/>
        <v/>
      </c>
      <c r="P853" t="str">
        <f t="shared" si="55"/>
        <v/>
      </c>
    </row>
    <row r="854" spans="1:16">
      <c r="A854" t="s">
        <v>54</v>
      </c>
      <c r="B854" t="s">
        <v>55</v>
      </c>
      <c r="C854" t="s">
        <v>404</v>
      </c>
      <c r="D854" t="s">
        <v>405</v>
      </c>
      <c r="E854">
        <v>20171</v>
      </c>
      <c r="F854" t="s">
        <v>576</v>
      </c>
      <c r="G854" t="s">
        <v>18</v>
      </c>
      <c r="H854">
        <v>3</v>
      </c>
      <c r="I854">
        <v>0</v>
      </c>
      <c r="J854">
        <v>20201</v>
      </c>
      <c r="K854">
        <f>COUNTIF('rEKAP kls MK'!$A$2:$A$35,Worksheet!C854)</f>
        <v>0</v>
      </c>
      <c r="L854" t="str">
        <f t="shared" si="52"/>
        <v>F1B114028</v>
      </c>
      <c r="M854" t="str">
        <f t="shared" si="53"/>
        <v>MUHAMMAD HAJRUL MUZAQI</v>
      </c>
      <c r="O854" t="str">
        <f t="shared" si="54"/>
        <v/>
      </c>
      <c r="P854" t="str">
        <f t="shared" si="55"/>
        <v/>
      </c>
    </row>
    <row r="855" spans="1:16">
      <c r="A855" t="s">
        <v>201</v>
      </c>
      <c r="B855" t="s">
        <v>202</v>
      </c>
      <c r="C855" t="s">
        <v>404</v>
      </c>
      <c r="D855" t="s">
        <v>405</v>
      </c>
      <c r="E855">
        <v>20171</v>
      </c>
      <c r="F855" t="s">
        <v>576</v>
      </c>
      <c r="G855" t="s">
        <v>51</v>
      </c>
      <c r="H855">
        <v>3.5</v>
      </c>
      <c r="I855">
        <v>0</v>
      </c>
      <c r="J855">
        <v>20201</v>
      </c>
      <c r="K855">
        <f>COUNTIF('rEKAP kls MK'!$A$2:$A$35,Worksheet!C855)</f>
        <v>0</v>
      </c>
      <c r="L855" t="str">
        <f t="shared" si="52"/>
        <v>F1B114030</v>
      </c>
      <c r="M855" t="str">
        <f t="shared" si="53"/>
        <v>PUTRA RAHMAT RAMADAN</v>
      </c>
      <c r="O855" t="str">
        <f t="shared" si="54"/>
        <v/>
      </c>
      <c r="P855" t="str">
        <f t="shared" si="55"/>
        <v/>
      </c>
    </row>
    <row r="856" spans="1:16">
      <c r="A856" t="s">
        <v>146</v>
      </c>
      <c r="B856" t="s">
        <v>147</v>
      </c>
      <c r="C856" t="s">
        <v>427</v>
      </c>
      <c r="D856" t="s">
        <v>428</v>
      </c>
      <c r="E856">
        <v>20171</v>
      </c>
      <c r="F856" t="s">
        <v>576</v>
      </c>
      <c r="G856" t="s">
        <v>18</v>
      </c>
      <c r="H856">
        <v>3</v>
      </c>
      <c r="I856">
        <v>0</v>
      </c>
      <c r="J856">
        <v>20201</v>
      </c>
      <c r="K856">
        <f>COUNTIF('rEKAP kls MK'!$A$2:$A$35,Worksheet!C856)</f>
        <v>0</v>
      </c>
      <c r="L856" t="str">
        <f t="shared" si="52"/>
        <v>F1B111036</v>
      </c>
      <c r="M856" t="str">
        <f t="shared" si="53"/>
        <v>Lalu Anja Sukmana</v>
      </c>
      <c r="O856" t="str">
        <f t="shared" si="54"/>
        <v>PRAKTIKUM PENGOLAHAN SINYAL DIGITAL</v>
      </c>
      <c r="P856" t="str">
        <f t="shared" si="55"/>
        <v/>
      </c>
    </row>
    <row r="857" spans="1:16">
      <c r="A857" t="s">
        <v>146</v>
      </c>
      <c r="B857" t="s">
        <v>147</v>
      </c>
      <c r="C857" t="s">
        <v>148</v>
      </c>
      <c r="D857" t="s">
        <v>149</v>
      </c>
      <c r="E857">
        <v>20171</v>
      </c>
      <c r="F857" t="s">
        <v>576</v>
      </c>
      <c r="G857" t="s">
        <v>18</v>
      </c>
      <c r="H857">
        <v>3</v>
      </c>
      <c r="I857">
        <v>0</v>
      </c>
      <c r="J857">
        <v>20201</v>
      </c>
      <c r="K857">
        <f>COUNTIF('rEKAP kls MK'!$A$2:$A$35,Worksheet!C857)</f>
        <v>0</v>
      </c>
      <c r="L857" t="str">
        <f t="shared" si="52"/>
        <v/>
      </c>
      <c r="M857" t="str">
        <f t="shared" si="53"/>
        <v/>
      </c>
      <c r="O857" t="str">
        <f t="shared" si="54"/>
        <v>PRAKTIKUM PENGUKURAN BESARAN LISTRIK</v>
      </c>
      <c r="P857" t="str">
        <f t="shared" si="55"/>
        <v/>
      </c>
    </row>
    <row r="858" spans="1:16">
      <c r="A858" t="s">
        <v>31</v>
      </c>
      <c r="B858" t="s">
        <v>32</v>
      </c>
      <c r="C858" t="s">
        <v>148</v>
      </c>
      <c r="D858" t="s">
        <v>149</v>
      </c>
      <c r="E858">
        <v>20171</v>
      </c>
      <c r="F858" t="s">
        <v>576</v>
      </c>
      <c r="G858" t="s">
        <v>23</v>
      </c>
      <c r="H858">
        <v>2.5</v>
      </c>
      <c r="I858">
        <v>0</v>
      </c>
      <c r="J858">
        <v>20201</v>
      </c>
      <c r="K858">
        <f>COUNTIF('rEKAP kls MK'!$A$2:$A$35,Worksheet!C858)</f>
        <v>0</v>
      </c>
      <c r="L858" t="str">
        <f t="shared" si="52"/>
        <v>F1B113022</v>
      </c>
      <c r="M858" t="str">
        <f t="shared" si="53"/>
        <v>LAZARUS CHRISTIAN P</v>
      </c>
      <c r="O858" t="str">
        <f t="shared" si="54"/>
        <v/>
      </c>
      <c r="P858" t="str">
        <f t="shared" si="55"/>
        <v/>
      </c>
    </row>
    <row r="859" spans="1:16">
      <c r="A859" t="s">
        <v>37</v>
      </c>
      <c r="B859" t="s">
        <v>38</v>
      </c>
      <c r="C859" t="s">
        <v>148</v>
      </c>
      <c r="D859" t="s">
        <v>149</v>
      </c>
      <c r="E859">
        <v>20171</v>
      </c>
      <c r="F859" t="s">
        <v>576</v>
      </c>
      <c r="G859" t="s">
        <v>18</v>
      </c>
      <c r="H859">
        <v>3</v>
      </c>
      <c r="I859">
        <v>0</v>
      </c>
      <c r="J859">
        <v>20201</v>
      </c>
      <c r="K859">
        <f>COUNTIF('rEKAP kls MK'!$A$2:$A$35,Worksheet!C859)</f>
        <v>0</v>
      </c>
      <c r="L859" t="str">
        <f t="shared" si="52"/>
        <v>F1B113029</v>
      </c>
      <c r="M859" t="str">
        <f t="shared" si="53"/>
        <v>RANGGA FAJAR MAULANA</v>
      </c>
      <c r="O859" t="str">
        <f t="shared" si="54"/>
        <v/>
      </c>
      <c r="P859" t="str">
        <f t="shared" si="55"/>
        <v/>
      </c>
    </row>
    <row r="860" spans="1:16">
      <c r="A860" t="s">
        <v>56</v>
      </c>
      <c r="B860" t="s">
        <v>57</v>
      </c>
      <c r="C860" t="s">
        <v>148</v>
      </c>
      <c r="D860" t="s">
        <v>149</v>
      </c>
      <c r="E860">
        <v>20171</v>
      </c>
      <c r="F860" t="s">
        <v>576</v>
      </c>
      <c r="G860" t="s">
        <v>18</v>
      </c>
      <c r="H860">
        <v>3</v>
      </c>
      <c r="I860">
        <v>0</v>
      </c>
      <c r="J860">
        <v>20201</v>
      </c>
      <c r="K860">
        <f>COUNTIF('rEKAP kls MK'!$A$2:$A$35,Worksheet!C860)</f>
        <v>0</v>
      </c>
      <c r="L860" t="str">
        <f t="shared" si="52"/>
        <v>F1B116001</v>
      </c>
      <c r="M860" t="str">
        <f t="shared" si="53"/>
        <v>AHMAD MUHAJIR</v>
      </c>
      <c r="O860" t="str">
        <f t="shared" si="54"/>
        <v/>
      </c>
      <c r="P860" t="str">
        <f t="shared" si="55"/>
        <v/>
      </c>
    </row>
    <row r="861" spans="1:16">
      <c r="A861" t="s">
        <v>58</v>
      </c>
      <c r="B861" t="s">
        <v>59</v>
      </c>
      <c r="C861" t="s">
        <v>148</v>
      </c>
      <c r="D861" t="s">
        <v>149</v>
      </c>
      <c r="E861">
        <v>20171</v>
      </c>
      <c r="F861" t="s">
        <v>576</v>
      </c>
      <c r="G861" t="s">
        <v>150</v>
      </c>
      <c r="H861">
        <v>0</v>
      </c>
      <c r="I861">
        <v>0</v>
      </c>
      <c r="J861">
        <v>20201</v>
      </c>
      <c r="K861">
        <f>COUNTIF('rEKAP kls MK'!$A$2:$A$35,Worksheet!C861)</f>
        <v>0</v>
      </c>
      <c r="L861" t="str">
        <f t="shared" si="52"/>
        <v>F1B116003</v>
      </c>
      <c r="M861" t="str">
        <f t="shared" si="53"/>
        <v>DONI PRANATA</v>
      </c>
      <c r="O861" t="str">
        <f t="shared" si="54"/>
        <v/>
      </c>
      <c r="P861" t="str">
        <f t="shared" si="55"/>
        <v/>
      </c>
    </row>
    <row r="862" spans="1:16">
      <c r="A862" t="s">
        <v>60</v>
      </c>
      <c r="B862" t="s">
        <v>61</v>
      </c>
      <c r="C862" t="s">
        <v>148</v>
      </c>
      <c r="D862" t="s">
        <v>149</v>
      </c>
      <c r="E862">
        <v>20171</v>
      </c>
      <c r="F862" t="s">
        <v>576</v>
      </c>
      <c r="G862" t="s">
        <v>51</v>
      </c>
      <c r="H862">
        <v>3.5</v>
      </c>
      <c r="I862">
        <v>0</v>
      </c>
      <c r="J862">
        <v>20201</v>
      </c>
      <c r="K862">
        <f>COUNTIF('rEKAP kls MK'!$A$2:$A$35,Worksheet!C862)</f>
        <v>0</v>
      </c>
      <c r="L862" t="str">
        <f t="shared" si="52"/>
        <v>F1B116005</v>
      </c>
      <c r="M862" t="str">
        <f t="shared" si="53"/>
        <v>FENDY KURNIAWAN</v>
      </c>
      <c r="O862" t="str">
        <f t="shared" si="54"/>
        <v/>
      </c>
      <c r="P862" t="str">
        <f t="shared" si="55"/>
        <v/>
      </c>
    </row>
    <row r="863" spans="1:16">
      <c r="A863" t="s">
        <v>123</v>
      </c>
      <c r="B863" t="s">
        <v>124</v>
      </c>
      <c r="C863" t="s">
        <v>148</v>
      </c>
      <c r="D863" t="s">
        <v>149</v>
      </c>
      <c r="E863">
        <v>20171</v>
      </c>
      <c r="F863" t="s">
        <v>576</v>
      </c>
      <c r="G863" t="s">
        <v>23</v>
      </c>
      <c r="H863">
        <v>2.5</v>
      </c>
      <c r="I863">
        <v>0</v>
      </c>
      <c r="J863">
        <v>20201</v>
      </c>
      <c r="K863">
        <f>COUNTIF('rEKAP kls MK'!$A$2:$A$35,Worksheet!C863)</f>
        <v>0</v>
      </c>
      <c r="L863" t="str">
        <f t="shared" si="52"/>
        <v>F1B116007</v>
      </c>
      <c r="M863" t="str">
        <f t="shared" si="53"/>
        <v>HARIS MUNANDAR</v>
      </c>
      <c r="O863" t="str">
        <f t="shared" si="54"/>
        <v/>
      </c>
      <c r="P863" t="str">
        <f t="shared" si="55"/>
        <v/>
      </c>
    </row>
    <row r="864" spans="1:16">
      <c r="A864" t="s">
        <v>64</v>
      </c>
      <c r="B864" t="s">
        <v>65</v>
      </c>
      <c r="C864" t="s">
        <v>148</v>
      </c>
      <c r="D864" t="s">
        <v>149</v>
      </c>
      <c r="E864">
        <v>20171</v>
      </c>
      <c r="F864" t="s">
        <v>576</v>
      </c>
      <c r="G864" t="s">
        <v>23</v>
      </c>
      <c r="H864">
        <v>2.5</v>
      </c>
      <c r="I864">
        <v>0</v>
      </c>
      <c r="J864">
        <v>20201</v>
      </c>
      <c r="K864">
        <f>COUNTIF('rEKAP kls MK'!$A$2:$A$35,Worksheet!C864)</f>
        <v>0</v>
      </c>
      <c r="L864" t="str">
        <f t="shared" si="52"/>
        <v>F1B116008</v>
      </c>
      <c r="M864" t="str">
        <f t="shared" si="53"/>
        <v>Harjo Sumitro</v>
      </c>
      <c r="O864" t="str">
        <f t="shared" si="54"/>
        <v/>
      </c>
      <c r="P864" t="str">
        <f t="shared" si="55"/>
        <v/>
      </c>
    </row>
    <row r="865" spans="1:16">
      <c r="A865" t="s">
        <v>66</v>
      </c>
      <c r="B865" t="s">
        <v>67</v>
      </c>
      <c r="C865" t="s">
        <v>148</v>
      </c>
      <c r="D865" t="s">
        <v>149</v>
      </c>
      <c r="E865">
        <v>20171</v>
      </c>
      <c r="F865" t="s">
        <v>576</v>
      </c>
      <c r="G865" t="s">
        <v>18</v>
      </c>
      <c r="H865">
        <v>3</v>
      </c>
      <c r="I865">
        <v>0</v>
      </c>
      <c r="J865">
        <v>20201</v>
      </c>
      <c r="K865">
        <f>COUNTIF('rEKAP kls MK'!$A$2:$A$35,Worksheet!C865)</f>
        <v>0</v>
      </c>
      <c r="L865" t="str">
        <f t="shared" si="52"/>
        <v>F1B116009</v>
      </c>
      <c r="M865" t="str">
        <f t="shared" si="53"/>
        <v>HASAN BASRI</v>
      </c>
      <c r="O865" t="str">
        <f t="shared" si="54"/>
        <v/>
      </c>
      <c r="P865" t="str">
        <f t="shared" si="55"/>
        <v/>
      </c>
    </row>
    <row r="866" spans="1:16">
      <c r="A866" t="s">
        <v>68</v>
      </c>
      <c r="B866" t="s">
        <v>69</v>
      </c>
      <c r="C866" t="s">
        <v>148</v>
      </c>
      <c r="D866" t="s">
        <v>149</v>
      </c>
      <c r="E866">
        <v>20171</v>
      </c>
      <c r="F866" t="s">
        <v>576</v>
      </c>
      <c r="G866" t="s">
        <v>18</v>
      </c>
      <c r="H866">
        <v>3</v>
      </c>
      <c r="I866">
        <v>0</v>
      </c>
      <c r="J866">
        <v>20201</v>
      </c>
      <c r="K866">
        <f>COUNTIF('rEKAP kls MK'!$A$2:$A$35,Worksheet!C866)</f>
        <v>0</v>
      </c>
      <c r="L866" t="str">
        <f t="shared" si="52"/>
        <v>F1B116010</v>
      </c>
      <c r="M866" t="str">
        <f t="shared" si="53"/>
        <v>Ihsan Syaputro</v>
      </c>
      <c r="O866" t="str">
        <f t="shared" si="54"/>
        <v/>
      </c>
      <c r="P866" t="str">
        <f t="shared" si="55"/>
        <v/>
      </c>
    </row>
    <row r="867" spans="1:16">
      <c r="A867" t="s">
        <v>70</v>
      </c>
      <c r="B867" t="s">
        <v>71</v>
      </c>
      <c r="C867" t="s">
        <v>148</v>
      </c>
      <c r="D867" t="s">
        <v>149</v>
      </c>
      <c r="E867">
        <v>20171</v>
      </c>
      <c r="F867" t="s">
        <v>576</v>
      </c>
      <c r="G867" t="s">
        <v>101</v>
      </c>
      <c r="H867">
        <v>0</v>
      </c>
      <c r="I867">
        <v>0</v>
      </c>
      <c r="J867">
        <v>20201</v>
      </c>
      <c r="K867">
        <f>COUNTIF('rEKAP kls MK'!$A$2:$A$35,Worksheet!C867)</f>
        <v>0</v>
      </c>
      <c r="L867" t="str">
        <f t="shared" si="52"/>
        <v>F1B116012</v>
      </c>
      <c r="M867" t="str">
        <f t="shared" si="53"/>
        <v>JEMMY FEBRY SUMANDA</v>
      </c>
      <c r="O867" t="str">
        <f t="shared" si="54"/>
        <v/>
      </c>
      <c r="P867" t="str">
        <f t="shared" si="55"/>
        <v/>
      </c>
    </row>
    <row r="868" spans="1:16">
      <c r="A868" t="s">
        <v>72</v>
      </c>
      <c r="B868" t="s">
        <v>73</v>
      </c>
      <c r="C868" t="s">
        <v>148</v>
      </c>
      <c r="D868" t="s">
        <v>149</v>
      </c>
      <c r="E868">
        <v>20171</v>
      </c>
      <c r="F868" t="s">
        <v>576</v>
      </c>
      <c r="G868" t="s">
        <v>23</v>
      </c>
      <c r="H868">
        <v>2.5</v>
      </c>
      <c r="I868">
        <v>0</v>
      </c>
      <c r="J868">
        <v>20201</v>
      </c>
      <c r="K868">
        <f>COUNTIF('rEKAP kls MK'!$A$2:$A$35,Worksheet!C868)</f>
        <v>0</v>
      </c>
      <c r="L868" t="str">
        <f t="shared" si="52"/>
        <v>F1B116014</v>
      </c>
      <c r="M868" t="str">
        <f t="shared" si="53"/>
        <v>LALU ARIF TASIBANA</v>
      </c>
      <c r="O868" t="str">
        <f t="shared" si="54"/>
        <v/>
      </c>
      <c r="P868" t="str">
        <f t="shared" si="55"/>
        <v/>
      </c>
    </row>
    <row r="869" spans="1:16">
      <c r="A869" t="s">
        <v>74</v>
      </c>
      <c r="B869" t="s">
        <v>75</v>
      </c>
      <c r="C869" t="s">
        <v>148</v>
      </c>
      <c r="D869" t="s">
        <v>149</v>
      </c>
      <c r="E869">
        <v>20171</v>
      </c>
      <c r="F869" t="s">
        <v>576</v>
      </c>
      <c r="G869" t="s">
        <v>18</v>
      </c>
      <c r="H869">
        <v>3</v>
      </c>
      <c r="I869">
        <v>0</v>
      </c>
      <c r="J869">
        <v>20201</v>
      </c>
      <c r="K869">
        <f>COUNTIF('rEKAP kls MK'!$A$2:$A$35,Worksheet!C869)</f>
        <v>0</v>
      </c>
      <c r="L869" t="str">
        <f t="shared" si="52"/>
        <v>F1B116015</v>
      </c>
      <c r="M869" t="str">
        <f t="shared" si="53"/>
        <v>LALU MAHSAR KHAIRUDI</v>
      </c>
      <c r="O869" t="str">
        <f t="shared" si="54"/>
        <v/>
      </c>
      <c r="P869" t="str">
        <f t="shared" si="55"/>
        <v/>
      </c>
    </row>
    <row r="870" spans="1:16">
      <c r="A870" t="s">
        <v>76</v>
      </c>
      <c r="B870" t="s">
        <v>77</v>
      </c>
      <c r="C870" t="s">
        <v>148</v>
      </c>
      <c r="D870" t="s">
        <v>149</v>
      </c>
      <c r="E870">
        <v>20171</v>
      </c>
      <c r="F870" t="s">
        <v>576</v>
      </c>
      <c r="G870" t="s">
        <v>18</v>
      </c>
      <c r="H870">
        <v>3</v>
      </c>
      <c r="I870">
        <v>0</v>
      </c>
      <c r="J870">
        <v>20201</v>
      </c>
      <c r="K870">
        <f>COUNTIF('rEKAP kls MK'!$A$2:$A$35,Worksheet!C870)</f>
        <v>0</v>
      </c>
      <c r="L870" t="str">
        <f t="shared" si="52"/>
        <v>F1B116016</v>
      </c>
      <c r="M870" t="str">
        <f t="shared" si="53"/>
        <v>LALU MOHAMAD FAESAL RAHMAN</v>
      </c>
      <c r="O870" t="str">
        <f t="shared" si="54"/>
        <v/>
      </c>
      <c r="P870" t="str">
        <f t="shared" si="55"/>
        <v/>
      </c>
    </row>
    <row r="871" spans="1:16">
      <c r="A871" t="s">
        <v>126</v>
      </c>
      <c r="B871" t="s">
        <v>127</v>
      </c>
      <c r="C871" t="s">
        <v>148</v>
      </c>
      <c r="D871" t="s">
        <v>149</v>
      </c>
      <c r="E871">
        <v>20171</v>
      </c>
      <c r="F871" t="s">
        <v>576</v>
      </c>
      <c r="G871" t="s">
        <v>18</v>
      </c>
      <c r="H871">
        <v>3</v>
      </c>
      <c r="I871">
        <v>0</v>
      </c>
      <c r="J871">
        <v>20201</v>
      </c>
      <c r="K871">
        <f>COUNTIF('rEKAP kls MK'!$A$2:$A$35,Worksheet!C871)</f>
        <v>0</v>
      </c>
      <c r="L871" t="str">
        <f t="shared" si="52"/>
        <v>F1B116017</v>
      </c>
      <c r="M871" t="str">
        <f t="shared" si="53"/>
        <v xml:space="preserve">MAULANA ADI PRASETIO </v>
      </c>
      <c r="O871" t="str">
        <f t="shared" si="54"/>
        <v/>
      </c>
      <c r="P871" t="str">
        <f t="shared" si="55"/>
        <v/>
      </c>
    </row>
    <row r="872" spans="1:16">
      <c r="A872" t="s">
        <v>128</v>
      </c>
      <c r="B872" t="s">
        <v>129</v>
      </c>
      <c r="C872" t="s">
        <v>148</v>
      </c>
      <c r="D872" t="s">
        <v>149</v>
      </c>
      <c r="E872">
        <v>20171</v>
      </c>
      <c r="F872" t="s">
        <v>576</v>
      </c>
      <c r="G872" t="s">
        <v>18</v>
      </c>
      <c r="H872">
        <v>3</v>
      </c>
      <c r="I872">
        <v>0</v>
      </c>
      <c r="J872">
        <v>20201</v>
      </c>
      <c r="K872">
        <f>COUNTIF('rEKAP kls MK'!$A$2:$A$35,Worksheet!C872)</f>
        <v>0</v>
      </c>
      <c r="L872" t="str">
        <f t="shared" si="52"/>
        <v>F1B116020</v>
      </c>
      <c r="M872" t="str">
        <f t="shared" si="53"/>
        <v>Muhammad Zarrin Al Mansyury</v>
      </c>
      <c r="O872" t="str">
        <f t="shared" si="54"/>
        <v/>
      </c>
      <c r="P872" t="str">
        <f t="shared" si="55"/>
        <v/>
      </c>
    </row>
    <row r="873" spans="1:16">
      <c r="A873" t="s">
        <v>80</v>
      </c>
      <c r="B873" t="s">
        <v>81</v>
      </c>
      <c r="C873" t="s">
        <v>148</v>
      </c>
      <c r="D873" t="s">
        <v>149</v>
      </c>
      <c r="E873">
        <v>20171</v>
      </c>
      <c r="F873" t="s">
        <v>576</v>
      </c>
      <c r="G873" t="s">
        <v>18</v>
      </c>
      <c r="H873">
        <v>3</v>
      </c>
      <c r="I873">
        <v>0</v>
      </c>
      <c r="J873">
        <v>20201</v>
      </c>
      <c r="K873">
        <f>COUNTIF('rEKAP kls MK'!$A$2:$A$35,Worksheet!C873)</f>
        <v>0</v>
      </c>
      <c r="L873" t="str">
        <f t="shared" si="52"/>
        <v>F1B116022</v>
      </c>
      <c r="M873" t="str">
        <f t="shared" si="53"/>
        <v>NOVA HENDRI KURNIAWAN</v>
      </c>
      <c r="O873" t="str">
        <f t="shared" si="54"/>
        <v/>
      </c>
      <c r="P873" t="str">
        <f t="shared" si="55"/>
        <v/>
      </c>
    </row>
    <row r="874" spans="1:16">
      <c r="A874" t="s">
        <v>83</v>
      </c>
      <c r="B874" t="s">
        <v>84</v>
      </c>
      <c r="C874" t="s">
        <v>148</v>
      </c>
      <c r="D874" t="s">
        <v>149</v>
      </c>
      <c r="E874">
        <v>20171</v>
      </c>
      <c r="F874" t="s">
        <v>576</v>
      </c>
      <c r="G874" t="s">
        <v>18</v>
      </c>
      <c r="H874">
        <v>3</v>
      </c>
      <c r="I874">
        <v>0</v>
      </c>
      <c r="J874">
        <v>20201</v>
      </c>
      <c r="K874">
        <f>COUNTIF('rEKAP kls MK'!$A$2:$A$35,Worksheet!C874)</f>
        <v>0</v>
      </c>
      <c r="L874" t="str">
        <f t="shared" si="52"/>
        <v>F1B116024</v>
      </c>
      <c r="M874" t="str">
        <f t="shared" si="53"/>
        <v>RENA RAMDINAWATI</v>
      </c>
      <c r="O874" t="str">
        <f t="shared" si="54"/>
        <v/>
      </c>
      <c r="P874" t="str">
        <f t="shared" si="55"/>
        <v/>
      </c>
    </row>
    <row r="875" spans="1:16">
      <c r="A875" t="s">
        <v>85</v>
      </c>
      <c r="B875" t="s">
        <v>86</v>
      </c>
      <c r="C875" t="s">
        <v>148</v>
      </c>
      <c r="D875" t="s">
        <v>149</v>
      </c>
      <c r="E875">
        <v>20171</v>
      </c>
      <c r="F875" t="s">
        <v>576</v>
      </c>
      <c r="G875" t="s">
        <v>18</v>
      </c>
      <c r="H875">
        <v>3</v>
      </c>
      <c r="I875">
        <v>0</v>
      </c>
      <c r="J875">
        <v>20201</v>
      </c>
      <c r="K875">
        <f>COUNTIF('rEKAP kls MK'!$A$2:$A$35,Worksheet!C875)</f>
        <v>0</v>
      </c>
      <c r="L875" t="str">
        <f t="shared" si="52"/>
        <v>F1B116025</v>
      </c>
      <c r="M875" t="str">
        <f t="shared" si="53"/>
        <v>RISMAN ALFIAN LUTHFI</v>
      </c>
      <c r="O875" t="str">
        <f t="shared" si="54"/>
        <v/>
      </c>
      <c r="P875" t="str">
        <f t="shared" si="55"/>
        <v/>
      </c>
    </row>
    <row r="876" spans="1:16">
      <c r="A876" t="s">
        <v>87</v>
      </c>
      <c r="B876" t="s">
        <v>88</v>
      </c>
      <c r="C876" t="s">
        <v>148</v>
      </c>
      <c r="D876" t="s">
        <v>149</v>
      </c>
      <c r="E876">
        <v>20171</v>
      </c>
      <c r="F876" t="s">
        <v>576</v>
      </c>
      <c r="G876" t="s">
        <v>101</v>
      </c>
      <c r="H876">
        <v>0</v>
      </c>
      <c r="I876">
        <v>0</v>
      </c>
      <c r="J876">
        <v>20201</v>
      </c>
      <c r="K876">
        <f>COUNTIF('rEKAP kls MK'!$A$2:$A$35,Worksheet!C876)</f>
        <v>0</v>
      </c>
      <c r="L876" t="str">
        <f t="shared" si="52"/>
        <v>F1B116027</v>
      </c>
      <c r="M876" t="str">
        <f t="shared" si="53"/>
        <v>ROYHAN ADEKA SAPUTRA</v>
      </c>
      <c r="O876" t="str">
        <f t="shared" si="54"/>
        <v/>
      </c>
      <c r="P876" t="str">
        <f t="shared" si="55"/>
        <v/>
      </c>
    </row>
    <row r="877" spans="1:16">
      <c r="A877" t="s">
        <v>89</v>
      </c>
      <c r="B877" t="s">
        <v>90</v>
      </c>
      <c r="C877" t="s">
        <v>148</v>
      </c>
      <c r="D877" t="s">
        <v>149</v>
      </c>
      <c r="E877">
        <v>20171</v>
      </c>
      <c r="F877" t="s">
        <v>576</v>
      </c>
      <c r="G877" t="s">
        <v>23</v>
      </c>
      <c r="H877">
        <v>2.5</v>
      </c>
      <c r="I877">
        <v>0</v>
      </c>
      <c r="J877">
        <v>20201</v>
      </c>
      <c r="K877">
        <f>COUNTIF('rEKAP kls MK'!$A$2:$A$35,Worksheet!C877)</f>
        <v>0</v>
      </c>
      <c r="L877" t="str">
        <f t="shared" si="52"/>
        <v>F1B116029</v>
      </c>
      <c r="M877" t="str">
        <f t="shared" si="53"/>
        <v>TAUFIK ZUBAIDILLAH</v>
      </c>
      <c r="O877" t="str">
        <f t="shared" si="54"/>
        <v/>
      </c>
      <c r="P877" t="str">
        <f t="shared" si="55"/>
        <v/>
      </c>
    </row>
    <row r="878" spans="1:16">
      <c r="A878" t="s">
        <v>91</v>
      </c>
      <c r="B878" t="s">
        <v>92</v>
      </c>
      <c r="C878" t="s">
        <v>148</v>
      </c>
      <c r="D878" t="s">
        <v>149</v>
      </c>
      <c r="E878">
        <v>20171</v>
      </c>
      <c r="F878" t="s">
        <v>576</v>
      </c>
      <c r="G878" t="s">
        <v>18</v>
      </c>
      <c r="H878">
        <v>3</v>
      </c>
      <c r="I878">
        <v>0</v>
      </c>
      <c r="J878">
        <v>20201</v>
      </c>
      <c r="K878">
        <f>COUNTIF('rEKAP kls MK'!$A$2:$A$35,Worksheet!C878)</f>
        <v>0</v>
      </c>
      <c r="L878" t="str">
        <f t="shared" si="52"/>
        <v>F1B116030</v>
      </c>
      <c r="M878" t="str">
        <f t="shared" si="53"/>
        <v>Yanuardi</v>
      </c>
      <c r="O878" t="str">
        <f t="shared" si="54"/>
        <v/>
      </c>
      <c r="P878" t="str">
        <f t="shared" si="55"/>
        <v/>
      </c>
    </row>
    <row r="879" spans="1:16">
      <c r="A879" t="s">
        <v>93</v>
      </c>
      <c r="B879" t="s">
        <v>94</v>
      </c>
      <c r="C879" t="s">
        <v>148</v>
      </c>
      <c r="D879" t="s">
        <v>149</v>
      </c>
      <c r="E879">
        <v>20171</v>
      </c>
      <c r="F879" t="s">
        <v>576</v>
      </c>
      <c r="G879" t="s">
        <v>18</v>
      </c>
      <c r="H879">
        <v>3</v>
      </c>
      <c r="I879">
        <v>0</v>
      </c>
      <c r="J879">
        <v>20201</v>
      </c>
      <c r="K879">
        <f>COUNTIF('rEKAP kls MK'!$A$2:$A$35,Worksheet!C879)</f>
        <v>0</v>
      </c>
      <c r="L879" t="str">
        <f t="shared" si="52"/>
        <v>F1B116032</v>
      </c>
      <c r="M879" t="str">
        <f t="shared" si="53"/>
        <v>Yuma</v>
      </c>
      <c r="O879" t="str">
        <f t="shared" si="54"/>
        <v/>
      </c>
      <c r="P879" t="str">
        <f t="shared" si="55"/>
        <v/>
      </c>
    </row>
    <row r="880" spans="1:16">
      <c r="A880" t="s">
        <v>95</v>
      </c>
      <c r="B880" t="s">
        <v>96</v>
      </c>
      <c r="C880" t="s">
        <v>148</v>
      </c>
      <c r="D880" t="s">
        <v>149</v>
      </c>
      <c r="E880">
        <v>20171</v>
      </c>
      <c r="F880" t="s">
        <v>576</v>
      </c>
      <c r="G880" t="s">
        <v>51</v>
      </c>
      <c r="H880">
        <v>3.5</v>
      </c>
      <c r="I880">
        <v>0</v>
      </c>
      <c r="J880">
        <v>20201</v>
      </c>
      <c r="K880">
        <f>COUNTIF('rEKAP kls MK'!$A$2:$A$35,Worksheet!C880)</f>
        <v>0</v>
      </c>
      <c r="L880" t="str">
        <f t="shared" si="52"/>
        <v>F1B116033</v>
      </c>
      <c r="M880" t="str">
        <f t="shared" si="53"/>
        <v>Yusril Bagas Sevyanto</v>
      </c>
      <c r="O880" t="str">
        <f t="shared" si="54"/>
        <v/>
      </c>
      <c r="P880" t="str">
        <f t="shared" si="55"/>
        <v/>
      </c>
    </row>
    <row r="881" spans="1:16">
      <c r="A881" t="s">
        <v>130</v>
      </c>
      <c r="B881" t="s">
        <v>131</v>
      </c>
      <c r="C881" t="s">
        <v>148</v>
      </c>
      <c r="D881" t="s">
        <v>149</v>
      </c>
      <c r="E881">
        <v>20171</v>
      </c>
      <c r="F881" t="s">
        <v>576</v>
      </c>
      <c r="G881" t="s">
        <v>18</v>
      </c>
      <c r="H881">
        <v>3</v>
      </c>
      <c r="I881">
        <v>0</v>
      </c>
      <c r="J881">
        <v>20201</v>
      </c>
      <c r="K881">
        <f>COUNTIF('rEKAP kls MK'!$A$2:$A$35,Worksheet!C881)</f>
        <v>0</v>
      </c>
      <c r="L881" t="str">
        <f t="shared" si="52"/>
        <v>F1B116034</v>
      </c>
      <c r="M881" t="str">
        <f t="shared" si="53"/>
        <v>YUSRON ALIF SETIAWAN</v>
      </c>
      <c r="O881" t="str">
        <f t="shared" si="54"/>
        <v/>
      </c>
      <c r="P881" t="str">
        <f t="shared" si="55"/>
        <v/>
      </c>
    </row>
    <row r="882" spans="1:16">
      <c r="A882" t="s">
        <v>146</v>
      </c>
      <c r="B882" t="s">
        <v>147</v>
      </c>
      <c r="C882" t="s">
        <v>421</v>
      </c>
      <c r="D882" t="s">
        <v>422</v>
      </c>
      <c r="E882">
        <v>20171</v>
      </c>
      <c r="F882" t="s">
        <v>576</v>
      </c>
      <c r="G882" t="s">
        <v>23</v>
      </c>
      <c r="H882">
        <v>2.5</v>
      </c>
      <c r="I882">
        <v>0</v>
      </c>
      <c r="J882">
        <v>20201</v>
      </c>
      <c r="K882">
        <f>COUNTIF('rEKAP kls MK'!$A$2:$A$35,Worksheet!C882)</f>
        <v>0</v>
      </c>
      <c r="L882" t="str">
        <f t="shared" si="52"/>
        <v>F1B111036</v>
      </c>
      <c r="M882" t="str">
        <f t="shared" si="53"/>
        <v>Lalu Anja Sukmana</v>
      </c>
      <c r="O882" t="str">
        <f t="shared" si="54"/>
        <v>PRAKTIKUM RANGKAIAN ELEKTRONIKA</v>
      </c>
      <c r="P882" t="str">
        <f t="shared" si="55"/>
        <v/>
      </c>
    </row>
    <row r="883" spans="1:16">
      <c r="A883" t="s">
        <v>43</v>
      </c>
      <c r="B883" t="s">
        <v>44</v>
      </c>
      <c r="C883" t="s">
        <v>421</v>
      </c>
      <c r="D883" t="s">
        <v>422</v>
      </c>
      <c r="E883">
        <v>20171</v>
      </c>
      <c r="F883" t="s">
        <v>576</v>
      </c>
      <c r="G883" t="s">
        <v>23</v>
      </c>
      <c r="H883">
        <v>2.5</v>
      </c>
      <c r="I883">
        <v>0</v>
      </c>
      <c r="J883">
        <v>20201</v>
      </c>
      <c r="K883">
        <f>COUNTIF('rEKAP kls MK'!$A$2:$A$35,Worksheet!C883)</f>
        <v>0</v>
      </c>
      <c r="L883" t="str">
        <f t="shared" si="52"/>
        <v>F1B113034</v>
      </c>
      <c r="M883" t="str">
        <f t="shared" si="53"/>
        <v>SHIR AJIE ASMORO</v>
      </c>
      <c r="O883" t="str">
        <f t="shared" si="54"/>
        <v/>
      </c>
      <c r="P883" t="str">
        <f t="shared" si="55"/>
        <v/>
      </c>
    </row>
    <row r="884" spans="1:16">
      <c r="A884" t="s">
        <v>102</v>
      </c>
      <c r="B884" t="s">
        <v>103</v>
      </c>
      <c r="C884" t="s">
        <v>235</v>
      </c>
      <c r="D884" t="s">
        <v>236</v>
      </c>
      <c r="E884">
        <v>20171</v>
      </c>
      <c r="F884" s="4" t="s">
        <v>576</v>
      </c>
      <c r="G884" t="s">
        <v>18</v>
      </c>
      <c r="H884">
        <v>3</v>
      </c>
      <c r="I884">
        <v>0</v>
      </c>
      <c r="J884">
        <v>20201</v>
      </c>
      <c r="K884">
        <f>COUNTIF('rEKAP kls MK'!$A$2:$A$35,Worksheet!C884)</f>
        <v>0</v>
      </c>
      <c r="L884" t="str">
        <f t="shared" si="52"/>
        <v>F1B111033</v>
      </c>
      <c r="M884" t="str">
        <f t="shared" si="53"/>
        <v>Jumait</v>
      </c>
      <c r="O884" t="str">
        <f t="shared" si="54"/>
        <v>PRAKTIKUM RANGKAIAN LISTRIK</v>
      </c>
      <c r="P884" t="str">
        <f t="shared" si="55"/>
        <v/>
      </c>
    </row>
    <row r="885" spans="1:16">
      <c r="A885" t="s">
        <v>146</v>
      </c>
      <c r="B885" t="s">
        <v>147</v>
      </c>
      <c r="C885" t="s">
        <v>235</v>
      </c>
      <c r="D885" t="s">
        <v>236</v>
      </c>
      <c r="E885">
        <v>20171</v>
      </c>
      <c r="F885" s="4" t="s">
        <v>576</v>
      </c>
      <c r="G885" t="s">
        <v>51</v>
      </c>
      <c r="H885">
        <v>3.5</v>
      </c>
      <c r="I885">
        <v>0</v>
      </c>
      <c r="J885">
        <v>20201</v>
      </c>
      <c r="K885">
        <f>COUNTIF('rEKAP kls MK'!$A$2:$A$35,Worksheet!C885)</f>
        <v>0</v>
      </c>
      <c r="L885" t="str">
        <f t="shared" si="52"/>
        <v>F1B111036</v>
      </c>
      <c r="M885" t="str">
        <f t="shared" si="53"/>
        <v>Lalu Anja Sukmana</v>
      </c>
      <c r="O885" t="str">
        <f t="shared" si="54"/>
        <v/>
      </c>
      <c r="P885" t="str">
        <f t="shared" si="55"/>
        <v/>
      </c>
    </row>
    <row r="886" spans="1:16">
      <c r="A886" t="s">
        <v>151</v>
      </c>
      <c r="B886" t="s">
        <v>152</v>
      </c>
      <c r="C886" t="s">
        <v>235</v>
      </c>
      <c r="D886" t="s">
        <v>236</v>
      </c>
      <c r="E886">
        <v>20171</v>
      </c>
      <c r="F886" s="4" t="s">
        <v>576</v>
      </c>
      <c r="G886" t="s">
        <v>18</v>
      </c>
      <c r="H886">
        <v>3</v>
      </c>
      <c r="I886">
        <v>0</v>
      </c>
      <c r="J886">
        <v>20201</v>
      </c>
      <c r="K886">
        <f>COUNTIF('rEKAP kls MK'!$A$2:$A$35,Worksheet!C886)</f>
        <v>0</v>
      </c>
      <c r="L886" t="str">
        <f t="shared" si="52"/>
        <v>F1B112004</v>
      </c>
      <c r="M886" t="str">
        <f t="shared" si="53"/>
        <v>Alimudin Embu Tara</v>
      </c>
      <c r="O886" t="str">
        <f t="shared" si="54"/>
        <v/>
      </c>
      <c r="P886" t="str">
        <f t="shared" si="55"/>
        <v/>
      </c>
    </row>
    <row r="887" spans="1:16">
      <c r="A887" t="s">
        <v>207</v>
      </c>
      <c r="B887" t="s">
        <v>208</v>
      </c>
      <c r="C887" t="s">
        <v>235</v>
      </c>
      <c r="D887" t="s">
        <v>236</v>
      </c>
      <c r="E887">
        <v>20171</v>
      </c>
      <c r="F887" s="4" t="s">
        <v>576</v>
      </c>
      <c r="G887" t="s">
        <v>23</v>
      </c>
      <c r="H887">
        <v>2.5</v>
      </c>
      <c r="I887">
        <v>0</v>
      </c>
      <c r="J887">
        <v>20201</v>
      </c>
      <c r="K887">
        <f>COUNTIF('rEKAP kls MK'!$A$2:$A$35,Worksheet!C887)</f>
        <v>0</v>
      </c>
      <c r="L887" t="str">
        <f t="shared" si="52"/>
        <v>F1B112051</v>
      </c>
      <c r="M887" t="str">
        <f t="shared" si="53"/>
        <v>Teguh Agamawan Putra</v>
      </c>
      <c r="O887" t="str">
        <f t="shared" si="54"/>
        <v/>
      </c>
      <c r="P887" t="str">
        <f t="shared" si="55"/>
        <v/>
      </c>
    </row>
    <row r="888" spans="1:16">
      <c r="A888" t="s">
        <v>24</v>
      </c>
      <c r="B888" t="s">
        <v>25</v>
      </c>
      <c r="C888" t="s">
        <v>235</v>
      </c>
      <c r="D888" t="s">
        <v>236</v>
      </c>
      <c r="E888">
        <v>20171</v>
      </c>
      <c r="F888" s="4" t="s">
        <v>576</v>
      </c>
      <c r="G888" t="s">
        <v>18</v>
      </c>
      <c r="H888">
        <v>3</v>
      </c>
      <c r="I888">
        <v>0</v>
      </c>
      <c r="J888">
        <v>20201</v>
      </c>
      <c r="K888">
        <f>COUNTIF('rEKAP kls MK'!$A$2:$A$35,Worksheet!C888)</f>
        <v>0</v>
      </c>
      <c r="L888" t="str">
        <f t="shared" si="52"/>
        <v>F1B113015</v>
      </c>
      <c r="M888" t="str">
        <f t="shared" si="53"/>
        <v>IMAM RAHMATULLAH S</v>
      </c>
      <c r="O888" t="str">
        <f t="shared" si="54"/>
        <v/>
      </c>
      <c r="P888" t="str">
        <f t="shared" si="55"/>
        <v/>
      </c>
    </row>
    <row r="889" spans="1:16">
      <c r="A889" t="s">
        <v>31</v>
      </c>
      <c r="B889" t="s">
        <v>32</v>
      </c>
      <c r="C889" t="s">
        <v>235</v>
      </c>
      <c r="D889" t="s">
        <v>236</v>
      </c>
      <c r="E889">
        <v>20171</v>
      </c>
      <c r="F889" s="4" t="s">
        <v>576</v>
      </c>
      <c r="G889" t="s">
        <v>18</v>
      </c>
      <c r="H889">
        <v>3</v>
      </c>
      <c r="I889">
        <v>0</v>
      </c>
      <c r="J889">
        <v>20201</v>
      </c>
      <c r="K889">
        <f>COUNTIF('rEKAP kls MK'!$A$2:$A$35,Worksheet!C889)</f>
        <v>0</v>
      </c>
      <c r="L889" t="str">
        <f t="shared" si="52"/>
        <v>F1B113022</v>
      </c>
      <c r="M889" t="str">
        <f t="shared" si="53"/>
        <v>LAZARUS CHRISTIAN P</v>
      </c>
      <c r="O889" t="str">
        <f t="shared" si="54"/>
        <v/>
      </c>
      <c r="P889" t="str">
        <f t="shared" si="55"/>
        <v/>
      </c>
    </row>
    <row r="890" spans="1:16">
      <c r="A890" t="s">
        <v>35</v>
      </c>
      <c r="B890" t="s">
        <v>36</v>
      </c>
      <c r="C890" t="s">
        <v>235</v>
      </c>
      <c r="D890" t="s">
        <v>236</v>
      </c>
      <c r="E890">
        <v>20171</v>
      </c>
      <c r="F890" s="4" t="s">
        <v>576</v>
      </c>
      <c r="G890" t="s">
        <v>18</v>
      </c>
      <c r="H890">
        <v>3</v>
      </c>
      <c r="I890">
        <v>0</v>
      </c>
      <c r="J890">
        <v>20201</v>
      </c>
      <c r="K890">
        <f>COUNTIF('rEKAP kls MK'!$A$2:$A$35,Worksheet!C890)</f>
        <v>0</v>
      </c>
      <c r="L890" t="str">
        <f t="shared" si="52"/>
        <v>F1B113028</v>
      </c>
      <c r="M890" t="str">
        <f t="shared" si="53"/>
        <v>PUGUH DWI ANTARA</v>
      </c>
      <c r="O890" t="str">
        <f t="shared" si="54"/>
        <v/>
      </c>
      <c r="P890" t="str">
        <f t="shared" si="55"/>
        <v/>
      </c>
    </row>
    <row r="891" spans="1:16">
      <c r="A891" t="s">
        <v>37</v>
      </c>
      <c r="B891" t="s">
        <v>38</v>
      </c>
      <c r="C891" t="s">
        <v>235</v>
      </c>
      <c r="D891" t="s">
        <v>236</v>
      </c>
      <c r="E891">
        <v>20171</v>
      </c>
      <c r="F891" s="4" t="s">
        <v>576</v>
      </c>
      <c r="G891" t="s">
        <v>18</v>
      </c>
      <c r="H891">
        <v>3</v>
      </c>
      <c r="I891">
        <v>0</v>
      </c>
      <c r="J891">
        <v>20201</v>
      </c>
      <c r="K891">
        <f>COUNTIF('rEKAP kls MK'!$A$2:$A$35,Worksheet!C891)</f>
        <v>0</v>
      </c>
      <c r="L891" t="str">
        <f t="shared" si="52"/>
        <v>F1B113029</v>
      </c>
      <c r="M891" t="str">
        <f t="shared" si="53"/>
        <v>RANGGA FAJAR MAULANA</v>
      </c>
      <c r="O891" t="str">
        <f t="shared" si="54"/>
        <v/>
      </c>
      <c r="P891" t="str">
        <f t="shared" si="55"/>
        <v/>
      </c>
    </row>
    <row r="892" spans="1:16">
      <c r="A892" t="s">
        <v>136</v>
      </c>
      <c r="B892" t="s">
        <v>137</v>
      </c>
      <c r="C892" t="s">
        <v>235</v>
      </c>
      <c r="D892" t="s">
        <v>236</v>
      </c>
      <c r="E892">
        <v>20171</v>
      </c>
      <c r="F892" s="4" t="s">
        <v>576</v>
      </c>
      <c r="G892" t="s">
        <v>18</v>
      </c>
      <c r="H892">
        <v>3</v>
      </c>
      <c r="I892">
        <v>0</v>
      </c>
      <c r="J892">
        <v>20201</v>
      </c>
      <c r="K892">
        <f>COUNTIF('rEKAP kls MK'!$A$2:$A$35,Worksheet!C892)</f>
        <v>0</v>
      </c>
      <c r="L892" t="str">
        <f t="shared" si="52"/>
        <v>F1B113030</v>
      </c>
      <c r="M892" t="str">
        <f t="shared" si="53"/>
        <v>RIZAL ADI SAPUTRA</v>
      </c>
      <c r="O892" t="str">
        <f t="shared" si="54"/>
        <v/>
      </c>
      <c r="P892" t="str">
        <f t="shared" si="55"/>
        <v/>
      </c>
    </row>
    <row r="893" spans="1:16">
      <c r="A893" t="s">
        <v>39</v>
      </c>
      <c r="B893" t="s">
        <v>40</v>
      </c>
      <c r="C893" t="s">
        <v>235</v>
      </c>
      <c r="D893" t="s">
        <v>236</v>
      </c>
      <c r="E893">
        <v>20171</v>
      </c>
      <c r="F893" s="4" t="s">
        <v>576</v>
      </c>
      <c r="G893" t="s">
        <v>23</v>
      </c>
      <c r="H893">
        <v>2.5</v>
      </c>
      <c r="I893">
        <v>0</v>
      </c>
      <c r="J893">
        <v>20201</v>
      </c>
      <c r="K893">
        <f>COUNTIF('rEKAP kls MK'!$A$2:$A$35,Worksheet!C893)</f>
        <v>0</v>
      </c>
      <c r="L893" t="str">
        <f t="shared" si="52"/>
        <v>F1B113031</v>
      </c>
      <c r="M893" t="str">
        <f t="shared" si="53"/>
        <v>SADIQ RAMADHOAN</v>
      </c>
      <c r="O893" t="str">
        <f t="shared" si="54"/>
        <v/>
      </c>
      <c r="P893" t="str">
        <f t="shared" si="55"/>
        <v/>
      </c>
    </row>
    <row r="894" spans="1:16">
      <c r="A894" t="s">
        <v>43</v>
      </c>
      <c r="B894" t="s">
        <v>44</v>
      </c>
      <c r="C894" t="s">
        <v>235</v>
      </c>
      <c r="D894" t="s">
        <v>236</v>
      </c>
      <c r="E894">
        <v>20171</v>
      </c>
      <c r="F894" s="4" t="s">
        <v>576</v>
      </c>
      <c r="G894" t="s">
        <v>18</v>
      </c>
      <c r="H894">
        <v>3</v>
      </c>
      <c r="I894">
        <v>0</v>
      </c>
      <c r="J894">
        <v>20201</v>
      </c>
      <c r="K894">
        <f>COUNTIF('rEKAP kls MK'!$A$2:$A$35,Worksheet!C894)</f>
        <v>0</v>
      </c>
      <c r="L894" t="str">
        <f t="shared" si="52"/>
        <v>F1B113034</v>
      </c>
      <c r="M894" t="str">
        <f t="shared" si="53"/>
        <v>SHIR AJIE ASMORO</v>
      </c>
      <c r="O894" t="str">
        <f t="shared" si="54"/>
        <v/>
      </c>
      <c r="P894" t="str">
        <f t="shared" si="55"/>
        <v/>
      </c>
    </row>
    <row r="895" spans="1:16">
      <c r="A895" t="s">
        <v>175</v>
      </c>
      <c r="B895" t="s">
        <v>176</v>
      </c>
      <c r="C895" t="s">
        <v>235</v>
      </c>
      <c r="D895" t="s">
        <v>236</v>
      </c>
      <c r="E895">
        <v>20171</v>
      </c>
      <c r="F895" s="4" t="s">
        <v>576</v>
      </c>
      <c r="G895" t="s">
        <v>18</v>
      </c>
      <c r="H895">
        <v>3</v>
      </c>
      <c r="I895">
        <v>0</v>
      </c>
      <c r="J895">
        <v>20201</v>
      </c>
      <c r="K895">
        <f>COUNTIF('rEKAP kls MK'!$A$2:$A$35,Worksheet!C895)</f>
        <v>0</v>
      </c>
      <c r="L895" t="str">
        <f t="shared" si="52"/>
        <v>F1B114009</v>
      </c>
      <c r="M895" t="str">
        <f t="shared" si="53"/>
        <v>DANA SELVIA HADISWARA</v>
      </c>
      <c r="O895" t="str">
        <f t="shared" si="54"/>
        <v/>
      </c>
      <c r="P895" t="str">
        <f t="shared" si="55"/>
        <v/>
      </c>
    </row>
    <row r="896" spans="1:16">
      <c r="A896" t="s">
        <v>201</v>
      </c>
      <c r="B896" t="s">
        <v>202</v>
      </c>
      <c r="C896" t="s">
        <v>235</v>
      </c>
      <c r="D896" t="s">
        <v>236</v>
      </c>
      <c r="E896">
        <v>20171</v>
      </c>
      <c r="F896" s="4" t="s">
        <v>576</v>
      </c>
      <c r="G896" t="s">
        <v>18</v>
      </c>
      <c r="H896">
        <v>3</v>
      </c>
      <c r="I896">
        <v>0</v>
      </c>
      <c r="J896">
        <v>20201</v>
      </c>
      <c r="K896">
        <f>COUNTIF('rEKAP kls MK'!$A$2:$A$35,Worksheet!C896)</f>
        <v>0</v>
      </c>
      <c r="L896" t="str">
        <f t="shared" si="52"/>
        <v>F1B114030</v>
      </c>
      <c r="M896" t="str">
        <f t="shared" si="53"/>
        <v>PUTRA RAHMAT RAMADAN</v>
      </c>
      <c r="O896" t="str">
        <f t="shared" si="54"/>
        <v/>
      </c>
      <c r="P896" t="str">
        <f t="shared" si="55"/>
        <v/>
      </c>
    </row>
    <row r="897" spans="1:16">
      <c r="A897" t="s">
        <v>117</v>
      </c>
      <c r="B897" t="s">
        <v>118</v>
      </c>
      <c r="C897" t="s">
        <v>235</v>
      </c>
      <c r="D897" t="s">
        <v>236</v>
      </c>
      <c r="E897">
        <v>20171</v>
      </c>
      <c r="F897" s="4" t="s">
        <v>576</v>
      </c>
      <c r="G897" t="s">
        <v>23</v>
      </c>
      <c r="H897">
        <v>2.5</v>
      </c>
      <c r="I897">
        <v>0</v>
      </c>
      <c r="J897">
        <v>20201</v>
      </c>
      <c r="K897">
        <f>COUNTIF('rEKAP kls MK'!$A$2:$A$35,Worksheet!C897)</f>
        <v>0</v>
      </c>
      <c r="L897" t="str">
        <f t="shared" si="52"/>
        <v>F1B115002</v>
      </c>
      <c r="M897" t="str">
        <f t="shared" si="53"/>
        <v>AGUS SUPRIADI</v>
      </c>
      <c r="O897" t="str">
        <f t="shared" si="54"/>
        <v/>
      </c>
      <c r="P897" t="str">
        <f t="shared" si="55"/>
        <v/>
      </c>
    </row>
    <row r="898" spans="1:16">
      <c r="A898" t="s">
        <v>181</v>
      </c>
      <c r="B898" t="s">
        <v>182</v>
      </c>
      <c r="C898" t="s">
        <v>235</v>
      </c>
      <c r="D898" t="s">
        <v>236</v>
      </c>
      <c r="E898">
        <v>20171</v>
      </c>
      <c r="F898" s="4" t="s">
        <v>576</v>
      </c>
      <c r="G898" t="s">
        <v>18</v>
      </c>
      <c r="H898">
        <v>3</v>
      </c>
      <c r="I898">
        <v>0</v>
      </c>
      <c r="J898">
        <v>20201</v>
      </c>
      <c r="K898">
        <f>COUNTIF('rEKAP kls MK'!$A$2:$A$35,Worksheet!C898)</f>
        <v>0</v>
      </c>
      <c r="L898" t="str">
        <f t="shared" si="52"/>
        <v>F1B115004</v>
      </c>
      <c r="M898" t="str">
        <f t="shared" si="53"/>
        <v>ANDZAR QINTHARA</v>
      </c>
      <c r="O898" t="str">
        <f t="shared" si="54"/>
        <v/>
      </c>
      <c r="P898" t="str">
        <f t="shared" si="55"/>
        <v/>
      </c>
    </row>
    <row r="899" spans="1:16">
      <c r="A899" t="s">
        <v>209</v>
      </c>
      <c r="B899" t="s">
        <v>210</v>
      </c>
      <c r="C899" t="s">
        <v>235</v>
      </c>
      <c r="D899" t="s">
        <v>236</v>
      </c>
      <c r="E899">
        <v>20171</v>
      </c>
      <c r="F899" s="4" t="s">
        <v>576</v>
      </c>
      <c r="G899" t="s">
        <v>18</v>
      </c>
      <c r="H899">
        <v>3</v>
      </c>
      <c r="I899">
        <v>0</v>
      </c>
      <c r="J899">
        <v>20201</v>
      </c>
      <c r="K899">
        <f>COUNTIF('rEKAP kls MK'!$A$2:$A$35,Worksheet!C899)</f>
        <v>0</v>
      </c>
      <c r="L899" t="str">
        <f t="shared" ref="L899:L962" si="56">IF(A898&lt;&gt;A899,A899,"")</f>
        <v>F1B115005</v>
      </c>
      <c r="M899" t="str">
        <f t="shared" ref="M899:M962" si="57">IF(B898&lt;&gt;B899,B899,"")</f>
        <v>ANWAR SAPI I</v>
      </c>
      <c r="O899" t="str">
        <f t="shared" ref="O899:O962" si="58">IF(D898&lt;&gt;D899,D899,"")</f>
        <v/>
      </c>
      <c r="P899" t="str">
        <f t="shared" ref="P899:P962" si="59">IF(F898&lt;&gt;F899,F899,"")</f>
        <v/>
      </c>
    </row>
    <row r="900" spans="1:16">
      <c r="A900" t="s">
        <v>183</v>
      </c>
      <c r="B900" t="s">
        <v>184</v>
      </c>
      <c r="C900" t="s">
        <v>235</v>
      </c>
      <c r="D900" t="s">
        <v>236</v>
      </c>
      <c r="E900">
        <v>20171</v>
      </c>
      <c r="F900" s="4" t="s">
        <v>576</v>
      </c>
      <c r="G900" t="s">
        <v>101</v>
      </c>
      <c r="H900">
        <v>0</v>
      </c>
      <c r="I900">
        <v>0</v>
      </c>
      <c r="J900">
        <v>20201</v>
      </c>
      <c r="K900">
        <f>COUNTIF('rEKAP kls MK'!$A$2:$A$35,Worksheet!C900)</f>
        <v>0</v>
      </c>
      <c r="L900" t="str">
        <f t="shared" si="56"/>
        <v>F1B115006</v>
      </c>
      <c r="M900" t="str">
        <f t="shared" si="57"/>
        <v>Bagas Akbar Aznurinto</v>
      </c>
      <c r="O900" t="str">
        <f t="shared" si="58"/>
        <v/>
      </c>
      <c r="P900" t="str">
        <f t="shared" si="59"/>
        <v/>
      </c>
    </row>
    <row r="901" spans="1:16">
      <c r="A901" t="s">
        <v>211</v>
      </c>
      <c r="B901" t="s">
        <v>212</v>
      </c>
      <c r="C901" t="s">
        <v>235</v>
      </c>
      <c r="D901" t="s">
        <v>236</v>
      </c>
      <c r="E901">
        <v>20171</v>
      </c>
      <c r="F901" s="4" t="s">
        <v>576</v>
      </c>
      <c r="G901" t="s">
        <v>18</v>
      </c>
      <c r="H901">
        <v>3</v>
      </c>
      <c r="I901">
        <v>0</v>
      </c>
      <c r="J901">
        <v>20201</v>
      </c>
      <c r="K901">
        <f>COUNTIF('rEKAP kls MK'!$A$2:$A$35,Worksheet!C901)</f>
        <v>0</v>
      </c>
      <c r="L901" t="str">
        <f t="shared" si="56"/>
        <v>F1B115007</v>
      </c>
      <c r="M901" t="str">
        <f t="shared" si="57"/>
        <v>BAIHAKI</v>
      </c>
      <c r="O901" t="str">
        <f t="shared" si="58"/>
        <v/>
      </c>
      <c r="P901" t="str">
        <f t="shared" si="59"/>
        <v/>
      </c>
    </row>
    <row r="902" spans="1:16">
      <c r="A902" t="s">
        <v>119</v>
      </c>
      <c r="B902" t="s">
        <v>120</v>
      </c>
      <c r="C902" t="s">
        <v>235</v>
      </c>
      <c r="D902" t="s">
        <v>236</v>
      </c>
      <c r="E902">
        <v>20171</v>
      </c>
      <c r="F902" s="4" t="s">
        <v>576</v>
      </c>
      <c r="G902" t="s">
        <v>51</v>
      </c>
      <c r="H902">
        <v>3.5</v>
      </c>
      <c r="I902">
        <v>0</v>
      </c>
      <c r="J902">
        <v>20201</v>
      </c>
      <c r="K902">
        <f>COUNTIF('rEKAP kls MK'!$A$2:$A$35,Worksheet!C902)</f>
        <v>0</v>
      </c>
      <c r="L902" t="str">
        <f t="shared" si="56"/>
        <v>F1B115008</v>
      </c>
      <c r="M902" t="str">
        <f t="shared" si="57"/>
        <v>ESI BIRAHMATIHI</v>
      </c>
      <c r="O902" t="str">
        <f t="shared" si="58"/>
        <v/>
      </c>
      <c r="P902" t="str">
        <f t="shared" si="59"/>
        <v/>
      </c>
    </row>
    <row r="903" spans="1:16">
      <c r="A903" t="s">
        <v>213</v>
      </c>
      <c r="B903" t="s">
        <v>214</v>
      </c>
      <c r="C903" t="s">
        <v>235</v>
      </c>
      <c r="D903" t="s">
        <v>236</v>
      </c>
      <c r="E903">
        <v>20171</v>
      </c>
      <c r="F903" s="4" t="s">
        <v>576</v>
      </c>
      <c r="G903" t="s">
        <v>18</v>
      </c>
      <c r="H903">
        <v>3</v>
      </c>
      <c r="I903">
        <v>0</v>
      </c>
      <c r="J903">
        <v>20201</v>
      </c>
      <c r="K903">
        <f>COUNTIF('rEKAP kls MK'!$A$2:$A$35,Worksheet!C903)</f>
        <v>0</v>
      </c>
      <c r="L903" t="str">
        <f t="shared" si="56"/>
        <v>F1B115009</v>
      </c>
      <c r="M903" t="str">
        <f t="shared" si="57"/>
        <v>FADILAH KURNIATI</v>
      </c>
      <c r="O903" t="str">
        <f t="shared" si="58"/>
        <v/>
      </c>
      <c r="P903" t="str">
        <f t="shared" si="59"/>
        <v/>
      </c>
    </row>
    <row r="904" spans="1:16">
      <c r="A904" t="s">
        <v>237</v>
      </c>
      <c r="B904" t="s">
        <v>238</v>
      </c>
      <c r="C904" t="s">
        <v>235</v>
      </c>
      <c r="D904" t="s">
        <v>236</v>
      </c>
      <c r="E904">
        <v>20171</v>
      </c>
      <c r="F904" s="4" t="s">
        <v>576</v>
      </c>
      <c r="G904" t="s">
        <v>18</v>
      </c>
      <c r="H904">
        <v>3</v>
      </c>
      <c r="I904">
        <v>0</v>
      </c>
      <c r="J904">
        <v>20201</v>
      </c>
      <c r="K904">
        <f>COUNTIF('rEKAP kls MK'!$A$2:$A$35,Worksheet!C904)</f>
        <v>0</v>
      </c>
      <c r="L904" t="str">
        <f t="shared" si="56"/>
        <v>F1B115012</v>
      </c>
      <c r="M904" t="str">
        <f t="shared" si="57"/>
        <v>HARZA WISNU SAPUTRA</v>
      </c>
      <c r="O904" t="str">
        <f t="shared" si="58"/>
        <v/>
      </c>
      <c r="P904" t="str">
        <f t="shared" si="59"/>
        <v/>
      </c>
    </row>
    <row r="905" spans="1:16">
      <c r="A905" t="s">
        <v>144</v>
      </c>
      <c r="B905" t="s">
        <v>145</v>
      </c>
      <c r="C905" t="s">
        <v>235</v>
      </c>
      <c r="D905" t="s">
        <v>236</v>
      </c>
      <c r="E905">
        <v>20171</v>
      </c>
      <c r="F905" s="4" t="s">
        <v>576</v>
      </c>
      <c r="G905" t="s">
        <v>18</v>
      </c>
      <c r="H905">
        <v>3</v>
      </c>
      <c r="I905">
        <v>0</v>
      </c>
      <c r="J905">
        <v>20201</v>
      </c>
      <c r="K905">
        <f>COUNTIF('rEKAP kls MK'!$A$2:$A$35,Worksheet!C905)</f>
        <v>0</v>
      </c>
      <c r="L905" t="str">
        <f t="shared" si="56"/>
        <v>F1B115013</v>
      </c>
      <c r="M905" t="str">
        <f t="shared" si="57"/>
        <v>HERU WILUKMAN HAKIM</v>
      </c>
      <c r="O905" t="str">
        <f t="shared" si="58"/>
        <v/>
      </c>
      <c r="P905" t="str">
        <f t="shared" si="59"/>
        <v/>
      </c>
    </row>
    <row r="906" spans="1:16">
      <c r="A906" t="s">
        <v>215</v>
      </c>
      <c r="B906" t="s">
        <v>216</v>
      </c>
      <c r="C906" t="s">
        <v>235</v>
      </c>
      <c r="D906" t="s">
        <v>236</v>
      </c>
      <c r="E906">
        <v>20171</v>
      </c>
      <c r="F906" s="4" t="s">
        <v>576</v>
      </c>
      <c r="G906" t="s">
        <v>18</v>
      </c>
      <c r="H906">
        <v>3</v>
      </c>
      <c r="I906">
        <v>0</v>
      </c>
      <c r="J906">
        <v>20201</v>
      </c>
      <c r="K906">
        <f>COUNTIF('rEKAP kls MK'!$A$2:$A$35,Worksheet!C906)</f>
        <v>0</v>
      </c>
      <c r="L906" t="str">
        <f t="shared" si="56"/>
        <v>F1B115014</v>
      </c>
      <c r="M906" t="str">
        <f t="shared" si="57"/>
        <v>ILHAMUDDIN</v>
      </c>
      <c r="O906" t="str">
        <f t="shared" si="58"/>
        <v/>
      </c>
      <c r="P906" t="str">
        <f t="shared" si="59"/>
        <v/>
      </c>
    </row>
    <row r="907" spans="1:16">
      <c r="A907" t="s">
        <v>185</v>
      </c>
      <c r="B907" t="s">
        <v>186</v>
      </c>
      <c r="C907" t="s">
        <v>235</v>
      </c>
      <c r="D907" t="s">
        <v>236</v>
      </c>
      <c r="E907">
        <v>20171</v>
      </c>
      <c r="F907" s="4" t="s">
        <v>576</v>
      </c>
      <c r="G907" t="s">
        <v>18</v>
      </c>
      <c r="H907">
        <v>3</v>
      </c>
      <c r="I907">
        <v>0</v>
      </c>
      <c r="J907">
        <v>20201</v>
      </c>
      <c r="K907">
        <f>COUNTIF('rEKAP kls MK'!$A$2:$A$35,Worksheet!C907)</f>
        <v>0</v>
      </c>
      <c r="L907" t="str">
        <f t="shared" si="56"/>
        <v>F1B115015</v>
      </c>
      <c r="M907" t="str">
        <f t="shared" si="57"/>
        <v>ILMAN HIDAYAT</v>
      </c>
      <c r="O907" t="str">
        <f t="shared" si="58"/>
        <v/>
      </c>
      <c r="P907" t="str">
        <f t="shared" si="59"/>
        <v/>
      </c>
    </row>
    <row r="908" spans="1:16">
      <c r="A908" t="s">
        <v>217</v>
      </c>
      <c r="B908" t="s">
        <v>218</v>
      </c>
      <c r="C908" t="s">
        <v>235</v>
      </c>
      <c r="D908" t="s">
        <v>236</v>
      </c>
      <c r="E908">
        <v>20171</v>
      </c>
      <c r="F908" s="4" t="s">
        <v>576</v>
      </c>
      <c r="G908" t="s">
        <v>18</v>
      </c>
      <c r="H908">
        <v>3</v>
      </c>
      <c r="I908">
        <v>0</v>
      </c>
      <c r="J908">
        <v>20201</v>
      </c>
      <c r="K908">
        <f>COUNTIF('rEKAP kls MK'!$A$2:$A$35,Worksheet!C908)</f>
        <v>0</v>
      </c>
      <c r="L908" t="str">
        <f t="shared" si="56"/>
        <v>F1B115016</v>
      </c>
      <c r="M908" t="str">
        <f t="shared" si="57"/>
        <v>Imam Syuhada</v>
      </c>
      <c r="O908" t="str">
        <f t="shared" si="58"/>
        <v/>
      </c>
      <c r="P908" t="str">
        <f t="shared" si="59"/>
        <v/>
      </c>
    </row>
    <row r="909" spans="1:16">
      <c r="A909" t="s">
        <v>191</v>
      </c>
      <c r="B909" t="s">
        <v>192</v>
      </c>
      <c r="C909" t="s">
        <v>235</v>
      </c>
      <c r="D909" t="s">
        <v>236</v>
      </c>
      <c r="E909">
        <v>20171</v>
      </c>
      <c r="F909" s="4" t="s">
        <v>576</v>
      </c>
      <c r="G909" t="s">
        <v>18</v>
      </c>
      <c r="H909">
        <v>3</v>
      </c>
      <c r="I909">
        <v>0</v>
      </c>
      <c r="J909">
        <v>20201</v>
      </c>
      <c r="K909">
        <f>COUNTIF('rEKAP kls MK'!$A$2:$A$35,Worksheet!C909)</f>
        <v>0</v>
      </c>
      <c r="L909" t="str">
        <f t="shared" si="56"/>
        <v>F1B115018</v>
      </c>
      <c r="M909" t="str">
        <f t="shared" si="57"/>
        <v>JANUARMAN MAULANA PUTRA</v>
      </c>
      <c r="O909" t="str">
        <f t="shared" si="58"/>
        <v/>
      </c>
      <c r="P909" t="str">
        <f t="shared" si="59"/>
        <v/>
      </c>
    </row>
    <row r="910" spans="1:16">
      <c r="A910" t="s">
        <v>219</v>
      </c>
      <c r="B910" t="s">
        <v>220</v>
      </c>
      <c r="C910" t="s">
        <v>235</v>
      </c>
      <c r="D910" t="s">
        <v>236</v>
      </c>
      <c r="E910">
        <v>20171</v>
      </c>
      <c r="F910" s="4" t="s">
        <v>576</v>
      </c>
      <c r="G910" t="s">
        <v>18</v>
      </c>
      <c r="H910">
        <v>3</v>
      </c>
      <c r="I910">
        <v>0</v>
      </c>
      <c r="J910">
        <v>20201</v>
      </c>
      <c r="K910">
        <f>COUNTIF('rEKAP kls MK'!$A$2:$A$35,Worksheet!C910)</f>
        <v>0</v>
      </c>
      <c r="L910" t="str">
        <f t="shared" si="56"/>
        <v>F1B115020</v>
      </c>
      <c r="M910" t="str">
        <f t="shared" si="57"/>
        <v>KHAIRIL SUDARMANTO</v>
      </c>
      <c r="O910" t="str">
        <f t="shared" si="58"/>
        <v/>
      </c>
      <c r="P910" t="str">
        <f t="shared" si="59"/>
        <v/>
      </c>
    </row>
    <row r="911" spans="1:16">
      <c r="A911" t="s">
        <v>221</v>
      </c>
      <c r="B911" t="s">
        <v>222</v>
      </c>
      <c r="C911" t="s">
        <v>235</v>
      </c>
      <c r="D911" t="s">
        <v>236</v>
      </c>
      <c r="E911">
        <v>20171</v>
      </c>
      <c r="F911" s="4" t="s">
        <v>576</v>
      </c>
      <c r="G911" t="s">
        <v>18</v>
      </c>
      <c r="H911">
        <v>3</v>
      </c>
      <c r="I911">
        <v>0</v>
      </c>
      <c r="J911">
        <v>20201</v>
      </c>
      <c r="K911">
        <f>COUNTIF('rEKAP kls MK'!$A$2:$A$35,Worksheet!C911)</f>
        <v>0</v>
      </c>
      <c r="L911" t="str">
        <f t="shared" si="56"/>
        <v>F1B115021</v>
      </c>
      <c r="M911" t="str">
        <f t="shared" si="57"/>
        <v>LALU TRIAWANRI NOVIANUNG</v>
      </c>
      <c r="O911" t="str">
        <f t="shared" si="58"/>
        <v/>
      </c>
      <c r="P911" t="str">
        <f t="shared" si="59"/>
        <v/>
      </c>
    </row>
    <row r="912" spans="1:16">
      <c r="A912" t="s">
        <v>223</v>
      </c>
      <c r="B912" t="s">
        <v>224</v>
      </c>
      <c r="C912" t="s">
        <v>235</v>
      </c>
      <c r="D912" t="s">
        <v>236</v>
      </c>
      <c r="E912">
        <v>20171</v>
      </c>
      <c r="F912" s="4" t="s">
        <v>576</v>
      </c>
      <c r="G912" t="s">
        <v>18</v>
      </c>
      <c r="H912">
        <v>3</v>
      </c>
      <c r="I912">
        <v>0</v>
      </c>
      <c r="J912">
        <v>20201</v>
      </c>
      <c r="K912">
        <f>COUNTIF('rEKAP kls MK'!$A$2:$A$35,Worksheet!C912)</f>
        <v>0</v>
      </c>
      <c r="L912" t="str">
        <f t="shared" si="56"/>
        <v>F1B115022</v>
      </c>
      <c r="M912" t="str">
        <f t="shared" si="57"/>
        <v>LAZARINA MARIANA</v>
      </c>
      <c r="O912" t="str">
        <f t="shared" si="58"/>
        <v/>
      </c>
      <c r="P912" t="str">
        <f t="shared" si="59"/>
        <v/>
      </c>
    </row>
    <row r="913" spans="1:16">
      <c r="A913" t="s">
        <v>225</v>
      </c>
      <c r="B913" t="s">
        <v>226</v>
      </c>
      <c r="C913" t="s">
        <v>235</v>
      </c>
      <c r="D913" t="s">
        <v>236</v>
      </c>
      <c r="E913">
        <v>20171</v>
      </c>
      <c r="F913" s="4" t="s">
        <v>576</v>
      </c>
      <c r="G913" t="s">
        <v>18</v>
      </c>
      <c r="H913">
        <v>3</v>
      </c>
      <c r="I913">
        <v>0</v>
      </c>
      <c r="J913">
        <v>20201</v>
      </c>
      <c r="K913">
        <f>COUNTIF('rEKAP kls MK'!$A$2:$A$35,Worksheet!C913)</f>
        <v>0</v>
      </c>
      <c r="L913" t="str">
        <f t="shared" si="56"/>
        <v>F1B115023</v>
      </c>
      <c r="M913" t="str">
        <f t="shared" si="57"/>
        <v>M Habibillah</v>
      </c>
      <c r="O913" t="str">
        <f t="shared" si="58"/>
        <v/>
      </c>
      <c r="P913" t="str">
        <f t="shared" si="59"/>
        <v/>
      </c>
    </row>
    <row r="914" spans="1:16">
      <c r="A914" t="s">
        <v>121</v>
      </c>
      <c r="B914" t="s">
        <v>122</v>
      </c>
      <c r="C914" t="s">
        <v>235</v>
      </c>
      <c r="D914" t="s">
        <v>236</v>
      </c>
      <c r="E914">
        <v>20171</v>
      </c>
      <c r="F914" s="4" t="s">
        <v>576</v>
      </c>
      <c r="G914" t="s">
        <v>18</v>
      </c>
      <c r="H914">
        <v>3</v>
      </c>
      <c r="I914">
        <v>0</v>
      </c>
      <c r="J914">
        <v>20201</v>
      </c>
      <c r="K914">
        <f>COUNTIF('rEKAP kls MK'!$A$2:$A$35,Worksheet!C914)</f>
        <v>0</v>
      </c>
      <c r="L914" t="str">
        <f t="shared" si="56"/>
        <v>F1B115025</v>
      </c>
      <c r="M914" t="str">
        <f t="shared" si="57"/>
        <v>MERRY MICHELLINA</v>
      </c>
      <c r="O914" t="str">
        <f t="shared" si="58"/>
        <v/>
      </c>
      <c r="P914" t="str">
        <f t="shared" si="59"/>
        <v/>
      </c>
    </row>
    <row r="915" spans="1:16">
      <c r="A915" t="s">
        <v>193</v>
      </c>
      <c r="B915" t="s">
        <v>194</v>
      </c>
      <c r="C915" t="s">
        <v>235</v>
      </c>
      <c r="D915" t="s">
        <v>236</v>
      </c>
      <c r="E915">
        <v>20171</v>
      </c>
      <c r="F915" s="4" t="s">
        <v>576</v>
      </c>
      <c r="G915" t="s">
        <v>51</v>
      </c>
      <c r="H915">
        <v>3.5</v>
      </c>
      <c r="I915">
        <v>0</v>
      </c>
      <c r="J915">
        <v>20201</v>
      </c>
      <c r="K915">
        <f>COUNTIF('rEKAP kls MK'!$A$2:$A$35,Worksheet!C915)</f>
        <v>0</v>
      </c>
      <c r="L915" t="str">
        <f t="shared" si="56"/>
        <v>F1B115026</v>
      </c>
      <c r="M915" t="str">
        <f t="shared" si="57"/>
        <v>MUCHAMMAD BAGIR</v>
      </c>
      <c r="O915" t="str">
        <f t="shared" si="58"/>
        <v/>
      </c>
      <c r="P915" t="str">
        <f t="shared" si="59"/>
        <v/>
      </c>
    </row>
    <row r="916" spans="1:16">
      <c r="A916" t="s">
        <v>227</v>
      </c>
      <c r="B916" t="s">
        <v>228</v>
      </c>
      <c r="C916" t="s">
        <v>235</v>
      </c>
      <c r="D916" t="s">
        <v>236</v>
      </c>
      <c r="E916">
        <v>20171</v>
      </c>
      <c r="F916" s="4" t="s">
        <v>576</v>
      </c>
      <c r="G916" t="s">
        <v>18</v>
      </c>
      <c r="H916">
        <v>3</v>
      </c>
      <c r="I916">
        <v>0</v>
      </c>
      <c r="J916">
        <v>20201</v>
      </c>
      <c r="K916">
        <f>COUNTIF('rEKAP kls MK'!$A$2:$A$35,Worksheet!C916)</f>
        <v>0</v>
      </c>
      <c r="L916" t="str">
        <f t="shared" si="56"/>
        <v>F1B115027</v>
      </c>
      <c r="M916" t="str">
        <f t="shared" si="57"/>
        <v>MUHAMAD NUDISANTANA RISWANDI</v>
      </c>
      <c r="O916" t="str">
        <f t="shared" si="58"/>
        <v/>
      </c>
      <c r="P916" t="str">
        <f t="shared" si="59"/>
        <v/>
      </c>
    </row>
    <row r="917" spans="1:16">
      <c r="A917" t="s">
        <v>229</v>
      </c>
      <c r="B917" t="s">
        <v>230</v>
      </c>
      <c r="C917" t="s">
        <v>235</v>
      </c>
      <c r="D917" t="s">
        <v>236</v>
      </c>
      <c r="E917">
        <v>20171</v>
      </c>
      <c r="F917" s="4" t="s">
        <v>576</v>
      </c>
      <c r="G917" t="s">
        <v>18</v>
      </c>
      <c r="H917">
        <v>3</v>
      </c>
      <c r="I917">
        <v>0</v>
      </c>
      <c r="J917">
        <v>20201</v>
      </c>
      <c r="K917">
        <f>COUNTIF('rEKAP kls MK'!$A$2:$A$35,Worksheet!C917)</f>
        <v>0</v>
      </c>
      <c r="L917" t="str">
        <f t="shared" si="56"/>
        <v>F1B115029</v>
      </c>
      <c r="M917" t="str">
        <f t="shared" si="57"/>
        <v>MUHAMAT TAUFIK</v>
      </c>
      <c r="O917" t="str">
        <f t="shared" si="58"/>
        <v/>
      </c>
      <c r="P917" t="str">
        <f t="shared" si="59"/>
        <v/>
      </c>
    </row>
    <row r="918" spans="1:16">
      <c r="A918" t="s">
        <v>231</v>
      </c>
      <c r="B918" t="s">
        <v>232</v>
      </c>
      <c r="C918" t="s">
        <v>235</v>
      </c>
      <c r="D918" t="s">
        <v>236</v>
      </c>
      <c r="E918">
        <v>20171</v>
      </c>
      <c r="F918" s="4" t="s">
        <v>576</v>
      </c>
      <c r="G918" t="s">
        <v>18</v>
      </c>
      <c r="H918">
        <v>3</v>
      </c>
      <c r="I918">
        <v>0</v>
      </c>
      <c r="J918">
        <v>20201</v>
      </c>
      <c r="K918">
        <f>COUNTIF('rEKAP kls MK'!$A$2:$A$35,Worksheet!C918)</f>
        <v>0</v>
      </c>
      <c r="L918" t="str">
        <f t="shared" si="56"/>
        <v>F1B115030</v>
      </c>
      <c r="M918" t="str">
        <f t="shared" si="57"/>
        <v>MUHAMMAD FIQRIL</v>
      </c>
      <c r="O918" t="str">
        <f t="shared" si="58"/>
        <v/>
      </c>
      <c r="P918" t="str">
        <f t="shared" si="59"/>
        <v/>
      </c>
    </row>
    <row r="919" spans="1:16">
      <c r="A919" t="s">
        <v>233</v>
      </c>
      <c r="B919" t="s">
        <v>234</v>
      </c>
      <c r="C919" t="s">
        <v>235</v>
      </c>
      <c r="D919" t="s">
        <v>236</v>
      </c>
      <c r="E919">
        <v>20171</v>
      </c>
      <c r="F919" s="4" t="s">
        <v>576</v>
      </c>
      <c r="G919" t="s">
        <v>18</v>
      </c>
      <c r="H919">
        <v>3</v>
      </c>
      <c r="I919">
        <v>0</v>
      </c>
      <c r="J919">
        <v>20201</v>
      </c>
      <c r="K919">
        <f>COUNTIF('rEKAP kls MK'!$A$2:$A$35,Worksheet!C919)</f>
        <v>0</v>
      </c>
      <c r="L919" t="str">
        <f t="shared" si="56"/>
        <v>F1B115031</v>
      </c>
      <c r="M919" t="str">
        <f t="shared" si="57"/>
        <v>Muhammad Riza Pratama S</v>
      </c>
      <c r="O919" t="str">
        <f t="shared" si="58"/>
        <v/>
      </c>
      <c r="P919" t="str">
        <f t="shared" si="59"/>
        <v/>
      </c>
    </row>
    <row r="920" spans="1:16">
      <c r="A920" t="s">
        <v>187</v>
      </c>
      <c r="B920" t="s">
        <v>188</v>
      </c>
      <c r="C920" t="s">
        <v>235</v>
      </c>
      <c r="D920" t="s">
        <v>236</v>
      </c>
      <c r="E920">
        <v>20171</v>
      </c>
      <c r="F920" s="4" t="s">
        <v>576</v>
      </c>
      <c r="G920" t="s">
        <v>18</v>
      </c>
      <c r="H920">
        <v>3</v>
      </c>
      <c r="I920">
        <v>0</v>
      </c>
      <c r="J920">
        <v>20201</v>
      </c>
      <c r="K920">
        <f>COUNTIF('rEKAP kls MK'!$A$2:$A$35,Worksheet!C920)</f>
        <v>0</v>
      </c>
      <c r="L920" t="str">
        <f t="shared" si="56"/>
        <v>F1B115032</v>
      </c>
      <c r="M920" t="str">
        <f t="shared" si="57"/>
        <v>Muhammad Rozziq Syaputra</v>
      </c>
      <c r="O920" t="str">
        <f t="shared" si="58"/>
        <v/>
      </c>
      <c r="P920" t="str">
        <f t="shared" si="59"/>
        <v/>
      </c>
    </row>
    <row r="921" spans="1:16">
      <c r="A921" t="s">
        <v>195</v>
      </c>
      <c r="B921" t="s">
        <v>196</v>
      </c>
      <c r="C921" t="s">
        <v>235</v>
      </c>
      <c r="D921" t="s">
        <v>236</v>
      </c>
      <c r="E921">
        <v>20171</v>
      </c>
      <c r="F921" s="4" t="s">
        <v>576</v>
      </c>
      <c r="G921" t="s">
        <v>18</v>
      </c>
      <c r="H921">
        <v>3</v>
      </c>
      <c r="I921">
        <v>0</v>
      </c>
      <c r="J921">
        <v>20201</v>
      </c>
      <c r="K921">
        <f>COUNTIF('rEKAP kls MK'!$A$2:$A$35,Worksheet!C921)</f>
        <v>0</v>
      </c>
      <c r="L921" t="str">
        <f t="shared" si="56"/>
        <v>F1B115034</v>
      </c>
      <c r="M921" t="str">
        <f t="shared" si="57"/>
        <v>NAUFAL ATSAURI</v>
      </c>
      <c r="O921" t="str">
        <f t="shared" si="58"/>
        <v/>
      </c>
      <c r="P921" t="str">
        <f t="shared" si="59"/>
        <v/>
      </c>
    </row>
    <row r="922" spans="1:16">
      <c r="A922" t="s">
        <v>151</v>
      </c>
      <c r="B922" t="s">
        <v>152</v>
      </c>
      <c r="C922" t="s">
        <v>153</v>
      </c>
      <c r="D922" t="s">
        <v>154</v>
      </c>
      <c r="E922">
        <v>20171</v>
      </c>
      <c r="F922" t="s">
        <v>576</v>
      </c>
      <c r="G922" t="s">
        <v>18</v>
      </c>
      <c r="H922">
        <v>3</v>
      </c>
      <c r="I922">
        <v>0</v>
      </c>
      <c r="J922">
        <v>20201</v>
      </c>
      <c r="K922">
        <f>COUNTIF('rEKAP kls MK'!$A$2:$A$35,Worksheet!C922)</f>
        <v>0</v>
      </c>
      <c r="L922" t="str">
        <f t="shared" si="56"/>
        <v>F1B112004</v>
      </c>
      <c r="M922" t="str">
        <f t="shared" si="57"/>
        <v>Alimudin Embu Tara</v>
      </c>
      <c r="O922" t="str">
        <f t="shared" si="58"/>
        <v>PRAKTIKUM RANGKAIAN LOGIKA</v>
      </c>
      <c r="P922" t="str">
        <f t="shared" si="59"/>
        <v/>
      </c>
    </row>
    <row r="923" spans="1:16">
      <c r="A923" t="s">
        <v>43</v>
      </c>
      <c r="B923" t="s">
        <v>44</v>
      </c>
      <c r="C923" t="s">
        <v>153</v>
      </c>
      <c r="D923" t="s">
        <v>154</v>
      </c>
      <c r="E923">
        <v>20171</v>
      </c>
      <c r="F923" t="s">
        <v>576</v>
      </c>
      <c r="G923" t="s">
        <v>18</v>
      </c>
      <c r="H923">
        <v>3</v>
      </c>
      <c r="I923">
        <v>0</v>
      </c>
      <c r="J923">
        <v>20201</v>
      </c>
      <c r="K923">
        <f>COUNTIF('rEKAP kls MK'!$A$2:$A$35,Worksheet!C923)</f>
        <v>0</v>
      </c>
      <c r="L923" t="str">
        <f t="shared" si="56"/>
        <v>F1B113034</v>
      </c>
      <c r="M923" t="str">
        <f t="shared" si="57"/>
        <v>SHIR AJIE ASMORO</v>
      </c>
      <c r="O923" t="str">
        <f t="shared" si="58"/>
        <v/>
      </c>
      <c r="P923" t="str">
        <f t="shared" si="59"/>
        <v/>
      </c>
    </row>
    <row r="924" spans="1:16">
      <c r="A924" t="s">
        <v>49</v>
      </c>
      <c r="B924" t="s">
        <v>50</v>
      </c>
      <c r="C924" t="s">
        <v>153</v>
      </c>
      <c r="D924" t="s">
        <v>154</v>
      </c>
      <c r="E924">
        <v>20171</v>
      </c>
      <c r="F924" t="s">
        <v>576</v>
      </c>
      <c r="G924" t="s">
        <v>101</v>
      </c>
      <c r="H924">
        <v>0</v>
      </c>
      <c r="I924">
        <v>0</v>
      </c>
      <c r="J924">
        <v>20201</v>
      </c>
      <c r="K924">
        <f>COUNTIF('rEKAP kls MK'!$A$2:$A$35,Worksheet!C924)</f>
        <v>0</v>
      </c>
      <c r="L924" t="str">
        <f t="shared" si="56"/>
        <v>F1B114007</v>
      </c>
      <c r="M924" t="str">
        <f t="shared" si="57"/>
        <v>BIJE SYIAPRIADI D</v>
      </c>
      <c r="O924" t="str">
        <f t="shared" si="58"/>
        <v/>
      </c>
      <c r="P924" t="str">
        <f t="shared" si="59"/>
        <v/>
      </c>
    </row>
    <row r="925" spans="1:16">
      <c r="A925" t="s">
        <v>155</v>
      </c>
      <c r="B925" t="s">
        <v>156</v>
      </c>
      <c r="C925" t="s">
        <v>153</v>
      </c>
      <c r="D925" t="s">
        <v>154</v>
      </c>
      <c r="E925">
        <v>20171</v>
      </c>
      <c r="F925" t="s">
        <v>576</v>
      </c>
      <c r="G925" t="s">
        <v>18</v>
      </c>
      <c r="H925">
        <v>3</v>
      </c>
      <c r="I925">
        <v>0</v>
      </c>
      <c r="J925">
        <v>20201</v>
      </c>
      <c r="K925">
        <f>COUNTIF('rEKAP kls MK'!$A$2:$A$35,Worksheet!C925)</f>
        <v>0</v>
      </c>
      <c r="L925" t="str">
        <f t="shared" si="56"/>
        <v>F1B114008</v>
      </c>
      <c r="M925" t="str">
        <f t="shared" si="57"/>
        <v>BRIAN ABBY ARIESTYO WIRYANDITO</v>
      </c>
      <c r="O925" t="str">
        <f t="shared" si="58"/>
        <v/>
      </c>
      <c r="P925" t="str">
        <f t="shared" si="59"/>
        <v/>
      </c>
    </row>
    <row r="926" spans="1:16">
      <c r="A926" t="s">
        <v>157</v>
      </c>
      <c r="B926" t="s">
        <v>158</v>
      </c>
      <c r="C926" t="s">
        <v>153</v>
      </c>
      <c r="D926" t="s">
        <v>154</v>
      </c>
      <c r="E926">
        <v>20171</v>
      </c>
      <c r="F926" t="s">
        <v>576</v>
      </c>
      <c r="G926" t="s">
        <v>18</v>
      </c>
      <c r="H926">
        <v>3</v>
      </c>
      <c r="I926">
        <v>0</v>
      </c>
      <c r="J926">
        <v>20201</v>
      </c>
      <c r="K926">
        <f>COUNTIF('rEKAP kls MK'!$A$2:$A$35,Worksheet!C926)</f>
        <v>0</v>
      </c>
      <c r="L926" t="str">
        <f t="shared" si="56"/>
        <v>F1B114010</v>
      </c>
      <c r="M926" t="str">
        <f t="shared" si="57"/>
        <v>EKA MARTA SIOMI</v>
      </c>
      <c r="O926" t="str">
        <f t="shared" si="58"/>
        <v/>
      </c>
      <c r="P926" t="str">
        <f t="shared" si="59"/>
        <v/>
      </c>
    </row>
    <row r="927" spans="1:16">
      <c r="A927" t="s">
        <v>159</v>
      </c>
      <c r="B927" t="s">
        <v>160</v>
      </c>
      <c r="C927" t="s">
        <v>153</v>
      </c>
      <c r="D927" t="s">
        <v>154</v>
      </c>
      <c r="E927">
        <v>20171</v>
      </c>
      <c r="F927" t="s">
        <v>576</v>
      </c>
      <c r="G927" t="s">
        <v>18</v>
      </c>
      <c r="H927">
        <v>3</v>
      </c>
      <c r="I927">
        <v>0</v>
      </c>
      <c r="J927">
        <v>20201</v>
      </c>
      <c r="K927">
        <f>COUNTIF('rEKAP kls MK'!$A$2:$A$35,Worksheet!C927)</f>
        <v>0</v>
      </c>
      <c r="L927" t="str">
        <f t="shared" si="56"/>
        <v>F1B114011</v>
      </c>
      <c r="M927" t="str">
        <f t="shared" si="57"/>
        <v>ERWIN LINGGA SAPUTRA</v>
      </c>
      <c r="O927" t="str">
        <f t="shared" si="58"/>
        <v/>
      </c>
      <c r="P927" t="str">
        <f t="shared" si="59"/>
        <v/>
      </c>
    </row>
    <row r="928" spans="1:16">
      <c r="A928" t="s">
        <v>161</v>
      </c>
      <c r="B928" t="s">
        <v>162</v>
      </c>
      <c r="C928" t="s">
        <v>153</v>
      </c>
      <c r="D928" t="s">
        <v>154</v>
      </c>
      <c r="E928">
        <v>20171</v>
      </c>
      <c r="F928" t="s">
        <v>576</v>
      </c>
      <c r="G928" t="s">
        <v>18</v>
      </c>
      <c r="H928">
        <v>3</v>
      </c>
      <c r="I928">
        <v>0</v>
      </c>
      <c r="J928">
        <v>20201</v>
      </c>
      <c r="K928">
        <f>COUNTIF('rEKAP kls MK'!$A$2:$A$35,Worksheet!C928)</f>
        <v>0</v>
      </c>
      <c r="L928" t="str">
        <f t="shared" si="56"/>
        <v>F1B114012</v>
      </c>
      <c r="M928" t="str">
        <f t="shared" si="57"/>
        <v>FATHUL AZIZ</v>
      </c>
      <c r="O928" t="str">
        <f t="shared" si="58"/>
        <v/>
      </c>
      <c r="P928" t="str">
        <f t="shared" si="59"/>
        <v/>
      </c>
    </row>
    <row r="929" spans="1:16">
      <c r="A929" t="s">
        <v>163</v>
      </c>
      <c r="B929" t="s">
        <v>164</v>
      </c>
      <c r="C929" t="s">
        <v>153</v>
      </c>
      <c r="D929" t="s">
        <v>154</v>
      </c>
      <c r="E929">
        <v>20171</v>
      </c>
      <c r="F929" t="s">
        <v>576</v>
      </c>
      <c r="G929" t="s">
        <v>18</v>
      </c>
      <c r="H929">
        <v>3</v>
      </c>
      <c r="I929">
        <v>0</v>
      </c>
      <c r="J929">
        <v>20201</v>
      </c>
      <c r="K929">
        <f>COUNTIF('rEKAP kls MK'!$A$2:$A$35,Worksheet!C929)</f>
        <v>0</v>
      </c>
      <c r="L929" t="str">
        <f t="shared" si="56"/>
        <v>F1B114016</v>
      </c>
      <c r="M929" t="str">
        <f t="shared" si="57"/>
        <v>HERLAN</v>
      </c>
      <c r="O929" t="str">
        <f t="shared" si="58"/>
        <v/>
      </c>
      <c r="P929" t="str">
        <f t="shared" si="59"/>
        <v/>
      </c>
    </row>
    <row r="930" spans="1:16">
      <c r="A930" t="s">
        <v>165</v>
      </c>
      <c r="B930" t="s">
        <v>166</v>
      </c>
      <c r="C930" t="s">
        <v>153</v>
      </c>
      <c r="D930" t="s">
        <v>154</v>
      </c>
      <c r="E930">
        <v>20171</v>
      </c>
      <c r="F930" t="s">
        <v>576</v>
      </c>
      <c r="G930" t="s">
        <v>18</v>
      </c>
      <c r="H930">
        <v>3</v>
      </c>
      <c r="I930">
        <v>0</v>
      </c>
      <c r="J930">
        <v>20201</v>
      </c>
      <c r="K930">
        <f>COUNTIF('rEKAP kls MK'!$A$2:$A$35,Worksheet!C930)</f>
        <v>0</v>
      </c>
      <c r="L930" t="str">
        <f t="shared" si="56"/>
        <v>F1B114022</v>
      </c>
      <c r="M930" t="str">
        <f t="shared" si="57"/>
        <v>JUWITA ASRI</v>
      </c>
      <c r="O930" t="str">
        <f t="shared" si="58"/>
        <v/>
      </c>
      <c r="P930" t="str">
        <f t="shared" si="59"/>
        <v/>
      </c>
    </row>
    <row r="931" spans="1:16">
      <c r="A931" t="s">
        <v>54</v>
      </c>
      <c r="B931" t="s">
        <v>55</v>
      </c>
      <c r="C931" t="s">
        <v>153</v>
      </c>
      <c r="D931" t="s">
        <v>154</v>
      </c>
      <c r="E931">
        <v>20171</v>
      </c>
      <c r="F931" t="s">
        <v>576</v>
      </c>
      <c r="G931" t="s">
        <v>18</v>
      </c>
      <c r="H931">
        <v>3</v>
      </c>
      <c r="I931">
        <v>0</v>
      </c>
      <c r="J931">
        <v>20201</v>
      </c>
      <c r="K931">
        <f>COUNTIF('rEKAP kls MK'!$A$2:$A$35,Worksheet!C931)</f>
        <v>0</v>
      </c>
      <c r="L931" t="str">
        <f t="shared" si="56"/>
        <v>F1B114028</v>
      </c>
      <c r="M931" t="str">
        <f t="shared" si="57"/>
        <v>MUHAMMAD HAJRUL MUZAQI</v>
      </c>
      <c r="O931" t="str">
        <f t="shared" si="58"/>
        <v/>
      </c>
      <c r="P931" t="str">
        <f t="shared" si="59"/>
        <v/>
      </c>
    </row>
    <row r="932" spans="1:16">
      <c r="A932" t="s">
        <v>56</v>
      </c>
      <c r="B932" t="s">
        <v>57</v>
      </c>
      <c r="C932" t="s">
        <v>153</v>
      </c>
      <c r="D932" t="s">
        <v>154</v>
      </c>
      <c r="E932">
        <v>20171</v>
      </c>
      <c r="F932" t="s">
        <v>576</v>
      </c>
      <c r="G932" t="s">
        <v>51</v>
      </c>
      <c r="H932">
        <v>3.5</v>
      </c>
      <c r="I932">
        <v>0</v>
      </c>
      <c r="J932">
        <v>20201</v>
      </c>
      <c r="K932">
        <f>COUNTIF('rEKAP kls MK'!$A$2:$A$35,Worksheet!C932)</f>
        <v>0</v>
      </c>
      <c r="L932" t="str">
        <f t="shared" si="56"/>
        <v>F1B116001</v>
      </c>
      <c r="M932" t="str">
        <f t="shared" si="57"/>
        <v>AHMAD MUHAJIR</v>
      </c>
      <c r="O932" t="str">
        <f t="shared" si="58"/>
        <v/>
      </c>
      <c r="P932" t="str">
        <f t="shared" si="59"/>
        <v/>
      </c>
    </row>
    <row r="933" spans="1:16">
      <c r="A933" t="s">
        <v>60</v>
      </c>
      <c r="B933" t="s">
        <v>61</v>
      </c>
      <c r="C933" t="s">
        <v>153</v>
      </c>
      <c r="D933" t="s">
        <v>154</v>
      </c>
      <c r="E933">
        <v>20171</v>
      </c>
      <c r="F933" t="s">
        <v>576</v>
      </c>
      <c r="G933" t="s">
        <v>51</v>
      </c>
      <c r="H933">
        <v>3.5</v>
      </c>
      <c r="I933">
        <v>0</v>
      </c>
      <c r="J933">
        <v>20201</v>
      </c>
      <c r="K933">
        <f>COUNTIF('rEKAP kls MK'!$A$2:$A$35,Worksheet!C933)</f>
        <v>0</v>
      </c>
      <c r="L933" t="str">
        <f t="shared" si="56"/>
        <v>F1B116005</v>
      </c>
      <c r="M933" t="str">
        <f t="shared" si="57"/>
        <v>FENDY KURNIAWAN</v>
      </c>
      <c r="O933" t="str">
        <f t="shared" si="58"/>
        <v/>
      </c>
      <c r="P933" t="str">
        <f t="shared" si="59"/>
        <v/>
      </c>
    </row>
    <row r="934" spans="1:16">
      <c r="A934" t="s">
        <v>123</v>
      </c>
      <c r="B934" t="s">
        <v>124</v>
      </c>
      <c r="C934" t="s">
        <v>153</v>
      </c>
      <c r="D934" t="s">
        <v>154</v>
      </c>
      <c r="E934">
        <v>20171</v>
      </c>
      <c r="F934" t="s">
        <v>576</v>
      </c>
      <c r="G934" t="s">
        <v>51</v>
      </c>
      <c r="H934">
        <v>3.5</v>
      </c>
      <c r="I934">
        <v>0</v>
      </c>
      <c r="J934">
        <v>20201</v>
      </c>
      <c r="K934">
        <f>COUNTIF('rEKAP kls MK'!$A$2:$A$35,Worksheet!C934)</f>
        <v>0</v>
      </c>
      <c r="L934" t="str">
        <f t="shared" si="56"/>
        <v>F1B116007</v>
      </c>
      <c r="M934" t="str">
        <f t="shared" si="57"/>
        <v>HARIS MUNANDAR</v>
      </c>
      <c r="O934" t="str">
        <f t="shared" si="58"/>
        <v/>
      </c>
      <c r="P934" t="str">
        <f t="shared" si="59"/>
        <v/>
      </c>
    </row>
    <row r="935" spans="1:16">
      <c r="A935" t="s">
        <v>64</v>
      </c>
      <c r="B935" t="s">
        <v>65</v>
      </c>
      <c r="C935" t="s">
        <v>153</v>
      </c>
      <c r="D935" t="s">
        <v>154</v>
      </c>
      <c r="E935">
        <v>20171</v>
      </c>
      <c r="F935" t="s">
        <v>576</v>
      </c>
      <c r="G935" t="s">
        <v>18</v>
      </c>
      <c r="H935">
        <v>3</v>
      </c>
      <c r="I935">
        <v>0</v>
      </c>
      <c r="J935">
        <v>20201</v>
      </c>
      <c r="K935">
        <f>COUNTIF('rEKAP kls MK'!$A$2:$A$35,Worksheet!C935)</f>
        <v>0</v>
      </c>
      <c r="L935" t="str">
        <f t="shared" si="56"/>
        <v>F1B116008</v>
      </c>
      <c r="M935" t="str">
        <f t="shared" si="57"/>
        <v>Harjo Sumitro</v>
      </c>
      <c r="O935" t="str">
        <f t="shared" si="58"/>
        <v/>
      </c>
      <c r="P935" t="str">
        <f t="shared" si="59"/>
        <v/>
      </c>
    </row>
    <row r="936" spans="1:16">
      <c r="A936" t="s">
        <v>66</v>
      </c>
      <c r="B936" t="s">
        <v>67</v>
      </c>
      <c r="C936" t="s">
        <v>153</v>
      </c>
      <c r="D936" t="s">
        <v>154</v>
      </c>
      <c r="E936">
        <v>20171</v>
      </c>
      <c r="F936" t="s">
        <v>576</v>
      </c>
      <c r="G936" t="s">
        <v>51</v>
      </c>
      <c r="H936">
        <v>3.5</v>
      </c>
      <c r="I936">
        <v>0</v>
      </c>
      <c r="J936">
        <v>20201</v>
      </c>
      <c r="K936">
        <f>COUNTIF('rEKAP kls MK'!$A$2:$A$35,Worksheet!C936)</f>
        <v>0</v>
      </c>
      <c r="L936" t="str">
        <f t="shared" si="56"/>
        <v>F1B116009</v>
      </c>
      <c r="M936" t="str">
        <f t="shared" si="57"/>
        <v>HASAN BASRI</v>
      </c>
      <c r="O936" t="str">
        <f t="shared" si="58"/>
        <v/>
      </c>
      <c r="P936" t="str">
        <f t="shared" si="59"/>
        <v/>
      </c>
    </row>
    <row r="937" spans="1:16">
      <c r="A937" t="s">
        <v>68</v>
      </c>
      <c r="B937" t="s">
        <v>69</v>
      </c>
      <c r="C937" t="s">
        <v>153</v>
      </c>
      <c r="D937" t="s">
        <v>154</v>
      </c>
      <c r="E937">
        <v>20171</v>
      </c>
      <c r="F937" t="s">
        <v>576</v>
      </c>
      <c r="G937" t="s">
        <v>51</v>
      </c>
      <c r="H937">
        <v>3.5</v>
      </c>
      <c r="I937">
        <v>0</v>
      </c>
      <c r="J937">
        <v>20201</v>
      </c>
      <c r="K937">
        <f>COUNTIF('rEKAP kls MK'!$A$2:$A$35,Worksheet!C937)</f>
        <v>0</v>
      </c>
      <c r="L937" t="str">
        <f t="shared" si="56"/>
        <v>F1B116010</v>
      </c>
      <c r="M937" t="str">
        <f t="shared" si="57"/>
        <v>Ihsan Syaputro</v>
      </c>
      <c r="O937" t="str">
        <f t="shared" si="58"/>
        <v/>
      </c>
      <c r="P937" t="str">
        <f t="shared" si="59"/>
        <v/>
      </c>
    </row>
    <row r="938" spans="1:16">
      <c r="A938" t="s">
        <v>70</v>
      </c>
      <c r="B938" t="s">
        <v>71</v>
      </c>
      <c r="C938" t="s">
        <v>153</v>
      </c>
      <c r="D938" t="s">
        <v>154</v>
      </c>
      <c r="E938">
        <v>20171</v>
      </c>
      <c r="F938" t="s">
        <v>576</v>
      </c>
      <c r="G938" t="s">
        <v>15</v>
      </c>
      <c r="H938">
        <v>0</v>
      </c>
      <c r="I938">
        <v>0</v>
      </c>
      <c r="J938">
        <v>20201</v>
      </c>
      <c r="K938">
        <f>COUNTIF('rEKAP kls MK'!$A$2:$A$35,Worksheet!C938)</f>
        <v>0</v>
      </c>
      <c r="L938" t="str">
        <f t="shared" si="56"/>
        <v>F1B116012</v>
      </c>
      <c r="M938" t="str">
        <f t="shared" si="57"/>
        <v>JEMMY FEBRY SUMANDA</v>
      </c>
      <c r="O938" t="str">
        <f t="shared" si="58"/>
        <v/>
      </c>
      <c r="P938" t="str">
        <f t="shared" si="59"/>
        <v/>
      </c>
    </row>
    <row r="939" spans="1:16">
      <c r="A939" t="s">
        <v>72</v>
      </c>
      <c r="B939" t="s">
        <v>73</v>
      </c>
      <c r="C939" t="s">
        <v>153</v>
      </c>
      <c r="D939" t="s">
        <v>154</v>
      </c>
      <c r="E939">
        <v>20171</v>
      </c>
      <c r="F939" t="s">
        <v>576</v>
      </c>
      <c r="G939" t="s">
        <v>51</v>
      </c>
      <c r="H939">
        <v>3.5</v>
      </c>
      <c r="I939">
        <v>0</v>
      </c>
      <c r="J939">
        <v>20201</v>
      </c>
      <c r="K939">
        <f>COUNTIF('rEKAP kls MK'!$A$2:$A$35,Worksheet!C939)</f>
        <v>0</v>
      </c>
      <c r="L939" t="str">
        <f t="shared" si="56"/>
        <v>F1B116014</v>
      </c>
      <c r="M939" t="str">
        <f t="shared" si="57"/>
        <v>LALU ARIF TASIBANA</v>
      </c>
      <c r="O939" t="str">
        <f t="shared" si="58"/>
        <v/>
      </c>
      <c r="P939" t="str">
        <f t="shared" si="59"/>
        <v/>
      </c>
    </row>
    <row r="940" spans="1:16">
      <c r="A940" t="s">
        <v>74</v>
      </c>
      <c r="B940" t="s">
        <v>75</v>
      </c>
      <c r="C940" t="s">
        <v>153</v>
      </c>
      <c r="D940" t="s">
        <v>154</v>
      </c>
      <c r="E940">
        <v>20171</v>
      </c>
      <c r="F940" t="s">
        <v>576</v>
      </c>
      <c r="G940" t="s">
        <v>51</v>
      </c>
      <c r="H940">
        <v>3.5</v>
      </c>
      <c r="I940">
        <v>0</v>
      </c>
      <c r="J940">
        <v>20201</v>
      </c>
      <c r="K940">
        <f>COUNTIF('rEKAP kls MK'!$A$2:$A$35,Worksheet!C940)</f>
        <v>0</v>
      </c>
      <c r="L940" t="str">
        <f t="shared" si="56"/>
        <v>F1B116015</v>
      </c>
      <c r="M940" t="str">
        <f t="shared" si="57"/>
        <v>LALU MAHSAR KHAIRUDI</v>
      </c>
      <c r="O940" t="str">
        <f t="shared" si="58"/>
        <v/>
      </c>
      <c r="P940" t="str">
        <f t="shared" si="59"/>
        <v/>
      </c>
    </row>
    <row r="941" spans="1:16">
      <c r="A941" t="s">
        <v>76</v>
      </c>
      <c r="B941" t="s">
        <v>77</v>
      </c>
      <c r="C941" t="s">
        <v>153</v>
      </c>
      <c r="D941" t="s">
        <v>154</v>
      </c>
      <c r="E941">
        <v>20171</v>
      </c>
      <c r="F941" t="s">
        <v>576</v>
      </c>
      <c r="G941" t="s">
        <v>51</v>
      </c>
      <c r="H941">
        <v>3.5</v>
      </c>
      <c r="I941">
        <v>0</v>
      </c>
      <c r="J941">
        <v>20201</v>
      </c>
      <c r="K941">
        <f>COUNTIF('rEKAP kls MK'!$A$2:$A$35,Worksheet!C941)</f>
        <v>0</v>
      </c>
      <c r="L941" t="str">
        <f t="shared" si="56"/>
        <v>F1B116016</v>
      </c>
      <c r="M941" t="str">
        <f t="shared" si="57"/>
        <v>LALU MOHAMAD FAESAL RAHMAN</v>
      </c>
      <c r="O941" t="str">
        <f t="shared" si="58"/>
        <v/>
      </c>
      <c r="P941" t="str">
        <f t="shared" si="59"/>
        <v/>
      </c>
    </row>
    <row r="942" spans="1:16">
      <c r="A942" t="s">
        <v>126</v>
      </c>
      <c r="B942" t="s">
        <v>127</v>
      </c>
      <c r="C942" t="s">
        <v>153</v>
      </c>
      <c r="D942" t="s">
        <v>154</v>
      </c>
      <c r="E942">
        <v>20171</v>
      </c>
      <c r="F942" t="s">
        <v>576</v>
      </c>
      <c r="G942" t="s">
        <v>51</v>
      </c>
      <c r="H942">
        <v>3.5</v>
      </c>
      <c r="I942">
        <v>0</v>
      </c>
      <c r="J942">
        <v>20201</v>
      </c>
      <c r="K942">
        <f>COUNTIF('rEKAP kls MK'!$A$2:$A$35,Worksheet!C942)</f>
        <v>0</v>
      </c>
      <c r="L942" t="str">
        <f t="shared" si="56"/>
        <v>F1B116017</v>
      </c>
      <c r="M942" t="str">
        <f t="shared" si="57"/>
        <v xml:space="preserve">MAULANA ADI PRASETIO </v>
      </c>
      <c r="O942" t="str">
        <f t="shared" si="58"/>
        <v/>
      </c>
      <c r="P942" t="str">
        <f t="shared" si="59"/>
        <v/>
      </c>
    </row>
    <row r="943" spans="1:16">
      <c r="A943" t="s">
        <v>128</v>
      </c>
      <c r="B943" t="s">
        <v>129</v>
      </c>
      <c r="C943" t="s">
        <v>153</v>
      </c>
      <c r="D943" t="s">
        <v>154</v>
      </c>
      <c r="E943">
        <v>20171</v>
      </c>
      <c r="F943" t="s">
        <v>576</v>
      </c>
      <c r="G943" t="s">
        <v>51</v>
      </c>
      <c r="H943">
        <v>3.5</v>
      </c>
      <c r="I943">
        <v>0</v>
      </c>
      <c r="J943">
        <v>20201</v>
      </c>
      <c r="K943">
        <f>COUNTIF('rEKAP kls MK'!$A$2:$A$35,Worksheet!C943)</f>
        <v>0</v>
      </c>
      <c r="L943" t="str">
        <f t="shared" si="56"/>
        <v>F1B116020</v>
      </c>
      <c r="M943" t="str">
        <f t="shared" si="57"/>
        <v>Muhammad Zarrin Al Mansyury</v>
      </c>
      <c r="O943" t="str">
        <f t="shared" si="58"/>
        <v/>
      </c>
      <c r="P943" t="str">
        <f t="shared" si="59"/>
        <v/>
      </c>
    </row>
    <row r="944" spans="1:16">
      <c r="A944" t="s">
        <v>78</v>
      </c>
      <c r="B944" t="s">
        <v>79</v>
      </c>
      <c r="C944" t="s">
        <v>153</v>
      </c>
      <c r="D944" t="s">
        <v>154</v>
      </c>
      <c r="E944">
        <v>20171</v>
      </c>
      <c r="F944" t="s">
        <v>576</v>
      </c>
      <c r="G944" t="s">
        <v>51</v>
      </c>
      <c r="H944">
        <v>3.5</v>
      </c>
      <c r="I944">
        <v>0</v>
      </c>
      <c r="J944">
        <v>20201</v>
      </c>
      <c r="K944">
        <f>COUNTIF('rEKAP kls MK'!$A$2:$A$35,Worksheet!C944)</f>
        <v>0</v>
      </c>
      <c r="L944" t="str">
        <f t="shared" si="56"/>
        <v>F1B116021</v>
      </c>
      <c r="M944" t="str">
        <f t="shared" si="57"/>
        <v>NELIN AYU NIRWANA</v>
      </c>
      <c r="O944" t="str">
        <f t="shared" si="58"/>
        <v/>
      </c>
      <c r="P944" t="str">
        <f t="shared" si="59"/>
        <v/>
      </c>
    </row>
    <row r="945" spans="1:16">
      <c r="A945" t="s">
        <v>80</v>
      </c>
      <c r="B945" t="s">
        <v>81</v>
      </c>
      <c r="C945" t="s">
        <v>153</v>
      </c>
      <c r="D945" t="s">
        <v>154</v>
      </c>
      <c r="E945">
        <v>20171</v>
      </c>
      <c r="F945" t="s">
        <v>576</v>
      </c>
      <c r="G945" t="s">
        <v>51</v>
      </c>
      <c r="H945">
        <v>3.5</v>
      </c>
      <c r="I945">
        <v>0</v>
      </c>
      <c r="J945">
        <v>20201</v>
      </c>
      <c r="K945">
        <f>COUNTIF('rEKAP kls MK'!$A$2:$A$35,Worksheet!C945)</f>
        <v>0</v>
      </c>
      <c r="L945" t="str">
        <f t="shared" si="56"/>
        <v>F1B116022</v>
      </c>
      <c r="M945" t="str">
        <f t="shared" si="57"/>
        <v>NOVA HENDRI KURNIAWAN</v>
      </c>
      <c r="O945" t="str">
        <f t="shared" si="58"/>
        <v/>
      </c>
      <c r="P945" t="str">
        <f t="shared" si="59"/>
        <v/>
      </c>
    </row>
    <row r="946" spans="1:16">
      <c r="A946" t="s">
        <v>83</v>
      </c>
      <c r="B946" t="s">
        <v>84</v>
      </c>
      <c r="C946" t="s">
        <v>153</v>
      </c>
      <c r="D946" t="s">
        <v>154</v>
      </c>
      <c r="E946">
        <v>20171</v>
      </c>
      <c r="F946" t="s">
        <v>576</v>
      </c>
      <c r="G946" t="s">
        <v>51</v>
      </c>
      <c r="H946">
        <v>3.5</v>
      </c>
      <c r="I946">
        <v>0</v>
      </c>
      <c r="J946">
        <v>20201</v>
      </c>
      <c r="K946">
        <f>COUNTIF('rEKAP kls MK'!$A$2:$A$35,Worksheet!C946)</f>
        <v>0</v>
      </c>
      <c r="L946" t="str">
        <f t="shared" si="56"/>
        <v>F1B116024</v>
      </c>
      <c r="M946" t="str">
        <f t="shared" si="57"/>
        <v>RENA RAMDINAWATI</v>
      </c>
      <c r="O946" t="str">
        <f t="shared" si="58"/>
        <v/>
      </c>
      <c r="P946" t="str">
        <f t="shared" si="59"/>
        <v/>
      </c>
    </row>
    <row r="947" spans="1:16">
      <c r="A947" t="s">
        <v>85</v>
      </c>
      <c r="B947" t="s">
        <v>86</v>
      </c>
      <c r="C947" t="s">
        <v>153</v>
      </c>
      <c r="D947" t="s">
        <v>154</v>
      </c>
      <c r="E947">
        <v>20171</v>
      </c>
      <c r="F947" t="s">
        <v>576</v>
      </c>
      <c r="G947" t="s">
        <v>51</v>
      </c>
      <c r="H947">
        <v>3.5</v>
      </c>
      <c r="I947">
        <v>0</v>
      </c>
      <c r="J947">
        <v>20201</v>
      </c>
      <c r="K947">
        <f>COUNTIF('rEKAP kls MK'!$A$2:$A$35,Worksheet!C947)</f>
        <v>0</v>
      </c>
      <c r="L947" t="str">
        <f t="shared" si="56"/>
        <v>F1B116025</v>
      </c>
      <c r="M947" t="str">
        <f t="shared" si="57"/>
        <v>RISMAN ALFIAN LUTHFI</v>
      </c>
      <c r="O947" t="str">
        <f t="shared" si="58"/>
        <v/>
      </c>
      <c r="P947" t="str">
        <f t="shared" si="59"/>
        <v/>
      </c>
    </row>
    <row r="948" spans="1:16">
      <c r="A948" t="s">
        <v>87</v>
      </c>
      <c r="B948" t="s">
        <v>88</v>
      </c>
      <c r="C948" t="s">
        <v>153</v>
      </c>
      <c r="D948" t="s">
        <v>154</v>
      </c>
      <c r="E948">
        <v>20171</v>
      </c>
      <c r="F948" t="s">
        <v>576</v>
      </c>
      <c r="G948" t="s">
        <v>18</v>
      </c>
      <c r="H948">
        <v>3</v>
      </c>
      <c r="I948">
        <v>0</v>
      </c>
      <c r="J948">
        <v>20201</v>
      </c>
      <c r="K948">
        <f>COUNTIF('rEKAP kls MK'!$A$2:$A$35,Worksheet!C948)</f>
        <v>0</v>
      </c>
      <c r="L948" t="str">
        <f t="shared" si="56"/>
        <v>F1B116027</v>
      </c>
      <c r="M948" t="str">
        <f t="shared" si="57"/>
        <v>ROYHAN ADEKA SAPUTRA</v>
      </c>
      <c r="O948" t="str">
        <f t="shared" si="58"/>
        <v/>
      </c>
      <c r="P948" t="str">
        <f t="shared" si="59"/>
        <v/>
      </c>
    </row>
    <row r="949" spans="1:16">
      <c r="A949" t="s">
        <v>89</v>
      </c>
      <c r="B949" t="s">
        <v>90</v>
      </c>
      <c r="C949" t="s">
        <v>153</v>
      </c>
      <c r="D949" t="s">
        <v>154</v>
      </c>
      <c r="E949">
        <v>20171</v>
      </c>
      <c r="F949" t="s">
        <v>576</v>
      </c>
      <c r="G949" t="s">
        <v>15</v>
      </c>
      <c r="H949">
        <v>0</v>
      </c>
      <c r="I949">
        <v>0</v>
      </c>
      <c r="J949">
        <v>20201</v>
      </c>
      <c r="K949">
        <f>COUNTIF('rEKAP kls MK'!$A$2:$A$35,Worksheet!C949)</f>
        <v>0</v>
      </c>
      <c r="L949" t="str">
        <f t="shared" si="56"/>
        <v>F1B116029</v>
      </c>
      <c r="M949" t="str">
        <f t="shared" si="57"/>
        <v>TAUFIK ZUBAIDILLAH</v>
      </c>
      <c r="O949" t="str">
        <f t="shared" si="58"/>
        <v/>
      </c>
      <c r="P949" t="str">
        <f t="shared" si="59"/>
        <v/>
      </c>
    </row>
    <row r="950" spans="1:16">
      <c r="A950" t="s">
        <v>91</v>
      </c>
      <c r="B950" t="s">
        <v>92</v>
      </c>
      <c r="C950" t="s">
        <v>153</v>
      </c>
      <c r="D950" t="s">
        <v>154</v>
      </c>
      <c r="E950">
        <v>20171</v>
      </c>
      <c r="F950" t="s">
        <v>576</v>
      </c>
      <c r="G950" t="s">
        <v>51</v>
      </c>
      <c r="H950">
        <v>3.5</v>
      </c>
      <c r="I950">
        <v>0</v>
      </c>
      <c r="J950">
        <v>20201</v>
      </c>
      <c r="K950">
        <f>COUNTIF('rEKAP kls MK'!$A$2:$A$35,Worksheet!C950)</f>
        <v>0</v>
      </c>
      <c r="L950" t="str">
        <f t="shared" si="56"/>
        <v>F1B116030</v>
      </c>
      <c r="M950" t="str">
        <f t="shared" si="57"/>
        <v>Yanuardi</v>
      </c>
      <c r="O950" t="str">
        <f t="shared" si="58"/>
        <v/>
      </c>
      <c r="P950" t="str">
        <f t="shared" si="59"/>
        <v/>
      </c>
    </row>
    <row r="951" spans="1:16">
      <c r="A951" t="s">
        <v>93</v>
      </c>
      <c r="B951" t="s">
        <v>94</v>
      </c>
      <c r="C951" t="s">
        <v>153</v>
      </c>
      <c r="D951" t="s">
        <v>154</v>
      </c>
      <c r="E951">
        <v>20171</v>
      </c>
      <c r="F951" t="s">
        <v>576</v>
      </c>
      <c r="G951" t="s">
        <v>51</v>
      </c>
      <c r="H951">
        <v>3.5</v>
      </c>
      <c r="I951">
        <v>0</v>
      </c>
      <c r="J951">
        <v>20201</v>
      </c>
      <c r="K951">
        <f>COUNTIF('rEKAP kls MK'!$A$2:$A$35,Worksheet!C951)</f>
        <v>0</v>
      </c>
      <c r="L951" t="str">
        <f t="shared" si="56"/>
        <v>F1B116032</v>
      </c>
      <c r="M951" t="str">
        <f t="shared" si="57"/>
        <v>Yuma</v>
      </c>
      <c r="O951" t="str">
        <f t="shared" si="58"/>
        <v/>
      </c>
      <c r="P951" t="str">
        <f t="shared" si="59"/>
        <v/>
      </c>
    </row>
    <row r="952" spans="1:16">
      <c r="A952" t="s">
        <v>95</v>
      </c>
      <c r="B952" t="s">
        <v>96</v>
      </c>
      <c r="C952" t="s">
        <v>153</v>
      </c>
      <c r="D952" t="s">
        <v>154</v>
      </c>
      <c r="E952">
        <v>20171</v>
      </c>
      <c r="F952" t="s">
        <v>576</v>
      </c>
      <c r="G952" t="s">
        <v>51</v>
      </c>
      <c r="H952">
        <v>3.5</v>
      </c>
      <c r="I952">
        <v>0</v>
      </c>
      <c r="J952">
        <v>20201</v>
      </c>
      <c r="K952">
        <f>COUNTIF('rEKAP kls MK'!$A$2:$A$35,Worksheet!C952)</f>
        <v>0</v>
      </c>
      <c r="L952" t="str">
        <f t="shared" si="56"/>
        <v>F1B116033</v>
      </c>
      <c r="M952" t="str">
        <f t="shared" si="57"/>
        <v>Yusril Bagas Sevyanto</v>
      </c>
      <c r="O952" t="str">
        <f t="shared" si="58"/>
        <v/>
      </c>
      <c r="P952" t="str">
        <f t="shared" si="59"/>
        <v/>
      </c>
    </row>
    <row r="953" spans="1:16">
      <c r="A953" t="s">
        <v>130</v>
      </c>
      <c r="B953" t="s">
        <v>131</v>
      </c>
      <c r="C953" t="s">
        <v>153</v>
      </c>
      <c r="D953" t="s">
        <v>154</v>
      </c>
      <c r="E953">
        <v>20171</v>
      </c>
      <c r="F953" t="s">
        <v>576</v>
      </c>
      <c r="G953" t="s">
        <v>15</v>
      </c>
      <c r="H953">
        <v>0</v>
      </c>
      <c r="I953">
        <v>0</v>
      </c>
      <c r="J953">
        <v>20201</v>
      </c>
      <c r="K953">
        <f>COUNTIF('rEKAP kls MK'!$A$2:$A$35,Worksheet!C953)</f>
        <v>0</v>
      </c>
      <c r="L953" t="str">
        <f t="shared" si="56"/>
        <v>F1B116034</v>
      </c>
      <c r="M953" t="str">
        <f t="shared" si="57"/>
        <v>YUSRON ALIF SETIAWAN</v>
      </c>
      <c r="O953" t="str">
        <f t="shared" si="58"/>
        <v/>
      </c>
      <c r="P953" t="str">
        <f t="shared" si="59"/>
        <v/>
      </c>
    </row>
    <row r="954" spans="1:16">
      <c r="A954" t="s">
        <v>97</v>
      </c>
      <c r="B954" t="s">
        <v>98</v>
      </c>
      <c r="C954" t="s">
        <v>203</v>
      </c>
      <c r="D954" t="s">
        <v>204</v>
      </c>
      <c r="E954">
        <v>20171</v>
      </c>
      <c r="F954" t="s">
        <v>576</v>
      </c>
      <c r="G954" t="s">
        <v>101</v>
      </c>
      <c r="H954">
        <v>0</v>
      </c>
      <c r="I954">
        <v>0</v>
      </c>
      <c r="J954">
        <v>20201</v>
      </c>
      <c r="K954">
        <f>COUNTIF('rEKAP kls MK'!$A$2:$A$35,Worksheet!C954)</f>
        <v>0</v>
      </c>
      <c r="L954" t="str">
        <f t="shared" si="56"/>
        <v>F1B111020</v>
      </c>
      <c r="M954" t="str">
        <f t="shared" si="57"/>
        <v>Ghalib Mansur Thalib</v>
      </c>
      <c r="O954" t="str">
        <f t="shared" si="58"/>
        <v>PRAKTIKUM SISTEM KENDALI</v>
      </c>
      <c r="P954" t="str">
        <f t="shared" si="59"/>
        <v/>
      </c>
    </row>
    <row r="955" spans="1:16">
      <c r="A955" t="s">
        <v>146</v>
      </c>
      <c r="B955" t="s">
        <v>147</v>
      </c>
      <c r="C955" t="s">
        <v>203</v>
      </c>
      <c r="D955" t="s">
        <v>204</v>
      </c>
      <c r="E955">
        <v>20171</v>
      </c>
      <c r="F955" t="s">
        <v>576</v>
      </c>
      <c r="G955" t="s">
        <v>101</v>
      </c>
      <c r="H955">
        <v>0</v>
      </c>
      <c r="I955">
        <v>0</v>
      </c>
      <c r="J955">
        <v>20201</v>
      </c>
      <c r="K955">
        <f>COUNTIF('rEKAP kls MK'!$A$2:$A$35,Worksheet!C955)</f>
        <v>0</v>
      </c>
      <c r="L955" t="str">
        <f t="shared" si="56"/>
        <v>F1B111036</v>
      </c>
      <c r="M955" t="str">
        <f t="shared" si="57"/>
        <v>Lalu Anja Sukmana</v>
      </c>
      <c r="O955" t="str">
        <f t="shared" si="58"/>
        <v/>
      </c>
      <c r="P955" t="str">
        <f t="shared" si="59"/>
        <v/>
      </c>
    </row>
    <row r="956" spans="1:16">
      <c r="A956" t="s">
        <v>108</v>
      </c>
      <c r="B956" t="s">
        <v>109</v>
      </c>
      <c r="C956" t="s">
        <v>203</v>
      </c>
      <c r="D956" t="s">
        <v>204</v>
      </c>
      <c r="E956">
        <v>20171</v>
      </c>
      <c r="F956" t="s">
        <v>576</v>
      </c>
      <c r="G956" t="s">
        <v>101</v>
      </c>
      <c r="H956">
        <v>0</v>
      </c>
      <c r="I956">
        <v>0</v>
      </c>
      <c r="J956">
        <v>20201</v>
      </c>
      <c r="K956">
        <f>COUNTIF('rEKAP kls MK'!$A$2:$A$35,Worksheet!C956)</f>
        <v>0</v>
      </c>
      <c r="L956" t="str">
        <f t="shared" si="56"/>
        <v>F1B112006</v>
      </c>
      <c r="M956" t="str">
        <f t="shared" si="57"/>
        <v>Arie Listianto</v>
      </c>
      <c r="O956" t="str">
        <f t="shared" si="58"/>
        <v/>
      </c>
      <c r="P956" t="str">
        <f t="shared" si="59"/>
        <v/>
      </c>
    </row>
    <row r="957" spans="1:16">
      <c r="A957" t="s">
        <v>205</v>
      </c>
      <c r="B957" t="s">
        <v>206</v>
      </c>
      <c r="C957" t="s">
        <v>203</v>
      </c>
      <c r="D957" t="s">
        <v>204</v>
      </c>
      <c r="E957">
        <v>20171</v>
      </c>
      <c r="F957" t="s">
        <v>576</v>
      </c>
      <c r="G957" t="s">
        <v>101</v>
      </c>
      <c r="H957">
        <v>0</v>
      </c>
      <c r="I957">
        <v>0</v>
      </c>
      <c r="J957">
        <v>20201</v>
      </c>
      <c r="K957">
        <f>COUNTIF('rEKAP kls MK'!$A$2:$A$35,Worksheet!C957)</f>
        <v>0</v>
      </c>
      <c r="L957" t="str">
        <f t="shared" si="56"/>
        <v>F1B112018</v>
      </c>
      <c r="M957" t="str">
        <f t="shared" si="57"/>
        <v>Edi Zulkarnain</v>
      </c>
      <c r="O957" t="str">
        <f t="shared" si="58"/>
        <v/>
      </c>
      <c r="P957" t="str">
        <f t="shared" si="59"/>
        <v/>
      </c>
    </row>
    <row r="958" spans="1:16">
      <c r="A958" t="s">
        <v>207</v>
      </c>
      <c r="B958" t="s">
        <v>208</v>
      </c>
      <c r="C958" t="s">
        <v>203</v>
      </c>
      <c r="D958" t="s">
        <v>204</v>
      </c>
      <c r="E958">
        <v>20171</v>
      </c>
      <c r="F958" t="s">
        <v>576</v>
      </c>
      <c r="G958" t="s">
        <v>101</v>
      </c>
      <c r="H958">
        <v>0</v>
      </c>
      <c r="I958">
        <v>0</v>
      </c>
      <c r="J958">
        <v>20201</v>
      </c>
      <c r="K958">
        <f>COUNTIF('rEKAP kls MK'!$A$2:$A$35,Worksheet!C958)</f>
        <v>0</v>
      </c>
      <c r="L958" t="str">
        <f t="shared" si="56"/>
        <v>F1B112051</v>
      </c>
      <c r="M958" t="str">
        <f t="shared" si="57"/>
        <v>Teguh Agamawan Putra</v>
      </c>
      <c r="O958" t="str">
        <f t="shared" si="58"/>
        <v/>
      </c>
      <c r="P958" t="str">
        <f t="shared" si="59"/>
        <v/>
      </c>
    </row>
    <row r="959" spans="1:16">
      <c r="A959" t="s">
        <v>37</v>
      </c>
      <c r="B959" t="s">
        <v>38</v>
      </c>
      <c r="C959" t="s">
        <v>203</v>
      </c>
      <c r="D959" t="s">
        <v>204</v>
      </c>
      <c r="E959">
        <v>20171</v>
      </c>
      <c r="F959" t="s">
        <v>576</v>
      </c>
      <c r="G959" t="s">
        <v>18</v>
      </c>
      <c r="H959">
        <v>3</v>
      </c>
      <c r="I959">
        <v>0</v>
      </c>
      <c r="J959">
        <v>20201</v>
      </c>
      <c r="K959">
        <f>COUNTIF('rEKAP kls MK'!$A$2:$A$35,Worksheet!C959)</f>
        <v>0</v>
      </c>
      <c r="L959" t="str">
        <f t="shared" si="56"/>
        <v>F1B113029</v>
      </c>
      <c r="M959" t="str">
        <f t="shared" si="57"/>
        <v>RANGGA FAJAR MAULANA</v>
      </c>
      <c r="O959" t="str">
        <f t="shared" si="58"/>
        <v/>
      </c>
      <c r="P959" t="str">
        <f t="shared" si="59"/>
        <v/>
      </c>
    </row>
    <row r="960" spans="1:16">
      <c r="A960" t="s">
        <v>39</v>
      </c>
      <c r="B960" t="s">
        <v>40</v>
      </c>
      <c r="C960" t="s">
        <v>203</v>
      </c>
      <c r="D960" t="s">
        <v>204</v>
      </c>
      <c r="E960">
        <v>20171</v>
      </c>
      <c r="F960" t="s">
        <v>576</v>
      </c>
      <c r="G960" t="s">
        <v>101</v>
      </c>
      <c r="H960">
        <v>0</v>
      </c>
      <c r="I960">
        <v>0</v>
      </c>
      <c r="J960">
        <v>20201</v>
      </c>
      <c r="K960">
        <f>COUNTIF('rEKAP kls MK'!$A$2:$A$35,Worksheet!C960)</f>
        <v>0</v>
      </c>
      <c r="L960" t="str">
        <f t="shared" si="56"/>
        <v>F1B113031</v>
      </c>
      <c r="M960" t="str">
        <f t="shared" si="57"/>
        <v>SADIQ RAMADHOAN</v>
      </c>
      <c r="O960" t="str">
        <f t="shared" si="58"/>
        <v/>
      </c>
      <c r="P960" t="str">
        <f t="shared" si="59"/>
        <v/>
      </c>
    </row>
    <row r="961" spans="1:16">
      <c r="A961" t="s">
        <v>117</v>
      </c>
      <c r="B961" t="s">
        <v>118</v>
      </c>
      <c r="C961" t="s">
        <v>203</v>
      </c>
      <c r="D961" t="s">
        <v>204</v>
      </c>
      <c r="E961">
        <v>20171</v>
      </c>
      <c r="F961" t="s">
        <v>576</v>
      </c>
      <c r="G961" t="s">
        <v>23</v>
      </c>
      <c r="H961">
        <v>2.5</v>
      </c>
      <c r="I961">
        <v>0</v>
      </c>
      <c r="J961">
        <v>20201</v>
      </c>
      <c r="K961">
        <f>COUNTIF('rEKAP kls MK'!$A$2:$A$35,Worksheet!C961)</f>
        <v>0</v>
      </c>
      <c r="L961" t="str">
        <f t="shared" si="56"/>
        <v>F1B115002</v>
      </c>
      <c r="M961" t="str">
        <f t="shared" si="57"/>
        <v>AGUS SUPRIADI</v>
      </c>
      <c r="O961" t="str">
        <f t="shared" si="58"/>
        <v/>
      </c>
      <c r="P961" t="str">
        <f t="shared" si="59"/>
        <v/>
      </c>
    </row>
    <row r="962" spans="1:16">
      <c r="A962" t="s">
        <v>181</v>
      </c>
      <c r="B962" t="s">
        <v>182</v>
      </c>
      <c r="C962" t="s">
        <v>203</v>
      </c>
      <c r="D962" t="s">
        <v>204</v>
      </c>
      <c r="E962">
        <v>20171</v>
      </c>
      <c r="F962" t="s">
        <v>576</v>
      </c>
      <c r="G962" t="s">
        <v>23</v>
      </c>
      <c r="H962">
        <v>2.5</v>
      </c>
      <c r="I962">
        <v>0</v>
      </c>
      <c r="J962">
        <v>20201</v>
      </c>
      <c r="K962">
        <f>COUNTIF('rEKAP kls MK'!$A$2:$A$35,Worksheet!C962)</f>
        <v>0</v>
      </c>
      <c r="L962" t="str">
        <f t="shared" si="56"/>
        <v>F1B115004</v>
      </c>
      <c r="M962" t="str">
        <f t="shared" si="57"/>
        <v>ANDZAR QINTHARA</v>
      </c>
      <c r="O962" t="str">
        <f t="shared" si="58"/>
        <v/>
      </c>
      <c r="P962" t="str">
        <f t="shared" si="59"/>
        <v/>
      </c>
    </row>
    <row r="963" spans="1:16">
      <c r="A963" t="s">
        <v>209</v>
      </c>
      <c r="B963" t="s">
        <v>210</v>
      </c>
      <c r="C963" t="s">
        <v>203</v>
      </c>
      <c r="D963" t="s">
        <v>204</v>
      </c>
      <c r="E963">
        <v>20171</v>
      </c>
      <c r="F963" t="s">
        <v>576</v>
      </c>
      <c r="G963" t="s">
        <v>101</v>
      </c>
      <c r="H963">
        <v>0</v>
      </c>
      <c r="I963">
        <v>0</v>
      </c>
      <c r="J963">
        <v>20201</v>
      </c>
      <c r="K963">
        <f>COUNTIF('rEKAP kls MK'!$A$2:$A$35,Worksheet!C963)</f>
        <v>0</v>
      </c>
      <c r="L963" t="str">
        <f t="shared" ref="L963:L1026" si="60">IF(A962&lt;&gt;A963,A963,"")</f>
        <v>F1B115005</v>
      </c>
      <c r="M963" t="str">
        <f t="shared" ref="M963:M1026" si="61">IF(B962&lt;&gt;B963,B963,"")</f>
        <v>ANWAR SAPI I</v>
      </c>
      <c r="O963" t="str">
        <f t="shared" ref="O963:O1026" si="62">IF(D962&lt;&gt;D963,D963,"")</f>
        <v/>
      </c>
      <c r="P963" t="str">
        <f t="shared" ref="P963:P1026" si="63">IF(F962&lt;&gt;F963,F963,"")</f>
        <v/>
      </c>
    </row>
    <row r="964" spans="1:16">
      <c r="A964" t="s">
        <v>183</v>
      </c>
      <c r="B964" t="s">
        <v>184</v>
      </c>
      <c r="C964" t="s">
        <v>203</v>
      </c>
      <c r="D964" t="s">
        <v>204</v>
      </c>
      <c r="E964">
        <v>20171</v>
      </c>
      <c r="F964" t="s">
        <v>576</v>
      </c>
      <c r="G964" t="s">
        <v>101</v>
      </c>
      <c r="H964">
        <v>0</v>
      </c>
      <c r="I964">
        <v>0</v>
      </c>
      <c r="J964">
        <v>20201</v>
      </c>
      <c r="K964">
        <f>COUNTIF('rEKAP kls MK'!$A$2:$A$35,Worksheet!C964)</f>
        <v>0</v>
      </c>
      <c r="L964" t="str">
        <f t="shared" si="60"/>
        <v>F1B115006</v>
      </c>
      <c r="M964" t="str">
        <f t="shared" si="61"/>
        <v>Bagas Akbar Aznurinto</v>
      </c>
      <c r="O964" t="str">
        <f t="shared" si="62"/>
        <v/>
      </c>
      <c r="P964" t="str">
        <f t="shared" si="63"/>
        <v/>
      </c>
    </row>
    <row r="965" spans="1:16">
      <c r="A965" t="s">
        <v>211</v>
      </c>
      <c r="B965" t="s">
        <v>212</v>
      </c>
      <c r="C965" t="s">
        <v>203</v>
      </c>
      <c r="D965" t="s">
        <v>204</v>
      </c>
      <c r="E965">
        <v>20171</v>
      </c>
      <c r="F965" t="s">
        <v>576</v>
      </c>
      <c r="G965" t="s">
        <v>101</v>
      </c>
      <c r="H965">
        <v>0</v>
      </c>
      <c r="I965">
        <v>0</v>
      </c>
      <c r="J965">
        <v>20201</v>
      </c>
      <c r="K965">
        <f>COUNTIF('rEKAP kls MK'!$A$2:$A$35,Worksheet!C965)</f>
        <v>0</v>
      </c>
      <c r="L965" t="str">
        <f t="shared" si="60"/>
        <v>F1B115007</v>
      </c>
      <c r="M965" t="str">
        <f t="shared" si="61"/>
        <v>BAIHAKI</v>
      </c>
      <c r="O965" t="str">
        <f t="shared" si="62"/>
        <v/>
      </c>
      <c r="P965" t="str">
        <f t="shared" si="63"/>
        <v/>
      </c>
    </row>
    <row r="966" spans="1:16">
      <c r="A966" t="s">
        <v>119</v>
      </c>
      <c r="B966" t="s">
        <v>120</v>
      </c>
      <c r="C966" t="s">
        <v>203</v>
      </c>
      <c r="D966" t="s">
        <v>204</v>
      </c>
      <c r="E966">
        <v>20171</v>
      </c>
      <c r="F966" t="s">
        <v>576</v>
      </c>
      <c r="G966" t="s">
        <v>18</v>
      </c>
      <c r="H966">
        <v>3</v>
      </c>
      <c r="I966">
        <v>0</v>
      </c>
      <c r="J966">
        <v>20201</v>
      </c>
      <c r="K966">
        <f>COUNTIF('rEKAP kls MK'!$A$2:$A$35,Worksheet!C966)</f>
        <v>0</v>
      </c>
      <c r="L966" t="str">
        <f t="shared" si="60"/>
        <v>F1B115008</v>
      </c>
      <c r="M966" t="str">
        <f t="shared" si="61"/>
        <v>ESI BIRAHMATIHI</v>
      </c>
      <c r="O966" t="str">
        <f t="shared" si="62"/>
        <v/>
      </c>
      <c r="P966" t="str">
        <f t="shared" si="63"/>
        <v/>
      </c>
    </row>
    <row r="967" spans="1:16">
      <c r="A967" t="s">
        <v>213</v>
      </c>
      <c r="B967" t="s">
        <v>214</v>
      </c>
      <c r="C967" t="s">
        <v>203</v>
      </c>
      <c r="D967" t="s">
        <v>204</v>
      </c>
      <c r="E967">
        <v>20171</v>
      </c>
      <c r="F967" t="s">
        <v>576</v>
      </c>
      <c r="G967" t="s">
        <v>18</v>
      </c>
      <c r="H967">
        <v>3</v>
      </c>
      <c r="I967">
        <v>0</v>
      </c>
      <c r="J967">
        <v>20201</v>
      </c>
      <c r="K967">
        <f>COUNTIF('rEKAP kls MK'!$A$2:$A$35,Worksheet!C967)</f>
        <v>0</v>
      </c>
      <c r="L967" t="str">
        <f t="shared" si="60"/>
        <v>F1B115009</v>
      </c>
      <c r="M967" t="str">
        <f t="shared" si="61"/>
        <v>FADILAH KURNIATI</v>
      </c>
      <c r="O967" t="str">
        <f t="shared" si="62"/>
        <v/>
      </c>
      <c r="P967" t="str">
        <f t="shared" si="63"/>
        <v/>
      </c>
    </row>
    <row r="968" spans="1:16">
      <c r="A968" t="s">
        <v>144</v>
      </c>
      <c r="B968" t="s">
        <v>145</v>
      </c>
      <c r="C968" t="s">
        <v>203</v>
      </c>
      <c r="D968" t="s">
        <v>204</v>
      </c>
      <c r="E968">
        <v>20171</v>
      </c>
      <c r="F968" t="s">
        <v>576</v>
      </c>
      <c r="G968" t="s">
        <v>51</v>
      </c>
      <c r="H968">
        <v>3.5</v>
      </c>
      <c r="I968">
        <v>0</v>
      </c>
      <c r="J968">
        <v>20201</v>
      </c>
      <c r="K968">
        <f>COUNTIF('rEKAP kls MK'!$A$2:$A$35,Worksheet!C968)</f>
        <v>0</v>
      </c>
      <c r="L968" t="str">
        <f t="shared" si="60"/>
        <v>F1B115013</v>
      </c>
      <c r="M968" t="str">
        <f t="shared" si="61"/>
        <v>HERU WILUKMAN HAKIM</v>
      </c>
      <c r="O968" t="str">
        <f t="shared" si="62"/>
        <v/>
      </c>
      <c r="P968" t="str">
        <f t="shared" si="63"/>
        <v/>
      </c>
    </row>
    <row r="969" spans="1:16">
      <c r="A969" t="s">
        <v>215</v>
      </c>
      <c r="B969" t="s">
        <v>216</v>
      </c>
      <c r="C969" t="s">
        <v>203</v>
      </c>
      <c r="D969" t="s">
        <v>204</v>
      </c>
      <c r="E969">
        <v>20171</v>
      </c>
      <c r="F969" t="s">
        <v>576</v>
      </c>
      <c r="G969" t="s">
        <v>101</v>
      </c>
      <c r="H969">
        <v>0</v>
      </c>
      <c r="I969">
        <v>0</v>
      </c>
      <c r="J969">
        <v>20201</v>
      </c>
      <c r="K969">
        <f>COUNTIF('rEKAP kls MK'!$A$2:$A$35,Worksheet!C969)</f>
        <v>0</v>
      </c>
      <c r="L969" t="str">
        <f t="shared" si="60"/>
        <v>F1B115014</v>
      </c>
      <c r="M969" t="str">
        <f t="shared" si="61"/>
        <v>ILHAMUDDIN</v>
      </c>
      <c r="O969" t="str">
        <f t="shared" si="62"/>
        <v/>
      </c>
      <c r="P969" t="str">
        <f t="shared" si="63"/>
        <v/>
      </c>
    </row>
    <row r="970" spans="1:16">
      <c r="A970" t="s">
        <v>185</v>
      </c>
      <c r="B970" t="s">
        <v>186</v>
      </c>
      <c r="C970" t="s">
        <v>203</v>
      </c>
      <c r="D970" t="s">
        <v>204</v>
      </c>
      <c r="E970">
        <v>20171</v>
      </c>
      <c r="F970" t="s">
        <v>576</v>
      </c>
      <c r="G970" t="s">
        <v>18</v>
      </c>
      <c r="H970">
        <v>3</v>
      </c>
      <c r="I970">
        <v>0</v>
      </c>
      <c r="J970">
        <v>20201</v>
      </c>
      <c r="K970">
        <f>COUNTIF('rEKAP kls MK'!$A$2:$A$35,Worksheet!C970)</f>
        <v>0</v>
      </c>
      <c r="L970" t="str">
        <f t="shared" si="60"/>
        <v>F1B115015</v>
      </c>
      <c r="M970" t="str">
        <f t="shared" si="61"/>
        <v>ILMAN HIDAYAT</v>
      </c>
      <c r="O970" t="str">
        <f t="shared" si="62"/>
        <v/>
      </c>
      <c r="P970" t="str">
        <f t="shared" si="63"/>
        <v/>
      </c>
    </row>
    <row r="971" spans="1:16">
      <c r="A971" t="s">
        <v>217</v>
      </c>
      <c r="B971" t="s">
        <v>218</v>
      </c>
      <c r="C971" t="s">
        <v>203</v>
      </c>
      <c r="D971" t="s">
        <v>204</v>
      </c>
      <c r="E971">
        <v>20171</v>
      </c>
      <c r="F971" t="s">
        <v>576</v>
      </c>
      <c r="G971" t="s">
        <v>18</v>
      </c>
      <c r="H971">
        <v>3</v>
      </c>
      <c r="I971">
        <v>0</v>
      </c>
      <c r="J971">
        <v>20201</v>
      </c>
      <c r="K971">
        <f>COUNTIF('rEKAP kls MK'!$A$2:$A$35,Worksheet!C971)</f>
        <v>0</v>
      </c>
      <c r="L971" t="str">
        <f t="shared" si="60"/>
        <v>F1B115016</v>
      </c>
      <c r="M971" t="str">
        <f t="shared" si="61"/>
        <v>Imam Syuhada</v>
      </c>
      <c r="O971" t="str">
        <f t="shared" si="62"/>
        <v/>
      </c>
      <c r="P971" t="str">
        <f t="shared" si="63"/>
        <v/>
      </c>
    </row>
    <row r="972" spans="1:16">
      <c r="A972" t="s">
        <v>191</v>
      </c>
      <c r="B972" t="s">
        <v>192</v>
      </c>
      <c r="C972" t="s">
        <v>203</v>
      </c>
      <c r="D972" t="s">
        <v>204</v>
      </c>
      <c r="E972">
        <v>20171</v>
      </c>
      <c r="F972" t="s">
        <v>576</v>
      </c>
      <c r="G972" t="s">
        <v>18</v>
      </c>
      <c r="H972">
        <v>3</v>
      </c>
      <c r="I972">
        <v>0</v>
      </c>
      <c r="J972">
        <v>20201</v>
      </c>
      <c r="K972">
        <f>COUNTIF('rEKAP kls MK'!$A$2:$A$35,Worksheet!C972)</f>
        <v>0</v>
      </c>
      <c r="L972" t="str">
        <f t="shared" si="60"/>
        <v>F1B115018</v>
      </c>
      <c r="M972" t="str">
        <f t="shared" si="61"/>
        <v>JANUARMAN MAULANA PUTRA</v>
      </c>
      <c r="O972" t="str">
        <f t="shared" si="62"/>
        <v/>
      </c>
      <c r="P972" t="str">
        <f t="shared" si="63"/>
        <v/>
      </c>
    </row>
    <row r="973" spans="1:16">
      <c r="A973" t="s">
        <v>219</v>
      </c>
      <c r="B973" t="s">
        <v>220</v>
      </c>
      <c r="C973" t="s">
        <v>203</v>
      </c>
      <c r="D973" t="s">
        <v>204</v>
      </c>
      <c r="E973">
        <v>20171</v>
      </c>
      <c r="F973" t="s">
        <v>576</v>
      </c>
      <c r="G973" t="s">
        <v>101</v>
      </c>
      <c r="H973">
        <v>0</v>
      </c>
      <c r="I973">
        <v>0</v>
      </c>
      <c r="J973">
        <v>20201</v>
      </c>
      <c r="K973">
        <f>COUNTIF('rEKAP kls MK'!$A$2:$A$35,Worksheet!C973)</f>
        <v>0</v>
      </c>
      <c r="L973" t="str">
        <f t="shared" si="60"/>
        <v>F1B115020</v>
      </c>
      <c r="M973" t="str">
        <f t="shared" si="61"/>
        <v>KHAIRIL SUDARMANTO</v>
      </c>
      <c r="O973" t="str">
        <f t="shared" si="62"/>
        <v/>
      </c>
      <c r="P973" t="str">
        <f t="shared" si="63"/>
        <v/>
      </c>
    </row>
    <row r="974" spans="1:16">
      <c r="A974" t="s">
        <v>221</v>
      </c>
      <c r="B974" t="s">
        <v>222</v>
      </c>
      <c r="C974" t="s">
        <v>203</v>
      </c>
      <c r="D974" t="s">
        <v>204</v>
      </c>
      <c r="E974">
        <v>20171</v>
      </c>
      <c r="F974" t="s">
        <v>576</v>
      </c>
      <c r="G974" t="s">
        <v>51</v>
      </c>
      <c r="H974">
        <v>3.5</v>
      </c>
      <c r="I974">
        <v>0</v>
      </c>
      <c r="J974">
        <v>20201</v>
      </c>
      <c r="K974">
        <f>COUNTIF('rEKAP kls MK'!$A$2:$A$35,Worksheet!C974)</f>
        <v>0</v>
      </c>
      <c r="L974" t="str">
        <f t="shared" si="60"/>
        <v>F1B115021</v>
      </c>
      <c r="M974" t="str">
        <f t="shared" si="61"/>
        <v>LALU TRIAWANRI NOVIANUNG</v>
      </c>
      <c r="O974" t="str">
        <f t="shared" si="62"/>
        <v/>
      </c>
      <c r="P974" t="str">
        <f t="shared" si="63"/>
        <v/>
      </c>
    </row>
    <row r="975" spans="1:16">
      <c r="A975" t="s">
        <v>223</v>
      </c>
      <c r="B975" t="s">
        <v>224</v>
      </c>
      <c r="C975" t="s">
        <v>203</v>
      </c>
      <c r="D975" t="s">
        <v>204</v>
      </c>
      <c r="E975">
        <v>20171</v>
      </c>
      <c r="F975" t="s">
        <v>576</v>
      </c>
      <c r="G975" t="s">
        <v>18</v>
      </c>
      <c r="H975">
        <v>3</v>
      </c>
      <c r="I975">
        <v>0</v>
      </c>
      <c r="J975">
        <v>20201</v>
      </c>
      <c r="K975">
        <f>COUNTIF('rEKAP kls MK'!$A$2:$A$35,Worksheet!C975)</f>
        <v>0</v>
      </c>
      <c r="L975" t="str">
        <f t="shared" si="60"/>
        <v>F1B115022</v>
      </c>
      <c r="M975" t="str">
        <f t="shared" si="61"/>
        <v>LAZARINA MARIANA</v>
      </c>
      <c r="O975" t="str">
        <f t="shared" si="62"/>
        <v/>
      </c>
      <c r="P975" t="str">
        <f t="shared" si="63"/>
        <v/>
      </c>
    </row>
    <row r="976" spans="1:16">
      <c r="A976" t="s">
        <v>225</v>
      </c>
      <c r="B976" t="s">
        <v>226</v>
      </c>
      <c r="C976" t="s">
        <v>203</v>
      </c>
      <c r="D976" t="s">
        <v>204</v>
      </c>
      <c r="E976">
        <v>20171</v>
      </c>
      <c r="F976" t="s">
        <v>576</v>
      </c>
      <c r="G976" t="s">
        <v>101</v>
      </c>
      <c r="H976">
        <v>0</v>
      </c>
      <c r="I976">
        <v>0</v>
      </c>
      <c r="J976">
        <v>20201</v>
      </c>
      <c r="K976">
        <f>COUNTIF('rEKAP kls MK'!$A$2:$A$35,Worksheet!C976)</f>
        <v>0</v>
      </c>
      <c r="L976" t="str">
        <f t="shared" si="60"/>
        <v>F1B115023</v>
      </c>
      <c r="M976" t="str">
        <f t="shared" si="61"/>
        <v>M Habibillah</v>
      </c>
      <c r="O976" t="str">
        <f t="shared" si="62"/>
        <v/>
      </c>
      <c r="P976" t="str">
        <f t="shared" si="63"/>
        <v/>
      </c>
    </row>
    <row r="977" spans="1:16">
      <c r="A977" t="s">
        <v>121</v>
      </c>
      <c r="B977" t="s">
        <v>122</v>
      </c>
      <c r="C977" t="s">
        <v>203</v>
      </c>
      <c r="D977" t="s">
        <v>204</v>
      </c>
      <c r="E977">
        <v>20171</v>
      </c>
      <c r="F977" t="s">
        <v>576</v>
      </c>
      <c r="G977" t="s">
        <v>18</v>
      </c>
      <c r="H977">
        <v>3</v>
      </c>
      <c r="I977">
        <v>0</v>
      </c>
      <c r="J977">
        <v>20201</v>
      </c>
      <c r="K977">
        <f>COUNTIF('rEKAP kls MK'!$A$2:$A$35,Worksheet!C977)</f>
        <v>0</v>
      </c>
      <c r="L977" t="str">
        <f t="shared" si="60"/>
        <v>F1B115025</v>
      </c>
      <c r="M977" t="str">
        <f t="shared" si="61"/>
        <v>MERRY MICHELLINA</v>
      </c>
      <c r="O977" t="str">
        <f t="shared" si="62"/>
        <v/>
      </c>
      <c r="P977" t="str">
        <f t="shared" si="63"/>
        <v/>
      </c>
    </row>
    <row r="978" spans="1:16">
      <c r="A978" t="s">
        <v>193</v>
      </c>
      <c r="B978" t="s">
        <v>194</v>
      </c>
      <c r="C978" t="s">
        <v>203</v>
      </c>
      <c r="D978" t="s">
        <v>204</v>
      </c>
      <c r="E978">
        <v>20171</v>
      </c>
      <c r="F978" t="s">
        <v>576</v>
      </c>
      <c r="G978" t="s">
        <v>18</v>
      </c>
      <c r="H978">
        <v>3</v>
      </c>
      <c r="I978">
        <v>0</v>
      </c>
      <c r="J978">
        <v>20201</v>
      </c>
      <c r="K978">
        <f>COUNTIF('rEKAP kls MK'!$A$2:$A$35,Worksheet!C978)</f>
        <v>0</v>
      </c>
      <c r="L978" t="str">
        <f t="shared" si="60"/>
        <v>F1B115026</v>
      </c>
      <c r="M978" t="str">
        <f t="shared" si="61"/>
        <v>MUCHAMMAD BAGIR</v>
      </c>
      <c r="O978" t="str">
        <f t="shared" si="62"/>
        <v/>
      </c>
      <c r="P978" t="str">
        <f t="shared" si="63"/>
        <v/>
      </c>
    </row>
    <row r="979" spans="1:16">
      <c r="A979" t="s">
        <v>227</v>
      </c>
      <c r="B979" t="s">
        <v>228</v>
      </c>
      <c r="C979" t="s">
        <v>203</v>
      </c>
      <c r="D979" t="s">
        <v>204</v>
      </c>
      <c r="E979">
        <v>20171</v>
      </c>
      <c r="F979" t="s">
        <v>576</v>
      </c>
      <c r="G979" t="s">
        <v>23</v>
      </c>
      <c r="H979">
        <v>2.5</v>
      </c>
      <c r="I979">
        <v>0</v>
      </c>
      <c r="J979">
        <v>20201</v>
      </c>
      <c r="K979">
        <f>COUNTIF('rEKAP kls MK'!$A$2:$A$35,Worksheet!C979)</f>
        <v>0</v>
      </c>
      <c r="L979" t="str">
        <f t="shared" si="60"/>
        <v>F1B115027</v>
      </c>
      <c r="M979" t="str">
        <f t="shared" si="61"/>
        <v>MUHAMAD NUDISANTANA RISWANDI</v>
      </c>
      <c r="O979" t="str">
        <f t="shared" si="62"/>
        <v/>
      </c>
      <c r="P979" t="str">
        <f t="shared" si="63"/>
        <v/>
      </c>
    </row>
    <row r="980" spans="1:16">
      <c r="A980" t="s">
        <v>229</v>
      </c>
      <c r="B980" t="s">
        <v>230</v>
      </c>
      <c r="C980" t="s">
        <v>203</v>
      </c>
      <c r="D980" t="s">
        <v>204</v>
      </c>
      <c r="E980">
        <v>20171</v>
      </c>
      <c r="F980" t="s">
        <v>576</v>
      </c>
      <c r="G980" t="s">
        <v>51</v>
      </c>
      <c r="H980">
        <v>3.5</v>
      </c>
      <c r="I980">
        <v>0</v>
      </c>
      <c r="J980">
        <v>20201</v>
      </c>
      <c r="K980">
        <f>COUNTIF('rEKAP kls MK'!$A$2:$A$35,Worksheet!C980)</f>
        <v>0</v>
      </c>
      <c r="L980" t="str">
        <f t="shared" si="60"/>
        <v>F1B115029</v>
      </c>
      <c r="M980" t="str">
        <f t="shared" si="61"/>
        <v>MUHAMAT TAUFIK</v>
      </c>
      <c r="O980" t="str">
        <f t="shared" si="62"/>
        <v/>
      </c>
      <c r="P980" t="str">
        <f t="shared" si="63"/>
        <v/>
      </c>
    </row>
    <row r="981" spans="1:16">
      <c r="A981" t="s">
        <v>231</v>
      </c>
      <c r="B981" t="s">
        <v>232</v>
      </c>
      <c r="C981" t="s">
        <v>203</v>
      </c>
      <c r="D981" t="s">
        <v>204</v>
      </c>
      <c r="E981">
        <v>20171</v>
      </c>
      <c r="F981" t="s">
        <v>576</v>
      </c>
      <c r="G981" t="s">
        <v>101</v>
      </c>
      <c r="H981">
        <v>0</v>
      </c>
      <c r="I981">
        <v>0</v>
      </c>
      <c r="J981">
        <v>20201</v>
      </c>
      <c r="K981">
        <f>COUNTIF('rEKAP kls MK'!$A$2:$A$35,Worksheet!C981)</f>
        <v>0</v>
      </c>
      <c r="L981" t="str">
        <f t="shared" si="60"/>
        <v>F1B115030</v>
      </c>
      <c r="M981" t="str">
        <f t="shared" si="61"/>
        <v>MUHAMMAD FIQRIL</v>
      </c>
      <c r="O981" t="str">
        <f t="shared" si="62"/>
        <v/>
      </c>
      <c r="P981" t="str">
        <f t="shared" si="63"/>
        <v/>
      </c>
    </row>
    <row r="982" spans="1:16">
      <c r="A982" t="s">
        <v>233</v>
      </c>
      <c r="B982" t="s">
        <v>234</v>
      </c>
      <c r="C982" t="s">
        <v>203</v>
      </c>
      <c r="D982" t="s">
        <v>204</v>
      </c>
      <c r="E982">
        <v>20171</v>
      </c>
      <c r="F982" t="s">
        <v>576</v>
      </c>
      <c r="G982" t="s">
        <v>101</v>
      </c>
      <c r="H982">
        <v>0</v>
      </c>
      <c r="I982">
        <v>0</v>
      </c>
      <c r="J982">
        <v>20201</v>
      </c>
      <c r="K982">
        <f>COUNTIF('rEKAP kls MK'!$A$2:$A$35,Worksheet!C982)</f>
        <v>0</v>
      </c>
      <c r="L982" t="str">
        <f t="shared" si="60"/>
        <v>F1B115031</v>
      </c>
      <c r="M982" t="str">
        <f t="shared" si="61"/>
        <v>Muhammad Riza Pratama S</v>
      </c>
      <c r="O982" t="str">
        <f t="shared" si="62"/>
        <v/>
      </c>
      <c r="P982" t="str">
        <f t="shared" si="63"/>
        <v/>
      </c>
    </row>
    <row r="983" spans="1:16">
      <c r="A983" t="s">
        <v>187</v>
      </c>
      <c r="B983" t="s">
        <v>188</v>
      </c>
      <c r="C983" t="s">
        <v>203</v>
      </c>
      <c r="D983" t="s">
        <v>204</v>
      </c>
      <c r="E983">
        <v>20171</v>
      </c>
      <c r="F983" t="s">
        <v>576</v>
      </c>
      <c r="G983" t="s">
        <v>101</v>
      </c>
      <c r="H983">
        <v>0</v>
      </c>
      <c r="I983">
        <v>0</v>
      </c>
      <c r="J983">
        <v>20201</v>
      </c>
      <c r="K983">
        <f>COUNTIF('rEKAP kls MK'!$A$2:$A$35,Worksheet!C983)</f>
        <v>0</v>
      </c>
      <c r="L983" t="str">
        <f t="shared" si="60"/>
        <v>F1B115032</v>
      </c>
      <c r="M983" t="str">
        <f t="shared" si="61"/>
        <v>Muhammad Rozziq Syaputra</v>
      </c>
      <c r="O983" t="str">
        <f t="shared" si="62"/>
        <v/>
      </c>
      <c r="P983" t="str">
        <f t="shared" si="63"/>
        <v/>
      </c>
    </row>
    <row r="984" spans="1:16">
      <c r="A984" t="s">
        <v>195</v>
      </c>
      <c r="B984" t="s">
        <v>196</v>
      </c>
      <c r="C984" t="s">
        <v>203</v>
      </c>
      <c r="D984" t="s">
        <v>204</v>
      </c>
      <c r="E984">
        <v>20171</v>
      </c>
      <c r="F984" t="s">
        <v>576</v>
      </c>
      <c r="G984" t="s">
        <v>23</v>
      </c>
      <c r="H984">
        <v>2.5</v>
      </c>
      <c r="I984">
        <v>0</v>
      </c>
      <c r="J984">
        <v>20201</v>
      </c>
      <c r="K984">
        <f>COUNTIF('rEKAP kls MK'!$A$2:$A$35,Worksheet!C984)</f>
        <v>0</v>
      </c>
      <c r="L984" t="str">
        <f t="shared" si="60"/>
        <v>F1B115034</v>
      </c>
      <c r="M984" t="str">
        <f t="shared" si="61"/>
        <v>NAUFAL ATSAURI</v>
      </c>
      <c r="O984" t="str">
        <f t="shared" si="62"/>
        <v/>
      </c>
      <c r="P984" t="str">
        <f t="shared" si="63"/>
        <v/>
      </c>
    </row>
    <row r="985" spans="1:16">
      <c r="A985" t="s">
        <v>239</v>
      </c>
      <c r="B985" t="s">
        <v>240</v>
      </c>
      <c r="C985" t="s">
        <v>413</v>
      </c>
      <c r="D985" t="s">
        <v>414</v>
      </c>
      <c r="E985">
        <v>20171</v>
      </c>
      <c r="F985" t="s">
        <v>576</v>
      </c>
      <c r="G985" t="s">
        <v>51</v>
      </c>
      <c r="H985">
        <v>3.5</v>
      </c>
      <c r="I985">
        <v>0</v>
      </c>
      <c r="J985">
        <v>20201</v>
      </c>
      <c r="K985">
        <f>COUNTIF('rEKAP kls MK'!$A$2:$A$35,Worksheet!C985)</f>
        <v>0</v>
      </c>
      <c r="L985" t="str">
        <f t="shared" si="60"/>
        <v>F1B110076</v>
      </c>
      <c r="M985" t="str">
        <f t="shared" si="61"/>
        <v>LALU ARDYPATI</v>
      </c>
      <c r="O985" t="str">
        <f t="shared" si="62"/>
        <v>PRAKTIKUM SISTEM TELEKOMUNIKASI</v>
      </c>
      <c r="P985" t="str">
        <f t="shared" si="63"/>
        <v/>
      </c>
    </row>
    <row r="986" spans="1:16">
      <c r="A986" t="s">
        <v>146</v>
      </c>
      <c r="B986" t="s">
        <v>147</v>
      </c>
      <c r="C986" t="s">
        <v>255</v>
      </c>
      <c r="D986" t="s">
        <v>256</v>
      </c>
      <c r="E986">
        <v>20171</v>
      </c>
      <c r="F986" t="s">
        <v>14</v>
      </c>
      <c r="G986" t="s">
        <v>18</v>
      </c>
      <c r="H986">
        <v>3</v>
      </c>
      <c r="I986">
        <v>0</v>
      </c>
      <c r="J986">
        <v>20201</v>
      </c>
      <c r="K986">
        <f>COUNTIF('rEKAP kls MK'!$A$2:$A$35,Worksheet!C986)</f>
        <v>2</v>
      </c>
      <c r="L986" t="str">
        <f t="shared" si="60"/>
        <v>F1B111036</v>
      </c>
      <c r="M986" t="str">
        <f t="shared" si="61"/>
        <v>Lalu Anja Sukmana</v>
      </c>
      <c r="O986" t="str">
        <f t="shared" si="62"/>
        <v>PROSES STOKASTIK</v>
      </c>
      <c r="P986" t="str">
        <f t="shared" si="63"/>
        <v>S</v>
      </c>
    </row>
    <row r="987" spans="1:16">
      <c r="A987" t="s">
        <v>47</v>
      </c>
      <c r="B987" t="s">
        <v>48</v>
      </c>
      <c r="C987" t="s">
        <v>255</v>
      </c>
      <c r="D987" t="s">
        <v>256</v>
      </c>
      <c r="E987">
        <v>20171</v>
      </c>
      <c r="F987" t="s">
        <v>14</v>
      </c>
      <c r="G987" t="s">
        <v>23</v>
      </c>
      <c r="H987">
        <v>2.5</v>
      </c>
      <c r="I987">
        <v>0</v>
      </c>
      <c r="J987">
        <v>20201</v>
      </c>
      <c r="K987">
        <f>COUNTIF('rEKAP kls MK'!$A$2:$A$35,Worksheet!C987)</f>
        <v>2</v>
      </c>
      <c r="L987" t="str">
        <f t="shared" si="60"/>
        <v>F1B114004</v>
      </c>
      <c r="M987" t="str">
        <f t="shared" si="61"/>
        <v>AKHMAD AKHIR BULAN</v>
      </c>
      <c r="O987" t="str">
        <f t="shared" si="62"/>
        <v/>
      </c>
      <c r="P987" t="str">
        <f t="shared" si="63"/>
        <v/>
      </c>
    </row>
    <row r="988" spans="1:16">
      <c r="A988" t="s">
        <v>159</v>
      </c>
      <c r="B988" t="s">
        <v>160</v>
      </c>
      <c r="C988" t="s">
        <v>255</v>
      </c>
      <c r="D988" t="s">
        <v>256</v>
      </c>
      <c r="E988">
        <v>20171</v>
      </c>
      <c r="F988" t="s">
        <v>14</v>
      </c>
      <c r="G988" t="s">
        <v>101</v>
      </c>
      <c r="H988">
        <v>0</v>
      </c>
      <c r="I988">
        <v>0</v>
      </c>
      <c r="J988">
        <v>20201</v>
      </c>
      <c r="K988">
        <f>COUNTIF('rEKAP kls MK'!$A$2:$A$35,Worksheet!C988)</f>
        <v>2</v>
      </c>
      <c r="L988" t="str">
        <f t="shared" si="60"/>
        <v>F1B114011</v>
      </c>
      <c r="M988" t="str">
        <f t="shared" si="61"/>
        <v>ERWIN LINGGA SAPUTRA</v>
      </c>
      <c r="O988" t="str">
        <f t="shared" si="62"/>
        <v/>
      </c>
      <c r="P988" t="str">
        <f t="shared" si="63"/>
        <v/>
      </c>
    </row>
    <row r="989" spans="1:16">
      <c r="A989" t="s">
        <v>257</v>
      </c>
      <c r="B989" t="s">
        <v>258</v>
      </c>
      <c r="C989" t="s">
        <v>255</v>
      </c>
      <c r="D989" t="s">
        <v>256</v>
      </c>
      <c r="E989">
        <v>20171</v>
      </c>
      <c r="F989" t="s">
        <v>14</v>
      </c>
      <c r="G989" t="s">
        <v>26</v>
      </c>
      <c r="H989">
        <v>2</v>
      </c>
      <c r="I989">
        <v>0</v>
      </c>
      <c r="J989">
        <v>20201</v>
      </c>
      <c r="K989">
        <f>COUNTIF('rEKAP kls MK'!$A$2:$A$35,Worksheet!C989)</f>
        <v>2</v>
      </c>
      <c r="L989" t="str">
        <f t="shared" si="60"/>
        <v>F1B114027</v>
      </c>
      <c r="M989" t="str">
        <f t="shared" si="61"/>
        <v>MUHAMMAD FEBRIAN RAMADAN</v>
      </c>
      <c r="O989" t="str">
        <f t="shared" si="62"/>
        <v/>
      </c>
      <c r="P989" t="str">
        <f t="shared" si="63"/>
        <v/>
      </c>
    </row>
    <row r="990" spans="1:16">
      <c r="A990" t="s">
        <v>181</v>
      </c>
      <c r="B990" t="s">
        <v>182</v>
      </c>
      <c r="C990" t="s">
        <v>255</v>
      </c>
      <c r="D990" t="s">
        <v>256</v>
      </c>
      <c r="E990">
        <v>20171</v>
      </c>
      <c r="F990" t="s">
        <v>14</v>
      </c>
      <c r="G990" t="s">
        <v>26</v>
      </c>
      <c r="H990">
        <v>2</v>
      </c>
      <c r="I990">
        <v>0</v>
      </c>
      <c r="J990">
        <v>20201</v>
      </c>
      <c r="K990">
        <f>COUNTIF('rEKAP kls MK'!$A$2:$A$35,Worksheet!C990)</f>
        <v>2</v>
      </c>
      <c r="L990" t="str">
        <f t="shared" si="60"/>
        <v>F1B115004</v>
      </c>
      <c r="M990" t="str">
        <f t="shared" si="61"/>
        <v>ANDZAR QINTHARA</v>
      </c>
      <c r="O990" t="str">
        <f t="shared" si="62"/>
        <v/>
      </c>
      <c r="P990" t="str">
        <f t="shared" si="63"/>
        <v/>
      </c>
    </row>
    <row r="991" spans="1:16">
      <c r="A991" t="s">
        <v>209</v>
      </c>
      <c r="B991" t="s">
        <v>210</v>
      </c>
      <c r="C991" t="s">
        <v>255</v>
      </c>
      <c r="D991" t="s">
        <v>256</v>
      </c>
      <c r="E991">
        <v>20171</v>
      </c>
      <c r="F991" t="s">
        <v>14</v>
      </c>
      <c r="G991" t="s">
        <v>18</v>
      </c>
      <c r="H991">
        <v>3</v>
      </c>
      <c r="I991">
        <v>0</v>
      </c>
      <c r="J991">
        <v>20201</v>
      </c>
      <c r="K991">
        <f>COUNTIF('rEKAP kls MK'!$A$2:$A$35,Worksheet!C991)</f>
        <v>2</v>
      </c>
      <c r="L991" t="str">
        <f t="shared" si="60"/>
        <v>F1B115005</v>
      </c>
      <c r="M991" t="str">
        <f t="shared" si="61"/>
        <v>ANWAR SAPI I</v>
      </c>
      <c r="O991" t="str">
        <f t="shared" si="62"/>
        <v/>
      </c>
      <c r="P991" t="str">
        <f t="shared" si="63"/>
        <v/>
      </c>
    </row>
    <row r="992" spans="1:16">
      <c r="A992" t="s">
        <v>211</v>
      </c>
      <c r="B992" t="s">
        <v>212</v>
      </c>
      <c r="C992" t="s">
        <v>255</v>
      </c>
      <c r="D992" t="s">
        <v>256</v>
      </c>
      <c r="E992">
        <v>20171</v>
      </c>
      <c r="F992" t="s">
        <v>14</v>
      </c>
      <c r="G992" t="s">
        <v>26</v>
      </c>
      <c r="H992">
        <v>2</v>
      </c>
      <c r="I992">
        <v>0</v>
      </c>
      <c r="J992">
        <v>20201</v>
      </c>
      <c r="K992">
        <f>COUNTIF('rEKAP kls MK'!$A$2:$A$35,Worksheet!C992)</f>
        <v>2</v>
      </c>
      <c r="L992" t="str">
        <f t="shared" si="60"/>
        <v>F1B115007</v>
      </c>
      <c r="M992" t="str">
        <f t="shared" si="61"/>
        <v>BAIHAKI</v>
      </c>
      <c r="O992" t="str">
        <f t="shared" si="62"/>
        <v/>
      </c>
      <c r="P992" t="str">
        <f t="shared" si="63"/>
        <v/>
      </c>
    </row>
    <row r="993" spans="1:16">
      <c r="A993" t="s">
        <v>119</v>
      </c>
      <c r="B993" t="s">
        <v>120</v>
      </c>
      <c r="C993" t="s">
        <v>255</v>
      </c>
      <c r="D993" t="s">
        <v>256</v>
      </c>
      <c r="E993">
        <v>20171</v>
      </c>
      <c r="F993" t="s">
        <v>14</v>
      </c>
      <c r="G993" t="s">
        <v>51</v>
      </c>
      <c r="H993">
        <v>3.5</v>
      </c>
      <c r="I993">
        <v>0</v>
      </c>
      <c r="J993">
        <v>20201</v>
      </c>
      <c r="K993">
        <f>COUNTIF('rEKAP kls MK'!$A$2:$A$35,Worksheet!C993)</f>
        <v>2</v>
      </c>
      <c r="L993" t="str">
        <f t="shared" si="60"/>
        <v>F1B115008</v>
      </c>
      <c r="M993" t="str">
        <f t="shared" si="61"/>
        <v>ESI BIRAHMATIHI</v>
      </c>
      <c r="O993" t="str">
        <f t="shared" si="62"/>
        <v/>
      </c>
      <c r="P993" t="str">
        <f t="shared" si="63"/>
        <v/>
      </c>
    </row>
    <row r="994" spans="1:16">
      <c r="A994" t="s">
        <v>213</v>
      </c>
      <c r="B994" t="s">
        <v>214</v>
      </c>
      <c r="C994" t="s">
        <v>255</v>
      </c>
      <c r="D994" t="s">
        <v>256</v>
      </c>
      <c r="E994">
        <v>20171</v>
      </c>
      <c r="F994" t="s">
        <v>14</v>
      </c>
      <c r="G994" t="s">
        <v>23</v>
      </c>
      <c r="H994">
        <v>2.5</v>
      </c>
      <c r="I994">
        <v>0</v>
      </c>
      <c r="J994">
        <v>20201</v>
      </c>
      <c r="K994">
        <f>COUNTIF('rEKAP kls MK'!$A$2:$A$35,Worksheet!C994)</f>
        <v>2</v>
      </c>
      <c r="L994" t="str">
        <f t="shared" si="60"/>
        <v>F1B115009</v>
      </c>
      <c r="M994" t="str">
        <f t="shared" si="61"/>
        <v>FADILAH KURNIATI</v>
      </c>
      <c r="O994" t="str">
        <f t="shared" si="62"/>
        <v/>
      </c>
      <c r="P994" t="str">
        <f t="shared" si="63"/>
        <v/>
      </c>
    </row>
    <row r="995" spans="1:16">
      <c r="A995" t="s">
        <v>237</v>
      </c>
      <c r="B995" t="s">
        <v>238</v>
      </c>
      <c r="C995" t="s">
        <v>255</v>
      </c>
      <c r="D995" t="s">
        <v>256</v>
      </c>
      <c r="E995">
        <v>20171</v>
      </c>
      <c r="F995" t="s">
        <v>14</v>
      </c>
      <c r="G995" t="s">
        <v>18</v>
      </c>
      <c r="H995">
        <v>3</v>
      </c>
      <c r="I995">
        <v>0</v>
      </c>
      <c r="J995">
        <v>20201</v>
      </c>
      <c r="K995">
        <f>COUNTIF('rEKAP kls MK'!$A$2:$A$35,Worksheet!C995)</f>
        <v>2</v>
      </c>
      <c r="L995" t="str">
        <f t="shared" si="60"/>
        <v>F1B115012</v>
      </c>
      <c r="M995" t="str">
        <f t="shared" si="61"/>
        <v>HARZA WISNU SAPUTRA</v>
      </c>
      <c r="O995" t="str">
        <f t="shared" si="62"/>
        <v/>
      </c>
      <c r="P995" t="str">
        <f t="shared" si="63"/>
        <v/>
      </c>
    </row>
    <row r="996" spans="1:16">
      <c r="A996" t="s">
        <v>144</v>
      </c>
      <c r="B996" t="s">
        <v>145</v>
      </c>
      <c r="C996" t="s">
        <v>255</v>
      </c>
      <c r="D996" t="s">
        <v>256</v>
      </c>
      <c r="E996">
        <v>20171</v>
      </c>
      <c r="F996" t="s">
        <v>14</v>
      </c>
      <c r="G996" t="s">
        <v>23</v>
      </c>
      <c r="H996">
        <v>2.5</v>
      </c>
      <c r="I996">
        <v>0</v>
      </c>
      <c r="J996">
        <v>20201</v>
      </c>
      <c r="K996">
        <f>COUNTIF('rEKAP kls MK'!$A$2:$A$35,Worksheet!C996)</f>
        <v>2</v>
      </c>
      <c r="L996" t="str">
        <f t="shared" si="60"/>
        <v>F1B115013</v>
      </c>
      <c r="M996" t="str">
        <f t="shared" si="61"/>
        <v>HERU WILUKMAN HAKIM</v>
      </c>
      <c r="O996" t="str">
        <f t="shared" si="62"/>
        <v/>
      </c>
      <c r="P996" t="str">
        <f t="shared" si="63"/>
        <v/>
      </c>
    </row>
    <row r="997" spans="1:16">
      <c r="A997" t="s">
        <v>185</v>
      </c>
      <c r="B997" t="s">
        <v>186</v>
      </c>
      <c r="C997" t="s">
        <v>255</v>
      </c>
      <c r="D997" t="s">
        <v>256</v>
      </c>
      <c r="E997">
        <v>20171</v>
      </c>
      <c r="F997" t="s">
        <v>14</v>
      </c>
      <c r="G997" t="s">
        <v>23</v>
      </c>
      <c r="H997">
        <v>2.5</v>
      </c>
      <c r="I997">
        <v>0</v>
      </c>
      <c r="J997">
        <v>20201</v>
      </c>
      <c r="K997">
        <f>COUNTIF('rEKAP kls MK'!$A$2:$A$35,Worksheet!C997)</f>
        <v>2</v>
      </c>
      <c r="L997" t="str">
        <f t="shared" si="60"/>
        <v>F1B115015</v>
      </c>
      <c r="M997" t="str">
        <f t="shared" si="61"/>
        <v>ILMAN HIDAYAT</v>
      </c>
      <c r="O997" t="str">
        <f t="shared" si="62"/>
        <v/>
      </c>
      <c r="P997" t="str">
        <f t="shared" si="63"/>
        <v/>
      </c>
    </row>
    <row r="998" spans="1:16">
      <c r="A998" t="s">
        <v>191</v>
      </c>
      <c r="B998" t="s">
        <v>192</v>
      </c>
      <c r="C998" t="s">
        <v>255</v>
      </c>
      <c r="D998" t="s">
        <v>256</v>
      </c>
      <c r="E998">
        <v>20171</v>
      </c>
      <c r="F998" t="s">
        <v>14</v>
      </c>
      <c r="G998" t="s">
        <v>18</v>
      </c>
      <c r="H998">
        <v>3</v>
      </c>
      <c r="I998">
        <v>0</v>
      </c>
      <c r="J998">
        <v>20201</v>
      </c>
      <c r="K998">
        <f>COUNTIF('rEKAP kls MK'!$A$2:$A$35,Worksheet!C998)</f>
        <v>2</v>
      </c>
      <c r="L998" t="str">
        <f t="shared" si="60"/>
        <v>F1B115018</v>
      </c>
      <c r="M998" t="str">
        <f t="shared" si="61"/>
        <v>JANUARMAN MAULANA PUTRA</v>
      </c>
      <c r="O998" t="str">
        <f t="shared" si="62"/>
        <v/>
      </c>
      <c r="P998" t="str">
        <f t="shared" si="63"/>
        <v/>
      </c>
    </row>
    <row r="999" spans="1:16">
      <c r="A999" t="s">
        <v>243</v>
      </c>
      <c r="B999" t="s">
        <v>244</v>
      </c>
      <c r="C999" t="s">
        <v>255</v>
      </c>
      <c r="D999" t="s">
        <v>256</v>
      </c>
      <c r="E999">
        <v>20171</v>
      </c>
      <c r="F999" t="s">
        <v>14</v>
      </c>
      <c r="G999" t="s">
        <v>101</v>
      </c>
      <c r="H999">
        <v>0</v>
      </c>
      <c r="I999">
        <v>0</v>
      </c>
      <c r="J999">
        <v>20201</v>
      </c>
      <c r="K999">
        <f>COUNTIF('rEKAP kls MK'!$A$2:$A$35,Worksheet!C999)</f>
        <v>2</v>
      </c>
      <c r="L999" t="str">
        <f t="shared" si="60"/>
        <v>F1B115019</v>
      </c>
      <c r="M999" t="str">
        <f t="shared" si="61"/>
        <v>Jumriati</v>
      </c>
      <c r="O999" t="str">
        <f t="shared" si="62"/>
        <v/>
      </c>
      <c r="P999" t="str">
        <f t="shared" si="63"/>
        <v/>
      </c>
    </row>
    <row r="1000" spans="1:16">
      <c r="A1000" t="s">
        <v>223</v>
      </c>
      <c r="B1000" t="s">
        <v>224</v>
      </c>
      <c r="C1000" t="s">
        <v>255</v>
      </c>
      <c r="D1000" t="s">
        <v>256</v>
      </c>
      <c r="E1000">
        <v>20171</v>
      </c>
      <c r="F1000" t="s">
        <v>14</v>
      </c>
      <c r="G1000" t="s">
        <v>51</v>
      </c>
      <c r="H1000">
        <v>3.5</v>
      </c>
      <c r="I1000">
        <v>0</v>
      </c>
      <c r="J1000">
        <v>20201</v>
      </c>
      <c r="K1000">
        <f>COUNTIF('rEKAP kls MK'!$A$2:$A$35,Worksheet!C1000)</f>
        <v>2</v>
      </c>
      <c r="L1000" t="str">
        <f t="shared" si="60"/>
        <v>F1B115022</v>
      </c>
      <c r="M1000" t="str">
        <f t="shared" si="61"/>
        <v>LAZARINA MARIANA</v>
      </c>
      <c r="O1000" t="str">
        <f t="shared" si="62"/>
        <v/>
      </c>
      <c r="P1000" t="str">
        <f t="shared" si="63"/>
        <v/>
      </c>
    </row>
    <row r="1001" spans="1:16">
      <c r="A1001" t="s">
        <v>121</v>
      </c>
      <c r="B1001" t="s">
        <v>122</v>
      </c>
      <c r="C1001" t="s">
        <v>255</v>
      </c>
      <c r="D1001" t="s">
        <v>256</v>
      </c>
      <c r="E1001">
        <v>20171</v>
      </c>
      <c r="F1001" t="s">
        <v>14</v>
      </c>
      <c r="G1001" t="s">
        <v>23</v>
      </c>
      <c r="H1001">
        <v>2.5</v>
      </c>
      <c r="I1001">
        <v>0</v>
      </c>
      <c r="J1001">
        <v>20201</v>
      </c>
      <c r="K1001">
        <f>COUNTIF('rEKAP kls MK'!$A$2:$A$35,Worksheet!C1001)</f>
        <v>2</v>
      </c>
      <c r="L1001" t="str">
        <f t="shared" si="60"/>
        <v>F1B115025</v>
      </c>
      <c r="M1001" t="str">
        <f t="shared" si="61"/>
        <v>MERRY MICHELLINA</v>
      </c>
      <c r="O1001" t="str">
        <f t="shared" si="62"/>
        <v/>
      </c>
      <c r="P1001" t="str">
        <f t="shared" si="63"/>
        <v/>
      </c>
    </row>
    <row r="1002" spans="1:16">
      <c r="A1002" t="s">
        <v>193</v>
      </c>
      <c r="B1002" t="s">
        <v>194</v>
      </c>
      <c r="C1002" t="s">
        <v>255</v>
      </c>
      <c r="D1002" t="s">
        <v>256</v>
      </c>
      <c r="E1002">
        <v>20171</v>
      </c>
      <c r="F1002" t="s">
        <v>14</v>
      </c>
      <c r="G1002" t="s">
        <v>26</v>
      </c>
      <c r="H1002">
        <v>2</v>
      </c>
      <c r="I1002">
        <v>0</v>
      </c>
      <c r="J1002">
        <v>20201</v>
      </c>
      <c r="K1002">
        <f>COUNTIF('rEKAP kls MK'!$A$2:$A$35,Worksheet!C1002)</f>
        <v>2</v>
      </c>
      <c r="L1002" t="str">
        <f t="shared" si="60"/>
        <v>F1B115026</v>
      </c>
      <c r="M1002" t="str">
        <f t="shared" si="61"/>
        <v>MUCHAMMAD BAGIR</v>
      </c>
      <c r="O1002" t="str">
        <f t="shared" si="62"/>
        <v/>
      </c>
      <c r="P1002" t="str">
        <f t="shared" si="63"/>
        <v/>
      </c>
    </row>
    <row r="1003" spans="1:16">
      <c r="A1003" t="s">
        <v>227</v>
      </c>
      <c r="B1003" t="s">
        <v>228</v>
      </c>
      <c r="C1003" t="s">
        <v>255</v>
      </c>
      <c r="D1003" t="s">
        <v>256</v>
      </c>
      <c r="E1003">
        <v>20171</v>
      </c>
      <c r="F1003" t="s">
        <v>14</v>
      </c>
      <c r="G1003" t="s">
        <v>18</v>
      </c>
      <c r="H1003">
        <v>3</v>
      </c>
      <c r="I1003">
        <v>0</v>
      </c>
      <c r="J1003">
        <v>20201</v>
      </c>
      <c r="K1003">
        <f>COUNTIF('rEKAP kls MK'!$A$2:$A$35,Worksheet!C1003)</f>
        <v>2</v>
      </c>
      <c r="L1003" t="str">
        <f t="shared" si="60"/>
        <v>F1B115027</v>
      </c>
      <c r="M1003" t="str">
        <f t="shared" si="61"/>
        <v>MUHAMAD NUDISANTANA RISWANDI</v>
      </c>
      <c r="O1003" t="str">
        <f t="shared" si="62"/>
        <v/>
      </c>
      <c r="P1003" t="str">
        <f t="shared" si="63"/>
        <v/>
      </c>
    </row>
    <row r="1004" spans="1:16">
      <c r="A1004" t="s">
        <v>229</v>
      </c>
      <c r="B1004" t="s">
        <v>230</v>
      </c>
      <c r="C1004" t="s">
        <v>255</v>
      </c>
      <c r="D1004" t="s">
        <v>256</v>
      </c>
      <c r="E1004">
        <v>20171</v>
      </c>
      <c r="F1004" t="s">
        <v>14</v>
      </c>
      <c r="G1004" t="s">
        <v>18</v>
      </c>
      <c r="H1004">
        <v>3</v>
      </c>
      <c r="I1004">
        <v>0</v>
      </c>
      <c r="J1004">
        <v>20201</v>
      </c>
      <c r="K1004">
        <f>COUNTIF('rEKAP kls MK'!$A$2:$A$35,Worksheet!C1004)</f>
        <v>2</v>
      </c>
      <c r="L1004" t="str">
        <f t="shared" si="60"/>
        <v>F1B115029</v>
      </c>
      <c r="M1004" t="str">
        <f t="shared" si="61"/>
        <v>MUHAMAT TAUFIK</v>
      </c>
      <c r="O1004" t="str">
        <f t="shared" si="62"/>
        <v/>
      </c>
      <c r="P1004" t="str">
        <f t="shared" si="63"/>
        <v/>
      </c>
    </row>
    <row r="1005" spans="1:16">
      <c r="A1005" t="s">
        <v>187</v>
      </c>
      <c r="B1005" t="s">
        <v>188</v>
      </c>
      <c r="C1005" t="s">
        <v>255</v>
      </c>
      <c r="D1005" t="s">
        <v>256</v>
      </c>
      <c r="E1005">
        <v>20171</v>
      </c>
      <c r="F1005" t="s">
        <v>14</v>
      </c>
      <c r="G1005" t="s">
        <v>18</v>
      </c>
      <c r="H1005">
        <v>3</v>
      </c>
      <c r="I1005">
        <v>0</v>
      </c>
      <c r="J1005">
        <v>20201</v>
      </c>
      <c r="K1005">
        <f>COUNTIF('rEKAP kls MK'!$A$2:$A$35,Worksheet!C1005)</f>
        <v>2</v>
      </c>
      <c r="L1005" t="str">
        <f t="shared" si="60"/>
        <v>F1B115032</v>
      </c>
      <c r="M1005" t="str">
        <f t="shared" si="61"/>
        <v>Muhammad Rozziq Syaputra</v>
      </c>
      <c r="O1005" t="str">
        <f t="shared" si="62"/>
        <v/>
      </c>
      <c r="P1005" t="str">
        <f t="shared" si="63"/>
        <v/>
      </c>
    </row>
    <row r="1006" spans="1:16">
      <c r="A1006" t="s">
        <v>195</v>
      </c>
      <c r="B1006" t="s">
        <v>196</v>
      </c>
      <c r="C1006" t="s">
        <v>255</v>
      </c>
      <c r="D1006" t="s">
        <v>256</v>
      </c>
      <c r="E1006">
        <v>20171</v>
      </c>
      <c r="F1006" t="s">
        <v>14</v>
      </c>
      <c r="G1006" t="s">
        <v>26</v>
      </c>
      <c r="H1006">
        <v>2</v>
      </c>
      <c r="I1006">
        <v>0</v>
      </c>
      <c r="J1006">
        <v>20201</v>
      </c>
      <c r="K1006">
        <f>COUNTIF('rEKAP kls MK'!$A$2:$A$35,Worksheet!C1006)</f>
        <v>2</v>
      </c>
      <c r="L1006" t="str">
        <f t="shared" si="60"/>
        <v>F1B115034</v>
      </c>
      <c r="M1006" t="str">
        <f t="shared" si="61"/>
        <v>NAUFAL ATSAURI</v>
      </c>
      <c r="O1006" t="str">
        <f t="shared" si="62"/>
        <v/>
      </c>
      <c r="P1006" t="str">
        <f t="shared" si="63"/>
        <v/>
      </c>
    </row>
    <row r="1007" spans="1:16">
      <c r="A1007" t="s">
        <v>45</v>
      </c>
      <c r="B1007" t="s">
        <v>46</v>
      </c>
      <c r="C1007" t="s">
        <v>458</v>
      </c>
      <c r="D1007" t="s">
        <v>459</v>
      </c>
      <c r="E1007">
        <v>20171</v>
      </c>
      <c r="F1007" t="s">
        <v>14</v>
      </c>
      <c r="G1007" t="s">
        <v>51</v>
      </c>
      <c r="H1007">
        <v>3.5</v>
      </c>
      <c r="I1007">
        <v>0</v>
      </c>
      <c r="J1007">
        <v>20201</v>
      </c>
      <c r="K1007">
        <f>COUNTIF('rEKAP kls MK'!$A$2:$A$35,Worksheet!C1007)</f>
        <v>1</v>
      </c>
      <c r="L1007" t="str">
        <f t="shared" si="60"/>
        <v>F1B114001</v>
      </c>
      <c r="M1007" t="str">
        <f t="shared" si="61"/>
        <v>ADI PURNA</v>
      </c>
      <c r="O1007" t="str">
        <f t="shared" si="62"/>
        <v>PROTEKSI SISTEM TENAGA</v>
      </c>
      <c r="P1007" t="str">
        <f t="shared" si="63"/>
        <v/>
      </c>
    </row>
    <row r="1008" spans="1:16">
      <c r="A1008" t="s">
        <v>140</v>
      </c>
      <c r="B1008" t="s">
        <v>141</v>
      </c>
      <c r="C1008" t="s">
        <v>458</v>
      </c>
      <c r="D1008" t="s">
        <v>459</v>
      </c>
      <c r="E1008">
        <v>20171</v>
      </c>
      <c r="F1008" t="s">
        <v>14</v>
      </c>
      <c r="G1008" t="s">
        <v>18</v>
      </c>
      <c r="H1008">
        <v>3</v>
      </c>
      <c r="I1008">
        <v>0</v>
      </c>
      <c r="J1008">
        <v>20201</v>
      </c>
      <c r="K1008">
        <f>COUNTIF('rEKAP kls MK'!$A$2:$A$35,Worksheet!C1008)</f>
        <v>1</v>
      </c>
      <c r="L1008" t="str">
        <f t="shared" si="60"/>
        <v>F1B114003</v>
      </c>
      <c r="M1008" t="str">
        <f t="shared" si="61"/>
        <v>AGUS SUPANDI</v>
      </c>
      <c r="O1008" t="str">
        <f t="shared" si="62"/>
        <v/>
      </c>
      <c r="P1008" t="str">
        <f t="shared" si="63"/>
        <v/>
      </c>
    </row>
    <row r="1009" spans="1:16">
      <c r="A1009" t="s">
        <v>47</v>
      </c>
      <c r="B1009" t="s">
        <v>48</v>
      </c>
      <c r="C1009" t="s">
        <v>458</v>
      </c>
      <c r="D1009" t="s">
        <v>459</v>
      </c>
      <c r="E1009">
        <v>20171</v>
      </c>
      <c r="F1009" t="s">
        <v>14</v>
      </c>
      <c r="G1009" t="s">
        <v>18</v>
      </c>
      <c r="H1009">
        <v>3</v>
      </c>
      <c r="I1009">
        <v>0</v>
      </c>
      <c r="J1009">
        <v>20201</v>
      </c>
      <c r="K1009">
        <f>COUNTIF('rEKAP kls MK'!$A$2:$A$35,Worksheet!C1009)</f>
        <v>1</v>
      </c>
      <c r="L1009" t="str">
        <f t="shared" si="60"/>
        <v>F1B114004</v>
      </c>
      <c r="M1009" t="str">
        <f t="shared" si="61"/>
        <v>AKHMAD AKHIR BULAN</v>
      </c>
      <c r="O1009" t="str">
        <f t="shared" si="62"/>
        <v/>
      </c>
      <c r="P1009" t="str">
        <f t="shared" si="63"/>
        <v/>
      </c>
    </row>
    <row r="1010" spans="1:16">
      <c r="A1010" t="s">
        <v>261</v>
      </c>
      <c r="B1010" t="s">
        <v>262</v>
      </c>
      <c r="C1010" t="s">
        <v>458</v>
      </c>
      <c r="D1010" t="s">
        <v>459</v>
      </c>
      <c r="E1010">
        <v>20171</v>
      </c>
      <c r="F1010" t="s">
        <v>14</v>
      </c>
      <c r="G1010" t="s">
        <v>51</v>
      </c>
      <c r="H1010">
        <v>3.5</v>
      </c>
      <c r="I1010">
        <v>0</v>
      </c>
      <c r="J1010">
        <v>20201</v>
      </c>
      <c r="K1010">
        <f>COUNTIF('rEKAP kls MK'!$A$2:$A$35,Worksheet!C1010)</f>
        <v>1</v>
      </c>
      <c r="L1010" t="str">
        <f t="shared" si="60"/>
        <v>F1B114006</v>
      </c>
      <c r="M1010" t="str">
        <f t="shared" si="61"/>
        <v>BAYU RAMADHAN</v>
      </c>
      <c r="O1010" t="str">
        <f t="shared" si="62"/>
        <v/>
      </c>
      <c r="P1010" t="str">
        <f t="shared" si="63"/>
        <v/>
      </c>
    </row>
    <row r="1011" spans="1:16">
      <c r="A1011" t="s">
        <v>52</v>
      </c>
      <c r="B1011" t="s">
        <v>53</v>
      </c>
      <c r="C1011" t="s">
        <v>458</v>
      </c>
      <c r="D1011" t="s">
        <v>459</v>
      </c>
      <c r="E1011">
        <v>20171</v>
      </c>
      <c r="F1011" t="s">
        <v>14</v>
      </c>
      <c r="G1011" t="s">
        <v>23</v>
      </c>
      <c r="H1011">
        <v>2.5</v>
      </c>
      <c r="I1011">
        <v>0</v>
      </c>
      <c r="J1011">
        <v>20201</v>
      </c>
      <c r="K1011">
        <f>COUNTIF('rEKAP kls MK'!$A$2:$A$35,Worksheet!C1011)</f>
        <v>1</v>
      </c>
      <c r="L1011" t="str">
        <f t="shared" si="60"/>
        <v>F1B114014</v>
      </c>
      <c r="M1011" t="str">
        <f t="shared" si="61"/>
        <v>HAMDUN</v>
      </c>
      <c r="O1011" t="str">
        <f t="shared" si="62"/>
        <v/>
      </c>
      <c r="P1011" t="str">
        <f t="shared" si="63"/>
        <v/>
      </c>
    </row>
    <row r="1012" spans="1:16">
      <c r="A1012" t="s">
        <v>163</v>
      </c>
      <c r="B1012" t="s">
        <v>164</v>
      </c>
      <c r="C1012" t="s">
        <v>458</v>
      </c>
      <c r="D1012" t="s">
        <v>459</v>
      </c>
      <c r="E1012">
        <v>20171</v>
      </c>
      <c r="F1012" t="s">
        <v>14</v>
      </c>
      <c r="G1012" t="s">
        <v>18</v>
      </c>
      <c r="H1012">
        <v>3</v>
      </c>
      <c r="I1012">
        <v>0</v>
      </c>
      <c r="J1012">
        <v>20201</v>
      </c>
      <c r="K1012">
        <f>COUNTIF('rEKAP kls MK'!$A$2:$A$35,Worksheet!C1012)</f>
        <v>1</v>
      </c>
      <c r="L1012" t="str">
        <f t="shared" si="60"/>
        <v>F1B114016</v>
      </c>
      <c r="M1012" t="str">
        <f t="shared" si="61"/>
        <v>HERLAN</v>
      </c>
      <c r="O1012" t="str">
        <f t="shared" si="62"/>
        <v/>
      </c>
      <c r="P1012" t="str">
        <f t="shared" si="63"/>
        <v/>
      </c>
    </row>
    <row r="1013" spans="1:16">
      <c r="A1013" t="s">
        <v>263</v>
      </c>
      <c r="B1013" t="s">
        <v>264</v>
      </c>
      <c r="C1013" t="s">
        <v>458</v>
      </c>
      <c r="D1013" t="s">
        <v>459</v>
      </c>
      <c r="E1013">
        <v>20171</v>
      </c>
      <c r="F1013" t="s">
        <v>14</v>
      </c>
      <c r="G1013" t="s">
        <v>51</v>
      </c>
      <c r="H1013">
        <v>3.5</v>
      </c>
      <c r="I1013">
        <v>0</v>
      </c>
      <c r="J1013">
        <v>20201</v>
      </c>
      <c r="K1013">
        <f>COUNTIF('rEKAP kls MK'!$A$2:$A$35,Worksheet!C1013)</f>
        <v>1</v>
      </c>
      <c r="L1013" t="str">
        <f t="shared" si="60"/>
        <v>F1B114017</v>
      </c>
      <c r="M1013" t="str">
        <f t="shared" si="61"/>
        <v>HIDAYATUR RAHMAN</v>
      </c>
      <c r="O1013" t="str">
        <f t="shared" si="62"/>
        <v/>
      </c>
      <c r="P1013" t="str">
        <f t="shared" si="63"/>
        <v/>
      </c>
    </row>
    <row r="1014" spans="1:16">
      <c r="A1014" t="s">
        <v>265</v>
      </c>
      <c r="B1014" t="s">
        <v>266</v>
      </c>
      <c r="C1014" t="s">
        <v>458</v>
      </c>
      <c r="D1014" t="s">
        <v>459</v>
      </c>
      <c r="E1014">
        <v>20171</v>
      </c>
      <c r="F1014" t="s">
        <v>14</v>
      </c>
      <c r="G1014" t="s">
        <v>82</v>
      </c>
      <c r="H1014">
        <v>4</v>
      </c>
      <c r="I1014">
        <v>0</v>
      </c>
      <c r="J1014">
        <v>20201</v>
      </c>
      <c r="K1014">
        <f>COUNTIF('rEKAP kls MK'!$A$2:$A$35,Worksheet!C1014)</f>
        <v>1</v>
      </c>
      <c r="L1014" t="str">
        <f t="shared" si="60"/>
        <v>F1B114020</v>
      </c>
      <c r="M1014" t="str">
        <f t="shared" si="61"/>
        <v>IMRAN</v>
      </c>
      <c r="O1014" t="str">
        <f t="shared" si="62"/>
        <v/>
      </c>
      <c r="P1014" t="str">
        <f t="shared" si="63"/>
        <v/>
      </c>
    </row>
    <row r="1015" spans="1:16">
      <c r="A1015" t="s">
        <v>446</v>
      </c>
      <c r="B1015" t="s">
        <v>447</v>
      </c>
      <c r="C1015" t="s">
        <v>458</v>
      </c>
      <c r="D1015" t="s">
        <v>459</v>
      </c>
      <c r="E1015">
        <v>20171</v>
      </c>
      <c r="F1015" t="s">
        <v>14</v>
      </c>
      <c r="G1015" t="s">
        <v>116</v>
      </c>
      <c r="H1015">
        <v>1.5</v>
      </c>
      <c r="I1015">
        <v>0</v>
      </c>
      <c r="J1015">
        <v>20201</v>
      </c>
      <c r="K1015">
        <f>COUNTIF('rEKAP kls MK'!$A$2:$A$35,Worksheet!C1015)</f>
        <v>1</v>
      </c>
      <c r="L1015" t="str">
        <f t="shared" si="60"/>
        <v>F1B114021</v>
      </c>
      <c r="M1015" t="str">
        <f t="shared" si="61"/>
        <v>JAUHARI MAKNUN</v>
      </c>
      <c r="O1015" t="str">
        <f t="shared" si="62"/>
        <v/>
      </c>
      <c r="P1015" t="str">
        <f t="shared" si="63"/>
        <v/>
      </c>
    </row>
    <row r="1016" spans="1:16">
      <c r="A1016" t="s">
        <v>267</v>
      </c>
      <c r="B1016" t="s">
        <v>268</v>
      </c>
      <c r="C1016" t="s">
        <v>458</v>
      </c>
      <c r="D1016" t="s">
        <v>459</v>
      </c>
      <c r="E1016">
        <v>20171</v>
      </c>
      <c r="F1016" t="s">
        <v>14</v>
      </c>
      <c r="G1016" t="s">
        <v>51</v>
      </c>
      <c r="H1016">
        <v>3.5</v>
      </c>
      <c r="I1016">
        <v>0</v>
      </c>
      <c r="J1016">
        <v>20201</v>
      </c>
      <c r="K1016">
        <f>COUNTIF('rEKAP kls MK'!$A$2:$A$35,Worksheet!C1016)</f>
        <v>1</v>
      </c>
      <c r="L1016" t="str">
        <f t="shared" si="60"/>
        <v>F1B114025</v>
      </c>
      <c r="M1016" t="str">
        <f t="shared" si="61"/>
        <v>MUAMMAR GHIRAHANDI HAMARIS</v>
      </c>
      <c r="O1016" t="str">
        <f t="shared" si="62"/>
        <v/>
      </c>
      <c r="P1016" t="str">
        <f t="shared" si="63"/>
        <v/>
      </c>
    </row>
    <row r="1017" spans="1:16">
      <c r="A1017" t="s">
        <v>257</v>
      </c>
      <c r="B1017" t="s">
        <v>258</v>
      </c>
      <c r="C1017" t="s">
        <v>458</v>
      </c>
      <c r="D1017" t="s">
        <v>459</v>
      </c>
      <c r="E1017">
        <v>20171</v>
      </c>
      <c r="F1017" t="s">
        <v>14</v>
      </c>
      <c r="G1017" t="s">
        <v>18</v>
      </c>
      <c r="H1017">
        <v>3</v>
      </c>
      <c r="I1017">
        <v>0</v>
      </c>
      <c r="J1017">
        <v>20201</v>
      </c>
      <c r="K1017">
        <f>COUNTIF('rEKAP kls MK'!$A$2:$A$35,Worksheet!C1017)</f>
        <v>1</v>
      </c>
      <c r="L1017" t="str">
        <f t="shared" si="60"/>
        <v>F1B114027</v>
      </c>
      <c r="M1017" t="str">
        <f t="shared" si="61"/>
        <v>MUHAMMAD FEBRIAN RAMADAN</v>
      </c>
      <c r="O1017" t="str">
        <f t="shared" si="62"/>
        <v/>
      </c>
      <c r="P1017" t="str">
        <f t="shared" si="63"/>
        <v/>
      </c>
    </row>
    <row r="1018" spans="1:16">
      <c r="A1018" t="s">
        <v>155</v>
      </c>
      <c r="B1018" t="s">
        <v>156</v>
      </c>
      <c r="C1018" t="s">
        <v>400</v>
      </c>
      <c r="D1018" t="s">
        <v>401</v>
      </c>
      <c r="E1018">
        <v>20171</v>
      </c>
      <c r="F1018" t="s">
        <v>575</v>
      </c>
      <c r="G1018" t="s">
        <v>82</v>
      </c>
      <c r="H1018">
        <v>4</v>
      </c>
      <c r="I1018">
        <v>0</v>
      </c>
      <c r="J1018">
        <v>20201</v>
      </c>
      <c r="K1018">
        <f>COUNTIF('rEKAP kls MK'!$A$2:$A$35,Worksheet!C1018)</f>
        <v>0</v>
      </c>
      <c r="L1018" t="str">
        <f t="shared" si="60"/>
        <v>F1B114008</v>
      </c>
      <c r="M1018" t="str">
        <f t="shared" si="61"/>
        <v>BRIAN ABBY ARIESTYO WIRYANDITO</v>
      </c>
      <c r="O1018" t="str">
        <f t="shared" si="62"/>
        <v>PROYEK PERANGKAT LUNAK</v>
      </c>
      <c r="P1018" t="str">
        <f t="shared" si="63"/>
        <v>P</v>
      </c>
    </row>
    <row r="1019" spans="1:16">
      <c r="A1019" t="s">
        <v>157</v>
      </c>
      <c r="B1019" t="s">
        <v>158</v>
      </c>
      <c r="C1019" t="s">
        <v>400</v>
      </c>
      <c r="D1019" t="s">
        <v>401</v>
      </c>
      <c r="E1019">
        <v>20171</v>
      </c>
      <c r="F1019" t="s">
        <v>575</v>
      </c>
      <c r="G1019" t="s">
        <v>51</v>
      </c>
      <c r="H1019">
        <v>3.5</v>
      </c>
      <c r="I1019">
        <v>0</v>
      </c>
      <c r="J1019">
        <v>20201</v>
      </c>
      <c r="K1019">
        <f>COUNTIF('rEKAP kls MK'!$A$2:$A$35,Worksheet!C1019)</f>
        <v>0</v>
      </c>
      <c r="L1019" t="str">
        <f t="shared" si="60"/>
        <v>F1B114010</v>
      </c>
      <c r="M1019" t="str">
        <f t="shared" si="61"/>
        <v>EKA MARTA SIOMI</v>
      </c>
      <c r="O1019" t="str">
        <f t="shared" si="62"/>
        <v/>
      </c>
      <c r="P1019" t="str">
        <f t="shared" si="63"/>
        <v/>
      </c>
    </row>
    <row r="1020" spans="1:16">
      <c r="A1020" t="s">
        <v>159</v>
      </c>
      <c r="B1020" t="s">
        <v>160</v>
      </c>
      <c r="C1020" t="s">
        <v>400</v>
      </c>
      <c r="D1020" t="s">
        <v>401</v>
      </c>
      <c r="E1020">
        <v>20171</v>
      </c>
      <c r="F1020" t="s">
        <v>575</v>
      </c>
      <c r="G1020" t="s">
        <v>51</v>
      </c>
      <c r="H1020">
        <v>3.5</v>
      </c>
      <c r="I1020">
        <v>0</v>
      </c>
      <c r="J1020">
        <v>20201</v>
      </c>
      <c r="K1020">
        <f>COUNTIF('rEKAP kls MK'!$A$2:$A$35,Worksheet!C1020)</f>
        <v>0</v>
      </c>
      <c r="L1020" t="str">
        <f t="shared" si="60"/>
        <v>F1B114011</v>
      </c>
      <c r="M1020" t="str">
        <f t="shared" si="61"/>
        <v>ERWIN LINGGA SAPUTRA</v>
      </c>
      <c r="O1020" t="str">
        <f t="shared" si="62"/>
        <v/>
      </c>
      <c r="P1020" t="str">
        <f t="shared" si="63"/>
        <v/>
      </c>
    </row>
    <row r="1021" spans="1:16">
      <c r="A1021" t="s">
        <v>161</v>
      </c>
      <c r="B1021" t="s">
        <v>162</v>
      </c>
      <c r="C1021" t="s">
        <v>400</v>
      </c>
      <c r="D1021" t="s">
        <v>401</v>
      </c>
      <c r="E1021">
        <v>20171</v>
      </c>
      <c r="F1021" t="s">
        <v>575</v>
      </c>
      <c r="G1021" t="s">
        <v>15</v>
      </c>
      <c r="H1021">
        <v>0</v>
      </c>
      <c r="I1021">
        <v>0</v>
      </c>
      <c r="J1021">
        <v>20201</v>
      </c>
      <c r="K1021">
        <f>COUNTIF('rEKAP kls MK'!$A$2:$A$35,Worksheet!C1021)</f>
        <v>0</v>
      </c>
      <c r="L1021" t="str">
        <f t="shared" si="60"/>
        <v>F1B114012</v>
      </c>
      <c r="M1021" t="str">
        <f t="shared" si="61"/>
        <v>FATHUL AZIZ</v>
      </c>
      <c r="O1021" t="str">
        <f t="shared" si="62"/>
        <v/>
      </c>
      <c r="P1021" t="str">
        <f t="shared" si="63"/>
        <v/>
      </c>
    </row>
    <row r="1022" spans="1:16">
      <c r="A1022" t="s">
        <v>54</v>
      </c>
      <c r="B1022" t="s">
        <v>55</v>
      </c>
      <c r="C1022" t="s">
        <v>400</v>
      </c>
      <c r="D1022" t="s">
        <v>401</v>
      </c>
      <c r="E1022">
        <v>20171</v>
      </c>
      <c r="F1022" t="s">
        <v>575</v>
      </c>
      <c r="G1022" t="s">
        <v>51</v>
      </c>
      <c r="H1022">
        <v>3.5</v>
      </c>
      <c r="I1022">
        <v>0</v>
      </c>
      <c r="J1022">
        <v>20201</v>
      </c>
      <c r="K1022">
        <f>COUNTIF('rEKAP kls MK'!$A$2:$A$35,Worksheet!C1022)</f>
        <v>0</v>
      </c>
      <c r="L1022" t="str">
        <f t="shared" si="60"/>
        <v>F1B114028</v>
      </c>
      <c r="M1022" t="str">
        <f t="shared" si="61"/>
        <v>MUHAMMAD HAJRUL MUZAQI</v>
      </c>
      <c r="O1022" t="str">
        <f t="shared" si="62"/>
        <v/>
      </c>
      <c r="P1022" t="str">
        <f t="shared" si="63"/>
        <v/>
      </c>
    </row>
    <row r="1023" spans="1:16">
      <c r="A1023" t="s">
        <v>201</v>
      </c>
      <c r="B1023" t="s">
        <v>202</v>
      </c>
      <c r="C1023" t="s">
        <v>400</v>
      </c>
      <c r="D1023" t="s">
        <v>401</v>
      </c>
      <c r="E1023">
        <v>20171</v>
      </c>
      <c r="F1023" t="s">
        <v>575</v>
      </c>
      <c r="G1023" t="s">
        <v>82</v>
      </c>
      <c r="H1023">
        <v>4</v>
      </c>
      <c r="I1023">
        <v>0</v>
      </c>
      <c r="J1023">
        <v>20201</v>
      </c>
      <c r="K1023">
        <f>COUNTIF('rEKAP kls MK'!$A$2:$A$35,Worksheet!C1023)</f>
        <v>0</v>
      </c>
      <c r="L1023" t="str">
        <f t="shared" si="60"/>
        <v>F1B114030</v>
      </c>
      <c r="M1023" t="str">
        <f t="shared" si="61"/>
        <v>PUTRA RAHMAT RAMADAN</v>
      </c>
      <c r="O1023" t="str">
        <f t="shared" si="62"/>
        <v/>
      </c>
      <c r="P1023" t="str">
        <f t="shared" si="63"/>
        <v/>
      </c>
    </row>
    <row r="1024" spans="1:16">
      <c r="A1024" t="s">
        <v>146</v>
      </c>
      <c r="B1024" t="s">
        <v>147</v>
      </c>
      <c r="C1024" t="s">
        <v>415</v>
      </c>
      <c r="D1024" t="s">
        <v>416</v>
      </c>
      <c r="E1024">
        <v>20171</v>
      </c>
      <c r="F1024" t="s">
        <v>575</v>
      </c>
      <c r="G1024" t="s">
        <v>101</v>
      </c>
      <c r="H1024">
        <v>0</v>
      </c>
      <c r="I1024">
        <v>0</v>
      </c>
      <c r="J1024">
        <v>20201</v>
      </c>
      <c r="K1024">
        <f>COUNTIF('rEKAP kls MK'!$A$2:$A$35,Worksheet!C1024)</f>
        <v>0</v>
      </c>
      <c r="L1024" t="str">
        <f t="shared" si="60"/>
        <v>F1B111036</v>
      </c>
      <c r="M1024" t="str">
        <f t="shared" si="61"/>
        <v>Lalu Anja Sukmana</v>
      </c>
      <c r="O1024" t="str">
        <f t="shared" si="62"/>
        <v>RANGKAIAN ELEKTRONIKA</v>
      </c>
      <c r="P1024" t="str">
        <f t="shared" si="63"/>
        <v/>
      </c>
    </row>
    <row r="1025" spans="1:16">
      <c r="A1025" t="s">
        <v>177</v>
      </c>
      <c r="B1025" t="s">
        <v>178</v>
      </c>
      <c r="C1025" t="s">
        <v>179</v>
      </c>
      <c r="D1025" t="s">
        <v>180</v>
      </c>
      <c r="E1025">
        <v>20171</v>
      </c>
      <c r="F1025" t="s">
        <v>14</v>
      </c>
      <c r="G1025" t="s">
        <v>15</v>
      </c>
      <c r="H1025">
        <v>0</v>
      </c>
      <c r="I1025">
        <v>0</v>
      </c>
      <c r="J1025">
        <v>20201</v>
      </c>
      <c r="K1025">
        <f>COUNTIF('rEKAP kls MK'!$A$2:$A$35,Worksheet!C1025)</f>
        <v>1</v>
      </c>
      <c r="L1025" t="str">
        <f t="shared" si="60"/>
        <v>F1B111030</v>
      </c>
      <c r="M1025" t="str">
        <f t="shared" si="61"/>
        <v>Islahudin</v>
      </c>
      <c r="O1025" t="str">
        <f t="shared" si="62"/>
        <v>RANGKAIAN LISTRIK I</v>
      </c>
      <c r="P1025" t="str">
        <f t="shared" si="63"/>
        <v>S</v>
      </c>
    </row>
    <row r="1026" spans="1:16">
      <c r="A1026" t="s">
        <v>104</v>
      </c>
      <c r="B1026" t="s">
        <v>105</v>
      </c>
      <c r="C1026" t="s">
        <v>179</v>
      </c>
      <c r="D1026" t="s">
        <v>180</v>
      </c>
      <c r="E1026">
        <v>20171</v>
      </c>
      <c r="F1026" t="s">
        <v>14</v>
      </c>
      <c r="G1026" t="s">
        <v>26</v>
      </c>
      <c r="H1026">
        <v>2</v>
      </c>
      <c r="I1026">
        <v>0</v>
      </c>
      <c r="J1026">
        <v>20201</v>
      </c>
      <c r="K1026">
        <f>COUNTIF('rEKAP kls MK'!$A$2:$A$35,Worksheet!C1026)</f>
        <v>1</v>
      </c>
      <c r="L1026" t="str">
        <f t="shared" si="60"/>
        <v>F1B111059</v>
      </c>
      <c r="M1026" t="str">
        <f t="shared" si="61"/>
        <v>Nukrah</v>
      </c>
      <c r="O1026" t="str">
        <f t="shared" si="62"/>
        <v/>
      </c>
      <c r="P1026" t="str">
        <f t="shared" si="63"/>
        <v/>
      </c>
    </row>
    <row r="1027" spans="1:16">
      <c r="A1027" t="s">
        <v>19</v>
      </c>
      <c r="B1027" t="s">
        <v>20</v>
      </c>
      <c r="C1027" t="s">
        <v>179</v>
      </c>
      <c r="D1027" t="s">
        <v>180</v>
      </c>
      <c r="E1027">
        <v>20171</v>
      </c>
      <c r="F1027" t="s">
        <v>14</v>
      </c>
      <c r="G1027" t="s">
        <v>26</v>
      </c>
      <c r="H1027">
        <v>2</v>
      </c>
      <c r="I1027">
        <v>0</v>
      </c>
      <c r="J1027">
        <v>20201</v>
      </c>
      <c r="K1027">
        <f>COUNTIF('rEKAP kls MK'!$A$2:$A$35,Worksheet!C1027)</f>
        <v>1</v>
      </c>
      <c r="L1027" t="str">
        <f t="shared" ref="L1027:L1090" si="64">IF(A1026&lt;&gt;A1027,A1027,"")</f>
        <v>F1B113001</v>
      </c>
      <c r="M1027" t="str">
        <f t="shared" ref="M1027:M1090" si="65">IF(B1026&lt;&gt;B1027,B1027,"")</f>
        <v>ADAM VERGIAN B</v>
      </c>
      <c r="O1027" t="str">
        <f t="shared" ref="O1027:O1090" si="66">IF(D1026&lt;&gt;D1027,D1027,"")</f>
        <v/>
      </c>
      <c r="P1027" t="str">
        <f t="shared" ref="P1027:P1090" si="67">IF(F1026&lt;&gt;F1027,F1027,"")</f>
        <v/>
      </c>
    </row>
    <row r="1028" spans="1:16">
      <c r="A1028" t="s">
        <v>31</v>
      </c>
      <c r="B1028" t="s">
        <v>32</v>
      </c>
      <c r="C1028" t="s">
        <v>179</v>
      </c>
      <c r="D1028" t="s">
        <v>180</v>
      </c>
      <c r="E1028">
        <v>20171</v>
      </c>
      <c r="F1028" t="s">
        <v>14</v>
      </c>
      <c r="G1028" t="s">
        <v>18</v>
      </c>
      <c r="H1028">
        <v>3</v>
      </c>
      <c r="I1028">
        <v>0</v>
      </c>
      <c r="J1028">
        <v>20201</v>
      </c>
      <c r="K1028">
        <f>COUNTIF('rEKAP kls MK'!$A$2:$A$35,Worksheet!C1028)</f>
        <v>1</v>
      </c>
      <c r="L1028" t="str">
        <f t="shared" si="64"/>
        <v>F1B113022</v>
      </c>
      <c r="M1028" t="str">
        <f t="shared" si="65"/>
        <v>LAZARUS CHRISTIAN P</v>
      </c>
      <c r="O1028" t="str">
        <f t="shared" si="66"/>
        <v/>
      </c>
      <c r="P1028" t="str">
        <f t="shared" si="67"/>
        <v/>
      </c>
    </row>
    <row r="1029" spans="1:16">
      <c r="A1029" t="s">
        <v>33</v>
      </c>
      <c r="B1029" t="s">
        <v>34</v>
      </c>
      <c r="C1029" t="s">
        <v>179</v>
      </c>
      <c r="D1029" t="s">
        <v>180</v>
      </c>
      <c r="E1029">
        <v>20171</v>
      </c>
      <c r="F1029" t="s">
        <v>14</v>
      </c>
      <c r="G1029" t="s">
        <v>26</v>
      </c>
      <c r="H1029">
        <v>2</v>
      </c>
      <c r="I1029">
        <v>0</v>
      </c>
      <c r="J1029">
        <v>20201</v>
      </c>
      <c r="K1029">
        <f>COUNTIF('rEKAP kls MK'!$A$2:$A$35,Worksheet!C1029)</f>
        <v>1</v>
      </c>
      <c r="L1029" t="str">
        <f t="shared" si="64"/>
        <v>F1B113026</v>
      </c>
      <c r="M1029" t="str">
        <f t="shared" si="65"/>
        <v>MUHAMAD ARDI RAHMAN</v>
      </c>
      <c r="O1029" t="str">
        <f t="shared" si="66"/>
        <v/>
      </c>
      <c r="P1029" t="str">
        <f t="shared" si="67"/>
        <v/>
      </c>
    </row>
    <row r="1030" spans="1:16">
      <c r="A1030" t="s">
        <v>136</v>
      </c>
      <c r="B1030" t="s">
        <v>137</v>
      </c>
      <c r="C1030" t="s">
        <v>179</v>
      </c>
      <c r="D1030" t="s">
        <v>180</v>
      </c>
      <c r="E1030">
        <v>20171</v>
      </c>
      <c r="F1030" t="s">
        <v>14</v>
      </c>
      <c r="G1030" t="s">
        <v>23</v>
      </c>
      <c r="H1030">
        <v>2.5</v>
      </c>
      <c r="I1030">
        <v>0</v>
      </c>
      <c r="J1030">
        <v>20201</v>
      </c>
      <c r="K1030">
        <f>COUNTIF('rEKAP kls MK'!$A$2:$A$35,Worksheet!C1030)</f>
        <v>1</v>
      </c>
      <c r="L1030" t="str">
        <f t="shared" si="64"/>
        <v>F1B113030</v>
      </c>
      <c r="M1030" t="str">
        <f t="shared" si="65"/>
        <v>RIZAL ADI SAPUTRA</v>
      </c>
      <c r="O1030" t="str">
        <f t="shared" si="66"/>
        <v/>
      </c>
      <c r="P1030" t="str">
        <f t="shared" si="67"/>
        <v/>
      </c>
    </row>
    <row r="1031" spans="1:16">
      <c r="A1031" t="s">
        <v>39</v>
      </c>
      <c r="B1031" t="s">
        <v>40</v>
      </c>
      <c r="C1031" t="s">
        <v>179</v>
      </c>
      <c r="D1031" t="s">
        <v>180</v>
      </c>
      <c r="E1031">
        <v>20171</v>
      </c>
      <c r="F1031" t="s">
        <v>14</v>
      </c>
      <c r="G1031" t="s">
        <v>23</v>
      </c>
      <c r="H1031">
        <v>2.5</v>
      </c>
      <c r="I1031">
        <v>0</v>
      </c>
      <c r="J1031">
        <v>20201</v>
      </c>
      <c r="K1031">
        <f>COUNTIF('rEKAP kls MK'!$A$2:$A$35,Worksheet!C1031)</f>
        <v>1</v>
      </c>
      <c r="L1031" t="str">
        <f t="shared" si="64"/>
        <v>F1B113031</v>
      </c>
      <c r="M1031" t="str">
        <f t="shared" si="65"/>
        <v>SADIQ RAMADHOAN</v>
      </c>
      <c r="O1031" t="str">
        <f t="shared" si="66"/>
        <v/>
      </c>
      <c r="P1031" t="str">
        <f t="shared" si="67"/>
        <v/>
      </c>
    </row>
    <row r="1032" spans="1:16">
      <c r="A1032" t="s">
        <v>41</v>
      </c>
      <c r="B1032" t="s">
        <v>42</v>
      </c>
      <c r="C1032" t="s">
        <v>179</v>
      </c>
      <c r="D1032" t="s">
        <v>180</v>
      </c>
      <c r="E1032">
        <v>20171</v>
      </c>
      <c r="F1032" t="s">
        <v>14</v>
      </c>
      <c r="G1032" t="s">
        <v>23</v>
      </c>
      <c r="H1032">
        <v>2.5</v>
      </c>
      <c r="I1032">
        <v>0</v>
      </c>
      <c r="J1032">
        <v>20201</v>
      </c>
      <c r="K1032">
        <f>COUNTIF('rEKAP kls MK'!$A$2:$A$35,Worksheet!C1032)</f>
        <v>1</v>
      </c>
      <c r="L1032" t="str">
        <f t="shared" si="64"/>
        <v>F1B113032</v>
      </c>
      <c r="M1032" t="str">
        <f t="shared" si="65"/>
        <v>SAMSUL AZWARI</v>
      </c>
      <c r="O1032" t="str">
        <f t="shared" si="66"/>
        <v/>
      </c>
      <c r="P1032" t="str">
        <f t="shared" si="67"/>
        <v/>
      </c>
    </row>
    <row r="1033" spans="1:16">
      <c r="A1033" t="s">
        <v>138</v>
      </c>
      <c r="B1033" t="s">
        <v>139</v>
      </c>
      <c r="C1033" t="s">
        <v>179</v>
      </c>
      <c r="D1033" t="s">
        <v>180</v>
      </c>
      <c r="E1033">
        <v>20171</v>
      </c>
      <c r="F1033" t="s">
        <v>14</v>
      </c>
      <c r="G1033" t="s">
        <v>26</v>
      </c>
      <c r="H1033">
        <v>2</v>
      </c>
      <c r="I1033">
        <v>0</v>
      </c>
      <c r="J1033">
        <v>20201</v>
      </c>
      <c r="K1033">
        <f>COUNTIF('rEKAP kls MK'!$A$2:$A$35,Worksheet!C1033)</f>
        <v>1</v>
      </c>
      <c r="L1033" t="str">
        <f t="shared" si="64"/>
        <v>F1B113033</v>
      </c>
      <c r="M1033" t="str">
        <f t="shared" si="65"/>
        <v>SERLY MARLINA</v>
      </c>
      <c r="O1033" t="str">
        <f t="shared" si="66"/>
        <v/>
      </c>
      <c r="P1033" t="str">
        <f t="shared" si="67"/>
        <v/>
      </c>
    </row>
    <row r="1034" spans="1:16">
      <c r="A1034" t="s">
        <v>173</v>
      </c>
      <c r="B1034" t="s">
        <v>174</v>
      </c>
      <c r="C1034" t="s">
        <v>179</v>
      </c>
      <c r="D1034" t="s">
        <v>180</v>
      </c>
      <c r="E1034">
        <v>20171</v>
      </c>
      <c r="F1034" t="s">
        <v>14</v>
      </c>
      <c r="G1034" t="s">
        <v>18</v>
      </c>
      <c r="H1034">
        <v>3</v>
      </c>
      <c r="I1034">
        <v>0</v>
      </c>
      <c r="J1034">
        <v>20201</v>
      </c>
      <c r="K1034">
        <f>COUNTIF('rEKAP kls MK'!$A$2:$A$35,Worksheet!C1034)</f>
        <v>1</v>
      </c>
      <c r="L1034" t="str">
        <f t="shared" si="64"/>
        <v>F1B113037</v>
      </c>
      <c r="M1034" t="str">
        <f t="shared" si="65"/>
        <v>ULUL AZMI</v>
      </c>
      <c r="O1034" t="str">
        <f t="shared" si="66"/>
        <v/>
      </c>
      <c r="P1034" t="str">
        <f t="shared" si="67"/>
        <v/>
      </c>
    </row>
    <row r="1035" spans="1:16">
      <c r="A1035" t="s">
        <v>49</v>
      </c>
      <c r="B1035" t="s">
        <v>50</v>
      </c>
      <c r="C1035" t="s">
        <v>179</v>
      </c>
      <c r="D1035" t="s">
        <v>180</v>
      </c>
      <c r="E1035">
        <v>20171</v>
      </c>
      <c r="F1035" t="s">
        <v>14</v>
      </c>
      <c r="G1035" t="s">
        <v>23</v>
      </c>
      <c r="H1035">
        <v>2.5</v>
      </c>
      <c r="I1035">
        <v>0</v>
      </c>
      <c r="J1035">
        <v>20201</v>
      </c>
      <c r="K1035">
        <f>COUNTIF('rEKAP kls MK'!$A$2:$A$35,Worksheet!C1035)</f>
        <v>1</v>
      </c>
      <c r="L1035" t="str">
        <f t="shared" si="64"/>
        <v>F1B114007</v>
      </c>
      <c r="M1035" t="str">
        <f t="shared" si="65"/>
        <v>BIJE SYIAPRIADI D</v>
      </c>
      <c r="O1035" t="str">
        <f t="shared" si="66"/>
        <v/>
      </c>
      <c r="P1035" t="str">
        <f t="shared" si="67"/>
        <v/>
      </c>
    </row>
    <row r="1036" spans="1:16">
      <c r="A1036" t="s">
        <v>175</v>
      </c>
      <c r="B1036" t="s">
        <v>176</v>
      </c>
      <c r="C1036" t="s">
        <v>179</v>
      </c>
      <c r="D1036" t="s">
        <v>180</v>
      </c>
      <c r="E1036">
        <v>20171</v>
      </c>
      <c r="F1036" t="s">
        <v>14</v>
      </c>
      <c r="G1036" t="s">
        <v>18</v>
      </c>
      <c r="H1036">
        <v>3</v>
      </c>
      <c r="I1036">
        <v>0</v>
      </c>
      <c r="J1036">
        <v>20201</v>
      </c>
      <c r="K1036">
        <f>COUNTIF('rEKAP kls MK'!$A$2:$A$35,Worksheet!C1036)</f>
        <v>1</v>
      </c>
      <c r="L1036" t="str">
        <f t="shared" si="64"/>
        <v>F1B114009</v>
      </c>
      <c r="M1036" t="str">
        <f t="shared" si="65"/>
        <v>DANA SELVIA HADISWARA</v>
      </c>
      <c r="O1036" t="str">
        <f t="shared" si="66"/>
        <v/>
      </c>
      <c r="P1036" t="str">
        <f t="shared" si="67"/>
        <v/>
      </c>
    </row>
    <row r="1037" spans="1:16">
      <c r="A1037" t="s">
        <v>159</v>
      </c>
      <c r="B1037" t="s">
        <v>160</v>
      </c>
      <c r="C1037" t="s">
        <v>179</v>
      </c>
      <c r="D1037" t="s">
        <v>180</v>
      </c>
      <c r="E1037">
        <v>20171</v>
      </c>
      <c r="F1037" t="s">
        <v>14</v>
      </c>
      <c r="G1037" t="s">
        <v>26</v>
      </c>
      <c r="H1037">
        <v>2</v>
      </c>
      <c r="I1037">
        <v>0</v>
      </c>
      <c r="J1037">
        <v>20201</v>
      </c>
      <c r="K1037">
        <f>COUNTIF('rEKAP kls MK'!$A$2:$A$35,Worksheet!C1037)</f>
        <v>1</v>
      </c>
      <c r="L1037" t="str">
        <f t="shared" si="64"/>
        <v>F1B114011</v>
      </c>
      <c r="M1037" t="str">
        <f t="shared" si="65"/>
        <v>ERWIN LINGGA SAPUTRA</v>
      </c>
      <c r="O1037" t="str">
        <f t="shared" si="66"/>
        <v/>
      </c>
      <c r="P1037" t="str">
        <f t="shared" si="67"/>
        <v/>
      </c>
    </row>
    <row r="1038" spans="1:16">
      <c r="A1038" t="s">
        <v>165</v>
      </c>
      <c r="B1038" t="s">
        <v>166</v>
      </c>
      <c r="C1038" t="s">
        <v>179</v>
      </c>
      <c r="D1038" t="s">
        <v>180</v>
      </c>
      <c r="E1038">
        <v>20171</v>
      </c>
      <c r="F1038" t="s">
        <v>14</v>
      </c>
      <c r="G1038" t="s">
        <v>23</v>
      </c>
      <c r="H1038">
        <v>2.5</v>
      </c>
      <c r="I1038">
        <v>0</v>
      </c>
      <c r="J1038">
        <v>20201</v>
      </c>
      <c r="K1038">
        <f>COUNTIF('rEKAP kls MK'!$A$2:$A$35,Worksheet!C1038)</f>
        <v>1</v>
      </c>
      <c r="L1038" t="str">
        <f t="shared" si="64"/>
        <v>F1B114022</v>
      </c>
      <c r="M1038" t="str">
        <f t="shared" si="65"/>
        <v>JUWITA ASRI</v>
      </c>
      <c r="O1038" t="str">
        <f t="shared" si="66"/>
        <v/>
      </c>
      <c r="P1038" t="str">
        <f t="shared" si="67"/>
        <v/>
      </c>
    </row>
    <row r="1039" spans="1:16">
      <c r="A1039" t="s">
        <v>54</v>
      </c>
      <c r="B1039" t="s">
        <v>55</v>
      </c>
      <c r="C1039" t="s">
        <v>179</v>
      </c>
      <c r="D1039" t="s">
        <v>180</v>
      </c>
      <c r="E1039">
        <v>20171</v>
      </c>
      <c r="F1039" t="s">
        <v>14</v>
      </c>
      <c r="G1039" t="s">
        <v>26</v>
      </c>
      <c r="H1039">
        <v>2</v>
      </c>
      <c r="I1039">
        <v>0</v>
      </c>
      <c r="J1039">
        <v>20201</v>
      </c>
      <c r="K1039">
        <f>COUNTIF('rEKAP kls MK'!$A$2:$A$35,Worksheet!C1039)</f>
        <v>1</v>
      </c>
      <c r="L1039" t="str">
        <f t="shared" si="64"/>
        <v>F1B114028</v>
      </c>
      <c r="M1039" t="str">
        <f t="shared" si="65"/>
        <v>MUHAMMAD HAJRUL MUZAQI</v>
      </c>
      <c r="O1039" t="str">
        <f t="shared" si="66"/>
        <v/>
      </c>
      <c r="P1039" t="str">
        <f t="shared" si="67"/>
        <v/>
      </c>
    </row>
    <row r="1040" spans="1:16">
      <c r="A1040" t="s">
        <v>181</v>
      </c>
      <c r="B1040" t="s">
        <v>182</v>
      </c>
      <c r="C1040" t="s">
        <v>179</v>
      </c>
      <c r="D1040" t="s">
        <v>180</v>
      </c>
      <c r="E1040">
        <v>20171</v>
      </c>
      <c r="F1040" t="s">
        <v>14</v>
      </c>
      <c r="G1040" t="s">
        <v>125</v>
      </c>
      <c r="H1040">
        <v>1</v>
      </c>
      <c r="I1040">
        <v>0</v>
      </c>
      <c r="J1040">
        <v>20201</v>
      </c>
      <c r="K1040">
        <f>COUNTIF('rEKAP kls MK'!$A$2:$A$35,Worksheet!C1040)</f>
        <v>1</v>
      </c>
      <c r="L1040" t="str">
        <f t="shared" si="64"/>
        <v>F1B115004</v>
      </c>
      <c r="M1040" t="str">
        <f t="shared" si="65"/>
        <v>ANDZAR QINTHARA</v>
      </c>
      <c r="O1040" t="str">
        <f t="shared" si="66"/>
        <v/>
      </c>
      <c r="P1040" t="str">
        <f t="shared" si="67"/>
        <v/>
      </c>
    </row>
    <row r="1041" spans="1:16">
      <c r="A1041" t="s">
        <v>183</v>
      </c>
      <c r="B1041" t="s">
        <v>184</v>
      </c>
      <c r="C1041" t="s">
        <v>179</v>
      </c>
      <c r="D1041" t="s">
        <v>180</v>
      </c>
      <c r="E1041">
        <v>20171</v>
      </c>
      <c r="F1041" t="s">
        <v>14</v>
      </c>
      <c r="G1041" t="s">
        <v>125</v>
      </c>
      <c r="H1041">
        <v>1</v>
      </c>
      <c r="I1041">
        <v>0</v>
      </c>
      <c r="J1041">
        <v>20201</v>
      </c>
      <c r="K1041">
        <f>COUNTIF('rEKAP kls MK'!$A$2:$A$35,Worksheet!C1041)</f>
        <v>1</v>
      </c>
      <c r="L1041" t="str">
        <f t="shared" si="64"/>
        <v>F1B115006</v>
      </c>
      <c r="M1041" t="str">
        <f t="shared" si="65"/>
        <v>Bagas Akbar Aznurinto</v>
      </c>
      <c r="O1041" t="str">
        <f t="shared" si="66"/>
        <v/>
      </c>
      <c r="P1041" t="str">
        <f t="shared" si="67"/>
        <v/>
      </c>
    </row>
    <row r="1042" spans="1:16">
      <c r="A1042" t="s">
        <v>185</v>
      </c>
      <c r="B1042" t="s">
        <v>186</v>
      </c>
      <c r="C1042" t="s">
        <v>179</v>
      </c>
      <c r="D1042" t="s">
        <v>180</v>
      </c>
      <c r="E1042">
        <v>20171</v>
      </c>
      <c r="F1042" t="s">
        <v>14</v>
      </c>
      <c r="G1042" t="s">
        <v>26</v>
      </c>
      <c r="H1042">
        <v>2</v>
      </c>
      <c r="I1042">
        <v>0</v>
      </c>
      <c r="J1042">
        <v>20201</v>
      </c>
      <c r="K1042">
        <f>COUNTIF('rEKAP kls MK'!$A$2:$A$35,Worksheet!C1042)</f>
        <v>1</v>
      </c>
      <c r="L1042" t="str">
        <f t="shared" si="64"/>
        <v>F1B115015</v>
      </c>
      <c r="M1042" t="str">
        <f t="shared" si="65"/>
        <v>ILMAN HIDAYAT</v>
      </c>
      <c r="O1042" t="str">
        <f t="shared" si="66"/>
        <v/>
      </c>
      <c r="P1042" t="str">
        <f t="shared" si="67"/>
        <v/>
      </c>
    </row>
    <row r="1043" spans="1:16">
      <c r="A1043" t="s">
        <v>187</v>
      </c>
      <c r="B1043" t="s">
        <v>188</v>
      </c>
      <c r="C1043" t="s">
        <v>179</v>
      </c>
      <c r="D1043" t="s">
        <v>180</v>
      </c>
      <c r="E1043">
        <v>20171</v>
      </c>
      <c r="F1043" t="s">
        <v>14</v>
      </c>
      <c r="G1043" t="s">
        <v>26</v>
      </c>
      <c r="H1043">
        <v>2</v>
      </c>
      <c r="I1043">
        <v>0</v>
      </c>
      <c r="J1043">
        <v>20201</v>
      </c>
      <c r="K1043">
        <f>COUNTIF('rEKAP kls MK'!$A$2:$A$35,Worksheet!C1043)</f>
        <v>1</v>
      </c>
      <c r="L1043" t="str">
        <f t="shared" si="64"/>
        <v>F1B115032</v>
      </c>
      <c r="M1043" t="str">
        <f t="shared" si="65"/>
        <v>Muhammad Rozziq Syaputra</v>
      </c>
      <c r="O1043" t="str">
        <f t="shared" si="66"/>
        <v/>
      </c>
      <c r="P1043" t="str">
        <f t="shared" si="67"/>
        <v/>
      </c>
    </row>
    <row r="1044" spans="1:16">
      <c r="A1044" t="s">
        <v>56</v>
      </c>
      <c r="B1044" t="s">
        <v>57</v>
      </c>
      <c r="C1044" t="s">
        <v>179</v>
      </c>
      <c r="D1044" t="s">
        <v>180</v>
      </c>
      <c r="E1044">
        <v>20171</v>
      </c>
      <c r="F1044" t="s">
        <v>14</v>
      </c>
      <c r="G1044" t="s">
        <v>23</v>
      </c>
      <c r="H1044">
        <v>2.5</v>
      </c>
      <c r="I1044">
        <v>0</v>
      </c>
      <c r="J1044">
        <v>20201</v>
      </c>
      <c r="K1044">
        <f>COUNTIF('rEKAP kls MK'!$A$2:$A$35,Worksheet!C1044)</f>
        <v>1</v>
      </c>
      <c r="L1044" t="str">
        <f t="shared" si="64"/>
        <v>F1B116001</v>
      </c>
      <c r="M1044" t="str">
        <f t="shared" si="65"/>
        <v>AHMAD MUHAJIR</v>
      </c>
      <c r="O1044" t="str">
        <f t="shared" si="66"/>
        <v/>
      </c>
      <c r="P1044" t="str">
        <f t="shared" si="67"/>
        <v/>
      </c>
    </row>
    <row r="1045" spans="1:16">
      <c r="A1045" t="s">
        <v>58</v>
      </c>
      <c r="B1045" t="s">
        <v>59</v>
      </c>
      <c r="C1045" t="s">
        <v>179</v>
      </c>
      <c r="D1045" t="s">
        <v>180</v>
      </c>
      <c r="E1045">
        <v>20171</v>
      </c>
      <c r="F1045" t="s">
        <v>14</v>
      </c>
      <c r="G1045" t="s">
        <v>26</v>
      </c>
      <c r="H1045">
        <v>2</v>
      </c>
      <c r="I1045">
        <v>0</v>
      </c>
      <c r="J1045">
        <v>20201</v>
      </c>
      <c r="K1045">
        <f>COUNTIF('rEKAP kls MK'!$A$2:$A$35,Worksheet!C1045)</f>
        <v>1</v>
      </c>
      <c r="L1045" t="str">
        <f t="shared" si="64"/>
        <v>F1B116003</v>
      </c>
      <c r="M1045" t="str">
        <f t="shared" si="65"/>
        <v>DONI PRANATA</v>
      </c>
      <c r="O1045" t="str">
        <f t="shared" si="66"/>
        <v/>
      </c>
      <c r="P1045" t="str">
        <f t="shared" si="67"/>
        <v/>
      </c>
    </row>
    <row r="1046" spans="1:16">
      <c r="A1046" t="s">
        <v>60</v>
      </c>
      <c r="B1046" t="s">
        <v>61</v>
      </c>
      <c r="C1046" t="s">
        <v>179</v>
      </c>
      <c r="D1046" t="s">
        <v>180</v>
      </c>
      <c r="E1046">
        <v>20171</v>
      </c>
      <c r="F1046" t="s">
        <v>14</v>
      </c>
      <c r="G1046" t="s">
        <v>23</v>
      </c>
      <c r="H1046">
        <v>2.5</v>
      </c>
      <c r="I1046">
        <v>0</v>
      </c>
      <c r="J1046">
        <v>20201</v>
      </c>
      <c r="K1046">
        <f>COUNTIF('rEKAP kls MK'!$A$2:$A$35,Worksheet!C1046)</f>
        <v>1</v>
      </c>
      <c r="L1046" t="str">
        <f t="shared" si="64"/>
        <v>F1B116005</v>
      </c>
      <c r="M1046" t="str">
        <f t="shared" si="65"/>
        <v>FENDY KURNIAWAN</v>
      </c>
      <c r="O1046" t="str">
        <f t="shared" si="66"/>
        <v/>
      </c>
      <c r="P1046" t="str">
        <f t="shared" si="67"/>
        <v/>
      </c>
    </row>
    <row r="1047" spans="1:16">
      <c r="A1047" t="s">
        <v>123</v>
      </c>
      <c r="B1047" t="s">
        <v>124</v>
      </c>
      <c r="C1047" t="s">
        <v>179</v>
      </c>
      <c r="D1047" t="s">
        <v>180</v>
      </c>
      <c r="E1047">
        <v>20171</v>
      </c>
      <c r="F1047" t="s">
        <v>14</v>
      </c>
      <c r="G1047" t="s">
        <v>23</v>
      </c>
      <c r="H1047">
        <v>2.5</v>
      </c>
      <c r="I1047">
        <v>0</v>
      </c>
      <c r="J1047">
        <v>20201</v>
      </c>
      <c r="K1047">
        <f>COUNTIF('rEKAP kls MK'!$A$2:$A$35,Worksheet!C1047)</f>
        <v>1</v>
      </c>
      <c r="L1047" t="str">
        <f t="shared" si="64"/>
        <v>F1B116007</v>
      </c>
      <c r="M1047" t="str">
        <f t="shared" si="65"/>
        <v>HARIS MUNANDAR</v>
      </c>
      <c r="O1047" t="str">
        <f t="shared" si="66"/>
        <v/>
      </c>
      <c r="P1047" t="str">
        <f t="shared" si="67"/>
        <v/>
      </c>
    </row>
    <row r="1048" spans="1:16">
      <c r="A1048" t="s">
        <v>64</v>
      </c>
      <c r="B1048" t="s">
        <v>65</v>
      </c>
      <c r="C1048" t="s">
        <v>179</v>
      </c>
      <c r="D1048" t="s">
        <v>180</v>
      </c>
      <c r="E1048">
        <v>20171</v>
      </c>
      <c r="F1048" t="s">
        <v>14</v>
      </c>
      <c r="G1048" t="s">
        <v>23</v>
      </c>
      <c r="H1048">
        <v>2.5</v>
      </c>
      <c r="I1048">
        <v>0</v>
      </c>
      <c r="J1048">
        <v>20201</v>
      </c>
      <c r="K1048">
        <f>COUNTIF('rEKAP kls MK'!$A$2:$A$35,Worksheet!C1048)</f>
        <v>1</v>
      </c>
      <c r="L1048" t="str">
        <f t="shared" si="64"/>
        <v>F1B116008</v>
      </c>
      <c r="M1048" t="str">
        <f t="shared" si="65"/>
        <v>Harjo Sumitro</v>
      </c>
      <c r="O1048" t="str">
        <f t="shared" si="66"/>
        <v/>
      </c>
      <c r="P1048" t="str">
        <f t="shared" si="67"/>
        <v/>
      </c>
    </row>
    <row r="1049" spans="1:16">
      <c r="A1049" t="s">
        <v>66</v>
      </c>
      <c r="B1049" t="s">
        <v>67</v>
      </c>
      <c r="C1049" t="s">
        <v>179</v>
      </c>
      <c r="D1049" t="s">
        <v>180</v>
      </c>
      <c r="E1049">
        <v>20171</v>
      </c>
      <c r="F1049" t="s">
        <v>14</v>
      </c>
      <c r="G1049" t="s">
        <v>82</v>
      </c>
      <c r="H1049">
        <v>4</v>
      </c>
      <c r="I1049">
        <v>0</v>
      </c>
      <c r="J1049">
        <v>20201</v>
      </c>
      <c r="K1049">
        <f>COUNTIF('rEKAP kls MK'!$A$2:$A$35,Worksheet!C1049)</f>
        <v>1</v>
      </c>
      <c r="L1049" t="str">
        <f t="shared" si="64"/>
        <v>F1B116009</v>
      </c>
      <c r="M1049" t="str">
        <f t="shared" si="65"/>
        <v>HASAN BASRI</v>
      </c>
      <c r="O1049" t="str">
        <f t="shared" si="66"/>
        <v/>
      </c>
      <c r="P1049" t="str">
        <f t="shared" si="67"/>
        <v/>
      </c>
    </row>
    <row r="1050" spans="1:16">
      <c r="A1050" t="s">
        <v>68</v>
      </c>
      <c r="B1050" t="s">
        <v>69</v>
      </c>
      <c r="C1050" t="s">
        <v>179</v>
      </c>
      <c r="D1050" t="s">
        <v>180</v>
      </c>
      <c r="E1050">
        <v>20171</v>
      </c>
      <c r="F1050" t="s">
        <v>14</v>
      </c>
      <c r="G1050" t="s">
        <v>51</v>
      </c>
      <c r="H1050">
        <v>3.5</v>
      </c>
      <c r="I1050">
        <v>0</v>
      </c>
      <c r="J1050">
        <v>20201</v>
      </c>
      <c r="K1050">
        <f>COUNTIF('rEKAP kls MK'!$A$2:$A$35,Worksheet!C1050)</f>
        <v>1</v>
      </c>
      <c r="L1050" t="str">
        <f t="shared" si="64"/>
        <v>F1B116010</v>
      </c>
      <c r="M1050" t="str">
        <f t="shared" si="65"/>
        <v>Ihsan Syaputro</v>
      </c>
      <c r="O1050" t="str">
        <f t="shared" si="66"/>
        <v/>
      </c>
      <c r="P1050" t="str">
        <f t="shared" si="67"/>
        <v/>
      </c>
    </row>
    <row r="1051" spans="1:16">
      <c r="A1051" t="s">
        <v>70</v>
      </c>
      <c r="B1051" t="s">
        <v>71</v>
      </c>
      <c r="C1051" t="s">
        <v>179</v>
      </c>
      <c r="D1051" t="s">
        <v>180</v>
      </c>
      <c r="E1051">
        <v>20171</v>
      </c>
      <c r="F1051" t="s">
        <v>14</v>
      </c>
      <c r="G1051" t="s">
        <v>26</v>
      </c>
      <c r="H1051">
        <v>2</v>
      </c>
      <c r="I1051">
        <v>0</v>
      </c>
      <c r="J1051">
        <v>20201</v>
      </c>
      <c r="K1051">
        <f>COUNTIF('rEKAP kls MK'!$A$2:$A$35,Worksheet!C1051)</f>
        <v>1</v>
      </c>
      <c r="L1051" t="str">
        <f t="shared" si="64"/>
        <v>F1B116012</v>
      </c>
      <c r="M1051" t="str">
        <f t="shared" si="65"/>
        <v>JEMMY FEBRY SUMANDA</v>
      </c>
      <c r="O1051" t="str">
        <f t="shared" si="66"/>
        <v/>
      </c>
      <c r="P1051" t="str">
        <f t="shared" si="67"/>
        <v/>
      </c>
    </row>
    <row r="1052" spans="1:16">
      <c r="A1052" t="s">
        <v>72</v>
      </c>
      <c r="B1052" t="s">
        <v>73</v>
      </c>
      <c r="C1052" t="s">
        <v>179</v>
      </c>
      <c r="D1052" t="s">
        <v>180</v>
      </c>
      <c r="E1052">
        <v>20171</v>
      </c>
      <c r="F1052" t="s">
        <v>14</v>
      </c>
      <c r="G1052" t="s">
        <v>23</v>
      </c>
      <c r="H1052">
        <v>2.5</v>
      </c>
      <c r="I1052">
        <v>0</v>
      </c>
      <c r="J1052">
        <v>20201</v>
      </c>
      <c r="K1052">
        <f>COUNTIF('rEKAP kls MK'!$A$2:$A$35,Worksheet!C1052)</f>
        <v>1</v>
      </c>
      <c r="L1052" t="str">
        <f t="shared" si="64"/>
        <v>F1B116014</v>
      </c>
      <c r="M1052" t="str">
        <f t="shared" si="65"/>
        <v>LALU ARIF TASIBANA</v>
      </c>
      <c r="O1052" t="str">
        <f t="shared" si="66"/>
        <v/>
      </c>
      <c r="P1052" t="str">
        <f t="shared" si="67"/>
        <v/>
      </c>
    </row>
    <row r="1053" spans="1:16">
      <c r="A1053" t="s">
        <v>74</v>
      </c>
      <c r="B1053" t="s">
        <v>75</v>
      </c>
      <c r="C1053" t="s">
        <v>179</v>
      </c>
      <c r="D1053" t="s">
        <v>180</v>
      </c>
      <c r="E1053">
        <v>20171</v>
      </c>
      <c r="F1053" t="s">
        <v>14</v>
      </c>
      <c r="G1053" t="s">
        <v>26</v>
      </c>
      <c r="H1053">
        <v>2</v>
      </c>
      <c r="I1053">
        <v>0</v>
      </c>
      <c r="J1053">
        <v>20201</v>
      </c>
      <c r="K1053">
        <f>COUNTIF('rEKAP kls MK'!$A$2:$A$35,Worksheet!C1053)</f>
        <v>1</v>
      </c>
      <c r="L1053" t="str">
        <f t="shared" si="64"/>
        <v>F1B116015</v>
      </c>
      <c r="M1053" t="str">
        <f t="shared" si="65"/>
        <v>LALU MAHSAR KHAIRUDI</v>
      </c>
      <c r="O1053" t="str">
        <f t="shared" si="66"/>
        <v/>
      </c>
      <c r="P1053" t="str">
        <f t="shared" si="67"/>
        <v/>
      </c>
    </row>
    <row r="1054" spans="1:16">
      <c r="A1054" t="s">
        <v>76</v>
      </c>
      <c r="B1054" t="s">
        <v>77</v>
      </c>
      <c r="C1054" t="s">
        <v>179</v>
      </c>
      <c r="D1054" t="s">
        <v>180</v>
      </c>
      <c r="E1054">
        <v>20171</v>
      </c>
      <c r="F1054" t="s">
        <v>14</v>
      </c>
      <c r="G1054" t="s">
        <v>23</v>
      </c>
      <c r="H1054">
        <v>2.5</v>
      </c>
      <c r="I1054">
        <v>0</v>
      </c>
      <c r="J1054">
        <v>20201</v>
      </c>
      <c r="K1054">
        <f>COUNTIF('rEKAP kls MK'!$A$2:$A$35,Worksheet!C1054)</f>
        <v>1</v>
      </c>
      <c r="L1054" t="str">
        <f t="shared" si="64"/>
        <v>F1B116016</v>
      </c>
      <c r="M1054" t="str">
        <f t="shared" si="65"/>
        <v>LALU MOHAMAD FAESAL RAHMAN</v>
      </c>
      <c r="O1054" t="str">
        <f t="shared" si="66"/>
        <v/>
      </c>
      <c r="P1054" t="str">
        <f t="shared" si="67"/>
        <v/>
      </c>
    </row>
    <row r="1055" spans="1:16">
      <c r="A1055" t="s">
        <v>126</v>
      </c>
      <c r="B1055" t="s">
        <v>127</v>
      </c>
      <c r="C1055" t="s">
        <v>179</v>
      </c>
      <c r="D1055" t="s">
        <v>180</v>
      </c>
      <c r="E1055">
        <v>20171</v>
      </c>
      <c r="F1055" t="s">
        <v>14</v>
      </c>
      <c r="G1055" t="s">
        <v>26</v>
      </c>
      <c r="H1055">
        <v>2</v>
      </c>
      <c r="I1055">
        <v>0</v>
      </c>
      <c r="J1055">
        <v>20201</v>
      </c>
      <c r="K1055">
        <f>COUNTIF('rEKAP kls MK'!$A$2:$A$35,Worksheet!C1055)</f>
        <v>1</v>
      </c>
      <c r="L1055" t="str">
        <f t="shared" si="64"/>
        <v>F1B116017</v>
      </c>
      <c r="M1055" t="str">
        <f t="shared" si="65"/>
        <v xml:space="preserve">MAULANA ADI PRASETIO </v>
      </c>
      <c r="O1055" t="str">
        <f t="shared" si="66"/>
        <v/>
      </c>
      <c r="P1055" t="str">
        <f t="shared" si="67"/>
        <v/>
      </c>
    </row>
    <row r="1056" spans="1:16">
      <c r="A1056" t="s">
        <v>128</v>
      </c>
      <c r="B1056" t="s">
        <v>129</v>
      </c>
      <c r="C1056" t="s">
        <v>179</v>
      </c>
      <c r="D1056" t="s">
        <v>180</v>
      </c>
      <c r="E1056">
        <v>20171</v>
      </c>
      <c r="F1056" t="s">
        <v>14</v>
      </c>
      <c r="G1056" t="s">
        <v>23</v>
      </c>
      <c r="H1056">
        <v>2.5</v>
      </c>
      <c r="I1056">
        <v>0</v>
      </c>
      <c r="J1056">
        <v>20201</v>
      </c>
      <c r="K1056">
        <f>COUNTIF('rEKAP kls MK'!$A$2:$A$35,Worksheet!C1056)</f>
        <v>1</v>
      </c>
      <c r="L1056" t="str">
        <f t="shared" si="64"/>
        <v>F1B116020</v>
      </c>
      <c r="M1056" t="str">
        <f t="shared" si="65"/>
        <v>Muhammad Zarrin Al Mansyury</v>
      </c>
      <c r="O1056" t="str">
        <f t="shared" si="66"/>
        <v/>
      </c>
      <c r="P1056" t="str">
        <f t="shared" si="67"/>
        <v/>
      </c>
    </row>
    <row r="1057" spans="1:16">
      <c r="A1057" t="s">
        <v>78</v>
      </c>
      <c r="B1057" t="s">
        <v>79</v>
      </c>
      <c r="C1057" t="s">
        <v>179</v>
      </c>
      <c r="D1057" t="s">
        <v>180</v>
      </c>
      <c r="E1057">
        <v>20171</v>
      </c>
      <c r="F1057" t="s">
        <v>14</v>
      </c>
      <c r="G1057" t="s">
        <v>116</v>
      </c>
      <c r="H1057">
        <v>1.5</v>
      </c>
      <c r="I1057">
        <v>0</v>
      </c>
      <c r="J1057">
        <v>20201</v>
      </c>
      <c r="K1057">
        <f>COUNTIF('rEKAP kls MK'!$A$2:$A$35,Worksheet!C1057)</f>
        <v>1</v>
      </c>
      <c r="L1057" t="str">
        <f t="shared" si="64"/>
        <v>F1B116021</v>
      </c>
      <c r="M1057" t="str">
        <f t="shared" si="65"/>
        <v>NELIN AYU NIRWANA</v>
      </c>
      <c r="O1057" t="str">
        <f t="shared" si="66"/>
        <v/>
      </c>
      <c r="P1057" t="str">
        <f t="shared" si="67"/>
        <v/>
      </c>
    </row>
    <row r="1058" spans="1:16">
      <c r="A1058" t="s">
        <v>80</v>
      </c>
      <c r="B1058" t="s">
        <v>81</v>
      </c>
      <c r="C1058" t="s">
        <v>179</v>
      </c>
      <c r="D1058" t="s">
        <v>180</v>
      </c>
      <c r="E1058">
        <v>20171</v>
      </c>
      <c r="F1058" t="s">
        <v>14</v>
      </c>
      <c r="G1058" t="s">
        <v>51</v>
      </c>
      <c r="H1058">
        <v>3.5</v>
      </c>
      <c r="I1058">
        <v>0</v>
      </c>
      <c r="J1058">
        <v>20201</v>
      </c>
      <c r="K1058">
        <f>COUNTIF('rEKAP kls MK'!$A$2:$A$35,Worksheet!C1058)</f>
        <v>1</v>
      </c>
      <c r="L1058" t="str">
        <f t="shared" si="64"/>
        <v>F1B116022</v>
      </c>
      <c r="M1058" t="str">
        <f t="shared" si="65"/>
        <v>NOVA HENDRI KURNIAWAN</v>
      </c>
      <c r="O1058" t="str">
        <f t="shared" si="66"/>
        <v/>
      </c>
      <c r="P1058" t="str">
        <f t="shared" si="67"/>
        <v/>
      </c>
    </row>
    <row r="1059" spans="1:16">
      <c r="A1059" t="s">
        <v>83</v>
      </c>
      <c r="B1059" t="s">
        <v>84</v>
      </c>
      <c r="C1059" t="s">
        <v>179</v>
      </c>
      <c r="D1059" t="s">
        <v>180</v>
      </c>
      <c r="E1059">
        <v>20171</v>
      </c>
      <c r="F1059" t="s">
        <v>14</v>
      </c>
      <c r="G1059" t="s">
        <v>26</v>
      </c>
      <c r="H1059">
        <v>2</v>
      </c>
      <c r="I1059">
        <v>0</v>
      </c>
      <c r="J1059">
        <v>20201</v>
      </c>
      <c r="K1059">
        <f>COUNTIF('rEKAP kls MK'!$A$2:$A$35,Worksheet!C1059)</f>
        <v>1</v>
      </c>
      <c r="L1059" t="str">
        <f t="shared" si="64"/>
        <v>F1B116024</v>
      </c>
      <c r="M1059" t="str">
        <f t="shared" si="65"/>
        <v>RENA RAMDINAWATI</v>
      </c>
      <c r="O1059" t="str">
        <f t="shared" si="66"/>
        <v/>
      </c>
      <c r="P1059" t="str">
        <f t="shared" si="67"/>
        <v/>
      </c>
    </row>
    <row r="1060" spans="1:16">
      <c r="A1060" t="s">
        <v>85</v>
      </c>
      <c r="B1060" t="s">
        <v>86</v>
      </c>
      <c r="C1060" t="s">
        <v>179</v>
      </c>
      <c r="D1060" t="s">
        <v>180</v>
      </c>
      <c r="E1060">
        <v>20171</v>
      </c>
      <c r="F1060" t="s">
        <v>14</v>
      </c>
      <c r="G1060" t="s">
        <v>23</v>
      </c>
      <c r="H1060">
        <v>2.5</v>
      </c>
      <c r="I1060">
        <v>0</v>
      </c>
      <c r="J1060">
        <v>20201</v>
      </c>
      <c r="K1060">
        <f>COUNTIF('rEKAP kls MK'!$A$2:$A$35,Worksheet!C1060)</f>
        <v>1</v>
      </c>
      <c r="L1060" t="str">
        <f t="shared" si="64"/>
        <v>F1B116025</v>
      </c>
      <c r="M1060" t="str">
        <f t="shared" si="65"/>
        <v>RISMAN ALFIAN LUTHFI</v>
      </c>
      <c r="O1060" t="str">
        <f t="shared" si="66"/>
        <v/>
      </c>
      <c r="P1060" t="str">
        <f t="shared" si="67"/>
        <v/>
      </c>
    </row>
    <row r="1061" spans="1:16">
      <c r="A1061" t="s">
        <v>87</v>
      </c>
      <c r="B1061" t="s">
        <v>88</v>
      </c>
      <c r="C1061" t="s">
        <v>179</v>
      </c>
      <c r="D1061" t="s">
        <v>180</v>
      </c>
      <c r="E1061">
        <v>20171</v>
      </c>
      <c r="F1061" t="s">
        <v>14</v>
      </c>
      <c r="G1061" t="s">
        <v>26</v>
      </c>
      <c r="H1061">
        <v>2</v>
      </c>
      <c r="I1061">
        <v>0</v>
      </c>
      <c r="J1061">
        <v>20201</v>
      </c>
      <c r="K1061">
        <f>COUNTIF('rEKAP kls MK'!$A$2:$A$35,Worksheet!C1061)</f>
        <v>1</v>
      </c>
      <c r="L1061" t="str">
        <f t="shared" si="64"/>
        <v>F1B116027</v>
      </c>
      <c r="M1061" t="str">
        <f t="shared" si="65"/>
        <v>ROYHAN ADEKA SAPUTRA</v>
      </c>
      <c r="O1061" t="str">
        <f t="shared" si="66"/>
        <v/>
      </c>
      <c r="P1061" t="str">
        <f t="shared" si="67"/>
        <v/>
      </c>
    </row>
    <row r="1062" spans="1:16">
      <c r="A1062" t="s">
        <v>89</v>
      </c>
      <c r="B1062" t="s">
        <v>90</v>
      </c>
      <c r="C1062" t="s">
        <v>179</v>
      </c>
      <c r="D1062" t="s">
        <v>180</v>
      </c>
      <c r="E1062">
        <v>20171</v>
      </c>
      <c r="F1062" t="s">
        <v>14</v>
      </c>
      <c r="G1062" t="s">
        <v>23</v>
      </c>
      <c r="H1062">
        <v>2.5</v>
      </c>
      <c r="I1062">
        <v>0</v>
      </c>
      <c r="J1062">
        <v>20201</v>
      </c>
      <c r="K1062">
        <f>COUNTIF('rEKAP kls MK'!$A$2:$A$35,Worksheet!C1062)</f>
        <v>1</v>
      </c>
      <c r="L1062" t="str">
        <f t="shared" si="64"/>
        <v>F1B116029</v>
      </c>
      <c r="M1062" t="str">
        <f t="shared" si="65"/>
        <v>TAUFIK ZUBAIDILLAH</v>
      </c>
      <c r="O1062" t="str">
        <f t="shared" si="66"/>
        <v/>
      </c>
      <c r="P1062" t="str">
        <f t="shared" si="67"/>
        <v/>
      </c>
    </row>
    <row r="1063" spans="1:16">
      <c r="A1063" t="s">
        <v>91</v>
      </c>
      <c r="B1063" t="s">
        <v>92</v>
      </c>
      <c r="C1063" t="s">
        <v>179</v>
      </c>
      <c r="D1063" t="s">
        <v>180</v>
      </c>
      <c r="E1063">
        <v>20171</v>
      </c>
      <c r="F1063" t="s">
        <v>14</v>
      </c>
      <c r="G1063" t="s">
        <v>23</v>
      </c>
      <c r="H1063">
        <v>2.5</v>
      </c>
      <c r="I1063">
        <v>0</v>
      </c>
      <c r="J1063">
        <v>20201</v>
      </c>
      <c r="K1063">
        <f>COUNTIF('rEKAP kls MK'!$A$2:$A$35,Worksheet!C1063)</f>
        <v>1</v>
      </c>
      <c r="L1063" t="str">
        <f t="shared" si="64"/>
        <v>F1B116030</v>
      </c>
      <c r="M1063" t="str">
        <f t="shared" si="65"/>
        <v>Yanuardi</v>
      </c>
      <c r="O1063" t="str">
        <f t="shared" si="66"/>
        <v/>
      </c>
      <c r="P1063" t="str">
        <f t="shared" si="67"/>
        <v/>
      </c>
    </row>
    <row r="1064" spans="1:16">
      <c r="A1064" t="s">
        <v>93</v>
      </c>
      <c r="B1064" t="s">
        <v>94</v>
      </c>
      <c r="C1064" t="s">
        <v>179</v>
      </c>
      <c r="D1064" t="s">
        <v>180</v>
      </c>
      <c r="E1064">
        <v>20171</v>
      </c>
      <c r="F1064" t="s">
        <v>14</v>
      </c>
      <c r="G1064" t="s">
        <v>51</v>
      </c>
      <c r="H1064">
        <v>3.5</v>
      </c>
      <c r="I1064">
        <v>0</v>
      </c>
      <c r="J1064">
        <v>20201</v>
      </c>
      <c r="K1064">
        <f>COUNTIF('rEKAP kls MK'!$A$2:$A$35,Worksheet!C1064)</f>
        <v>1</v>
      </c>
      <c r="L1064" t="str">
        <f t="shared" si="64"/>
        <v>F1B116032</v>
      </c>
      <c r="M1064" t="str">
        <f t="shared" si="65"/>
        <v>Yuma</v>
      </c>
      <c r="O1064" t="str">
        <f t="shared" si="66"/>
        <v/>
      </c>
      <c r="P1064" t="str">
        <f t="shared" si="67"/>
        <v/>
      </c>
    </row>
    <row r="1065" spans="1:16">
      <c r="A1065" t="s">
        <v>95</v>
      </c>
      <c r="B1065" t="s">
        <v>96</v>
      </c>
      <c r="C1065" t="s">
        <v>179</v>
      </c>
      <c r="D1065" t="s">
        <v>180</v>
      </c>
      <c r="E1065">
        <v>20171</v>
      </c>
      <c r="F1065" t="s">
        <v>14</v>
      </c>
      <c r="G1065" t="s">
        <v>51</v>
      </c>
      <c r="H1065">
        <v>3.5</v>
      </c>
      <c r="I1065">
        <v>0</v>
      </c>
      <c r="J1065">
        <v>20201</v>
      </c>
      <c r="K1065">
        <f>COUNTIF('rEKAP kls MK'!$A$2:$A$35,Worksheet!C1065)</f>
        <v>1</v>
      </c>
      <c r="L1065" t="str">
        <f t="shared" si="64"/>
        <v>F1B116033</v>
      </c>
      <c r="M1065" t="str">
        <f t="shared" si="65"/>
        <v>Yusril Bagas Sevyanto</v>
      </c>
      <c r="O1065" t="str">
        <f t="shared" si="66"/>
        <v/>
      </c>
      <c r="P1065" t="str">
        <f t="shared" si="67"/>
        <v/>
      </c>
    </row>
    <row r="1066" spans="1:16">
      <c r="A1066" t="s">
        <v>130</v>
      </c>
      <c r="B1066" t="s">
        <v>131</v>
      </c>
      <c r="C1066" t="s">
        <v>179</v>
      </c>
      <c r="D1066" t="s">
        <v>180</v>
      </c>
      <c r="E1066">
        <v>20171</v>
      </c>
      <c r="F1066" t="s">
        <v>14</v>
      </c>
      <c r="G1066" t="s">
        <v>18</v>
      </c>
      <c r="H1066">
        <v>3</v>
      </c>
      <c r="I1066">
        <v>0</v>
      </c>
      <c r="J1066">
        <v>20201</v>
      </c>
      <c r="K1066">
        <f>COUNTIF('rEKAP kls MK'!$A$2:$A$35,Worksheet!C1066)</f>
        <v>1</v>
      </c>
      <c r="L1066" t="str">
        <f t="shared" si="64"/>
        <v>F1B116034</v>
      </c>
      <c r="M1066" t="str">
        <f t="shared" si="65"/>
        <v>YUSRON ALIF SETIAWAN</v>
      </c>
      <c r="O1066" t="str">
        <f t="shared" si="66"/>
        <v/>
      </c>
      <c r="P1066" t="str">
        <f t="shared" si="67"/>
        <v/>
      </c>
    </row>
    <row r="1067" spans="1:16">
      <c r="A1067" t="s">
        <v>207</v>
      </c>
      <c r="B1067" t="s">
        <v>208</v>
      </c>
      <c r="C1067" t="s">
        <v>392</v>
      </c>
      <c r="D1067" t="s">
        <v>393</v>
      </c>
      <c r="E1067">
        <v>20171</v>
      </c>
      <c r="F1067" t="s">
        <v>14</v>
      </c>
      <c r="G1067" t="s">
        <v>23</v>
      </c>
      <c r="H1067">
        <v>2.5</v>
      </c>
      <c r="I1067">
        <v>0</v>
      </c>
      <c r="J1067">
        <v>20201</v>
      </c>
      <c r="K1067">
        <f>COUNTIF('rEKAP kls MK'!$A$2:$A$35,Worksheet!C1067)</f>
        <v>1</v>
      </c>
      <c r="L1067" t="str">
        <f t="shared" si="64"/>
        <v>F1B112051</v>
      </c>
      <c r="M1067" t="str">
        <f t="shared" si="65"/>
        <v>Teguh Agamawan Putra</v>
      </c>
      <c r="O1067" t="str">
        <f t="shared" si="66"/>
        <v>REKAYASA PERANGKAT LUNAK</v>
      </c>
      <c r="P1067" t="str">
        <f t="shared" si="67"/>
        <v/>
      </c>
    </row>
    <row r="1068" spans="1:16">
      <c r="A1068" t="s">
        <v>181</v>
      </c>
      <c r="B1068" t="s">
        <v>182</v>
      </c>
      <c r="C1068" t="s">
        <v>392</v>
      </c>
      <c r="D1068" t="s">
        <v>393</v>
      </c>
      <c r="E1068">
        <v>20171</v>
      </c>
      <c r="F1068" t="s">
        <v>14</v>
      </c>
      <c r="G1068" t="s">
        <v>26</v>
      </c>
      <c r="H1068">
        <v>2</v>
      </c>
      <c r="I1068">
        <v>0</v>
      </c>
      <c r="J1068">
        <v>20201</v>
      </c>
      <c r="K1068">
        <f>COUNTIF('rEKAP kls MK'!$A$2:$A$35,Worksheet!C1068)</f>
        <v>1</v>
      </c>
      <c r="L1068" t="str">
        <f t="shared" si="64"/>
        <v>F1B115004</v>
      </c>
      <c r="M1068" t="str">
        <f t="shared" si="65"/>
        <v>ANDZAR QINTHARA</v>
      </c>
      <c r="O1068" t="str">
        <f t="shared" si="66"/>
        <v/>
      </c>
      <c r="P1068" t="str">
        <f t="shared" si="67"/>
        <v/>
      </c>
    </row>
    <row r="1069" spans="1:16">
      <c r="A1069" t="s">
        <v>209</v>
      </c>
      <c r="B1069" t="s">
        <v>210</v>
      </c>
      <c r="C1069" t="s">
        <v>392</v>
      </c>
      <c r="D1069" t="s">
        <v>393</v>
      </c>
      <c r="E1069">
        <v>20171</v>
      </c>
      <c r="F1069" t="s">
        <v>14</v>
      </c>
      <c r="G1069" t="s">
        <v>26</v>
      </c>
      <c r="H1069">
        <v>2</v>
      </c>
      <c r="I1069">
        <v>0</v>
      </c>
      <c r="J1069">
        <v>20201</v>
      </c>
      <c r="K1069">
        <f>COUNTIF('rEKAP kls MK'!$A$2:$A$35,Worksheet!C1069)</f>
        <v>1</v>
      </c>
      <c r="L1069" t="str">
        <f t="shared" si="64"/>
        <v>F1B115005</v>
      </c>
      <c r="M1069" t="str">
        <f t="shared" si="65"/>
        <v>ANWAR SAPI I</v>
      </c>
      <c r="O1069" t="str">
        <f t="shared" si="66"/>
        <v/>
      </c>
      <c r="P1069" t="str">
        <f t="shared" si="67"/>
        <v/>
      </c>
    </row>
    <row r="1070" spans="1:16">
      <c r="A1070" t="s">
        <v>183</v>
      </c>
      <c r="B1070" t="s">
        <v>184</v>
      </c>
      <c r="C1070" t="s">
        <v>392</v>
      </c>
      <c r="D1070" t="s">
        <v>393</v>
      </c>
      <c r="E1070">
        <v>20171</v>
      </c>
      <c r="F1070" t="s">
        <v>14</v>
      </c>
      <c r="G1070" t="s">
        <v>125</v>
      </c>
      <c r="H1070">
        <v>1</v>
      </c>
      <c r="I1070">
        <v>0</v>
      </c>
      <c r="J1070">
        <v>20201</v>
      </c>
      <c r="K1070">
        <f>COUNTIF('rEKAP kls MK'!$A$2:$A$35,Worksheet!C1070)</f>
        <v>1</v>
      </c>
      <c r="L1070" t="str">
        <f t="shared" si="64"/>
        <v>F1B115006</v>
      </c>
      <c r="M1070" t="str">
        <f t="shared" si="65"/>
        <v>Bagas Akbar Aznurinto</v>
      </c>
      <c r="O1070" t="str">
        <f t="shared" si="66"/>
        <v/>
      </c>
      <c r="P1070" t="str">
        <f t="shared" si="67"/>
        <v/>
      </c>
    </row>
    <row r="1071" spans="1:16">
      <c r="A1071" t="s">
        <v>211</v>
      </c>
      <c r="B1071" t="s">
        <v>212</v>
      </c>
      <c r="C1071" t="s">
        <v>392</v>
      </c>
      <c r="D1071" t="s">
        <v>393</v>
      </c>
      <c r="E1071">
        <v>20171</v>
      </c>
      <c r="F1071" t="s">
        <v>14</v>
      </c>
      <c r="G1071" t="s">
        <v>101</v>
      </c>
      <c r="H1071">
        <v>0</v>
      </c>
      <c r="I1071">
        <v>0</v>
      </c>
      <c r="J1071">
        <v>20201</v>
      </c>
      <c r="K1071">
        <f>COUNTIF('rEKAP kls MK'!$A$2:$A$35,Worksheet!C1071)</f>
        <v>1</v>
      </c>
      <c r="L1071" t="str">
        <f t="shared" si="64"/>
        <v>F1B115007</v>
      </c>
      <c r="M1071" t="str">
        <f t="shared" si="65"/>
        <v>BAIHAKI</v>
      </c>
      <c r="O1071" t="str">
        <f t="shared" si="66"/>
        <v/>
      </c>
      <c r="P1071" t="str">
        <f t="shared" si="67"/>
        <v/>
      </c>
    </row>
    <row r="1072" spans="1:16">
      <c r="A1072" t="s">
        <v>237</v>
      </c>
      <c r="B1072" t="s">
        <v>238</v>
      </c>
      <c r="C1072" t="s">
        <v>392</v>
      </c>
      <c r="D1072" t="s">
        <v>393</v>
      </c>
      <c r="E1072">
        <v>20171</v>
      </c>
      <c r="F1072" t="s">
        <v>14</v>
      </c>
      <c r="G1072" t="s">
        <v>116</v>
      </c>
      <c r="H1072">
        <v>1.5</v>
      </c>
      <c r="I1072">
        <v>0</v>
      </c>
      <c r="J1072">
        <v>20201</v>
      </c>
      <c r="K1072">
        <f>COUNTIF('rEKAP kls MK'!$A$2:$A$35,Worksheet!C1072)</f>
        <v>1</v>
      </c>
      <c r="L1072" t="str">
        <f t="shared" si="64"/>
        <v>F1B115012</v>
      </c>
      <c r="M1072" t="str">
        <f t="shared" si="65"/>
        <v>HARZA WISNU SAPUTRA</v>
      </c>
      <c r="O1072" t="str">
        <f t="shared" si="66"/>
        <v/>
      </c>
      <c r="P1072" t="str">
        <f t="shared" si="67"/>
        <v/>
      </c>
    </row>
    <row r="1073" spans="1:16">
      <c r="A1073" t="s">
        <v>215</v>
      </c>
      <c r="B1073" t="s">
        <v>216</v>
      </c>
      <c r="C1073" t="s">
        <v>392</v>
      </c>
      <c r="D1073" t="s">
        <v>393</v>
      </c>
      <c r="E1073">
        <v>20171</v>
      </c>
      <c r="F1073" t="s">
        <v>14</v>
      </c>
      <c r="G1073" t="s">
        <v>116</v>
      </c>
      <c r="H1073">
        <v>1.5</v>
      </c>
      <c r="I1073">
        <v>0</v>
      </c>
      <c r="J1073">
        <v>20201</v>
      </c>
      <c r="K1073">
        <f>COUNTIF('rEKAP kls MK'!$A$2:$A$35,Worksheet!C1073)</f>
        <v>1</v>
      </c>
      <c r="L1073" t="str">
        <f t="shared" si="64"/>
        <v>F1B115014</v>
      </c>
      <c r="M1073" t="str">
        <f t="shared" si="65"/>
        <v>ILHAMUDDIN</v>
      </c>
      <c r="O1073" t="str">
        <f t="shared" si="66"/>
        <v/>
      </c>
      <c r="P1073" t="str">
        <f t="shared" si="67"/>
        <v/>
      </c>
    </row>
    <row r="1074" spans="1:16">
      <c r="A1074" t="s">
        <v>185</v>
      </c>
      <c r="B1074" t="s">
        <v>186</v>
      </c>
      <c r="C1074" t="s">
        <v>392</v>
      </c>
      <c r="D1074" t="s">
        <v>393</v>
      </c>
      <c r="E1074">
        <v>20171</v>
      </c>
      <c r="F1074" t="s">
        <v>14</v>
      </c>
      <c r="G1074" t="s">
        <v>26</v>
      </c>
      <c r="H1074">
        <v>2</v>
      </c>
      <c r="I1074">
        <v>0</v>
      </c>
      <c r="J1074">
        <v>20201</v>
      </c>
      <c r="K1074">
        <f>COUNTIF('rEKAP kls MK'!$A$2:$A$35,Worksheet!C1074)</f>
        <v>1</v>
      </c>
      <c r="L1074" t="str">
        <f t="shared" si="64"/>
        <v>F1B115015</v>
      </c>
      <c r="M1074" t="str">
        <f t="shared" si="65"/>
        <v>ILMAN HIDAYAT</v>
      </c>
      <c r="O1074" t="str">
        <f t="shared" si="66"/>
        <v/>
      </c>
      <c r="P1074" t="str">
        <f t="shared" si="67"/>
        <v/>
      </c>
    </row>
    <row r="1075" spans="1:16">
      <c r="A1075" t="s">
        <v>217</v>
      </c>
      <c r="B1075" t="s">
        <v>218</v>
      </c>
      <c r="C1075" t="s">
        <v>392</v>
      </c>
      <c r="D1075" t="s">
        <v>393</v>
      </c>
      <c r="E1075">
        <v>20171</v>
      </c>
      <c r="F1075" t="s">
        <v>14</v>
      </c>
      <c r="G1075" t="s">
        <v>23</v>
      </c>
      <c r="H1075">
        <v>2.5</v>
      </c>
      <c r="I1075">
        <v>0</v>
      </c>
      <c r="J1075">
        <v>20201</v>
      </c>
      <c r="K1075">
        <f>COUNTIF('rEKAP kls MK'!$A$2:$A$35,Worksheet!C1075)</f>
        <v>1</v>
      </c>
      <c r="L1075" t="str">
        <f t="shared" si="64"/>
        <v>F1B115016</v>
      </c>
      <c r="M1075" t="str">
        <f t="shared" si="65"/>
        <v>Imam Syuhada</v>
      </c>
      <c r="O1075" t="str">
        <f t="shared" si="66"/>
        <v/>
      </c>
      <c r="P1075" t="str">
        <f t="shared" si="67"/>
        <v/>
      </c>
    </row>
    <row r="1076" spans="1:16">
      <c r="A1076" t="s">
        <v>191</v>
      </c>
      <c r="B1076" t="s">
        <v>192</v>
      </c>
      <c r="C1076" t="s">
        <v>392</v>
      </c>
      <c r="D1076" t="s">
        <v>393</v>
      </c>
      <c r="E1076">
        <v>20171</v>
      </c>
      <c r="F1076" t="s">
        <v>14</v>
      </c>
      <c r="G1076" t="s">
        <v>26</v>
      </c>
      <c r="H1076">
        <v>2</v>
      </c>
      <c r="I1076">
        <v>0</v>
      </c>
      <c r="J1076">
        <v>20201</v>
      </c>
      <c r="K1076">
        <f>COUNTIF('rEKAP kls MK'!$A$2:$A$35,Worksheet!C1076)</f>
        <v>1</v>
      </c>
      <c r="L1076" t="str">
        <f t="shared" si="64"/>
        <v>F1B115018</v>
      </c>
      <c r="M1076" t="str">
        <f t="shared" si="65"/>
        <v>JANUARMAN MAULANA PUTRA</v>
      </c>
      <c r="O1076" t="str">
        <f t="shared" si="66"/>
        <v/>
      </c>
      <c r="P1076" t="str">
        <f t="shared" si="67"/>
        <v/>
      </c>
    </row>
    <row r="1077" spans="1:16">
      <c r="A1077" t="s">
        <v>219</v>
      </c>
      <c r="B1077" t="s">
        <v>220</v>
      </c>
      <c r="C1077" t="s">
        <v>392</v>
      </c>
      <c r="D1077" t="s">
        <v>393</v>
      </c>
      <c r="E1077">
        <v>20171</v>
      </c>
      <c r="F1077" t="s">
        <v>14</v>
      </c>
      <c r="G1077" t="s">
        <v>23</v>
      </c>
      <c r="H1077">
        <v>2.5</v>
      </c>
      <c r="I1077">
        <v>0</v>
      </c>
      <c r="J1077">
        <v>20201</v>
      </c>
      <c r="K1077">
        <f>COUNTIF('rEKAP kls MK'!$A$2:$A$35,Worksheet!C1077)</f>
        <v>1</v>
      </c>
      <c r="L1077" t="str">
        <f t="shared" si="64"/>
        <v>F1B115020</v>
      </c>
      <c r="M1077" t="str">
        <f t="shared" si="65"/>
        <v>KHAIRIL SUDARMANTO</v>
      </c>
      <c r="O1077" t="str">
        <f t="shared" si="66"/>
        <v/>
      </c>
      <c r="P1077" t="str">
        <f t="shared" si="67"/>
        <v/>
      </c>
    </row>
    <row r="1078" spans="1:16">
      <c r="A1078" t="s">
        <v>221</v>
      </c>
      <c r="B1078" t="s">
        <v>222</v>
      </c>
      <c r="C1078" t="s">
        <v>392</v>
      </c>
      <c r="D1078" t="s">
        <v>393</v>
      </c>
      <c r="E1078">
        <v>20171</v>
      </c>
      <c r="F1078" t="s">
        <v>14</v>
      </c>
      <c r="G1078" t="s">
        <v>26</v>
      </c>
      <c r="H1078">
        <v>2</v>
      </c>
      <c r="I1078">
        <v>0</v>
      </c>
      <c r="J1078">
        <v>20201</v>
      </c>
      <c r="K1078">
        <f>COUNTIF('rEKAP kls MK'!$A$2:$A$35,Worksheet!C1078)</f>
        <v>1</v>
      </c>
      <c r="L1078" t="str">
        <f t="shared" si="64"/>
        <v>F1B115021</v>
      </c>
      <c r="M1078" t="str">
        <f t="shared" si="65"/>
        <v>LALU TRIAWANRI NOVIANUNG</v>
      </c>
      <c r="O1078" t="str">
        <f t="shared" si="66"/>
        <v/>
      </c>
      <c r="P1078" t="str">
        <f t="shared" si="67"/>
        <v/>
      </c>
    </row>
    <row r="1079" spans="1:16">
      <c r="A1079" t="s">
        <v>225</v>
      </c>
      <c r="B1079" t="s">
        <v>226</v>
      </c>
      <c r="C1079" t="s">
        <v>392</v>
      </c>
      <c r="D1079" t="s">
        <v>393</v>
      </c>
      <c r="E1079">
        <v>20171</v>
      </c>
      <c r="F1079" t="s">
        <v>14</v>
      </c>
      <c r="G1079" t="s">
        <v>125</v>
      </c>
      <c r="H1079">
        <v>1</v>
      </c>
      <c r="I1079">
        <v>0</v>
      </c>
      <c r="J1079">
        <v>20201</v>
      </c>
      <c r="K1079">
        <f>COUNTIF('rEKAP kls MK'!$A$2:$A$35,Worksheet!C1079)</f>
        <v>1</v>
      </c>
      <c r="L1079" t="str">
        <f t="shared" si="64"/>
        <v>F1B115023</v>
      </c>
      <c r="M1079" t="str">
        <f t="shared" si="65"/>
        <v>M Habibillah</v>
      </c>
      <c r="O1079" t="str">
        <f t="shared" si="66"/>
        <v/>
      </c>
      <c r="P1079" t="str">
        <f t="shared" si="67"/>
        <v/>
      </c>
    </row>
    <row r="1080" spans="1:16">
      <c r="A1080" t="s">
        <v>229</v>
      </c>
      <c r="B1080" t="s">
        <v>230</v>
      </c>
      <c r="C1080" t="s">
        <v>392</v>
      </c>
      <c r="D1080" t="s">
        <v>393</v>
      </c>
      <c r="E1080">
        <v>20171</v>
      </c>
      <c r="F1080" t="s">
        <v>14</v>
      </c>
      <c r="G1080" t="s">
        <v>23</v>
      </c>
      <c r="H1080">
        <v>2.5</v>
      </c>
      <c r="I1080">
        <v>0</v>
      </c>
      <c r="J1080">
        <v>20201</v>
      </c>
      <c r="K1080">
        <f>COUNTIF('rEKAP kls MK'!$A$2:$A$35,Worksheet!C1080)</f>
        <v>1</v>
      </c>
      <c r="L1080" t="str">
        <f t="shared" si="64"/>
        <v>F1B115029</v>
      </c>
      <c r="M1080" t="str">
        <f t="shared" si="65"/>
        <v>MUHAMAT TAUFIK</v>
      </c>
      <c r="O1080" t="str">
        <f t="shared" si="66"/>
        <v/>
      </c>
      <c r="P1080" t="str">
        <f t="shared" si="67"/>
        <v/>
      </c>
    </row>
    <row r="1081" spans="1:16">
      <c r="A1081" t="s">
        <v>231</v>
      </c>
      <c r="B1081" t="s">
        <v>232</v>
      </c>
      <c r="C1081" t="s">
        <v>392</v>
      </c>
      <c r="D1081" t="s">
        <v>393</v>
      </c>
      <c r="E1081">
        <v>20171</v>
      </c>
      <c r="F1081" t="s">
        <v>14</v>
      </c>
      <c r="G1081" t="s">
        <v>26</v>
      </c>
      <c r="H1081">
        <v>2</v>
      </c>
      <c r="I1081">
        <v>0</v>
      </c>
      <c r="J1081">
        <v>20201</v>
      </c>
      <c r="K1081">
        <f>COUNTIF('rEKAP kls MK'!$A$2:$A$35,Worksheet!C1081)</f>
        <v>1</v>
      </c>
      <c r="L1081" t="str">
        <f t="shared" si="64"/>
        <v>F1B115030</v>
      </c>
      <c r="M1081" t="str">
        <f t="shared" si="65"/>
        <v>MUHAMMAD FIQRIL</v>
      </c>
      <c r="O1081" t="str">
        <f t="shared" si="66"/>
        <v/>
      </c>
      <c r="P1081" t="str">
        <f t="shared" si="67"/>
        <v/>
      </c>
    </row>
    <row r="1082" spans="1:16">
      <c r="A1082" t="s">
        <v>233</v>
      </c>
      <c r="B1082" t="s">
        <v>234</v>
      </c>
      <c r="C1082" t="s">
        <v>392</v>
      </c>
      <c r="D1082" t="s">
        <v>393</v>
      </c>
      <c r="E1082">
        <v>20171</v>
      </c>
      <c r="F1082" t="s">
        <v>14</v>
      </c>
      <c r="G1082" t="s">
        <v>116</v>
      </c>
      <c r="H1082">
        <v>1.5</v>
      </c>
      <c r="I1082">
        <v>0</v>
      </c>
      <c r="J1082">
        <v>20201</v>
      </c>
      <c r="K1082">
        <f>COUNTIF('rEKAP kls MK'!$A$2:$A$35,Worksheet!C1082)</f>
        <v>1</v>
      </c>
      <c r="L1082" t="str">
        <f t="shared" si="64"/>
        <v>F1B115031</v>
      </c>
      <c r="M1082" t="str">
        <f t="shared" si="65"/>
        <v>Muhammad Riza Pratama S</v>
      </c>
      <c r="O1082" t="str">
        <f t="shared" si="66"/>
        <v/>
      </c>
      <c r="P1082" t="str">
        <f t="shared" si="67"/>
        <v/>
      </c>
    </row>
    <row r="1083" spans="1:16">
      <c r="A1083" t="s">
        <v>187</v>
      </c>
      <c r="B1083" t="s">
        <v>188</v>
      </c>
      <c r="C1083" t="s">
        <v>392</v>
      </c>
      <c r="D1083" t="s">
        <v>393</v>
      </c>
      <c r="E1083">
        <v>20171</v>
      </c>
      <c r="F1083" t="s">
        <v>14</v>
      </c>
      <c r="G1083" t="s">
        <v>18</v>
      </c>
      <c r="H1083">
        <v>3</v>
      </c>
      <c r="I1083">
        <v>0</v>
      </c>
      <c r="J1083">
        <v>20201</v>
      </c>
      <c r="K1083">
        <f>COUNTIF('rEKAP kls MK'!$A$2:$A$35,Worksheet!C1083)</f>
        <v>1</v>
      </c>
      <c r="L1083" t="str">
        <f t="shared" si="64"/>
        <v>F1B115032</v>
      </c>
      <c r="M1083" t="str">
        <f t="shared" si="65"/>
        <v>Muhammad Rozziq Syaputra</v>
      </c>
      <c r="O1083" t="str">
        <f t="shared" si="66"/>
        <v/>
      </c>
      <c r="P1083" t="str">
        <f t="shared" si="67"/>
        <v/>
      </c>
    </row>
    <row r="1084" spans="1:16">
      <c r="A1084" t="s">
        <v>49</v>
      </c>
      <c r="B1084" t="s">
        <v>50</v>
      </c>
      <c r="C1084" t="s">
        <v>402</v>
      </c>
      <c r="D1084" t="s">
        <v>403</v>
      </c>
      <c r="E1084">
        <v>20171</v>
      </c>
      <c r="F1084" t="s">
        <v>14</v>
      </c>
      <c r="G1084" t="s">
        <v>18</v>
      </c>
      <c r="H1084">
        <v>3</v>
      </c>
      <c r="I1084">
        <v>0</v>
      </c>
      <c r="J1084">
        <v>20201</v>
      </c>
      <c r="K1084">
        <f>COUNTIF('rEKAP kls MK'!$A$2:$A$35,Worksheet!C1084)</f>
        <v>1</v>
      </c>
      <c r="L1084" t="str">
        <f t="shared" si="64"/>
        <v>F1B114007</v>
      </c>
      <c r="M1084" t="str">
        <f t="shared" si="65"/>
        <v>BIJE SYIAPRIADI D</v>
      </c>
      <c r="O1084" t="str">
        <f t="shared" si="66"/>
        <v>SISTEM INFORMASI MANAJEMEN</v>
      </c>
      <c r="P1084" t="str">
        <f t="shared" si="67"/>
        <v/>
      </c>
    </row>
    <row r="1085" spans="1:16">
      <c r="A1085" t="s">
        <v>175</v>
      </c>
      <c r="B1085" t="s">
        <v>176</v>
      </c>
      <c r="C1085" t="s">
        <v>402</v>
      </c>
      <c r="D1085" t="s">
        <v>403</v>
      </c>
      <c r="E1085">
        <v>20171</v>
      </c>
      <c r="F1085" t="s">
        <v>14</v>
      </c>
      <c r="G1085" t="s">
        <v>18</v>
      </c>
      <c r="H1085">
        <v>3</v>
      </c>
      <c r="I1085">
        <v>0</v>
      </c>
      <c r="J1085">
        <v>20201</v>
      </c>
      <c r="K1085">
        <f>COUNTIF('rEKAP kls MK'!$A$2:$A$35,Worksheet!C1085)</f>
        <v>1</v>
      </c>
      <c r="L1085" t="str">
        <f t="shared" si="64"/>
        <v>F1B114009</v>
      </c>
      <c r="M1085" t="str">
        <f t="shared" si="65"/>
        <v>DANA SELVIA HADISWARA</v>
      </c>
      <c r="O1085" t="str">
        <f t="shared" si="66"/>
        <v/>
      </c>
      <c r="P1085" t="str">
        <f t="shared" si="67"/>
        <v/>
      </c>
    </row>
    <row r="1086" spans="1:16">
      <c r="A1086" t="s">
        <v>157</v>
      </c>
      <c r="B1086" t="s">
        <v>158</v>
      </c>
      <c r="C1086" t="s">
        <v>402</v>
      </c>
      <c r="D1086" t="s">
        <v>403</v>
      </c>
      <c r="E1086">
        <v>20171</v>
      </c>
      <c r="F1086" t="s">
        <v>14</v>
      </c>
      <c r="G1086" t="s">
        <v>82</v>
      </c>
      <c r="H1086">
        <v>4</v>
      </c>
      <c r="I1086">
        <v>0</v>
      </c>
      <c r="J1086">
        <v>20201</v>
      </c>
      <c r="K1086">
        <f>COUNTIF('rEKAP kls MK'!$A$2:$A$35,Worksheet!C1086)</f>
        <v>1</v>
      </c>
      <c r="L1086" t="str">
        <f t="shared" si="64"/>
        <v>F1B114010</v>
      </c>
      <c r="M1086" t="str">
        <f t="shared" si="65"/>
        <v>EKA MARTA SIOMI</v>
      </c>
      <c r="O1086" t="str">
        <f t="shared" si="66"/>
        <v/>
      </c>
      <c r="P1086" t="str">
        <f t="shared" si="67"/>
        <v/>
      </c>
    </row>
    <row r="1087" spans="1:16">
      <c r="A1087" t="s">
        <v>159</v>
      </c>
      <c r="B1087" t="s">
        <v>160</v>
      </c>
      <c r="C1087" t="s">
        <v>402</v>
      </c>
      <c r="D1087" t="s">
        <v>403</v>
      </c>
      <c r="E1087">
        <v>20171</v>
      </c>
      <c r="F1087" t="s">
        <v>14</v>
      </c>
      <c r="G1087" t="s">
        <v>51</v>
      </c>
      <c r="H1087">
        <v>3.5</v>
      </c>
      <c r="I1087">
        <v>0</v>
      </c>
      <c r="J1087">
        <v>20201</v>
      </c>
      <c r="K1087">
        <f>COUNTIF('rEKAP kls MK'!$A$2:$A$35,Worksheet!C1087)</f>
        <v>1</v>
      </c>
      <c r="L1087" t="str">
        <f t="shared" si="64"/>
        <v>F1B114011</v>
      </c>
      <c r="M1087" t="str">
        <f t="shared" si="65"/>
        <v>ERWIN LINGGA SAPUTRA</v>
      </c>
      <c r="O1087" t="str">
        <f t="shared" si="66"/>
        <v/>
      </c>
      <c r="P1087" t="str">
        <f t="shared" si="67"/>
        <v/>
      </c>
    </row>
    <row r="1088" spans="1:16">
      <c r="A1088" t="s">
        <v>161</v>
      </c>
      <c r="B1088" t="s">
        <v>162</v>
      </c>
      <c r="C1088" t="s">
        <v>402</v>
      </c>
      <c r="D1088" t="s">
        <v>403</v>
      </c>
      <c r="E1088">
        <v>20171</v>
      </c>
      <c r="F1088" t="s">
        <v>14</v>
      </c>
      <c r="G1088" t="s">
        <v>23</v>
      </c>
      <c r="H1088">
        <v>2.5</v>
      </c>
      <c r="I1088">
        <v>0</v>
      </c>
      <c r="J1088">
        <v>20201</v>
      </c>
      <c r="K1088">
        <f>COUNTIF('rEKAP kls MK'!$A$2:$A$35,Worksheet!C1088)</f>
        <v>1</v>
      </c>
      <c r="L1088" t="str">
        <f t="shared" si="64"/>
        <v>F1B114012</v>
      </c>
      <c r="M1088" t="str">
        <f t="shared" si="65"/>
        <v>FATHUL AZIZ</v>
      </c>
      <c r="O1088" t="str">
        <f t="shared" si="66"/>
        <v/>
      </c>
      <c r="P1088" t="str">
        <f t="shared" si="67"/>
        <v/>
      </c>
    </row>
    <row r="1089" spans="1:16">
      <c r="A1089" t="s">
        <v>142</v>
      </c>
      <c r="B1089" t="s">
        <v>143</v>
      </c>
      <c r="C1089" t="s">
        <v>402</v>
      </c>
      <c r="D1089" t="s">
        <v>403</v>
      </c>
      <c r="E1089">
        <v>20171</v>
      </c>
      <c r="F1089" t="s">
        <v>14</v>
      </c>
      <c r="G1089" t="s">
        <v>51</v>
      </c>
      <c r="H1089">
        <v>3.5</v>
      </c>
      <c r="I1089">
        <v>0</v>
      </c>
      <c r="J1089">
        <v>20201</v>
      </c>
      <c r="K1089">
        <f>COUNTIF('rEKAP kls MK'!$A$2:$A$35,Worksheet!C1089)</f>
        <v>1</v>
      </c>
      <c r="L1089" t="str">
        <f t="shared" si="64"/>
        <v>F1B114018</v>
      </c>
      <c r="M1089" t="str">
        <f t="shared" si="65"/>
        <v>I GUSTI BAGUS HENDRA PRADIPTA</v>
      </c>
      <c r="O1089" t="str">
        <f t="shared" si="66"/>
        <v/>
      </c>
      <c r="P1089" t="str">
        <f t="shared" si="67"/>
        <v/>
      </c>
    </row>
    <row r="1090" spans="1:16">
      <c r="A1090" t="s">
        <v>165</v>
      </c>
      <c r="B1090" t="s">
        <v>166</v>
      </c>
      <c r="C1090" t="s">
        <v>402</v>
      </c>
      <c r="D1090" t="s">
        <v>403</v>
      </c>
      <c r="E1090">
        <v>20171</v>
      </c>
      <c r="F1090" t="s">
        <v>14</v>
      </c>
      <c r="G1090" t="s">
        <v>23</v>
      </c>
      <c r="H1090">
        <v>2.5</v>
      </c>
      <c r="I1090">
        <v>0</v>
      </c>
      <c r="J1090">
        <v>20201</v>
      </c>
      <c r="K1090">
        <f>COUNTIF('rEKAP kls MK'!$A$2:$A$35,Worksheet!C1090)</f>
        <v>1</v>
      </c>
      <c r="L1090" t="str">
        <f t="shared" si="64"/>
        <v>F1B114022</v>
      </c>
      <c r="M1090" t="str">
        <f t="shared" si="65"/>
        <v>JUWITA ASRI</v>
      </c>
      <c r="O1090" t="str">
        <f t="shared" si="66"/>
        <v/>
      </c>
      <c r="P1090" t="str">
        <f t="shared" si="67"/>
        <v/>
      </c>
    </row>
    <row r="1091" spans="1:16">
      <c r="A1091" t="s">
        <v>54</v>
      </c>
      <c r="B1091" t="s">
        <v>55</v>
      </c>
      <c r="C1091" t="s">
        <v>402</v>
      </c>
      <c r="D1091" t="s">
        <v>403</v>
      </c>
      <c r="E1091">
        <v>20171</v>
      </c>
      <c r="F1091" t="s">
        <v>14</v>
      </c>
      <c r="G1091" t="s">
        <v>18</v>
      </c>
      <c r="H1091">
        <v>3</v>
      </c>
      <c r="I1091">
        <v>0</v>
      </c>
      <c r="J1091">
        <v>20201</v>
      </c>
      <c r="K1091">
        <f>COUNTIF('rEKAP kls MK'!$A$2:$A$35,Worksheet!C1091)</f>
        <v>1</v>
      </c>
      <c r="L1091" t="str">
        <f t="shared" ref="L1091:L1154" si="68">IF(A1090&lt;&gt;A1091,A1091,"")</f>
        <v>F1B114028</v>
      </c>
      <c r="M1091" t="str">
        <f t="shared" ref="M1091:M1154" si="69">IF(B1090&lt;&gt;B1091,B1091,"")</f>
        <v>MUHAMMAD HAJRUL MUZAQI</v>
      </c>
      <c r="O1091" t="str">
        <f t="shared" ref="O1091:O1154" si="70">IF(D1090&lt;&gt;D1091,D1091,"")</f>
        <v/>
      </c>
      <c r="P1091" t="str">
        <f t="shared" ref="P1091:P1154" si="71">IF(F1090&lt;&gt;F1091,F1091,"")</f>
        <v/>
      </c>
    </row>
    <row r="1092" spans="1:16">
      <c r="A1092" t="s">
        <v>181</v>
      </c>
      <c r="B1092" t="s">
        <v>182</v>
      </c>
      <c r="C1092" t="s">
        <v>402</v>
      </c>
      <c r="D1092" t="s">
        <v>403</v>
      </c>
      <c r="E1092">
        <v>20171</v>
      </c>
      <c r="F1092" t="s">
        <v>14</v>
      </c>
      <c r="G1092" t="s">
        <v>26</v>
      </c>
      <c r="H1092">
        <v>2</v>
      </c>
      <c r="I1092">
        <v>0</v>
      </c>
      <c r="J1092">
        <v>20201</v>
      </c>
      <c r="K1092">
        <f>COUNTIF('rEKAP kls MK'!$A$2:$A$35,Worksheet!C1092)</f>
        <v>1</v>
      </c>
      <c r="L1092" t="str">
        <f t="shared" si="68"/>
        <v>F1B115004</v>
      </c>
      <c r="M1092" t="str">
        <f t="shared" si="69"/>
        <v>ANDZAR QINTHARA</v>
      </c>
      <c r="O1092" t="str">
        <f t="shared" si="70"/>
        <v/>
      </c>
      <c r="P1092" t="str">
        <f t="shared" si="71"/>
        <v/>
      </c>
    </row>
    <row r="1093" spans="1:16">
      <c r="A1093" t="s">
        <v>209</v>
      </c>
      <c r="B1093" t="s">
        <v>210</v>
      </c>
      <c r="C1093" t="s">
        <v>402</v>
      </c>
      <c r="D1093" t="s">
        <v>403</v>
      </c>
      <c r="E1093">
        <v>20171</v>
      </c>
      <c r="F1093" t="s">
        <v>14</v>
      </c>
      <c r="G1093" t="s">
        <v>23</v>
      </c>
      <c r="H1093">
        <v>2.5</v>
      </c>
      <c r="I1093">
        <v>0</v>
      </c>
      <c r="J1093">
        <v>20201</v>
      </c>
      <c r="K1093">
        <f>COUNTIF('rEKAP kls MK'!$A$2:$A$35,Worksheet!C1093)</f>
        <v>1</v>
      </c>
      <c r="L1093" t="str">
        <f t="shared" si="68"/>
        <v>F1B115005</v>
      </c>
      <c r="M1093" t="str">
        <f t="shared" si="69"/>
        <v>ANWAR SAPI I</v>
      </c>
      <c r="O1093" t="str">
        <f t="shared" si="70"/>
        <v/>
      </c>
      <c r="P1093" t="str">
        <f t="shared" si="71"/>
        <v/>
      </c>
    </row>
    <row r="1094" spans="1:16">
      <c r="A1094" t="s">
        <v>183</v>
      </c>
      <c r="B1094" t="s">
        <v>184</v>
      </c>
      <c r="C1094" t="s">
        <v>402</v>
      </c>
      <c r="D1094" t="s">
        <v>403</v>
      </c>
      <c r="E1094">
        <v>20171</v>
      </c>
      <c r="F1094" t="s">
        <v>14</v>
      </c>
      <c r="G1094" t="s">
        <v>15</v>
      </c>
      <c r="H1094">
        <v>0</v>
      </c>
      <c r="I1094">
        <v>0</v>
      </c>
      <c r="J1094">
        <v>20201</v>
      </c>
      <c r="K1094">
        <f>COUNTIF('rEKAP kls MK'!$A$2:$A$35,Worksheet!C1094)</f>
        <v>1</v>
      </c>
      <c r="L1094" t="str">
        <f t="shared" si="68"/>
        <v>F1B115006</v>
      </c>
      <c r="M1094" t="str">
        <f t="shared" si="69"/>
        <v>Bagas Akbar Aznurinto</v>
      </c>
      <c r="O1094" t="str">
        <f t="shared" si="70"/>
        <v/>
      </c>
      <c r="P1094" t="str">
        <f t="shared" si="71"/>
        <v/>
      </c>
    </row>
    <row r="1095" spans="1:16">
      <c r="A1095" t="s">
        <v>211</v>
      </c>
      <c r="B1095" t="s">
        <v>212</v>
      </c>
      <c r="C1095" t="s">
        <v>402</v>
      </c>
      <c r="D1095" t="s">
        <v>403</v>
      </c>
      <c r="E1095">
        <v>20171</v>
      </c>
      <c r="F1095" t="s">
        <v>14</v>
      </c>
      <c r="G1095" t="s">
        <v>15</v>
      </c>
      <c r="H1095">
        <v>0</v>
      </c>
      <c r="I1095">
        <v>0</v>
      </c>
      <c r="J1095">
        <v>20201</v>
      </c>
      <c r="K1095">
        <f>COUNTIF('rEKAP kls MK'!$A$2:$A$35,Worksheet!C1095)</f>
        <v>1</v>
      </c>
      <c r="L1095" t="str">
        <f t="shared" si="68"/>
        <v>F1B115007</v>
      </c>
      <c r="M1095" t="str">
        <f t="shared" si="69"/>
        <v>BAIHAKI</v>
      </c>
      <c r="O1095" t="str">
        <f t="shared" si="70"/>
        <v/>
      </c>
      <c r="P1095" t="str">
        <f t="shared" si="71"/>
        <v/>
      </c>
    </row>
    <row r="1096" spans="1:16">
      <c r="A1096" t="s">
        <v>237</v>
      </c>
      <c r="B1096" t="s">
        <v>238</v>
      </c>
      <c r="C1096" t="s">
        <v>402</v>
      </c>
      <c r="D1096" t="s">
        <v>403</v>
      </c>
      <c r="E1096">
        <v>20171</v>
      </c>
      <c r="F1096" t="s">
        <v>14</v>
      </c>
      <c r="G1096" t="s">
        <v>23</v>
      </c>
      <c r="H1096">
        <v>2.5</v>
      </c>
      <c r="I1096">
        <v>0</v>
      </c>
      <c r="J1096">
        <v>20201</v>
      </c>
      <c r="K1096">
        <f>COUNTIF('rEKAP kls MK'!$A$2:$A$35,Worksheet!C1096)</f>
        <v>1</v>
      </c>
      <c r="L1096" t="str">
        <f t="shared" si="68"/>
        <v>F1B115012</v>
      </c>
      <c r="M1096" t="str">
        <f t="shared" si="69"/>
        <v>HARZA WISNU SAPUTRA</v>
      </c>
      <c r="O1096" t="str">
        <f t="shared" si="70"/>
        <v/>
      </c>
      <c r="P1096" t="str">
        <f t="shared" si="71"/>
        <v/>
      </c>
    </row>
    <row r="1097" spans="1:16">
      <c r="A1097" t="s">
        <v>185</v>
      </c>
      <c r="B1097" t="s">
        <v>186</v>
      </c>
      <c r="C1097" t="s">
        <v>402</v>
      </c>
      <c r="D1097" t="s">
        <v>403</v>
      </c>
      <c r="E1097">
        <v>20171</v>
      </c>
      <c r="F1097" t="s">
        <v>14</v>
      </c>
      <c r="G1097" t="s">
        <v>26</v>
      </c>
      <c r="H1097">
        <v>2</v>
      </c>
      <c r="I1097">
        <v>0</v>
      </c>
      <c r="J1097">
        <v>20201</v>
      </c>
      <c r="K1097">
        <f>COUNTIF('rEKAP kls MK'!$A$2:$A$35,Worksheet!C1097)</f>
        <v>1</v>
      </c>
      <c r="L1097" t="str">
        <f t="shared" si="68"/>
        <v>F1B115015</v>
      </c>
      <c r="M1097" t="str">
        <f t="shared" si="69"/>
        <v>ILMAN HIDAYAT</v>
      </c>
      <c r="O1097" t="str">
        <f t="shared" si="70"/>
        <v/>
      </c>
      <c r="P1097" t="str">
        <f t="shared" si="71"/>
        <v/>
      </c>
    </row>
    <row r="1098" spans="1:16">
      <c r="A1098" t="s">
        <v>217</v>
      </c>
      <c r="B1098" t="s">
        <v>218</v>
      </c>
      <c r="C1098" t="s">
        <v>402</v>
      </c>
      <c r="D1098" t="s">
        <v>403</v>
      </c>
      <c r="E1098">
        <v>20171</v>
      </c>
      <c r="F1098" t="s">
        <v>14</v>
      </c>
      <c r="G1098" t="s">
        <v>23</v>
      </c>
      <c r="H1098">
        <v>2.5</v>
      </c>
      <c r="I1098">
        <v>0</v>
      </c>
      <c r="J1098">
        <v>20201</v>
      </c>
      <c r="K1098">
        <f>COUNTIF('rEKAP kls MK'!$A$2:$A$35,Worksheet!C1098)</f>
        <v>1</v>
      </c>
      <c r="L1098" t="str">
        <f t="shared" si="68"/>
        <v>F1B115016</v>
      </c>
      <c r="M1098" t="str">
        <f t="shared" si="69"/>
        <v>Imam Syuhada</v>
      </c>
      <c r="O1098" t="str">
        <f t="shared" si="70"/>
        <v/>
      </c>
      <c r="P1098" t="str">
        <f t="shared" si="71"/>
        <v/>
      </c>
    </row>
    <row r="1099" spans="1:16">
      <c r="A1099" t="s">
        <v>191</v>
      </c>
      <c r="B1099" t="s">
        <v>192</v>
      </c>
      <c r="C1099" t="s">
        <v>402</v>
      </c>
      <c r="D1099" t="s">
        <v>403</v>
      </c>
      <c r="E1099">
        <v>20171</v>
      </c>
      <c r="F1099" t="s">
        <v>14</v>
      </c>
      <c r="G1099" t="s">
        <v>26</v>
      </c>
      <c r="H1099">
        <v>2</v>
      </c>
      <c r="I1099">
        <v>0</v>
      </c>
      <c r="J1099">
        <v>20201</v>
      </c>
      <c r="K1099">
        <f>COUNTIF('rEKAP kls MK'!$A$2:$A$35,Worksheet!C1099)</f>
        <v>1</v>
      </c>
      <c r="L1099" t="str">
        <f t="shared" si="68"/>
        <v>F1B115018</v>
      </c>
      <c r="M1099" t="str">
        <f t="shared" si="69"/>
        <v>JANUARMAN MAULANA PUTRA</v>
      </c>
      <c r="O1099" t="str">
        <f t="shared" si="70"/>
        <v/>
      </c>
      <c r="P1099" t="str">
        <f t="shared" si="71"/>
        <v/>
      </c>
    </row>
    <row r="1100" spans="1:16">
      <c r="A1100" t="s">
        <v>221</v>
      </c>
      <c r="B1100" t="s">
        <v>222</v>
      </c>
      <c r="C1100" t="s">
        <v>402</v>
      </c>
      <c r="D1100" t="s">
        <v>403</v>
      </c>
      <c r="E1100">
        <v>20171</v>
      </c>
      <c r="F1100" t="s">
        <v>14</v>
      </c>
      <c r="G1100" t="s">
        <v>23</v>
      </c>
      <c r="H1100">
        <v>2.5</v>
      </c>
      <c r="I1100">
        <v>0</v>
      </c>
      <c r="J1100">
        <v>20201</v>
      </c>
      <c r="K1100">
        <f>COUNTIF('rEKAP kls MK'!$A$2:$A$35,Worksheet!C1100)</f>
        <v>1</v>
      </c>
      <c r="L1100" t="str">
        <f t="shared" si="68"/>
        <v>F1B115021</v>
      </c>
      <c r="M1100" t="str">
        <f t="shared" si="69"/>
        <v>LALU TRIAWANRI NOVIANUNG</v>
      </c>
      <c r="O1100" t="str">
        <f t="shared" si="70"/>
        <v/>
      </c>
      <c r="P1100" t="str">
        <f t="shared" si="71"/>
        <v/>
      </c>
    </row>
    <row r="1101" spans="1:16">
      <c r="A1101" t="s">
        <v>229</v>
      </c>
      <c r="B1101" t="s">
        <v>230</v>
      </c>
      <c r="C1101" t="s">
        <v>402</v>
      </c>
      <c r="D1101" t="s">
        <v>403</v>
      </c>
      <c r="E1101">
        <v>20171</v>
      </c>
      <c r="F1101" t="s">
        <v>14</v>
      </c>
      <c r="G1101" t="s">
        <v>23</v>
      </c>
      <c r="H1101">
        <v>2.5</v>
      </c>
      <c r="I1101">
        <v>0</v>
      </c>
      <c r="J1101">
        <v>20201</v>
      </c>
      <c r="K1101">
        <f>COUNTIF('rEKAP kls MK'!$A$2:$A$35,Worksheet!C1101)</f>
        <v>1</v>
      </c>
      <c r="L1101" t="str">
        <f t="shared" si="68"/>
        <v>F1B115029</v>
      </c>
      <c r="M1101" t="str">
        <f t="shared" si="69"/>
        <v>MUHAMAT TAUFIK</v>
      </c>
      <c r="O1101" t="str">
        <f t="shared" si="70"/>
        <v/>
      </c>
      <c r="P1101" t="str">
        <f t="shared" si="71"/>
        <v/>
      </c>
    </row>
    <row r="1102" spans="1:16">
      <c r="A1102" t="s">
        <v>187</v>
      </c>
      <c r="B1102" t="s">
        <v>188</v>
      </c>
      <c r="C1102" t="s">
        <v>402</v>
      </c>
      <c r="D1102" t="s">
        <v>403</v>
      </c>
      <c r="E1102">
        <v>20171</v>
      </c>
      <c r="F1102" t="s">
        <v>14</v>
      </c>
      <c r="G1102" t="s">
        <v>23</v>
      </c>
      <c r="H1102">
        <v>2.5</v>
      </c>
      <c r="I1102">
        <v>0</v>
      </c>
      <c r="J1102">
        <v>20201</v>
      </c>
      <c r="K1102">
        <f>COUNTIF('rEKAP kls MK'!$A$2:$A$35,Worksheet!C1102)</f>
        <v>1</v>
      </c>
      <c r="L1102" t="str">
        <f t="shared" si="68"/>
        <v>F1B115032</v>
      </c>
      <c r="M1102" t="str">
        <f t="shared" si="69"/>
        <v>Muhammad Rozziq Syaputra</v>
      </c>
      <c r="O1102" t="str">
        <f t="shared" si="70"/>
        <v/>
      </c>
      <c r="P1102" t="str">
        <f t="shared" si="71"/>
        <v/>
      </c>
    </row>
    <row r="1103" spans="1:16">
      <c r="A1103" t="s">
        <v>239</v>
      </c>
      <c r="B1103" t="s">
        <v>240</v>
      </c>
      <c r="C1103" t="s">
        <v>241</v>
      </c>
      <c r="D1103" t="s">
        <v>242</v>
      </c>
      <c r="E1103">
        <v>20171</v>
      </c>
      <c r="F1103" t="s">
        <v>14</v>
      </c>
      <c r="G1103" t="s">
        <v>26</v>
      </c>
      <c r="H1103">
        <v>2</v>
      </c>
      <c r="I1103">
        <v>0</v>
      </c>
      <c r="J1103">
        <v>20201</v>
      </c>
      <c r="K1103">
        <f>COUNTIF('rEKAP kls MK'!$A$2:$A$35,Worksheet!C1103)</f>
        <v>1</v>
      </c>
      <c r="L1103" t="str">
        <f t="shared" si="68"/>
        <v>F1B110076</v>
      </c>
      <c r="M1103" t="str">
        <f t="shared" si="69"/>
        <v>LALU ARDYPATI</v>
      </c>
      <c r="O1103" t="str">
        <f t="shared" si="70"/>
        <v>SISTEM KENDALI</v>
      </c>
      <c r="P1103" t="str">
        <f t="shared" si="71"/>
        <v/>
      </c>
    </row>
    <row r="1104" spans="1:16">
      <c r="A1104" t="s">
        <v>97</v>
      </c>
      <c r="B1104" t="s">
        <v>98</v>
      </c>
      <c r="C1104" t="s">
        <v>241</v>
      </c>
      <c r="D1104" t="s">
        <v>242</v>
      </c>
      <c r="E1104">
        <v>20171</v>
      </c>
      <c r="F1104" t="s">
        <v>14</v>
      </c>
      <c r="G1104" t="s">
        <v>15</v>
      </c>
      <c r="H1104">
        <v>0</v>
      </c>
      <c r="I1104">
        <v>0</v>
      </c>
      <c r="J1104">
        <v>20201</v>
      </c>
      <c r="K1104">
        <f>COUNTIF('rEKAP kls MK'!$A$2:$A$35,Worksheet!C1104)</f>
        <v>1</v>
      </c>
      <c r="L1104" t="str">
        <f t="shared" si="68"/>
        <v>F1B111020</v>
      </c>
      <c r="M1104" t="str">
        <f t="shared" si="69"/>
        <v>Ghalib Mansur Thalib</v>
      </c>
      <c r="O1104" t="str">
        <f t="shared" si="70"/>
        <v/>
      </c>
      <c r="P1104" t="str">
        <f t="shared" si="71"/>
        <v/>
      </c>
    </row>
    <row r="1105" spans="1:16">
      <c r="A1105" t="s">
        <v>146</v>
      </c>
      <c r="B1105" t="s">
        <v>147</v>
      </c>
      <c r="C1105" t="s">
        <v>241</v>
      </c>
      <c r="D1105" t="s">
        <v>242</v>
      </c>
      <c r="E1105">
        <v>20171</v>
      </c>
      <c r="F1105" t="s">
        <v>14</v>
      </c>
      <c r="G1105" t="s">
        <v>26</v>
      </c>
      <c r="H1105">
        <v>2</v>
      </c>
      <c r="I1105">
        <v>0</v>
      </c>
      <c r="J1105">
        <v>20201</v>
      </c>
      <c r="K1105">
        <f>COUNTIF('rEKAP kls MK'!$A$2:$A$35,Worksheet!C1105)</f>
        <v>1</v>
      </c>
      <c r="L1105" t="str">
        <f t="shared" si="68"/>
        <v>F1B111036</v>
      </c>
      <c r="M1105" t="str">
        <f t="shared" si="69"/>
        <v>Lalu Anja Sukmana</v>
      </c>
      <c r="O1105" t="str">
        <f t="shared" si="70"/>
        <v/>
      </c>
      <c r="P1105" t="str">
        <f t="shared" si="71"/>
        <v/>
      </c>
    </row>
    <row r="1106" spans="1:16">
      <c r="A1106" t="s">
        <v>151</v>
      </c>
      <c r="B1106" t="s">
        <v>152</v>
      </c>
      <c r="C1106" t="s">
        <v>241</v>
      </c>
      <c r="D1106" t="s">
        <v>242</v>
      </c>
      <c r="E1106">
        <v>20171</v>
      </c>
      <c r="F1106" t="s">
        <v>14</v>
      </c>
      <c r="G1106" t="s">
        <v>26</v>
      </c>
      <c r="H1106">
        <v>2</v>
      </c>
      <c r="I1106">
        <v>0</v>
      </c>
      <c r="J1106">
        <v>20201</v>
      </c>
      <c r="K1106">
        <f>COUNTIF('rEKAP kls MK'!$A$2:$A$35,Worksheet!C1106)</f>
        <v>1</v>
      </c>
      <c r="L1106" t="str">
        <f t="shared" si="68"/>
        <v>F1B112004</v>
      </c>
      <c r="M1106" t="str">
        <f t="shared" si="69"/>
        <v>Alimudin Embu Tara</v>
      </c>
      <c r="O1106" t="str">
        <f t="shared" si="70"/>
        <v/>
      </c>
      <c r="P1106" t="str">
        <f t="shared" si="71"/>
        <v/>
      </c>
    </row>
    <row r="1107" spans="1:16">
      <c r="A1107" t="s">
        <v>112</v>
      </c>
      <c r="B1107" t="s">
        <v>113</v>
      </c>
      <c r="C1107" t="s">
        <v>241</v>
      </c>
      <c r="D1107" t="s">
        <v>242</v>
      </c>
      <c r="E1107">
        <v>20171</v>
      </c>
      <c r="F1107" t="s">
        <v>14</v>
      </c>
      <c r="G1107" t="s">
        <v>26</v>
      </c>
      <c r="H1107">
        <v>2</v>
      </c>
      <c r="I1107">
        <v>0</v>
      </c>
      <c r="J1107">
        <v>20201</v>
      </c>
      <c r="K1107">
        <f>COUNTIF('rEKAP kls MK'!$A$2:$A$35,Worksheet!C1107)</f>
        <v>1</v>
      </c>
      <c r="L1107" t="str">
        <f t="shared" si="68"/>
        <v>F1B112026</v>
      </c>
      <c r="M1107" t="str">
        <f t="shared" si="69"/>
        <v>Hartono Fiyono</v>
      </c>
      <c r="O1107" t="str">
        <f t="shared" si="70"/>
        <v/>
      </c>
      <c r="P1107" t="str">
        <f t="shared" si="71"/>
        <v/>
      </c>
    </row>
    <row r="1108" spans="1:16">
      <c r="A1108" t="s">
        <v>207</v>
      </c>
      <c r="B1108" t="s">
        <v>208</v>
      </c>
      <c r="C1108" t="s">
        <v>241</v>
      </c>
      <c r="D1108" t="s">
        <v>242</v>
      </c>
      <c r="E1108">
        <v>20171</v>
      </c>
      <c r="F1108" t="s">
        <v>14</v>
      </c>
      <c r="G1108" t="s">
        <v>26</v>
      </c>
      <c r="H1108">
        <v>2</v>
      </c>
      <c r="I1108">
        <v>0</v>
      </c>
      <c r="J1108">
        <v>20201</v>
      </c>
      <c r="K1108">
        <f>COUNTIF('rEKAP kls MK'!$A$2:$A$35,Worksheet!C1108)</f>
        <v>1</v>
      </c>
      <c r="L1108" t="str">
        <f t="shared" si="68"/>
        <v>F1B112051</v>
      </c>
      <c r="M1108" t="str">
        <f t="shared" si="69"/>
        <v>Teguh Agamawan Putra</v>
      </c>
      <c r="O1108" t="str">
        <f t="shared" si="70"/>
        <v/>
      </c>
      <c r="P1108" t="str">
        <f t="shared" si="71"/>
        <v/>
      </c>
    </row>
    <row r="1109" spans="1:16">
      <c r="A1109" t="s">
        <v>19</v>
      </c>
      <c r="B1109" t="s">
        <v>20</v>
      </c>
      <c r="C1109" t="s">
        <v>241</v>
      </c>
      <c r="D1109" t="s">
        <v>242</v>
      </c>
      <c r="E1109">
        <v>20171</v>
      </c>
      <c r="F1109" t="s">
        <v>14</v>
      </c>
      <c r="G1109" t="s">
        <v>26</v>
      </c>
      <c r="H1109">
        <v>2</v>
      </c>
      <c r="I1109">
        <v>0</v>
      </c>
      <c r="J1109">
        <v>20201</v>
      </c>
      <c r="K1109">
        <f>COUNTIF('rEKAP kls MK'!$A$2:$A$35,Worksheet!C1109)</f>
        <v>1</v>
      </c>
      <c r="L1109" t="str">
        <f t="shared" si="68"/>
        <v>F1B113001</v>
      </c>
      <c r="M1109" t="str">
        <f t="shared" si="69"/>
        <v>ADAM VERGIAN B</v>
      </c>
      <c r="O1109" t="str">
        <f t="shared" si="70"/>
        <v/>
      </c>
      <c r="P1109" t="str">
        <f t="shared" si="71"/>
        <v/>
      </c>
    </row>
    <row r="1110" spans="1:16">
      <c r="A1110" t="s">
        <v>35</v>
      </c>
      <c r="B1110" t="s">
        <v>36</v>
      </c>
      <c r="C1110" t="s">
        <v>241</v>
      </c>
      <c r="D1110" t="s">
        <v>242</v>
      </c>
      <c r="E1110">
        <v>20171</v>
      </c>
      <c r="F1110" t="s">
        <v>14</v>
      </c>
      <c r="G1110" t="s">
        <v>26</v>
      </c>
      <c r="H1110">
        <v>2</v>
      </c>
      <c r="I1110">
        <v>0</v>
      </c>
      <c r="J1110">
        <v>20201</v>
      </c>
      <c r="K1110">
        <f>COUNTIF('rEKAP kls MK'!$A$2:$A$35,Worksheet!C1110)</f>
        <v>1</v>
      </c>
      <c r="L1110" t="str">
        <f t="shared" si="68"/>
        <v>F1B113028</v>
      </c>
      <c r="M1110" t="str">
        <f t="shared" si="69"/>
        <v>PUGUH DWI ANTARA</v>
      </c>
      <c r="O1110" t="str">
        <f t="shared" si="70"/>
        <v/>
      </c>
      <c r="P1110" t="str">
        <f t="shared" si="71"/>
        <v/>
      </c>
    </row>
    <row r="1111" spans="1:16">
      <c r="A1111" t="s">
        <v>39</v>
      </c>
      <c r="B1111" t="s">
        <v>40</v>
      </c>
      <c r="C1111" t="s">
        <v>241</v>
      </c>
      <c r="D1111" t="s">
        <v>242</v>
      </c>
      <c r="E1111">
        <v>20171</v>
      </c>
      <c r="F1111" t="s">
        <v>14</v>
      </c>
      <c r="G1111" t="s">
        <v>101</v>
      </c>
      <c r="H1111">
        <v>0</v>
      </c>
      <c r="I1111">
        <v>0</v>
      </c>
      <c r="J1111">
        <v>20201</v>
      </c>
      <c r="K1111">
        <f>COUNTIF('rEKAP kls MK'!$A$2:$A$35,Worksheet!C1111)</f>
        <v>1</v>
      </c>
      <c r="L1111" t="str">
        <f t="shared" si="68"/>
        <v>F1B113031</v>
      </c>
      <c r="M1111" t="str">
        <f t="shared" si="69"/>
        <v>SADIQ RAMADHOAN</v>
      </c>
      <c r="O1111" t="str">
        <f t="shared" si="70"/>
        <v/>
      </c>
      <c r="P1111" t="str">
        <f t="shared" si="71"/>
        <v/>
      </c>
    </row>
    <row r="1112" spans="1:16">
      <c r="A1112" t="s">
        <v>117</v>
      </c>
      <c r="B1112" t="s">
        <v>118</v>
      </c>
      <c r="C1112" t="s">
        <v>241</v>
      </c>
      <c r="D1112" t="s">
        <v>242</v>
      </c>
      <c r="E1112">
        <v>20171</v>
      </c>
      <c r="F1112" t="s">
        <v>14</v>
      </c>
      <c r="G1112" t="s">
        <v>26</v>
      </c>
      <c r="H1112">
        <v>2</v>
      </c>
      <c r="I1112">
        <v>0</v>
      </c>
      <c r="J1112">
        <v>20201</v>
      </c>
      <c r="K1112">
        <f>COUNTIF('rEKAP kls MK'!$A$2:$A$35,Worksheet!C1112)</f>
        <v>1</v>
      </c>
      <c r="L1112" t="str">
        <f t="shared" si="68"/>
        <v>F1B115002</v>
      </c>
      <c r="M1112" t="str">
        <f t="shared" si="69"/>
        <v>AGUS SUPRIADI</v>
      </c>
      <c r="O1112" t="str">
        <f t="shared" si="70"/>
        <v/>
      </c>
      <c r="P1112" t="str">
        <f t="shared" si="71"/>
        <v/>
      </c>
    </row>
    <row r="1113" spans="1:16">
      <c r="A1113" t="s">
        <v>209</v>
      </c>
      <c r="B1113" t="s">
        <v>210</v>
      </c>
      <c r="C1113" t="s">
        <v>241</v>
      </c>
      <c r="D1113" t="s">
        <v>242</v>
      </c>
      <c r="E1113">
        <v>20171</v>
      </c>
      <c r="F1113" t="s">
        <v>14</v>
      </c>
      <c r="G1113" t="s">
        <v>26</v>
      </c>
      <c r="H1113">
        <v>2</v>
      </c>
      <c r="I1113">
        <v>0</v>
      </c>
      <c r="J1113">
        <v>20201</v>
      </c>
      <c r="K1113">
        <f>COUNTIF('rEKAP kls MK'!$A$2:$A$35,Worksheet!C1113)</f>
        <v>1</v>
      </c>
      <c r="L1113" t="str">
        <f t="shared" si="68"/>
        <v>F1B115005</v>
      </c>
      <c r="M1113" t="str">
        <f t="shared" si="69"/>
        <v>ANWAR SAPI I</v>
      </c>
      <c r="O1113" t="str">
        <f t="shared" si="70"/>
        <v/>
      </c>
      <c r="P1113" t="str">
        <f t="shared" si="71"/>
        <v/>
      </c>
    </row>
    <row r="1114" spans="1:16">
      <c r="A1114" t="s">
        <v>183</v>
      </c>
      <c r="B1114" t="s">
        <v>184</v>
      </c>
      <c r="C1114" t="s">
        <v>241</v>
      </c>
      <c r="D1114" t="s">
        <v>242</v>
      </c>
      <c r="E1114">
        <v>20171</v>
      </c>
      <c r="F1114" t="s">
        <v>14</v>
      </c>
      <c r="G1114" t="s">
        <v>101</v>
      </c>
      <c r="H1114">
        <v>0</v>
      </c>
      <c r="I1114">
        <v>0</v>
      </c>
      <c r="J1114">
        <v>20201</v>
      </c>
      <c r="K1114">
        <f>COUNTIF('rEKAP kls MK'!$A$2:$A$35,Worksheet!C1114)</f>
        <v>1</v>
      </c>
      <c r="L1114" t="str">
        <f t="shared" si="68"/>
        <v>F1B115006</v>
      </c>
      <c r="M1114" t="str">
        <f t="shared" si="69"/>
        <v>Bagas Akbar Aznurinto</v>
      </c>
      <c r="O1114" t="str">
        <f t="shared" si="70"/>
        <v/>
      </c>
      <c r="P1114" t="str">
        <f t="shared" si="71"/>
        <v/>
      </c>
    </row>
    <row r="1115" spans="1:16">
      <c r="A1115" t="s">
        <v>211</v>
      </c>
      <c r="B1115" t="s">
        <v>212</v>
      </c>
      <c r="C1115" t="s">
        <v>241</v>
      </c>
      <c r="D1115" t="s">
        <v>242</v>
      </c>
      <c r="E1115">
        <v>20171</v>
      </c>
      <c r="F1115" t="s">
        <v>14</v>
      </c>
      <c r="G1115" t="s">
        <v>101</v>
      </c>
      <c r="H1115">
        <v>0</v>
      </c>
      <c r="I1115">
        <v>0</v>
      </c>
      <c r="J1115">
        <v>20201</v>
      </c>
      <c r="K1115">
        <f>COUNTIF('rEKAP kls MK'!$A$2:$A$35,Worksheet!C1115)</f>
        <v>1</v>
      </c>
      <c r="L1115" t="str">
        <f t="shared" si="68"/>
        <v>F1B115007</v>
      </c>
      <c r="M1115" t="str">
        <f t="shared" si="69"/>
        <v>BAIHAKI</v>
      </c>
      <c r="O1115" t="str">
        <f t="shared" si="70"/>
        <v/>
      </c>
      <c r="P1115" t="str">
        <f t="shared" si="71"/>
        <v/>
      </c>
    </row>
    <row r="1116" spans="1:16">
      <c r="A1116" t="s">
        <v>237</v>
      </c>
      <c r="B1116" t="s">
        <v>238</v>
      </c>
      <c r="C1116" t="s">
        <v>241</v>
      </c>
      <c r="D1116" t="s">
        <v>242</v>
      </c>
      <c r="E1116">
        <v>20171</v>
      </c>
      <c r="F1116" t="s">
        <v>14</v>
      </c>
      <c r="G1116" t="s">
        <v>116</v>
      </c>
      <c r="H1116">
        <v>1.5</v>
      </c>
      <c r="I1116">
        <v>0</v>
      </c>
      <c r="J1116">
        <v>20201</v>
      </c>
      <c r="K1116">
        <f>COUNTIF('rEKAP kls MK'!$A$2:$A$35,Worksheet!C1116)</f>
        <v>1</v>
      </c>
      <c r="L1116" t="str">
        <f t="shared" si="68"/>
        <v>F1B115012</v>
      </c>
      <c r="M1116" t="str">
        <f t="shared" si="69"/>
        <v>HARZA WISNU SAPUTRA</v>
      </c>
      <c r="O1116" t="str">
        <f t="shared" si="70"/>
        <v/>
      </c>
      <c r="P1116" t="str">
        <f t="shared" si="71"/>
        <v/>
      </c>
    </row>
    <row r="1117" spans="1:16">
      <c r="A1117" t="s">
        <v>215</v>
      </c>
      <c r="B1117" t="s">
        <v>216</v>
      </c>
      <c r="C1117" t="s">
        <v>241</v>
      </c>
      <c r="D1117" t="s">
        <v>242</v>
      </c>
      <c r="E1117">
        <v>20171</v>
      </c>
      <c r="F1117" t="s">
        <v>14</v>
      </c>
      <c r="G1117" t="s">
        <v>18</v>
      </c>
      <c r="H1117">
        <v>3</v>
      </c>
      <c r="I1117">
        <v>0</v>
      </c>
      <c r="J1117">
        <v>20201</v>
      </c>
      <c r="K1117">
        <f>COUNTIF('rEKAP kls MK'!$A$2:$A$35,Worksheet!C1117)</f>
        <v>1</v>
      </c>
      <c r="L1117" t="str">
        <f t="shared" si="68"/>
        <v>F1B115014</v>
      </c>
      <c r="M1117" t="str">
        <f t="shared" si="69"/>
        <v>ILHAMUDDIN</v>
      </c>
      <c r="O1117" t="str">
        <f t="shared" si="70"/>
        <v/>
      </c>
      <c r="P1117" t="str">
        <f t="shared" si="71"/>
        <v/>
      </c>
    </row>
    <row r="1118" spans="1:16">
      <c r="A1118" t="s">
        <v>217</v>
      </c>
      <c r="B1118" t="s">
        <v>218</v>
      </c>
      <c r="C1118" t="s">
        <v>241</v>
      </c>
      <c r="D1118" t="s">
        <v>242</v>
      </c>
      <c r="E1118">
        <v>20171</v>
      </c>
      <c r="F1118" t="s">
        <v>14</v>
      </c>
      <c r="G1118" t="s">
        <v>116</v>
      </c>
      <c r="H1118">
        <v>1.5</v>
      </c>
      <c r="I1118">
        <v>0</v>
      </c>
      <c r="J1118">
        <v>20201</v>
      </c>
      <c r="K1118">
        <f>COUNTIF('rEKAP kls MK'!$A$2:$A$35,Worksheet!C1118)</f>
        <v>1</v>
      </c>
      <c r="L1118" t="str">
        <f t="shared" si="68"/>
        <v>F1B115016</v>
      </c>
      <c r="M1118" t="str">
        <f t="shared" si="69"/>
        <v>Imam Syuhada</v>
      </c>
      <c r="O1118" t="str">
        <f t="shared" si="70"/>
        <v/>
      </c>
      <c r="P1118" t="str">
        <f t="shared" si="71"/>
        <v/>
      </c>
    </row>
    <row r="1119" spans="1:16">
      <c r="A1119" t="s">
        <v>191</v>
      </c>
      <c r="B1119" t="s">
        <v>192</v>
      </c>
      <c r="C1119" t="s">
        <v>241</v>
      </c>
      <c r="D1119" t="s">
        <v>242</v>
      </c>
      <c r="E1119">
        <v>20171</v>
      </c>
      <c r="F1119" t="s">
        <v>14</v>
      </c>
      <c r="G1119" t="s">
        <v>26</v>
      </c>
      <c r="H1119">
        <v>2</v>
      </c>
      <c r="I1119">
        <v>0</v>
      </c>
      <c r="J1119">
        <v>20201</v>
      </c>
      <c r="K1119">
        <f>COUNTIF('rEKAP kls MK'!$A$2:$A$35,Worksheet!C1119)</f>
        <v>1</v>
      </c>
      <c r="L1119" t="str">
        <f t="shared" si="68"/>
        <v>F1B115018</v>
      </c>
      <c r="M1119" t="str">
        <f t="shared" si="69"/>
        <v>JANUARMAN MAULANA PUTRA</v>
      </c>
      <c r="O1119" t="str">
        <f t="shared" si="70"/>
        <v/>
      </c>
      <c r="P1119" t="str">
        <f t="shared" si="71"/>
        <v/>
      </c>
    </row>
    <row r="1120" spans="1:16">
      <c r="A1120" t="s">
        <v>243</v>
      </c>
      <c r="B1120" t="s">
        <v>244</v>
      </c>
      <c r="C1120" t="s">
        <v>241</v>
      </c>
      <c r="D1120" t="s">
        <v>242</v>
      </c>
      <c r="E1120">
        <v>20171</v>
      </c>
      <c r="F1120" t="s">
        <v>14</v>
      </c>
      <c r="G1120" t="s">
        <v>15</v>
      </c>
      <c r="H1120">
        <v>0</v>
      </c>
      <c r="I1120">
        <v>0</v>
      </c>
      <c r="J1120">
        <v>20201</v>
      </c>
      <c r="K1120">
        <f>COUNTIF('rEKAP kls MK'!$A$2:$A$35,Worksheet!C1120)</f>
        <v>1</v>
      </c>
      <c r="L1120" t="str">
        <f t="shared" si="68"/>
        <v>F1B115019</v>
      </c>
      <c r="M1120" t="str">
        <f t="shared" si="69"/>
        <v>Jumriati</v>
      </c>
      <c r="O1120" t="str">
        <f t="shared" si="70"/>
        <v/>
      </c>
      <c r="P1120" t="str">
        <f t="shared" si="71"/>
        <v/>
      </c>
    </row>
    <row r="1121" spans="1:16">
      <c r="A1121" t="s">
        <v>221</v>
      </c>
      <c r="B1121" t="s">
        <v>222</v>
      </c>
      <c r="C1121" t="s">
        <v>241</v>
      </c>
      <c r="D1121" t="s">
        <v>242</v>
      </c>
      <c r="E1121">
        <v>20171</v>
      </c>
      <c r="F1121" t="s">
        <v>14</v>
      </c>
      <c r="G1121" t="s">
        <v>125</v>
      </c>
      <c r="H1121">
        <v>1</v>
      </c>
      <c r="I1121">
        <v>0</v>
      </c>
      <c r="J1121">
        <v>20201</v>
      </c>
      <c r="K1121">
        <f>COUNTIF('rEKAP kls MK'!$A$2:$A$35,Worksheet!C1121)</f>
        <v>1</v>
      </c>
      <c r="L1121" t="str">
        <f t="shared" si="68"/>
        <v>F1B115021</v>
      </c>
      <c r="M1121" t="str">
        <f t="shared" si="69"/>
        <v>LALU TRIAWANRI NOVIANUNG</v>
      </c>
      <c r="O1121" t="str">
        <f t="shared" si="70"/>
        <v/>
      </c>
      <c r="P1121" t="str">
        <f t="shared" si="71"/>
        <v/>
      </c>
    </row>
    <row r="1122" spans="1:16">
      <c r="A1122" t="s">
        <v>225</v>
      </c>
      <c r="B1122" t="s">
        <v>226</v>
      </c>
      <c r="C1122" t="s">
        <v>241</v>
      </c>
      <c r="D1122" t="s">
        <v>242</v>
      </c>
      <c r="E1122">
        <v>20171</v>
      </c>
      <c r="F1122" t="s">
        <v>14</v>
      </c>
      <c r="G1122" t="s">
        <v>125</v>
      </c>
      <c r="H1122">
        <v>1</v>
      </c>
      <c r="I1122">
        <v>0</v>
      </c>
      <c r="J1122">
        <v>20201</v>
      </c>
      <c r="K1122">
        <f>COUNTIF('rEKAP kls MK'!$A$2:$A$35,Worksheet!C1122)</f>
        <v>1</v>
      </c>
      <c r="L1122" t="str">
        <f t="shared" si="68"/>
        <v>F1B115023</v>
      </c>
      <c r="M1122" t="str">
        <f t="shared" si="69"/>
        <v>M Habibillah</v>
      </c>
      <c r="O1122" t="str">
        <f t="shared" si="70"/>
        <v/>
      </c>
      <c r="P1122" t="str">
        <f t="shared" si="71"/>
        <v/>
      </c>
    </row>
    <row r="1123" spans="1:16">
      <c r="A1123" t="s">
        <v>193</v>
      </c>
      <c r="B1123" t="s">
        <v>194</v>
      </c>
      <c r="C1123" t="s">
        <v>241</v>
      </c>
      <c r="D1123" t="s">
        <v>242</v>
      </c>
      <c r="E1123">
        <v>20171</v>
      </c>
      <c r="F1123" t="s">
        <v>14</v>
      </c>
      <c r="G1123" t="s">
        <v>116</v>
      </c>
      <c r="H1123">
        <v>1.5</v>
      </c>
      <c r="I1123">
        <v>0</v>
      </c>
      <c r="J1123">
        <v>20201</v>
      </c>
      <c r="K1123">
        <f>COUNTIF('rEKAP kls MK'!$A$2:$A$35,Worksheet!C1123)</f>
        <v>1</v>
      </c>
      <c r="L1123" t="str">
        <f t="shared" si="68"/>
        <v>F1B115026</v>
      </c>
      <c r="M1123" t="str">
        <f t="shared" si="69"/>
        <v>MUCHAMMAD BAGIR</v>
      </c>
      <c r="O1123" t="str">
        <f t="shared" si="70"/>
        <v/>
      </c>
      <c r="P1123" t="str">
        <f t="shared" si="71"/>
        <v/>
      </c>
    </row>
    <row r="1124" spans="1:16">
      <c r="A1124" t="s">
        <v>231</v>
      </c>
      <c r="B1124" t="s">
        <v>232</v>
      </c>
      <c r="C1124" t="s">
        <v>241</v>
      </c>
      <c r="D1124" t="s">
        <v>242</v>
      </c>
      <c r="E1124">
        <v>20171</v>
      </c>
      <c r="F1124" t="s">
        <v>14</v>
      </c>
      <c r="G1124" t="s">
        <v>101</v>
      </c>
      <c r="H1124">
        <v>0</v>
      </c>
      <c r="I1124">
        <v>0</v>
      </c>
      <c r="J1124">
        <v>20201</v>
      </c>
      <c r="K1124">
        <f>COUNTIF('rEKAP kls MK'!$A$2:$A$35,Worksheet!C1124)</f>
        <v>1</v>
      </c>
      <c r="L1124" t="str">
        <f t="shared" si="68"/>
        <v>F1B115030</v>
      </c>
      <c r="M1124" t="str">
        <f t="shared" si="69"/>
        <v>MUHAMMAD FIQRIL</v>
      </c>
      <c r="O1124" t="str">
        <f t="shared" si="70"/>
        <v/>
      </c>
      <c r="P1124" t="str">
        <f t="shared" si="71"/>
        <v/>
      </c>
    </row>
    <row r="1125" spans="1:16">
      <c r="A1125" t="s">
        <v>233</v>
      </c>
      <c r="B1125" t="s">
        <v>234</v>
      </c>
      <c r="C1125" t="s">
        <v>241</v>
      </c>
      <c r="D1125" t="s">
        <v>242</v>
      </c>
      <c r="E1125">
        <v>20171</v>
      </c>
      <c r="F1125" t="s">
        <v>14</v>
      </c>
      <c r="G1125" t="s">
        <v>101</v>
      </c>
      <c r="H1125">
        <v>0</v>
      </c>
      <c r="I1125">
        <v>0</v>
      </c>
      <c r="J1125">
        <v>20201</v>
      </c>
      <c r="K1125">
        <f>COUNTIF('rEKAP kls MK'!$A$2:$A$35,Worksheet!C1125)</f>
        <v>1</v>
      </c>
      <c r="L1125" t="str">
        <f t="shared" si="68"/>
        <v>F1B115031</v>
      </c>
      <c r="M1125" t="str">
        <f t="shared" si="69"/>
        <v>Muhammad Riza Pratama S</v>
      </c>
      <c r="O1125" t="str">
        <f t="shared" si="70"/>
        <v/>
      </c>
      <c r="P1125" t="str">
        <f t="shared" si="71"/>
        <v/>
      </c>
    </row>
    <row r="1126" spans="1:16">
      <c r="A1126" t="s">
        <v>187</v>
      </c>
      <c r="B1126" t="s">
        <v>188</v>
      </c>
      <c r="C1126" t="s">
        <v>241</v>
      </c>
      <c r="D1126" t="s">
        <v>242</v>
      </c>
      <c r="E1126">
        <v>20171</v>
      </c>
      <c r="F1126" t="s">
        <v>14</v>
      </c>
      <c r="G1126" t="s">
        <v>18</v>
      </c>
      <c r="H1126">
        <v>3</v>
      </c>
      <c r="I1126">
        <v>0</v>
      </c>
      <c r="J1126">
        <v>20201</v>
      </c>
      <c r="K1126">
        <f>COUNTIF('rEKAP kls MK'!$A$2:$A$35,Worksheet!C1126)</f>
        <v>1</v>
      </c>
      <c r="L1126" t="str">
        <f t="shared" si="68"/>
        <v>F1B115032</v>
      </c>
      <c r="M1126" t="str">
        <f t="shared" si="69"/>
        <v>Muhammad Rozziq Syaputra</v>
      </c>
      <c r="O1126" t="str">
        <f t="shared" si="70"/>
        <v/>
      </c>
      <c r="P1126" t="str">
        <f t="shared" si="71"/>
        <v/>
      </c>
    </row>
    <row r="1127" spans="1:16">
      <c r="A1127" t="s">
        <v>195</v>
      </c>
      <c r="B1127" t="s">
        <v>196</v>
      </c>
      <c r="C1127" t="s">
        <v>241</v>
      </c>
      <c r="D1127" t="s">
        <v>242</v>
      </c>
      <c r="E1127">
        <v>20171</v>
      </c>
      <c r="F1127" t="s">
        <v>14</v>
      </c>
      <c r="G1127" t="s">
        <v>26</v>
      </c>
      <c r="H1127">
        <v>2</v>
      </c>
      <c r="I1127">
        <v>0</v>
      </c>
      <c r="J1127">
        <v>20201</v>
      </c>
      <c r="K1127">
        <f>COUNTIF('rEKAP kls MK'!$A$2:$A$35,Worksheet!C1127)</f>
        <v>1</v>
      </c>
      <c r="L1127" t="str">
        <f t="shared" si="68"/>
        <v>F1B115034</v>
      </c>
      <c r="M1127" t="str">
        <f t="shared" si="69"/>
        <v>NAUFAL ATSAURI</v>
      </c>
      <c r="O1127" t="str">
        <f t="shared" si="70"/>
        <v/>
      </c>
      <c r="P1127" t="str">
        <f t="shared" si="71"/>
        <v/>
      </c>
    </row>
    <row r="1128" spans="1:16">
      <c r="A1128" t="s">
        <v>132</v>
      </c>
      <c r="B1128" t="s">
        <v>133</v>
      </c>
      <c r="C1128" t="s">
        <v>245</v>
      </c>
      <c r="D1128" t="s">
        <v>246</v>
      </c>
      <c r="E1128">
        <v>20171</v>
      </c>
      <c r="F1128" t="s">
        <v>14</v>
      </c>
      <c r="G1128" t="s">
        <v>82</v>
      </c>
      <c r="H1128">
        <v>4</v>
      </c>
      <c r="I1128">
        <v>0</v>
      </c>
      <c r="J1128">
        <v>20201</v>
      </c>
      <c r="K1128">
        <f>COUNTIF('rEKAP kls MK'!$A$2:$A$35,Worksheet!C1128)</f>
        <v>2</v>
      </c>
      <c r="L1128" t="str">
        <f t="shared" si="68"/>
        <v>F1B113013</v>
      </c>
      <c r="M1128" t="str">
        <f t="shared" si="69"/>
        <v>I NENGAH AGUS YOGI A</v>
      </c>
      <c r="O1128" t="str">
        <f t="shared" si="70"/>
        <v>SISTEM MIKROPROSESOR</v>
      </c>
      <c r="P1128" t="str">
        <f t="shared" si="71"/>
        <v/>
      </c>
    </row>
    <row r="1129" spans="1:16">
      <c r="A1129" t="s">
        <v>177</v>
      </c>
      <c r="B1129" t="s">
        <v>178</v>
      </c>
      <c r="C1129" t="s">
        <v>245</v>
      </c>
      <c r="D1129" t="s">
        <v>246</v>
      </c>
      <c r="E1129">
        <v>20171</v>
      </c>
      <c r="F1129" t="s">
        <v>14</v>
      </c>
      <c r="G1129" t="s">
        <v>15</v>
      </c>
      <c r="H1129">
        <v>0</v>
      </c>
      <c r="I1129">
        <v>0</v>
      </c>
      <c r="J1129">
        <v>20201</v>
      </c>
      <c r="K1129">
        <f>COUNTIF('rEKAP kls MK'!$A$2:$A$35,Worksheet!C1129)</f>
        <v>2</v>
      </c>
      <c r="L1129" t="str">
        <f t="shared" si="68"/>
        <v>F1B111030</v>
      </c>
      <c r="M1129" t="str">
        <f t="shared" si="69"/>
        <v>Islahudin</v>
      </c>
      <c r="O1129" t="str">
        <f t="shared" si="70"/>
        <v/>
      </c>
      <c r="P1129" t="str">
        <f t="shared" si="71"/>
        <v/>
      </c>
    </row>
    <row r="1130" spans="1:16">
      <c r="A1130" t="s">
        <v>104</v>
      </c>
      <c r="B1130" t="s">
        <v>105</v>
      </c>
      <c r="C1130" t="s">
        <v>245</v>
      </c>
      <c r="D1130" t="s">
        <v>246</v>
      </c>
      <c r="E1130">
        <v>20171</v>
      </c>
      <c r="F1130" t="s">
        <v>14</v>
      </c>
      <c r="G1130" t="s">
        <v>82</v>
      </c>
      <c r="H1130">
        <v>4</v>
      </c>
      <c r="I1130">
        <v>0</v>
      </c>
      <c r="J1130">
        <v>20201</v>
      </c>
      <c r="K1130">
        <f>COUNTIF('rEKAP kls MK'!$A$2:$A$35,Worksheet!C1130)</f>
        <v>2</v>
      </c>
      <c r="L1130" t="str">
        <f t="shared" si="68"/>
        <v>F1B111059</v>
      </c>
      <c r="M1130" t="str">
        <f t="shared" si="69"/>
        <v>Nukrah</v>
      </c>
      <c r="O1130" t="str">
        <f t="shared" si="70"/>
        <v/>
      </c>
      <c r="P1130" t="str">
        <f t="shared" si="71"/>
        <v/>
      </c>
    </row>
    <row r="1131" spans="1:16">
      <c r="A1131" t="s">
        <v>106</v>
      </c>
      <c r="B1131" t="s">
        <v>107</v>
      </c>
      <c r="C1131" t="s">
        <v>245</v>
      </c>
      <c r="D1131" t="s">
        <v>246</v>
      </c>
      <c r="E1131">
        <v>20171</v>
      </c>
      <c r="F1131" t="s">
        <v>14</v>
      </c>
      <c r="G1131" t="s">
        <v>51</v>
      </c>
      <c r="H1131">
        <v>3.5</v>
      </c>
      <c r="I1131">
        <v>0</v>
      </c>
      <c r="J1131">
        <v>20201</v>
      </c>
      <c r="K1131">
        <f>COUNTIF('rEKAP kls MK'!$A$2:$A$35,Worksheet!C1131)</f>
        <v>2</v>
      </c>
      <c r="L1131" t="str">
        <f t="shared" si="68"/>
        <v>F1B112003</v>
      </c>
      <c r="M1131" t="str">
        <f t="shared" si="69"/>
        <v>Aditya Kadarusman</v>
      </c>
      <c r="O1131" t="str">
        <f t="shared" si="70"/>
        <v/>
      </c>
      <c r="P1131" t="str">
        <f t="shared" si="71"/>
        <v/>
      </c>
    </row>
    <row r="1132" spans="1:16">
      <c r="A1132" t="s">
        <v>16</v>
      </c>
      <c r="B1132" t="s">
        <v>17</v>
      </c>
      <c r="C1132" t="s">
        <v>245</v>
      </c>
      <c r="D1132" t="s">
        <v>246</v>
      </c>
      <c r="E1132">
        <v>20171</v>
      </c>
      <c r="F1132" t="s">
        <v>14</v>
      </c>
      <c r="G1132" t="s">
        <v>51</v>
      </c>
      <c r="H1132">
        <v>3.5</v>
      </c>
      <c r="I1132">
        <v>0</v>
      </c>
      <c r="J1132">
        <v>20201</v>
      </c>
      <c r="K1132">
        <f>COUNTIF('rEKAP kls MK'!$A$2:$A$35,Worksheet!C1132)</f>
        <v>2</v>
      </c>
      <c r="L1132" t="str">
        <f t="shared" si="68"/>
        <v>F1B112042</v>
      </c>
      <c r="M1132" t="str">
        <f t="shared" si="69"/>
        <v>Muhammad Satriawan A</v>
      </c>
      <c r="O1132" t="str">
        <f t="shared" si="70"/>
        <v/>
      </c>
      <c r="P1132" t="str">
        <f t="shared" si="71"/>
        <v/>
      </c>
    </row>
    <row r="1133" spans="1:16">
      <c r="A1133" t="s">
        <v>217</v>
      </c>
      <c r="B1133" t="s">
        <v>218</v>
      </c>
      <c r="C1133" t="s">
        <v>245</v>
      </c>
      <c r="D1133" t="s">
        <v>246</v>
      </c>
      <c r="E1133">
        <v>20171</v>
      </c>
      <c r="F1133" t="s">
        <v>14</v>
      </c>
      <c r="G1133" t="s">
        <v>82</v>
      </c>
      <c r="H1133">
        <v>4</v>
      </c>
      <c r="I1133">
        <v>0</v>
      </c>
      <c r="J1133">
        <v>20201</v>
      </c>
      <c r="K1133">
        <f>COUNTIF('rEKAP kls MK'!$A$2:$A$35,Worksheet!C1133)</f>
        <v>2</v>
      </c>
      <c r="L1133" t="str">
        <f t="shared" si="68"/>
        <v>F1B115016</v>
      </c>
      <c r="M1133" t="str">
        <f t="shared" si="69"/>
        <v>Imam Syuhada</v>
      </c>
      <c r="O1133" t="str">
        <f t="shared" si="70"/>
        <v/>
      </c>
      <c r="P1133" t="str">
        <f t="shared" si="71"/>
        <v/>
      </c>
    </row>
    <row r="1134" spans="1:16">
      <c r="A1134" t="s">
        <v>225</v>
      </c>
      <c r="B1134" t="s">
        <v>226</v>
      </c>
      <c r="C1134" t="s">
        <v>245</v>
      </c>
      <c r="D1134" t="s">
        <v>246</v>
      </c>
      <c r="E1134">
        <v>20171</v>
      </c>
      <c r="F1134" t="s">
        <v>14</v>
      </c>
      <c r="G1134" t="s">
        <v>82</v>
      </c>
      <c r="H1134">
        <v>4</v>
      </c>
      <c r="I1134">
        <v>0</v>
      </c>
      <c r="J1134">
        <v>20201</v>
      </c>
      <c r="K1134">
        <f>COUNTIF('rEKAP kls MK'!$A$2:$A$35,Worksheet!C1134)</f>
        <v>2</v>
      </c>
      <c r="L1134" t="str">
        <f t="shared" si="68"/>
        <v>F1B115023</v>
      </c>
      <c r="M1134" t="str">
        <f t="shared" si="69"/>
        <v>M Habibillah</v>
      </c>
      <c r="O1134" t="str">
        <f t="shared" si="70"/>
        <v/>
      </c>
      <c r="P1134" t="str">
        <f t="shared" si="71"/>
        <v/>
      </c>
    </row>
    <row r="1135" spans="1:16">
      <c r="A1135" t="s">
        <v>233</v>
      </c>
      <c r="B1135" t="s">
        <v>234</v>
      </c>
      <c r="C1135" t="s">
        <v>245</v>
      </c>
      <c r="D1135" t="s">
        <v>246</v>
      </c>
      <c r="E1135">
        <v>20171</v>
      </c>
      <c r="F1135" t="s">
        <v>14</v>
      </c>
      <c r="G1135" t="s">
        <v>82</v>
      </c>
      <c r="H1135">
        <v>4</v>
      </c>
      <c r="I1135">
        <v>0</v>
      </c>
      <c r="J1135">
        <v>20201</v>
      </c>
      <c r="K1135">
        <f>COUNTIF('rEKAP kls MK'!$A$2:$A$35,Worksheet!C1135)</f>
        <v>2</v>
      </c>
      <c r="L1135" t="str">
        <f t="shared" si="68"/>
        <v>F1B115031</v>
      </c>
      <c r="M1135" t="str">
        <f t="shared" si="69"/>
        <v>Muhammad Riza Pratama S</v>
      </c>
      <c r="O1135" t="str">
        <f t="shared" si="70"/>
        <v/>
      </c>
      <c r="P1135" t="str">
        <f t="shared" si="71"/>
        <v/>
      </c>
    </row>
    <row r="1136" spans="1:16">
      <c r="A1136" t="s">
        <v>16</v>
      </c>
      <c r="B1136" t="s">
        <v>17</v>
      </c>
      <c r="C1136" t="s">
        <v>450</v>
      </c>
      <c r="D1136" t="s">
        <v>451</v>
      </c>
      <c r="E1136">
        <v>20171</v>
      </c>
      <c r="F1136" t="s">
        <v>14</v>
      </c>
      <c r="G1136" t="s">
        <v>23</v>
      </c>
      <c r="H1136">
        <v>2.5</v>
      </c>
      <c r="I1136">
        <v>0</v>
      </c>
      <c r="J1136">
        <v>20201</v>
      </c>
      <c r="K1136">
        <f>COUNTIF('rEKAP kls MK'!$A$2:$A$35,Worksheet!C1136)</f>
        <v>1</v>
      </c>
      <c r="L1136" t="str">
        <f t="shared" si="68"/>
        <v>F1B112042</v>
      </c>
      <c r="M1136" t="str">
        <f t="shared" si="69"/>
        <v>Muhammad Satriawan A</v>
      </c>
      <c r="O1136" t="str">
        <f t="shared" si="70"/>
        <v>SISTEM SCADA</v>
      </c>
      <c r="P1136" t="str">
        <f t="shared" si="71"/>
        <v/>
      </c>
    </row>
    <row r="1137" spans="1:16">
      <c r="A1137" t="s">
        <v>45</v>
      </c>
      <c r="B1137" t="s">
        <v>46</v>
      </c>
      <c r="C1137" t="s">
        <v>450</v>
      </c>
      <c r="D1137" t="s">
        <v>451</v>
      </c>
      <c r="E1137">
        <v>20171</v>
      </c>
      <c r="F1137" t="s">
        <v>14</v>
      </c>
      <c r="G1137" t="s">
        <v>18</v>
      </c>
      <c r="H1137">
        <v>3</v>
      </c>
      <c r="I1137">
        <v>0</v>
      </c>
      <c r="J1137">
        <v>20201</v>
      </c>
      <c r="K1137">
        <f>COUNTIF('rEKAP kls MK'!$A$2:$A$35,Worksheet!C1137)</f>
        <v>1</v>
      </c>
      <c r="L1137" t="str">
        <f t="shared" si="68"/>
        <v>F1B114001</v>
      </c>
      <c r="M1137" t="str">
        <f t="shared" si="69"/>
        <v>ADI PURNA</v>
      </c>
      <c r="O1137" t="str">
        <f t="shared" si="70"/>
        <v/>
      </c>
      <c r="P1137" t="str">
        <f t="shared" si="71"/>
        <v/>
      </c>
    </row>
    <row r="1138" spans="1:16">
      <c r="A1138" t="s">
        <v>140</v>
      </c>
      <c r="B1138" t="s">
        <v>141</v>
      </c>
      <c r="C1138" t="s">
        <v>450</v>
      </c>
      <c r="D1138" t="s">
        <v>451</v>
      </c>
      <c r="E1138">
        <v>20171</v>
      </c>
      <c r="F1138" t="s">
        <v>14</v>
      </c>
      <c r="G1138" t="s">
        <v>18</v>
      </c>
      <c r="H1138">
        <v>3</v>
      </c>
      <c r="I1138">
        <v>0</v>
      </c>
      <c r="J1138">
        <v>20201</v>
      </c>
      <c r="K1138">
        <f>COUNTIF('rEKAP kls MK'!$A$2:$A$35,Worksheet!C1138)</f>
        <v>1</v>
      </c>
      <c r="L1138" t="str">
        <f t="shared" si="68"/>
        <v>F1B114003</v>
      </c>
      <c r="M1138" t="str">
        <f t="shared" si="69"/>
        <v>AGUS SUPANDI</v>
      </c>
      <c r="O1138" t="str">
        <f t="shared" si="70"/>
        <v/>
      </c>
      <c r="P1138" t="str">
        <f t="shared" si="71"/>
        <v/>
      </c>
    </row>
    <row r="1139" spans="1:16">
      <c r="A1139" t="s">
        <v>47</v>
      </c>
      <c r="B1139" t="s">
        <v>48</v>
      </c>
      <c r="C1139" t="s">
        <v>450</v>
      </c>
      <c r="D1139" t="s">
        <v>451</v>
      </c>
      <c r="E1139">
        <v>20171</v>
      </c>
      <c r="F1139" t="s">
        <v>14</v>
      </c>
      <c r="G1139" t="s">
        <v>18</v>
      </c>
      <c r="H1139">
        <v>3</v>
      </c>
      <c r="I1139">
        <v>0</v>
      </c>
      <c r="J1139">
        <v>20201</v>
      </c>
      <c r="K1139">
        <f>COUNTIF('rEKAP kls MK'!$A$2:$A$35,Worksheet!C1139)</f>
        <v>1</v>
      </c>
      <c r="L1139" t="str">
        <f t="shared" si="68"/>
        <v>F1B114004</v>
      </c>
      <c r="M1139" t="str">
        <f t="shared" si="69"/>
        <v>AKHMAD AKHIR BULAN</v>
      </c>
      <c r="O1139" t="str">
        <f t="shared" si="70"/>
        <v/>
      </c>
      <c r="P1139" t="str">
        <f t="shared" si="71"/>
        <v/>
      </c>
    </row>
    <row r="1140" spans="1:16">
      <c r="A1140" t="s">
        <v>261</v>
      </c>
      <c r="B1140" t="s">
        <v>262</v>
      </c>
      <c r="C1140" t="s">
        <v>450</v>
      </c>
      <c r="D1140" t="s">
        <v>451</v>
      </c>
      <c r="E1140">
        <v>20171</v>
      </c>
      <c r="F1140" t="s">
        <v>14</v>
      </c>
      <c r="G1140" t="s">
        <v>18</v>
      </c>
      <c r="H1140">
        <v>3</v>
      </c>
      <c r="I1140">
        <v>0</v>
      </c>
      <c r="J1140">
        <v>20201</v>
      </c>
      <c r="K1140">
        <f>COUNTIF('rEKAP kls MK'!$A$2:$A$35,Worksheet!C1140)</f>
        <v>1</v>
      </c>
      <c r="L1140" t="str">
        <f t="shared" si="68"/>
        <v>F1B114006</v>
      </c>
      <c r="M1140" t="str">
        <f t="shared" si="69"/>
        <v>BAYU RAMADHAN</v>
      </c>
      <c r="O1140" t="str">
        <f t="shared" si="70"/>
        <v/>
      </c>
      <c r="P1140" t="str">
        <f t="shared" si="71"/>
        <v/>
      </c>
    </row>
    <row r="1141" spans="1:16">
      <c r="A1141" t="s">
        <v>52</v>
      </c>
      <c r="B1141" t="s">
        <v>53</v>
      </c>
      <c r="C1141" t="s">
        <v>450</v>
      </c>
      <c r="D1141" t="s">
        <v>451</v>
      </c>
      <c r="E1141">
        <v>20171</v>
      </c>
      <c r="F1141" t="s">
        <v>14</v>
      </c>
      <c r="G1141" t="s">
        <v>18</v>
      </c>
      <c r="H1141">
        <v>3</v>
      </c>
      <c r="I1141">
        <v>0</v>
      </c>
      <c r="J1141">
        <v>20201</v>
      </c>
      <c r="K1141">
        <f>COUNTIF('rEKAP kls MK'!$A$2:$A$35,Worksheet!C1141)</f>
        <v>1</v>
      </c>
      <c r="L1141" t="str">
        <f t="shared" si="68"/>
        <v>F1B114014</v>
      </c>
      <c r="M1141" t="str">
        <f t="shared" si="69"/>
        <v>HAMDUN</v>
      </c>
      <c r="O1141" t="str">
        <f t="shared" si="70"/>
        <v/>
      </c>
      <c r="P1141" t="str">
        <f t="shared" si="71"/>
        <v/>
      </c>
    </row>
    <row r="1142" spans="1:16">
      <c r="A1142" t="s">
        <v>163</v>
      </c>
      <c r="B1142" t="s">
        <v>164</v>
      </c>
      <c r="C1142" t="s">
        <v>450</v>
      </c>
      <c r="D1142" t="s">
        <v>451</v>
      </c>
      <c r="E1142">
        <v>20171</v>
      </c>
      <c r="F1142" t="s">
        <v>14</v>
      </c>
      <c r="G1142" t="s">
        <v>18</v>
      </c>
      <c r="H1142">
        <v>3</v>
      </c>
      <c r="I1142">
        <v>0</v>
      </c>
      <c r="J1142">
        <v>20201</v>
      </c>
      <c r="K1142">
        <f>COUNTIF('rEKAP kls MK'!$A$2:$A$35,Worksheet!C1142)</f>
        <v>1</v>
      </c>
      <c r="L1142" t="str">
        <f t="shared" si="68"/>
        <v>F1B114016</v>
      </c>
      <c r="M1142" t="str">
        <f t="shared" si="69"/>
        <v>HERLAN</v>
      </c>
      <c r="O1142" t="str">
        <f t="shared" si="70"/>
        <v/>
      </c>
      <c r="P1142" t="str">
        <f t="shared" si="71"/>
        <v/>
      </c>
    </row>
    <row r="1143" spans="1:16">
      <c r="A1143" t="s">
        <v>263</v>
      </c>
      <c r="B1143" t="s">
        <v>264</v>
      </c>
      <c r="C1143" t="s">
        <v>450</v>
      </c>
      <c r="D1143" t="s">
        <v>451</v>
      </c>
      <c r="E1143">
        <v>20171</v>
      </c>
      <c r="F1143" t="s">
        <v>14</v>
      </c>
      <c r="G1143" t="s">
        <v>18</v>
      </c>
      <c r="H1143">
        <v>3</v>
      </c>
      <c r="I1143">
        <v>0</v>
      </c>
      <c r="J1143">
        <v>20201</v>
      </c>
      <c r="K1143">
        <f>COUNTIF('rEKAP kls MK'!$A$2:$A$35,Worksheet!C1143)</f>
        <v>1</v>
      </c>
      <c r="L1143" t="str">
        <f t="shared" si="68"/>
        <v>F1B114017</v>
      </c>
      <c r="M1143" t="str">
        <f t="shared" si="69"/>
        <v>HIDAYATUR RAHMAN</v>
      </c>
      <c r="O1143" t="str">
        <f t="shared" si="70"/>
        <v/>
      </c>
      <c r="P1143" t="str">
        <f t="shared" si="71"/>
        <v/>
      </c>
    </row>
    <row r="1144" spans="1:16">
      <c r="A1144" t="s">
        <v>265</v>
      </c>
      <c r="B1144" t="s">
        <v>266</v>
      </c>
      <c r="C1144" t="s">
        <v>450</v>
      </c>
      <c r="D1144" t="s">
        <v>451</v>
      </c>
      <c r="E1144">
        <v>20171</v>
      </c>
      <c r="F1144" t="s">
        <v>14</v>
      </c>
      <c r="G1144" t="s">
        <v>23</v>
      </c>
      <c r="H1144">
        <v>2.5</v>
      </c>
      <c r="I1144">
        <v>0</v>
      </c>
      <c r="J1144">
        <v>20201</v>
      </c>
      <c r="K1144">
        <f>COUNTIF('rEKAP kls MK'!$A$2:$A$35,Worksheet!C1144)</f>
        <v>1</v>
      </c>
      <c r="L1144" t="str">
        <f t="shared" si="68"/>
        <v>F1B114020</v>
      </c>
      <c r="M1144" t="str">
        <f t="shared" si="69"/>
        <v>IMRAN</v>
      </c>
      <c r="O1144" t="str">
        <f t="shared" si="70"/>
        <v/>
      </c>
      <c r="P1144" t="str">
        <f t="shared" si="71"/>
        <v/>
      </c>
    </row>
    <row r="1145" spans="1:16">
      <c r="A1145" t="s">
        <v>267</v>
      </c>
      <c r="B1145" t="s">
        <v>268</v>
      </c>
      <c r="C1145" t="s">
        <v>450</v>
      </c>
      <c r="D1145" t="s">
        <v>451</v>
      </c>
      <c r="E1145">
        <v>20171</v>
      </c>
      <c r="F1145" t="s">
        <v>14</v>
      </c>
      <c r="G1145" t="s">
        <v>18</v>
      </c>
      <c r="H1145">
        <v>3</v>
      </c>
      <c r="I1145">
        <v>0</v>
      </c>
      <c r="J1145">
        <v>20201</v>
      </c>
      <c r="K1145">
        <f>COUNTIF('rEKAP kls MK'!$A$2:$A$35,Worksheet!C1145)</f>
        <v>1</v>
      </c>
      <c r="L1145" t="str">
        <f t="shared" si="68"/>
        <v>F1B114025</v>
      </c>
      <c r="M1145" t="str">
        <f t="shared" si="69"/>
        <v>MUAMMAR GHIRAHANDI HAMARIS</v>
      </c>
      <c r="O1145" t="str">
        <f t="shared" si="70"/>
        <v/>
      </c>
      <c r="P1145" t="str">
        <f t="shared" si="71"/>
        <v/>
      </c>
    </row>
    <row r="1146" spans="1:16">
      <c r="A1146" t="s">
        <v>117</v>
      </c>
      <c r="B1146" t="s">
        <v>118</v>
      </c>
      <c r="C1146" t="s">
        <v>450</v>
      </c>
      <c r="D1146" t="s">
        <v>451</v>
      </c>
      <c r="E1146">
        <v>20171</v>
      </c>
      <c r="F1146" t="s">
        <v>14</v>
      </c>
      <c r="G1146" t="s">
        <v>18</v>
      </c>
      <c r="H1146">
        <v>3</v>
      </c>
      <c r="I1146">
        <v>0</v>
      </c>
      <c r="J1146">
        <v>20201</v>
      </c>
      <c r="K1146">
        <f>COUNTIF('rEKAP kls MK'!$A$2:$A$35,Worksheet!C1146)</f>
        <v>1</v>
      </c>
      <c r="L1146" t="str">
        <f t="shared" si="68"/>
        <v>F1B115002</v>
      </c>
      <c r="M1146" t="str">
        <f t="shared" si="69"/>
        <v>AGUS SUPRIADI</v>
      </c>
      <c r="O1146" t="str">
        <f t="shared" si="70"/>
        <v/>
      </c>
      <c r="P1146" t="str">
        <f t="shared" si="71"/>
        <v/>
      </c>
    </row>
    <row r="1147" spans="1:16">
      <c r="A1147" t="s">
        <v>119</v>
      </c>
      <c r="B1147" t="s">
        <v>120</v>
      </c>
      <c r="C1147" t="s">
        <v>450</v>
      </c>
      <c r="D1147" t="s">
        <v>451</v>
      </c>
      <c r="E1147">
        <v>20171</v>
      </c>
      <c r="F1147" t="s">
        <v>14</v>
      </c>
      <c r="G1147" t="s">
        <v>18</v>
      </c>
      <c r="H1147">
        <v>3</v>
      </c>
      <c r="I1147">
        <v>0</v>
      </c>
      <c r="J1147">
        <v>20201</v>
      </c>
      <c r="K1147">
        <f>COUNTIF('rEKAP kls MK'!$A$2:$A$35,Worksheet!C1147)</f>
        <v>1</v>
      </c>
      <c r="L1147" t="str">
        <f t="shared" si="68"/>
        <v>F1B115008</v>
      </c>
      <c r="M1147" t="str">
        <f t="shared" si="69"/>
        <v>ESI BIRAHMATIHI</v>
      </c>
      <c r="O1147" t="str">
        <f t="shared" si="70"/>
        <v/>
      </c>
      <c r="P1147" t="str">
        <f t="shared" si="71"/>
        <v/>
      </c>
    </row>
    <row r="1148" spans="1:16">
      <c r="A1148" t="s">
        <v>213</v>
      </c>
      <c r="B1148" t="s">
        <v>214</v>
      </c>
      <c r="C1148" t="s">
        <v>450</v>
      </c>
      <c r="D1148" t="s">
        <v>451</v>
      </c>
      <c r="E1148">
        <v>20171</v>
      </c>
      <c r="F1148" t="s">
        <v>14</v>
      </c>
      <c r="G1148" t="s">
        <v>18</v>
      </c>
      <c r="H1148">
        <v>3</v>
      </c>
      <c r="I1148">
        <v>0</v>
      </c>
      <c r="J1148">
        <v>20201</v>
      </c>
      <c r="K1148">
        <f>COUNTIF('rEKAP kls MK'!$A$2:$A$35,Worksheet!C1148)</f>
        <v>1</v>
      </c>
      <c r="L1148" t="str">
        <f t="shared" si="68"/>
        <v>F1B115009</v>
      </c>
      <c r="M1148" t="str">
        <f t="shared" si="69"/>
        <v>FADILAH KURNIATI</v>
      </c>
      <c r="O1148" t="str">
        <f t="shared" si="70"/>
        <v/>
      </c>
      <c r="P1148" t="str">
        <f t="shared" si="71"/>
        <v/>
      </c>
    </row>
    <row r="1149" spans="1:16">
      <c r="A1149" t="s">
        <v>223</v>
      </c>
      <c r="B1149" t="s">
        <v>224</v>
      </c>
      <c r="C1149" t="s">
        <v>450</v>
      </c>
      <c r="D1149" t="s">
        <v>451</v>
      </c>
      <c r="E1149">
        <v>20171</v>
      </c>
      <c r="F1149" t="s">
        <v>14</v>
      </c>
      <c r="G1149" t="s">
        <v>18</v>
      </c>
      <c r="H1149">
        <v>3</v>
      </c>
      <c r="I1149">
        <v>0</v>
      </c>
      <c r="J1149">
        <v>20201</v>
      </c>
      <c r="K1149">
        <f>COUNTIF('rEKAP kls MK'!$A$2:$A$35,Worksheet!C1149)</f>
        <v>1</v>
      </c>
      <c r="L1149" t="str">
        <f t="shared" si="68"/>
        <v>F1B115022</v>
      </c>
      <c r="M1149" t="str">
        <f t="shared" si="69"/>
        <v>LAZARINA MARIANA</v>
      </c>
      <c r="O1149" t="str">
        <f t="shared" si="70"/>
        <v/>
      </c>
      <c r="P1149" t="str">
        <f t="shared" si="71"/>
        <v/>
      </c>
    </row>
    <row r="1150" spans="1:16">
      <c r="A1150" t="s">
        <v>121</v>
      </c>
      <c r="B1150" t="s">
        <v>122</v>
      </c>
      <c r="C1150" t="s">
        <v>450</v>
      </c>
      <c r="D1150" t="s">
        <v>451</v>
      </c>
      <c r="E1150">
        <v>20171</v>
      </c>
      <c r="F1150" t="s">
        <v>14</v>
      </c>
      <c r="G1150" t="s">
        <v>51</v>
      </c>
      <c r="H1150">
        <v>3.5</v>
      </c>
      <c r="I1150">
        <v>0</v>
      </c>
      <c r="J1150">
        <v>20201</v>
      </c>
      <c r="K1150">
        <f>COUNTIF('rEKAP kls MK'!$A$2:$A$35,Worksheet!C1150)</f>
        <v>1</v>
      </c>
      <c r="L1150" t="str">
        <f t="shared" si="68"/>
        <v>F1B115025</v>
      </c>
      <c r="M1150" t="str">
        <f t="shared" si="69"/>
        <v>MERRY MICHELLINA</v>
      </c>
      <c r="O1150" t="str">
        <f t="shared" si="70"/>
        <v/>
      </c>
      <c r="P1150" t="str">
        <f t="shared" si="71"/>
        <v/>
      </c>
    </row>
    <row r="1151" spans="1:16">
      <c r="A1151" t="s">
        <v>227</v>
      </c>
      <c r="B1151" t="s">
        <v>228</v>
      </c>
      <c r="C1151" t="s">
        <v>450</v>
      </c>
      <c r="D1151" t="s">
        <v>451</v>
      </c>
      <c r="E1151">
        <v>20171</v>
      </c>
      <c r="F1151" t="s">
        <v>14</v>
      </c>
      <c r="G1151" t="s">
        <v>23</v>
      </c>
      <c r="H1151">
        <v>2.5</v>
      </c>
      <c r="I1151">
        <v>0</v>
      </c>
      <c r="J1151">
        <v>20201</v>
      </c>
      <c r="K1151">
        <f>COUNTIF('rEKAP kls MK'!$A$2:$A$35,Worksheet!C1151)</f>
        <v>1</v>
      </c>
      <c r="L1151" t="str">
        <f t="shared" si="68"/>
        <v>F1B115027</v>
      </c>
      <c r="M1151" t="str">
        <f t="shared" si="69"/>
        <v>MUHAMAD NUDISANTANA RISWANDI</v>
      </c>
      <c r="O1151" t="str">
        <f t="shared" si="70"/>
        <v/>
      </c>
      <c r="P1151" t="str">
        <f t="shared" si="71"/>
        <v/>
      </c>
    </row>
    <row r="1152" spans="1:16">
      <c r="A1152" t="s">
        <v>219</v>
      </c>
      <c r="B1152" t="s">
        <v>220</v>
      </c>
      <c r="C1152" t="s">
        <v>411</v>
      </c>
      <c r="D1152" t="s">
        <v>412</v>
      </c>
      <c r="E1152">
        <v>20171</v>
      </c>
      <c r="F1152" t="s">
        <v>575</v>
      </c>
      <c r="G1152" t="s">
        <v>15</v>
      </c>
      <c r="H1152">
        <v>0</v>
      </c>
      <c r="I1152">
        <v>0</v>
      </c>
      <c r="J1152">
        <v>20201</v>
      </c>
      <c r="K1152">
        <f>COUNTIF('rEKAP kls MK'!$A$2:$A$35,Worksheet!C1152)</f>
        <v>0</v>
      </c>
      <c r="L1152" t="str">
        <f t="shared" si="68"/>
        <v>F1B115020</v>
      </c>
      <c r="M1152" t="str">
        <f t="shared" si="69"/>
        <v>KHAIRIL SUDARMANTO</v>
      </c>
      <c r="O1152" t="str">
        <f t="shared" si="70"/>
        <v>SISTEM TELEKOMUNIKASI</v>
      </c>
      <c r="P1152" t="str">
        <f t="shared" si="71"/>
        <v>P</v>
      </c>
    </row>
    <row r="1153" spans="1:16">
      <c r="A1153" t="s">
        <v>197</v>
      </c>
      <c r="B1153" t="s">
        <v>198</v>
      </c>
      <c r="C1153" t="s">
        <v>386</v>
      </c>
      <c r="D1153" t="s">
        <v>387</v>
      </c>
      <c r="E1153">
        <v>20171</v>
      </c>
      <c r="F1153" t="s">
        <v>14</v>
      </c>
      <c r="G1153" t="s">
        <v>18</v>
      </c>
      <c r="H1153">
        <v>3</v>
      </c>
      <c r="I1153">
        <v>0</v>
      </c>
      <c r="J1153">
        <v>20201</v>
      </c>
      <c r="K1153">
        <f>COUNTIF('rEKAP kls MK'!$A$2:$A$35,Worksheet!C1153)</f>
        <v>1</v>
      </c>
      <c r="L1153" t="str">
        <f t="shared" si="68"/>
        <v>F1B111004</v>
      </c>
      <c r="M1153" t="str">
        <f t="shared" si="69"/>
        <v>Ahmadi</v>
      </c>
      <c r="O1153" t="str">
        <f t="shared" si="70"/>
        <v>TECHNOPRENEURSHIP</v>
      </c>
      <c r="P1153" t="str">
        <f t="shared" si="71"/>
        <v>S</v>
      </c>
    </row>
    <row r="1154" spans="1:16">
      <c r="A1154" t="s">
        <v>177</v>
      </c>
      <c r="B1154" t="s">
        <v>178</v>
      </c>
      <c r="C1154" t="s">
        <v>386</v>
      </c>
      <c r="D1154" t="s">
        <v>387</v>
      </c>
      <c r="E1154">
        <v>20171</v>
      </c>
      <c r="F1154" t="s">
        <v>14</v>
      </c>
      <c r="G1154" t="s">
        <v>101</v>
      </c>
      <c r="H1154">
        <v>0</v>
      </c>
      <c r="I1154">
        <v>0</v>
      </c>
      <c r="J1154">
        <v>20201</v>
      </c>
      <c r="K1154">
        <f>COUNTIF('rEKAP kls MK'!$A$2:$A$35,Worksheet!C1154)</f>
        <v>1</v>
      </c>
      <c r="L1154" t="str">
        <f t="shared" si="68"/>
        <v>F1B111030</v>
      </c>
      <c r="M1154" t="str">
        <f t="shared" si="69"/>
        <v>Islahudin</v>
      </c>
      <c r="O1154" t="str">
        <f t="shared" si="70"/>
        <v/>
      </c>
      <c r="P1154" t="str">
        <f t="shared" si="71"/>
        <v/>
      </c>
    </row>
    <row r="1155" spans="1:16">
      <c r="A1155" t="s">
        <v>146</v>
      </c>
      <c r="B1155" t="s">
        <v>147</v>
      </c>
      <c r="C1155" t="s">
        <v>386</v>
      </c>
      <c r="D1155" t="s">
        <v>387</v>
      </c>
      <c r="E1155">
        <v>20171</v>
      </c>
      <c r="F1155" t="s">
        <v>14</v>
      </c>
      <c r="G1155" t="s">
        <v>18</v>
      </c>
      <c r="H1155">
        <v>3</v>
      </c>
      <c r="I1155">
        <v>0</v>
      </c>
      <c r="J1155">
        <v>20201</v>
      </c>
      <c r="K1155">
        <f>COUNTIF('rEKAP kls MK'!$A$2:$A$35,Worksheet!C1155)</f>
        <v>1</v>
      </c>
      <c r="L1155" t="str">
        <f t="shared" ref="L1155:L1218" si="72">IF(A1154&lt;&gt;A1155,A1155,"")</f>
        <v>F1B111036</v>
      </c>
      <c r="M1155" t="str">
        <f t="shared" ref="M1155:M1218" si="73">IF(B1154&lt;&gt;B1155,B1155,"")</f>
        <v>Lalu Anja Sukmana</v>
      </c>
      <c r="O1155" t="str">
        <f t="shared" ref="O1155:O1218" si="74">IF(D1154&lt;&gt;D1155,D1155,"")</f>
        <v/>
      </c>
      <c r="P1155" t="str">
        <f t="shared" ref="P1155:P1218" si="75">IF(F1154&lt;&gt;F1155,F1155,"")</f>
        <v/>
      </c>
    </row>
    <row r="1156" spans="1:16">
      <c r="A1156" t="s">
        <v>249</v>
      </c>
      <c r="B1156" t="s">
        <v>250</v>
      </c>
      <c r="C1156" t="s">
        <v>386</v>
      </c>
      <c r="D1156" t="s">
        <v>387</v>
      </c>
      <c r="E1156">
        <v>20171</v>
      </c>
      <c r="F1156" t="s">
        <v>14</v>
      </c>
      <c r="G1156" t="s">
        <v>18</v>
      </c>
      <c r="H1156">
        <v>3</v>
      </c>
      <c r="I1156">
        <v>0</v>
      </c>
      <c r="J1156">
        <v>20201</v>
      </c>
      <c r="K1156">
        <f>COUNTIF('rEKAP kls MK'!$A$2:$A$35,Worksheet!C1156)</f>
        <v>1</v>
      </c>
      <c r="L1156" t="str">
        <f t="shared" si="72"/>
        <v>F1B111077</v>
      </c>
      <c r="M1156" t="str">
        <f t="shared" si="73"/>
        <v>Samsul Hadi</v>
      </c>
      <c r="O1156" t="str">
        <f t="shared" si="74"/>
        <v/>
      </c>
      <c r="P1156" t="str">
        <f t="shared" si="75"/>
        <v/>
      </c>
    </row>
    <row r="1157" spans="1:16">
      <c r="A1157" t="s">
        <v>140</v>
      </c>
      <c r="B1157" t="s">
        <v>141</v>
      </c>
      <c r="C1157" t="s">
        <v>386</v>
      </c>
      <c r="D1157" t="s">
        <v>387</v>
      </c>
      <c r="E1157">
        <v>20171</v>
      </c>
      <c r="F1157" t="s">
        <v>14</v>
      </c>
      <c r="G1157" t="s">
        <v>51</v>
      </c>
      <c r="H1157">
        <v>3.5</v>
      </c>
      <c r="I1157">
        <v>0</v>
      </c>
      <c r="J1157">
        <v>20201</v>
      </c>
      <c r="K1157">
        <f>COUNTIF('rEKAP kls MK'!$A$2:$A$35,Worksheet!C1157)</f>
        <v>1</v>
      </c>
      <c r="L1157" t="str">
        <f t="shared" si="72"/>
        <v>F1B114003</v>
      </c>
      <c r="M1157" t="str">
        <f t="shared" si="73"/>
        <v>AGUS SUPANDI</v>
      </c>
      <c r="O1157" t="str">
        <f t="shared" si="74"/>
        <v/>
      </c>
      <c r="P1157" t="str">
        <f t="shared" si="75"/>
        <v/>
      </c>
    </row>
    <row r="1158" spans="1:16">
      <c r="A1158" t="s">
        <v>163</v>
      </c>
      <c r="B1158" t="s">
        <v>164</v>
      </c>
      <c r="C1158" t="s">
        <v>386</v>
      </c>
      <c r="D1158" t="s">
        <v>387</v>
      </c>
      <c r="E1158">
        <v>20171</v>
      </c>
      <c r="F1158" t="s">
        <v>14</v>
      </c>
      <c r="G1158" t="s">
        <v>18</v>
      </c>
      <c r="H1158">
        <v>3</v>
      </c>
      <c r="I1158">
        <v>0</v>
      </c>
      <c r="J1158">
        <v>20201</v>
      </c>
      <c r="K1158">
        <f>COUNTIF('rEKAP kls MK'!$A$2:$A$35,Worksheet!C1158)</f>
        <v>1</v>
      </c>
      <c r="L1158" t="str">
        <f t="shared" si="72"/>
        <v>F1B114016</v>
      </c>
      <c r="M1158" t="str">
        <f t="shared" si="73"/>
        <v>HERLAN</v>
      </c>
      <c r="O1158" t="str">
        <f t="shared" si="74"/>
        <v/>
      </c>
      <c r="P1158" t="str">
        <f t="shared" si="75"/>
        <v/>
      </c>
    </row>
    <row r="1159" spans="1:16">
      <c r="A1159" t="s">
        <v>181</v>
      </c>
      <c r="B1159" t="s">
        <v>182</v>
      </c>
      <c r="C1159" t="s">
        <v>386</v>
      </c>
      <c r="D1159" t="s">
        <v>387</v>
      </c>
      <c r="E1159">
        <v>20171</v>
      </c>
      <c r="F1159" t="s">
        <v>14</v>
      </c>
      <c r="G1159" t="s">
        <v>18</v>
      </c>
      <c r="H1159">
        <v>3</v>
      </c>
      <c r="I1159">
        <v>0</v>
      </c>
      <c r="J1159">
        <v>20201</v>
      </c>
      <c r="K1159">
        <f>COUNTIF('rEKAP kls MK'!$A$2:$A$35,Worksheet!C1159)</f>
        <v>1</v>
      </c>
      <c r="L1159" t="str">
        <f t="shared" si="72"/>
        <v>F1B115004</v>
      </c>
      <c r="M1159" t="str">
        <f t="shared" si="73"/>
        <v>ANDZAR QINTHARA</v>
      </c>
      <c r="O1159" t="str">
        <f t="shared" si="74"/>
        <v/>
      </c>
      <c r="P1159" t="str">
        <f t="shared" si="75"/>
        <v/>
      </c>
    </row>
    <row r="1160" spans="1:16">
      <c r="A1160" t="s">
        <v>144</v>
      </c>
      <c r="B1160" t="s">
        <v>145</v>
      </c>
      <c r="C1160" t="s">
        <v>386</v>
      </c>
      <c r="D1160" t="s">
        <v>387</v>
      </c>
      <c r="E1160">
        <v>20171</v>
      </c>
      <c r="F1160" t="s">
        <v>14</v>
      </c>
      <c r="G1160" t="s">
        <v>51</v>
      </c>
      <c r="H1160">
        <v>3.5</v>
      </c>
      <c r="I1160">
        <v>0</v>
      </c>
      <c r="J1160">
        <v>20201</v>
      </c>
      <c r="K1160">
        <f>COUNTIF('rEKAP kls MK'!$A$2:$A$35,Worksheet!C1160)</f>
        <v>1</v>
      </c>
      <c r="L1160" t="str">
        <f t="shared" si="72"/>
        <v>F1B115013</v>
      </c>
      <c r="M1160" t="str">
        <f t="shared" si="73"/>
        <v>HERU WILUKMAN HAKIM</v>
      </c>
      <c r="O1160" t="str">
        <f t="shared" si="74"/>
        <v/>
      </c>
      <c r="P1160" t="str">
        <f t="shared" si="75"/>
        <v/>
      </c>
    </row>
    <row r="1161" spans="1:16">
      <c r="A1161" t="s">
        <v>121</v>
      </c>
      <c r="B1161" t="s">
        <v>122</v>
      </c>
      <c r="C1161" t="s">
        <v>386</v>
      </c>
      <c r="D1161" t="s">
        <v>387</v>
      </c>
      <c r="E1161">
        <v>20171</v>
      </c>
      <c r="F1161" t="s">
        <v>14</v>
      </c>
      <c r="G1161" t="s">
        <v>51</v>
      </c>
      <c r="H1161">
        <v>3.5</v>
      </c>
      <c r="I1161">
        <v>0</v>
      </c>
      <c r="J1161">
        <v>20201</v>
      </c>
      <c r="K1161">
        <f>COUNTIF('rEKAP kls MK'!$A$2:$A$35,Worksheet!C1161)</f>
        <v>1</v>
      </c>
      <c r="L1161" t="str">
        <f t="shared" si="72"/>
        <v>F1B115025</v>
      </c>
      <c r="M1161" t="str">
        <f t="shared" si="73"/>
        <v>MERRY MICHELLINA</v>
      </c>
      <c r="O1161" t="str">
        <f t="shared" si="74"/>
        <v/>
      </c>
      <c r="P1161" t="str">
        <f t="shared" si="75"/>
        <v/>
      </c>
    </row>
    <row r="1162" spans="1:16">
      <c r="A1162" t="s">
        <v>193</v>
      </c>
      <c r="B1162" t="s">
        <v>194</v>
      </c>
      <c r="C1162" t="s">
        <v>386</v>
      </c>
      <c r="D1162" t="s">
        <v>387</v>
      </c>
      <c r="E1162">
        <v>20171</v>
      </c>
      <c r="F1162" t="s">
        <v>14</v>
      </c>
      <c r="G1162" t="s">
        <v>51</v>
      </c>
      <c r="H1162">
        <v>3.5</v>
      </c>
      <c r="I1162">
        <v>0</v>
      </c>
      <c r="J1162">
        <v>20201</v>
      </c>
      <c r="K1162">
        <f>COUNTIF('rEKAP kls MK'!$A$2:$A$35,Worksheet!C1162)</f>
        <v>1</v>
      </c>
      <c r="L1162" t="str">
        <f t="shared" si="72"/>
        <v>F1B115026</v>
      </c>
      <c r="M1162" t="str">
        <f t="shared" si="73"/>
        <v>MUCHAMMAD BAGIR</v>
      </c>
      <c r="O1162" t="str">
        <f t="shared" si="74"/>
        <v/>
      </c>
      <c r="P1162" t="str">
        <f t="shared" si="75"/>
        <v/>
      </c>
    </row>
    <row r="1163" spans="1:16">
      <c r="A1163" t="s">
        <v>233</v>
      </c>
      <c r="B1163" t="s">
        <v>234</v>
      </c>
      <c r="C1163" t="s">
        <v>386</v>
      </c>
      <c r="D1163" t="s">
        <v>387</v>
      </c>
      <c r="E1163">
        <v>20171</v>
      </c>
      <c r="F1163" t="s">
        <v>14</v>
      </c>
      <c r="G1163" t="s">
        <v>101</v>
      </c>
      <c r="H1163">
        <v>0</v>
      </c>
      <c r="I1163">
        <v>0</v>
      </c>
      <c r="J1163">
        <v>20201</v>
      </c>
      <c r="K1163">
        <f>COUNTIF('rEKAP kls MK'!$A$2:$A$35,Worksheet!C1163)</f>
        <v>1</v>
      </c>
      <c r="L1163" t="str">
        <f t="shared" si="72"/>
        <v>F1B115031</v>
      </c>
      <c r="M1163" t="str">
        <f t="shared" si="73"/>
        <v>Muhammad Riza Pratama S</v>
      </c>
      <c r="O1163" t="str">
        <f t="shared" si="74"/>
        <v/>
      </c>
      <c r="P1163" t="str">
        <f t="shared" si="75"/>
        <v/>
      </c>
    </row>
    <row r="1164" spans="1:16">
      <c r="A1164" t="s">
        <v>106</v>
      </c>
      <c r="B1164" t="s">
        <v>107</v>
      </c>
      <c r="C1164" t="s">
        <v>435</v>
      </c>
      <c r="D1164" t="s">
        <v>406</v>
      </c>
      <c r="E1164">
        <v>20171</v>
      </c>
      <c r="F1164" t="s">
        <v>14</v>
      </c>
      <c r="G1164" t="s">
        <v>101</v>
      </c>
      <c r="H1164">
        <v>0</v>
      </c>
      <c r="I1164">
        <v>0</v>
      </c>
      <c r="J1164">
        <v>20201</v>
      </c>
      <c r="K1164">
        <f>COUNTIF('rEKAP kls MK'!$A$2:$A$35,Worksheet!C1164)</f>
        <v>1</v>
      </c>
      <c r="L1164" t="str">
        <f t="shared" si="72"/>
        <v>F1B112003</v>
      </c>
      <c r="M1164" t="str">
        <f t="shared" si="73"/>
        <v>Aditya Kadarusman</v>
      </c>
      <c r="O1164" t="str">
        <f t="shared" si="74"/>
        <v>TEKNIK INTERFACING DAN SISTEM EMBEDDED</v>
      </c>
      <c r="P1164" t="str">
        <f t="shared" si="75"/>
        <v/>
      </c>
    </row>
    <row r="1165" spans="1:16">
      <c r="A1165" t="s">
        <v>49</v>
      </c>
      <c r="B1165" t="s">
        <v>50</v>
      </c>
      <c r="C1165" t="s">
        <v>435</v>
      </c>
      <c r="D1165" t="s">
        <v>406</v>
      </c>
      <c r="E1165">
        <v>20171</v>
      </c>
      <c r="F1165" t="s">
        <v>14</v>
      </c>
      <c r="G1165" t="s">
        <v>18</v>
      </c>
      <c r="H1165">
        <v>3</v>
      </c>
      <c r="I1165">
        <v>0</v>
      </c>
      <c r="J1165">
        <v>20201</v>
      </c>
      <c r="K1165">
        <f>COUNTIF('rEKAP kls MK'!$A$2:$A$35,Worksheet!C1165)</f>
        <v>1</v>
      </c>
      <c r="L1165" t="str">
        <f t="shared" si="72"/>
        <v>F1B114007</v>
      </c>
      <c r="M1165" t="str">
        <f t="shared" si="73"/>
        <v>BIJE SYIAPRIADI D</v>
      </c>
      <c r="O1165" t="str">
        <f t="shared" si="74"/>
        <v/>
      </c>
      <c r="P1165" t="str">
        <f t="shared" si="75"/>
        <v/>
      </c>
    </row>
    <row r="1166" spans="1:16">
      <c r="A1166" t="s">
        <v>155</v>
      </c>
      <c r="B1166" t="s">
        <v>156</v>
      </c>
      <c r="C1166" t="s">
        <v>435</v>
      </c>
      <c r="D1166" t="s">
        <v>406</v>
      </c>
      <c r="E1166">
        <v>20171</v>
      </c>
      <c r="F1166" t="s">
        <v>14</v>
      </c>
      <c r="G1166" t="s">
        <v>51</v>
      </c>
      <c r="H1166">
        <v>3.5</v>
      </c>
      <c r="I1166">
        <v>0</v>
      </c>
      <c r="J1166">
        <v>20201</v>
      </c>
      <c r="K1166">
        <f>COUNTIF('rEKAP kls MK'!$A$2:$A$35,Worksheet!C1166)</f>
        <v>1</v>
      </c>
      <c r="L1166" t="str">
        <f t="shared" si="72"/>
        <v>F1B114008</v>
      </c>
      <c r="M1166" t="str">
        <f t="shared" si="73"/>
        <v>BRIAN ABBY ARIESTYO WIRYANDITO</v>
      </c>
      <c r="O1166" t="str">
        <f t="shared" si="74"/>
        <v/>
      </c>
      <c r="P1166" t="str">
        <f t="shared" si="75"/>
        <v/>
      </c>
    </row>
    <row r="1167" spans="1:16">
      <c r="A1167" t="s">
        <v>175</v>
      </c>
      <c r="B1167" t="s">
        <v>176</v>
      </c>
      <c r="C1167" t="s">
        <v>435</v>
      </c>
      <c r="D1167" t="s">
        <v>406</v>
      </c>
      <c r="E1167">
        <v>20171</v>
      </c>
      <c r="F1167" t="s">
        <v>14</v>
      </c>
      <c r="G1167" t="s">
        <v>18</v>
      </c>
      <c r="H1167">
        <v>3</v>
      </c>
      <c r="I1167">
        <v>0</v>
      </c>
      <c r="J1167">
        <v>20201</v>
      </c>
      <c r="K1167">
        <f>COUNTIF('rEKAP kls MK'!$A$2:$A$35,Worksheet!C1167)</f>
        <v>1</v>
      </c>
      <c r="L1167" t="str">
        <f t="shared" si="72"/>
        <v>F1B114009</v>
      </c>
      <c r="M1167" t="str">
        <f t="shared" si="73"/>
        <v>DANA SELVIA HADISWARA</v>
      </c>
      <c r="O1167" t="str">
        <f t="shared" si="74"/>
        <v/>
      </c>
      <c r="P1167" t="str">
        <f t="shared" si="75"/>
        <v/>
      </c>
    </row>
    <row r="1168" spans="1:16">
      <c r="A1168" t="s">
        <v>157</v>
      </c>
      <c r="B1168" t="s">
        <v>158</v>
      </c>
      <c r="C1168" t="s">
        <v>435</v>
      </c>
      <c r="D1168" t="s">
        <v>406</v>
      </c>
      <c r="E1168">
        <v>20171</v>
      </c>
      <c r="F1168" t="s">
        <v>14</v>
      </c>
      <c r="G1168" t="s">
        <v>18</v>
      </c>
      <c r="H1168">
        <v>3</v>
      </c>
      <c r="I1168">
        <v>0</v>
      </c>
      <c r="J1168">
        <v>20201</v>
      </c>
      <c r="K1168">
        <f>COUNTIF('rEKAP kls MK'!$A$2:$A$35,Worksheet!C1168)</f>
        <v>1</v>
      </c>
      <c r="L1168" t="str">
        <f t="shared" si="72"/>
        <v>F1B114010</v>
      </c>
      <c r="M1168" t="str">
        <f t="shared" si="73"/>
        <v>EKA MARTA SIOMI</v>
      </c>
      <c r="O1168" t="str">
        <f t="shared" si="74"/>
        <v/>
      </c>
      <c r="P1168" t="str">
        <f t="shared" si="75"/>
        <v/>
      </c>
    </row>
    <row r="1169" spans="1:16">
      <c r="A1169" t="s">
        <v>159</v>
      </c>
      <c r="B1169" t="s">
        <v>160</v>
      </c>
      <c r="C1169" t="s">
        <v>435</v>
      </c>
      <c r="D1169" t="s">
        <v>406</v>
      </c>
      <c r="E1169">
        <v>20171</v>
      </c>
      <c r="F1169" t="s">
        <v>14</v>
      </c>
      <c r="G1169" t="s">
        <v>23</v>
      </c>
      <c r="H1169">
        <v>2.5</v>
      </c>
      <c r="I1169">
        <v>0</v>
      </c>
      <c r="J1169">
        <v>20201</v>
      </c>
      <c r="K1169">
        <f>COUNTIF('rEKAP kls MK'!$A$2:$A$35,Worksheet!C1169)</f>
        <v>1</v>
      </c>
      <c r="L1169" t="str">
        <f t="shared" si="72"/>
        <v>F1B114011</v>
      </c>
      <c r="M1169" t="str">
        <f t="shared" si="73"/>
        <v>ERWIN LINGGA SAPUTRA</v>
      </c>
      <c r="O1169" t="str">
        <f t="shared" si="74"/>
        <v/>
      </c>
      <c r="P1169" t="str">
        <f t="shared" si="75"/>
        <v/>
      </c>
    </row>
    <row r="1170" spans="1:16">
      <c r="A1170" t="s">
        <v>161</v>
      </c>
      <c r="B1170" t="s">
        <v>162</v>
      </c>
      <c r="C1170" t="s">
        <v>435</v>
      </c>
      <c r="D1170" t="s">
        <v>406</v>
      </c>
      <c r="E1170">
        <v>20171</v>
      </c>
      <c r="F1170" t="s">
        <v>14</v>
      </c>
      <c r="G1170" t="s">
        <v>18</v>
      </c>
      <c r="H1170">
        <v>3</v>
      </c>
      <c r="I1170">
        <v>0</v>
      </c>
      <c r="J1170">
        <v>20201</v>
      </c>
      <c r="K1170">
        <f>COUNTIF('rEKAP kls MK'!$A$2:$A$35,Worksheet!C1170)</f>
        <v>1</v>
      </c>
      <c r="L1170" t="str">
        <f t="shared" si="72"/>
        <v>F1B114012</v>
      </c>
      <c r="M1170" t="str">
        <f t="shared" si="73"/>
        <v>FATHUL AZIZ</v>
      </c>
      <c r="O1170" t="str">
        <f t="shared" si="74"/>
        <v/>
      </c>
      <c r="P1170" t="str">
        <f t="shared" si="75"/>
        <v/>
      </c>
    </row>
    <row r="1171" spans="1:16">
      <c r="A1171" t="s">
        <v>142</v>
      </c>
      <c r="B1171" t="s">
        <v>143</v>
      </c>
      <c r="C1171" t="s">
        <v>435</v>
      </c>
      <c r="D1171" t="s">
        <v>406</v>
      </c>
      <c r="E1171">
        <v>20171</v>
      </c>
      <c r="F1171" t="s">
        <v>14</v>
      </c>
      <c r="G1171" t="s">
        <v>51</v>
      </c>
      <c r="H1171">
        <v>3.5</v>
      </c>
      <c r="I1171">
        <v>0</v>
      </c>
      <c r="J1171">
        <v>20201</v>
      </c>
      <c r="K1171">
        <f>COUNTIF('rEKAP kls MK'!$A$2:$A$35,Worksheet!C1171)</f>
        <v>1</v>
      </c>
      <c r="L1171" t="str">
        <f t="shared" si="72"/>
        <v>F1B114018</v>
      </c>
      <c r="M1171" t="str">
        <f t="shared" si="73"/>
        <v>I GUSTI BAGUS HENDRA PRADIPTA</v>
      </c>
      <c r="O1171" t="str">
        <f t="shared" si="74"/>
        <v/>
      </c>
      <c r="P1171" t="str">
        <f t="shared" si="75"/>
        <v/>
      </c>
    </row>
    <row r="1172" spans="1:16">
      <c r="A1172" t="s">
        <v>165</v>
      </c>
      <c r="B1172" t="s">
        <v>166</v>
      </c>
      <c r="C1172" t="s">
        <v>435</v>
      </c>
      <c r="D1172" t="s">
        <v>406</v>
      </c>
      <c r="E1172">
        <v>20171</v>
      </c>
      <c r="F1172" t="s">
        <v>14</v>
      </c>
      <c r="G1172" t="s">
        <v>18</v>
      </c>
      <c r="H1172">
        <v>3</v>
      </c>
      <c r="I1172">
        <v>0</v>
      </c>
      <c r="J1172">
        <v>20201</v>
      </c>
      <c r="K1172">
        <f>COUNTIF('rEKAP kls MK'!$A$2:$A$35,Worksheet!C1172)</f>
        <v>1</v>
      </c>
      <c r="L1172" t="str">
        <f t="shared" si="72"/>
        <v>F1B114022</v>
      </c>
      <c r="M1172" t="str">
        <f t="shared" si="73"/>
        <v>JUWITA ASRI</v>
      </c>
      <c r="O1172" t="str">
        <f t="shared" si="74"/>
        <v/>
      </c>
      <c r="P1172" t="str">
        <f t="shared" si="75"/>
        <v/>
      </c>
    </row>
    <row r="1173" spans="1:16">
      <c r="A1173" t="s">
        <v>54</v>
      </c>
      <c r="B1173" t="s">
        <v>55</v>
      </c>
      <c r="C1173" t="s">
        <v>435</v>
      </c>
      <c r="D1173" t="s">
        <v>406</v>
      </c>
      <c r="E1173">
        <v>20171</v>
      </c>
      <c r="F1173" t="s">
        <v>14</v>
      </c>
      <c r="G1173" t="s">
        <v>23</v>
      </c>
      <c r="H1173">
        <v>2.5</v>
      </c>
      <c r="I1173">
        <v>0</v>
      </c>
      <c r="J1173">
        <v>20201</v>
      </c>
      <c r="K1173">
        <f>COUNTIF('rEKAP kls MK'!$A$2:$A$35,Worksheet!C1173)</f>
        <v>1</v>
      </c>
      <c r="L1173" t="str">
        <f t="shared" si="72"/>
        <v>F1B114028</v>
      </c>
      <c r="M1173" t="str">
        <f t="shared" si="73"/>
        <v>MUHAMMAD HAJRUL MUZAQI</v>
      </c>
      <c r="O1173" t="str">
        <f t="shared" si="74"/>
        <v/>
      </c>
      <c r="P1173" t="str">
        <f t="shared" si="75"/>
        <v/>
      </c>
    </row>
    <row r="1174" spans="1:16">
      <c r="A1174" t="s">
        <v>201</v>
      </c>
      <c r="B1174" t="s">
        <v>202</v>
      </c>
      <c r="C1174" t="s">
        <v>435</v>
      </c>
      <c r="D1174" t="s">
        <v>406</v>
      </c>
      <c r="E1174">
        <v>20171</v>
      </c>
      <c r="F1174" t="s">
        <v>14</v>
      </c>
      <c r="G1174" t="s">
        <v>51</v>
      </c>
      <c r="H1174">
        <v>3.5</v>
      </c>
      <c r="I1174">
        <v>0</v>
      </c>
      <c r="J1174">
        <v>20201</v>
      </c>
      <c r="K1174">
        <f>COUNTIF('rEKAP kls MK'!$A$2:$A$35,Worksheet!C1174)</f>
        <v>1</v>
      </c>
      <c r="L1174" t="str">
        <f t="shared" si="72"/>
        <v>F1B114030</v>
      </c>
      <c r="M1174" t="str">
        <f t="shared" si="73"/>
        <v>PUTRA RAHMAT RAMADAN</v>
      </c>
      <c r="O1174" t="str">
        <f t="shared" si="74"/>
        <v/>
      </c>
      <c r="P1174" t="str">
        <f t="shared" si="75"/>
        <v/>
      </c>
    </row>
    <row r="1175" spans="1:16">
      <c r="A1175" t="s">
        <v>146</v>
      </c>
      <c r="B1175" t="s">
        <v>147</v>
      </c>
      <c r="C1175" t="s">
        <v>433</v>
      </c>
      <c r="D1175" t="s">
        <v>434</v>
      </c>
      <c r="E1175">
        <v>20171</v>
      </c>
      <c r="F1175" t="s">
        <v>575</v>
      </c>
      <c r="G1175" t="s">
        <v>26</v>
      </c>
      <c r="H1175">
        <v>2</v>
      </c>
      <c r="I1175">
        <v>0</v>
      </c>
      <c r="J1175">
        <v>20201</v>
      </c>
      <c r="K1175">
        <f>COUNTIF('rEKAP kls MK'!$A$2:$A$35,Worksheet!C1175)</f>
        <v>0</v>
      </c>
      <c r="L1175" t="str">
        <f t="shared" si="72"/>
        <v>F1B111036</v>
      </c>
      <c r="M1175" t="str">
        <f t="shared" si="73"/>
        <v>Lalu Anja Sukmana</v>
      </c>
      <c r="O1175" t="str">
        <f t="shared" si="74"/>
        <v>TEKNIK KENDALI DIGITAL</v>
      </c>
      <c r="P1175" t="str">
        <f t="shared" si="75"/>
        <v>P</v>
      </c>
    </row>
    <row r="1176" spans="1:16">
      <c r="A1176" t="s">
        <v>19</v>
      </c>
      <c r="B1176" t="s">
        <v>20</v>
      </c>
      <c r="C1176" t="s">
        <v>433</v>
      </c>
      <c r="D1176" t="s">
        <v>434</v>
      </c>
      <c r="E1176">
        <v>20171</v>
      </c>
      <c r="F1176" t="s">
        <v>575</v>
      </c>
      <c r="G1176" t="s">
        <v>101</v>
      </c>
      <c r="H1176">
        <v>0</v>
      </c>
      <c r="I1176">
        <v>0</v>
      </c>
      <c r="J1176">
        <v>20201</v>
      </c>
      <c r="K1176">
        <f>COUNTIF('rEKAP kls MK'!$A$2:$A$35,Worksheet!C1176)</f>
        <v>0</v>
      </c>
      <c r="L1176" t="str">
        <f t="shared" si="72"/>
        <v>F1B113001</v>
      </c>
      <c r="M1176" t="str">
        <f t="shared" si="73"/>
        <v>ADAM VERGIAN B</v>
      </c>
      <c r="O1176" t="str">
        <f t="shared" si="74"/>
        <v/>
      </c>
      <c r="P1176" t="str">
        <f t="shared" si="75"/>
        <v/>
      </c>
    </row>
    <row r="1177" spans="1:16">
      <c r="A1177" t="s">
        <v>138</v>
      </c>
      <c r="B1177" t="s">
        <v>139</v>
      </c>
      <c r="C1177" t="s">
        <v>433</v>
      </c>
      <c r="D1177" t="s">
        <v>434</v>
      </c>
      <c r="E1177">
        <v>20171</v>
      </c>
      <c r="F1177" t="s">
        <v>575</v>
      </c>
      <c r="G1177" t="s">
        <v>23</v>
      </c>
      <c r="H1177">
        <v>2.5</v>
      </c>
      <c r="I1177">
        <v>0</v>
      </c>
      <c r="J1177">
        <v>20201</v>
      </c>
      <c r="K1177">
        <f>COUNTIF('rEKAP kls MK'!$A$2:$A$35,Worksheet!C1177)</f>
        <v>0</v>
      </c>
      <c r="L1177" t="str">
        <f t="shared" si="72"/>
        <v>F1B113033</v>
      </c>
      <c r="M1177" t="str">
        <f t="shared" si="73"/>
        <v>SERLY MARLINA</v>
      </c>
      <c r="O1177" t="str">
        <f t="shared" si="74"/>
        <v/>
      </c>
      <c r="P1177" t="str">
        <f t="shared" si="75"/>
        <v/>
      </c>
    </row>
    <row r="1178" spans="1:16">
      <c r="A1178" t="s">
        <v>157</v>
      </c>
      <c r="B1178" t="s">
        <v>158</v>
      </c>
      <c r="C1178" t="s">
        <v>396</v>
      </c>
      <c r="D1178" t="s">
        <v>397</v>
      </c>
      <c r="E1178">
        <v>20171</v>
      </c>
      <c r="F1178" t="s">
        <v>575</v>
      </c>
      <c r="G1178" t="s">
        <v>51</v>
      </c>
      <c r="H1178">
        <v>3.5</v>
      </c>
      <c r="I1178">
        <v>0</v>
      </c>
      <c r="J1178">
        <v>20201</v>
      </c>
      <c r="K1178">
        <f>COUNTIF('rEKAP kls MK'!$A$2:$A$35,Worksheet!C1178)</f>
        <v>0</v>
      </c>
      <c r="L1178" t="str">
        <f t="shared" si="72"/>
        <v>F1B114010</v>
      </c>
      <c r="M1178" t="str">
        <f t="shared" si="73"/>
        <v>EKA MARTA SIOMI</v>
      </c>
      <c r="O1178" t="str">
        <f t="shared" si="74"/>
        <v>TEKNIK NEURO FUZZY</v>
      </c>
      <c r="P1178" t="str">
        <f t="shared" si="75"/>
        <v/>
      </c>
    </row>
    <row r="1179" spans="1:16">
      <c r="A1179" t="s">
        <v>161</v>
      </c>
      <c r="B1179" t="s">
        <v>162</v>
      </c>
      <c r="C1179" t="s">
        <v>396</v>
      </c>
      <c r="D1179" t="s">
        <v>397</v>
      </c>
      <c r="E1179">
        <v>20171</v>
      </c>
      <c r="F1179" t="s">
        <v>575</v>
      </c>
      <c r="G1179" t="s">
        <v>51</v>
      </c>
      <c r="H1179">
        <v>3.5</v>
      </c>
      <c r="I1179">
        <v>0</v>
      </c>
      <c r="J1179">
        <v>20201</v>
      </c>
      <c r="K1179">
        <f>COUNTIF('rEKAP kls MK'!$A$2:$A$35,Worksheet!C1179)</f>
        <v>0</v>
      </c>
      <c r="L1179" t="str">
        <f t="shared" si="72"/>
        <v>F1B114012</v>
      </c>
      <c r="M1179" t="str">
        <f t="shared" si="73"/>
        <v>FATHUL AZIZ</v>
      </c>
      <c r="O1179" t="str">
        <f t="shared" si="74"/>
        <v/>
      </c>
      <c r="P1179" t="str">
        <f t="shared" si="75"/>
        <v/>
      </c>
    </row>
    <row r="1180" spans="1:16">
      <c r="A1180" t="s">
        <v>165</v>
      </c>
      <c r="B1180" t="s">
        <v>166</v>
      </c>
      <c r="C1180" t="s">
        <v>396</v>
      </c>
      <c r="D1180" t="s">
        <v>397</v>
      </c>
      <c r="E1180">
        <v>20171</v>
      </c>
      <c r="F1180" t="s">
        <v>575</v>
      </c>
      <c r="G1180" t="s">
        <v>82</v>
      </c>
      <c r="H1180">
        <v>4</v>
      </c>
      <c r="I1180">
        <v>0</v>
      </c>
      <c r="J1180">
        <v>20201</v>
      </c>
      <c r="K1180">
        <f>COUNTIF('rEKAP kls MK'!$A$2:$A$35,Worksheet!C1180)</f>
        <v>0</v>
      </c>
      <c r="L1180" t="str">
        <f t="shared" si="72"/>
        <v>F1B114022</v>
      </c>
      <c r="M1180" t="str">
        <f t="shared" si="73"/>
        <v>JUWITA ASRI</v>
      </c>
      <c r="O1180" t="str">
        <f t="shared" si="74"/>
        <v/>
      </c>
      <c r="P1180" t="str">
        <f t="shared" si="75"/>
        <v/>
      </c>
    </row>
    <row r="1181" spans="1:16">
      <c r="A1181" t="s">
        <v>201</v>
      </c>
      <c r="B1181" t="s">
        <v>202</v>
      </c>
      <c r="C1181" t="s">
        <v>396</v>
      </c>
      <c r="D1181" t="s">
        <v>397</v>
      </c>
      <c r="E1181">
        <v>20171</v>
      </c>
      <c r="F1181" t="s">
        <v>575</v>
      </c>
      <c r="G1181" t="s">
        <v>82</v>
      </c>
      <c r="H1181">
        <v>4</v>
      </c>
      <c r="I1181">
        <v>0</v>
      </c>
      <c r="J1181">
        <v>20201</v>
      </c>
      <c r="K1181">
        <f>COUNTIF('rEKAP kls MK'!$A$2:$A$35,Worksheet!C1181)</f>
        <v>0</v>
      </c>
      <c r="L1181" t="str">
        <f t="shared" si="72"/>
        <v>F1B114030</v>
      </c>
      <c r="M1181" t="str">
        <f t="shared" si="73"/>
        <v>PUTRA RAHMAT RAMADAN</v>
      </c>
      <c r="O1181" t="str">
        <f t="shared" si="74"/>
        <v/>
      </c>
      <c r="P1181" t="str">
        <f t="shared" si="75"/>
        <v/>
      </c>
    </row>
    <row r="1182" spans="1:16">
      <c r="A1182" t="s">
        <v>16</v>
      </c>
      <c r="B1182" t="s">
        <v>17</v>
      </c>
      <c r="C1182" t="s">
        <v>438</v>
      </c>
      <c r="D1182" t="s">
        <v>439</v>
      </c>
      <c r="E1182">
        <v>20171</v>
      </c>
      <c r="F1182" t="s">
        <v>14</v>
      </c>
      <c r="G1182" t="s">
        <v>101</v>
      </c>
      <c r="H1182">
        <v>0</v>
      </c>
      <c r="I1182">
        <v>0</v>
      </c>
      <c r="J1182">
        <v>20201</v>
      </c>
      <c r="K1182">
        <f>COUNTIF('rEKAP kls MK'!$A$2:$A$35,Worksheet!C1182)</f>
        <v>1</v>
      </c>
      <c r="L1182" t="str">
        <f t="shared" si="72"/>
        <v>F1B112042</v>
      </c>
      <c r="M1182" t="str">
        <f t="shared" si="73"/>
        <v>Muhammad Satriawan A</v>
      </c>
      <c r="O1182" t="str">
        <f t="shared" si="74"/>
        <v>TRANSMISI TENAGA LISTRIK</v>
      </c>
      <c r="P1182" t="str">
        <f t="shared" si="75"/>
        <v>S</v>
      </c>
    </row>
    <row r="1183" spans="1:16">
      <c r="A1183" t="s">
        <v>117</v>
      </c>
      <c r="B1183" t="s">
        <v>118</v>
      </c>
      <c r="C1183" t="s">
        <v>438</v>
      </c>
      <c r="D1183" t="s">
        <v>439</v>
      </c>
      <c r="E1183">
        <v>20171</v>
      </c>
      <c r="F1183" t="s">
        <v>14</v>
      </c>
      <c r="G1183" t="s">
        <v>23</v>
      </c>
      <c r="H1183">
        <v>2.5</v>
      </c>
      <c r="I1183">
        <v>0</v>
      </c>
      <c r="J1183">
        <v>20201</v>
      </c>
      <c r="K1183">
        <f>COUNTIF('rEKAP kls MK'!$A$2:$A$35,Worksheet!C1183)</f>
        <v>1</v>
      </c>
      <c r="L1183" t="str">
        <f t="shared" si="72"/>
        <v>F1B115002</v>
      </c>
      <c r="M1183" t="str">
        <f t="shared" si="73"/>
        <v>AGUS SUPRIADI</v>
      </c>
      <c r="O1183" t="str">
        <f t="shared" si="74"/>
        <v/>
      </c>
      <c r="P1183" t="str">
        <f t="shared" si="75"/>
        <v/>
      </c>
    </row>
    <row r="1184" spans="1:16">
      <c r="A1184" t="s">
        <v>119</v>
      </c>
      <c r="B1184" t="s">
        <v>120</v>
      </c>
      <c r="C1184" t="s">
        <v>438</v>
      </c>
      <c r="D1184" t="s">
        <v>439</v>
      </c>
      <c r="E1184">
        <v>20171</v>
      </c>
      <c r="F1184" t="s">
        <v>14</v>
      </c>
      <c r="G1184" t="s">
        <v>51</v>
      </c>
      <c r="H1184">
        <v>3.5</v>
      </c>
      <c r="I1184">
        <v>0</v>
      </c>
      <c r="J1184">
        <v>20201</v>
      </c>
      <c r="K1184">
        <f>COUNTIF('rEKAP kls MK'!$A$2:$A$35,Worksheet!C1184)</f>
        <v>1</v>
      </c>
      <c r="L1184" t="str">
        <f t="shared" si="72"/>
        <v>F1B115008</v>
      </c>
      <c r="M1184" t="str">
        <f t="shared" si="73"/>
        <v>ESI BIRAHMATIHI</v>
      </c>
      <c r="O1184" t="str">
        <f t="shared" si="74"/>
        <v/>
      </c>
      <c r="P1184" t="str">
        <f t="shared" si="75"/>
        <v/>
      </c>
    </row>
    <row r="1185" spans="1:16">
      <c r="A1185" t="s">
        <v>213</v>
      </c>
      <c r="B1185" t="s">
        <v>214</v>
      </c>
      <c r="C1185" t="s">
        <v>438</v>
      </c>
      <c r="D1185" t="s">
        <v>439</v>
      </c>
      <c r="E1185">
        <v>20171</v>
      </c>
      <c r="F1185" t="s">
        <v>14</v>
      </c>
      <c r="G1185" t="s">
        <v>18</v>
      </c>
      <c r="H1185">
        <v>3</v>
      </c>
      <c r="I1185">
        <v>0</v>
      </c>
      <c r="J1185">
        <v>20201</v>
      </c>
      <c r="K1185">
        <f>COUNTIF('rEKAP kls MK'!$A$2:$A$35,Worksheet!C1185)</f>
        <v>1</v>
      </c>
      <c r="L1185" t="str">
        <f t="shared" si="72"/>
        <v>F1B115009</v>
      </c>
      <c r="M1185" t="str">
        <f t="shared" si="73"/>
        <v>FADILAH KURNIATI</v>
      </c>
      <c r="O1185" t="str">
        <f t="shared" si="74"/>
        <v/>
      </c>
      <c r="P1185" t="str">
        <f t="shared" si="75"/>
        <v/>
      </c>
    </row>
    <row r="1186" spans="1:16">
      <c r="A1186" t="s">
        <v>144</v>
      </c>
      <c r="B1186" t="s">
        <v>145</v>
      </c>
      <c r="C1186" t="s">
        <v>438</v>
      </c>
      <c r="D1186" t="s">
        <v>439</v>
      </c>
      <c r="E1186">
        <v>20171</v>
      </c>
      <c r="F1186" t="s">
        <v>14</v>
      </c>
      <c r="G1186" t="s">
        <v>23</v>
      </c>
      <c r="H1186">
        <v>2.5</v>
      </c>
      <c r="I1186">
        <v>0</v>
      </c>
      <c r="J1186">
        <v>20201</v>
      </c>
      <c r="K1186">
        <f>COUNTIF('rEKAP kls MK'!$A$2:$A$35,Worksheet!C1186)</f>
        <v>1</v>
      </c>
      <c r="L1186" t="str">
        <f t="shared" si="72"/>
        <v>F1B115013</v>
      </c>
      <c r="M1186" t="str">
        <f t="shared" si="73"/>
        <v>HERU WILUKMAN HAKIM</v>
      </c>
      <c r="O1186" t="str">
        <f t="shared" si="74"/>
        <v/>
      </c>
      <c r="P1186" t="str">
        <f t="shared" si="75"/>
        <v/>
      </c>
    </row>
    <row r="1187" spans="1:16">
      <c r="A1187" t="s">
        <v>243</v>
      </c>
      <c r="B1187" t="s">
        <v>244</v>
      </c>
      <c r="C1187" t="s">
        <v>438</v>
      </c>
      <c r="D1187" t="s">
        <v>439</v>
      </c>
      <c r="E1187">
        <v>20171</v>
      </c>
      <c r="F1187" t="s">
        <v>14</v>
      </c>
      <c r="G1187" t="s">
        <v>101</v>
      </c>
      <c r="H1187">
        <v>0</v>
      </c>
      <c r="I1187">
        <v>0</v>
      </c>
      <c r="J1187">
        <v>20201</v>
      </c>
      <c r="K1187">
        <f>COUNTIF('rEKAP kls MK'!$A$2:$A$35,Worksheet!C1187)</f>
        <v>1</v>
      </c>
      <c r="L1187" t="str">
        <f t="shared" si="72"/>
        <v>F1B115019</v>
      </c>
      <c r="M1187" t="str">
        <f t="shared" si="73"/>
        <v>Jumriati</v>
      </c>
      <c r="O1187" t="str">
        <f t="shared" si="74"/>
        <v/>
      </c>
      <c r="P1187" t="str">
        <f t="shared" si="75"/>
        <v/>
      </c>
    </row>
    <row r="1188" spans="1:16">
      <c r="A1188" t="s">
        <v>223</v>
      </c>
      <c r="B1188" t="s">
        <v>224</v>
      </c>
      <c r="C1188" t="s">
        <v>438</v>
      </c>
      <c r="D1188" t="s">
        <v>439</v>
      </c>
      <c r="E1188">
        <v>20171</v>
      </c>
      <c r="F1188" t="s">
        <v>14</v>
      </c>
      <c r="G1188" t="s">
        <v>51</v>
      </c>
      <c r="H1188">
        <v>3.5</v>
      </c>
      <c r="I1188">
        <v>0</v>
      </c>
      <c r="J1188">
        <v>20201</v>
      </c>
      <c r="K1188">
        <f>COUNTIF('rEKAP kls MK'!$A$2:$A$35,Worksheet!C1188)</f>
        <v>1</v>
      </c>
      <c r="L1188" t="str">
        <f t="shared" si="72"/>
        <v>F1B115022</v>
      </c>
      <c r="M1188" t="str">
        <f t="shared" si="73"/>
        <v>LAZARINA MARIANA</v>
      </c>
      <c r="O1188" t="str">
        <f t="shared" si="74"/>
        <v/>
      </c>
      <c r="P1188" t="str">
        <f t="shared" si="75"/>
        <v/>
      </c>
    </row>
    <row r="1189" spans="1:16">
      <c r="A1189" t="s">
        <v>121</v>
      </c>
      <c r="B1189" t="s">
        <v>122</v>
      </c>
      <c r="C1189" t="s">
        <v>438</v>
      </c>
      <c r="D1189" t="s">
        <v>439</v>
      </c>
      <c r="E1189">
        <v>20171</v>
      </c>
      <c r="F1189" t="s">
        <v>14</v>
      </c>
      <c r="G1189" t="s">
        <v>18</v>
      </c>
      <c r="H1189">
        <v>3</v>
      </c>
      <c r="I1189">
        <v>0</v>
      </c>
      <c r="J1189">
        <v>20201</v>
      </c>
      <c r="K1189">
        <f>COUNTIF('rEKAP kls MK'!$A$2:$A$35,Worksheet!C1189)</f>
        <v>1</v>
      </c>
      <c r="L1189" t="str">
        <f t="shared" si="72"/>
        <v>F1B115025</v>
      </c>
      <c r="M1189" t="str">
        <f t="shared" si="73"/>
        <v>MERRY MICHELLINA</v>
      </c>
      <c r="O1189" t="str">
        <f t="shared" si="74"/>
        <v/>
      </c>
      <c r="P1189" t="str">
        <f t="shared" si="75"/>
        <v/>
      </c>
    </row>
    <row r="1190" spans="1:16">
      <c r="A1190" t="s">
        <v>193</v>
      </c>
      <c r="B1190" t="s">
        <v>194</v>
      </c>
      <c r="C1190" t="s">
        <v>438</v>
      </c>
      <c r="D1190" t="s">
        <v>439</v>
      </c>
      <c r="E1190">
        <v>20171</v>
      </c>
      <c r="F1190" t="s">
        <v>14</v>
      </c>
      <c r="G1190" t="s">
        <v>23</v>
      </c>
      <c r="H1190">
        <v>2.5</v>
      </c>
      <c r="I1190">
        <v>0</v>
      </c>
      <c r="J1190">
        <v>20201</v>
      </c>
      <c r="K1190">
        <f>COUNTIF('rEKAP kls MK'!$A$2:$A$35,Worksheet!C1190)</f>
        <v>1</v>
      </c>
      <c r="L1190" t="str">
        <f t="shared" si="72"/>
        <v>F1B115026</v>
      </c>
      <c r="M1190" t="str">
        <f t="shared" si="73"/>
        <v>MUCHAMMAD BAGIR</v>
      </c>
      <c r="O1190" t="str">
        <f t="shared" si="74"/>
        <v/>
      </c>
      <c r="P1190" t="str">
        <f t="shared" si="75"/>
        <v/>
      </c>
    </row>
    <row r="1191" spans="1:16">
      <c r="A1191" t="s">
        <v>227</v>
      </c>
      <c r="B1191" t="s">
        <v>228</v>
      </c>
      <c r="C1191" t="s">
        <v>438</v>
      </c>
      <c r="D1191" t="s">
        <v>439</v>
      </c>
      <c r="E1191">
        <v>20171</v>
      </c>
      <c r="F1191" t="s">
        <v>14</v>
      </c>
      <c r="G1191" t="s">
        <v>116</v>
      </c>
      <c r="H1191">
        <v>1.5</v>
      </c>
      <c r="I1191">
        <v>0</v>
      </c>
      <c r="J1191">
        <v>20201</v>
      </c>
      <c r="K1191">
        <f>COUNTIF('rEKAP kls MK'!$A$2:$A$35,Worksheet!C1191)</f>
        <v>1</v>
      </c>
      <c r="L1191" t="str">
        <f t="shared" si="72"/>
        <v>F1B115027</v>
      </c>
      <c r="M1191" t="str">
        <f t="shared" si="73"/>
        <v>MUHAMAD NUDISANTANA RISWANDI</v>
      </c>
      <c r="O1191" t="str">
        <f t="shared" si="74"/>
        <v/>
      </c>
      <c r="P1191" t="str">
        <f t="shared" si="75"/>
        <v/>
      </c>
    </row>
    <row r="1192" spans="1:16">
      <c r="A1192" t="s">
        <v>195</v>
      </c>
      <c r="B1192" t="s">
        <v>196</v>
      </c>
      <c r="C1192" t="s">
        <v>438</v>
      </c>
      <c r="D1192" t="s">
        <v>439</v>
      </c>
      <c r="E1192">
        <v>20171</v>
      </c>
      <c r="F1192" t="s">
        <v>14</v>
      </c>
      <c r="G1192" t="s">
        <v>26</v>
      </c>
      <c r="H1192">
        <v>2</v>
      </c>
      <c r="I1192">
        <v>0</v>
      </c>
      <c r="J1192">
        <v>20201</v>
      </c>
      <c r="K1192">
        <f>COUNTIF('rEKAP kls MK'!$A$2:$A$35,Worksheet!C1192)</f>
        <v>1</v>
      </c>
      <c r="L1192" t="str">
        <f t="shared" si="72"/>
        <v>F1B115034</v>
      </c>
      <c r="M1192" t="str">
        <f t="shared" si="73"/>
        <v>NAUFAL ATSAURI</v>
      </c>
      <c r="O1192" t="str">
        <f t="shared" si="74"/>
        <v/>
      </c>
      <c r="P1192" t="str">
        <f t="shared" si="75"/>
        <v/>
      </c>
    </row>
    <row r="1193" spans="1:16">
      <c r="A1193" t="s">
        <v>269</v>
      </c>
      <c r="B1193" t="s">
        <v>270</v>
      </c>
      <c r="C1193" t="s">
        <v>277</v>
      </c>
      <c r="D1193" t="s">
        <v>278</v>
      </c>
      <c r="E1193">
        <v>20171</v>
      </c>
      <c r="F1193" t="s">
        <v>576</v>
      </c>
      <c r="G1193" t="s">
        <v>150</v>
      </c>
      <c r="H1193">
        <v>0</v>
      </c>
      <c r="I1193">
        <v>0</v>
      </c>
      <c r="J1193">
        <v>20201</v>
      </c>
      <c r="K1193">
        <f>COUNTIF('rEKAP kls MK'!$A$2:$A$35,Worksheet!C1193)</f>
        <v>0</v>
      </c>
      <c r="L1193" t="str">
        <f t="shared" si="72"/>
        <v>F1B110010</v>
      </c>
      <c r="M1193" t="str">
        <f t="shared" si="73"/>
        <v>GHAZI AKBAR</v>
      </c>
      <c r="O1193" t="str">
        <f t="shared" si="74"/>
        <v>TUGAS AKHIR</v>
      </c>
      <c r="P1193" t="str">
        <f t="shared" si="75"/>
        <v>R</v>
      </c>
    </row>
    <row r="1194" spans="1:16">
      <c r="A1194" t="s">
        <v>279</v>
      </c>
      <c r="B1194" t="s">
        <v>280</v>
      </c>
      <c r="C1194" t="s">
        <v>277</v>
      </c>
      <c r="D1194" t="s">
        <v>278</v>
      </c>
      <c r="E1194">
        <v>20171</v>
      </c>
      <c r="F1194" t="s">
        <v>576</v>
      </c>
      <c r="G1194" t="s">
        <v>51</v>
      </c>
      <c r="H1194">
        <v>3.5</v>
      </c>
      <c r="I1194">
        <v>0</v>
      </c>
      <c r="J1194">
        <v>20201</v>
      </c>
      <c r="K1194">
        <f>COUNTIF('rEKAP kls MK'!$A$2:$A$35,Worksheet!C1194)</f>
        <v>0</v>
      </c>
      <c r="L1194" t="str">
        <f t="shared" si="72"/>
        <v>F1B110016</v>
      </c>
      <c r="M1194" t="str">
        <f t="shared" si="73"/>
        <v>HAMDANI</v>
      </c>
      <c r="O1194" t="str">
        <f t="shared" si="74"/>
        <v/>
      </c>
      <c r="P1194" t="str">
        <f t="shared" si="75"/>
        <v/>
      </c>
    </row>
    <row r="1195" spans="1:16">
      <c r="A1195" t="s">
        <v>281</v>
      </c>
      <c r="B1195" t="s">
        <v>282</v>
      </c>
      <c r="C1195" t="s">
        <v>277</v>
      </c>
      <c r="D1195" t="s">
        <v>278</v>
      </c>
      <c r="E1195">
        <v>20171</v>
      </c>
      <c r="F1195" t="s">
        <v>576</v>
      </c>
      <c r="G1195" t="s">
        <v>150</v>
      </c>
      <c r="H1195">
        <v>0</v>
      </c>
      <c r="I1195">
        <v>0</v>
      </c>
      <c r="J1195">
        <v>20201</v>
      </c>
      <c r="K1195">
        <f>COUNTIF('rEKAP kls MK'!$A$2:$A$35,Worksheet!C1195)</f>
        <v>0</v>
      </c>
      <c r="L1195" t="str">
        <f t="shared" si="72"/>
        <v>F1B110018</v>
      </c>
      <c r="M1195" t="str">
        <f t="shared" si="73"/>
        <v>SAMSUL HADI</v>
      </c>
      <c r="O1195" t="str">
        <f t="shared" si="74"/>
        <v/>
      </c>
      <c r="P1195" t="str">
        <f t="shared" si="75"/>
        <v/>
      </c>
    </row>
    <row r="1196" spans="1:16">
      <c r="A1196" t="s">
        <v>283</v>
      </c>
      <c r="B1196" t="s">
        <v>284</v>
      </c>
      <c r="C1196" t="s">
        <v>277</v>
      </c>
      <c r="D1196" t="s">
        <v>278</v>
      </c>
      <c r="E1196">
        <v>20171</v>
      </c>
      <c r="F1196" t="s">
        <v>576</v>
      </c>
      <c r="G1196" t="s">
        <v>51</v>
      </c>
      <c r="H1196">
        <v>3.5</v>
      </c>
      <c r="I1196">
        <v>0</v>
      </c>
      <c r="J1196">
        <v>20201</v>
      </c>
      <c r="K1196">
        <f>COUNTIF('rEKAP kls MK'!$A$2:$A$35,Worksheet!C1196)</f>
        <v>0</v>
      </c>
      <c r="L1196" t="str">
        <f t="shared" si="72"/>
        <v>F1B110028</v>
      </c>
      <c r="M1196" t="str">
        <f t="shared" si="73"/>
        <v>ERWIN PRATAMA HADI</v>
      </c>
      <c r="O1196" t="str">
        <f t="shared" si="74"/>
        <v/>
      </c>
      <c r="P1196" t="str">
        <f t="shared" si="75"/>
        <v/>
      </c>
    </row>
    <row r="1197" spans="1:16">
      <c r="A1197" t="s">
        <v>285</v>
      </c>
      <c r="B1197" t="s">
        <v>286</v>
      </c>
      <c r="C1197" t="s">
        <v>277</v>
      </c>
      <c r="D1197" t="s">
        <v>278</v>
      </c>
      <c r="E1197">
        <v>20171</v>
      </c>
      <c r="F1197" t="s">
        <v>576</v>
      </c>
      <c r="G1197" t="s">
        <v>18</v>
      </c>
      <c r="H1197">
        <v>3</v>
      </c>
      <c r="I1197">
        <v>0</v>
      </c>
      <c r="J1197">
        <v>20201</v>
      </c>
      <c r="K1197">
        <f>COUNTIF('rEKAP kls MK'!$A$2:$A$35,Worksheet!C1197)</f>
        <v>0</v>
      </c>
      <c r="L1197" t="str">
        <f t="shared" si="72"/>
        <v>F1B110033</v>
      </c>
      <c r="M1197" t="str">
        <f t="shared" si="73"/>
        <v>LALU MAYENDRA ISKANDAR</v>
      </c>
      <c r="O1197" t="str">
        <f t="shared" si="74"/>
        <v/>
      </c>
      <c r="P1197" t="str">
        <f t="shared" si="75"/>
        <v/>
      </c>
    </row>
    <row r="1198" spans="1:16">
      <c r="A1198" t="s">
        <v>287</v>
      </c>
      <c r="B1198" t="s">
        <v>288</v>
      </c>
      <c r="C1198" t="s">
        <v>277</v>
      </c>
      <c r="D1198" t="s">
        <v>278</v>
      </c>
      <c r="E1198">
        <v>20171</v>
      </c>
      <c r="F1198" t="s">
        <v>576</v>
      </c>
      <c r="G1198" t="s">
        <v>82</v>
      </c>
      <c r="H1198">
        <v>4</v>
      </c>
      <c r="I1198">
        <v>0</v>
      </c>
      <c r="J1198">
        <v>20201</v>
      </c>
      <c r="K1198">
        <f>COUNTIF('rEKAP kls MK'!$A$2:$A$35,Worksheet!C1198)</f>
        <v>0</v>
      </c>
      <c r="L1198" t="str">
        <f t="shared" si="72"/>
        <v>F1B110034</v>
      </c>
      <c r="M1198" t="str">
        <f t="shared" si="73"/>
        <v>RADIMAS DHAWNIEL P.</v>
      </c>
      <c r="O1198" t="str">
        <f t="shared" si="74"/>
        <v/>
      </c>
      <c r="P1198" t="str">
        <f t="shared" si="75"/>
        <v/>
      </c>
    </row>
    <row r="1199" spans="1:16">
      <c r="A1199" t="s">
        <v>289</v>
      </c>
      <c r="B1199" t="s">
        <v>290</v>
      </c>
      <c r="C1199" t="s">
        <v>277</v>
      </c>
      <c r="D1199" t="s">
        <v>278</v>
      </c>
      <c r="E1199">
        <v>20171</v>
      </c>
      <c r="F1199" t="s">
        <v>576</v>
      </c>
      <c r="G1199" t="s">
        <v>51</v>
      </c>
      <c r="H1199">
        <v>3.5</v>
      </c>
      <c r="I1199">
        <v>0</v>
      </c>
      <c r="J1199">
        <v>20201</v>
      </c>
      <c r="K1199">
        <f>COUNTIF('rEKAP kls MK'!$A$2:$A$35,Worksheet!C1199)</f>
        <v>0</v>
      </c>
      <c r="L1199" t="str">
        <f t="shared" si="72"/>
        <v>F1B110036</v>
      </c>
      <c r="M1199" t="str">
        <f t="shared" si="73"/>
        <v>M AZMI NOPIANDI</v>
      </c>
      <c r="O1199" t="str">
        <f t="shared" si="74"/>
        <v/>
      </c>
      <c r="P1199" t="str">
        <f t="shared" si="75"/>
        <v/>
      </c>
    </row>
    <row r="1200" spans="1:16">
      <c r="A1200" t="s">
        <v>291</v>
      </c>
      <c r="B1200" t="s">
        <v>292</v>
      </c>
      <c r="C1200" t="s">
        <v>277</v>
      </c>
      <c r="D1200" t="s">
        <v>278</v>
      </c>
      <c r="E1200">
        <v>20171</v>
      </c>
      <c r="F1200" t="s">
        <v>576</v>
      </c>
      <c r="G1200" t="s">
        <v>51</v>
      </c>
      <c r="H1200">
        <v>3.5</v>
      </c>
      <c r="I1200">
        <v>0</v>
      </c>
      <c r="J1200">
        <v>20201</v>
      </c>
      <c r="K1200">
        <f>COUNTIF('rEKAP kls MK'!$A$2:$A$35,Worksheet!C1200)</f>
        <v>0</v>
      </c>
      <c r="L1200" t="str">
        <f t="shared" si="72"/>
        <v>F1B110044</v>
      </c>
      <c r="M1200" t="str">
        <f t="shared" si="73"/>
        <v>ASMIWATI</v>
      </c>
      <c r="O1200" t="str">
        <f t="shared" si="74"/>
        <v/>
      </c>
      <c r="P1200" t="str">
        <f t="shared" si="75"/>
        <v/>
      </c>
    </row>
    <row r="1201" spans="1:16">
      <c r="A1201" t="s">
        <v>293</v>
      </c>
      <c r="B1201" t="s">
        <v>294</v>
      </c>
      <c r="C1201" t="s">
        <v>277</v>
      </c>
      <c r="D1201" t="s">
        <v>278</v>
      </c>
      <c r="E1201">
        <v>20171</v>
      </c>
      <c r="F1201" t="s">
        <v>576</v>
      </c>
      <c r="G1201" t="s">
        <v>23</v>
      </c>
      <c r="H1201">
        <v>2.5</v>
      </c>
      <c r="I1201">
        <v>0</v>
      </c>
      <c r="J1201">
        <v>20201</v>
      </c>
      <c r="K1201">
        <f>COUNTIF('rEKAP kls MK'!$A$2:$A$35,Worksheet!C1201)</f>
        <v>0</v>
      </c>
      <c r="L1201" t="str">
        <f t="shared" si="72"/>
        <v>F1B110053</v>
      </c>
      <c r="M1201" t="str">
        <f t="shared" si="73"/>
        <v>SADDAM KADIR RANGGO</v>
      </c>
      <c r="O1201" t="str">
        <f t="shared" si="74"/>
        <v/>
      </c>
      <c r="P1201" t="str">
        <f t="shared" si="75"/>
        <v/>
      </c>
    </row>
    <row r="1202" spans="1:16">
      <c r="A1202" t="s">
        <v>295</v>
      </c>
      <c r="B1202" t="s">
        <v>296</v>
      </c>
      <c r="C1202" t="s">
        <v>277</v>
      </c>
      <c r="D1202" t="s">
        <v>278</v>
      </c>
      <c r="E1202">
        <v>20171</v>
      </c>
      <c r="F1202" t="s">
        <v>576</v>
      </c>
      <c r="G1202" t="s">
        <v>18</v>
      </c>
      <c r="H1202">
        <v>3</v>
      </c>
      <c r="I1202">
        <v>0</v>
      </c>
      <c r="J1202">
        <v>20201</v>
      </c>
      <c r="K1202">
        <f>COUNTIF('rEKAP kls MK'!$A$2:$A$35,Worksheet!C1202)</f>
        <v>0</v>
      </c>
      <c r="L1202" t="str">
        <f t="shared" si="72"/>
        <v>F1B110056</v>
      </c>
      <c r="M1202" t="str">
        <f t="shared" si="73"/>
        <v>GALANG SAPUTRA</v>
      </c>
      <c r="O1202" t="str">
        <f t="shared" si="74"/>
        <v/>
      </c>
      <c r="P1202" t="str">
        <f t="shared" si="75"/>
        <v/>
      </c>
    </row>
    <row r="1203" spans="1:16">
      <c r="A1203" t="s">
        <v>297</v>
      </c>
      <c r="B1203" t="s">
        <v>298</v>
      </c>
      <c r="C1203" t="s">
        <v>277</v>
      </c>
      <c r="D1203" t="s">
        <v>278</v>
      </c>
      <c r="E1203">
        <v>20171</v>
      </c>
      <c r="F1203" t="s">
        <v>576</v>
      </c>
      <c r="G1203" t="s">
        <v>51</v>
      </c>
      <c r="H1203">
        <v>3.5</v>
      </c>
      <c r="I1203">
        <v>0</v>
      </c>
      <c r="J1203">
        <v>20201</v>
      </c>
      <c r="K1203">
        <f>COUNTIF('rEKAP kls MK'!$A$2:$A$35,Worksheet!C1203)</f>
        <v>0</v>
      </c>
      <c r="L1203" t="str">
        <f t="shared" si="72"/>
        <v>F1B110057</v>
      </c>
      <c r="M1203" t="str">
        <f t="shared" si="73"/>
        <v>YULIA PRADEWI</v>
      </c>
      <c r="O1203" t="str">
        <f t="shared" si="74"/>
        <v/>
      </c>
      <c r="P1203" t="str">
        <f t="shared" si="75"/>
        <v/>
      </c>
    </row>
    <row r="1204" spans="1:16">
      <c r="A1204" t="s">
        <v>299</v>
      </c>
      <c r="B1204" t="s">
        <v>300</v>
      </c>
      <c r="C1204" t="s">
        <v>277</v>
      </c>
      <c r="D1204" t="s">
        <v>278</v>
      </c>
      <c r="E1204">
        <v>20171</v>
      </c>
      <c r="F1204" t="s">
        <v>576</v>
      </c>
      <c r="G1204" t="s">
        <v>82</v>
      </c>
      <c r="H1204">
        <v>4</v>
      </c>
      <c r="I1204">
        <v>0</v>
      </c>
      <c r="J1204">
        <v>20201</v>
      </c>
      <c r="K1204">
        <f>COUNTIF('rEKAP kls MK'!$A$2:$A$35,Worksheet!C1204)</f>
        <v>0</v>
      </c>
      <c r="L1204" t="str">
        <f t="shared" si="72"/>
        <v>F1B110062</v>
      </c>
      <c r="M1204" t="str">
        <f t="shared" si="73"/>
        <v>SINGGIH RAMADHONI</v>
      </c>
      <c r="O1204" t="str">
        <f t="shared" si="74"/>
        <v/>
      </c>
      <c r="P1204" t="str">
        <f t="shared" si="75"/>
        <v/>
      </c>
    </row>
    <row r="1205" spans="1:16">
      <c r="A1205" t="s">
        <v>301</v>
      </c>
      <c r="B1205" t="s">
        <v>302</v>
      </c>
      <c r="C1205" t="s">
        <v>277</v>
      </c>
      <c r="D1205" t="s">
        <v>278</v>
      </c>
      <c r="E1205">
        <v>20171</v>
      </c>
      <c r="F1205" t="s">
        <v>576</v>
      </c>
      <c r="G1205" t="s">
        <v>51</v>
      </c>
      <c r="H1205">
        <v>3.5</v>
      </c>
      <c r="I1205">
        <v>0</v>
      </c>
      <c r="J1205">
        <v>20201</v>
      </c>
      <c r="K1205">
        <f>COUNTIF('rEKAP kls MK'!$A$2:$A$35,Worksheet!C1205)</f>
        <v>0</v>
      </c>
      <c r="L1205" t="str">
        <f t="shared" si="72"/>
        <v>F1B110063</v>
      </c>
      <c r="M1205" t="str">
        <f t="shared" si="73"/>
        <v>DANANG M ARIEF S P</v>
      </c>
      <c r="O1205" t="str">
        <f t="shared" si="74"/>
        <v/>
      </c>
      <c r="P1205" t="str">
        <f t="shared" si="75"/>
        <v/>
      </c>
    </row>
    <row r="1206" spans="1:16">
      <c r="A1206" t="s">
        <v>273</v>
      </c>
      <c r="B1206" t="s">
        <v>274</v>
      </c>
      <c r="C1206" t="s">
        <v>277</v>
      </c>
      <c r="D1206" t="s">
        <v>278</v>
      </c>
      <c r="E1206">
        <v>20171</v>
      </c>
      <c r="F1206" t="s">
        <v>576</v>
      </c>
      <c r="G1206" t="s">
        <v>150</v>
      </c>
      <c r="H1206">
        <v>0</v>
      </c>
      <c r="I1206">
        <v>0</v>
      </c>
      <c r="J1206">
        <v>20201</v>
      </c>
      <c r="K1206">
        <f>COUNTIF('rEKAP kls MK'!$A$2:$A$35,Worksheet!C1206)</f>
        <v>0</v>
      </c>
      <c r="L1206" t="str">
        <f t="shared" si="72"/>
        <v>F1B110068</v>
      </c>
      <c r="M1206" t="str">
        <f t="shared" si="73"/>
        <v>SUPARLAN ARDYANSYAH</v>
      </c>
      <c r="O1206" t="str">
        <f t="shared" si="74"/>
        <v/>
      </c>
      <c r="P1206" t="str">
        <f t="shared" si="75"/>
        <v/>
      </c>
    </row>
    <row r="1207" spans="1:16">
      <c r="A1207" t="s">
        <v>303</v>
      </c>
      <c r="B1207" t="s">
        <v>304</v>
      </c>
      <c r="C1207" t="s">
        <v>277</v>
      </c>
      <c r="D1207" t="s">
        <v>278</v>
      </c>
      <c r="E1207">
        <v>20171</v>
      </c>
      <c r="F1207" t="s">
        <v>576</v>
      </c>
      <c r="G1207" t="s">
        <v>82</v>
      </c>
      <c r="H1207">
        <v>4</v>
      </c>
      <c r="I1207">
        <v>0</v>
      </c>
      <c r="J1207">
        <v>20201</v>
      </c>
      <c r="K1207">
        <f>COUNTIF('rEKAP kls MK'!$A$2:$A$35,Worksheet!C1207)</f>
        <v>0</v>
      </c>
      <c r="L1207" t="str">
        <f t="shared" si="72"/>
        <v>F1B110071</v>
      </c>
      <c r="M1207" t="str">
        <f t="shared" si="73"/>
        <v>TRENDY NIAGAWAN</v>
      </c>
      <c r="O1207" t="str">
        <f t="shared" si="74"/>
        <v/>
      </c>
      <c r="P1207" t="str">
        <f t="shared" si="75"/>
        <v/>
      </c>
    </row>
    <row r="1208" spans="1:16">
      <c r="A1208" t="s">
        <v>305</v>
      </c>
      <c r="B1208" t="s">
        <v>306</v>
      </c>
      <c r="C1208" t="s">
        <v>277</v>
      </c>
      <c r="D1208" t="s">
        <v>278</v>
      </c>
      <c r="E1208">
        <v>20171</v>
      </c>
      <c r="F1208" t="s">
        <v>576</v>
      </c>
      <c r="G1208" t="s">
        <v>51</v>
      </c>
      <c r="H1208">
        <v>3.5</v>
      </c>
      <c r="I1208">
        <v>0</v>
      </c>
      <c r="J1208">
        <v>20201</v>
      </c>
      <c r="K1208">
        <f>COUNTIF('rEKAP kls MK'!$A$2:$A$35,Worksheet!C1208)</f>
        <v>0</v>
      </c>
      <c r="L1208" t="str">
        <f t="shared" si="72"/>
        <v>F1B110073</v>
      </c>
      <c r="M1208" t="str">
        <f t="shared" si="73"/>
        <v>MUHAMAD JOHAN K</v>
      </c>
      <c r="O1208" t="str">
        <f t="shared" si="74"/>
        <v/>
      </c>
      <c r="P1208" t="str">
        <f t="shared" si="75"/>
        <v/>
      </c>
    </row>
    <row r="1209" spans="1:16">
      <c r="A1209" t="s">
        <v>239</v>
      </c>
      <c r="B1209" t="s">
        <v>240</v>
      </c>
      <c r="C1209" t="s">
        <v>277</v>
      </c>
      <c r="D1209" t="s">
        <v>278</v>
      </c>
      <c r="E1209">
        <v>20171</v>
      </c>
      <c r="F1209" t="s">
        <v>576</v>
      </c>
      <c r="G1209" t="s">
        <v>150</v>
      </c>
      <c r="H1209">
        <v>0</v>
      </c>
      <c r="I1209">
        <v>0</v>
      </c>
      <c r="J1209">
        <v>20201</v>
      </c>
      <c r="K1209">
        <f>COUNTIF('rEKAP kls MK'!$A$2:$A$35,Worksheet!C1209)</f>
        <v>0</v>
      </c>
      <c r="L1209" t="str">
        <f t="shared" si="72"/>
        <v>F1B110076</v>
      </c>
      <c r="M1209" t="str">
        <f t="shared" si="73"/>
        <v>LALU ARDYPATI</v>
      </c>
      <c r="O1209" t="str">
        <f t="shared" si="74"/>
        <v/>
      </c>
      <c r="P1209" t="str">
        <f t="shared" si="75"/>
        <v/>
      </c>
    </row>
    <row r="1210" spans="1:16">
      <c r="A1210" t="s">
        <v>307</v>
      </c>
      <c r="B1210" t="s">
        <v>308</v>
      </c>
      <c r="C1210" t="s">
        <v>277</v>
      </c>
      <c r="D1210" t="s">
        <v>278</v>
      </c>
      <c r="E1210">
        <v>20171</v>
      </c>
      <c r="F1210" t="s">
        <v>576</v>
      </c>
      <c r="G1210" t="s">
        <v>51</v>
      </c>
      <c r="H1210">
        <v>3.5</v>
      </c>
      <c r="I1210">
        <v>0</v>
      </c>
      <c r="J1210">
        <v>20201</v>
      </c>
      <c r="K1210">
        <f>COUNTIF('rEKAP kls MK'!$A$2:$A$35,Worksheet!C1210)</f>
        <v>0</v>
      </c>
      <c r="L1210" t="str">
        <f t="shared" si="72"/>
        <v>F1B110077</v>
      </c>
      <c r="M1210" t="str">
        <f t="shared" si="73"/>
        <v>KHAIRUL ANAM</v>
      </c>
      <c r="O1210" t="str">
        <f t="shared" si="74"/>
        <v/>
      </c>
      <c r="P1210" t="str">
        <f t="shared" si="75"/>
        <v/>
      </c>
    </row>
    <row r="1211" spans="1:16">
      <c r="A1211" t="s">
        <v>309</v>
      </c>
      <c r="B1211" t="s">
        <v>310</v>
      </c>
      <c r="C1211" t="s">
        <v>277</v>
      </c>
      <c r="D1211" t="s">
        <v>278</v>
      </c>
      <c r="E1211">
        <v>20171</v>
      </c>
      <c r="F1211" t="s">
        <v>576</v>
      </c>
      <c r="G1211" t="s">
        <v>51</v>
      </c>
      <c r="H1211">
        <v>3.5</v>
      </c>
      <c r="I1211">
        <v>0</v>
      </c>
      <c r="J1211">
        <v>20201</v>
      </c>
      <c r="K1211">
        <f>COUNTIF('rEKAP kls MK'!$A$2:$A$35,Worksheet!C1211)</f>
        <v>0</v>
      </c>
      <c r="L1211" t="str">
        <f t="shared" si="72"/>
        <v>F1B110078</v>
      </c>
      <c r="M1211" t="str">
        <f t="shared" si="73"/>
        <v>SUPRIADI</v>
      </c>
      <c r="O1211" t="str">
        <f t="shared" si="74"/>
        <v/>
      </c>
      <c r="P1211" t="str">
        <f t="shared" si="75"/>
        <v/>
      </c>
    </row>
    <row r="1212" spans="1:16">
      <c r="A1212" t="s">
        <v>311</v>
      </c>
      <c r="B1212" t="s">
        <v>312</v>
      </c>
      <c r="C1212" t="s">
        <v>277</v>
      </c>
      <c r="D1212" t="s">
        <v>278</v>
      </c>
      <c r="E1212">
        <v>20171</v>
      </c>
      <c r="F1212" t="s">
        <v>576</v>
      </c>
      <c r="G1212" t="s">
        <v>150</v>
      </c>
      <c r="H1212">
        <v>0</v>
      </c>
      <c r="I1212">
        <v>0</v>
      </c>
      <c r="J1212">
        <v>20201</v>
      </c>
      <c r="K1212">
        <f>COUNTIF('rEKAP kls MK'!$A$2:$A$35,Worksheet!C1212)</f>
        <v>0</v>
      </c>
      <c r="L1212" t="str">
        <f t="shared" si="72"/>
        <v>F1B111002</v>
      </c>
      <c r="M1212" t="str">
        <f t="shared" si="73"/>
        <v>Agus Budi Nurcahyono</v>
      </c>
      <c r="O1212" t="str">
        <f t="shared" si="74"/>
        <v/>
      </c>
      <c r="P1212" t="str">
        <f t="shared" si="75"/>
        <v/>
      </c>
    </row>
    <row r="1213" spans="1:16">
      <c r="A1213" t="s">
        <v>197</v>
      </c>
      <c r="B1213" t="s">
        <v>198</v>
      </c>
      <c r="C1213" t="s">
        <v>277</v>
      </c>
      <c r="D1213" t="s">
        <v>278</v>
      </c>
      <c r="E1213">
        <v>20171</v>
      </c>
      <c r="F1213" t="s">
        <v>576</v>
      </c>
      <c r="G1213" t="s">
        <v>51</v>
      </c>
      <c r="H1213">
        <v>3.5</v>
      </c>
      <c r="I1213">
        <v>0</v>
      </c>
      <c r="J1213">
        <v>20201</v>
      </c>
      <c r="K1213">
        <f>COUNTIF('rEKAP kls MK'!$A$2:$A$35,Worksheet!C1213)</f>
        <v>0</v>
      </c>
      <c r="L1213" t="str">
        <f t="shared" si="72"/>
        <v>F1B111004</v>
      </c>
      <c r="M1213" t="str">
        <f t="shared" si="73"/>
        <v>Ahmadi</v>
      </c>
      <c r="O1213" t="str">
        <f t="shared" si="74"/>
        <v/>
      </c>
      <c r="P1213" t="str">
        <f t="shared" si="75"/>
        <v/>
      </c>
    </row>
    <row r="1214" spans="1:16">
      <c r="A1214" t="s">
        <v>313</v>
      </c>
      <c r="B1214" t="s">
        <v>314</v>
      </c>
      <c r="C1214" t="s">
        <v>277</v>
      </c>
      <c r="D1214" t="s">
        <v>278</v>
      </c>
      <c r="E1214">
        <v>20171</v>
      </c>
      <c r="F1214" t="s">
        <v>576</v>
      </c>
      <c r="G1214" t="s">
        <v>150</v>
      </c>
      <c r="H1214">
        <v>0</v>
      </c>
      <c r="I1214">
        <v>0</v>
      </c>
      <c r="J1214">
        <v>20201</v>
      </c>
      <c r="K1214">
        <f>COUNTIF('rEKAP kls MK'!$A$2:$A$35,Worksheet!C1214)</f>
        <v>0</v>
      </c>
      <c r="L1214" t="str">
        <f t="shared" si="72"/>
        <v>F1B111006</v>
      </c>
      <c r="M1214" t="str">
        <f t="shared" si="73"/>
        <v>Alfan Aditya</v>
      </c>
      <c r="O1214" t="str">
        <f t="shared" si="74"/>
        <v/>
      </c>
      <c r="P1214" t="str">
        <f t="shared" si="75"/>
        <v/>
      </c>
    </row>
    <row r="1215" spans="1:16">
      <c r="A1215" t="s">
        <v>315</v>
      </c>
      <c r="B1215" t="s">
        <v>316</v>
      </c>
      <c r="C1215" t="s">
        <v>277</v>
      </c>
      <c r="D1215" t="s">
        <v>278</v>
      </c>
      <c r="E1215">
        <v>20171</v>
      </c>
      <c r="F1215" t="s">
        <v>576</v>
      </c>
      <c r="G1215" t="s">
        <v>150</v>
      </c>
      <c r="H1215">
        <v>0</v>
      </c>
      <c r="I1215">
        <v>0</v>
      </c>
      <c r="J1215">
        <v>20201</v>
      </c>
      <c r="K1215">
        <f>COUNTIF('rEKAP kls MK'!$A$2:$A$35,Worksheet!C1215)</f>
        <v>0</v>
      </c>
      <c r="L1215" t="str">
        <f t="shared" si="72"/>
        <v>F1B111007</v>
      </c>
      <c r="M1215" t="str">
        <f t="shared" si="73"/>
        <v>Andika Nugraha</v>
      </c>
      <c r="O1215" t="str">
        <f t="shared" si="74"/>
        <v/>
      </c>
      <c r="P1215" t="str">
        <f t="shared" si="75"/>
        <v/>
      </c>
    </row>
    <row r="1216" spans="1:16">
      <c r="A1216" t="s">
        <v>317</v>
      </c>
      <c r="B1216" t="s">
        <v>318</v>
      </c>
      <c r="C1216" t="s">
        <v>277</v>
      </c>
      <c r="D1216" t="s">
        <v>278</v>
      </c>
      <c r="E1216">
        <v>20171</v>
      </c>
      <c r="F1216" t="s">
        <v>576</v>
      </c>
      <c r="G1216" t="s">
        <v>150</v>
      </c>
      <c r="H1216">
        <v>0</v>
      </c>
      <c r="I1216">
        <v>0</v>
      </c>
      <c r="J1216">
        <v>20201</v>
      </c>
      <c r="K1216">
        <f>COUNTIF('rEKAP kls MK'!$A$2:$A$35,Worksheet!C1216)</f>
        <v>0</v>
      </c>
      <c r="L1216" t="str">
        <f t="shared" si="72"/>
        <v>F1B111008</v>
      </c>
      <c r="M1216" t="str">
        <f t="shared" si="73"/>
        <v>Arif Hidayatullah</v>
      </c>
      <c r="O1216" t="str">
        <f t="shared" si="74"/>
        <v/>
      </c>
      <c r="P1216" t="str">
        <f t="shared" si="75"/>
        <v/>
      </c>
    </row>
    <row r="1217" spans="1:16">
      <c r="A1217" t="s">
        <v>319</v>
      </c>
      <c r="B1217" t="s">
        <v>320</v>
      </c>
      <c r="C1217" t="s">
        <v>277</v>
      </c>
      <c r="D1217" t="s">
        <v>278</v>
      </c>
      <c r="E1217">
        <v>20171</v>
      </c>
      <c r="F1217" t="s">
        <v>576</v>
      </c>
      <c r="G1217" t="s">
        <v>82</v>
      </c>
      <c r="H1217">
        <v>4</v>
      </c>
      <c r="I1217">
        <v>0</v>
      </c>
      <c r="J1217">
        <v>20201</v>
      </c>
      <c r="K1217">
        <f>COUNTIF('rEKAP kls MK'!$A$2:$A$35,Worksheet!C1217)</f>
        <v>0</v>
      </c>
      <c r="L1217" t="str">
        <f t="shared" si="72"/>
        <v>F1B111012</v>
      </c>
      <c r="M1217" t="str">
        <f t="shared" si="73"/>
        <v>Baiq Ifi Nawal Akifi</v>
      </c>
      <c r="O1217" t="str">
        <f t="shared" si="74"/>
        <v/>
      </c>
      <c r="P1217" t="str">
        <f t="shared" si="75"/>
        <v/>
      </c>
    </row>
    <row r="1218" spans="1:16">
      <c r="A1218" t="s">
        <v>321</v>
      </c>
      <c r="B1218" t="s">
        <v>322</v>
      </c>
      <c r="C1218" t="s">
        <v>277</v>
      </c>
      <c r="D1218" t="s">
        <v>278</v>
      </c>
      <c r="E1218">
        <v>20171</v>
      </c>
      <c r="F1218" t="s">
        <v>576</v>
      </c>
      <c r="G1218" t="s">
        <v>82</v>
      </c>
      <c r="H1218">
        <v>4</v>
      </c>
      <c r="I1218">
        <v>0</v>
      </c>
      <c r="J1218">
        <v>20201</v>
      </c>
      <c r="K1218">
        <f>COUNTIF('rEKAP kls MK'!$A$2:$A$35,Worksheet!C1218)</f>
        <v>0</v>
      </c>
      <c r="L1218" t="str">
        <f t="shared" si="72"/>
        <v>F1B111015</v>
      </c>
      <c r="M1218" t="str">
        <f t="shared" si="73"/>
        <v>Dwi Kurniawan P.</v>
      </c>
      <c r="O1218" t="str">
        <f t="shared" si="74"/>
        <v/>
      </c>
      <c r="P1218" t="str">
        <f t="shared" si="75"/>
        <v/>
      </c>
    </row>
    <row r="1219" spans="1:16">
      <c r="A1219" t="s">
        <v>323</v>
      </c>
      <c r="B1219" t="s">
        <v>324</v>
      </c>
      <c r="C1219" t="s">
        <v>277</v>
      </c>
      <c r="D1219" t="s">
        <v>278</v>
      </c>
      <c r="E1219">
        <v>20171</v>
      </c>
      <c r="F1219" t="s">
        <v>576</v>
      </c>
      <c r="G1219" t="s">
        <v>82</v>
      </c>
      <c r="H1219">
        <v>4</v>
      </c>
      <c r="I1219">
        <v>0</v>
      </c>
      <c r="J1219">
        <v>20201</v>
      </c>
      <c r="K1219">
        <f>COUNTIF('rEKAP kls MK'!$A$2:$A$35,Worksheet!C1219)</f>
        <v>0</v>
      </c>
      <c r="L1219" t="str">
        <f t="shared" ref="L1219:L1276" si="76">IF(A1218&lt;&gt;A1219,A1219,"")</f>
        <v>F1B111019</v>
      </c>
      <c r="M1219" t="str">
        <f t="shared" ref="M1219:M1276" si="77">IF(B1218&lt;&gt;B1219,B1219,"")</f>
        <v>Fathurrahman</v>
      </c>
      <c r="O1219" t="str">
        <f t="shared" ref="O1219:O1276" si="78">IF(D1218&lt;&gt;D1219,D1219,"")</f>
        <v/>
      </c>
      <c r="P1219" t="str">
        <f t="shared" ref="P1219:P1276" si="79">IF(F1218&lt;&gt;F1219,F1219,"")</f>
        <v/>
      </c>
    </row>
    <row r="1220" spans="1:16">
      <c r="A1220" t="s">
        <v>325</v>
      </c>
      <c r="B1220" t="s">
        <v>326</v>
      </c>
      <c r="C1220" t="s">
        <v>277</v>
      </c>
      <c r="D1220" t="s">
        <v>278</v>
      </c>
      <c r="E1220">
        <v>20171</v>
      </c>
      <c r="F1220" t="s">
        <v>576</v>
      </c>
      <c r="G1220" t="s">
        <v>150</v>
      </c>
      <c r="H1220">
        <v>0</v>
      </c>
      <c r="I1220">
        <v>0</v>
      </c>
      <c r="J1220">
        <v>20201</v>
      </c>
      <c r="K1220">
        <f>COUNTIF('rEKAP kls MK'!$A$2:$A$35,Worksheet!C1220)</f>
        <v>0</v>
      </c>
      <c r="L1220" t="str">
        <f t="shared" si="76"/>
        <v>F1B111021</v>
      </c>
      <c r="M1220" t="str">
        <f t="shared" si="77"/>
        <v>Haerurrozi</v>
      </c>
      <c r="O1220" t="str">
        <f t="shared" si="78"/>
        <v/>
      </c>
      <c r="P1220" t="str">
        <f t="shared" si="79"/>
        <v/>
      </c>
    </row>
    <row r="1221" spans="1:16">
      <c r="A1221" t="s">
        <v>327</v>
      </c>
      <c r="B1221" t="s">
        <v>328</v>
      </c>
      <c r="C1221" t="s">
        <v>277</v>
      </c>
      <c r="D1221" t="s">
        <v>278</v>
      </c>
      <c r="E1221">
        <v>20171</v>
      </c>
      <c r="F1221" t="s">
        <v>576</v>
      </c>
      <c r="G1221" t="s">
        <v>51</v>
      </c>
      <c r="H1221">
        <v>3.5</v>
      </c>
      <c r="I1221">
        <v>0</v>
      </c>
      <c r="J1221">
        <v>20201</v>
      </c>
      <c r="K1221">
        <f>COUNTIF('rEKAP kls MK'!$A$2:$A$35,Worksheet!C1221)</f>
        <v>0</v>
      </c>
      <c r="L1221" t="str">
        <f t="shared" si="76"/>
        <v>F1B111024</v>
      </c>
      <c r="M1221" t="str">
        <f t="shared" si="77"/>
        <v>Hulaipi</v>
      </c>
      <c r="O1221" t="str">
        <f t="shared" si="78"/>
        <v/>
      </c>
      <c r="P1221" t="str">
        <f t="shared" si="79"/>
        <v/>
      </c>
    </row>
    <row r="1222" spans="1:16">
      <c r="A1222" t="s">
        <v>329</v>
      </c>
      <c r="B1222" t="s">
        <v>330</v>
      </c>
      <c r="C1222" t="s">
        <v>277</v>
      </c>
      <c r="D1222" t="s">
        <v>278</v>
      </c>
      <c r="E1222">
        <v>20171</v>
      </c>
      <c r="F1222" t="s">
        <v>576</v>
      </c>
      <c r="G1222" t="s">
        <v>51</v>
      </c>
      <c r="H1222">
        <v>3.5</v>
      </c>
      <c r="I1222">
        <v>0</v>
      </c>
      <c r="J1222">
        <v>20201</v>
      </c>
      <c r="K1222">
        <f>COUNTIF('rEKAP kls MK'!$A$2:$A$35,Worksheet!C1222)</f>
        <v>0</v>
      </c>
      <c r="L1222" t="str">
        <f t="shared" si="76"/>
        <v>F1B111025</v>
      </c>
      <c r="M1222" t="str">
        <f t="shared" si="77"/>
        <v>Husnul Kahpi</v>
      </c>
      <c r="O1222" t="str">
        <f t="shared" si="78"/>
        <v/>
      </c>
      <c r="P1222" t="str">
        <f t="shared" si="79"/>
        <v/>
      </c>
    </row>
    <row r="1223" spans="1:16">
      <c r="A1223" t="s">
        <v>331</v>
      </c>
      <c r="B1223" t="s">
        <v>332</v>
      </c>
      <c r="C1223" t="s">
        <v>277</v>
      </c>
      <c r="D1223" t="s">
        <v>278</v>
      </c>
      <c r="E1223">
        <v>20171</v>
      </c>
      <c r="F1223" t="s">
        <v>576</v>
      </c>
      <c r="G1223" t="s">
        <v>51</v>
      </c>
      <c r="H1223">
        <v>3.5</v>
      </c>
      <c r="I1223">
        <v>0</v>
      </c>
      <c r="J1223">
        <v>20201</v>
      </c>
      <c r="K1223">
        <f>COUNTIF('rEKAP kls MK'!$A$2:$A$35,Worksheet!C1223)</f>
        <v>0</v>
      </c>
      <c r="L1223" t="str">
        <f t="shared" si="76"/>
        <v>F1B111026</v>
      </c>
      <c r="M1223" t="str">
        <f t="shared" si="77"/>
        <v>I Ketut Astana</v>
      </c>
      <c r="O1223" t="str">
        <f t="shared" si="78"/>
        <v/>
      </c>
      <c r="P1223" t="str">
        <f t="shared" si="79"/>
        <v/>
      </c>
    </row>
    <row r="1224" spans="1:16">
      <c r="A1224" t="s">
        <v>333</v>
      </c>
      <c r="B1224" t="s">
        <v>334</v>
      </c>
      <c r="C1224" t="s">
        <v>277</v>
      </c>
      <c r="D1224" t="s">
        <v>278</v>
      </c>
      <c r="E1224">
        <v>20171</v>
      </c>
      <c r="F1224" t="s">
        <v>576</v>
      </c>
      <c r="G1224" t="s">
        <v>150</v>
      </c>
      <c r="H1224">
        <v>0</v>
      </c>
      <c r="I1224">
        <v>0</v>
      </c>
      <c r="J1224">
        <v>20201</v>
      </c>
      <c r="K1224">
        <f>COUNTIF('rEKAP kls MK'!$A$2:$A$35,Worksheet!C1224)</f>
        <v>0</v>
      </c>
      <c r="L1224" t="str">
        <f t="shared" si="76"/>
        <v>F1B111027</v>
      </c>
      <c r="M1224" t="str">
        <f t="shared" si="77"/>
        <v>I Made Sulastra</v>
      </c>
      <c r="O1224" t="str">
        <f t="shared" si="78"/>
        <v/>
      </c>
      <c r="P1224" t="str">
        <f t="shared" si="79"/>
        <v/>
      </c>
    </row>
    <row r="1225" spans="1:16">
      <c r="A1225" t="s">
        <v>177</v>
      </c>
      <c r="B1225" t="s">
        <v>178</v>
      </c>
      <c r="C1225" t="s">
        <v>277</v>
      </c>
      <c r="D1225" t="s">
        <v>278</v>
      </c>
      <c r="E1225">
        <v>20171</v>
      </c>
      <c r="F1225" t="s">
        <v>576</v>
      </c>
      <c r="G1225" t="s">
        <v>150</v>
      </c>
      <c r="H1225">
        <v>0</v>
      </c>
      <c r="I1225">
        <v>0</v>
      </c>
      <c r="J1225">
        <v>20201</v>
      </c>
      <c r="K1225">
        <f>COUNTIF('rEKAP kls MK'!$A$2:$A$35,Worksheet!C1225)</f>
        <v>0</v>
      </c>
      <c r="L1225" t="str">
        <f t="shared" si="76"/>
        <v>F1B111030</v>
      </c>
      <c r="M1225" t="str">
        <f t="shared" si="77"/>
        <v>Islahudin</v>
      </c>
      <c r="O1225" t="str">
        <f t="shared" si="78"/>
        <v/>
      </c>
      <c r="P1225" t="str">
        <f t="shared" si="79"/>
        <v/>
      </c>
    </row>
    <row r="1226" spans="1:16">
      <c r="A1226" t="s">
        <v>335</v>
      </c>
      <c r="B1226" t="s">
        <v>336</v>
      </c>
      <c r="C1226" t="s">
        <v>277</v>
      </c>
      <c r="D1226" t="s">
        <v>278</v>
      </c>
      <c r="E1226">
        <v>20171</v>
      </c>
      <c r="F1226" t="s">
        <v>576</v>
      </c>
      <c r="G1226" t="s">
        <v>51</v>
      </c>
      <c r="H1226">
        <v>3.5</v>
      </c>
      <c r="I1226">
        <v>0</v>
      </c>
      <c r="J1226">
        <v>20201</v>
      </c>
      <c r="K1226">
        <f>COUNTIF('rEKAP kls MK'!$A$2:$A$35,Worksheet!C1226)</f>
        <v>0</v>
      </c>
      <c r="L1226" t="str">
        <f t="shared" si="76"/>
        <v>F1B111031</v>
      </c>
      <c r="M1226" t="str">
        <f t="shared" si="77"/>
        <v>Ita Isnawati</v>
      </c>
      <c r="O1226" t="str">
        <f t="shared" si="78"/>
        <v/>
      </c>
      <c r="P1226" t="str">
        <f t="shared" si="79"/>
        <v/>
      </c>
    </row>
    <row r="1227" spans="1:16">
      <c r="A1227" t="s">
        <v>102</v>
      </c>
      <c r="B1227" t="s">
        <v>103</v>
      </c>
      <c r="C1227" t="s">
        <v>277</v>
      </c>
      <c r="D1227" t="s">
        <v>278</v>
      </c>
      <c r="E1227">
        <v>20171</v>
      </c>
      <c r="F1227" t="s">
        <v>576</v>
      </c>
      <c r="G1227" t="s">
        <v>150</v>
      </c>
      <c r="H1227">
        <v>0</v>
      </c>
      <c r="I1227">
        <v>0</v>
      </c>
      <c r="J1227">
        <v>20201</v>
      </c>
      <c r="K1227">
        <f>COUNTIF('rEKAP kls MK'!$A$2:$A$35,Worksheet!C1227)</f>
        <v>0</v>
      </c>
      <c r="L1227" t="str">
        <f t="shared" si="76"/>
        <v>F1B111033</v>
      </c>
      <c r="M1227" t="str">
        <f t="shared" si="77"/>
        <v>Jumait</v>
      </c>
      <c r="O1227" t="str">
        <f t="shared" si="78"/>
        <v/>
      </c>
      <c r="P1227" t="str">
        <f t="shared" si="79"/>
        <v/>
      </c>
    </row>
    <row r="1228" spans="1:16">
      <c r="A1228" t="s">
        <v>337</v>
      </c>
      <c r="B1228" t="s">
        <v>338</v>
      </c>
      <c r="C1228" t="s">
        <v>277</v>
      </c>
      <c r="D1228" t="s">
        <v>278</v>
      </c>
      <c r="E1228">
        <v>20171</v>
      </c>
      <c r="F1228" t="s">
        <v>576</v>
      </c>
      <c r="G1228" t="s">
        <v>150</v>
      </c>
      <c r="H1228">
        <v>0</v>
      </c>
      <c r="I1228">
        <v>0</v>
      </c>
      <c r="J1228">
        <v>20201</v>
      </c>
      <c r="K1228">
        <f>COUNTIF('rEKAP kls MK'!$A$2:$A$35,Worksheet!C1228)</f>
        <v>0</v>
      </c>
      <c r="L1228" t="str">
        <f t="shared" si="76"/>
        <v>F1B111034</v>
      </c>
      <c r="M1228" t="str">
        <f t="shared" si="77"/>
        <v>Jusman Alfian Sofian</v>
      </c>
      <c r="O1228" t="str">
        <f t="shared" si="78"/>
        <v/>
      </c>
      <c r="P1228" t="str">
        <f t="shared" si="79"/>
        <v/>
      </c>
    </row>
    <row r="1229" spans="1:16">
      <c r="A1229" t="s">
        <v>339</v>
      </c>
      <c r="B1229" t="s">
        <v>340</v>
      </c>
      <c r="C1229" t="s">
        <v>277</v>
      </c>
      <c r="D1229" t="s">
        <v>278</v>
      </c>
      <c r="E1229">
        <v>20171</v>
      </c>
      <c r="F1229" t="s">
        <v>576</v>
      </c>
      <c r="G1229" t="s">
        <v>150</v>
      </c>
      <c r="H1229">
        <v>0</v>
      </c>
      <c r="I1229">
        <v>0</v>
      </c>
      <c r="J1229">
        <v>20201</v>
      </c>
      <c r="K1229">
        <f>COUNTIF('rEKAP kls MK'!$A$2:$A$35,Worksheet!C1229)</f>
        <v>0</v>
      </c>
      <c r="L1229" t="str">
        <f t="shared" si="76"/>
        <v>F1B111039</v>
      </c>
      <c r="M1229" t="str">
        <f t="shared" si="77"/>
        <v>Lina Usmiati</v>
      </c>
      <c r="O1229" t="str">
        <f t="shared" si="78"/>
        <v/>
      </c>
      <c r="P1229" t="str">
        <f t="shared" si="79"/>
        <v/>
      </c>
    </row>
    <row r="1230" spans="1:16">
      <c r="A1230" t="s">
        <v>341</v>
      </c>
      <c r="B1230" t="s">
        <v>342</v>
      </c>
      <c r="C1230" t="s">
        <v>277</v>
      </c>
      <c r="D1230" t="s">
        <v>278</v>
      </c>
      <c r="E1230">
        <v>20171</v>
      </c>
      <c r="F1230" t="s">
        <v>576</v>
      </c>
      <c r="G1230" t="s">
        <v>82</v>
      </c>
      <c r="H1230">
        <v>4</v>
      </c>
      <c r="I1230">
        <v>0</v>
      </c>
      <c r="J1230">
        <v>20201</v>
      </c>
      <c r="K1230">
        <f>COUNTIF('rEKAP kls MK'!$A$2:$A$35,Worksheet!C1230)</f>
        <v>0</v>
      </c>
      <c r="L1230" t="str">
        <f t="shared" si="76"/>
        <v>F1B111040</v>
      </c>
      <c r="M1230" t="str">
        <f t="shared" si="77"/>
        <v>Linda Komalasari</v>
      </c>
      <c r="O1230" t="str">
        <f t="shared" si="78"/>
        <v/>
      </c>
      <c r="P1230" t="str">
        <f t="shared" si="79"/>
        <v/>
      </c>
    </row>
    <row r="1231" spans="1:16">
      <c r="A1231" t="s">
        <v>343</v>
      </c>
      <c r="B1231" t="s">
        <v>344</v>
      </c>
      <c r="C1231" t="s">
        <v>277</v>
      </c>
      <c r="D1231" t="s">
        <v>278</v>
      </c>
      <c r="E1231">
        <v>20171</v>
      </c>
      <c r="F1231" t="s">
        <v>576</v>
      </c>
      <c r="G1231" t="s">
        <v>150</v>
      </c>
      <c r="H1231">
        <v>0</v>
      </c>
      <c r="I1231">
        <v>0</v>
      </c>
      <c r="J1231">
        <v>20201</v>
      </c>
      <c r="K1231">
        <f>COUNTIF('rEKAP kls MK'!$A$2:$A$35,Worksheet!C1231)</f>
        <v>0</v>
      </c>
      <c r="L1231" t="str">
        <f t="shared" si="76"/>
        <v>F1B111041</v>
      </c>
      <c r="M1231" t="str">
        <f t="shared" si="77"/>
        <v>M. Ahsanul Khaliq</v>
      </c>
      <c r="O1231" t="str">
        <f t="shared" si="78"/>
        <v/>
      </c>
      <c r="P1231" t="str">
        <f t="shared" si="79"/>
        <v/>
      </c>
    </row>
    <row r="1232" spans="1:16">
      <c r="A1232" t="s">
        <v>345</v>
      </c>
      <c r="B1232" t="s">
        <v>346</v>
      </c>
      <c r="C1232" t="s">
        <v>277</v>
      </c>
      <c r="D1232" t="s">
        <v>278</v>
      </c>
      <c r="E1232">
        <v>20171</v>
      </c>
      <c r="F1232" t="s">
        <v>576</v>
      </c>
      <c r="G1232" t="s">
        <v>51</v>
      </c>
      <c r="H1232">
        <v>3.5</v>
      </c>
      <c r="I1232">
        <v>0</v>
      </c>
      <c r="J1232">
        <v>20201</v>
      </c>
      <c r="K1232">
        <f>COUNTIF('rEKAP kls MK'!$A$2:$A$35,Worksheet!C1232)</f>
        <v>0</v>
      </c>
      <c r="L1232" t="str">
        <f t="shared" si="76"/>
        <v>F1B111043</v>
      </c>
      <c r="M1232" t="str">
        <f t="shared" si="77"/>
        <v>M Febriansyah Fadli</v>
      </c>
      <c r="O1232" t="str">
        <f t="shared" si="78"/>
        <v/>
      </c>
      <c r="P1232" t="str">
        <f t="shared" si="79"/>
        <v/>
      </c>
    </row>
    <row r="1233" spans="1:16">
      <c r="A1233" t="s">
        <v>167</v>
      </c>
      <c r="B1233" t="s">
        <v>168</v>
      </c>
      <c r="C1233" t="s">
        <v>277</v>
      </c>
      <c r="D1233" t="s">
        <v>278</v>
      </c>
      <c r="E1233">
        <v>20171</v>
      </c>
      <c r="F1233" t="s">
        <v>576</v>
      </c>
      <c r="G1233" t="s">
        <v>150</v>
      </c>
      <c r="H1233">
        <v>0</v>
      </c>
      <c r="I1233">
        <v>0</v>
      </c>
      <c r="J1233">
        <v>20201</v>
      </c>
      <c r="K1233">
        <f>COUNTIF('rEKAP kls MK'!$A$2:$A$35,Worksheet!C1233)</f>
        <v>0</v>
      </c>
      <c r="L1233" t="str">
        <f t="shared" si="76"/>
        <v>F1B111045</v>
      </c>
      <c r="M1233" t="str">
        <f t="shared" si="77"/>
        <v>M. Nurrahman</v>
      </c>
      <c r="O1233" t="str">
        <f t="shared" si="78"/>
        <v/>
      </c>
      <c r="P1233" t="str">
        <f t="shared" si="79"/>
        <v/>
      </c>
    </row>
    <row r="1234" spans="1:16">
      <c r="A1234" t="s">
        <v>171</v>
      </c>
      <c r="B1234" t="s">
        <v>172</v>
      </c>
      <c r="C1234" t="s">
        <v>277</v>
      </c>
      <c r="D1234" t="s">
        <v>278</v>
      </c>
      <c r="E1234">
        <v>20171</v>
      </c>
      <c r="F1234" t="s">
        <v>576</v>
      </c>
      <c r="G1234" t="s">
        <v>150</v>
      </c>
      <c r="H1234">
        <v>0</v>
      </c>
      <c r="I1234">
        <v>0</v>
      </c>
      <c r="J1234">
        <v>20201</v>
      </c>
      <c r="K1234">
        <f>COUNTIF('rEKAP kls MK'!$A$2:$A$35,Worksheet!C1234)</f>
        <v>0</v>
      </c>
      <c r="L1234" t="str">
        <f t="shared" si="76"/>
        <v>F1B111047</v>
      </c>
      <c r="M1234" t="str">
        <f t="shared" si="77"/>
        <v>M. Sofyan Hakim</v>
      </c>
      <c r="O1234" t="str">
        <f t="shared" si="78"/>
        <v/>
      </c>
      <c r="P1234" t="str">
        <f t="shared" si="79"/>
        <v/>
      </c>
    </row>
    <row r="1235" spans="1:16">
      <c r="A1235" t="s">
        <v>347</v>
      </c>
      <c r="B1235" t="s">
        <v>348</v>
      </c>
      <c r="C1235" t="s">
        <v>277</v>
      </c>
      <c r="D1235" t="s">
        <v>278</v>
      </c>
      <c r="E1235">
        <v>20171</v>
      </c>
      <c r="F1235" t="s">
        <v>576</v>
      </c>
      <c r="G1235" t="s">
        <v>150</v>
      </c>
      <c r="H1235">
        <v>0</v>
      </c>
      <c r="I1235">
        <v>0</v>
      </c>
      <c r="J1235">
        <v>20201</v>
      </c>
      <c r="K1235">
        <f>COUNTIF('rEKAP kls MK'!$A$2:$A$35,Worksheet!C1235)</f>
        <v>0</v>
      </c>
      <c r="L1235" t="str">
        <f t="shared" si="76"/>
        <v>F1B111049</v>
      </c>
      <c r="M1235" t="str">
        <f t="shared" si="77"/>
        <v>Marwan</v>
      </c>
      <c r="O1235" t="str">
        <f t="shared" si="78"/>
        <v/>
      </c>
      <c r="P1235" t="str">
        <f t="shared" si="79"/>
        <v/>
      </c>
    </row>
    <row r="1236" spans="1:16">
      <c r="A1236" t="s">
        <v>349</v>
      </c>
      <c r="B1236" t="s">
        <v>350</v>
      </c>
      <c r="C1236" t="s">
        <v>277</v>
      </c>
      <c r="D1236" t="s">
        <v>278</v>
      </c>
      <c r="E1236">
        <v>20171</v>
      </c>
      <c r="F1236" t="s">
        <v>576</v>
      </c>
      <c r="G1236" t="s">
        <v>150</v>
      </c>
      <c r="H1236">
        <v>0</v>
      </c>
      <c r="I1236">
        <v>0</v>
      </c>
      <c r="J1236">
        <v>20201</v>
      </c>
      <c r="K1236">
        <f>COUNTIF('rEKAP kls MK'!$A$2:$A$35,Worksheet!C1236)</f>
        <v>0</v>
      </c>
      <c r="L1236" t="str">
        <f t="shared" si="76"/>
        <v>F1B111051</v>
      </c>
      <c r="M1236" t="str">
        <f t="shared" si="77"/>
        <v xml:space="preserve">Mhd Munawir Haris </v>
      </c>
      <c r="O1236" t="str">
        <f t="shared" si="78"/>
        <v/>
      </c>
      <c r="P1236" t="str">
        <f t="shared" si="79"/>
        <v/>
      </c>
    </row>
    <row r="1237" spans="1:16">
      <c r="A1237" t="s">
        <v>351</v>
      </c>
      <c r="B1237" t="s">
        <v>352</v>
      </c>
      <c r="C1237" t="s">
        <v>277</v>
      </c>
      <c r="D1237" t="s">
        <v>278</v>
      </c>
      <c r="E1237">
        <v>20171</v>
      </c>
      <c r="F1237" t="s">
        <v>576</v>
      </c>
      <c r="G1237" t="s">
        <v>150</v>
      </c>
      <c r="H1237">
        <v>0</v>
      </c>
      <c r="I1237">
        <v>0</v>
      </c>
      <c r="J1237">
        <v>20201</v>
      </c>
      <c r="K1237">
        <f>COUNTIF('rEKAP kls MK'!$A$2:$A$35,Worksheet!C1237)</f>
        <v>0</v>
      </c>
      <c r="L1237" t="str">
        <f t="shared" si="76"/>
        <v>F1B111053</v>
      </c>
      <c r="M1237" t="str">
        <f t="shared" si="77"/>
        <v>Muhammad Rifai</v>
      </c>
      <c r="O1237" t="str">
        <f t="shared" si="78"/>
        <v/>
      </c>
      <c r="P1237" t="str">
        <f t="shared" si="79"/>
        <v/>
      </c>
    </row>
    <row r="1238" spans="1:16">
      <c r="A1238" t="s">
        <v>104</v>
      </c>
      <c r="B1238" t="s">
        <v>105</v>
      </c>
      <c r="C1238" t="s">
        <v>277</v>
      </c>
      <c r="D1238" t="s">
        <v>278</v>
      </c>
      <c r="E1238">
        <v>20171</v>
      </c>
      <c r="F1238" t="s">
        <v>576</v>
      </c>
      <c r="G1238" t="s">
        <v>150</v>
      </c>
      <c r="H1238">
        <v>0</v>
      </c>
      <c r="I1238">
        <v>0</v>
      </c>
      <c r="J1238">
        <v>20201</v>
      </c>
      <c r="K1238">
        <f>COUNTIF('rEKAP kls MK'!$A$2:$A$35,Worksheet!C1238)</f>
        <v>0</v>
      </c>
      <c r="L1238" t="str">
        <f t="shared" si="76"/>
        <v>F1B111059</v>
      </c>
      <c r="M1238" t="str">
        <f t="shared" si="77"/>
        <v>Nukrah</v>
      </c>
      <c r="O1238" t="str">
        <f t="shared" si="78"/>
        <v/>
      </c>
      <c r="P1238" t="str">
        <f t="shared" si="79"/>
        <v/>
      </c>
    </row>
    <row r="1239" spans="1:16">
      <c r="A1239" t="s">
        <v>353</v>
      </c>
      <c r="B1239" t="s">
        <v>354</v>
      </c>
      <c r="C1239" t="s">
        <v>277</v>
      </c>
      <c r="D1239" t="s">
        <v>278</v>
      </c>
      <c r="E1239">
        <v>20171</v>
      </c>
      <c r="F1239" t="s">
        <v>576</v>
      </c>
      <c r="G1239" t="s">
        <v>150</v>
      </c>
      <c r="H1239">
        <v>0</v>
      </c>
      <c r="I1239">
        <v>0</v>
      </c>
      <c r="J1239">
        <v>20201</v>
      </c>
      <c r="K1239">
        <f>COUNTIF('rEKAP kls MK'!$A$2:$A$35,Worksheet!C1239)</f>
        <v>0</v>
      </c>
      <c r="L1239" t="str">
        <f t="shared" si="76"/>
        <v>F1B111063</v>
      </c>
      <c r="M1239" t="str">
        <f t="shared" si="77"/>
        <v>Prayoga Hidayat</v>
      </c>
      <c r="O1239" t="str">
        <f t="shared" si="78"/>
        <v/>
      </c>
      <c r="P1239" t="str">
        <f t="shared" si="79"/>
        <v/>
      </c>
    </row>
    <row r="1240" spans="1:16">
      <c r="A1240" t="s">
        <v>355</v>
      </c>
      <c r="B1240" t="s">
        <v>356</v>
      </c>
      <c r="C1240" t="s">
        <v>277</v>
      </c>
      <c r="D1240" t="s">
        <v>278</v>
      </c>
      <c r="E1240">
        <v>20171</v>
      </c>
      <c r="F1240" t="s">
        <v>576</v>
      </c>
      <c r="G1240" t="s">
        <v>82</v>
      </c>
      <c r="H1240">
        <v>4</v>
      </c>
      <c r="I1240">
        <v>0</v>
      </c>
      <c r="J1240">
        <v>20201</v>
      </c>
      <c r="K1240">
        <f>COUNTIF('rEKAP kls MK'!$A$2:$A$35,Worksheet!C1240)</f>
        <v>0</v>
      </c>
      <c r="L1240" t="str">
        <f t="shared" si="76"/>
        <v>F1B111066</v>
      </c>
      <c r="M1240" t="str">
        <f t="shared" si="77"/>
        <v>Riastu Gunaji</v>
      </c>
      <c r="O1240" t="str">
        <f t="shared" si="78"/>
        <v/>
      </c>
      <c r="P1240" t="str">
        <f t="shared" si="79"/>
        <v/>
      </c>
    </row>
    <row r="1241" spans="1:16">
      <c r="A1241" t="s">
        <v>10</v>
      </c>
      <c r="B1241" t="s">
        <v>11</v>
      </c>
      <c r="C1241" t="s">
        <v>277</v>
      </c>
      <c r="D1241" t="s">
        <v>278</v>
      </c>
      <c r="E1241">
        <v>20171</v>
      </c>
      <c r="F1241" t="s">
        <v>576</v>
      </c>
      <c r="G1241" t="s">
        <v>150</v>
      </c>
      <c r="H1241">
        <v>0</v>
      </c>
      <c r="I1241">
        <v>0</v>
      </c>
      <c r="J1241">
        <v>20201</v>
      </c>
      <c r="K1241">
        <f>COUNTIF('rEKAP kls MK'!$A$2:$A$35,Worksheet!C1241)</f>
        <v>0</v>
      </c>
      <c r="L1241" t="str">
        <f t="shared" si="76"/>
        <v>F1B111075</v>
      </c>
      <c r="M1241" t="str">
        <f t="shared" si="77"/>
        <v>Sahbudin</v>
      </c>
      <c r="O1241" t="str">
        <f t="shared" si="78"/>
        <v/>
      </c>
      <c r="P1241" t="str">
        <f t="shared" si="79"/>
        <v/>
      </c>
    </row>
    <row r="1242" spans="1:16">
      <c r="A1242" t="s">
        <v>249</v>
      </c>
      <c r="B1242" t="s">
        <v>250</v>
      </c>
      <c r="C1242" t="s">
        <v>277</v>
      </c>
      <c r="D1242" t="s">
        <v>278</v>
      </c>
      <c r="E1242">
        <v>20171</v>
      </c>
      <c r="F1242" t="s">
        <v>576</v>
      </c>
      <c r="G1242" t="s">
        <v>150</v>
      </c>
      <c r="H1242">
        <v>0</v>
      </c>
      <c r="I1242">
        <v>0</v>
      </c>
      <c r="J1242">
        <v>20201</v>
      </c>
      <c r="K1242">
        <f>COUNTIF('rEKAP kls MK'!$A$2:$A$35,Worksheet!C1242)</f>
        <v>0</v>
      </c>
      <c r="L1242" t="str">
        <f t="shared" si="76"/>
        <v>F1B111077</v>
      </c>
      <c r="M1242" t="str">
        <f t="shared" si="77"/>
        <v>Samsul Hadi</v>
      </c>
      <c r="O1242" t="str">
        <f t="shared" si="78"/>
        <v/>
      </c>
      <c r="P1242" t="str">
        <f t="shared" si="79"/>
        <v/>
      </c>
    </row>
    <row r="1243" spans="1:16">
      <c r="A1243" t="s">
        <v>357</v>
      </c>
      <c r="B1243" t="s">
        <v>358</v>
      </c>
      <c r="C1243" t="s">
        <v>277</v>
      </c>
      <c r="D1243" t="s">
        <v>278</v>
      </c>
      <c r="E1243">
        <v>20171</v>
      </c>
      <c r="F1243" t="s">
        <v>576</v>
      </c>
      <c r="G1243" t="s">
        <v>150</v>
      </c>
      <c r="H1243">
        <v>0</v>
      </c>
      <c r="I1243">
        <v>0</v>
      </c>
      <c r="J1243">
        <v>20201</v>
      </c>
      <c r="K1243">
        <f>COUNTIF('rEKAP kls MK'!$A$2:$A$35,Worksheet!C1243)</f>
        <v>0</v>
      </c>
      <c r="L1243" t="str">
        <f t="shared" si="76"/>
        <v>F1B111079</v>
      </c>
      <c r="M1243" t="str">
        <f t="shared" si="77"/>
        <v>Stevira Rahman</v>
      </c>
      <c r="O1243" t="str">
        <f t="shared" si="78"/>
        <v/>
      </c>
      <c r="P1243" t="str">
        <f t="shared" si="79"/>
        <v/>
      </c>
    </row>
    <row r="1244" spans="1:16">
      <c r="A1244" t="s">
        <v>359</v>
      </c>
      <c r="B1244" t="s">
        <v>360</v>
      </c>
      <c r="C1244" t="s">
        <v>277</v>
      </c>
      <c r="D1244" t="s">
        <v>278</v>
      </c>
      <c r="E1244">
        <v>20171</v>
      </c>
      <c r="F1244" t="s">
        <v>576</v>
      </c>
      <c r="G1244" t="s">
        <v>82</v>
      </c>
      <c r="H1244">
        <v>4</v>
      </c>
      <c r="I1244">
        <v>0</v>
      </c>
      <c r="J1244">
        <v>20201</v>
      </c>
      <c r="K1244">
        <f>COUNTIF('rEKAP kls MK'!$A$2:$A$35,Worksheet!C1244)</f>
        <v>0</v>
      </c>
      <c r="L1244" t="str">
        <f t="shared" si="76"/>
        <v>F1B111081</v>
      </c>
      <c r="M1244" t="str">
        <f t="shared" si="77"/>
        <v>Sumiyati</v>
      </c>
      <c r="O1244" t="str">
        <f t="shared" si="78"/>
        <v/>
      </c>
      <c r="P1244" t="str">
        <f t="shared" si="79"/>
        <v/>
      </c>
    </row>
    <row r="1245" spans="1:16">
      <c r="A1245" t="s">
        <v>361</v>
      </c>
      <c r="B1245" t="s">
        <v>362</v>
      </c>
      <c r="C1245" t="s">
        <v>277</v>
      </c>
      <c r="D1245" t="s">
        <v>278</v>
      </c>
      <c r="E1245">
        <v>20171</v>
      </c>
      <c r="F1245" t="s">
        <v>576</v>
      </c>
      <c r="G1245" t="s">
        <v>51</v>
      </c>
      <c r="H1245">
        <v>3.5</v>
      </c>
      <c r="I1245">
        <v>0</v>
      </c>
      <c r="J1245">
        <v>20201</v>
      </c>
      <c r="K1245">
        <f>COUNTIF('rEKAP kls MK'!$A$2:$A$35,Worksheet!C1245)</f>
        <v>0</v>
      </c>
      <c r="L1245" t="str">
        <f t="shared" si="76"/>
        <v>F1B111087</v>
      </c>
      <c r="M1245" t="str">
        <f t="shared" si="77"/>
        <v>Yusika Ade Prakasih</v>
      </c>
      <c r="O1245" t="str">
        <f t="shared" si="78"/>
        <v/>
      </c>
      <c r="P1245" t="str">
        <f t="shared" si="79"/>
        <v/>
      </c>
    </row>
    <row r="1246" spans="1:16">
      <c r="A1246" t="s">
        <v>363</v>
      </c>
      <c r="B1246" t="s">
        <v>364</v>
      </c>
      <c r="C1246" t="s">
        <v>277</v>
      </c>
      <c r="D1246" t="s">
        <v>278</v>
      </c>
      <c r="E1246">
        <v>20171</v>
      </c>
      <c r="F1246" t="s">
        <v>576</v>
      </c>
      <c r="G1246" t="s">
        <v>150</v>
      </c>
      <c r="H1246">
        <v>0</v>
      </c>
      <c r="I1246">
        <v>0</v>
      </c>
      <c r="J1246">
        <v>20201</v>
      </c>
      <c r="K1246">
        <f>COUNTIF('rEKAP kls MK'!$A$2:$A$35,Worksheet!C1246)</f>
        <v>0</v>
      </c>
      <c r="L1246" t="str">
        <f t="shared" si="76"/>
        <v>F1B111088</v>
      </c>
      <c r="M1246" t="str">
        <f t="shared" si="77"/>
        <v>Zulkarnaemi</v>
      </c>
      <c r="O1246" t="str">
        <f t="shared" si="78"/>
        <v/>
      </c>
      <c r="P1246" t="str">
        <f t="shared" si="79"/>
        <v/>
      </c>
    </row>
    <row r="1247" spans="1:16">
      <c r="A1247" t="s">
        <v>365</v>
      </c>
      <c r="B1247" t="s">
        <v>366</v>
      </c>
      <c r="C1247" t="s">
        <v>277</v>
      </c>
      <c r="D1247" t="s">
        <v>278</v>
      </c>
      <c r="E1247">
        <v>20171</v>
      </c>
      <c r="F1247" t="s">
        <v>576</v>
      </c>
      <c r="G1247" t="s">
        <v>82</v>
      </c>
      <c r="H1247">
        <v>4</v>
      </c>
      <c r="I1247">
        <v>0</v>
      </c>
      <c r="J1247">
        <v>20201</v>
      </c>
      <c r="K1247">
        <f>COUNTIF('rEKAP kls MK'!$A$2:$A$35,Worksheet!C1247)</f>
        <v>0</v>
      </c>
      <c r="L1247" t="str">
        <f t="shared" si="76"/>
        <v>F1B112001</v>
      </c>
      <c r="M1247" t="str">
        <f t="shared" si="77"/>
        <v>Ade Jodi Harmawan</v>
      </c>
      <c r="O1247" t="str">
        <f t="shared" si="78"/>
        <v/>
      </c>
      <c r="P1247" t="str">
        <f t="shared" si="79"/>
        <v/>
      </c>
    </row>
    <row r="1248" spans="1:16">
      <c r="A1248" t="s">
        <v>106</v>
      </c>
      <c r="B1248" t="s">
        <v>107</v>
      </c>
      <c r="C1248" t="s">
        <v>277</v>
      </c>
      <c r="D1248" t="s">
        <v>278</v>
      </c>
      <c r="E1248">
        <v>20171</v>
      </c>
      <c r="F1248" t="s">
        <v>576</v>
      </c>
      <c r="G1248" t="s">
        <v>82</v>
      </c>
      <c r="H1248">
        <v>4</v>
      </c>
      <c r="I1248">
        <v>0</v>
      </c>
      <c r="J1248">
        <v>20201</v>
      </c>
      <c r="K1248">
        <f>COUNTIF('rEKAP kls MK'!$A$2:$A$35,Worksheet!C1248)</f>
        <v>0</v>
      </c>
      <c r="L1248" t="str">
        <f t="shared" si="76"/>
        <v>F1B112003</v>
      </c>
      <c r="M1248" t="str">
        <f t="shared" si="77"/>
        <v>Aditya Kadarusman</v>
      </c>
      <c r="O1248" t="str">
        <f t="shared" si="78"/>
        <v/>
      </c>
      <c r="P1248" t="str">
        <f t="shared" si="79"/>
        <v/>
      </c>
    </row>
    <row r="1249" spans="1:16">
      <c r="A1249" t="s">
        <v>367</v>
      </c>
      <c r="B1249" t="s">
        <v>368</v>
      </c>
      <c r="C1249" t="s">
        <v>277</v>
      </c>
      <c r="D1249" t="s">
        <v>278</v>
      </c>
      <c r="E1249">
        <v>20171</v>
      </c>
      <c r="F1249" t="s">
        <v>576</v>
      </c>
      <c r="G1249" t="s">
        <v>82</v>
      </c>
      <c r="H1249">
        <v>4</v>
      </c>
      <c r="I1249">
        <v>0</v>
      </c>
      <c r="J1249">
        <v>20201</v>
      </c>
      <c r="K1249">
        <f>COUNTIF('rEKAP kls MK'!$A$2:$A$35,Worksheet!C1249)</f>
        <v>0</v>
      </c>
      <c r="L1249" t="str">
        <f t="shared" si="76"/>
        <v>F1B112005</v>
      </c>
      <c r="M1249" t="str">
        <f t="shared" si="77"/>
        <v>Andar Apriadi</v>
      </c>
      <c r="O1249" t="str">
        <f t="shared" si="78"/>
        <v/>
      </c>
      <c r="P1249" t="str">
        <f t="shared" si="79"/>
        <v/>
      </c>
    </row>
    <row r="1250" spans="1:16">
      <c r="A1250" t="s">
        <v>108</v>
      </c>
      <c r="B1250" t="s">
        <v>109</v>
      </c>
      <c r="C1250" t="s">
        <v>277</v>
      </c>
      <c r="D1250" t="s">
        <v>278</v>
      </c>
      <c r="E1250">
        <v>20171</v>
      </c>
      <c r="F1250" t="s">
        <v>576</v>
      </c>
      <c r="G1250" t="s">
        <v>150</v>
      </c>
      <c r="H1250">
        <v>0</v>
      </c>
      <c r="I1250">
        <v>0</v>
      </c>
      <c r="J1250">
        <v>20201</v>
      </c>
      <c r="K1250">
        <f>COUNTIF('rEKAP kls MK'!$A$2:$A$35,Worksheet!C1250)</f>
        <v>0</v>
      </c>
      <c r="L1250" t="str">
        <f t="shared" si="76"/>
        <v>F1B112006</v>
      </c>
      <c r="M1250" t="str">
        <f t="shared" si="77"/>
        <v>Arie Listianto</v>
      </c>
      <c r="O1250" t="str">
        <f t="shared" si="78"/>
        <v/>
      </c>
      <c r="P1250" t="str">
        <f t="shared" si="79"/>
        <v/>
      </c>
    </row>
    <row r="1251" spans="1:16">
      <c r="A1251" t="s">
        <v>110</v>
      </c>
      <c r="B1251" t="s">
        <v>111</v>
      </c>
      <c r="C1251" t="s">
        <v>277</v>
      </c>
      <c r="D1251" t="s">
        <v>278</v>
      </c>
      <c r="E1251">
        <v>20171</v>
      </c>
      <c r="F1251" t="s">
        <v>576</v>
      </c>
      <c r="G1251" t="s">
        <v>150</v>
      </c>
      <c r="H1251">
        <v>0</v>
      </c>
      <c r="I1251">
        <v>0</v>
      </c>
      <c r="J1251">
        <v>20201</v>
      </c>
      <c r="K1251">
        <f>COUNTIF('rEKAP kls MK'!$A$2:$A$35,Worksheet!C1251)</f>
        <v>0</v>
      </c>
      <c r="L1251" t="str">
        <f t="shared" si="76"/>
        <v>F1B112011</v>
      </c>
      <c r="M1251" t="str">
        <f t="shared" si="77"/>
        <v>Cokorda Indra Darma Putra</v>
      </c>
      <c r="O1251" t="str">
        <f t="shared" si="78"/>
        <v/>
      </c>
      <c r="P1251" t="str">
        <f t="shared" si="79"/>
        <v/>
      </c>
    </row>
    <row r="1252" spans="1:16">
      <c r="A1252" t="s">
        <v>251</v>
      </c>
      <c r="B1252" t="s">
        <v>252</v>
      </c>
      <c r="C1252" t="s">
        <v>277</v>
      </c>
      <c r="D1252" t="s">
        <v>278</v>
      </c>
      <c r="E1252">
        <v>20171</v>
      </c>
      <c r="F1252" t="s">
        <v>576</v>
      </c>
      <c r="G1252" t="s">
        <v>150</v>
      </c>
      <c r="H1252">
        <v>0</v>
      </c>
      <c r="I1252">
        <v>0</v>
      </c>
      <c r="J1252">
        <v>20201</v>
      </c>
      <c r="K1252">
        <f>COUNTIF('rEKAP kls MK'!$A$2:$A$35,Worksheet!C1252)</f>
        <v>0</v>
      </c>
      <c r="L1252" t="str">
        <f t="shared" si="76"/>
        <v>F1B112016</v>
      </c>
      <c r="M1252" t="str">
        <f t="shared" si="77"/>
        <v>Ditya Timur Aska</v>
      </c>
      <c r="O1252" t="str">
        <f t="shared" si="78"/>
        <v/>
      </c>
      <c r="P1252" t="str">
        <f t="shared" si="79"/>
        <v/>
      </c>
    </row>
    <row r="1253" spans="1:16">
      <c r="A1253" t="s">
        <v>369</v>
      </c>
      <c r="B1253" t="s">
        <v>370</v>
      </c>
      <c r="C1253" t="s">
        <v>277</v>
      </c>
      <c r="D1253" t="s">
        <v>278</v>
      </c>
      <c r="E1253">
        <v>20171</v>
      </c>
      <c r="F1253" t="s">
        <v>576</v>
      </c>
      <c r="G1253" t="s">
        <v>150</v>
      </c>
      <c r="H1253">
        <v>0</v>
      </c>
      <c r="I1253">
        <v>0</v>
      </c>
      <c r="J1253">
        <v>20201</v>
      </c>
      <c r="K1253">
        <f>COUNTIF('rEKAP kls MK'!$A$2:$A$35,Worksheet!C1253)</f>
        <v>0</v>
      </c>
      <c r="L1253" t="str">
        <f t="shared" si="76"/>
        <v>F1B112017</v>
      </c>
      <c r="M1253" t="str">
        <f t="shared" si="77"/>
        <v>Dwinanto Romdhani</v>
      </c>
      <c r="O1253" t="str">
        <f t="shared" si="78"/>
        <v/>
      </c>
      <c r="P1253" t="str">
        <f t="shared" si="79"/>
        <v/>
      </c>
    </row>
    <row r="1254" spans="1:16">
      <c r="A1254" t="s">
        <v>371</v>
      </c>
      <c r="B1254" t="s">
        <v>372</v>
      </c>
      <c r="C1254" t="s">
        <v>277</v>
      </c>
      <c r="D1254" t="s">
        <v>278</v>
      </c>
      <c r="E1254">
        <v>20171</v>
      </c>
      <c r="F1254" t="s">
        <v>576</v>
      </c>
      <c r="G1254" t="s">
        <v>150</v>
      </c>
      <c r="H1254">
        <v>0</v>
      </c>
      <c r="I1254">
        <v>0</v>
      </c>
      <c r="J1254">
        <v>20201</v>
      </c>
      <c r="K1254">
        <f>COUNTIF('rEKAP kls MK'!$A$2:$A$35,Worksheet!C1254)</f>
        <v>0</v>
      </c>
      <c r="L1254" t="str">
        <f t="shared" si="76"/>
        <v>F1B112024</v>
      </c>
      <c r="M1254" t="str">
        <f t="shared" si="77"/>
        <v>Frendhi Iman</v>
      </c>
      <c r="O1254" t="str">
        <f t="shared" si="78"/>
        <v/>
      </c>
      <c r="P1254" t="str">
        <f t="shared" si="79"/>
        <v/>
      </c>
    </row>
    <row r="1255" spans="1:16">
      <c r="A1255" t="s">
        <v>253</v>
      </c>
      <c r="B1255" t="s">
        <v>254</v>
      </c>
      <c r="C1255" t="s">
        <v>277</v>
      </c>
      <c r="D1255" t="s">
        <v>278</v>
      </c>
      <c r="E1255">
        <v>20171</v>
      </c>
      <c r="F1255" t="s">
        <v>576</v>
      </c>
      <c r="G1255" t="s">
        <v>150</v>
      </c>
      <c r="H1255">
        <v>0</v>
      </c>
      <c r="I1255">
        <v>0</v>
      </c>
      <c r="J1255">
        <v>20201</v>
      </c>
      <c r="K1255">
        <f>COUNTIF('rEKAP kls MK'!$A$2:$A$35,Worksheet!C1255)</f>
        <v>0</v>
      </c>
      <c r="L1255" t="str">
        <f t="shared" si="76"/>
        <v>F1B112025</v>
      </c>
      <c r="M1255" t="str">
        <f t="shared" si="77"/>
        <v>Haerur Rosyid</v>
      </c>
      <c r="O1255" t="str">
        <f t="shared" si="78"/>
        <v/>
      </c>
      <c r="P1255" t="str">
        <f t="shared" si="79"/>
        <v/>
      </c>
    </row>
    <row r="1256" spans="1:16">
      <c r="A1256" t="s">
        <v>112</v>
      </c>
      <c r="B1256" t="s">
        <v>113</v>
      </c>
      <c r="C1256" t="s">
        <v>277</v>
      </c>
      <c r="D1256" t="s">
        <v>278</v>
      </c>
      <c r="E1256">
        <v>20171</v>
      </c>
      <c r="F1256" t="s">
        <v>576</v>
      </c>
      <c r="G1256" t="s">
        <v>150</v>
      </c>
      <c r="H1256">
        <v>0</v>
      </c>
      <c r="I1256">
        <v>0</v>
      </c>
      <c r="J1256">
        <v>20201</v>
      </c>
      <c r="K1256">
        <f>COUNTIF('rEKAP kls MK'!$A$2:$A$35,Worksheet!C1256)</f>
        <v>0</v>
      </c>
      <c r="L1256" t="str">
        <f t="shared" si="76"/>
        <v>F1B112026</v>
      </c>
      <c r="M1256" t="str">
        <f t="shared" si="77"/>
        <v>Hartono Fiyono</v>
      </c>
      <c r="O1256" t="str">
        <f t="shared" si="78"/>
        <v/>
      </c>
      <c r="P1256" t="str">
        <f t="shared" si="79"/>
        <v/>
      </c>
    </row>
    <row r="1257" spans="1:16">
      <c r="A1257" t="s">
        <v>373</v>
      </c>
      <c r="B1257" t="s">
        <v>374</v>
      </c>
      <c r="C1257" t="s">
        <v>277</v>
      </c>
      <c r="D1257" t="s">
        <v>278</v>
      </c>
      <c r="E1257">
        <v>20171</v>
      </c>
      <c r="F1257" t="s">
        <v>576</v>
      </c>
      <c r="G1257" t="s">
        <v>150</v>
      </c>
      <c r="H1257">
        <v>0</v>
      </c>
      <c r="I1257">
        <v>0</v>
      </c>
      <c r="J1257">
        <v>20201</v>
      </c>
      <c r="K1257">
        <f>COUNTIF('rEKAP kls MK'!$A$2:$A$35,Worksheet!C1257)</f>
        <v>0</v>
      </c>
      <c r="L1257" t="str">
        <f t="shared" si="76"/>
        <v>F1B112027</v>
      </c>
      <c r="M1257" t="str">
        <f t="shared" si="77"/>
        <v>Husni Tamrin</v>
      </c>
      <c r="O1257" t="str">
        <f t="shared" si="78"/>
        <v/>
      </c>
      <c r="P1257" t="str">
        <f t="shared" si="79"/>
        <v/>
      </c>
    </row>
    <row r="1258" spans="1:16">
      <c r="A1258" t="s">
        <v>114</v>
      </c>
      <c r="B1258" t="s">
        <v>115</v>
      </c>
      <c r="C1258" t="s">
        <v>277</v>
      </c>
      <c r="D1258" t="s">
        <v>278</v>
      </c>
      <c r="E1258">
        <v>20171</v>
      </c>
      <c r="F1258" t="s">
        <v>576</v>
      </c>
      <c r="G1258" t="s">
        <v>51</v>
      </c>
      <c r="H1258">
        <v>3.5</v>
      </c>
      <c r="I1258">
        <v>0</v>
      </c>
      <c r="J1258">
        <v>20201</v>
      </c>
      <c r="K1258">
        <f>COUNTIF('rEKAP kls MK'!$A$2:$A$35,Worksheet!C1258)</f>
        <v>0</v>
      </c>
      <c r="L1258" t="str">
        <f t="shared" si="76"/>
        <v>F1B112030</v>
      </c>
      <c r="M1258" t="str">
        <f t="shared" si="77"/>
        <v>I Wayan Juniartha</v>
      </c>
      <c r="O1258" t="str">
        <f t="shared" si="78"/>
        <v/>
      </c>
      <c r="P1258" t="str">
        <f t="shared" si="79"/>
        <v/>
      </c>
    </row>
    <row r="1259" spans="1:16">
      <c r="A1259" t="s">
        <v>375</v>
      </c>
      <c r="B1259" t="s">
        <v>376</v>
      </c>
      <c r="C1259" t="s">
        <v>277</v>
      </c>
      <c r="D1259" t="s">
        <v>278</v>
      </c>
      <c r="E1259">
        <v>20171</v>
      </c>
      <c r="F1259" t="s">
        <v>576</v>
      </c>
      <c r="G1259" t="s">
        <v>150</v>
      </c>
      <c r="H1259">
        <v>0</v>
      </c>
      <c r="I1259">
        <v>0</v>
      </c>
      <c r="J1259">
        <v>20201</v>
      </c>
      <c r="K1259">
        <f>COUNTIF('rEKAP kls MK'!$A$2:$A$35,Worksheet!C1259)</f>
        <v>0</v>
      </c>
      <c r="L1259" t="str">
        <f t="shared" si="76"/>
        <v>F1B112031</v>
      </c>
      <c r="M1259" t="str">
        <f t="shared" si="77"/>
        <v>I Wayan Eka Sabda</v>
      </c>
      <c r="O1259" t="str">
        <f t="shared" si="78"/>
        <v/>
      </c>
      <c r="P1259" t="str">
        <f t="shared" si="79"/>
        <v/>
      </c>
    </row>
    <row r="1260" spans="1:16">
      <c r="A1260" t="s">
        <v>377</v>
      </c>
      <c r="B1260" t="s">
        <v>464</v>
      </c>
      <c r="C1260" t="s">
        <v>277</v>
      </c>
      <c r="D1260" t="s">
        <v>278</v>
      </c>
      <c r="E1260">
        <v>20171</v>
      </c>
      <c r="F1260" t="s">
        <v>576</v>
      </c>
      <c r="G1260" t="s">
        <v>150</v>
      </c>
      <c r="H1260">
        <v>0</v>
      </c>
      <c r="I1260">
        <v>0</v>
      </c>
      <c r="J1260">
        <v>20201</v>
      </c>
      <c r="K1260">
        <f>COUNTIF('rEKAP kls MK'!$A$2:$A$35,Worksheet!C1260)</f>
        <v>0</v>
      </c>
      <c r="L1260" t="str">
        <f t="shared" si="76"/>
        <v>F1B112036</v>
      </c>
      <c r="M1260" t="str">
        <f t="shared" si="77"/>
        <v>M Ali Akbar</v>
      </c>
      <c r="O1260" t="str">
        <f t="shared" si="78"/>
        <v/>
      </c>
      <c r="P1260" t="str">
        <f t="shared" si="79"/>
        <v/>
      </c>
    </row>
    <row r="1261" spans="1:16">
      <c r="A1261" t="s">
        <v>378</v>
      </c>
      <c r="B1261" t="s">
        <v>379</v>
      </c>
      <c r="C1261" t="s">
        <v>277</v>
      </c>
      <c r="D1261" t="s">
        <v>278</v>
      </c>
      <c r="E1261">
        <v>20171</v>
      </c>
      <c r="F1261" t="s">
        <v>576</v>
      </c>
      <c r="G1261" t="s">
        <v>51</v>
      </c>
      <c r="H1261">
        <v>3.5</v>
      </c>
      <c r="I1261">
        <v>0</v>
      </c>
      <c r="J1261">
        <v>20201</v>
      </c>
      <c r="K1261">
        <f>COUNTIF('rEKAP kls MK'!$A$2:$A$35,Worksheet!C1261)</f>
        <v>0</v>
      </c>
      <c r="L1261" t="str">
        <f t="shared" si="76"/>
        <v>F1B112037</v>
      </c>
      <c r="M1261" t="str">
        <f t="shared" si="77"/>
        <v>Muh Idris</v>
      </c>
      <c r="O1261" t="str">
        <f t="shared" si="78"/>
        <v/>
      </c>
      <c r="P1261" t="str">
        <f t="shared" si="79"/>
        <v/>
      </c>
    </row>
    <row r="1262" spans="1:16">
      <c r="A1262" t="s">
        <v>16</v>
      </c>
      <c r="B1262" t="s">
        <v>17</v>
      </c>
      <c r="C1262" t="s">
        <v>277</v>
      </c>
      <c r="D1262" t="s">
        <v>278</v>
      </c>
      <c r="E1262">
        <v>20171</v>
      </c>
      <c r="F1262" t="s">
        <v>576</v>
      </c>
      <c r="G1262" t="s">
        <v>150</v>
      </c>
      <c r="H1262">
        <v>0</v>
      </c>
      <c r="I1262">
        <v>0</v>
      </c>
      <c r="J1262">
        <v>20201</v>
      </c>
      <c r="K1262">
        <f>COUNTIF('rEKAP kls MK'!$A$2:$A$35,Worksheet!C1262)</f>
        <v>0</v>
      </c>
      <c r="L1262" t="str">
        <f t="shared" si="76"/>
        <v>F1B112042</v>
      </c>
      <c r="M1262" t="str">
        <f t="shared" si="77"/>
        <v>Muhammad Satriawan A</v>
      </c>
      <c r="O1262" t="str">
        <f t="shared" si="78"/>
        <v/>
      </c>
      <c r="P1262" t="str">
        <f t="shared" si="79"/>
        <v/>
      </c>
    </row>
    <row r="1263" spans="1:16">
      <c r="A1263" t="s">
        <v>21</v>
      </c>
      <c r="B1263" t="s">
        <v>22</v>
      </c>
      <c r="C1263" t="s">
        <v>277</v>
      </c>
      <c r="D1263" t="s">
        <v>278</v>
      </c>
      <c r="E1263">
        <v>20171</v>
      </c>
      <c r="F1263" t="s">
        <v>576</v>
      </c>
      <c r="G1263" t="s">
        <v>150</v>
      </c>
      <c r="H1263">
        <v>0</v>
      </c>
      <c r="I1263">
        <v>0</v>
      </c>
      <c r="J1263">
        <v>20201</v>
      </c>
      <c r="K1263">
        <f>COUNTIF('rEKAP kls MK'!$A$2:$A$35,Worksheet!C1263)</f>
        <v>0</v>
      </c>
      <c r="L1263" t="str">
        <f t="shared" si="76"/>
        <v>F1B113002</v>
      </c>
      <c r="M1263" t="str">
        <f t="shared" si="77"/>
        <v>AHMAD FAJRI AULIA</v>
      </c>
      <c r="O1263" t="str">
        <f t="shared" si="78"/>
        <v/>
      </c>
      <c r="P1263" t="str">
        <f t="shared" si="79"/>
        <v/>
      </c>
    </row>
    <row r="1264" spans="1:16">
      <c r="A1264" t="s">
        <v>380</v>
      </c>
      <c r="B1264" t="s">
        <v>381</v>
      </c>
      <c r="C1264" t="s">
        <v>277</v>
      </c>
      <c r="D1264" t="s">
        <v>278</v>
      </c>
      <c r="E1264">
        <v>20171</v>
      </c>
      <c r="F1264" t="s">
        <v>576</v>
      </c>
      <c r="G1264" t="s">
        <v>150</v>
      </c>
      <c r="H1264">
        <v>0</v>
      </c>
      <c r="I1264">
        <v>0</v>
      </c>
      <c r="J1264">
        <v>20201</v>
      </c>
      <c r="K1264">
        <f>COUNTIF('rEKAP kls MK'!$A$2:$A$35,Worksheet!C1264)</f>
        <v>0</v>
      </c>
      <c r="L1264" t="str">
        <f t="shared" si="76"/>
        <v>F1B113006</v>
      </c>
      <c r="M1264" t="str">
        <f t="shared" si="77"/>
        <v>ELAN CRIYANTO</v>
      </c>
      <c r="O1264" t="str">
        <f t="shared" si="78"/>
        <v/>
      </c>
      <c r="P1264" t="str">
        <f t="shared" si="79"/>
        <v/>
      </c>
    </row>
    <row r="1265" spans="1:16">
      <c r="A1265" t="s">
        <v>382</v>
      </c>
      <c r="B1265" t="s">
        <v>383</v>
      </c>
      <c r="C1265" t="s">
        <v>277</v>
      </c>
      <c r="D1265" t="s">
        <v>278</v>
      </c>
      <c r="E1265">
        <v>20171</v>
      </c>
      <c r="F1265" t="s">
        <v>576</v>
      </c>
      <c r="G1265" t="s">
        <v>150</v>
      </c>
      <c r="H1265">
        <v>0</v>
      </c>
      <c r="I1265">
        <v>0</v>
      </c>
      <c r="J1265">
        <v>20201</v>
      </c>
      <c r="K1265">
        <f>COUNTIF('rEKAP kls MK'!$A$2:$A$35,Worksheet!C1265)</f>
        <v>0</v>
      </c>
      <c r="L1265" t="str">
        <f t="shared" si="76"/>
        <v>F1B113011</v>
      </c>
      <c r="M1265" t="str">
        <f t="shared" si="77"/>
        <v>HAFIDZOH</v>
      </c>
      <c r="O1265" t="str">
        <f t="shared" si="78"/>
        <v/>
      </c>
      <c r="P1265" t="str">
        <f t="shared" si="79"/>
        <v/>
      </c>
    </row>
    <row r="1266" spans="1:16">
      <c r="A1266" t="s">
        <v>384</v>
      </c>
      <c r="B1266" t="s">
        <v>385</v>
      </c>
      <c r="C1266" t="s">
        <v>277</v>
      </c>
      <c r="D1266" t="s">
        <v>278</v>
      </c>
      <c r="E1266">
        <v>20171</v>
      </c>
      <c r="F1266" t="s">
        <v>576</v>
      </c>
      <c r="G1266" t="s">
        <v>150</v>
      </c>
      <c r="H1266">
        <v>0</v>
      </c>
      <c r="I1266">
        <v>0</v>
      </c>
      <c r="J1266">
        <v>20201</v>
      </c>
      <c r="K1266">
        <f>COUNTIF('rEKAP kls MK'!$A$2:$A$35,Worksheet!C1266)</f>
        <v>0</v>
      </c>
      <c r="L1266" t="str">
        <f t="shared" si="76"/>
        <v>F1B113024</v>
      </c>
      <c r="M1266" t="str">
        <f t="shared" si="77"/>
        <v>MARATUS SOLEHA</v>
      </c>
      <c r="O1266" t="str">
        <f t="shared" si="78"/>
        <v/>
      </c>
      <c r="P1266" t="str">
        <f t="shared" si="79"/>
        <v/>
      </c>
    </row>
    <row r="1267" spans="1:16">
      <c r="A1267" t="s">
        <v>138</v>
      </c>
      <c r="B1267" t="s">
        <v>139</v>
      </c>
      <c r="C1267" t="s">
        <v>277</v>
      </c>
      <c r="D1267" t="s">
        <v>278</v>
      </c>
      <c r="E1267">
        <v>20171</v>
      </c>
      <c r="F1267" t="s">
        <v>576</v>
      </c>
      <c r="G1267" t="s">
        <v>150</v>
      </c>
      <c r="H1267">
        <v>0</v>
      </c>
      <c r="I1267">
        <v>0</v>
      </c>
      <c r="J1267">
        <v>20201</v>
      </c>
      <c r="K1267">
        <f>COUNTIF('rEKAP kls MK'!$A$2:$A$35,Worksheet!C1267)</f>
        <v>0</v>
      </c>
      <c r="L1267" t="str">
        <f t="shared" si="76"/>
        <v>F1B113033</v>
      </c>
      <c r="M1267" t="str">
        <f t="shared" si="77"/>
        <v>SERLY MARLINA</v>
      </c>
      <c r="O1267" t="str">
        <f t="shared" si="78"/>
        <v/>
      </c>
      <c r="P1267" t="str">
        <f t="shared" si="79"/>
        <v/>
      </c>
    </row>
    <row r="1268" spans="1:16">
      <c r="L1268">
        <f t="shared" si="76"/>
        <v>0</v>
      </c>
      <c r="M1268">
        <f t="shared" si="77"/>
        <v>0</v>
      </c>
      <c r="O1268">
        <f t="shared" si="78"/>
        <v>0</v>
      </c>
      <c r="P1268">
        <f t="shared" si="79"/>
        <v>0</v>
      </c>
    </row>
    <row r="1269" spans="1:16">
      <c r="L1269" t="str">
        <f t="shared" si="76"/>
        <v/>
      </c>
      <c r="M1269" t="str">
        <f t="shared" si="77"/>
        <v/>
      </c>
      <c r="O1269" t="str">
        <f t="shared" si="78"/>
        <v/>
      </c>
      <c r="P1269" t="str">
        <f t="shared" si="79"/>
        <v/>
      </c>
    </row>
    <row r="1270" spans="1:16">
      <c r="L1270" t="str">
        <f t="shared" si="76"/>
        <v/>
      </c>
      <c r="M1270" t="str">
        <f t="shared" si="77"/>
        <v/>
      </c>
      <c r="O1270" t="str">
        <f t="shared" si="78"/>
        <v/>
      </c>
      <c r="P1270" t="str">
        <f t="shared" si="79"/>
        <v/>
      </c>
    </row>
    <row r="1271" spans="1:16">
      <c r="L1271" t="str">
        <f t="shared" si="76"/>
        <v/>
      </c>
      <c r="M1271" t="str">
        <f t="shared" si="77"/>
        <v/>
      </c>
      <c r="O1271" t="str">
        <f t="shared" si="78"/>
        <v/>
      </c>
      <c r="P1271" t="str">
        <f t="shared" si="79"/>
        <v/>
      </c>
    </row>
    <row r="1272" spans="1:16">
      <c r="L1272" t="str">
        <f t="shared" si="76"/>
        <v/>
      </c>
      <c r="M1272" t="str">
        <f t="shared" si="77"/>
        <v/>
      </c>
      <c r="O1272" t="str">
        <f t="shared" si="78"/>
        <v/>
      </c>
      <c r="P1272" t="str">
        <f t="shared" si="79"/>
        <v/>
      </c>
    </row>
    <row r="1273" spans="1:16">
      <c r="L1273" t="str">
        <f t="shared" si="76"/>
        <v/>
      </c>
      <c r="M1273" t="str">
        <f t="shared" si="77"/>
        <v/>
      </c>
      <c r="O1273" t="str">
        <f t="shared" si="78"/>
        <v/>
      </c>
      <c r="P1273" t="str">
        <f t="shared" si="79"/>
        <v/>
      </c>
    </row>
    <row r="1274" spans="1:16">
      <c r="L1274" t="str">
        <f t="shared" si="76"/>
        <v/>
      </c>
      <c r="M1274" t="str">
        <f t="shared" si="77"/>
        <v/>
      </c>
      <c r="O1274" t="str">
        <f t="shared" si="78"/>
        <v/>
      </c>
      <c r="P1274" t="str">
        <f t="shared" si="79"/>
        <v/>
      </c>
    </row>
    <row r="1275" spans="1:16">
      <c r="L1275" t="str">
        <f t="shared" si="76"/>
        <v/>
      </c>
      <c r="M1275" t="str">
        <f t="shared" si="77"/>
        <v/>
      </c>
      <c r="O1275" t="str">
        <f t="shared" si="78"/>
        <v/>
      </c>
      <c r="P1275" t="str">
        <f t="shared" si="79"/>
        <v/>
      </c>
    </row>
    <row r="1276" spans="1:16">
      <c r="L1276" t="str">
        <f t="shared" si="76"/>
        <v/>
      </c>
      <c r="M1276" t="str">
        <f t="shared" si="77"/>
        <v/>
      </c>
      <c r="O1276" t="str">
        <f t="shared" si="78"/>
        <v/>
      </c>
      <c r="P1276" t="str">
        <f t="shared" si="79"/>
        <v/>
      </c>
    </row>
  </sheetData>
  <sheetProtection formatCells="0" formatColumns="0" formatRows="0" insertColumns="0" insertRows="0" insertHyperlinks="0" deleteColumns="0" deleteRows="0" sort="0" autoFilter="0" pivotTables="0"/>
  <autoFilter ref="A1:M1276">
    <filterColumn colId="1"/>
    <filterColumn colId="3"/>
  </autoFilter>
  <sortState ref="A2:J1267">
    <sortCondition ref="D2:D12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275"/>
  <sheetViews>
    <sheetView workbookViewId="0">
      <pane xSplit="5475" ySplit="2400" topLeftCell="D206" activePane="topRight"/>
      <selection activeCell="A2" sqref="A2:C206"/>
      <selection pane="topRight" activeCell="P2" sqref="P2:S206"/>
      <selection pane="bottomLeft" activeCell="B1221" sqref="B1221"/>
      <selection pane="bottomRight" activeCell="B85" sqref="B85"/>
    </sheetView>
  </sheetViews>
  <sheetFormatPr defaultRowHeight="15"/>
  <cols>
    <col min="1" max="1" width="10.140625" bestFit="1" customWidth="1"/>
    <col min="2" max="2" width="38.28515625" bestFit="1" customWidth="1"/>
  </cols>
  <sheetData>
    <row r="1" spans="1:21">
      <c r="A1" s="2" t="s">
        <v>0</v>
      </c>
      <c r="B1" s="2" t="s">
        <v>565</v>
      </c>
      <c r="C1" s="2" t="s">
        <v>4</v>
      </c>
      <c r="D1" s="2" t="s">
        <v>566</v>
      </c>
      <c r="E1" s="2" t="s">
        <v>567</v>
      </c>
      <c r="F1" s="2" t="s">
        <v>568</v>
      </c>
      <c r="G1" s="2" t="s">
        <v>569</v>
      </c>
      <c r="H1" s="2" t="s">
        <v>570</v>
      </c>
      <c r="I1" s="2" t="s">
        <v>9</v>
      </c>
      <c r="K1" s="3" t="s">
        <v>571</v>
      </c>
      <c r="L1" s="3"/>
      <c r="M1" s="3" t="s">
        <v>572</v>
      </c>
      <c r="N1" s="3" t="s">
        <v>573</v>
      </c>
      <c r="P1" s="2" t="s">
        <v>574</v>
      </c>
      <c r="Q1" s="2" t="s">
        <v>567</v>
      </c>
      <c r="R1" s="2" t="s">
        <v>568</v>
      </c>
      <c r="S1" s="2" t="s">
        <v>569</v>
      </c>
      <c r="T1" s="2" t="s">
        <v>570</v>
      </c>
      <c r="U1" s="2" t="s">
        <v>9</v>
      </c>
    </row>
    <row r="2" spans="1:21">
      <c r="A2" t="s">
        <v>269</v>
      </c>
      <c r="B2" t="s">
        <v>270</v>
      </c>
      <c r="C2">
        <v>20171</v>
      </c>
      <c r="D2">
        <f>VLOOKUP(A2,[1]Worksheet!$A$2:$I$423,4,0)</f>
        <v>0</v>
      </c>
      <c r="E2">
        <f>VLOOKUP(A2,[1]Worksheet!$A$2:$I$423,5,0)</f>
        <v>0</v>
      </c>
      <c r="F2">
        <f>VLOOKUP(A2,[1]Worksheet!$A$2:$I$423,6,0)</f>
        <v>197</v>
      </c>
      <c r="G2">
        <f>VLOOKUP(A2,[1]Worksheet!$A$2:$I$423,7,0)</f>
        <v>2.02</v>
      </c>
      <c r="K2">
        <v>6</v>
      </c>
      <c r="M2">
        <f>D2*E2</f>
        <v>0</v>
      </c>
      <c r="N2">
        <f>F2*G2</f>
        <v>397.94</v>
      </c>
      <c r="P2">
        <f>K2+D2</f>
        <v>6</v>
      </c>
      <c r="Q2">
        <f>M2/P2</f>
        <v>0</v>
      </c>
      <c r="R2">
        <f>F2+K2</f>
        <v>203</v>
      </c>
      <c r="S2">
        <f>N2/R2</f>
        <v>1.9602955665024631</v>
      </c>
    </row>
    <row r="3" spans="1:21">
      <c r="A3" t="s">
        <v>279</v>
      </c>
      <c r="B3" t="s">
        <v>280</v>
      </c>
      <c r="C3">
        <v>20171</v>
      </c>
      <c r="D3">
        <f>VLOOKUP(A3,[1]Worksheet!$A$2:$I$423,4,0)</f>
        <v>4</v>
      </c>
      <c r="E3">
        <f>VLOOKUP(A3,[1]Worksheet!$A$2:$I$423,5,0)</f>
        <v>3.5</v>
      </c>
      <c r="F3">
        <f>VLOOKUP(A3,[1]Worksheet!$A$2:$I$423,6,0)</f>
        <v>189</v>
      </c>
      <c r="G3">
        <f>VLOOKUP(A3,[1]Worksheet!$A$2:$I$423,7,0)</f>
        <v>2.02</v>
      </c>
      <c r="M3">
        <f t="shared" ref="M3:M66" si="0">D3*E3</f>
        <v>14</v>
      </c>
      <c r="N3">
        <f t="shared" ref="N3:N66" si="1">F3*G3</f>
        <v>381.78000000000003</v>
      </c>
      <c r="P3">
        <f t="shared" ref="P3:P66" si="2">K3+D3</f>
        <v>4</v>
      </c>
      <c r="Q3">
        <f t="shared" ref="Q3:Q66" si="3">M3/P3</f>
        <v>3.5</v>
      </c>
      <c r="R3">
        <f t="shared" ref="R3:R66" si="4">F3+K3</f>
        <v>189</v>
      </c>
      <c r="S3">
        <f t="shared" ref="S3:S66" si="5">N3/R3</f>
        <v>2.02</v>
      </c>
    </row>
    <row r="4" spans="1:21">
      <c r="A4" t="s">
        <v>281</v>
      </c>
      <c r="B4" t="s">
        <v>282</v>
      </c>
      <c r="C4">
        <v>20171</v>
      </c>
      <c r="D4">
        <f>VLOOKUP(A4,[1]Worksheet!$A$2:$I$423,4,0)</f>
        <v>0</v>
      </c>
      <c r="E4">
        <f>VLOOKUP(A4,[1]Worksheet!$A$2:$I$423,5,0)</f>
        <v>0</v>
      </c>
      <c r="F4">
        <f>VLOOKUP(A4,[1]Worksheet!$A$2:$I$423,6,0)</f>
        <v>207</v>
      </c>
      <c r="G4">
        <f>VLOOKUP(A4,[1]Worksheet!$A$2:$I$423,7,0)</f>
        <v>1.86</v>
      </c>
      <c r="K4">
        <v>4</v>
      </c>
      <c r="M4">
        <f t="shared" si="0"/>
        <v>0</v>
      </c>
      <c r="N4">
        <f t="shared" si="1"/>
        <v>385.02000000000004</v>
      </c>
      <c r="P4">
        <f t="shared" si="2"/>
        <v>4</v>
      </c>
      <c r="Q4">
        <f t="shared" si="3"/>
        <v>0</v>
      </c>
      <c r="R4">
        <f t="shared" si="4"/>
        <v>211</v>
      </c>
      <c r="S4">
        <f t="shared" si="5"/>
        <v>1.8247393364928912</v>
      </c>
    </row>
    <row r="5" spans="1:21">
      <c r="A5" t="s">
        <v>283</v>
      </c>
      <c r="B5" t="s">
        <v>284</v>
      </c>
      <c r="C5">
        <v>20171</v>
      </c>
      <c r="D5">
        <f>VLOOKUP(A5,[1]Worksheet!$A$2:$I$423,4,0)</f>
        <v>4</v>
      </c>
      <c r="E5">
        <f>VLOOKUP(A5,[1]Worksheet!$A$2:$I$423,5,0)</f>
        <v>3.5</v>
      </c>
      <c r="F5">
        <f>VLOOKUP(A5,[1]Worksheet!$A$2:$I$423,6,0)</f>
        <v>181</v>
      </c>
      <c r="G5">
        <f>VLOOKUP(A5,[1]Worksheet!$A$2:$I$423,7,0)</f>
        <v>2.89</v>
      </c>
      <c r="M5">
        <f t="shared" si="0"/>
        <v>14</v>
      </c>
      <c r="N5">
        <f t="shared" si="1"/>
        <v>523.09</v>
      </c>
      <c r="P5">
        <f t="shared" si="2"/>
        <v>4</v>
      </c>
      <c r="Q5">
        <f t="shared" si="3"/>
        <v>3.5</v>
      </c>
      <c r="R5">
        <f t="shared" si="4"/>
        <v>181</v>
      </c>
      <c r="S5">
        <f t="shared" si="5"/>
        <v>2.89</v>
      </c>
    </row>
    <row r="6" spans="1:21">
      <c r="A6" t="s">
        <v>285</v>
      </c>
      <c r="B6" t="s">
        <v>286</v>
      </c>
      <c r="C6">
        <v>20171</v>
      </c>
      <c r="D6">
        <f>VLOOKUP(A6,[1]Worksheet!$A$2:$I$423,4,0)</f>
        <v>4</v>
      </c>
      <c r="E6">
        <f>VLOOKUP(A6,[1]Worksheet!$A$2:$I$423,5,0)</f>
        <v>3</v>
      </c>
      <c r="F6">
        <f>VLOOKUP(A6,[1]Worksheet!$A$2:$I$423,6,0)</f>
        <v>208</v>
      </c>
      <c r="G6">
        <f>VLOOKUP(A6,[1]Worksheet!$A$2:$I$423,7,0)</f>
        <v>2.2999999999999998</v>
      </c>
      <c r="M6">
        <f t="shared" si="0"/>
        <v>12</v>
      </c>
      <c r="N6">
        <f t="shared" si="1"/>
        <v>478.4</v>
      </c>
      <c r="P6">
        <f t="shared" si="2"/>
        <v>4</v>
      </c>
      <c r="Q6">
        <f t="shared" si="3"/>
        <v>3</v>
      </c>
      <c r="R6">
        <f t="shared" si="4"/>
        <v>208</v>
      </c>
      <c r="S6">
        <f t="shared" si="5"/>
        <v>2.2999999999999998</v>
      </c>
    </row>
    <row r="7" spans="1:21">
      <c r="A7" t="s">
        <v>287</v>
      </c>
      <c r="B7" t="s">
        <v>288</v>
      </c>
      <c r="C7">
        <v>20171</v>
      </c>
      <c r="D7">
        <f>VLOOKUP(A7,[1]Worksheet!$A$2:$I$423,4,0)</f>
        <v>4</v>
      </c>
      <c r="E7">
        <f>VLOOKUP(A7,[1]Worksheet!$A$2:$I$423,5,0)</f>
        <v>4</v>
      </c>
      <c r="F7">
        <f>VLOOKUP(A7,[1]Worksheet!$A$2:$I$423,6,0)</f>
        <v>189</v>
      </c>
      <c r="G7">
        <f>VLOOKUP(A7,[1]Worksheet!$A$2:$I$423,7,0)</f>
        <v>2.4300000000000002</v>
      </c>
      <c r="M7">
        <f t="shared" si="0"/>
        <v>16</v>
      </c>
      <c r="N7">
        <f t="shared" si="1"/>
        <v>459.27000000000004</v>
      </c>
      <c r="P7">
        <f t="shared" si="2"/>
        <v>4</v>
      </c>
      <c r="Q7">
        <f t="shared" si="3"/>
        <v>4</v>
      </c>
      <c r="R7">
        <f t="shared" si="4"/>
        <v>189</v>
      </c>
      <c r="S7">
        <f t="shared" si="5"/>
        <v>2.4300000000000002</v>
      </c>
    </row>
    <row r="8" spans="1:21">
      <c r="A8" t="s">
        <v>289</v>
      </c>
      <c r="B8" t="s">
        <v>290</v>
      </c>
      <c r="C8">
        <v>20171</v>
      </c>
      <c r="D8">
        <f>VLOOKUP(A8,[1]Worksheet!$A$2:$I$423,4,0)</f>
        <v>4</v>
      </c>
      <c r="E8">
        <f>VLOOKUP(A8,[1]Worksheet!$A$2:$I$423,5,0)</f>
        <v>3.5</v>
      </c>
      <c r="F8">
        <f>VLOOKUP(A8,[1]Worksheet!$A$2:$I$423,6,0)</f>
        <v>197</v>
      </c>
      <c r="G8">
        <f>VLOOKUP(A8,[1]Worksheet!$A$2:$I$423,7,0)</f>
        <v>2.16</v>
      </c>
      <c r="M8">
        <f t="shared" si="0"/>
        <v>14</v>
      </c>
      <c r="N8">
        <f t="shared" si="1"/>
        <v>425.52000000000004</v>
      </c>
      <c r="P8">
        <f t="shared" si="2"/>
        <v>4</v>
      </c>
      <c r="Q8">
        <f t="shared" si="3"/>
        <v>3.5</v>
      </c>
      <c r="R8">
        <f t="shared" si="4"/>
        <v>197</v>
      </c>
      <c r="S8">
        <f t="shared" si="5"/>
        <v>2.16</v>
      </c>
    </row>
    <row r="9" spans="1:21">
      <c r="A9" t="s">
        <v>291</v>
      </c>
      <c r="B9" t="s">
        <v>292</v>
      </c>
      <c r="C9">
        <v>20171</v>
      </c>
      <c r="D9">
        <f>VLOOKUP(A9,[1]Worksheet!$A$2:$I$423,4,0)</f>
        <v>4</v>
      </c>
      <c r="E9">
        <f>VLOOKUP(A9,[1]Worksheet!$A$2:$I$423,5,0)</f>
        <v>3.5</v>
      </c>
      <c r="F9">
        <f>VLOOKUP(A9,[1]Worksheet!$A$2:$I$423,6,0)</f>
        <v>194</v>
      </c>
      <c r="G9">
        <f>VLOOKUP(A9,[1]Worksheet!$A$2:$I$423,7,0)</f>
        <v>2.13</v>
      </c>
      <c r="M9">
        <f t="shared" si="0"/>
        <v>14</v>
      </c>
      <c r="N9">
        <f t="shared" si="1"/>
        <v>413.21999999999997</v>
      </c>
      <c r="P9">
        <f t="shared" si="2"/>
        <v>4</v>
      </c>
      <c r="Q9">
        <f t="shared" si="3"/>
        <v>3.5</v>
      </c>
      <c r="R9">
        <f t="shared" si="4"/>
        <v>194</v>
      </c>
      <c r="S9">
        <f t="shared" si="5"/>
        <v>2.13</v>
      </c>
    </row>
    <row r="10" spans="1:21">
      <c r="A10" t="s">
        <v>293</v>
      </c>
      <c r="B10" t="s">
        <v>294</v>
      </c>
      <c r="C10">
        <v>20171</v>
      </c>
      <c r="D10">
        <f>VLOOKUP(A10,[1]Worksheet!$A$2:$I$423,4,0)</f>
        <v>4</v>
      </c>
      <c r="E10">
        <f>VLOOKUP(A10,[1]Worksheet!$A$2:$I$423,5,0)</f>
        <v>2.5</v>
      </c>
      <c r="F10">
        <f>VLOOKUP(A10,[1]Worksheet!$A$2:$I$423,6,0)</f>
        <v>216</v>
      </c>
      <c r="G10">
        <f>VLOOKUP(A10,[1]Worksheet!$A$2:$I$423,7,0)</f>
        <v>1.95</v>
      </c>
      <c r="M10">
        <f t="shared" si="0"/>
        <v>10</v>
      </c>
      <c r="N10">
        <f t="shared" si="1"/>
        <v>421.2</v>
      </c>
      <c r="P10">
        <f t="shared" si="2"/>
        <v>4</v>
      </c>
      <c r="Q10">
        <f t="shared" si="3"/>
        <v>2.5</v>
      </c>
      <c r="R10">
        <f t="shared" si="4"/>
        <v>216</v>
      </c>
      <c r="S10">
        <f t="shared" si="5"/>
        <v>1.95</v>
      </c>
    </row>
    <row r="11" spans="1:21">
      <c r="A11" t="s">
        <v>295</v>
      </c>
      <c r="B11" t="s">
        <v>296</v>
      </c>
      <c r="C11">
        <v>20171</v>
      </c>
      <c r="D11">
        <f>VLOOKUP(A11,[1]Worksheet!$A$2:$I$423,4,0)</f>
        <v>4</v>
      </c>
      <c r="E11">
        <f>VLOOKUP(A11,[1]Worksheet!$A$2:$I$423,5,0)</f>
        <v>3</v>
      </c>
      <c r="F11">
        <f>VLOOKUP(A11,[1]Worksheet!$A$2:$I$423,6,0)</f>
        <v>185</v>
      </c>
      <c r="G11">
        <f>VLOOKUP(A11,[1]Worksheet!$A$2:$I$423,7,0)</f>
        <v>2.39</v>
      </c>
      <c r="M11">
        <f t="shared" si="0"/>
        <v>12</v>
      </c>
      <c r="N11">
        <f t="shared" si="1"/>
        <v>442.15000000000003</v>
      </c>
      <c r="P11">
        <f t="shared" si="2"/>
        <v>4</v>
      </c>
      <c r="Q11">
        <f t="shared" si="3"/>
        <v>3</v>
      </c>
      <c r="R11">
        <f t="shared" si="4"/>
        <v>185</v>
      </c>
      <c r="S11">
        <f t="shared" si="5"/>
        <v>2.39</v>
      </c>
    </row>
    <row r="12" spans="1:21">
      <c r="A12" t="s">
        <v>297</v>
      </c>
      <c r="B12" t="s">
        <v>298</v>
      </c>
      <c r="C12">
        <v>20171</v>
      </c>
      <c r="D12">
        <f>VLOOKUP(A12,[1]Worksheet!$A$2:$I$423,4,0)</f>
        <v>4</v>
      </c>
      <c r="E12">
        <f>VLOOKUP(A12,[1]Worksheet!$A$2:$I$423,5,0)</f>
        <v>3.5</v>
      </c>
      <c r="F12">
        <f>VLOOKUP(A12,[1]Worksheet!$A$2:$I$423,6,0)</f>
        <v>181</v>
      </c>
      <c r="G12">
        <f>VLOOKUP(A12,[1]Worksheet!$A$2:$I$423,7,0)</f>
        <v>2.4700000000000002</v>
      </c>
      <c r="M12">
        <f t="shared" si="0"/>
        <v>14</v>
      </c>
      <c r="N12">
        <f t="shared" si="1"/>
        <v>447.07000000000005</v>
      </c>
      <c r="P12">
        <f t="shared" si="2"/>
        <v>4</v>
      </c>
      <c r="Q12">
        <f t="shared" si="3"/>
        <v>3.5</v>
      </c>
      <c r="R12">
        <f t="shared" si="4"/>
        <v>181</v>
      </c>
      <c r="S12">
        <f t="shared" si="5"/>
        <v>2.4700000000000002</v>
      </c>
    </row>
    <row r="13" spans="1:21">
      <c r="A13" t="s">
        <v>299</v>
      </c>
      <c r="B13" t="s">
        <v>300</v>
      </c>
      <c r="C13">
        <v>20171</v>
      </c>
      <c r="D13">
        <f>VLOOKUP(A13,[1]Worksheet!$A$2:$I$423,4,0)</f>
        <v>4</v>
      </c>
      <c r="E13">
        <f>VLOOKUP(A13,[1]Worksheet!$A$2:$I$423,5,0)</f>
        <v>4</v>
      </c>
      <c r="F13">
        <f>VLOOKUP(A13,[1]Worksheet!$A$2:$I$423,6,0)</f>
        <v>198</v>
      </c>
      <c r="G13">
        <f>VLOOKUP(A13,[1]Worksheet!$A$2:$I$423,7,0)</f>
        <v>2.5</v>
      </c>
      <c r="M13">
        <f t="shared" si="0"/>
        <v>16</v>
      </c>
      <c r="N13">
        <f t="shared" si="1"/>
        <v>495</v>
      </c>
      <c r="P13">
        <f t="shared" si="2"/>
        <v>4</v>
      </c>
      <c r="Q13">
        <f t="shared" si="3"/>
        <v>4</v>
      </c>
      <c r="R13">
        <f t="shared" si="4"/>
        <v>198</v>
      </c>
      <c r="S13">
        <f t="shared" si="5"/>
        <v>2.5</v>
      </c>
    </row>
    <row r="14" spans="1:21">
      <c r="A14" t="s">
        <v>301</v>
      </c>
      <c r="B14" t="s">
        <v>302</v>
      </c>
      <c r="C14">
        <v>20171</v>
      </c>
      <c r="D14">
        <f>VLOOKUP(A14,[1]Worksheet!$A$2:$I$423,4,0)</f>
        <v>4</v>
      </c>
      <c r="E14">
        <f>VLOOKUP(A14,[1]Worksheet!$A$2:$I$423,5,0)</f>
        <v>3.5</v>
      </c>
      <c r="F14">
        <f>VLOOKUP(A14,[1]Worksheet!$A$2:$I$423,6,0)</f>
        <v>209</v>
      </c>
      <c r="G14">
        <f>VLOOKUP(A14,[1]Worksheet!$A$2:$I$423,7,0)</f>
        <v>2.2200000000000002</v>
      </c>
      <c r="M14">
        <f t="shared" si="0"/>
        <v>14</v>
      </c>
      <c r="N14">
        <f t="shared" si="1"/>
        <v>463.98</v>
      </c>
      <c r="P14">
        <f t="shared" si="2"/>
        <v>4</v>
      </c>
      <c r="Q14">
        <f t="shared" si="3"/>
        <v>3.5</v>
      </c>
      <c r="R14">
        <f t="shared" si="4"/>
        <v>209</v>
      </c>
      <c r="S14">
        <f t="shared" si="5"/>
        <v>2.2200000000000002</v>
      </c>
    </row>
    <row r="15" spans="1:21">
      <c r="A15" t="s">
        <v>273</v>
      </c>
      <c r="B15" t="s">
        <v>274</v>
      </c>
      <c r="C15">
        <v>20171</v>
      </c>
      <c r="D15">
        <f>VLOOKUP(A15,[1]Worksheet!$A$2:$I$423,4,0)</f>
        <v>0</v>
      </c>
      <c r="E15">
        <f>VLOOKUP(A15,[1]Worksheet!$A$2:$I$423,5,0)</f>
        <v>0</v>
      </c>
      <c r="F15">
        <f>VLOOKUP(A15,[1]Worksheet!$A$2:$I$423,6,0)</f>
        <v>187</v>
      </c>
      <c r="G15">
        <f>VLOOKUP(A15,[1]Worksheet!$A$2:$I$423,7,0)</f>
        <v>2.33</v>
      </c>
      <c r="K15">
        <v>6</v>
      </c>
      <c r="M15">
        <f t="shared" si="0"/>
        <v>0</v>
      </c>
      <c r="N15">
        <f t="shared" si="1"/>
        <v>435.71000000000004</v>
      </c>
      <c r="P15">
        <f t="shared" si="2"/>
        <v>6</v>
      </c>
      <c r="Q15">
        <f t="shared" si="3"/>
        <v>0</v>
      </c>
      <c r="R15">
        <f t="shared" si="4"/>
        <v>193</v>
      </c>
      <c r="S15">
        <f t="shared" si="5"/>
        <v>2.2575647668393786</v>
      </c>
    </row>
    <row r="16" spans="1:21">
      <c r="A16" t="s">
        <v>303</v>
      </c>
      <c r="B16" t="s">
        <v>304</v>
      </c>
      <c r="C16">
        <v>20171</v>
      </c>
      <c r="D16">
        <f>VLOOKUP(A16,[1]Worksheet!$A$2:$I$423,4,0)</f>
        <v>4</v>
      </c>
      <c r="E16">
        <f>VLOOKUP(A16,[1]Worksheet!$A$2:$I$423,5,0)</f>
        <v>4</v>
      </c>
      <c r="F16">
        <f>VLOOKUP(A16,[1]Worksheet!$A$2:$I$423,6,0)</f>
        <v>202</v>
      </c>
      <c r="G16">
        <f>VLOOKUP(A16,[1]Worksheet!$A$2:$I$423,7,0)</f>
        <v>1.93</v>
      </c>
      <c r="M16">
        <f t="shared" si="0"/>
        <v>16</v>
      </c>
      <c r="N16">
        <f t="shared" si="1"/>
        <v>389.86</v>
      </c>
      <c r="P16">
        <f t="shared" si="2"/>
        <v>4</v>
      </c>
      <c r="Q16">
        <f t="shared" si="3"/>
        <v>4</v>
      </c>
      <c r="R16">
        <f t="shared" si="4"/>
        <v>202</v>
      </c>
      <c r="S16">
        <f t="shared" si="5"/>
        <v>1.9300000000000002</v>
      </c>
    </row>
    <row r="17" spans="1:19">
      <c r="A17" t="s">
        <v>305</v>
      </c>
      <c r="B17" t="s">
        <v>306</v>
      </c>
      <c r="C17">
        <v>20171</v>
      </c>
      <c r="D17">
        <f>VLOOKUP(A17,[1]Worksheet!$A$2:$I$423,4,0)</f>
        <v>4</v>
      </c>
      <c r="E17">
        <f>VLOOKUP(A17,[1]Worksheet!$A$2:$I$423,5,0)</f>
        <v>3.5</v>
      </c>
      <c r="F17">
        <f>VLOOKUP(A17,[1]Worksheet!$A$2:$I$423,6,0)</f>
        <v>208</v>
      </c>
      <c r="G17">
        <f>VLOOKUP(A17,[1]Worksheet!$A$2:$I$423,7,0)</f>
        <v>2.2599999999999998</v>
      </c>
      <c r="M17">
        <f t="shared" si="0"/>
        <v>14</v>
      </c>
      <c r="N17">
        <f t="shared" si="1"/>
        <v>470.07999999999993</v>
      </c>
      <c r="P17">
        <f t="shared" si="2"/>
        <v>4</v>
      </c>
      <c r="Q17">
        <f t="shared" si="3"/>
        <v>3.5</v>
      </c>
      <c r="R17">
        <f t="shared" si="4"/>
        <v>208</v>
      </c>
      <c r="S17">
        <f t="shared" si="5"/>
        <v>2.2599999999999998</v>
      </c>
    </row>
    <row r="18" spans="1:19">
      <c r="A18" t="s">
        <v>239</v>
      </c>
      <c r="B18" t="s">
        <v>240</v>
      </c>
      <c r="C18">
        <v>20171</v>
      </c>
      <c r="D18">
        <f>VLOOKUP(A18,[1]Worksheet!$A$2:$I$423,4,0)</f>
        <v>4</v>
      </c>
      <c r="E18">
        <f>VLOOKUP(A18,[1]Worksheet!$A$2:$I$423,5,0)</f>
        <v>2.38</v>
      </c>
      <c r="F18">
        <f>VLOOKUP(A18,[1]Worksheet!$A$2:$I$423,6,0)</f>
        <v>198</v>
      </c>
      <c r="G18">
        <f>VLOOKUP(A18,[1]Worksheet!$A$2:$I$423,7,0)</f>
        <v>1.77</v>
      </c>
      <c r="K18">
        <v>4</v>
      </c>
      <c r="M18">
        <f t="shared" si="0"/>
        <v>9.52</v>
      </c>
      <c r="N18">
        <f t="shared" si="1"/>
        <v>350.46</v>
      </c>
      <c r="P18">
        <f t="shared" si="2"/>
        <v>8</v>
      </c>
      <c r="Q18">
        <f t="shared" si="3"/>
        <v>1.19</v>
      </c>
      <c r="R18">
        <f t="shared" si="4"/>
        <v>202</v>
      </c>
      <c r="S18">
        <f t="shared" si="5"/>
        <v>1.7349504950495049</v>
      </c>
    </row>
    <row r="19" spans="1:19">
      <c r="A19" t="s">
        <v>307</v>
      </c>
      <c r="B19" t="s">
        <v>308</v>
      </c>
      <c r="C19">
        <v>20171</v>
      </c>
      <c r="D19">
        <f>VLOOKUP(A19,[1]Worksheet!$A$2:$I$423,4,0)</f>
        <v>4</v>
      </c>
      <c r="E19">
        <f>VLOOKUP(A19,[1]Worksheet!$A$2:$I$423,5,0)</f>
        <v>3.5</v>
      </c>
      <c r="F19">
        <f>VLOOKUP(A19,[1]Worksheet!$A$2:$I$423,6,0)</f>
        <v>210</v>
      </c>
      <c r="G19">
        <f>VLOOKUP(A19,[1]Worksheet!$A$2:$I$423,7,0)</f>
        <v>1.99</v>
      </c>
      <c r="M19">
        <f t="shared" si="0"/>
        <v>14</v>
      </c>
      <c r="N19">
        <f t="shared" si="1"/>
        <v>417.9</v>
      </c>
      <c r="P19">
        <f t="shared" si="2"/>
        <v>4</v>
      </c>
      <c r="Q19">
        <f t="shared" si="3"/>
        <v>3.5</v>
      </c>
      <c r="R19">
        <f t="shared" si="4"/>
        <v>210</v>
      </c>
      <c r="S19">
        <f t="shared" si="5"/>
        <v>1.99</v>
      </c>
    </row>
    <row r="20" spans="1:19">
      <c r="A20" t="s">
        <v>309</v>
      </c>
      <c r="B20" t="s">
        <v>310</v>
      </c>
      <c r="C20">
        <v>20171</v>
      </c>
      <c r="D20">
        <f>VLOOKUP(A20,[1]Worksheet!$A$2:$I$423,4,0)</f>
        <v>4</v>
      </c>
      <c r="E20">
        <f>VLOOKUP(A20,[1]Worksheet!$A$2:$I$423,5,0)</f>
        <v>3.5</v>
      </c>
      <c r="F20">
        <f>VLOOKUP(A20,[1]Worksheet!$A$2:$I$423,6,0)</f>
        <v>199</v>
      </c>
      <c r="G20">
        <f>VLOOKUP(A20,[1]Worksheet!$A$2:$I$423,7,0)</f>
        <v>2.3199999999999998</v>
      </c>
      <c r="M20">
        <f t="shared" si="0"/>
        <v>14</v>
      </c>
      <c r="N20">
        <f t="shared" si="1"/>
        <v>461.67999999999995</v>
      </c>
      <c r="P20">
        <f t="shared" si="2"/>
        <v>4</v>
      </c>
      <c r="Q20">
        <f t="shared" si="3"/>
        <v>3.5</v>
      </c>
      <c r="R20">
        <f t="shared" si="4"/>
        <v>199</v>
      </c>
      <c r="S20">
        <f t="shared" si="5"/>
        <v>2.3199999999999998</v>
      </c>
    </row>
    <row r="21" spans="1:19">
      <c r="A21" t="s">
        <v>311</v>
      </c>
      <c r="B21" t="s">
        <v>312</v>
      </c>
      <c r="C21">
        <v>20171</v>
      </c>
      <c r="D21">
        <f>VLOOKUP(A21,[1]Worksheet!$A$2:$I$423,4,0)</f>
        <v>0</v>
      </c>
      <c r="E21">
        <f>VLOOKUP(A21,[1]Worksheet!$A$2:$I$423,5,0)</f>
        <v>0</v>
      </c>
      <c r="F21">
        <f>VLOOKUP(A21,[1]Worksheet!$A$2:$I$423,6,0)</f>
        <v>166</v>
      </c>
      <c r="G21">
        <f>VLOOKUP(A21,[1]Worksheet!$A$2:$I$423,7,0)</f>
        <v>2.66</v>
      </c>
      <c r="K21">
        <v>4</v>
      </c>
      <c r="M21">
        <f t="shared" si="0"/>
        <v>0</v>
      </c>
      <c r="N21">
        <f t="shared" si="1"/>
        <v>441.56</v>
      </c>
      <c r="P21">
        <f t="shared" si="2"/>
        <v>4</v>
      </c>
      <c r="Q21">
        <f t="shared" si="3"/>
        <v>0</v>
      </c>
      <c r="R21">
        <f t="shared" si="4"/>
        <v>170</v>
      </c>
      <c r="S21">
        <f t="shared" si="5"/>
        <v>2.5974117647058823</v>
      </c>
    </row>
    <row r="22" spans="1:19">
      <c r="A22" t="s">
        <v>197</v>
      </c>
      <c r="B22" t="s">
        <v>198</v>
      </c>
      <c r="C22">
        <v>20171</v>
      </c>
      <c r="D22">
        <f>VLOOKUP(A22,[1]Worksheet!$A$2:$I$423,4,0)</f>
        <v>11</v>
      </c>
      <c r="E22">
        <f>VLOOKUP(A22,[1]Worksheet!$A$2:$I$423,5,0)</f>
        <v>2.1800000000000002</v>
      </c>
      <c r="F22">
        <f>VLOOKUP(A22,[1]Worksheet!$A$2:$I$423,6,0)</f>
        <v>182</v>
      </c>
      <c r="G22">
        <f>VLOOKUP(A22,[1]Worksheet!$A$2:$I$423,7,0)</f>
        <v>2.17</v>
      </c>
      <c r="M22">
        <f t="shared" si="0"/>
        <v>23.98</v>
      </c>
      <c r="N22">
        <f t="shared" si="1"/>
        <v>394.94</v>
      </c>
      <c r="P22">
        <f t="shared" si="2"/>
        <v>11</v>
      </c>
      <c r="Q22">
        <f t="shared" si="3"/>
        <v>2.1800000000000002</v>
      </c>
      <c r="R22">
        <f t="shared" si="4"/>
        <v>182</v>
      </c>
      <c r="S22">
        <f t="shared" si="5"/>
        <v>2.17</v>
      </c>
    </row>
    <row r="23" spans="1:19">
      <c r="A23" t="s">
        <v>313</v>
      </c>
      <c r="B23" t="s">
        <v>314</v>
      </c>
      <c r="C23">
        <v>20171</v>
      </c>
      <c r="D23">
        <f>VLOOKUP(A23,[1]Worksheet!$A$2:$I$423,4,0)</f>
        <v>0</v>
      </c>
      <c r="E23">
        <f>VLOOKUP(A23,[1]Worksheet!$A$2:$I$423,5,0)</f>
        <v>0</v>
      </c>
      <c r="F23">
        <f>VLOOKUP(A23,[1]Worksheet!$A$2:$I$423,6,0)</f>
        <v>196</v>
      </c>
      <c r="G23">
        <f>VLOOKUP(A23,[1]Worksheet!$A$2:$I$423,7,0)</f>
        <v>2.42</v>
      </c>
      <c r="K23">
        <v>4</v>
      </c>
      <c r="M23">
        <f t="shared" si="0"/>
        <v>0</v>
      </c>
      <c r="N23">
        <f t="shared" si="1"/>
        <v>474.32</v>
      </c>
      <c r="P23">
        <f t="shared" si="2"/>
        <v>4</v>
      </c>
      <c r="Q23">
        <f t="shared" si="3"/>
        <v>0</v>
      </c>
      <c r="R23">
        <f t="shared" si="4"/>
        <v>200</v>
      </c>
      <c r="S23">
        <f t="shared" si="5"/>
        <v>2.3715999999999999</v>
      </c>
    </row>
    <row r="24" spans="1:19">
      <c r="A24" t="s">
        <v>315</v>
      </c>
      <c r="B24" t="s">
        <v>316</v>
      </c>
      <c r="C24">
        <v>20171</v>
      </c>
      <c r="D24">
        <f>VLOOKUP(A24,[1]Worksheet!$A$2:$I$423,4,0)</f>
        <v>0</v>
      </c>
      <c r="E24">
        <f>VLOOKUP(A24,[1]Worksheet!$A$2:$I$423,5,0)</f>
        <v>0</v>
      </c>
      <c r="F24">
        <f>VLOOKUP(A24,[1]Worksheet!$A$2:$I$423,6,0)</f>
        <v>177</v>
      </c>
      <c r="G24">
        <f>VLOOKUP(A24,[1]Worksheet!$A$2:$I$423,7,0)</f>
        <v>2.2999999999999998</v>
      </c>
      <c r="K24">
        <v>4</v>
      </c>
      <c r="M24">
        <f t="shared" si="0"/>
        <v>0</v>
      </c>
      <c r="N24">
        <f t="shared" si="1"/>
        <v>407.09999999999997</v>
      </c>
      <c r="P24">
        <f t="shared" si="2"/>
        <v>4</v>
      </c>
      <c r="Q24">
        <f t="shared" si="3"/>
        <v>0</v>
      </c>
      <c r="R24">
        <f t="shared" si="4"/>
        <v>181</v>
      </c>
      <c r="S24">
        <f t="shared" si="5"/>
        <v>2.2491712707182319</v>
      </c>
    </row>
    <row r="25" spans="1:19">
      <c r="A25" t="s">
        <v>317</v>
      </c>
      <c r="B25" t="s">
        <v>318</v>
      </c>
      <c r="C25">
        <v>20171</v>
      </c>
      <c r="D25">
        <f>VLOOKUP(A25,[1]Worksheet!$A$2:$I$423,4,0)</f>
        <v>0</v>
      </c>
      <c r="E25">
        <f>VLOOKUP(A25,[1]Worksheet!$A$2:$I$423,5,0)</f>
        <v>0</v>
      </c>
      <c r="F25">
        <f>VLOOKUP(A25,[1]Worksheet!$A$2:$I$423,6,0)</f>
        <v>160</v>
      </c>
      <c r="G25">
        <f>VLOOKUP(A25,[1]Worksheet!$A$2:$I$423,7,0)</f>
        <v>2.88</v>
      </c>
      <c r="K25">
        <v>4</v>
      </c>
      <c r="M25">
        <f t="shared" si="0"/>
        <v>0</v>
      </c>
      <c r="N25">
        <f t="shared" si="1"/>
        <v>460.79999999999995</v>
      </c>
      <c r="P25">
        <f t="shared" si="2"/>
        <v>4</v>
      </c>
      <c r="Q25">
        <f t="shared" si="3"/>
        <v>0</v>
      </c>
      <c r="R25">
        <f t="shared" si="4"/>
        <v>164</v>
      </c>
      <c r="S25">
        <f t="shared" si="5"/>
        <v>2.8097560975609754</v>
      </c>
    </row>
    <row r="26" spans="1:19">
      <c r="A26" t="s">
        <v>319</v>
      </c>
      <c r="B26" t="s">
        <v>320</v>
      </c>
      <c r="C26">
        <v>20171</v>
      </c>
      <c r="D26">
        <f>VLOOKUP(A26,[1]Worksheet!$A$2:$I$423,4,0)</f>
        <v>4</v>
      </c>
      <c r="E26">
        <f>VLOOKUP(A26,[1]Worksheet!$A$2:$I$423,5,0)</f>
        <v>4</v>
      </c>
      <c r="F26">
        <f>VLOOKUP(A26,[1]Worksheet!$A$2:$I$423,6,0)</f>
        <v>171</v>
      </c>
      <c r="G26">
        <f>VLOOKUP(A26,[1]Worksheet!$A$2:$I$423,7,0)</f>
        <v>2.5099999999999998</v>
      </c>
      <c r="M26">
        <f t="shared" si="0"/>
        <v>16</v>
      </c>
      <c r="N26">
        <f t="shared" si="1"/>
        <v>429.21</v>
      </c>
      <c r="P26">
        <f t="shared" si="2"/>
        <v>4</v>
      </c>
      <c r="Q26">
        <f t="shared" si="3"/>
        <v>4</v>
      </c>
      <c r="R26">
        <f t="shared" si="4"/>
        <v>171</v>
      </c>
      <c r="S26">
        <f t="shared" si="5"/>
        <v>2.5099999999999998</v>
      </c>
    </row>
    <row r="27" spans="1:19">
      <c r="A27" t="s">
        <v>321</v>
      </c>
      <c r="B27" t="s">
        <v>322</v>
      </c>
      <c r="C27">
        <v>20171</v>
      </c>
      <c r="D27">
        <f>VLOOKUP(A27,[1]Worksheet!$A$2:$I$423,4,0)</f>
        <v>4</v>
      </c>
      <c r="E27">
        <f>VLOOKUP(A27,[1]Worksheet!$A$2:$I$423,5,0)</f>
        <v>4</v>
      </c>
      <c r="F27">
        <f>VLOOKUP(A27,[1]Worksheet!$A$2:$I$423,6,0)</f>
        <v>174</v>
      </c>
      <c r="G27">
        <f>VLOOKUP(A27,[1]Worksheet!$A$2:$I$423,7,0)</f>
        <v>2.4900000000000002</v>
      </c>
      <c r="M27">
        <f t="shared" si="0"/>
        <v>16</v>
      </c>
      <c r="N27">
        <f t="shared" si="1"/>
        <v>433.26000000000005</v>
      </c>
      <c r="P27">
        <f t="shared" si="2"/>
        <v>4</v>
      </c>
      <c r="Q27">
        <f t="shared" si="3"/>
        <v>4</v>
      </c>
      <c r="R27">
        <f t="shared" si="4"/>
        <v>174</v>
      </c>
      <c r="S27">
        <f t="shared" si="5"/>
        <v>2.4900000000000002</v>
      </c>
    </row>
    <row r="28" spans="1:19">
      <c r="A28" t="s">
        <v>323</v>
      </c>
      <c r="B28" t="s">
        <v>324</v>
      </c>
      <c r="C28">
        <v>20171</v>
      </c>
      <c r="D28">
        <f>VLOOKUP(A28,[1]Worksheet!$A$2:$I$423,4,0)</f>
        <v>4</v>
      </c>
      <c r="E28">
        <f>VLOOKUP(A28,[1]Worksheet!$A$2:$I$423,5,0)</f>
        <v>4</v>
      </c>
      <c r="F28">
        <f>VLOOKUP(A28,[1]Worksheet!$A$2:$I$423,6,0)</f>
        <v>174</v>
      </c>
      <c r="G28">
        <f>VLOOKUP(A28,[1]Worksheet!$A$2:$I$423,7,0)</f>
        <v>2.79</v>
      </c>
      <c r="M28">
        <f t="shared" si="0"/>
        <v>16</v>
      </c>
      <c r="N28">
        <f t="shared" si="1"/>
        <v>485.46</v>
      </c>
      <c r="P28">
        <f t="shared" si="2"/>
        <v>4</v>
      </c>
      <c r="Q28">
        <f t="shared" si="3"/>
        <v>4</v>
      </c>
      <c r="R28">
        <f t="shared" si="4"/>
        <v>174</v>
      </c>
      <c r="S28">
        <f t="shared" si="5"/>
        <v>2.79</v>
      </c>
    </row>
    <row r="29" spans="1:19">
      <c r="A29" t="s">
        <v>97</v>
      </c>
      <c r="B29" t="s">
        <v>98</v>
      </c>
      <c r="C29">
        <v>20171</v>
      </c>
      <c r="D29">
        <f>VLOOKUP(A29,[1]Worksheet!$A$2:$I$423,4,0)</f>
        <v>7</v>
      </c>
      <c r="E29">
        <f>VLOOKUP(A29,[1]Worksheet!$A$2:$I$423,5,0)</f>
        <v>0</v>
      </c>
      <c r="F29">
        <f>VLOOKUP(A29,[1]Worksheet!$A$2:$I$423,6,0)</f>
        <v>159</v>
      </c>
      <c r="G29">
        <f>VLOOKUP(A29,[1]Worksheet!$A$2:$I$423,7,0)</f>
        <v>1.6</v>
      </c>
      <c r="M29">
        <f t="shared" si="0"/>
        <v>0</v>
      </c>
      <c r="N29">
        <f t="shared" si="1"/>
        <v>254.4</v>
      </c>
      <c r="P29">
        <f t="shared" si="2"/>
        <v>7</v>
      </c>
      <c r="Q29">
        <f t="shared" si="3"/>
        <v>0</v>
      </c>
      <c r="R29">
        <f t="shared" si="4"/>
        <v>159</v>
      </c>
      <c r="S29">
        <f t="shared" si="5"/>
        <v>1.6</v>
      </c>
    </row>
    <row r="30" spans="1:19">
      <c r="A30" t="s">
        <v>325</v>
      </c>
      <c r="B30" t="s">
        <v>326</v>
      </c>
      <c r="C30">
        <v>20171</v>
      </c>
      <c r="D30">
        <f>VLOOKUP(A30,[1]Worksheet!$A$2:$I$423,4,0)</f>
        <v>0</v>
      </c>
      <c r="E30">
        <f>VLOOKUP(A30,[1]Worksheet!$A$2:$I$423,5,0)</f>
        <v>0</v>
      </c>
      <c r="F30">
        <f>VLOOKUP(A30,[1]Worksheet!$A$2:$I$423,6,0)</f>
        <v>163</v>
      </c>
      <c r="G30">
        <f>VLOOKUP(A30,[1]Worksheet!$A$2:$I$423,7,0)</f>
        <v>2.62</v>
      </c>
      <c r="K30">
        <v>4</v>
      </c>
      <c r="M30">
        <f t="shared" si="0"/>
        <v>0</v>
      </c>
      <c r="N30">
        <f t="shared" si="1"/>
        <v>427.06</v>
      </c>
      <c r="P30">
        <f t="shared" si="2"/>
        <v>4</v>
      </c>
      <c r="Q30">
        <f t="shared" si="3"/>
        <v>0</v>
      </c>
      <c r="R30">
        <f t="shared" si="4"/>
        <v>167</v>
      </c>
      <c r="S30">
        <f t="shared" si="5"/>
        <v>2.5572455089820361</v>
      </c>
    </row>
    <row r="31" spans="1:19">
      <c r="A31" t="s">
        <v>327</v>
      </c>
      <c r="B31" t="s">
        <v>328</v>
      </c>
      <c r="C31">
        <v>20171</v>
      </c>
      <c r="D31">
        <f>VLOOKUP(A31,[1]Worksheet!$A$2:$I$423,4,0)</f>
        <v>4</v>
      </c>
      <c r="E31">
        <f>VLOOKUP(A31,[1]Worksheet!$A$2:$I$423,5,0)</f>
        <v>3.5</v>
      </c>
      <c r="F31">
        <f>VLOOKUP(A31,[1]Worksheet!$A$2:$I$423,6,0)</f>
        <v>160</v>
      </c>
      <c r="G31">
        <f>VLOOKUP(A31,[1]Worksheet!$A$2:$I$423,7,0)</f>
        <v>2.94</v>
      </c>
      <c r="M31">
        <f t="shared" si="0"/>
        <v>14</v>
      </c>
      <c r="N31">
        <f t="shared" si="1"/>
        <v>470.4</v>
      </c>
      <c r="P31">
        <f t="shared" si="2"/>
        <v>4</v>
      </c>
      <c r="Q31">
        <f t="shared" si="3"/>
        <v>3.5</v>
      </c>
      <c r="R31">
        <f t="shared" si="4"/>
        <v>160</v>
      </c>
      <c r="S31">
        <f t="shared" si="5"/>
        <v>2.94</v>
      </c>
    </row>
    <row r="32" spans="1:19">
      <c r="A32" t="s">
        <v>329</v>
      </c>
      <c r="B32" t="s">
        <v>330</v>
      </c>
      <c r="C32">
        <v>20171</v>
      </c>
      <c r="D32">
        <f>VLOOKUP(A32,[1]Worksheet!$A$2:$I$423,4,0)</f>
        <v>4</v>
      </c>
      <c r="E32">
        <f>VLOOKUP(A32,[1]Worksheet!$A$2:$I$423,5,0)</f>
        <v>3.5</v>
      </c>
      <c r="F32">
        <f>VLOOKUP(A32,[1]Worksheet!$A$2:$I$423,6,0)</f>
        <v>180</v>
      </c>
      <c r="G32">
        <f>VLOOKUP(A32,[1]Worksheet!$A$2:$I$423,7,0)</f>
        <v>2.36</v>
      </c>
      <c r="M32">
        <f t="shared" si="0"/>
        <v>14</v>
      </c>
      <c r="N32">
        <f t="shared" si="1"/>
        <v>424.79999999999995</v>
      </c>
      <c r="P32">
        <f t="shared" si="2"/>
        <v>4</v>
      </c>
      <c r="Q32">
        <f t="shared" si="3"/>
        <v>3.5</v>
      </c>
      <c r="R32">
        <f t="shared" si="4"/>
        <v>180</v>
      </c>
      <c r="S32">
        <f t="shared" si="5"/>
        <v>2.36</v>
      </c>
    </row>
    <row r="33" spans="1:19">
      <c r="A33" t="s">
        <v>331</v>
      </c>
      <c r="B33" t="s">
        <v>332</v>
      </c>
      <c r="C33">
        <v>20171</v>
      </c>
      <c r="D33">
        <f>VLOOKUP(A33,[1]Worksheet!$A$2:$I$423,4,0)</f>
        <v>4</v>
      </c>
      <c r="E33">
        <f>VLOOKUP(A33,[1]Worksheet!$A$2:$I$423,5,0)</f>
        <v>3.5</v>
      </c>
      <c r="F33">
        <f>VLOOKUP(A33,[1]Worksheet!$A$2:$I$423,6,0)</f>
        <v>191</v>
      </c>
      <c r="G33">
        <f>VLOOKUP(A33,[1]Worksheet!$A$2:$I$423,7,0)</f>
        <v>2.44</v>
      </c>
      <c r="M33">
        <f t="shared" si="0"/>
        <v>14</v>
      </c>
      <c r="N33">
        <f t="shared" si="1"/>
        <v>466.03999999999996</v>
      </c>
      <c r="P33">
        <f t="shared" si="2"/>
        <v>4</v>
      </c>
      <c r="Q33">
        <f t="shared" si="3"/>
        <v>3.5</v>
      </c>
      <c r="R33">
        <f t="shared" si="4"/>
        <v>191</v>
      </c>
      <c r="S33">
        <f t="shared" si="5"/>
        <v>2.44</v>
      </c>
    </row>
    <row r="34" spans="1:19">
      <c r="A34" t="s">
        <v>333</v>
      </c>
      <c r="B34" t="s">
        <v>334</v>
      </c>
      <c r="C34">
        <v>20171</v>
      </c>
      <c r="D34">
        <f>VLOOKUP(A34,[1]Worksheet!$A$2:$I$423,4,0)</f>
        <v>0</v>
      </c>
      <c r="E34">
        <f>VLOOKUP(A34,[1]Worksheet!$A$2:$I$423,5,0)</f>
        <v>0</v>
      </c>
      <c r="F34">
        <f>VLOOKUP(A34,[1]Worksheet!$A$2:$I$423,6,0)</f>
        <v>166</v>
      </c>
      <c r="G34">
        <f>VLOOKUP(A34,[1]Worksheet!$A$2:$I$423,7,0)</f>
        <v>2.75</v>
      </c>
      <c r="K34">
        <v>4</v>
      </c>
      <c r="M34">
        <f t="shared" si="0"/>
        <v>0</v>
      </c>
      <c r="N34">
        <f t="shared" si="1"/>
        <v>456.5</v>
      </c>
      <c r="P34">
        <f t="shared" si="2"/>
        <v>4</v>
      </c>
      <c r="Q34">
        <f t="shared" si="3"/>
        <v>0</v>
      </c>
      <c r="R34">
        <f t="shared" si="4"/>
        <v>170</v>
      </c>
      <c r="S34">
        <f t="shared" si="5"/>
        <v>2.6852941176470586</v>
      </c>
    </row>
    <row r="35" spans="1:19">
      <c r="A35" t="s">
        <v>177</v>
      </c>
      <c r="B35" t="s">
        <v>178</v>
      </c>
      <c r="C35">
        <v>20171</v>
      </c>
      <c r="D35">
        <f>VLOOKUP(A35,[1]Worksheet!$A$2:$I$423,4,0)</f>
        <v>15</v>
      </c>
      <c r="E35">
        <f>VLOOKUP(A35,[1]Worksheet!$A$2:$I$423,5,0)</f>
        <v>0</v>
      </c>
      <c r="F35">
        <f>VLOOKUP(A35,[1]Worksheet!$A$2:$I$423,6,0)</f>
        <v>192</v>
      </c>
      <c r="G35">
        <f>VLOOKUP(A35,[1]Worksheet!$A$2:$I$423,7,0)</f>
        <v>1.65</v>
      </c>
      <c r="K35">
        <v>9</v>
      </c>
      <c r="M35">
        <f t="shared" si="0"/>
        <v>0</v>
      </c>
      <c r="N35">
        <f t="shared" si="1"/>
        <v>316.79999999999995</v>
      </c>
      <c r="P35">
        <f t="shared" si="2"/>
        <v>24</v>
      </c>
      <c r="Q35">
        <f t="shared" si="3"/>
        <v>0</v>
      </c>
      <c r="R35">
        <f t="shared" si="4"/>
        <v>201</v>
      </c>
      <c r="S35">
        <f t="shared" si="5"/>
        <v>1.5761194029850745</v>
      </c>
    </row>
    <row r="36" spans="1:19">
      <c r="A36" t="s">
        <v>335</v>
      </c>
      <c r="B36" t="s">
        <v>336</v>
      </c>
      <c r="C36">
        <v>20171</v>
      </c>
      <c r="D36">
        <f>VLOOKUP(A36,[1]Worksheet!$A$2:$I$423,4,0)</f>
        <v>4</v>
      </c>
      <c r="E36">
        <f>VLOOKUP(A36,[1]Worksheet!$A$2:$I$423,5,0)</f>
        <v>3.5</v>
      </c>
      <c r="F36">
        <f>VLOOKUP(A36,[1]Worksheet!$A$2:$I$423,6,0)</f>
        <v>157</v>
      </c>
      <c r="G36">
        <f>VLOOKUP(A36,[1]Worksheet!$A$2:$I$423,7,0)</f>
        <v>3.12</v>
      </c>
      <c r="M36">
        <f t="shared" si="0"/>
        <v>14</v>
      </c>
      <c r="N36">
        <f t="shared" si="1"/>
        <v>489.84000000000003</v>
      </c>
      <c r="P36">
        <f t="shared" si="2"/>
        <v>4</v>
      </c>
      <c r="Q36">
        <f t="shared" si="3"/>
        <v>3.5</v>
      </c>
      <c r="R36">
        <f t="shared" si="4"/>
        <v>157</v>
      </c>
      <c r="S36">
        <f t="shared" si="5"/>
        <v>3.12</v>
      </c>
    </row>
    <row r="37" spans="1:19">
      <c r="A37" t="s">
        <v>102</v>
      </c>
      <c r="B37" t="s">
        <v>103</v>
      </c>
      <c r="C37">
        <v>20171</v>
      </c>
      <c r="D37">
        <f>VLOOKUP(A37,[1]Worksheet!$A$2:$I$423,4,0)</f>
        <v>6</v>
      </c>
      <c r="E37">
        <f>VLOOKUP(A37,[1]Worksheet!$A$2:$I$423,5,0)</f>
        <v>1.83</v>
      </c>
      <c r="F37">
        <f>VLOOKUP(A37,[1]Worksheet!$A$2:$I$423,6,0)</f>
        <v>177</v>
      </c>
      <c r="G37">
        <f>VLOOKUP(A37,[1]Worksheet!$A$2:$I$423,7,0)</f>
        <v>2.12</v>
      </c>
      <c r="K37">
        <v>4</v>
      </c>
      <c r="M37">
        <f t="shared" si="0"/>
        <v>10.98</v>
      </c>
      <c r="N37">
        <f t="shared" si="1"/>
        <v>375.24</v>
      </c>
      <c r="P37">
        <f t="shared" si="2"/>
        <v>10</v>
      </c>
      <c r="Q37">
        <f t="shared" si="3"/>
        <v>1.0980000000000001</v>
      </c>
      <c r="R37">
        <f t="shared" si="4"/>
        <v>181</v>
      </c>
      <c r="S37">
        <f t="shared" si="5"/>
        <v>2.0731491712707184</v>
      </c>
    </row>
    <row r="38" spans="1:19">
      <c r="A38" t="s">
        <v>337</v>
      </c>
      <c r="B38" t="s">
        <v>338</v>
      </c>
      <c r="C38">
        <v>20171</v>
      </c>
      <c r="D38">
        <f>VLOOKUP(A38,[1]Worksheet!$A$2:$I$423,4,0)</f>
        <v>0</v>
      </c>
      <c r="E38">
        <f>VLOOKUP(A38,[1]Worksheet!$A$2:$I$423,5,0)</f>
        <v>0</v>
      </c>
      <c r="F38">
        <f>VLOOKUP(A38,[1]Worksheet!$A$2:$I$423,6,0)</f>
        <v>206</v>
      </c>
      <c r="G38">
        <f>VLOOKUP(A38,[1]Worksheet!$A$2:$I$423,7,0)</f>
        <v>2.0499999999999998</v>
      </c>
      <c r="K38">
        <v>4</v>
      </c>
      <c r="M38">
        <f t="shared" si="0"/>
        <v>0</v>
      </c>
      <c r="N38">
        <f t="shared" si="1"/>
        <v>422.29999999999995</v>
      </c>
      <c r="P38">
        <f t="shared" si="2"/>
        <v>4</v>
      </c>
      <c r="Q38">
        <f t="shared" si="3"/>
        <v>0</v>
      </c>
      <c r="R38">
        <f t="shared" si="4"/>
        <v>210</v>
      </c>
      <c r="S38">
        <f t="shared" si="5"/>
        <v>2.0109523809523808</v>
      </c>
    </row>
    <row r="39" spans="1:19">
      <c r="A39" t="s">
        <v>146</v>
      </c>
      <c r="B39" t="s">
        <v>147</v>
      </c>
      <c r="C39">
        <v>20171</v>
      </c>
      <c r="D39">
        <f>VLOOKUP(A39,[1]Worksheet!$A$2:$I$423,4,0)</f>
        <v>24</v>
      </c>
      <c r="E39">
        <f>VLOOKUP(A39,[1]Worksheet!$A$2:$I$423,5,0)</f>
        <v>2.06</v>
      </c>
      <c r="F39">
        <f>VLOOKUP(A39,[1]Worksheet!$A$2:$I$423,6,0)</f>
        <v>155</v>
      </c>
      <c r="G39">
        <f>VLOOKUP(A39,[1]Worksheet!$A$2:$I$423,7,0)</f>
        <v>1.92</v>
      </c>
      <c r="M39">
        <f t="shared" si="0"/>
        <v>49.44</v>
      </c>
      <c r="N39">
        <f t="shared" si="1"/>
        <v>297.59999999999997</v>
      </c>
      <c r="P39">
        <f t="shared" si="2"/>
        <v>24</v>
      </c>
      <c r="Q39">
        <f t="shared" si="3"/>
        <v>2.06</v>
      </c>
      <c r="R39">
        <f t="shared" si="4"/>
        <v>155</v>
      </c>
      <c r="S39">
        <f t="shared" si="5"/>
        <v>1.9199999999999997</v>
      </c>
    </row>
    <row r="40" spans="1:19">
      <c r="A40" t="s">
        <v>339</v>
      </c>
      <c r="B40" t="s">
        <v>340</v>
      </c>
      <c r="C40">
        <v>20171</v>
      </c>
      <c r="D40">
        <f>VLOOKUP(A40,[1]Worksheet!$A$2:$I$423,4,0)</f>
        <v>0</v>
      </c>
      <c r="E40">
        <f>VLOOKUP(A40,[1]Worksheet!$A$2:$I$423,5,0)</f>
        <v>0</v>
      </c>
      <c r="F40">
        <f>VLOOKUP(A40,[1]Worksheet!$A$2:$I$423,6,0)</f>
        <v>159</v>
      </c>
      <c r="G40">
        <f>VLOOKUP(A40,[1]Worksheet!$A$2:$I$423,7,0)</f>
        <v>3.06</v>
      </c>
      <c r="K40">
        <v>4</v>
      </c>
      <c r="M40">
        <f t="shared" si="0"/>
        <v>0</v>
      </c>
      <c r="N40">
        <f t="shared" si="1"/>
        <v>486.54</v>
      </c>
      <c r="P40">
        <f t="shared" si="2"/>
        <v>4</v>
      </c>
      <c r="Q40">
        <f t="shared" si="3"/>
        <v>0</v>
      </c>
      <c r="R40">
        <f t="shared" si="4"/>
        <v>163</v>
      </c>
      <c r="S40">
        <f t="shared" si="5"/>
        <v>2.9849079754601227</v>
      </c>
    </row>
    <row r="41" spans="1:19">
      <c r="A41" t="s">
        <v>341</v>
      </c>
      <c r="B41" t="s">
        <v>342</v>
      </c>
      <c r="C41">
        <v>20171</v>
      </c>
      <c r="D41">
        <f>VLOOKUP(A41,[1]Worksheet!$A$2:$I$423,4,0)</f>
        <v>4</v>
      </c>
      <c r="E41">
        <f>VLOOKUP(A41,[1]Worksheet!$A$2:$I$423,5,0)</f>
        <v>4</v>
      </c>
      <c r="F41">
        <f>VLOOKUP(A41,[1]Worksheet!$A$2:$I$423,6,0)</f>
        <v>173</v>
      </c>
      <c r="G41">
        <f>VLOOKUP(A41,[1]Worksheet!$A$2:$I$423,7,0)</f>
        <v>2.4900000000000002</v>
      </c>
      <c r="M41">
        <f t="shared" si="0"/>
        <v>16</v>
      </c>
      <c r="N41">
        <f t="shared" si="1"/>
        <v>430.77000000000004</v>
      </c>
      <c r="P41">
        <f t="shared" si="2"/>
        <v>4</v>
      </c>
      <c r="Q41">
        <f t="shared" si="3"/>
        <v>4</v>
      </c>
      <c r="R41">
        <f t="shared" si="4"/>
        <v>173</v>
      </c>
      <c r="S41">
        <f t="shared" si="5"/>
        <v>2.4900000000000002</v>
      </c>
    </row>
    <row r="42" spans="1:19">
      <c r="A42" t="s">
        <v>343</v>
      </c>
      <c r="B42" t="s">
        <v>344</v>
      </c>
      <c r="C42">
        <v>20171</v>
      </c>
      <c r="D42">
        <f>VLOOKUP(A42,[1]Worksheet!$A$2:$I$423,4,0)</f>
        <v>2</v>
      </c>
      <c r="E42">
        <f>VLOOKUP(A42,[1]Worksheet!$A$2:$I$423,5,0)</f>
        <v>3.5</v>
      </c>
      <c r="F42">
        <f>VLOOKUP(A42,[1]Worksheet!$A$2:$I$423,6,0)</f>
        <v>188</v>
      </c>
      <c r="G42">
        <f>VLOOKUP(A42,[1]Worksheet!$A$2:$I$423,7,0)</f>
        <v>2.31</v>
      </c>
      <c r="K42">
        <v>4</v>
      </c>
      <c r="M42">
        <f t="shared" si="0"/>
        <v>7</v>
      </c>
      <c r="N42">
        <f t="shared" si="1"/>
        <v>434.28000000000003</v>
      </c>
      <c r="P42">
        <f t="shared" si="2"/>
        <v>6</v>
      </c>
      <c r="Q42">
        <f t="shared" si="3"/>
        <v>1.1666666666666667</v>
      </c>
      <c r="R42">
        <f t="shared" si="4"/>
        <v>192</v>
      </c>
      <c r="S42">
        <f t="shared" si="5"/>
        <v>2.2618750000000003</v>
      </c>
    </row>
    <row r="43" spans="1:19">
      <c r="A43" t="s">
        <v>345</v>
      </c>
      <c r="B43" t="s">
        <v>346</v>
      </c>
      <c r="C43">
        <v>20171</v>
      </c>
      <c r="D43">
        <f>VLOOKUP(A43,[1]Worksheet!$A$2:$I$423,4,0)</f>
        <v>4</v>
      </c>
      <c r="E43">
        <f>VLOOKUP(A43,[1]Worksheet!$A$2:$I$423,5,0)</f>
        <v>3.5</v>
      </c>
      <c r="F43">
        <f>VLOOKUP(A43,[1]Worksheet!$A$2:$I$423,6,0)</f>
        <v>170</v>
      </c>
      <c r="G43">
        <f>VLOOKUP(A43,[1]Worksheet!$A$2:$I$423,7,0)</f>
        <v>2.85</v>
      </c>
      <c r="M43">
        <f t="shared" si="0"/>
        <v>14</v>
      </c>
      <c r="N43">
        <f t="shared" si="1"/>
        <v>484.5</v>
      </c>
      <c r="P43">
        <f t="shared" si="2"/>
        <v>4</v>
      </c>
      <c r="Q43">
        <f t="shared" si="3"/>
        <v>3.5</v>
      </c>
      <c r="R43">
        <f t="shared" si="4"/>
        <v>170</v>
      </c>
      <c r="S43">
        <f t="shared" si="5"/>
        <v>2.85</v>
      </c>
    </row>
    <row r="44" spans="1:19">
      <c r="A44" t="s">
        <v>167</v>
      </c>
      <c r="B44" t="s">
        <v>168</v>
      </c>
      <c r="C44">
        <v>20171</v>
      </c>
      <c r="D44">
        <f>VLOOKUP(A44,[1]Worksheet!$A$2:$I$423,4,0)</f>
        <v>2</v>
      </c>
      <c r="E44">
        <f>VLOOKUP(A44,[1]Worksheet!$A$2:$I$423,5,0)</f>
        <v>0</v>
      </c>
      <c r="F44">
        <f>VLOOKUP(A44,[1]Worksheet!$A$2:$I$423,6,0)</f>
        <v>175</v>
      </c>
      <c r="G44">
        <f>VLOOKUP(A44,[1]Worksheet!$A$2:$I$423,7,0)</f>
        <v>2.5499999999999998</v>
      </c>
      <c r="K44">
        <v>4</v>
      </c>
      <c r="M44">
        <f t="shared" si="0"/>
        <v>0</v>
      </c>
      <c r="N44">
        <f t="shared" si="1"/>
        <v>446.24999999999994</v>
      </c>
      <c r="P44">
        <f t="shared" si="2"/>
        <v>6</v>
      </c>
      <c r="Q44">
        <f t="shared" si="3"/>
        <v>0</v>
      </c>
      <c r="R44">
        <f t="shared" si="4"/>
        <v>179</v>
      </c>
      <c r="S44">
        <f t="shared" si="5"/>
        <v>2.4930167597765358</v>
      </c>
    </row>
    <row r="45" spans="1:19">
      <c r="A45" t="s">
        <v>171</v>
      </c>
      <c r="B45" t="s">
        <v>172</v>
      </c>
      <c r="C45">
        <v>20171</v>
      </c>
      <c r="D45">
        <f>VLOOKUP(A45,[1]Worksheet!$A$2:$I$423,4,0)</f>
        <v>4</v>
      </c>
      <c r="E45">
        <f>VLOOKUP(A45,[1]Worksheet!$A$2:$I$423,5,0)</f>
        <v>1.75</v>
      </c>
      <c r="F45">
        <f>VLOOKUP(A45,[1]Worksheet!$A$2:$I$423,6,0)</f>
        <v>178</v>
      </c>
      <c r="G45">
        <f>VLOOKUP(A45,[1]Worksheet!$A$2:$I$423,7,0)</f>
        <v>2.34</v>
      </c>
      <c r="K45">
        <v>4</v>
      </c>
      <c r="M45">
        <f t="shared" si="0"/>
        <v>7</v>
      </c>
      <c r="N45">
        <f t="shared" si="1"/>
        <v>416.52</v>
      </c>
      <c r="P45">
        <f t="shared" si="2"/>
        <v>8</v>
      </c>
      <c r="Q45">
        <f t="shared" si="3"/>
        <v>0.875</v>
      </c>
      <c r="R45">
        <f t="shared" si="4"/>
        <v>182</v>
      </c>
      <c r="S45">
        <f t="shared" si="5"/>
        <v>2.2885714285714283</v>
      </c>
    </row>
    <row r="46" spans="1:19">
      <c r="A46" t="s">
        <v>347</v>
      </c>
      <c r="B46" t="s">
        <v>348</v>
      </c>
      <c r="C46">
        <v>20171</v>
      </c>
      <c r="D46">
        <f>VLOOKUP(A46,[1]Worksheet!$A$2:$I$423,4,0)</f>
        <v>0</v>
      </c>
      <c r="E46">
        <f>VLOOKUP(A46,[1]Worksheet!$A$2:$I$423,5,0)</f>
        <v>0</v>
      </c>
      <c r="F46">
        <f>VLOOKUP(A46,[1]Worksheet!$A$2:$I$423,6,0)</f>
        <v>172</v>
      </c>
      <c r="G46">
        <f>VLOOKUP(A46,[1]Worksheet!$A$2:$I$423,7,0)</f>
        <v>2.62</v>
      </c>
      <c r="K46">
        <v>4</v>
      </c>
      <c r="M46">
        <f t="shared" si="0"/>
        <v>0</v>
      </c>
      <c r="N46">
        <f t="shared" si="1"/>
        <v>450.64000000000004</v>
      </c>
      <c r="P46">
        <f t="shared" si="2"/>
        <v>4</v>
      </c>
      <c r="Q46">
        <f t="shared" si="3"/>
        <v>0</v>
      </c>
      <c r="R46">
        <f t="shared" si="4"/>
        <v>176</v>
      </c>
      <c r="S46">
        <f t="shared" si="5"/>
        <v>2.5604545454545455</v>
      </c>
    </row>
    <row r="47" spans="1:19">
      <c r="A47" t="s">
        <v>349</v>
      </c>
      <c r="B47" t="s">
        <v>350</v>
      </c>
      <c r="C47">
        <v>20171</v>
      </c>
      <c r="D47">
        <f>VLOOKUP(A47,[1]Worksheet!$A$2:$I$423,4,0)</f>
        <v>0</v>
      </c>
      <c r="E47">
        <f>VLOOKUP(A47,[1]Worksheet!$A$2:$I$423,5,0)</f>
        <v>0</v>
      </c>
      <c r="F47">
        <f>VLOOKUP(A47,[1]Worksheet!$A$2:$I$423,6,0)</f>
        <v>187</v>
      </c>
      <c r="G47">
        <f>VLOOKUP(A47,[1]Worksheet!$A$2:$I$423,7,0)</f>
        <v>2.59</v>
      </c>
      <c r="K47">
        <v>4</v>
      </c>
      <c r="M47">
        <f t="shared" si="0"/>
        <v>0</v>
      </c>
      <c r="N47">
        <f t="shared" si="1"/>
        <v>484.33</v>
      </c>
      <c r="P47">
        <f t="shared" si="2"/>
        <v>4</v>
      </c>
      <c r="Q47">
        <f t="shared" si="3"/>
        <v>0</v>
      </c>
      <c r="R47">
        <f t="shared" si="4"/>
        <v>191</v>
      </c>
      <c r="S47">
        <f t="shared" si="5"/>
        <v>2.5357591623036648</v>
      </c>
    </row>
    <row r="48" spans="1:19">
      <c r="A48" t="s">
        <v>351</v>
      </c>
      <c r="B48" t="s">
        <v>352</v>
      </c>
      <c r="C48">
        <v>20171</v>
      </c>
      <c r="D48">
        <f>VLOOKUP(A48,[1]Worksheet!$A$2:$I$423,4,0)</f>
        <v>0</v>
      </c>
      <c r="E48">
        <f>VLOOKUP(A48,[1]Worksheet!$A$2:$I$423,5,0)</f>
        <v>0</v>
      </c>
      <c r="F48">
        <f>VLOOKUP(A48,[1]Worksheet!$A$2:$I$423,6,0)</f>
        <v>172</v>
      </c>
      <c r="G48">
        <f>VLOOKUP(A48,[1]Worksheet!$A$2:$I$423,7,0)</f>
        <v>2.67</v>
      </c>
      <c r="K48">
        <v>4</v>
      </c>
      <c r="M48">
        <f t="shared" si="0"/>
        <v>0</v>
      </c>
      <c r="N48">
        <f t="shared" si="1"/>
        <v>459.24</v>
      </c>
      <c r="P48">
        <f t="shared" si="2"/>
        <v>4</v>
      </c>
      <c r="Q48">
        <f t="shared" si="3"/>
        <v>0</v>
      </c>
      <c r="R48">
        <f t="shared" si="4"/>
        <v>176</v>
      </c>
      <c r="S48">
        <f t="shared" si="5"/>
        <v>2.6093181818181819</v>
      </c>
    </row>
    <row r="49" spans="1:19">
      <c r="A49" t="s">
        <v>104</v>
      </c>
      <c r="B49" t="s">
        <v>105</v>
      </c>
      <c r="C49">
        <v>20171</v>
      </c>
      <c r="D49">
        <f>VLOOKUP(A49,[1]Worksheet!$A$2:$I$423,4,0)</f>
        <v>9</v>
      </c>
      <c r="E49">
        <f>VLOOKUP(A49,[1]Worksheet!$A$2:$I$423,5,0)</f>
        <v>2.83</v>
      </c>
      <c r="F49">
        <f>VLOOKUP(A49,[1]Worksheet!$A$2:$I$423,6,0)</f>
        <v>186</v>
      </c>
      <c r="G49">
        <f>VLOOKUP(A49,[1]Worksheet!$A$2:$I$423,7,0)</f>
        <v>2.11</v>
      </c>
      <c r="K49">
        <v>4</v>
      </c>
      <c r="M49">
        <f t="shared" si="0"/>
        <v>25.47</v>
      </c>
      <c r="N49">
        <f t="shared" si="1"/>
        <v>392.46</v>
      </c>
      <c r="P49">
        <f t="shared" si="2"/>
        <v>13</v>
      </c>
      <c r="Q49">
        <f t="shared" si="3"/>
        <v>1.9592307692307691</v>
      </c>
      <c r="R49">
        <f t="shared" si="4"/>
        <v>190</v>
      </c>
      <c r="S49">
        <f t="shared" si="5"/>
        <v>2.065578947368421</v>
      </c>
    </row>
    <row r="50" spans="1:19">
      <c r="A50" t="s">
        <v>353</v>
      </c>
      <c r="B50" t="s">
        <v>354</v>
      </c>
      <c r="C50">
        <v>20171</v>
      </c>
      <c r="D50">
        <f>VLOOKUP(A50,[1]Worksheet!$A$2:$I$423,4,0)</f>
        <v>0</v>
      </c>
      <c r="E50">
        <f>VLOOKUP(A50,[1]Worksheet!$A$2:$I$423,5,0)</f>
        <v>0</v>
      </c>
      <c r="F50">
        <f>VLOOKUP(A50,[1]Worksheet!$A$2:$I$423,6,0)</f>
        <v>172</v>
      </c>
      <c r="G50">
        <f>VLOOKUP(A50,[1]Worksheet!$A$2:$I$423,7,0)</f>
        <v>2.6</v>
      </c>
      <c r="K50">
        <v>4</v>
      </c>
      <c r="M50">
        <f t="shared" si="0"/>
        <v>0</v>
      </c>
      <c r="N50">
        <f t="shared" si="1"/>
        <v>447.2</v>
      </c>
      <c r="P50">
        <f t="shared" si="2"/>
        <v>4</v>
      </c>
      <c r="Q50">
        <f t="shared" si="3"/>
        <v>0</v>
      </c>
      <c r="R50">
        <f t="shared" si="4"/>
        <v>176</v>
      </c>
      <c r="S50">
        <f t="shared" si="5"/>
        <v>2.540909090909091</v>
      </c>
    </row>
    <row r="51" spans="1:19">
      <c r="A51" t="s">
        <v>355</v>
      </c>
      <c r="B51" t="s">
        <v>356</v>
      </c>
      <c r="C51">
        <v>20171</v>
      </c>
      <c r="D51">
        <f>VLOOKUP(A51,[1]Worksheet!$A$2:$I$423,4,0)</f>
        <v>4</v>
      </c>
      <c r="E51">
        <f>VLOOKUP(A51,[1]Worksheet!$A$2:$I$423,5,0)</f>
        <v>4</v>
      </c>
      <c r="F51">
        <f>VLOOKUP(A51,[1]Worksheet!$A$2:$I$423,6,0)</f>
        <v>189</v>
      </c>
      <c r="G51">
        <f>VLOOKUP(A51,[1]Worksheet!$A$2:$I$423,7,0)</f>
        <v>2.61</v>
      </c>
      <c r="M51">
        <f t="shared" si="0"/>
        <v>16</v>
      </c>
      <c r="N51">
        <f t="shared" si="1"/>
        <v>493.28999999999996</v>
      </c>
      <c r="P51">
        <f t="shared" si="2"/>
        <v>4</v>
      </c>
      <c r="Q51">
        <f t="shared" si="3"/>
        <v>4</v>
      </c>
      <c r="R51">
        <f t="shared" si="4"/>
        <v>189</v>
      </c>
      <c r="S51">
        <f t="shared" si="5"/>
        <v>2.61</v>
      </c>
    </row>
    <row r="52" spans="1:19">
      <c r="A52" t="s">
        <v>10</v>
      </c>
      <c r="B52" t="s">
        <v>11</v>
      </c>
      <c r="C52">
        <v>20171</v>
      </c>
      <c r="D52">
        <f>VLOOKUP(A52,[1]Worksheet!$A$2:$I$423,4,0)</f>
        <v>5</v>
      </c>
      <c r="E52">
        <f>VLOOKUP(A52,[1]Worksheet!$A$2:$I$423,5,0)</f>
        <v>0</v>
      </c>
      <c r="F52">
        <f>VLOOKUP(A52,[1]Worksheet!$A$2:$I$423,6,0)</f>
        <v>205</v>
      </c>
      <c r="G52">
        <f>VLOOKUP(A52,[1]Worksheet!$A$2:$I$423,7,0)</f>
        <v>2.2000000000000002</v>
      </c>
      <c r="K52">
        <v>4</v>
      </c>
      <c r="M52">
        <f t="shared" si="0"/>
        <v>0</v>
      </c>
      <c r="N52">
        <f t="shared" si="1"/>
        <v>451.00000000000006</v>
      </c>
      <c r="P52">
        <f t="shared" si="2"/>
        <v>9</v>
      </c>
      <c r="Q52">
        <f t="shared" si="3"/>
        <v>0</v>
      </c>
      <c r="R52">
        <f t="shared" si="4"/>
        <v>209</v>
      </c>
      <c r="S52">
        <f t="shared" si="5"/>
        <v>2.1578947368421058</v>
      </c>
    </row>
    <row r="53" spans="1:19">
      <c r="A53" t="s">
        <v>249</v>
      </c>
      <c r="B53" t="s">
        <v>250</v>
      </c>
      <c r="C53">
        <v>20171</v>
      </c>
      <c r="D53">
        <f>VLOOKUP(A53,[1]Worksheet!$A$2:$I$423,4,0)</f>
        <v>6</v>
      </c>
      <c r="E53">
        <f>VLOOKUP(A53,[1]Worksheet!$A$2:$I$423,5,0)</f>
        <v>2.67</v>
      </c>
      <c r="F53">
        <f>VLOOKUP(A53,[1]Worksheet!$A$2:$I$423,6,0)</f>
        <v>190</v>
      </c>
      <c r="G53">
        <f>VLOOKUP(A53,[1]Worksheet!$A$2:$I$423,7,0)</f>
        <v>1.98</v>
      </c>
      <c r="K53">
        <v>4</v>
      </c>
      <c r="M53">
        <f t="shared" si="0"/>
        <v>16.02</v>
      </c>
      <c r="N53">
        <f t="shared" si="1"/>
        <v>376.2</v>
      </c>
      <c r="P53">
        <f t="shared" si="2"/>
        <v>10</v>
      </c>
      <c r="Q53">
        <f t="shared" si="3"/>
        <v>1.6019999999999999</v>
      </c>
      <c r="R53">
        <f t="shared" si="4"/>
        <v>194</v>
      </c>
      <c r="S53">
        <f t="shared" si="5"/>
        <v>1.9391752577319588</v>
      </c>
    </row>
    <row r="54" spans="1:19">
      <c r="A54" t="s">
        <v>357</v>
      </c>
      <c r="B54" t="s">
        <v>358</v>
      </c>
      <c r="C54">
        <v>20171</v>
      </c>
      <c r="D54">
        <f>VLOOKUP(A54,[1]Worksheet!$A$2:$I$423,4,0)</f>
        <v>0</v>
      </c>
      <c r="E54">
        <f>VLOOKUP(A54,[1]Worksheet!$A$2:$I$423,5,0)</f>
        <v>0</v>
      </c>
      <c r="F54">
        <f>VLOOKUP(A54,[1]Worksheet!$A$2:$I$423,6,0)</f>
        <v>170</v>
      </c>
      <c r="G54">
        <f>VLOOKUP(A54,[1]Worksheet!$A$2:$I$423,7,0)</f>
        <v>2.77</v>
      </c>
      <c r="K54">
        <v>4</v>
      </c>
      <c r="M54">
        <f t="shared" si="0"/>
        <v>0</v>
      </c>
      <c r="N54">
        <f t="shared" si="1"/>
        <v>470.9</v>
      </c>
      <c r="P54">
        <f t="shared" si="2"/>
        <v>4</v>
      </c>
      <c r="Q54">
        <f t="shared" si="3"/>
        <v>0</v>
      </c>
      <c r="R54">
        <f t="shared" si="4"/>
        <v>174</v>
      </c>
      <c r="S54">
        <f t="shared" si="5"/>
        <v>2.7063218390804598</v>
      </c>
    </row>
    <row r="55" spans="1:19">
      <c r="A55" t="s">
        <v>359</v>
      </c>
      <c r="B55" t="s">
        <v>360</v>
      </c>
      <c r="C55">
        <v>20171</v>
      </c>
      <c r="D55">
        <f>VLOOKUP(A55,[1]Worksheet!$A$2:$I$423,4,0)</f>
        <v>4</v>
      </c>
      <c r="E55">
        <f>VLOOKUP(A55,[1]Worksheet!$A$2:$I$423,5,0)</f>
        <v>4</v>
      </c>
      <c r="F55">
        <f>VLOOKUP(A55,[1]Worksheet!$A$2:$I$423,6,0)</f>
        <v>179</v>
      </c>
      <c r="G55">
        <f>VLOOKUP(A55,[1]Worksheet!$A$2:$I$423,7,0)</f>
        <v>2.48</v>
      </c>
      <c r="M55">
        <f t="shared" si="0"/>
        <v>16</v>
      </c>
      <c r="N55">
        <f t="shared" si="1"/>
        <v>443.92</v>
      </c>
      <c r="P55">
        <f t="shared" si="2"/>
        <v>4</v>
      </c>
      <c r="Q55">
        <f t="shared" si="3"/>
        <v>4</v>
      </c>
      <c r="R55">
        <f t="shared" si="4"/>
        <v>179</v>
      </c>
      <c r="S55">
        <f t="shared" si="5"/>
        <v>2.48</v>
      </c>
    </row>
    <row r="56" spans="1:19">
      <c r="A56" t="s">
        <v>361</v>
      </c>
      <c r="B56" t="s">
        <v>362</v>
      </c>
      <c r="C56">
        <v>20171</v>
      </c>
      <c r="D56">
        <f>VLOOKUP(A56,[1]Worksheet!$A$2:$I$423,4,0)</f>
        <v>4</v>
      </c>
      <c r="E56">
        <f>VLOOKUP(A56,[1]Worksheet!$A$2:$I$423,5,0)</f>
        <v>3.5</v>
      </c>
      <c r="F56">
        <f>VLOOKUP(A56,[1]Worksheet!$A$2:$I$423,6,0)</f>
        <v>177</v>
      </c>
      <c r="G56">
        <f>VLOOKUP(A56,[1]Worksheet!$A$2:$I$423,7,0)</f>
        <v>2.5</v>
      </c>
      <c r="M56">
        <f t="shared" si="0"/>
        <v>14</v>
      </c>
      <c r="N56">
        <f t="shared" si="1"/>
        <v>442.5</v>
      </c>
      <c r="P56">
        <f t="shared" si="2"/>
        <v>4</v>
      </c>
      <c r="Q56">
        <f t="shared" si="3"/>
        <v>3.5</v>
      </c>
      <c r="R56">
        <f t="shared" si="4"/>
        <v>177</v>
      </c>
      <c r="S56">
        <f t="shared" si="5"/>
        <v>2.5</v>
      </c>
    </row>
    <row r="57" spans="1:19">
      <c r="A57" t="s">
        <v>363</v>
      </c>
      <c r="B57" t="s">
        <v>364</v>
      </c>
      <c r="C57">
        <v>20171</v>
      </c>
      <c r="D57">
        <f>VLOOKUP(A57,[1]Worksheet!$A$2:$I$423,4,0)</f>
        <v>0</v>
      </c>
      <c r="E57">
        <f>VLOOKUP(A57,[1]Worksheet!$A$2:$I$423,5,0)</f>
        <v>0</v>
      </c>
      <c r="F57">
        <f>VLOOKUP(A57,[1]Worksheet!$A$2:$I$423,6,0)</f>
        <v>177</v>
      </c>
      <c r="G57">
        <f>VLOOKUP(A57,[1]Worksheet!$A$2:$I$423,7,0)</f>
        <v>2.4900000000000002</v>
      </c>
      <c r="K57">
        <v>4</v>
      </c>
      <c r="M57">
        <f t="shared" si="0"/>
        <v>0</v>
      </c>
      <c r="N57">
        <f t="shared" si="1"/>
        <v>440.73</v>
      </c>
      <c r="P57">
        <f t="shared" si="2"/>
        <v>4</v>
      </c>
      <c r="Q57">
        <f t="shared" si="3"/>
        <v>0</v>
      </c>
      <c r="R57">
        <f t="shared" si="4"/>
        <v>181</v>
      </c>
      <c r="S57">
        <f t="shared" si="5"/>
        <v>2.4349723756906076</v>
      </c>
    </row>
    <row r="58" spans="1:19">
      <c r="A58" t="s">
        <v>365</v>
      </c>
      <c r="B58" t="s">
        <v>366</v>
      </c>
      <c r="C58">
        <v>20171</v>
      </c>
      <c r="D58">
        <f>VLOOKUP(A58,[1]Worksheet!$A$2:$I$423,4,0)</f>
        <v>4</v>
      </c>
      <c r="E58">
        <f>VLOOKUP(A58,[1]Worksheet!$A$2:$I$423,5,0)</f>
        <v>4</v>
      </c>
      <c r="F58">
        <f>VLOOKUP(A58,[1]Worksheet!$A$2:$I$423,6,0)</f>
        <v>160</v>
      </c>
      <c r="G58">
        <f>VLOOKUP(A58,[1]Worksheet!$A$2:$I$423,7,0)</f>
        <v>3.01</v>
      </c>
      <c r="M58">
        <f t="shared" si="0"/>
        <v>16</v>
      </c>
      <c r="N58">
        <f t="shared" si="1"/>
        <v>481.59999999999997</v>
      </c>
      <c r="P58">
        <f t="shared" si="2"/>
        <v>4</v>
      </c>
      <c r="Q58">
        <f t="shared" si="3"/>
        <v>4</v>
      </c>
      <c r="R58">
        <f t="shared" si="4"/>
        <v>160</v>
      </c>
      <c r="S58">
        <f t="shared" si="5"/>
        <v>3.01</v>
      </c>
    </row>
    <row r="59" spans="1:19">
      <c r="A59" t="s">
        <v>106</v>
      </c>
      <c r="B59" t="s">
        <v>107</v>
      </c>
      <c r="C59">
        <v>20171</v>
      </c>
      <c r="D59">
        <f>VLOOKUP(A59,[1]Worksheet!$A$2:$I$423,4,0)</f>
        <v>17</v>
      </c>
      <c r="E59">
        <f>VLOOKUP(A59,[1]Worksheet!$A$2:$I$423,5,0)</f>
        <v>1.56</v>
      </c>
      <c r="F59">
        <f>VLOOKUP(A59,[1]Worksheet!$A$2:$I$423,6,0)</f>
        <v>193</v>
      </c>
      <c r="G59">
        <f>VLOOKUP(A59,[1]Worksheet!$A$2:$I$423,7,0)</f>
        <v>2.5</v>
      </c>
      <c r="M59">
        <f t="shared" si="0"/>
        <v>26.52</v>
      </c>
      <c r="N59">
        <f t="shared" si="1"/>
        <v>482.5</v>
      </c>
      <c r="P59">
        <f t="shared" si="2"/>
        <v>17</v>
      </c>
      <c r="Q59">
        <f t="shared" si="3"/>
        <v>1.56</v>
      </c>
      <c r="R59">
        <f t="shared" si="4"/>
        <v>193</v>
      </c>
      <c r="S59">
        <f t="shared" si="5"/>
        <v>2.5</v>
      </c>
    </row>
    <row r="60" spans="1:19">
      <c r="A60" t="s">
        <v>151</v>
      </c>
      <c r="B60" t="s">
        <v>152</v>
      </c>
      <c r="C60">
        <v>20171</v>
      </c>
      <c r="D60">
        <f>VLOOKUP(A60,[1]Worksheet!$A$2:$I$423,4,0)</f>
        <v>15</v>
      </c>
      <c r="E60">
        <f>VLOOKUP(A60,[1]Worksheet!$A$2:$I$423,5,0)</f>
        <v>2.87</v>
      </c>
      <c r="F60">
        <f>VLOOKUP(A60,[1]Worksheet!$A$2:$I$423,6,0)</f>
        <v>150</v>
      </c>
      <c r="G60">
        <f>VLOOKUP(A60,[1]Worksheet!$A$2:$I$423,7,0)</f>
        <v>1.93</v>
      </c>
      <c r="M60">
        <f t="shared" si="0"/>
        <v>43.050000000000004</v>
      </c>
      <c r="N60">
        <f t="shared" si="1"/>
        <v>289.5</v>
      </c>
      <c r="P60">
        <f t="shared" si="2"/>
        <v>15</v>
      </c>
      <c r="Q60">
        <f t="shared" si="3"/>
        <v>2.87</v>
      </c>
      <c r="R60">
        <f t="shared" si="4"/>
        <v>150</v>
      </c>
      <c r="S60">
        <f t="shared" si="5"/>
        <v>1.93</v>
      </c>
    </row>
    <row r="61" spans="1:19">
      <c r="A61" t="s">
        <v>367</v>
      </c>
      <c r="B61" t="s">
        <v>368</v>
      </c>
      <c r="C61">
        <v>20171</v>
      </c>
      <c r="D61">
        <f>VLOOKUP(A61,[1]Worksheet!$A$2:$I$423,4,0)</f>
        <v>4</v>
      </c>
      <c r="E61">
        <f>VLOOKUP(A61,[1]Worksheet!$A$2:$I$423,5,0)</f>
        <v>4</v>
      </c>
      <c r="F61">
        <f>VLOOKUP(A61,[1]Worksheet!$A$2:$I$423,6,0)</f>
        <v>151</v>
      </c>
      <c r="G61">
        <f>VLOOKUP(A61,[1]Worksheet!$A$2:$I$423,7,0)</f>
        <v>3.04</v>
      </c>
      <c r="M61">
        <f t="shared" si="0"/>
        <v>16</v>
      </c>
      <c r="N61">
        <f t="shared" si="1"/>
        <v>459.04</v>
      </c>
      <c r="P61">
        <f t="shared" si="2"/>
        <v>4</v>
      </c>
      <c r="Q61">
        <f t="shared" si="3"/>
        <v>4</v>
      </c>
      <c r="R61">
        <f t="shared" si="4"/>
        <v>151</v>
      </c>
      <c r="S61">
        <f t="shared" si="5"/>
        <v>3.04</v>
      </c>
    </row>
    <row r="62" spans="1:19">
      <c r="A62" t="s">
        <v>108</v>
      </c>
      <c r="B62" t="s">
        <v>109</v>
      </c>
      <c r="C62">
        <v>20171</v>
      </c>
      <c r="D62">
        <f>VLOOKUP(A62,[1]Worksheet!$A$2:$I$423,4,0)</f>
        <v>4</v>
      </c>
      <c r="E62">
        <f>VLOOKUP(A62,[1]Worksheet!$A$2:$I$423,5,0)</f>
        <v>0</v>
      </c>
      <c r="F62">
        <f>VLOOKUP(A62,[1]Worksheet!$A$2:$I$423,6,0)</f>
        <v>178</v>
      </c>
      <c r="G62">
        <f>VLOOKUP(A62,[1]Worksheet!$A$2:$I$423,7,0)</f>
        <v>2.44</v>
      </c>
      <c r="K62">
        <v>4</v>
      </c>
      <c r="M62">
        <f t="shared" si="0"/>
        <v>0</v>
      </c>
      <c r="N62">
        <f t="shared" si="1"/>
        <v>434.32</v>
      </c>
      <c r="P62">
        <f t="shared" si="2"/>
        <v>8</v>
      </c>
      <c r="Q62">
        <f t="shared" si="3"/>
        <v>0</v>
      </c>
      <c r="R62">
        <f t="shared" si="4"/>
        <v>182</v>
      </c>
      <c r="S62">
        <f t="shared" si="5"/>
        <v>2.3863736263736262</v>
      </c>
    </row>
    <row r="63" spans="1:19">
      <c r="A63" t="s">
        <v>110</v>
      </c>
      <c r="B63" t="s">
        <v>111</v>
      </c>
      <c r="C63">
        <v>20171</v>
      </c>
      <c r="D63">
        <f>VLOOKUP(A63,[1]Worksheet!$A$2:$I$423,4,0)</f>
        <v>12</v>
      </c>
      <c r="E63">
        <f>VLOOKUP(A63,[1]Worksheet!$A$2:$I$423,5,0)</f>
        <v>2.46</v>
      </c>
      <c r="F63">
        <f>VLOOKUP(A63,[1]Worksheet!$A$2:$I$423,6,0)</f>
        <v>169</v>
      </c>
      <c r="G63">
        <f>VLOOKUP(A63,[1]Worksheet!$A$2:$I$423,7,0)</f>
        <v>1.91</v>
      </c>
      <c r="K63">
        <v>4</v>
      </c>
      <c r="M63">
        <f t="shared" si="0"/>
        <v>29.52</v>
      </c>
      <c r="N63">
        <f t="shared" si="1"/>
        <v>322.78999999999996</v>
      </c>
      <c r="P63">
        <f t="shared" si="2"/>
        <v>16</v>
      </c>
      <c r="Q63">
        <f t="shared" si="3"/>
        <v>1.845</v>
      </c>
      <c r="R63">
        <f t="shared" si="4"/>
        <v>173</v>
      </c>
      <c r="S63">
        <f t="shared" si="5"/>
        <v>1.8658381502890171</v>
      </c>
    </row>
    <row r="64" spans="1:19">
      <c r="A64" t="s">
        <v>251</v>
      </c>
      <c r="B64" t="s">
        <v>252</v>
      </c>
      <c r="C64">
        <v>20171</v>
      </c>
      <c r="D64">
        <f>VLOOKUP(A64,[1]Worksheet!$A$2:$I$423,4,0)</f>
        <v>2</v>
      </c>
      <c r="E64">
        <f>VLOOKUP(A64,[1]Worksheet!$A$2:$I$423,5,0)</f>
        <v>3.5</v>
      </c>
      <c r="F64">
        <f>VLOOKUP(A64,[1]Worksheet!$A$2:$I$423,6,0)</f>
        <v>176</v>
      </c>
      <c r="G64">
        <f>VLOOKUP(A64,[1]Worksheet!$A$2:$I$423,7,0)</f>
        <v>2.8</v>
      </c>
      <c r="K64">
        <v>4</v>
      </c>
      <c r="M64">
        <f t="shared" si="0"/>
        <v>7</v>
      </c>
      <c r="N64">
        <f t="shared" si="1"/>
        <v>492.79999999999995</v>
      </c>
      <c r="P64">
        <f t="shared" si="2"/>
        <v>6</v>
      </c>
      <c r="Q64">
        <f t="shared" si="3"/>
        <v>1.1666666666666667</v>
      </c>
      <c r="R64">
        <f t="shared" si="4"/>
        <v>180</v>
      </c>
      <c r="S64">
        <f t="shared" si="5"/>
        <v>2.7377777777777776</v>
      </c>
    </row>
    <row r="65" spans="1:19">
      <c r="A65" t="s">
        <v>369</v>
      </c>
      <c r="B65" t="s">
        <v>370</v>
      </c>
      <c r="C65">
        <v>20171</v>
      </c>
      <c r="D65">
        <f>VLOOKUP(A65,[1]Worksheet!$A$2:$I$423,4,0)</f>
        <v>0</v>
      </c>
      <c r="E65">
        <f>VLOOKUP(A65,[1]Worksheet!$A$2:$I$423,5,0)</f>
        <v>0</v>
      </c>
      <c r="F65">
        <f>VLOOKUP(A65,[1]Worksheet!$A$2:$I$423,6,0)</f>
        <v>152</v>
      </c>
      <c r="G65">
        <f>VLOOKUP(A65,[1]Worksheet!$A$2:$I$423,7,0)</f>
        <v>3.17</v>
      </c>
      <c r="K65">
        <v>4</v>
      </c>
      <c r="M65">
        <f t="shared" si="0"/>
        <v>0</v>
      </c>
      <c r="N65">
        <f t="shared" si="1"/>
        <v>481.84</v>
      </c>
      <c r="P65">
        <f t="shared" si="2"/>
        <v>4</v>
      </c>
      <c r="Q65">
        <f t="shared" si="3"/>
        <v>0</v>
      </c>
      <c r="R65">
        <f t="shared" si="4"/>
        <v>156</v>
      </c>
      <c r="S65">
        <f t="shared" si="5"/>
        <v>3.0887179487179486</v>
      </c>
    </row>
    <row r="66" spans="1:19">
      <c r="A66" t="s">
        <v>205</v>
      </c>
      <c r="B66" t="s">
        <v>206</v>
      </c>
      <c r="C66">
        <v>20171</v>
      </c>
      <c r="D66">
        <f>VLOOKUP(A66,[1]Worksheet!$A$2:$I$423,4,0)</f>
        <v>7</v>
      </c>
      <c r="E66">
        <f>VLOOKUP(A66,[1]Worksheet!$A$2:$I$423,5,0)</f>
        <v>2.29</v>
      </c>
      <c r="F66">
        <f>VLOOKUP(A66,[1]Worksheet!$A$2:$I$423,6,0)</f>
        <v>158</v>
      </c>
      <c r="G66">
        <f>VLOOKUP(A66,[1]Worksheet!$A$2:$I$423,7,0)</f>
        <v>1.62</v>
      </c>
      <c r="K66">
        <v>2</v>
      </c>
      <c r="M66">
        <f t="shared" si="0"/>
        <v>16.03</v>
      </c>
      <c r="N66">
        <f t="shared" si="1"/>
        <v>255.96</v>
      </c>
      <c r="P66">
        <f t="shared" si="2"/>
        <v>9</v>
      </c>
      <c r="Q66">
        <f t="shared" si="3"/>
        <v>1.7811111111111113</v>
      </c>
      <c r="R66">
        <f t="shared" si="4"/>
        <v>160</v>
      </c>
      <c r="S66">
        <f t="shared" si="5"/>
        <v>1.59975</v>
      </c>
    </row>
    <row r="67" spans="1:19">
      <c r="A67" t="s">
        <v>371</v>
      </c>
      <c r="B67" t="s">
        <v>372</v>
      </c>
      <c r="C67">
        <v>20171</v>
      </c>
      <c r="D67">
        <f>VLOOKUP(A67,[1]Worksheet!$A$2:$I$423,4,0)</f>
        <v>0</v>
      </c>
      <c r="E67">
        <f>VLOOKUP(A67,[1]Worksheet!$A$2:$I$423,5,0)</f>
        <v>0</v>
      </c>
      <c r="F67">
        <f>VLOOKUP(A67,[1]Worksheet!$A$2:$I$423,6,0)</f>
        <v>173</v>
      </c>
      <c r="G67">
        <f>VLOOKUP(A67,[1]Worksheet!$A$2:$I$423,7,0)</f>
        <v>2.57</v>
      </c>
      <c r="K67">
        <v>4</v>
      </c>
      <c r="M67">
        <f t="shared" ref="M67:M130" si="6">D67*E67</f>
        <v>0</v>
      </c>
      <c r="N67">
        <f t="shared" ref="N67:N130" si="7">F67*G67</f>
        <v>444.60999999999996</v>
      </c>
      <c r="P67">
        <f t="shared" ref="P67:P130" si="8">K67+D67</f>
        <v>4</v>
      </c>
      <c r="Q67">
        <f t="shared" ref="Q67:Q130" si="9">M67/P67</f>
        <v>0</v>
      </c>
      <c r="R67">
        <f t="shared" ref="R67:R130" si="10">F67+K67</f>
        <v>177</v>
      </c>
      <c r="S67">
        <f t="shared" ref="S67:S130" si="11">N67/R67</f>
        <v>2.5119209039548021</v>
      </c>
    </row>
    <row r="68" spans="1:19">
      <c r="A68" t="s">
        <v>253</v>
      </c>
      <c r="B68" t="s">
        <v>254</v>
      </c>
      <c r="C68">
        <v>20171</v>
      </c>
      <c r="D68">
        <f>VLOOKUP(A68,[1]Worksheet!$A$2:$I$423,4,0)</f>
        <v>4</v>
      </c>
      <c r="E68">
        <f>VLOOKUP(A68,[1]Worksheet!$A$2:$I$423,5,0)</f>
        <v>3.25</v>
      </c>
      <c r="F68">
        <f>VLOOKUP(A68,[1]Worksheet!$A$2:$I$423,6,0)</f>
        <v>171</v>
      </c>
      <c r="G68">
        <f>VLOOKUP(A68,[1]Worksheet!$A$2:$I$423,7,0)</f>
        <v>2.77</v>
      </c>
      <c r="K68">
        <v>4</v>
      </c>
      <c r="M68">
        <f t="shared" si="6"/>
        <v>13</v>
      </c>
      <c r="N68">
        <f t="shared" si="7"/>
        <v>473.67</v>
      </c>
      <c r="P68">
        <f t="shared" si="8"/>
        <v>8</v>
      </c>
      <c r="Q68">
        <f t="shared" si="9"/>
        <v>1.625</v>
      </c>
      <c r="R68">
        <f t="shared" si="10"/>
        <v>175</v>
      </c>
      <c r="S68">
        <f t="shared" si="11"/>
        <v>2.7066857142857144</v>
      </c>
    </row>
    <row r="69" spans="1:19">
      <c r="A69" t="s">
        <v>112</v>
      </c>
      <c r="B69" t="s">
        <v>113</v>
      </c>
      <c r="C69">
        <v>20171</v>
      </c>
      <c r="D69">
        <f>VLOOKUP(A69,[1]Worksheet!$A$2:$I$423,4,0)</f>
        <v>11</v>
      </c>
      <c r="E69">
        <f>VLOOKUP(A69,[1]Worksheet!$A$2:$I$423,5,0)</f>
        <v>1.32</v>
      </c>
      <c r="F69">
        <f>VLOOKUP(A69,[1]Worksheet!$A$2:$I$423,6,0)</f>
        <v>166</v>
      </c>
      <c r="G69">
        <f>VLOOKUP(A69,[1]Worksheet!$A$2:$I$423,7,0)</f>
        <v>2.39</v>
      </c>
      <c r="K69">
        <v>4</v>
      </c>
      <c r="M69">
        <f t="shared" si="6"/>
        <v>14.520000000000001</v>
      </c>
      <c r="N69">
        <f t="shared" si="7"/>
        <v>396.74</v>
      </c>
      <c r="P69">
        <f t="shared" si="8"/>
        <v>15</v>
      </c>
      <c r="Q69">
        <f t="shared" si="9"/>
        <v>0.96800000000000008</v>
      </c>
      <c r="R69">
        <f t="shared" si="10"/>
        <v>170</v>
      </c>
      <c r="S69">
        <f t="shared" si="11"/>
        <v>2.333764705882353</v>
      </c>
    </row>
    <row r="70" spans="1:19">
      <c r="A70" t="s">
        <v>373</v>
      </c>
      <c r="B70" t="s">
        <v>374</v>
      </c>
      <c r="C70">
        <v>20171</v>
      </c>
      <c r="D70">
        <f>VLOOKUP(A70,[1]Worksheet!$A$2:$I$423,4,0)</f>
        <v>3</v>
      </c>
      <c r="E70">
        <f>VLOOKUP(A70,[1]Worksheet!$A$2:$I$423,5,0)</f>
        <v>1.5</v>
      </c>
      <c r="F70">
        <f>VLOOKUP(A70,[1]Worksheet!$A$2:$I$423,6,0)</f>
        <v>170</v>
      </c>
      <c r="G70">
        <f>VLOOKUP(A70,[1]Worksheet!$A$2:$I$423,7,0)</f>
        <v>2.31</v>
      </c>
      <c r="K70">
        <v>4</v>
      </c>
      <c r="M70">
        <f t="shared" si="6"/>
        <v>4.5</v>
      </c>
      <c r="N70">
        <f t="shared" si="7"/>
        <v>392.7</v>
      </c>
      <c r="P70">
        <f t="shared" si="8"/>
        <v>7</v>
      </c>
      <c r="Q70">
        <f t="shared" si="9"/>
        <v>0.6428571428571429</v>
      </c>
      <c r="R70">
        <f t="shared" si="10"/>
        <v>174</v>
      </c>
      <c r="S70">
        <f t="shared" si="11"/>
        <v>2.2568965517241377</v>
      </c>
    </row>
    <row r="71" spans="1:19">
      <c r="A71" t="s">
        <v>114</v>
      </c>
      <c r="B71" t="s">
        <v>115</v>
      </c>
      <c r="C71">
        <v>20171</v>
      </c>
      <c r="D71">
        <f>VLOOKUP(A71,[1]Worksheet!$A$2:$I$423,4,0)</f>
        <v>10</v>
      </c>
      <c r="E71">
        <f>VLOOKUP(A71,[1]Worksheet!$A$2:$I$423,5,0)</f>
        <v>1.4</v>
      </c>
      <c r="F71">
        <f>VLOOKUP(A71,[1]Worksheet!$A$2:$I$423,6,0)</f>
        <v>170</v>
      </c>
      <c r="G71">
        <f>VLOOKUP(A71,[1]Worksheet!$A$2:$I$423,7,0)</f>
        <v>2.46</v>
      </c>
      <c r="M71">
        <f t="shared" si="6"/>
        <v>14</v>
      </c>
      <c r="N71">
        <f t="shared" si="7"/>
        <v>418.2</v>
      </c>
      <c r="P71">
        <f t="shared" si="8"/>
        <v>10</v>
      </c>
      <c r="Q71">
        <f t="shared" si="9"/>
        <v>1.4</v>
      </c>
      <c r="R71">
        <f t="shared" si="10"/>
        <v>170</v>
      </c>
      <c r="S71">
        <f t="shared" si="11"/>
        <v>2.46</v>
      </c>
    </row>
    <row r="72" spans="1:19">
      <c r="A72" t="s">
        <v>375</v>
      </c>
      <c r="B72" t="s">
        <v>376</v>
      </c>
      <c r="C72">
        <v>20171</v>
      </c>
      <c r="D72">
        <f>VLOOKUP(A72,[1]Worksheet!$A$2:$I$423,4,0)</f>
        <v>0</v>
      </c>
      <c r="E72">
        <f>VLOOKUP(A72,[1]Worksheet!$A$2:$I$423,5,0)</f>
        <v>0</v>
      </c>
      <c r="F72">
        <f>VLOOKUP(A72,[1]Worksheet!$A$2:$I$423,6,0)</f>
        <v>156</v>
      </c>
      <c r="G72">
        <f>VLOOKUP(A72,[1]Worksheet!$A$2:$I$423,7,0)</f>
        <v>2.79</v>
      </c>
      <c r="K72">
        <v>4</v>
      </c>
      <c r="M72">
        <f t="shared" si="6"/>
        <v>0</v>
      </c>
      <c r="N72">
        <f t="shared" si="7"/>
        <v>435.24</v>
      </c>
      <c r="P72">
        <f t="shared" si="8"/>
        <v>4</v>
      </c>
      <c r="Q72">
        <f t="shared" si="9"/>
        <v>0</v>
      </c>
      <c r="R72">
        <f t="shared" si="10"/>
        <v>160</v>
      </c>
      <c r="S72">
        <f t="shared" si="11"/>
        <v>2.7202500000000001</v>
      </c>
    </row>
    <row r="73" spans="1:19">
      <c r="A73" t="s">
        <v>377</v>
      </c>
      <c r="B73" t="s">
        <v>464</v>
      </c>
      <c r="C73">
        <v>20171</v>
      </c>
      <c r="D73">
        <f>VLOOKUP(A73,[1]Worksheet!$A$2:$I$423,4,0)</f>
        <v>0</v>
      </c>
      <c r="E73">
        <f>VLOOKUP(A73,[1]Worksheet!$A$2:$I$423,5,0)</f>
        <v>0</v>
      </c>
      <c r="F73">
        <f>VLOOKUP(A73,[1]Worksheet!$A$2:$I$423,6,0)</f>
        <v>150</v>
      </c>
      <c r="G73">
        <f>VLOOKUP(A73,[1]Worksheet!$A$2:$I$423,7,0)</f>
        <v>3.16</v>
      </c>
      <c r="K73">
        <v>4</v>
      </c>
      <c r="M73">
        <f t="shared" si="6"/>
        <v>0</v>
      </c>
      <c r="N73">
        <f t="shared" si="7"/>
        <v>474</v>
      </c>
      <c r="P73">
        <f t="shared" si="8"/>
        <v>4</v>
      </c>
      <c r="Q73">
        <f t="shared" si="9"/>
        <v>0</v>
      </c>
      <c r="R73">
        <f t="shared" si="10"/>
        <v>154</v>
      </c>
      <c r="S73">
        <f t="shared" si="11"/>
        <v>3.0779220779220777</v>
      </c>
    </row>
    <row r="74" spans="1:19">
      <c r="A74" t="s">
        <v>378</v>
      </c>
      <c r="B74" t="s">
        <v>379</v>
      </c>
      <c r="C74">
        <v>20171</v>
      </c>
      <c r="D74">
        <f>VLOOKUP(A74,[1]Worksheet!$A$2:$I$423,4,0)</f>
        <v>4</v>
      </c>
      <c r="E74">
        <f>VLOOKUP(A74,[1]Worksheet!$A$2:$I$423,5,0)</f>
        <v>3.5</v>
      </c>
      <c r="F74">
        <f>VLOOKUP(A74,[1]Worksheet!$A$2:$I$423,6,0)</f>
        <v>163</v>
      </c>
      <c r="G74">
        <f>VLOOKUP(A74,[1]Worksheet!$A$2:$I$423,7,0)</f>
        <v>2.68</v>
      </c>
      <c r="M74">
        <f t="shared" si="6"/>
        <v>14</v>
      </c>
      <c r="N74">
        <f t="shared" si="7"/>
        <v>436.84000000000003</v>
      </c>
      <c r="P74">
        <f t="shared" si="8"/>
        <v>4</v>
      </c>
      <c r="Q74">
        <f t="shared" si="9"/>
        <v>3.5</v>
      </c>
      <c r="R74">
        <f t="shared" si="10"/>
        <v>163</v>
      </c>
      <c r="S74">
        <f t="shared" si="11"/>
        <v>2.68</v>
      </c>
    </row>
    <row r="75" spans="1:19">
      <c r="A75" t="s">
        <v>16</v>
      </c>
      <c r="B75" t="s">
        <v>17</v>
      </c>
      <c r="C75">
        <v>20171</v>
      </c>
      <c r="D75">
        <f>VLOOKUP(A75,[1]Worksheet!$A$2:$I$423,4,0)</f>
        <v>17</v>
      </c>
      <c r="E75">
        <f>VLOOKUP(A75,[1]Worksheet!$A$2:$I$423,5,0)</f>
        <v>2.74</v>
      </c>
      <c r="F75">
        <f>VLOOKUP(A75,[1]Worksheet!$A$2:$I$423,6,0)</f>
        <v>180</v>
      </c>
      <c r="G75">
        <f>VLOOKUP(A75,[1]Worksheet!$A$2:$I$423,7,0)</f>
        <v>2.41</v>
      </c>
      <c r="K75">
        <v>4</v>
      </c>
      <c r="M75">
        <f t="shared" si="6"/>
        <v>46.580000000000005</v>
      </c>
      <c r="N75">
        <f t="shared" si="7"/>
        <v>433.8</v>
      </c>
      <c r="P75">
        <f t="shared" si="8"/>
        <v>21</v>
      </c>
      <c r="Q75">
        <f t="shared" si="9"/>
        <v>2.2180952380952386</v>
      </c>
      <c r="R75">
        <f t="shared" si="10"/>
        <v>184</v>
      </c>
      <c r="S75">
        <f t="shared" si="11"/>
        <v>2.357608695652174</v>
      </c>
    </row>
    <row r="76" spans="1:19">
      <c r="A76" t="s">
        <v>207</v>
      </c>
      <c r="B76" t="s">
        <v>208</v>
      </c>
      <c r="C76">
        <v>20171</v>
      </c>
      <c r="D76">
        <f>VLOOKUP(A76,[1]Worksheet!$A$2:$I$423,4,0)</f>
        <v>13</v>
      </c>
      <c r="E76">
        <f>VLOOKUP(A76,[1]Worksheet!$A$2:$I$423,5,0)</f>
        <v>2.88</v>
      </c>
      <c r="F76">
        <f>VLOOKUP(A76,[1]Worksheet!$A$2:$I$423,6,0)</f>
        <v>161</v>
      </c>
      <c r="G76">
        <f>VLOOKUP(A76,[1]Worksheet!$A$2:$I$423,7,0)</f>
        <v>2.15</v>
      </c>
      <c r="M76">
        <f t="shared" si="6"/>
        <v>37.44</v>
      </c>
      <c r="N76">
        <f t="shared" si="7"/>
        <v>346.15</v>
      </c>
      <c r="P76">
        <f t="shared" si="8"/>
        <v>13</v>
      </c>
      <c r="Q76">
        <f t="shared" si="9"/>
        <v>2.88</v>
      </c>
      <c r="R76">
        <f t="shared" si="10"/>
        <v>161</v>
      </c>
      <c r="S76">
        <f t="shared" si="11"/>
        <v>2.15</v>
      </c>
    </row>
    <row r="77" spans="1:19">
      <c r="A77" t="s">
        <v>19</v>
      </c>
      <c r="B77" t="s">
        <v>20</v>
      </c>
      <c r="C77">
        <v>20171</v>
      </c>
      <c r="D77">
        <f>VLOOKUP(A77,[1]Worksheet!$A$2:$I$423,4,0)</f>
        <v>19</v>
      </c>
      <c r="E77">
        <f>VLOOKUP(A77,[1]Worksheet!$A$2:$I$423,5,0)</f>
        <v>1.87</v>
      </c>
      <c r="F77">
        <f>VLOOKUP(A77,[1]Worksheet!$A$2:$I$423,6,0)</f>
        <v>154</v>
      </c>
      <c r="G77">
        <f>VLOOKUP(A77,[1]Worksheet!$A$2:$I$423,7,0)</f>
        <v>2.44</v>
      </c>
      <c r="M77">
        <f t="shared" si="6"/>
        <v>35.53</v>
      </c>
      <c r="N77">
        <f t="shared" si="7"/>
        <v>375.76</v>
      </c>
      <c r="P77">
        <f t="shared" si="8"/>
        <v>19</v>
      </c>
      <c r="Q77">
        <f t="shared" si="9"/>
        <v>1.87</v>
      </c>
      <c r="R77">
        <f t="shared" si="10"/>
        <v>154</v>
      </c>
      <c r="S77">
        <f t="shared" si="11"/>
        <v>2.44</v>
      </c>
    </row>
    <row r="78" spans="1:19">
      <c r="A78" t="s">
        <v>21</v>
      </c>
      <c r="B78" t="s">
        <v>22</v>
      </c>
      <c r="C78">
        <v>20171</v>
      </c>
      <c r="D78">
        <f>VLOOKUP(A78,[1]Worksheet!$A$2:$I$423,4,0)</f>
        <v>3</v>
      </c>
      <c r="E78">
        <f>VLOOKUP(A78,[1]Worksheet!$A$2:$I$423,5,0)</f>
        <v>2.5</v>
      </c>
      <c r="F78">
        <f>VLOOKUP(A78,[1]Worksheet!$A$2:$I$423,6,0)</f>
        <v>156</v>
      </c>
      <c r="G78">
        <f>VLOOKUP(A78,[1]Worksheet!$A$2:$I$423,7,0)</f>
        <v>2.97</v>
      </c>
      <c r="K78">
        <v>4</v>
      </c>
      <c r="M78">
        <f t="shared" si="6"/>
        <v>7.5</v>
      </c>
      <c r="N78">
        <f t="shared" si="7"/>
        <v>463.32000000000005</v>
      </c>
      <c r="P78">
        <f t="shared" si="8"/>
        <v>7</v>
      </c>
      <c r="Q78">
        <f t="shared" si="9"/>
        <v>1.0714285714285714</v>
      </c>
      <c r="R78">
        <f t="shared" si="10"/>
        <v>160</v>
      </c>
      <c r="S78">
        <f t="shared" si="11"/>
        <v>2.8957500000000005</v>
      </c>
    </row>
    <row r="79" spans="1:19">
      <c r="A79" t="s">
        <v>380</v>
      </c>
      <c r="B79" t="s">
        <v>381</v>
      </c>
      <c r="C79">
        <v>20171</v>
      </c>
      <c r="D79">
        <f>VLOOKUP(A79,[1]Worksheet!$A$2:$I$423,4,0)</f>
        <v>4</v>
      </c>
      <c r="E79">
        <f>VLOOKUP(A79,[1]Worksheet!$A$2:$I$423,5,0)</f>
        <v>1.5</v>
      </c>
      <c r="F79">
        <f>VLOOKUP(A79,[1]Worksheet!$A$2:$I$423,6,0)</f>
        <v>154</v>
      </c>
      <c r="G79">
        <f>VLOOKUP(A79,[1]Worksheet!$A$2:$I$423,7,0)</f>
        <v>3.12</v>
      </c>
      <c r="K79">
        <v>4</v>
      </c>
      <c r="M79">
        <f t="shared" si="6"/>
        <v>6</v>
      </c>
      <c r="N79">
        <f t="shared" si="7"/>
        <v>480.48</v>
      </c>
      <c r="P79">
        <f t="shared" si="8"/>
        <v>8</v>
      </c>
      <c r="Q79">
        <f t="shared" si="9"/>
        <v>0.75</v>
      </c>
      <c r="R79">
        <f t="shared" si="10"/>
        <v>158</v>
      </c>
      <c r="S79">
        <f t="shared" si="11"/>
        <v>3.0410126582278481</v>
      </c>
    </row>
    <row r="80" spans="1:19">
      <c r="A80" t="s">
        <v>382</v>
      </c>
      <c r="B80" t="s">
        <v>383</v>
      </c>
      <c r="C80">
        <v>20171</v>
      </c>
      <c r="D80">
        <f>VLOOKUP(A80,[1]Worksheet!$A$2:$I$423,4,0)</f>
        <v>0</v>
      </c>
      <c r="E80">
        <f>VLOOKUP(A80,[1]Worksheet!$A$2:$I$423,5,0)</f>
        <v>0</v>
      </c>
      <c r="F80">
        <f>VLOOKUP(A80,[1]Worksheet!$A$2:$I$423,6,0)</f>
        <v>144</v>
      </c>
      <c r="G80">
        <f>VLOOKUP(A80,[1]Worksheet!$A$2:$I$423,7,0)</f>
        <v>3.26</v>
      </c>
      <c r="K80">
        <v>4</v>
      </c>
      <c r="M80">
        <f t="shared" si="6"/>
        <v>0</v>
      </c>
      <c r="N80">
        <f t="shared" si="7"/>
        <v>469.43999999999994</v>
      </c>
      <c r="P80">
        <f t="shared" si="8"/>
        <v>4</v>
      </c>
      <c r="Q80">
        <f t="shared" si="9"/>
        <v>0</v>
      </c>
      <c r="R80">
        <f t="shared" si="10"/>
        <v>148</v>
      </c>
      <c r="S80">
        <f t="shared" si="11"/>
        <v>3.1718918918918915</v>
      </c>
    </row>
    <row r="81" spans="1:19">
      <c r="A81" t="s">
        <v>132</v>
      </c>
      <c r="B81" t="s">
        <v>133</v>
      </c>
      <c r="C81">
        <v>20171</v>
      </c>
      <c r="D81">
        <f>VLOOKUP(A81,[1]Worksheet!$A$2:$I$423,4,0)</f>
        <v>15</v>
      </c>
      <c r="E81">
        <f>VLOOKUP(A81,[1]Worksheet!$A$2:$I$423,5,0)</f>
        <v>2.9</v>
      </c>
      <c r="F81">
        <f>VLOOKUP(A81,[1]Worksheet!$A$2:$I$423,6,0)</f>
        <v>155</v>
      </c>
      <c r="G81">
        <f>VLOOKUP(A81,[1]Worksheet!$A$2:$I$423,7,0)</f>
        <v>2.71</v>
      </c>
      <c r="K81">
        <v>2</v>
      </c>
      <c r="M81">
        <f t="shared" si="6"/>
        <v>43.5</v>
      </c>
      <c r="N81">
        <f t="shared" si="7"/>
        <v>420.05</v>
      </c>
      <c r="P81">
        <f t="shared" si="8"/>
        <v>17</v>
      </c>
      <c r="Q81">
        <f t="shared" si="9"/>
        <v>2.5588235294117645</v>
      </c>
      <c r="R81">
        <f t="shared" si="10"/>
        <v>157</v>
      </c>
      <c r="S81">
        <f t="shared" si="11"/>
        <v>2.6754777070063693</v>
      </c>
    </row>
    <row r="82" spans="1:19">
      <c r="A82" t="s">
        <v>24</v>
      </c>
      <c r="B82" t="s">
        <v>25</v>
      </c>
      <c r="C82">
        <v>20171</v>
      </c>
      <c r="D82">
        <f>VLOOKUP(A82,[1]Worksheet!$A$2:$I$423,4,0)</f>
        <v>19</v>
      </c>
      <c r="E82">
        <f>VLOOKUP(A82,[1]Worksheet!$A$2:$I$423,5,0)</f>
        <v>2.16</v>
      </c>
      <c r="F82">
        <f>VLOOKUP(A82,[1]Worksheet!$A$2:$I$423,6,0)</f>
        <v>146</v>
      </c>
      <c r="G82">
        <f>VLOOKUP(A82,[1]Worksheet!$A$2:$I$423,7,0)</f>
        <v>2.09</v>
      </c>
      <c r="M82">
        <f t="shared" si="6"/>
        <v>41.040000000000006</v>
      </c>
      <c r="N82">
        <f t="shared" si="7"/>
        <v>305.14</v>
      </c>
      <c r="P82">
        <f t="shared" si="8"/>
        <v>19</v>
      </c>
      <c r="Q82">
        <f t="shared" si="9"/>
        <v>2.16</v>
      </c>
      <c r="R82">
        <f t="shared" si="10"/>
        <v>146</v>
      </c>
      <c r="S82">
        <f t="shared" si="11"/>
        <v>2.09</v>
      </c>
    </row>
    <row r="83" spans="1:19">
      <c r="A83" t="s">
        <v>27</v>
      </c>
      <c r="B83" t="s">
        <v>28</v>
      </c>
      <c r="C83">
        <v>20171</v>
      </c>
      <c r="D83">
        <f>VLOOKUP(A83,[1]Worksheet!$A$2:$I$423,4,0)</f>
        <v>12</v>
      </c>
      <c r="E83">
        <f>VLOOKUP(A83,[1]Worksheet!$A$2:$I$423,5,0)</f>
        <v>3.21</v>
      </c>
      <c r="F83">
        <f>VLOOKUP(A83,[1]Worksheet!$A$2:$I$423,6,0)</f>
        <v>162</v>
      </c>
      <c r="G83">
        <f>VLOOKUP(A83,[1]Worksheet!$A$2:$I$423,7,0)</f>
        <v>2.78</v>
      </c>
      <c r="M83">
        <f t="shared" si="6"/>
        <v>38.519999999999996</v>
      </c>
      <c r="N83">
        <f t="shared" si="7"/>
        <v>450.35999999999996</v>
      </c>
      <c r="P83">
        <f t="shared" si="8"/>
        <v>12</v>
      </c>
      <c r="Q83">
        <f t="shared" si="9"/>
        <v>3.2099999999999995</v>
      </c>
      <c r="R83">
        <f t="shared" si="10"/>
        <v>162</v>
      </c>
      <c r="S83">
        <f t="shared" si="11"/>
        <v>2.78</v>
      </c>
    </row>
    <row r="84" spans="1:19">
      <c r="A84" t="s">
        <v>29</v>
      </c>
      <c r="B84" t="s">
        <v>30</v>
      </c>
      <c r="C84">
        <v>20171</v>
      </c>
      <c r="D84">
        <f>VLOOKUP(A84,[1]Worksheet!$A$2:$I$423,4,0)</f>
        <v>17</v>
      </c>
      <c r="E84">
        <f>VLOOKUP(A84,[1]Worksheet!$A$2:$I$423,5,0)</f>
        <v>2.88</v>
      </c>
      <c r="F84">
        <f>VLOOKUP(A84,[1]Worksheet!$A$2:$I$423,6,0)</f>
        <v>162</v>
      </c>
      <c r="G84">
        <f>VLOOKUP(A84,[1]Worksheet!$A$2:$I$423,7,0)</f>
        <v>2.71</v>
      </c>
      <c r="M84">
        <f t="shared" si="6"/>
        <v>48.96</v>
      </c>
      <c r="N84">
        <f t="shared" si="7"/>
        <v>439.02</v>
      </c>
      <c r="P84">
        <f t="shared" si="8"/>
        <v>17</v>
      </c>
      <c r="Q84">
        <f t="shared" si="9"/>
        <v>2.88</v>
      </c>
      <c r="R84">
        <f t="shared" si="10"/>
        <v>162</v>
      </c>
      <c r="S84">
        <f t="shared" si="11"/>
        <v>2.71</v>
      </c>
    </row>
    <row r="85" spans="1:19">
      <c r="A85" t="s">
        <v>31</v>
      </c>
      <c r="B85" t="s">
        <v>32</v>
      </c>
      <c r="C85">
        <v>20171</v>
      </c>
      <c r="D85">
        <f>VLOOKUP(A85,[1]Worksheet!$A$2:$I$423,4,0)</f>
        <v>10</v>
      </c>
      <c r="E85">
        <f>VLOOKUP(A85,[1]Worksheet!$A$2:$I$423,5,0)</f>
        <v>2.65</v>
      </c>
      <c r="F85">
        <f>VLOOKUP(A85,[1]Worksheet!$A$2:$I$423,6,0)</f>
        <v>108</v>
      </c>
      <c r="G85">
        <f>VLOOKUP(A85,[1]Worksheet!$A$2:$I$423,7,0)</f>
        <v>1.58</v>
      </c>
      <c r="M85">
        <f t="shared" si="6"/>
        <v>26.5</v>
      </c>
      <c r="N85">
        <f t="shared" si="7"/>
        <v>170.64000000000001</v>
      </c>
      <c r="P85">
        <f t="shared" si="8"/>
        <v>10</v>
      </c>
      <c r="Q85">
        <f t="shared" si="9"/>
        <v>2.65</v>
      </c>
      <c r="R85">
        <f t="shared" si="10"/>
        <v>108</v>
      </c>
      <c r="S85">
        <f t="shared" si="11"/>
        <v>1.58</v>
      </c>
    </row>
    <row r="86" spans="1:19">
      <c r="A86" t="s">
        <v>384</v>
      </c>
      <c r="B86" t="s">
        <v>385</v>
      </c>
      <c r="C86">
        <v>20171</v>
      </c>
      <c r="D86">
        <f>VLOOKUP(A86,[1]Worksheet!$A$2:$I$423,4,0)</f>
        <v>2</v>
      </c>
      <c r="E86">
        <f>VLOOKUP(A86,[1]Worksheet!$A$2:$I$423,5,0)</f>
        <v>0</v>
      </c>
      <c r="F86">
        <f>VLOOKUP(A86,[1]Worksheet!$A$2:$I$423,6,0)</f>
        <v>156</v>
      </c>
      <c r="G86">
        <f>VLOOKUP(A86,[1]Worksheet!$A$2:$I$423,7,0)</f>
        <v>2.65</v>
      </c>
      <c r="K86">
        <v>4</v>
      </c>
      <c r="M86">
        <f t="shared" si="6"/>
        <v>0</v>
      </c>
      <c r="N86">
        <f t="shared" si="7"/>
        <v>413.4</v>
      </c>
      <c r="P86">
        <f t="shared" si="8"/>
        <v>6</v>
      </c>
      <c r="Q86">
        <f t="shared" si="9"/>
        <v>0</v>
      </c>
      <c r="R86">
        <f t="shared" si="10"/>
        <v>160</v>
      </c>
      <c r="S86">
        <f t="shared" si="11"/>
        <v>2.5837499999999998</v>
      </c>
    </row>
    <row r="87" spans="1:19">
      <c r="A87" t="s">
        <v>33</v>
      </c>
      <c r="B87" t="s">
        <v>34</v>
      </c>
      <c r="C87">
        <v>20171</v>
      </c>
      <c r="D87">
        <f>VLOOKUP(A87,[1]Worksheet!$A$2:$I$423,4,0)</f>
        <v>12</v>
      </c>
      <c r="E87">
        <f>VLOOKUP(A87,[1]Worksheet!$A$2:$I$423,5,0)</f>
        <v>3.13</v>
      </c>
      <c r="F87">
        <f>VLOOKUP(A87,[1]Worksheet!$A$2:$I$423,6,0)</f>
        <v>158</v>
      </c>
      <c r="G87">
        <f>VLOOKUP(A87,[1]Worksheet!$A$2:$I$423,7,0)</f>
        <v>2.79</v>
      </c>
      <c r="M87">
        <f t="shared" si="6"/>
        <v>37.56</v>
      </c>
      <c r="N87">
        <f t="shared" si="7"/>
        <v>440.82</v>
      </c>
      <c r="P87">
        <f t="shared" si="8"/>
        <v>12</v>
      </c>
      <c r="Q87">
        <f t="shared" si="9"/>
        <v>3.1300000000000003</v>
      </c>
      <c r="R87">
        <f t="shared" si="10"/>
        <v>158</v>
      </c>
      <c r="S87">
        <f t="shared" si="11"/>
        <v>2.79</v>
      </c>
    </row>
    <row r="88" spans="1:19">
      <c r="A88" t="s">
        <v>35</v>
      </c>
      <c r="B88" t="s">
        <v>36</v>
      </c>
      <c r="C88">
        <v>20171</v>
      </c>
      <c r="D88">
        <f>VLOOKUP(A88,[1]Worksheet!$A$2:$I$423,4,0)</f>
        <v>19</v>
      </c>
      <c r="E88">
        <f>VLOOKUP(A88,[1]Worksheet!$A$2:$I$423,5,0)</f>
        <v>2.5</v>
      </c>
      <c r="F88">
        <f>VLOOKUP(A88,[1]Worksheet!$A$2:$I$423,6,0)</f>
        <v>158</v>
      </c>
      <c r="G88">
        <f>VLOOKUP(A88,[1]Worksheet!$A$2:$I$423,7,0)</f>
        <v>2.27</v>
      </c>
      <c r="M88">
        <f t="shared" si="6"/>
        <v>47.5</v>
      </c>
      <c r="N88">
        <f t="shared" si="7"/>
        <v>358.66</v>
      </c>
      <c r="P88">
        <f t="shared" si="8"/>
        <v>19</v>
      </c>
      <c r="Q88">
        <f t="shared" si="9"/>
        <v>2.5</v>
      </c>
      <c r="R88">
        <f t="shared" si="10"/>
        <v>158</v>
      </c>
      <c r="S88">
        <f t="shared" si="11"/>
        <v>2.27</v>
      </c>
    </row>
    <row r="89" spans="1:19">
      <c r="A89" t="s">
        <v>37</v>
      </c>
      <c r="B89" t="s">
        <v>38</v>
      </c>
      <c r="C89">
        <v>20171</v>
      </c>
      <c r="D89">
        <f>VLOOKUP(A89,[1]Worksheet!$A$2:$I$423,4,0)</f>
        <v>21</v>
      </c>
      <c r="E89">
        <f>VLOOKUP(A89,[1]Worksheet!$A$2:$I$423,5,0)</f>
        <v>2.98</v>
      </c>
      <c r="F89">
        <f>VLOOKUP(A89,[1]Worksheet!$A$2:$I$423,6,0)</f>
        <v>164</v>
      </c>
      <c r="G89">
        <f>VLOOKUP(A89,[1]Worksheet!$A$2:$I$423,7,0)</f>
        <v>2.4700000000000002</v>
      </c>
      <c r="M89">
        <f t="shared" si="6"/>
        <v>62.58</v>
      </c>
      <c r="N89">
        <f t="shared" si="7"/>
        <v>405.08000000000004</v>
      </c>
      <c r="P89">
        <f t="shared" si="8"/>
        <v>21</v>
      </c>
      <c r="Q89">
        <f t="shared" si="9"/>
        <v>2.98</v>
      </c>
      <c r="R89">
        <f t="shared" si="10"/>
        <v>164</v>
      </c>
      <c r="S89">
        <f t="shared" si="11"/>
        <v>2.4700000000000002</v>
      </c>
    </row>
    <row r="90" spans="1:19">
      <c r="A90" t="s">
        <v>136</v>
      </c>
      <c r="B90" t="s">
        <v>137</v>
      </c>
      <c r="C90">
        <v>20171</v>
      </c>
      <c r="D90">
        <f>VLOOKUP(A90,[1]Worksheet!$A$2:$I$423,4,0)</f>
        <v>21</v>
      </c>
      <c r="E90">
        <f>VLOOKUP(A90,[1]Worksheet!$A$2:$I$423,5,0)</f>
        <v>3.12</v>
      </c>
      <c r="F90">
        <f>VLOOKUP(A90,[1]Worksheet!$A$2:$I$423,6,0)</f>
        <v>168</v>
      </c>
      <c r="G90">
        <f>VLOOKUP(A90,[1]Worksheet!$A$2:$I$423,7,0)</f>
        <v>2.81</v>
      </c>
      <c r="M90">
        <f t="shared" si="6"/>
        <v>65.52</v>
      </c>
      <c r="N90">
        <f t="shared" si="7"/>
        <v>472.08</v>
      </c>
      <c r="P90">
        <f t="shared" si="8"/>
        <v>21</v>
      </c>
      <c r="Q90">
        <f t="shared" si="9"/>
        <v>3.1199999999999997</v>
      </c>
      <c r="R90">
        <f t="shared" si="10"/>
        <v>168</v>
      </c>
      <c r="S90">
        <f t="shared" si="11"/>
        <v>2.81</v>
      </c>
    </row>
    <row r="91" spans="1:19">
      <c r="A91" t="s">
        <v>39</v>
      </c>
      <c r="B91" t="s">
        <v>40</v>
      </c>
      <c r="C91">
        <v>20171</v>
      </c>
      <c r="D91">
        <f>VLOOKUP(A91,[1]Worksheet!$A$2:$I$423,4,0)</f>
        <v>23</v>
      </c>
      <c r="E91">
        <f>VLOOKUP(A91,[1]Worksheet!$A$2:$I$423,5,0)</f>
        <v>1.72</v>
      </c>
      <c r="F91">
        <f>VLOOKUP(A91,[1]Worksheet!$A$2:$I$423,6,0)</f>
        <v>166</v>
      </c>
      <c r="G91">
        <f>VLOOKUP(A91,[1]Worksheet!$A$2:$I$423,7,0)</f>
        <v>2.36</v>
      </c>
      <c r="M91">
        <f t="shared" si="6"/>
        <v>39.56</v>
      </c>
      <c r="N91">
        <f t="shared" si="7"/>
        <v>391.76</v>
      </c>
      <c r="P91">
        <f t="shared" si="8"/>
        <v>23</v>
      </c>
      <c r="Q91">
        <f t="shared" si="9"/>
        <v>1.7200000000000002</v>
      </c>
      <c r="R91">
        <f t="shared" si="10"/>
        <v>166</v>
      </c>
      <c r="S91">
        <f t="shared" si="11"/>
        <v>2.36</v>
      </c>
    </row>
    <row r="92" spans="1:19">
      <c r="A92" t="s">
        <v>41</v>
      </c>
      <c r="B92" t="s">
        <v>42</v>
      </c>
      <c r="C92">
        <v>20171</v>
      </c>
      <c r="D92">
        <f>VLOOKUP(A92,[1]Worksheet!$A$2:$I$423,4,0)</f>
        <v>20</v>
      </c>
      <c r="E92">
        <f>VLOOKUP(A92,[1]Worksheet!$A$2:$I$423,5,0)</f>
        <v>2.7</v>
      </c>
      <c r="F92">
        <f>VLOOKUP(A92,[1]Worksheet!$A$2:$I$423,6,0)</f>
        <v>169</v>
      </c>
      <c r="G92">
        <f>VLOOKUP(A92,[1]Worksheet!$A$2:$I$423,7,0)</f>
        <v>2.52</v>
      </c>
      <c r="M92">
        <f t="shared" si="6"/>
        <v>54</v>
      </c>
      <c r="N92">
        <f t="shared" si="7"/>
        <v>425.88</v>
      </c>
      <c r="P92">
        <f t="shared" si="8"/>
        <v>20</v>
      </c>
      <c r="Q92">
        <f t="shared" si="9"/>
        <v>2.7</v>
      </c>
      <c r="R92">
        <f t="shared" si="10"/>
        <v>169</v>
      </c>
      <c r="S92">
        <f t="shared" si="11"/>
        <v>2.52</v>
      </c>
    </row>
    <row r="93" spans="1:19">
      <c r="A93" t="s">
        <v>138</v>
      </c>
      <c r="B93" t="s">
        <v>139</v>
      </c>
      <c r="C93">
        <v>20171</v>
      </c>
      <c r="D93">
        <f>VLOOKUP(A93,[1]Worksheet!$A$2:$I$423,4,0)</f>
        <v>7</v>
      </c>
      <c r="E93">
        <f>VLOOKUP(A93,[1]Worksheet!$A$2:$I$423,5,0)</f>
        <v>2.71</v>
      </c>
      <c r="F93">
        <f>VLOOKUP(A93,[1]Worksheet!$A$2:$I$423,6,0)</f>
        <v>152</v>
      </c>
      <c r="G93">
        <f>VLOOKUP(A93,[1]Worksheet!$A$2:$I$423,7,0)</f>
        <v>2.92</v>
      </c>
      <c r="K93">
        <v>4</v>
      </c>
      <c r="M93">
        <f t="shared" si="6"/>
        <v>18.97</v>
      </c>
      <c r="N93">
        <f t="shared" si="7"/>
        <v>443.84</v>
      </c>
      <c r="P93">
        <f t="shared" si="8"/>
        <v>11</v>
      </c>
      <c r="Q93">
        <f t="shared" si="9"/>
        <v>1.7245454545454544</v>
      </c>
      <c r="R93">
        <f t="shared" si="10"/>
        <v>156</v>
      </c>
      <c r="S93">
        <f t="shared" si="11"/>
        <v>2.845128205128205</v>
      </c>
    </row>
    <row r="94" spans="1:19">
      <c r="A94" t="s">
        <v>43</v>
      </c>
      <c r="B94" t="s">
        <v>44</v>
      </c>
      <c r="C94">
        <v>20171</v>
      </c>
      <c r="D94">
        <f>VLOOKUP(A94,[1]Worksheet!$A$2:$I$423,4,0)</f>
        <v>20</v>
      </c>
      <c r="E94">
        <f>VLOOKUP(A94,[1]Worksheet!$A$2:$I$423,5,0)</f>
        <v>2.8</v>
      </c>
      <c r="F94">
        <f>VLOOKUP(A94,[1]Worksheet!$A$2:$I$423,6,0)</f>
        <v>154</v>
      </c>
      <c r="G94">
        <f>VLOOKUP(A94,[1]Worksheet!$A$2:$I$423,7,0)</f>
        <v>2.19</v>
      </c>
      <c r="M94">
        <f t="shared" si="6"/>
        <v>56</v>
      </c>
      <c r="N94">
        <f t="shared" si="7"/>
        <v>337.26</v>
      </c>
      <c r="P94">
        <f t="shared" si="8"/>
        <v>20</v>
      </c>
      <c r="Q94">
        <f t="shared" si="9"/>
        <v>2.8</v>
      </c>
      <c r="R94">
        <f t="shared" si="10"/>
        <v>154</v>
      </c>
      <c r="S94">
        <f t="shared" si="11"/>
        <v>2.19</v>
      </c>
    </row>
    <row r="95" spans="1:19">
      <c r="A95" t="s">
        <v>173</v>
      </c>
      <c r="B95" t="s">
        <v>174</v>
      </c>
      <c r="C95">
        <v>20171</v>
      </c>
      <c r="D95">
        <f>VLOOKUP(A95,[1]Worksheet!$A$2:$I$423,4,0)</f>
        <v>12</v>
      </c>
      <c r="E95">
        <f>VLOOKUP(A95,[1]Worksheet!$A$2:$I$423,5,0)</f>
        <v>3.46</v>
      </c>
      <c r="F95">
        <f>VLOOKUP(A95,[1]Worksheet!$A$2:$I$423,6,0)</f>
        <v>155</v>
      </c>
      <c r="G95">
        <f>VLOOKUP(A95,[1]Worksheet!$A$2:$I$423,7,0)</f>
        <v>2.94</v>
      </c>
      <c r="K95">
        <v>2</v>
      </c>
      <c r="M95">
        <f t="shared" si="6"/>
        <v>41.519999999999996</v>
      </c>
      <c r="N95">
        <f t="shared" si="7"/>
        <v>455.7</v>
      </c>
      <c r="P95">
        <f t="shared" si="8"/>
        <v>14</v>
      </c>
      <c r="Q95">
        <f t="shared" si="9"/>
        <v>2.9657142857142853</v>
      </c>
      <c r="R95">
        <f t="shared" si="10"/>
        <v>157</v>
      </c>
      <c r="S95">
        <f t="shared" si="11"/>
        <v>2.9025477707006369</v>
      </c>
    </row>
    <row r="96" spans="1:19">
      <c r="A96" t="s">
        <v>45</v>
      </c>
      <c r="B96" t="s">
        <v>46</v>
      </c>
      <c r="C96">
        <v>20171</v>
      </c>
      <c r="D96">
        <f>VLOOKUP(A96,[1]Worksheet!$A$2:$I$423,4,0)</f>
        <v>22</v>
      </c>
      <c r="E96">
        <f>VLOOKUP(A96,[1]Worksheet!$A$2:$I$423,5,0)</f>
        <v>3.18</v>
      </c>
      <c r="F96">
        <f>VLOOKUP(A96,[1]Worksheet!$A$2:$I$423,6,0)</f>
        <v>141</v>
      </c>
      <c r="G96">
        <f>VLOOKUP(A96,[1]Worksheet!$A$2:$I$423,7,0)</f>
        <v>2.68</v>
      </c>
      <c r="M96">
        <f t="shared" si="6"/>
        <v>69.960000000000008</v>
      </c>
      <c r="N96">
        <f t="shared" si="7"/>
        <v>377.88</v>
      </c>
      <c r="P96">
        <f t="shared" si="8"/>
        <v>22</v>
      </c>
      <c r="Q96">
        <f t="shared" si="9"/>
        <v>3.18</v>
      </c>
      <c r="R96">
        <f t="shared" si="10"/>
        <v>141</v>
      </c>
      <c r="S96">
        <f t="shared" si="11"/>
        <v>2.68</v>
      </c>
    </row>
    <row r="97" spans="1:19">
      <c r="A97" t="s">
        <v>140</v>
      </c>
      <c r="B97" t="s">
        <v>141</v>
      </c>
      <c r="C97">
        <v>20171</v>
      </c>
      <c r="D97">
        <f>VLOOKUP(A97,[1]Worksheet!$A$2:$I$423,4,0)</f>
        <v>20</v>
      </c>
      <c r="E97">
        <f>VLOOKUP(A97,[1]Worksheet!$A$2:$I$423,5,0)</f>
        <v>3.23</v>
      </c>
      <c r="F97">
        <f>VLOOKUP(A97,[1]Worksheet!$A$2:$I$423,6,0)</f>
        <v>134</v>
      </c>
      <c r="G97">
        <f>VLOOKUP(A97,[1]Worksheet!$A$2:$I$423,7,0)</f>
        <v>2.75</v>
      </c>
      <c r="M97">
        <f t="shared" si="6"/>
        <v>64.599999999999994</v>
      </c>
      <c r="N97">
        <f t="shared" si="7"/>
        <v>368.5</v>
      </c>
      <c r="P97">
        <f t="shared" si="8"/>
        <v>20</v>
      </c>
      <c r="Q97">
        <f t="shared" si="9"/>
        <v>3.2299999999999995</v>
      </c>
      <c r="R97">
        <f t="shared" si="10"/>
        <v>134</v>
      </c>
      <c r="S97">
        <f t="shared" si="11"/>
        <v>2.75</v>
      </c>
    </row>
    <row r="98" spans="1:19">
      <c r="A98" t="s">
        <v>47</v>
      </c>
      <c r="B98" t="s">
        <v>48</v>
      </c>
      <c r="C98">
        <v>20171</v>
      </c>
      <c r="D98">
        <f>VLOOKUP(A98,[1]Worksheet!$A$2:$I$423,4,0)</f>
        <v>23</v>
      </c>
      <c r="E98">
        <f>VLOOKUP(A98,[1]Worksheet!$A$2:$I$423,5,0)</f>
        <v>2.2799999999999998</v>
      </c>
      <c r="F98">
        <f>VLOOKUP(A98,[1]Worksheet!$A$2:$I$423,6,0)</f>
        <v>133</v>
      </c>
      <c r="G98">
        <f>VLOOKUP(A98,[1]Worksheet!$A$2:$I$423,7,0)</f>
        <v>2.36</v>
      </c>
      <c r="M98">
        <f t="shared" si="6"/>
        <v>52.44</v>
      </c>
      <c r="N98">
        <f t="shared" si="7"/>
        <v>313.88</v>
      </c>
      <c r="P98">
        <f t="shared" si="8"/>
        <v>23</v>
      </c>
      <c r="Q98">
        <f t="shared" si="9"/>
        <v>2.2799999999999998</v>
      </c>
      <c r="R98">
        <f t="shared" si="10"/>
        <v>133</v>
      </c>
      <c r="S98">
        <f t="shared" si="11"/>
        <v>2.36</v>
      </c>
    </row>
    <row r="99" spans="1:19">
      <c r="A99" t="s">
        <v>261</v>
      </c>
      <c r="B99" t="s">
        <v>262</v>
      </c>
      <c r="C99">
        <v>20171</v>
      </c>
      <c r="D99">
        <f>VLOOKUP(A99,[1]Worksheet!$A$2:$I$423,4,0)</f>
        <v>14</v>
      </c>
      <c r="E99">
        <f>VLOOKUP(A99,[1]Worksheet!$A$2:$I$423,5,0)</f>
        <v>3.36</v>
      </c>
      <c r="F99">
        <f>VLOOKUP(A99,[1]Worksheet!$A$2:$I$423,6,0)</f>
        <v>140</v>
      </c>
      <c r="G99">
        <f>VLOOKUP(A99,[1]Worksheet!$A$2:$I$423,7,0)</f>
        <v>3.01</v>
      </c>
      <c r="M99">
        <f t="shared" si="6"/>
        <v>47.04</v>
      </c>
      <c r="N99">
        <f t="shared" si="7"/>
        <v>421.4</v>
      </c>
      <c r="P99">
        <f t="shared" si="8"/>
        <v>14</v>
      </c>
      <c r="Q99">
        <f t="shared" si="9"/>
        <v>3.36</v>
      </c>
      <c r="R99">
        <f t="shared" si="10"/>
        <v>140</v>
      </c>
      <c r="S99">
        <f t="shared" si="11"/>
        <v>3.01</v>
      </c>
    </row>
    <row r="100" spans="1:19">
      <c r="A100" t="s">
        <v>49</v>
      </c>
      <c r="B100" t="s">
        <v>50</v>
      </c>
      <c r="C100">
        <v>20171</v>
      </c>
      <c r="D100">
        <f>VLOOKUP(A100,[1]Worksheet!$A$2:$I$423,4,0)</f>
        <v>19</v>
      </c>
      <c r="E100">
        <f>VLOOKUP(A100,[1]Worksheet!$A$2:$I$423,5,0)</f>
        <v>2.4700000000000002</v>
      </c>
      <c r="F100">
        <f>VLOOKUP(A100,[1]Worksheet!$A$2:$I$423,6,0)</f>
        <v>131</v>
      </c>
      <c r="G100">
        <f>VLOOKUP(A100,[1]Worksheet!$A$2:$I$423,7,0)</f>
        <v>2.4300000000000002</v>
      </c>
      <c r="K100">
        <v>4</v>
      </c>
      <c r="M100">
        <f t="shared" si="6"/>
        <v>46.930000000000007</v>
      </c>
      <c r="N100">
        <f t="shared" si="7"/>
        <v>318.33000000000004</v>
      </c>
      <c r="P100">
        <f t="shared" si="8"/>
        <v>23</v>
      </c>
      <c r="Q100">
        <f t="shared" si="9"/>
        <v>2.0404347826086959</v>
      </c>
      <c r="R100">
        <f t="shared" si="10"/>
        <v>135</v>
      </c>
      <c r="S100">
        <f t="shared" si="11"/>
        <v>2.3580000000000001</v>
      </c>
    </row>
    <row r="101" spans="1:19">
      <c r="A101" t="s">
        <v>155</v>
      </c>
      <c r="B101" t="s">
        <v>156</v>
      </c>
      <c r="C101">
        <v>20171</v>
      </c>
      <c r="D101">
        <f>VLOOKUP(A101,[1]Worksheet!$A$2:$I$423,4,0)</f>
        <v>15</v>
      </c>
      <c r="E101">
        <f>VLOOKUP(A101,[1]Worksheet!$A$2:$I$423,5,0)</f>
        <v>3.57</v>
      </c>
      <c r="F101">
        <f>VLOOKUP(A101,[1]Worksheet!$A$2:$I$423,6,0)</f>
        <v>143</v>
      </c>
      <c r="G101">
        <f>VLOOKUP(A101,[1]Worksheet!$A$2:$I$423,7,0)</f>
        <v>3.19</v>
      </c>
      <c r="K101">
        <v>2</v>
      </c>
      <c r="M101">
        <f t="shared" si="6"/>
        <v>53.55</v>
      </c>
      <c r="N101">
        <f t="shared" si="7"/>
        <v>456.17</v>
      </c>
      <c r="P101">
        <f t="shared" si="8"/>
        <v>17</v>
      </c>
      <c r="Q101">
        <f t="shared" si="9"/>
        <v>3.15</v>
      </c>
      <c r="R101">
        <f t="shared" si="10"/>
        <v>145</v>
      </c>
      <c r="S101">
        <f t="shared" si="11"/>
        <v>3.1459999999999999</v>
      </c>
    </row>
    <row r="102" spans="1:19">
      <c r="A102" t="s">
        <v>175</v>
      </c>
      <c r="B102" t="s">
        <v>176</v>
      </c>
      <c r="C102">
        <v>20171</v>
      </c>
      <c r="D102">
        <f>VLOOKUP(A102,[1]Worksheet!$A$2:$I$423,4,0)</f>
        <v>18</v>
      </c>
      <c r="E102">
        <f>VLOOKUP(A102,[1]Worksheet!$A$2:$I$423,5,0)</f>
        <v>3.08</v>
      </c>
      <c r="F102">
        <f>VLOOKUP(A102,[1]Worksheet!$A$2:$I$423,6,0)</f>
        <v>133</v>
      </c>
      <c r="G102">
        <f>VLOOKUP(A102,[1]Worksheet!$A$2:$I$423,7,0)</f>
        <v>2.9</v>
      </c>
      <c r="K102">
        <v>6</v>
      </c>
      <c r="M102">
        <f t="shared" si="6"/>
        <v>55.44</v>
      </c>
      <c r="N102">
        <f t="shared" si="7"/>
        <v>385.7</v>
      </c>
      <c r="P102">
        <f t="shared" si="8"/>
        <v>24</v>
      </c>
      <c r="Q102">
        <f t="shared" si="9"/>
        <v>2.31</v>
      </c>
      <c r="R102">
        <f t="shared" si="10"/>
        <v>139</v>
      </c>
      <c r="S102">
        <f t="shared" si="11"/>
        <v>2.7748201438848921</v>
      </c>
    </row>
    <row r="103" spans="1:19">
      <c r="A103" t="s">
        <v>157</v>
      </c>
      <c r="B103" t="s">
        <v>158</v>
      </c>
      <c r="C103">
        <v>20171</v>
      </c>
      <c r="D103">
        <f>VLOOKUP(A103,[1]Worksheet!$A$2:$I$423,4,0)</f>
        <v>20</v>
      </c>
      <c r="E103">
        <f>VLOOKUP(A103,[1]Worksheet!$A$2:$I$423,5,0)</f>
        <v>3.28</v>
      </c>
      <c r="F103">
        <f>VLOOKUP(A103,[1]Worksheet!$A$2:$I$423,6,0)</f>
        <v>134</v>
      </c>
      <c r="G103">
        <f>VLOOKUP(A103,[1]Worksheet!$A$2:$I$423,7,0)</f>
        <v>2.98</v>
      </c>
      <c r="K103">
        <v>4</v>
      </c>
      <c r="M103">
        <f t="shared" si="6"/>
        <v>65.599999999999994</v>
      </c>
      <c r="N103">
        <f t="shared" si="7"/>
        <v>399.32</v>
      </c>
      <c r="P103">
        <f t="shared" si="8"/>
        <v>24</v>
      </c>
      <c r="Q103">
        <f t="shared" si="9"/>
        <v>2.7333333333333329</v>
      </c>
      <c r="R103">
        <f t="shared" si="10"/>
        <v>138</v>
      </c>
      <c r="S103">
        <f t="shared" si="11"/>
        <v>2.893623188405797</v>
      </c>
    </row>
    <row r="104" spans="1:19">
      <c r="A104" t="s">
        <v>159</v>
      </c>
      <c r="B104" t="s">
        <v>160</v>
      </c>
      <c r="C104">
        <v>20171</v>
      </c>
      <c r="D104">
        <f>VLOOKUP(A104,[1]Worksheet!$A$2:$I$423,4,0)</f>
        <v>21</v>
      </c>
      <c r="E104">
        <f>VLOOKUP(A104,[1]Worksheet!$A$2:$I$423,5,0)</f>
        <v>2.19</v>
      </c>
      <c r="F104">
        <f>VLOOKUP(A104,[1]Worksheet!$A$2:$I$423,6,0)</f>
        <v>107</v>
      </c>
      <c r="G104">
        <f>VLOOKUP(A104,[1]Worksheet!$A$2:$I$423,7,0)</f>
        <v>2.0099999999999998</v>
      </c>
      <c r="M104">
        <f t="shared" si="6"/>
        <v>45.99</v>
      </c>
      <c r="N104">
        <f t="shared" si="7"/>
        <v>215.06999999999996</v>
      </c>
      <c r="P104">
        <f t="shared" si="8"/>
        <v>21</v>
      </c>
      <c r="Q104">
        <f t="shared" si="9"/>
        <v>2.19</v>
      </c>
      <c r="R104">
        <f t="shared" si="10"/>
        <v>107</v>
      </c>
      <c r="S104">
        <f t="shared" si="11"/>
        <v>2.0099999999999998</v>
      </c>
    </row>
    <row r="105" spans="1:19">
      <c r="A105" t="s">
        <v>161</v>
      </c>
      <c r="B105" t="s">
        <v>162</v>
      </c>
      <c r="C105">
        <v>20171</v>
      </c>
      <c r="D105">
        <f>VLOOKUP(A105,[1]Worksheet!$A$2:$I$423,4,0)</f>
        <v>18</v>
      </c>
      <c r="E105">
        <f>VLOOKUP(A105,[1]Worksheet!$A$2:$I$423,5,0)</f>
        <v>2.31</v>
      </c>
      <c r="F105">
        <f>VLOOKUP(A105,[1]Worksheet!$A$2:$I$423,6,0)</f>
        <v>133</v>
      </c>
      <c r="G105">
        <f>VLOOKUP(A105,[1]Worksheet!$A$2:$I$423,7,0)</f>
        <v>2.4500000000000002</v>
      </c>
      <c r="K105">
        <v>4</v>
      </c>
      <c r="M105">
        <f t="shared" si="6"/>
        <v>41.58</v>
      </c>
      <c r="N105">
        <f t="shared" si="7"/>
        <v>325.85000000000002</v>
      </c>
      <c r="P105">
        <f t="shared" si="8"/>
        <v>22</v>
      </c>
      <c r="Q105">
        <f t="shared" si="9"/>
        <v>1.89</v>
      </c>
      <c r="R105">
        <f t="shared" si="10"/>
        <v>137</v>
      </c>
      <c r="S105">
        <f t="shared" si="11"/>
        <v>2.3784671532846717</v>
      </c>
    </row>
    <row r="106" spans="1:19">
      <c r="A106" t="s">
        <v>52</v>
      </c>
      <c r="B106" t="s">
        <v>53</v>
      </c>
      <c r="C106">
        <v>20171</v>
      </c>
      <c r="D106">
        <f>VLOOKUP(A106,[1]Worksheet!$A$2:$I$423,4,0)</f>
        <v>19</v>
      </c>
      <c r="E106">
        <f>VLOOKUP(A106,[1]Worksheet!$A$2:$I$423,5,0)</f>
        <v>2.74</v>
      </c>
      <c r="F106">
        <f>VLOOKUP(A106,[1]Worksheet!$A$2:$I$423,6,0)</f>
        <v>136</v>
      </c>
      <c r="G106">
        <f>VLOOKUP(A106,[1]Worksheet!$A$2:$I$423,7,0)</f>
        <v>2.89</v>
      </c>
      <c r="K106">
        <v>4</v>
      </c>
      <c r="M106">
        <f t="shared" si="6"/>
        <v>52.06</v>
      </c>
      <c r="N106">
        <f t="shared" si="7"/>
        <v>393.04</v>
      </c>
      <c r="P106">
        <f t="shared" si="8"/>
        <v>23</v>
      </c>
      <c r="Q106">
        <f t="shared" si="9"/>
        <v>2.2634782608695652</v>
      </c>
      <c r="R106">
        <f t="shared" si="10"/>
        <v>140</v>
      </c>
      <c r="S106">
        <f t="shared" si="11"/>
        <v>2.8074285714285714</v>
      </c>
    </row>
    <row r="107" spans="1:19">
      <c r="A107" t="s">
        <v>163</v>
      </c>
      <c r="B107" t="s">
        <v>164</v>
      </c>
      <c r="C107">
        <v>20171</v>
      </c>
      <c r="D107">
        <f>VLOOKUP(A107,[1]Worksheet!$A$2:$I$423,4,0)</f>
        <v>17</v>
      </c>
      <c r="E107">
        <f>VLOOKUP(A107,[1]Worksheet!$A$2:$I$423,5,0)</f>
        <v>2.94</v>
      </c>
      <c r="F107">
        <f>VLOOKUP(A107,[1]Worksheet!$A$2:$I$423,6,0)</f>
        <v>127</v>
      </c>
      <c r="G107">
        <f>VLOOKUP(A107,[1]Worksheet!$A$2:$I$423,7,0)</f>
        <v>2.31</v>
      </c>
      <c r="K107">
        <v>4</v>
      </c>
      <c r="M107">
        <f t="shared" si="6"/>
        <v>49.98</v>
      </c>
      <c r="N107">
        <f t="shared" si="7"/>
        <v>293.37</v>
      </c>
      <c r="P107">
        <f t="shared" si="8"/>
        <v>21</v>
      </c>
      <c r="Q107">
        <f t="shared" si="9"/>
        <v>2.38</v>
      </c>
      <c r="R107">
        <f t="shared" si="10"/>
        <v>131</v>
      </c>
      <c r="S107">
        <f t="shared" si="11"/>
        <v>2.2394656488549618</v>
      </c>
    </row>
    <row r="108" spans="1:19">
      <c r="A108" t="s">
        <v>263</v>
      </c>
      <c r="B108" t="s">
        <v>264</v>
      </c>
      <c r="C108">
        <v>20171</v>
      </c>
      <c r="D108">
        <f>VLOOKUP(A108,[1]Worksheet!$A$2:$I$423,4,0)</f>
        <v>10</v>
      </c>
      <c r="E108">
        <f>VLOOKUP(A108,[1]Worksheet!$A$2:$I$423,5,0)</f>
        <v>3.3</v>
      </c>
      <c r="F108">
        <f>VLOOKUP(A108,[1]Worksheet!$A$2:$I$423,6,0)</f>
        <v>141</v>
      </c>
      <c r="G108">
        <f>VLOOKUP(A108,[1]Worksheet!$A$2:$I$423,7,0)</f>
        <v>3.07</v>
      </c>
      <c r="K108">
        <v>6</v>
      </c>
      <c r="M108">
        <f t="shared" si="6"/>
        <v>33</v>
      </c>
      <c r="N108">
        <f t="shared" si="7"/>
        <v>432.87</v>
      </c>
      <c r="P108">
        <f t="shared" si="8"/>
        <v>16</v>
      </c>
      <c r="Q108">
        <f t="shared" si="9"/>
        <v>2.0625</v>
      </c>
      <c r="R108">
        <f t="shared" si="10"/>
        <v>147</v>
      </c>
      <c r="S108">
        <f t="shared" si="11"/>
        <v>2.9446938775510203</v>
      </c>
    </row>
    <row r="109" spans="1:19">
      <c r="A109" t="s">
        <v>142</v>
      </c>
      <c r="B109" t="s">
        <v>143</v>
      </c>
      <c r="C109">
        <v>20171</v>
      </c>
      <c r="D109">
        <f>VLOOKUP(A109,[1]Worksheet!$A$2:$I$423,4,0)</f>
        <v>19</v>
      </c>
      <c r="E109">
        <f>VLOOKUP(A109,[1]Worksheet!$A$2:$I$423,5,0)</f>
        <v>3.71</v>
      </c>
      <c r="F109">
        <f>VLOOKUP(A109,[1]Worksheet!$A$2:$I$423,6,0)</f>
        <v>142</v>
      </c>
      <c r="G109">
        <f>VLOOKUP(A109,[1]Worksheet!$A$2:$I$423,7,0)</f>
        <v>2.96</v>
      </c>
      <c r="K109">
        <v>4</v>
      </c>
      <c r="M109">
        <f t="shared" si="6"/>
        <v>70.489999999999995</v>
      </c>
      <c r="N109">
        <f t="shared" si="7"/>
        <v>420.32</v>
      </c>
      <c r="P109">
        <f t="shared" si="8"/>
        <v>23</v>
      </c>
      <c r="Q109">
        <f t="shared" si="9"/>
        <v>3.0647826086956518</v>
      </c>
      <c r="R109">
        <f t="shared" si="10"/>
        <v>146</v>
      </c>
      <c r="S109">
        <f t="shared" si="11"/>
        <v>2.8789041095890409</v>
      </c>
    </row>
    <row r="110" spans="1:19">
      <c r="A110" t="s">
        <v>265</v>
      </c>
      <c r="B110" t="s">
        <v>266</v>
      </c>
      <c r="C110">
        <v>20171</v>
      </c>
      <c r="D110">
        <f>VLOOKUP(A110,[1]Worksheet!$A$2:$I$423,4,0)</f>
        <v>18</v>
      </c>
      <c r="E110">
        <f>VLOOKUP(A110,[1]Worksheet!$A$2:$I$423,5,0)</f>
        <v>3.47</v>
      </c>
      <c r="F110">
        <f>VLOOKUP(A110,[1]Worksheet!$A$2:$I$423,6,0)</f>
        <v>146</v>
      </c>
      <c r="G110">
        <f>VLOOKUP(A110,[1]Worksheet!$A$2:$I$423,7,0)</f>
        <v>3.02</v>
      </c>
      <c r="M110">
        <f t="shared" si="6"/>
        <v>62.46</v>
      </c>
      <c r="N110">
        <f t="shared" si="7"/>
        <v>440.92</v>
      </c>
      <c r="P110">
        <f t="shared" si="8"/>
        <v>18</v>
      </c>
      <c r="Q110">
        <f t="shared" si="9"/>
        <v>3.47</v>
      </c>
      <c r="R110">
        <f t="shared" si="10"/>
        <v>146</v>
      </c>
      <c r="S110">
        <f t="shared" si="11"/>
        <v>3.02</v>
      </c>
    </row>
    <row r="111" spans="1:19">
      <c r="A111" t="s">
        <v>446</v>
      </c>
      <c r="B111" t="s">
        <v>447</v>
      </c>
      <c r="C111">
        <v>20171</v>
      </c>
      <c r="D111">
        <f>VLOOKUP(A111,[1]Worksheet!$A$2:$I$423,4,0)</f>
        <v>9</v>
      </c>
      <c r="E111">
        <f>VLOOKUP(A111,[1]Worksheet!$A$2:$I$423,5,0)</f>
        <v>0.56000000000000005</v>
      </c>
      <c r="F111">
        <f>VLOOKUP(A111,[1]Worksheet!$A$2:$I$423,6,0)</f>
        <v>109</v>
      </c>
      <c r="G111">
        <f>VLOOKUP(A111,[1]Worksheet!$A$2:$I$423,7,0)</f>
        <v>1.55</v>
      </c>
      <c r="M111">
        <f t="shared" si="6"/>
        <v>5.0400000000000009</v>
      </c>
      <c r="N111">
        <f t="shared" si="7"/>
        <v>168.95000000000002</v>
      </c>
      <c r="P111">
        <f t="shared" si="8"/>
        <v>9</v>
      </c>
      <c r="Q111">
        <f t="shared" si="9"/>
        <v>0.56000000000000005</v>
      </c>
      <c r="R111">
        <f t="shared" si="10"/>
        <v>109</v>
      </c>
      <c r="S111">
        <f t="shared" si="11"/>
        <v>1.5500000000000003</v>
      </c>
    </row>
    <row r="112" spans="1:19">
      <c r="A112" t="s">
        <v>165</v>
      </c>
      <c r="B112" t="s">
        <v>166</v>
      </c>
      <c r="C112">
        <v>20171</v>
      </c>
      <c r="D112">
        <f>VLOOKUP(A112,[1]Worksheet!$A$2:$I$423,4,0)</f>
        <v>20</v>
      </c>
      <c r="E112">
        <f>VLOOKUP(A112,[1]Worksheet!$A$2:$I$423,5,0)</f>
        <v>3</v>
      </c>
      <c r="F112">
        <f>VLOOKUP(A112,[1]Worksheet!$A$2:$I$423,6,0)</f>
        <v>123</v>
      </c>
      <c r="G112">
        <f>VLOOKUP(A112,[1]Worksheet!$A$2:$I$423,7,0)</f>
        <v>2.39</v>
      </c>
      <c r="K112">
        <v>4</v>
      </c>
      <c r="M112">
        <f t="shared" si="6"/>
        <v>60</v>
      </c>
      <c r="N112">
        <f t="shared" si="7"/>
        <v>293.97000000000003</v>
      </c>
      <c r="P112">
        <f t="shared" si="8"/>
        <v>24</v>
      </c>
      <c r="Q112">
        <f t="shared" si="9"/>
        <v>2.5</v>
      </c>
      <c r="R112">
        <f t="shared" si="10"/>
        <v>127</v>
      </c>
      <c r="S112">
        <f t="shared" si="11"/>
        <v>2.3147244094488193</v>
      </c>
    </row>
    <row r="113" spans="1:19">
      <c r="A113" t="s">
        <v>267</v>
      </c>
      <c r="B113" t="s">
        <v>268</v>
      </c>
      <c r="C113">
        <v>20171</v>
      </c>
      <c r="D113">
        <f>VLOOKUP(A113,[1]Worksheet!$A$2:$I$423,4,0)</f>
        <v>16</v>
      </c>
      <c r="E113">
        <f>VLOOKUP(A113,[1]Worksheet!$A$2:$I$423,5,0)</f>
        <v>3.44</v>
      </c>
      <c r="F113">
        <f>VLOOKUP(A113,[1]Worksheet!$A$2:$I$423,6,0)</f>
        <v>144</v>
      </c>
      <c r="G113">
        <f>VLOOKUP(A113,[1]Worksheet!$A$2:$I$423,7,0)</f>
        <v>3.22</v>
      </c>
      <c r="M113">
        <f t="shared" si="6"/>
        <v>55.04</v>
      </c>
      <c r="N113">
        <f t="shared" si="7"/>
        <v>463.68</v>
      </c>
      <c r="P113">
        <f t="shared" si="8"/>
        <v>16</v>
      </c>
      <c r="Q113">
        <f t="shared" si="9"/>
        <v>3.44</v>
      </c>
      <c r="R113">
        <f t="shared" si="10"/>
        <v>144</v>
      </c>
      <c r="S113">
        <f t="shared" si="11"/>
        <v>3.22</v>
      </c>
    </row>
    <row r="114" spans="1:19">
      <c r="A114" t="s">
        <v>257</v>
      </c>
      <c r="B114" t="s">
        <v>258</v>
      </c>
      <c r="C114">
        <v>20171</v>
      </c>
      <c r="D114">
        <f>VLOOKUP(A114,[1]Worksheet!$A$2:$I$423,4,0)</f>
        <v>13</v>
      </c>
      <c r="E114">
        <f>VLOOKUP(A114,[1]Worksheet!$A$2:$I$423,5,0)</f>
        <v>2.69</v>
      </c>
      <c r="F114">
        <f>VLOOKUP(A114,[1]Worksheet!$A$2:$I$423,6,0)</f>
        <v>137</v>
      </c>
      <c r="G114">
        <f>VLOOKUP(A114,[1]Worksheet!$A$2:$I$423,7,0)</f>
        <v>2.52</v>
      </c>
      <c r="K114">
        <v>4</v>
      </c>
      <c r="M114">
        <f t="shared" si="6"/>
        <v>34.97</v>
      </c>
      <c r="N114">
        <f t="shared" si="7"/>
        <v>345.24</v>
      </c>
      <c r="P114">
        <f t="shared" si="8"/>
        <v>17</v>
      </c>
      <c r="Q114">
        <f t="shared" si="9"/>
        <v>2.0570588235294118</v>
      </c>
      <c r="R114">
        <f t="shared" si="10"/>
        <v>141</v>
      </c>
      <c r="S114">
        <f t="shared" si="11"/>
        <v>2.4485106382978725</v>
      </c>
    </row>
    <row r="115" spans="1:19">
      <c r="A115" t="s">
        <v>54</v>
      </c>
      <c r="B115" t="s">
        <v>55</v>
      </c>
      <c r="C115">
        <v>20171</v>
      </c>
      <c r="D115">
        <f>VLOOKUP(A115,[1]Worksheet!$A$2:$I$423,4,0)</f>
        <v>23</v>
      </c>
      <c r="E115">
        <f>VLOOKUP(A115,[1]Worksheet!$A$2:$I$423,5,0)</f>
        <v>2.98</v>
      </c>
      <c r="F115">
        <f>VLOOKUP(A115,[1]Worksheet!$A$2:$I$423,6,0)</f>
        <v>125</v>
      </c>
      <c r="G115">
        <f>VLOOKUP(A115,[1]Worksheet!$A$2:$I$423,7,0)</f>
        <v>2.36</v>
      </c>
      <c r="M115">
        <f t="shared" si="6"/>
        <v>68.540000000000006</v>
      </c>
      <c r="N115">
        <f t="shared" si="7"/>
        <v>295</v>
      </c>
      <c r="P115">
        <f t="shared" si="8"/>
        <v>23</v>
      </c>
      <c r="Q115">
        <f t="shared" si="9"/>
        <v>2.9800000000000004</v>
      </c>
      <c r="R115">
        <f t="shared" si="10"/>
        <v>125</v>
      </c>
      <c r="S115">
        <f t="shared" si="11"/>
        <v>2.36</v>
      </c>
    </row>
    <row r="116" spans="1:19">
      <c r="A116" t="s">
        <v>201</v>
      </c>
      <c r="B116" t="s">
        <v>202</v>
      </c>
      <c r="C116">
        <v>20171</v>
      </c>
      <c r="D116">
        <f>VLOOKUP(A116,[1]Worksheet!$A$2:$I$423,4,0)</f>
        <v>20</v>
      </c>
      <c r="E116">
        <f>VLOOKUP(A116,[1]Worksheet!$A$2:$I$423,5,0)</f>
        <v>3.38</v>
      </c>
      <c r="F116">
        <f>VLOOKUP(A116,[1]Worksheet!$A$2:$I$423,6,0)</f>
        <v>144</v>
      </c>
      <c r="G116">
        <f>VLOOKUP(A116,[1]Worksheet!$A$2:$I$423,7,0)</f>
        <v>3</v>
      </c>
      <c r="K116">
        <v>4</v>
      </c>
      <c r="M116">
        <f t="shared" si="6"/>
        <v>67.599999999999994</v>
      </c>
      <c r="N116">
        <f t="shared" si="7"/>
        <v>432</v>
      </c>
      <c r="P116">
        <f t="shared" si="8"/>
        <v>24</v>
      </c>
      <c r="Q116">
        <f t="shared" si="9"/>
        <v>2.8166666666666664</v>
      </c>
      <c r="R116">
        <f t="shared" si="10"/>
        <v>148</v>
      </c>
      <c r="S116">
        <f t="shared" si="11"/>
        <v>2.9189189189189189</v>
      </c>
    </row>
    <row r="117" spans="1:19">
      <c r="A117" t="s">
        <v>117</v>
      </c>
      <c r="B117" t="s">
        <v>118</v>
      </c>
      <c r="C117">
        <v>20171</v>
      </c>
      <c r="D117">
        <f>VLOOKUP(A117,[1]Worksheet!$A$2:$I$423,4,0)</f>
        <v>22</v>
      </c>
      <c r="E117">
        <f>VLOOKUP(A117,[1]Worksheet!$A$2:$I$423,5,0)</f>
        <v>2.41</v>
      </c>
      <c r="F117">
        <f>VLOOKUP(A117,[1]Worksheet!$A$2:$I$423,6,0)</f>
        <v>103</v>
      </c>
      <c r="G117">
        <f>VLOOKUP(A117,[1]Worksheet!$A$2:$I$423,7,0)</f>
        <v>2.58</v>
      </c>
      <c r="M117">
        <f t="shared" si="6"/>
        <v>53.02</v>
      </c>
      <c r="N117">
        <f t="shared" si="7"/>
        <v>265.74</v>
      </c>
      <c r="P117">
        <f t="shared" si="8"/>
        <v>22</v>
      </c>
      <c r="Q117">
        <f t="shared" si="9"/>
        <v>2.41</v>
      </c>
      <c r="R117">
        <f t="shared" si="10"/>
        <v>103</v>
      </c>
      <c r="S117">
        <f t="shared" si="11"/>
        <v>2.58</v>
      </c>
    </row>
    <row r="118" spans="1:19">
      <c r="A118" t="s">
        <v>181</v>
      </c>
      <c r="B118" t="s">
        <v>182</v>
      </c>
      <c r="C118">
        <v>20171</v>
      </c>
      <c r="D118">
        <f>VLOOKUP(A118,[1]Worksheet!$A$2:$I$423,4,0)</f>
        <v>23</v>
      </c>
      <c r="E118">
        <f>VLOOKUP(A118,[1]Worksheet!$A$2:$I$423,5,0)</f>
        <v>2.5</v>
      </c>
      <c r="F118">
        <f>VLOOKUP(A118,[1]Worksheet!$A$2:$I$423,6,0)</f>
        <v>107</v>
      </c>
      <c r="G118">
        <f>VLOOKUP(A118,[1]Worksheet!$A$2:$I$423,7,0)</f>
        <v>2.2599999999999998</v>
      </c>
      <c r="M118">
        <f t="shared" si="6"/>
        <v>57.5</v>
      </c>
      <c r="N118">
        <f t="shared" si="7"/>
        <v>241.81999999999996</v>
      </c>
      <c r="P118">
        <f t="shared" si="8"/>
        <v>23</v>
      </c>
      <c r="Q118">
        <f t="shared" si="9"/>
        <v>2.5</v>
      </c>
      <c r="R118">
        <f t="shared" si="10"/>
        <v>107</v>
      </c>
      <c r="S118">
        <f t="shared" si="11"/>
        <v>2.2599999999999998</v>
      </c>
    </row>
    <row r="119" spans="1:19">
      <c r="A119" t="s">
        <v>209</v>
      </c>
      <c r="B119" t="s">
        <v>210</v>
      </c>
      <c r="C119">
        <v>20171</v>
      </c>
      <c r="D119">
        <f>VLOOKUP(A119,[1]Worksheet!$A$2:$I$423,4,0)</f>
        <v>21</v>
      </c>
      <c r="E119">
        <f>VLOOKUP(A119,[1]Worksheet!$A$2:$I$423,5,0)</f>
        <v>2.5499999999999998</v>
      </c>
      <c r="F119">
        <f>VLOOKUP(A119,[1]Worksheet!$A$2:$I$423,6,0)</f>
        <v>103</v>
      </c>
      <c r="G119">
        <f>VLOOKUP(A119,[1]Worksheet!$A$2:$I$423,7,0)</f>
        <v>2.2400000000000002</v>
      </c>
      <c r="M119">
        <f t="shared" si="6"/>
        <v>53.55</v>
      </c>
      <c r="N119">
        <f t="shared" si="7"/>
        <v>230.72000000000003</v>
      </c>
      <c r="P119">
        <f t="shared" si="8"/>
        <v>21</v>
      </c>
      <c r="Q119">
        <f t="shared" si="9"/>
        <v>2.5499999999999998</v>
      </c>
      <c r="R119">
        <f t="shared" si="10"/>
        <v>103</v>
      </c>
      <c r="S119">
        <f t="shared" si="11"/>
        <v>2.2400000000000002</v>
      </c>
    </row>
    <row r="120" spans="1:19">
      <c r="A120" t="s">
        <v>183</v>
      </c>
      <c r="B120" t="s">
        <v>184</v>
      </c>
      <c r="C120">
        <v>20171</v>
      </c>
      <c r="D120">
        <f>VLOOKUP(A120,[1]Worksheet!$A$2:$I$423,4,0)</f>
        <v>22</v>
      </c>
      <c r="E120">
        <f>VLOOKUP(A120,[1]Worksheet!$A$2:$I$423,5,0)</f>
        <v>0.77</v>
      </c>
      <c r="F120">
        <f>VLOOKUP(A120,[1]Worksheet!$A$2:$I$423,6,0)</f>
        <v>105</v>
      </c>
      <c r="G120">
        <f>VLOOKUP(A120,[1]Worksheet!$A$2:$I$423,7,0)</f>
        <v>2.48</v>
      </c>
      <c r="M120">
        <f t="shared" si="6"/>
        <v>16.940000000000001</v>
      </c>
      <c r="N120">
        <f t="shared" si="7"/>
        <v>260.39999999999998</v>
      </c>
      <c r="P120">
        <f t="shared" si="8"/>
        <v>22</v>
      </c>
      <c r="Q120">
        <f t="shared" si="9"/>
        <v>0.77</v>
      </c>
      <c r="R120">
        <f t="shared" si="10"/>
        <v>105</v>
      </c>
      <c r="S120">
        <f t="shared" si="11"/>
        <v>2.48</v>
      </c>
    </row>
    <row r="121" spans="1:19">
      <c r="A121" t="s">
        <v>211</v>
      </c>
      <c r="B121" t="s">
        <v>212</v>
      </c>
      <c r="C121">
        <v>20171</v>
      </c>
      <c r="D121">
        <f>VLOOKUP(A121,[1]Worksheet!$A$2:$I$423,4,0)</f>
        <v>21</v>
      </c>
      <c r="E121">
        <f>VLOOKUP(A121,[1]Worksheet!$A$2:$I$423,5,0)</f>
        <v>1.6</v>
      </c>
      <c r="F121">
        <f>VLOOKUP(A121,[1]Worksheet!$A$2:$I$423,6,0)</f>
        <v>92</v>
      </c>
      <c r="G121">
        <f>VLOOKUP(A121,[1]Worksheet!$A$2:$I$423,7,0)</f>
        <v>2.0099999999999998</v>
      </c>
      <c r="M121">
        <f t="shared" si="6"/>
        <v>33.6</v>
      </c>
      <c r="N121">
        <f t="shared" si="7"/>
        <v>184.92</v>
      </c>
      <c r="P121">
        <f t="shared" si="8"/>
        <v>21</v>
      </c>
      <c r="Q121">
        <f t="shared" si="9"/>
        <v>1.6</v>
      </c>
      <c r="R121">
        <f t="shared" si="10"/>
        <v>92</v>
      </c>
      <c r="S121">
        <f t="shared" si="11"/>
        <v>2.0099999999999998</v>
      </c>
    </row>
    <row r="122" spans="1:19">
      <c r="A122" t="s">
        <v>119</v>
      </c>
      <c r="B122" t="s">
        <v>120</v>
      </c>
      <c r="C122">
        <v>20171</v>
      </c>
      <c r="D122">
        <f>VLOOKUP(A122,[1]Worksheet!$A$2:$I$423,4,0)</f>
        <v>21</v>
      </c>
      <c r="E122">
        <f>VLOOKUP(A122,[1]Worksheet!$A$2:$I$423,5,0)</f>
        <v>3.55</v>
      </c>
      <c r="F122">
        <f>VLOOKUP(A122,[1]Worksheet!$A$2:$I$423,6,0)</f>
        <v>106</v>
      </c>
      <c r="G122">
        <f>VLOOKUP(A122,[1]Worksheet!$A$2:$I$423,7,0)</f>
        <v>3.53</v>
      </c>
      <c r="M122">
        <f t="shared" si="6"/>
        <v>74.55</v>
      </c>
      <c r="N122">
        <f t="shared" si="7"/>
        <v>374.18</v>
      </c>
      <c r="P122">
        <f t="shared" si="8"/>
        <v>21</v>
      </c>
      <c r="Q122">
        <f t="shared" si="9"/>
        <v>3.55</v>
      </c>
      <c r="R122">
        <f t="shared" si="10"/>
        <v>106</v>
      </c>
      <c r="S122">
        <f t="shared" si="11"/>
        <v>3.5300000000000002</v>
      </c>
    </row>
    <row r="123" spans="1:19">
      <c r="A123" t="s">
        <v>213</v>
      </c>
      <c r="B123" t="s">
        <v>214</v>
      </c>
      <c r="C123">
        <v>20171</v>
      </c>
      <c r="D123">
        <f>VLOOKUP(A123,[1]Worksheet!$A$2:$I$423,4,0)</f>
        <v>18</v>
      </c>
      <c r="E123">
        <f>VLOOKUP(A123,[1]Worksheet!$A$2:$I$423,5,0)</f>
        <v>3.14</v>
      </c>
      <c r="F123">
        <f>VLOOKUP(A123,[1]Worksheet!$A$2:$I$423,6,0)</f>
        <v>103</v>
      </c>
      <c r="G123">
        <f>VLOOKUP(A123,[1]Worksheet!$A$2:$I$423,7,0)</f>
        <v>3.15</v>
      </c>
      <c r="M123">
        <f t="shared" si="6"/>
        <v>56.52</v>
      </c>
      <c r="N123">
        <f t="shared" si="7"/>
        <v>324.45</v>
      </c>
      <c r="P123">
        <f t="shared" si="8"/>
        <v>18</v>
      </c>
      <c r="Q123">
        <f t="shared" si="9"/>
        <v>3.14</v>
      </c>
      <c r="R123">
        <f t="shared" si="10"/>
        <v>103</v>
      </c>
      <c r="S123">
        <f t="shared" si="11"/>
        <v>3.15</v>
      </c>
    </row>
    <row r="124" spans="1:19">
      <c r="A124" t="s">
        <v>237</v>
      </c>
      <c r="B124" t="s">
        <v>238</v>
      </c>
      <c r="C124">
        <v>20171</v>
      </c>
      <c r="D124">
        <f>VLOOKUP(A124,[1]Worksheet!$A$2:$I$423,4,0)</f>
        <v>20</v>
      </c>
      <c r="E124">
        <f>VLOOKUP(A124,[1]Worksheet!$A$2:$I$423,5,0)</f>
        <v>2.5499999999999998</v>
      </c>
      <c r="F124">
        <f>VLOOKUP(A124,[1]Worksheet!$A$2:$I$423,6,0)</f>
        <v>89</v>
      </c>
      <c r="G124">
        <f>VLOOKUP(A124,[1]Worksheet!$A$2:$I$423,7,0)</f>
        <v>2.12</v>
      </c>
      <c r="M124">
        <f t="shared" si="6"/>
        <v>51</v>
      </c>
      <c r="N124">
        <f t="shared" si="7"/>
        <v>188.68</v>
      </c>
      <c r="P124">
        <f t="shared" si="8"/>
        <v>20</v>
      </c>
      <c r="Q124">
        <f t="shared" si="9"/>
        <v>2.5499999999999998</v>
      </c>
      <c r="R124">
        <f t="shared" si="10"/>
        <v>89</v>
      </c>
      <c r="S124">
        <f t="shared" si="11"/>
        <v>2.12</v>
      </c>
    </row>
    <row r="125" spans="1:19">
      <c r="A125" t="s">
        <v>144</v>
      </c>
      <c r="B125" t="s">
        <v>145</v>
      </c>
      <c r="C125">
        <v>20171</v>
      </c>
      <c r="D125">
        <f>VLOOKUP(A125,[1]Worksheet!$A$2:$I$423,4,0)</f>
        <v>21</v>
      </c>
      <c r="E125">
        <f>VLOOKUP(A125,[1]Worksheet!$A$2:$I$423,5,0)</f>
        <v>3.21</v>
      </c>
      <c r="F125">
        <f>VLOOKUP(A125,[1]Worksheet!$A$2:$I$423,6,0)</f>
        <v>103</v>
      </c>
      <c r="G125">
        <f>VLOOKUP(A125,[1]Worksheet!$A$2:$I$423,7,0)</f>
        <v>2.93</v>
      </c>
      <c r="M125">
        <f t="shared" si="6"/>
        <v>67.41</v>
      </c>
      <c r="N125">
        <f t="shared" si="7"/>
        <v>301.79000000000002</v>
      </c>
      <c r="P125">
        <f t="shared" si="8"/>
        <v>21</v>
      </c>
      <c r="Q125">
        <f t="shared" si="9"/>
        <v>3.21</v>
      </c>
      <c r="R125">
        <f t="shared" si="10"/>
        <v>103</v>
      </c>
      <c r="S125">
        <f t="shared" si="11"/>
        <v>2.93</v>
      </c>
    </row>
    <row r="126" spans="1:19">
      <c r="A126" t="s">
        <v>215</v>
      </c>
      <c r="B126" t="s">
        <v>216</v>
      </c>
      <c r="C126">
        <v>20171</v>
      </c>
      <c r="D126">
        <f>VLOOKUP(A126,[1]Worksheet!$A$2:$I$423,4,0)</f>
        <v>17</v>
      </c>
      <c r="E126">
        <f>VLOOKUP(A126,[1]Worksheet!$A$2:$I$423,5,0)</f>
        <v>2.5</v>
      </c>
      <c r="F126">
        <f>VLOOKUP(A126,[1]Worksheet!$A$2:$I$423,6,0)</f>
        <v>92</v>
      </c>
      <c r="G126">
        <f>VLOOKUP(A126,[1]Worksheet!$A$2:$I$423,7,0)</f>
        <v>2.35</v>
      </c>
      <c r="M126">
        <f t="shared" si="6"/>
        <v>42.5</v>
      </c>
      <c r="N126">
        <f t="shared" si="7"/>
        <v>216.20000000000002</v>
      </c>
      <c r="P126">
        <f t="shared" si="8"/>
        <v>17</v>
      </c>
      <c r="Q126">
        <f t="shared" si="9"/>
        <v>2.5</v>
      </c>
      <c r="R126">
        <f t="shared" si="10"/>
        <v>92</v>
      </c>
      <c r="S126">
        <f t="shared" si="11"/>
        <v>2.35</v>
      </c>
    </row>
    <row r="127" spans="1:19">
      <c r="A127" t="s">
        <v>185</v>
      </c>
      <c r="B127" t="s">
        <v>186</v>
      </c>
      <c r="C127">
        <v>20171</v>
      </c>
      <c r="D127">
        <f>VLOOKUP(A127,[1]Worksheet!$A$2:$I$423,4,0)</f>
        <v>21</v>
      </c>
      <c r="E127">
        <f>VLOOKUP(A127,[1]Worksheet!$A$2:$I$423,5,0)</f>
        <v>2.52</v>
      </c>
      <c r="F127">
        <f>VLOOKUP(A127,[1]Worksheet!$A$2:$I$423,6,0)</f>
        <v>100</v>
      </c>
      <c r="G127">
        <f>VLOOKUP(A127,[1]Worksheet!$A$2:$I$423,7,0)</f>
        <v>2.61</v>
      </c>
      <c r="M127">
        <f t="shared" si="6"/>
        <v>52.92</v>
      </c>
      <c r="N127">
        <f t="shared" si="7"/>
        <v>261</v>
      </c>
      <c r="P127">
        <f t="shared" si="8"/>
        <v>21</v>
      </c>
      <c r="Q127">
        <f t="shared" si="9"/>
        <v>2.52</v>
      </c>
      <c r="R127">
        <f t="shared" si="10"/>
        <v>100</v>
      </c>
      <c r="S127">
        <f t="shared" si="11"/>
        <v>2.61</v>
      </c>
    </row>
    <row r="128" spans="1:19">
      <c r="A128" t="s">
        <v>217</v>
      </c>
      <c r="B128" t="s">
        <v>218</v>
      </c>
      <c r="C128">
        <v>20171</v>
      </c>
      <c r="D128">
        <f>VLOOKUP(A128,[1]Worksheet!$A$2:$I$423,4,0)</f>
        <v>22</v>
      </c>
      <c r="E128">
        <f>VLOOKUP(A128,[1]Worksheet!$A$2:$I$423,5,0)</f>
        <v>2.95</v>
      </c>
      <c r="F128">
        <f>VLOOKUP(A128,[1]Worksheet!$A$2:$I$423,6,0)</f>
        <v>103</v>
      </c>
      <c r="G128">
        <f>VLOOKUP(A128,[1]Worksheet!$A$2:$I$423,7,0)</f>
        <v>2.7</v>
      </c>
      <c r="M128">
        <f t="shared" si="6"/>
        <v>64.900000000000006</v>
      </c>
      <c r="N128">
        <f t="shared" si="7"/>
        <v>278.10000000000002</v>
      </c>
      <c r="P128">
        <f t="shared" si="8"/>
        <v>22</v>
      </c>
      <c r="Q128">
        <f t="shared" si="9"/>
        <v>2.95</v>
      </c>
      <c r="R128">
        <f t="shared" si="10"/>
        <v>103</v>
      </c>
      <c r="S128">
        <f t="shared" si="11"/>
        <v>2.7</v>
      </c>
    </row>
    <row r="129" spans="1:19">
      <c r="A129" t="s">
        <v>191</v>
      </c>
      <c r="B129" t="s">
        <v>192</v>
      </c>
      <c r="C129">
        <v>20171</v>
      </c>
      <c r="D129">
        <f>VLOOKUP(A129,[1]Worksheet!$A$2:$I$423,4,0)</f>
        <v>24</v>
      </c>
      <c r="E129">
        <f>VLOOKUP(A129,[1]Worksheet!$A$2:$I$423,5,0)</f>
        <v>3</v>
      </c>
      <c r="F129">
        <f>VLOOKUP(A129,[1]Worksheet!$A$2:$I$423,6,0)</f>
        <v>101</v>
      </c>
      <c r="G129">
        <f>VLOOKUP(A129,[1]Worksheet!$A$2:$I$423,7,0)</f>
        <v>2.84</v>
      </c>
      <c r="M129">
        <f t="shared" si="6"/>
        <v>72</v>
      </c>
      <c r="N129">
        <f t="shared" si="7"/>
        <v>286.83999999999997</v>
      </c>
      <c r="P129">
        <f t="shared" si="8"/>
        <v>24</v>
      </c>
      <c r="Q129">
        <f t="shared" si="9"/>
        <v>3</v>
      </c>
      <c r="R129">
        <f t="shared" si="10"/>
        <v>101</v>
      </c>
      <c r="S129">
        <f t="shared" si="11"/>
        <v>2.84</v>
      </c>
    </row>
    <row r="130" spans="1:19">
      <c r="A130" t="s">
        <v>243</v>
      </c>
      <c r="B130" t="s">
        <v>244</v>
      </c>
      <c r="C130">
        <v>20171</v>
      </c>
      <c r="D130">
        <f>VLOOKUP(A130,[1]Worksheet!$A$2:$I$423,4,0)</f>
        <v>17</v>
      </c>
      <c r="E130">
        <f>VLOOKUP(A130,[1]Worksheet!$A$2:$I$423,5,0)</f>
        <v>0</v>
      </c>
      <c r="F130">
        <f>VLOOKUP(A130,[1]Worksheet!$A$2:$I$423,6,0)</f>
        <v>102</v>
      </c>
      <c r="G130">
        <f>VLOOKUP(A130,[1]Worksheet!$A$2:$I$423,7,0)</f>
        <v>2.4500000000000002</v>
      </c>
      <c r="K130">
        <v>2</v>
      </c>
      <c r="M130">
        <f t="shared" si="6"/>
        <v>0</v>
      </c>
      <c r="N130">
        <f t="shared" si="7"/>
        <v>249.9</v>
      </c>
      <c r="P130">
        <f t="shared" si="8"/>
        <v>19</v>
      </c>
      <c r="Q130">
        <f t="shared" si="9"/>
        <v>0</v>
      </c>
      <c r="R130">
        <f t="shared" si="10"/>
        <v>104</v>
      </c>
      <c r="S130">
        <f t="shared" si="11"/>
        <v>2.4028846153846155</v>
      </c>
    </row>
    <row r="131" spans="1:19">
      <c r="A131" t="s">
        <v>219</v>
      </c>
      <c r="B131" t="s">
        <v>220</v>
      </c>
      <c r="C131">
        <v>20171</v>
      </c>
      <c r="D131">
        <f>VLOOKUP(A131,[1]Worksheet!$A$2:$I$423,4,0)</f>
        <v>18</v>
      </c>
      <c r="E131">
        <f>VLOOKUP(A131,[1]Worksheet!$A$2:$I$423,5,0)</f>
        <v>1.69</v>
      </c>
      <c r="F131">
        <f>VLOOKUP(A131,[1]Worksheet!$A$2:$I$423,6,0)</f>
        <v>88</v>
      </c>
      <c r="G131">
        <f>VLOOKUP(A131,[1]Worksheet!$A$2:$I$423,7,0)</f>
        <v>1.81</v>
      </c>
      <c r="M131">
        <f t="shared" ref="M131:M193" si="12">D131*E131</f>
        <v>30.419999999999998</v>
      </c>
      <c r="N131">
        <f t="shared" ref="N131:N193" si="13">F131*G131</f>
        <v>159.28</v>
      </c>
      <c r="P131">
        <f t="shared" ref="P131:P193" si="14">K131+D131</f>
        <v>18</v>
      </c>
      <c r="Q131">
        <f t="shared" ref="Q131:Q193" si="15">M131/P131</f>
        <v>1.69</v>
      </c>
      <c r="R131">
        <f t="shared" ref="R131:R193" si="16">F131+K131</f>
        <v>88</v>
      </c>
      <c r="S131">
        <f t="shared" ref="S131:S193" si="17">N131/R131</f>
        <v>1.81</v>
      </c>
    </row>
    <row r="132" spans="1:19">
      <c r="A132" t="s">
        <v>221</v>
      </c>
      <c r="B132" t="s">
        <v>222</v>
      </c>
      <c r="C132">
        <v>20171</v>
      </c>
      <c r="D132">
        <f>VLOOKUP(A132,[1]Worksheet!$A$2:$I$423,4,0)</f>
        <v>21</v>
      </c>
      <c r="E132">
        <f>VLOOKUP(A132,[1]Worksheet!$A$2:$I$423,5,0)</f>
        <v>2.52</v>
      </c>
      <c r="F132">
        <f>VLOOKUP(A132,[1]Worksheet!$A$2:$I$423,6,0)</f>
        <v>93</v>
      </c>
      <c r="G132">
        <f>VLOOKUP(A132,[1]Worksheet!$A$2:$I$423,7,0)</f>
        <v>2.38</v>
      </c>
      <c r="M132">
        <f t="shared" si="12"/>
        <v>52.92</v>
      </c>
      <c r="N132">
        <f t="shared" si="13"/>
        <v>221.34</v>
      </c>
      <c r="P132">
        <f t="shared" si="14"/>
        <v>21</v>
      </c>
      <c r="Q132">
        <f t="shared" si="15"/>
        <v>2.52</v>
      </c>
      <c r="R132">
        <f t="shared" si="16"/>
        <v>93</v>
      </c>
      <c r="S132">
        <f t="shared" si="17"/>
        <v>2.38</v>
      </c>
    </row>
    <row r="133" spans="1:19">
      <c r="A133" t="s">
        <v>223</v>
      </c>
      <c r="B133" t="s">
        <v>224</v>
      </c>
      <c r="C133">
        <v>20171</v>
      </c>
      <c r="D133">
        <f>VLOOKUP(A133,[1]Worksheet!$A$2:$I$423,4,0)</f>
        <v>18</v>
      </c>
      <c r="E133">
        <f>VLOOKUP(A133,[1]Worksheet!$A$2:$I$423,5,0)</f>
        <v>3.47</v>
      </c>
      <c r="F133">
        <f>VLOOKUP(A133,[1]Worksheet!$A$2:$I$423,6,0)</f>
        <v>106</v>
      </c>
      <c r="G133">
        <f>VLOOKUP(A133,[1]Worksheet!$A$2:$I$423,7,0)</f>
        <v>3.52</v>
      </c>
      <c r="M133">
        <f t="shared" si="12"/>
        <v>62.46</v>
      </c>
      <c r="N133">
        <f t="shared" si="13"/>
        <v>373.12</v>
      </c>
      <c r="P133">
        <f t="shared" si="14"/>
        <v>18</v>
      </c>
      <c r="Q133">
        <f t="shared" si="15"/>
        <v>3.47</v>
      </c>
      <c r="R133">
        <f t="shared" si="16"/>
        <v>106</v>
      </c>
      <c r="S133">
        <f t="shared" si="17"/>
        <v>3.52</v>
      </c>
    </row>
    <row r="134" spans="1:19">
      <c r="A134" t="s">
        <v>225</v>
      </c>
      <c r="B134" t="s">
        <v>226</v>
      </c>
      <c r="C134">
        <v>20171</v>
      </c>
      <c r="D134">
        <f>VLOOKUP(A134,[1]Worksheet!$A$2:$I$423,4,0)</f>
        <v>20</v>
      </c>
      <c r="E134">
        <f>VLOOKUP(A134,[1]Worksheet!$A$2:$I$423,5,0)</f>
        <v>2</v>
      </c>
      <c r="F134">
        <f>VLOOKUP(A134,[1]Worksheet!$A$2:$I$423,6,0)</f>
        <v>99</v>
      </c>
      <c r="G134">
        <f>VLOOKUP(A134,[1]Worksheet!$A$2:$I$423,7,0)</f>
        <v>2.23</v>
      </c>
      <c r="M134">
        <f t="shared" si="12"/>
        <v>40</v>
      </c>
      <c r="N134">
        <f t="shared" si="13"/>
        <v>220.77</v>
      </c>
      <c r="P134">
        <f t="shared" si="14"/>
        <v>20</v>
      </c>
      <c r="Q134">
        <f t="shared" si="15"/>
        <v>2</v>
      </c>
      <c r="R134">
        <f t="shared" si="16"/>
        <v>99</v>
      </c>
      <c r="S134">
        <f t="shared" si="17"/>
        <v>2.23</v>
      </c>
    </row>
    <row r="135" spans="1:19">
      <c r="A135" t="s">
        <v>121</v>
      </c>
      <c r="B135" t="s">
        <v>122</v>
      </c>
      <c r="C135">
        <v>20171</v>
      </c>
      <c r="D135">
        <f>VLOOKUP(A135,[1]Worksheet!$A$2:$I$423,4,0)</f>
        <v>23</v>
      </c>
      <c r="E135">
        <f>VLOOKUP(A135,[1]Worksheet!$A$2:$I$423,5,0)</f>
        <v>2.48</v>
      </c>
      <c r="F135">
        <f>VLOOKUP(A135,[1]Worksheet!$A$2:$I$423,6,0)</f>
        <v>103</v>
      </c>
      <c r="G135">
        <f>VLOOKUP(A135,[1]Worksheet!$A$2:$I$423,7,0)</f>
        <v>2.61</v>
      </c>
      <c r="M135">
        <f t="shared" si="12"/>
        <v>57.04</v>
      </c>
      <c r="N135">
        <f t="shared" si="13"/>
        <v>268.83</v>
      </c>
      <c r="P135">
        <f t="shared" si="14"/>
        <v>23</v>
      </c>
      <c r="Q135">
        <f t="shared" si="15"/>
        <v>2.48</v>
      </c>
      <c r="R135">
        <f t="shared" si="16"/>
        <v>103</v>
      </c>
      <c r="S135">
        <f t="shared" si="17"/>
        <v>2.61</v>
      </c>
    </row>
    <row r="136" spans="1:19">
      <c r="A136" t="s">
        <v>193</v>
      </c>
      <c r="B136" t="s">
        <v>194</v>
      </c>
      <c r="C136">
        <v>20171</v>
      </c>
      <c r="D136">
        <f>VLOOKUP(A136,[1]Worksheet!$A$2:$I$423,4,0)</f>
        <v>22</v>
      </c>
      <c r="E136">
        <f>VLOOKUP(A136,[1]Worksheet!$A$2:$I$423,5,0)</f>
        <v>2.5499999999999998</v>
      </c>
      <c r="F136">
        <f>VLOOKUP(A136,[1]Worksheet!$A$2:$I$423,6,0)</f>
        <v>97</v>
      </c>
      <c r="G136">
        <f>VLOOKUP(A136,[1]Worksheet!$A$2:$I$423,7,0)</f>
        <v>2.81</v>
      </c>
      <c r="M136">
        <f t="shared" si="12"/>
        <v>56.099999999999994</v>
      </c>
      <c r="N136">
        <f t="shared" si="13"/>
        <v>272.57</v>
      </c>
      <c r="P136">
        <f t="shared" si="14"/>
        <v>22</v>
      </c>
      <c r="Q136">
        <f t="shared" si="15"/>
        <v>2.5499999999999998</v>
      </c>
      <c r="R136">
        <f t="shared" si="16"/>
        <v>97</v>
      </c>
      <c r="S136">
        <f t="shared" si="17"/>
        <v>2.81</v>
      </c>
    </row>
    <row r="137" spans="1:19">
      <c r="A137" t="s">
        <v>227</v>
      </c>
      <c r="B137" t="s">
        <v>228</v>
      </c>
      <c r="C137">
        <v>20171</v>
      </c>
      <c r="D137">
        <f>VLOOKUP(A137,[1]Worksheet!$A$2:$I$423,4,0)</f>
        <v>21</v>
      </c>
      <c r="E137">
        <f>VLOOKUP(A137,[1]Worksheet!$A$2:$I$423,5,0)</f>
        <v>2.29</v>
      </c>
      <c r="F137">
        <f>VLOOKUP(A137,[1]Worksheet!$A$2:$I$423,6,0)</f>
        <v>102</v>
      </c>
      <c r="G137">
        <f>VLOOKUP(A137,[1]Worksheet!$A$2:$I$423,7,0)</f>
        <v>2.44</v>
      </c>
      <c r="M137">
        <f t="shared" si="12"/>
        <v>48.09</v>
      </c>
      <c r="N137">
        <f t="shared" si="13"/>
        <v>248.88</v>
      </c>
      <c r="P137">
        <f t="shared" si="14"/>
        <v>21</v>
      </c>
      <c r="Q137">
        <f t="shared" si="15"/>
        <v>2.29</v>
      </c>
      <c r="R137">
        <f t="shared" si="16"/>
        <v>102</v>
      </c>
      <c r="S137">
        <f t="shared" si="17"/>
        <v>2.44</v>
      </c>
    </row>
    <row r="138" spans="1:19">
      <c r="A138" t="s">
        <v>229</v>
      </c>
      <c r="B138" t="s">
        <v>230</v>
      </c>
      <c r="C138">
        <v>20171</v>
      </c>
      <c r="D138">
        <f>VLOOKUP(A138,[1]Worksheet!$A$2:$I$423,4,0)</f>
        <v>23</v>
      </c>
      <c r="E138">
        <f>VLOOKUP(A138,[1]Worksheet!$A$2:$I$423,5,0)</f>
        <v>2.93</v>
      </c>
      <c r="F138">
        <f>VLOOKUP(A138,[1]Worksheet!$A$2:$I$423,6,0)</f>
        <v>109</v>
      </c>
      <c r="G138">
        <f>VLOOKUP(A138,[1]Worksheet!$A$2:$I$423,7,0)</f>
        <v>3.22</v>
      </c>
      <c r="M138">
        <f t="shared" si="12"/>
        <v>67.39</v>
      </c>
      <c r="N138">
        <f t="shared" si="13"/>
        <v>350.98</v>
      </c>
      <c r="P138">
        <f t="shared" si="14"/>
        <v>23</v>
      </c>
      <c r="Q138">
        <f t="shared" si="15"/>
        <v>2.93</v>
      </c>
      <c r="R138">
        <f t="shared" si="16"/>
        <v>109</v>
      </c>
      <c r="S138">
        <f t="shared" si="17"/>
        <v>3.22</v>
      </c>
    </row>
    <row r="139" spans="1:19">
      <c r="A139" t="s">
        <v>231</v>
      </c>
      <c r="B139" t="s">
        <v>232</v>
      </c>
      <c r="C139">
        <v>20171</v>
      </c>
      <c r="D139">
        <f>VLOOKUP(A139,[1]Worksheet!$A$2:$I$423,4,0)</f>
        <v>20</v>
      </c>
      <c r="E139">
        <f>VLOOKUP(A139,[1]Worksheet!$A$2:$I$423,5,0)</f>
        <v>1.63</v>
      </c>
      <c r="F139">
        <f>VLOOKUP(A139,[1]Worksheet!$A$2:$I$423,6,0)</f>
        <v>102</v>
      </c>
      <c r="G139">
        <f>VLOOKUP(A139,[1]Worksheet!$A$2:$I$423,7,0)</f>
        <v>2</v>
      </c>
      <c r="M139">
        <f t="shared" si="12"/>
        <v>32.599999999999994</v>
      </c>
      <c r="N139">
        <f t="shared" si="13"/>
        <v>204</v>
      </c>
      <c r="P139">
        <f t="shared" si="14"/>
        <v>20</v>
      </c>
      <c r="Q139">
        <f t="shared" si="15"/>
        <v>1.6299999999999997</v>
      </c>
      <c r="R139">
        <f t="shared" si="16"/>
        <v>102</v>
      </c>
      <c r="S139">
        <f t="shared" si="17"/>
        <v>2</v>
      </c>
    </row>
    <row r="140" spans="1:19">
      <c r="A140" t="s">
        <v>233</v>
      </c>
      <c r="B140" t="s">
        <v>234</v>
      </c>
      <c r="C140">
        <v>20171</v>
      </c>
      <c r="D140">
        <f>VLOOKUP(A140,[1]Worksheet!$A$2:$I$423,4,0)</f>
        <v>15</v>
      </c>
      <c r="E140">
        <f>VLOOKUP(A140,[1]Worksheet!$A$2:$I$423,5,0)</f>
        <v>1.9</v>
      </c>
      <c r="F140">
        <f>VLOOKUP(A140,[1]Worksheet!$A$2:$I$423,6,0)</f>
        <v>77</v>
      </c>
      <c r="G140">
        <f>VLOOKUP(A140,[1]Worksheet!$A$2:$I$423,7,0)</f>
        <v>1.69</v>
      </c>
      <c r="M140">
        <f t="shared" si="12"/>
        <v>28.5</v>
      </c>
      <c r="N140">
        <f t="shared" si="13"/>
        <v>130.13</v>
      </c>
      <c r="P140">
        <f t="shared" si="14"/>
        <v>15</v>
      </c>
      <c r="Q140">
        <f t="shared" si="15"/>
        <v>1.9</v>
      </c>
      <c r="R140">
        <f t="shared" si="16"/>
        <v>77</v>
      </c>
      <c r="S140">
        <f t="shared" si="17"/>
        <v>1.69</v>
      </c>
    </row>
    <row r="141" spans="1:19">
      <c r="A141" t="s">
        <v>187</v>
      </c>
      <c r="B141" t="s">
        <v>188</v>
      </c>
      <c r="C141">
        <v>20171</v>
      </c>
      <c r="D141">
        <f>VLOOKUP(A141,[1]Worksheet!$A$2:$I$423,4,0)</f>
        <v>24</v>
      </c>
      <c r="E141">
        <f>VLOOKUP(A141,[1]Worksheet!$A$2:$I$423,5,0)</f>
        <v>3</v>
      </c>
      <c r="F141">
        <f>VLOOKUP(A141,[1]Worksheet!$A$2:$I$423,6,0)</f>
        <v>106</v>
      </c>
      <c r="G141">
        <f>VLOOKUP(A141,[1]Worksheet!$A$2:$I$423,7,0)</f>
        <v>3.01</v>
      </c>
      <c r="M141">
        <f t="shared" si="12"/>
        <v>72</v>
      </c>
      <c r="N141">
        <f t="shared" si="13"/>
        <v>319.06</v>
      </c>
      <c r="P141">
        <f t="shared" si="14"/>
        <v>24</v>
      </c>
      <c r="Q141">
        <f t="shared" si="15"/>
        <v>3</v>
      </c>
      <c r="R141">
        <f t="shared" si="16"/>
        <v>106</v>
      </c>
      <c r="S141">
        <f t="shared" si="17"/>
        <v>3.0100000000000002</v>
      </c>
    </row>
    <row r="142" spans="1:19">
      <c r="A142" t="s">
        <v>195</v>
      </c>
      <c r="B142" t="s">
        <v>196</v>
      </c>
      <c r="C142">
        <v>20171</v>
      </c>
      <c r="D142">
        <f>VLOOKUP(A142,[1]Worksheet!$A$2:$I$423,4,0)</f>
        <v>22</v>
      </c>
      <c r="E142">
        <f>VLOOKUP(A142,[1]Worksheet!$A$2:$I$423,5,0)</f>
        <v>2.7</v>
      </c>
      <c r="F142">
        <f>VLOOKUP(A142,[1]Worksheet!$A$2:$I$423,6,0)</f>
        <v>102</v>
      </c>
      <c r="G142">
        <f>VLOOKUP(A142,[1]Worksheet!$A$2:$I$423,7,0)</f>
        <v>2.7</v>
      </c>
      <c r="M142">
        <f t="shared" si="12"/>
        <v>59.400000000000006</v>
      </c>
      <c r="N142">
        <f t="shared" si="13"/>
        <v>275.40000000000003</v>
      </c>
      <c r="P142">
        <f t="shared" si="14"/>
        <v>22</v>
      </c>
      <c r="Q142">
        <f t="shared" si="15"/>
        <v>2.7</v>
      </c>
      <c r="R142">
        <f t="shared" si="16"/>
        <v>102</v>
      </c>
      <c r="S142">
        <f t="shared" si="17"/>
        <v>2.7</v>
      </c>
    </row>
    <row r="143" spans="1:19">
      <c r="A143" t="s">
        <v>56</v>
      </c>
      <c r="B143" t="s">
        <v>57</v>
      </c>
      <c r="C143">
        <v>20171</v>
      </c>
      <c r="D143">
        <f>VLOOKUP(A143,[1]Worksheet!$A$2:$I$423,4,0)</f>
        <v>21</v>
      </c>
      <c r="E143">
        <f>VLOOKUP(A143,[1]Worksheet!$A$2:$I$423,5,0)</f>
        <v>2.88</v>
      </c>
      <c r="F143">
        <f>VLOOKUP(A143,[1]Worksheet!$A$2:$I$423,6,0)</f>
        <v>62</v>
      </c>
      <c r="G143">
        <f>VLOOKUP(A143,[1]Worksheet!$A$2:$I$423,7,0)</f>
        <v>2.97</v>
      </c>
      <c r="M143">
        <f t="shared" si="12"/>
        <v>60.48</v>
      </c>
      <c r="N143">
        <f t="shared" si="13"/>
        <v>184.14000000000001</v>
      </c>
      <c r="P143">
        <f t="shared" si="14"/>
        <v>21</v>
      </c>
      <c r="Q143">
        <f t="shared" si="15"/>
        <v>2.88</v>
      </c>
      <c r="R143">
        <f t="shared" si="16"/>
        <v>62</v>
      </c>
      <c r="S143">
        <f t="shared" si="17"/>
        <v>2.97</v>
      </c>
    </row>
    <row r="144" spans="1:19">
      <c r="A144" t="s">
        <v>58</v>
      </c>
      <c r="B144" t="s">
        <v>59</v>
      </c>
      <c r="C144">
        <v>20171</v>
      </c>
      <c r="D144">
        <f>VLOOKUP(A144,[1]Worksheet!$A$2:$I$423,4,0)</f>
        <v>17</v>
      </c>
      <c r="E144">
        <f>VLOOKUP(A144,[1]Worksheet!$A$2:$I$423,5,0)</f>
        <v>1.06</v>
      </c>
      <c r="F144">
        <f>VLOOKUP(A144,[1]Worksheet!$A$2:$I$423,6,0)</f>
        <v>58</v>
      </c>
      <c r="G144">
        <f>VLOOKUP(A144,[1]Worksheet!$A$2:$I$423,7,0)</f>
        <v>1.87</v>
      </c>
      <c r="K144">
        <v>1</v>
      </c>
      <c r="M144">
        <f t="shared" si="12"/>
        <v>18.02</v>
      </c>
      <c r="N144">
        <f t="shared" si="13"/>
        <v>108.46000000000001</v>
      </c>
      <c r="P144">
        <f t="shared" si="14"/>
        <v>18</v>
      </c>
      <c r="Q144">
        <f t="shared" si="15"/>
        <v>1.0011111111111111</v>
      </c>
      <c r="R144">
        <f t="shared" si="16"/>
        <v>59</v>
      </c>
      <c r="S144">
        <f t="shared" si="17"/>
        <v>1.8383050847457629</v>
      </c>
    </row>
    <row r="145" spans="1:19">
      <c r="A145" t="s">
        <v>60</v>
      </c>
      <c r="B145" t="s">
        <v>61</v>
      </c>
      <c r="C145">
        <v>20171</v>
      </c>
      <c r="D145">
        <f>VLOOKUP(A145,[1]Worksheet!$A$2:$I$423,4,0)</f>
        <v>21</v>
      </c>
      <c r="E145">
        <f>VLOOKUP(A145,[1]Worksheet!$A$2:$I$423,5,0)</f>
        <v>2.62</v>
      </c>
      <c r="F145">
        <f>VLOOKUP(A145,[1]Worksheet!$A$2:$I$423,6,0)</f>
        <v>62</v>
      </c>
      <c r="G145">
        <f>VLOOKUP(A145,[1]Worksheet!$A$2:$I$423,7,0)</f>
        <v>3.03</v>
      </c>
      <c r="M145">
        <f t="shared" si="12"/>
        <v>55.02</v>
      </c>
      <c r="N145">
        <f t="shared" si="13"/>
        <v>187.85999999999999</v>
      </c>
      <c r="P145">
        <f t="shared" si="14"/>
        <v>21</v>
      </c>
      <c r="Q145">
        <f t="shared" si="15"/>
        <v>2.62</v>
      </c>
      <c r="R145">
        <f t="shared" si="16"/>
        <v>62</v>
      </c>
      <c r="S145">
        <f t="shared" si="17"/>
        <v>3.03</v>
      </c>
    </row>
    <row r="146" spans="1:19">
      <c r="A146" t="s">
        <v>123</v>
      </c>
      <c r="B146" t="s">
        <v>124</v>
      </c>
      <c r="C146">
        <v>20171</v>
      </c>
      <c r="D146">
        <f>VLOOKUP(A146,[1]Worksheet!$A$2:$I$423,4,0)</f>
        <v>18</v>
      </c>
      <c r="E146">
        <f>VLOOKUP(A146,[1]Worksheet!$A$2:$I$423,5,0)</f>
        <v>2.5</v>
      </c>
      <c r="F146">
        <f>VLOOKUP(A146,[1]Worksheet!$A$2:$I$423,6,0)</f>
        <v>59</v>
      </c>
      <c r="G146">
        <f>VLOOKUP(A146,[1]Worksheet!$A$2:$I$423,7,0)</f>
        <v>2.31</v>
      </c>
      <c r="M146">
        <f t="shared" si="12"/>
        <v>45</v>
      </c>
      <c r="N146">
        <f t="shared" si="13"/>
        <v>136.29</v>
      </c>
      <c r="P146">
        <f t="shared" si="14"/>
        <v>18</v>
      </c>
      <c r="Q146">
        <f t="shared" si="15"/>
        <v>2.5</v>
      </c>
      <c r="R146">
        <f t="shared" si="16"/>
        <v>59</v>
      </c>
      <c r="S146">
        <f t="shared" si="17"/>
        <v>2.31</v>
      </c>
    </row>
    <row r="147" spans="1:19">
      <c r="A147" t="s">
        <v>64</v>
      </c>
      <c r="B147" t="s">
        <v>65</v>
      </c>
      <c r="C147">
        <v>20171</v>
      </c>
      <c r="D147">
        <f>VLOOKUP(A147,[1]Worksheet!$A$2:$I$423,4,0)</f>
        <v>21</v>
      </c>
      <c r="E147">
        <f>VLOOKUP(A147,[1]Worksheet!$A$2:$I$423,5,0)</f>
        <v>2.02</v>
      </c>
      <c r="F147">
        <f>VLOOKUP(A147,[1]Worksheet!$A$2:$I$423,6,0)</f>
        <v>62</v>
      </c>
      <c r="G147">
        <f>VLOOKUP(A147,[1]Worksheet!$A$2:$I$423,7,0)</f>
        <v>2.42</v>
      </c>
      <c r="M147">
        <f t="shared" si="12"/>
        <v>42.42</v>
      </c>
      <c r="N147">
        <f t="shared" si="13"/>
        <v>150.04</v>
      </c>
      <c r="P147">
        <f t="shared" si="14"/>
        <v>21</v>
      </c>
      <c r="Q147">
        <f t="shared" si="15"/>
        <v>2.02</v>
      </c>
      <c r="R147">
        <f t="shared" si="16"/>
        <v>62</v>
      </c>
      <c r="S147">
        <f t="shared" si="17"/>
        <v>2.42</v>
      </c>
    </row>
    <row r="148" spans="1:19">
      <c r="A148" t="s">
        <v>66</v>
      </c>
      <c r="B148" t="s">
        <v>67</v>
      </c>
      <c r="C148">
        <v>20171</v>
      </c>
      <c r="D148">
        <f>VLOOKUP(A148,[1]Worksheet!$A$2:$I$423,4,0)</f>
        <v>21</v>
      </c>
      <c r="E148">
        <f>VLOOKUP(A148,[1]Worksheet!$A$2:$I$423,5,0)</f>
        <v>3.12</v>
      </c>
      <c r="F148">
        <f>VLOOKUP(A148,[1]Worksheet!$A$2:$I$423,6,0)</f>
        <v>62</v>
      </c>
      <c r="G148">
        <f>VLOOKUP(A148,[1]Worksheet!$A$2:$I$423,7,0)</f>
        <v>3.2</v>
      </c>
      <c r="M148">
        <f t="shared" si="12"/>
        <v>65.52</v>
      </c>
      <c r="N148">
        <f t="shared" si="13"/>
        <v>198.4</v>
      </c>
      <c r="P148">
        <f t="shared" si="14"/>
        <v>21</v>
      </c>
      <c r="Q148">
        <f t="shared" si="15"/>
        <v>3.1199999999999997</v>
      </c>
      <c r="R148">
        <f t="shared" si="16"/>
        <v>62</v>
      </c>
      <c r="S148">
        <f t="shared" si="17"/>
        <v>3.2</v>
      </c>
    </row>
    <row r="149" spans="1:19">
      <c r="A149" t="s">
        <v>68</v>
      </c>
      <c r="B149" t="s">
        <v>69</v>
      </c>
      <c r="C149">
        <v>20171</v>
      </c>
      <c r="D149">
        <f>VLOOKUP(A149,[1]Worksheet!$A$2:$I$423,4,0)</f>
        <v>21</v>
      </c>
      <c r="E149">
        <f>VLOOKUP(A149,[1]Worksheet!$A$2:$I$423,5,0)</f>
        <v>2.62</v>
      </c>
      <c r="F149">
        <f>VLOOKUP(A149,[1]Worksheet!$A$2:$I$423,6,0)</f>
        <v>62</v>
      </c>
      <c r="G149">
        <f>VLOOKUP(A149,[1]Worksheet!$A$2:$I$423,7,0)</f>
        <v>2.88</v>
      </c>
      <c r="M149">
        <f t="shared" si="12"/>
        <v>55.02</v>
      </c>
      <c r="N149">
        <f t="shared" si="13"/>
        <v>178.56</v>
      </c>
      <c r="P149">
        <f t="shared" si="14"/>
        <v>21</v>
      </c>
      <c r="Q149">
        <f t="shared" si="15"/>
        <v>2.62</v>
      </c>
      <c r="R149">
        <f t="shared" si="16"/>
        <v>62</v>
      </c>
      <c r="S149">
        <f t="shared" si="17"/>
        <v>2.88</v>
      </c>
    </row>
    <row r="150" spans="1:19">
      <c r="A150" t="s">
        <v>70</v>
      </c>
      <c r="B150" t="s">
        <v>71</v>
      </c>
      <c r="C150">
        <v>20171</v>
      </c>
      <c r="D150">
        <f>VLOOKUP(A150,[1]Worksheet!$A$2:$I$423,4,0)</f>
        <v>15</v>
      </c>
      <c r="E150">
        <f>VLOOKUP(A150,[1]Worksheet!$A$2:$I$423,5,0)</f>
        <v>0.93</v>
      </c>
      <c r="F150">
        <f>VLOOKUP(A150,[1]Worksheet!$A$2:$I$423,6,0)</f>
        <v>54</v>
      </c>
      <c r="G150">
        <f>VLOOKUP(A150,[1]Worksheet!$A$2:$I$423,7,0)</f>
        <v>1.87</v>
      </c>
      <c r="M150">
        <f t="shared" si="12"/>
        <v>13.950000000000001</v>
      </c>
      <c r="N150">
        <f t="shared" si="13"/>
        <v>100.98</v>
      </c>
      <c r="P150">
        <f t="shared" si="14"/>
        <v>15</v>
      </c>
      <c r="Q150">
        <f t="shared" si="15"/>
        <v>0.93</v>
      </c>
      <c r="R150">
        <f t="shared" si="16"/>
        <v>54</v>
      </c>
      <c r="S150">
        <f t="shared" si="17"/>
        <v>1.87</v>
      </c>
    </row>
    <row r="151" spans="1:19">
      <c r="A151" t="s">
        <v>72</v>
      </c>
      <c r="B151" t="s">
        <v>73</v>
      </c>
      <c r="C151">
        <v>20171</v>
      </c>
      <c r="D151">
        <f>VLOOKUP(A151,[1]Worksheet!$A$2:$I$423,4,0)</f>
        <v>21</v>
      </c>
      <c r="E151">
        <f>VLOOKUP(A151,[1]Worksheet!$A$2:$I$423,5,0)</f>
        <v>1.69</v>
      </c>
      <c r="F151">
        <f>VLOOKUP(A151,[1]Worksheet!$A$2:$I$423,6,0)</f>
        <v>62</v>
      </c>
      <c r="G151">
        <f>VLOOKUP(A151,[1]Worksheet!$A$2:$I$423,7,0)</f>
        <v>2.2400000000000002</v>
      </c>
      <c r="M151">
        <f t="shared" si="12"/>
        <v>35.49</v>
      </c>
      <c r="N151">
        <f t="shared" si="13"/>
        <v>138.88000000000002</v>
      </c>
      <c r="P151">
        <f t="shared" si="14"/>
        <v>21</v>
      </c>
      <c r="Q151">
        <f t="shared" si="15"/>
        <v>1.6900000000000002</v>
      </c>
      <c r="R151">
        <f t="shared" si="16"/>
        <v>62</v>
      </c>
      <c r="S151">
        <f t="shared" si="17"/>
        <v>2.2400000000000002</v>
      </c>
    </row>
    <row r="152" spans="1:19">
      <c r="A152" t="s">
        <v>74</v>
      </c>
      <c r="B152" t="s">
        <v>75</v>
      </c>
      <c r="C152">
        <v>20171</v>
      </c>
      <c r="D152">
        <f>VLOOKUP(A152,[1]Worksheet!$A$2:$I$423,4,0)</f>
        <v>21</v>
      </c>
      <c r="E152">
        <f>VLOOKUP(A152,[1]Worksheet!$A$2:$I$423,5,0)</f>
        <v>2.1</v>
      </c>
      <c r="F152">
        <f>VLOOKUP(A152,[1]Worksheet!$A$2:$I$423,6,0)</f>
        <v>60</v>
      </c>
      <c r="G152">
        <f>VLOOKUP(A152,[1]Worksheet!$A$2:$I$423,7,0)</f>
        <v>2.63</v>
      </c>
      <c r="M152">
        <f t="shared" si="12"/>
        <v>44.1</v>
      </c>
      <c r="N152">
        <f t="shared" si="13"/>
        <v>157.79999999999998</v>
      </c>
      <c r="P152">
        <f t="shared" si="14"/>
        <v>21</v>
      </c>
      <c r="Q152">
        <f t="shared" si="15"/>
        <v>2.1</v>
      </c>
      <c r="R152">
        <f t="shared" si="16"/>
        <v>60</v>
      </c>
      <c r="S152">
        <f t="shared" si="17"/>
        <v>2.63</v>
      </c>
    </row>
    <row r="153" spans="1:19">
      <c r="A153" t="s">
        <v>76</v>
      </c>
      <c r="B153" t="s">
        <v>77</v>
      </c>
      <c r="C153">
        <v>20171</v>
      </c>
      <c r="D153">
        <f>VLOOKUP(A153,[1]Worksheet!$A$2:$I$423,4,0)</f>
        <v>21</v>
      </c>
      <c r="E153">
        <f>VLOOKUP(A153,[1]Worksheet!$A$2:$I$423,5,0)</f>
        <v>2.29</v>
      </c>
      <c r="F153">
        <f>VLOOKUP(A153,[1]Worksheet!$A$2:$I$423,6,0)</f>
        <v>60</v>
      </c>
      <c r="G153">
        <f>VLOOKUP(A153,[1]Worksheet!$A$2:$I$423,7,0)</f>
        <v>2.48</v>
      </c>
      <c r="M153">
        <f t="shared" si="12"/>
        <v>48.09</v>
      </c>
      <c r="N153">
        <f t="shared" si="13"/>
        <v>148.80000000000001</v>
      </c>
      <c r="P153">
        <f t="shared" si="14"/>
        <v>21</v>
      </c>
      <c r="Q153">
        <f t="shared" si="15"/>
        <v>2.29</v>
      </c>
      <c r="R153">
        <f t="shared" si="16"/>
        <v>60</v>
      </c>
      <c r="S153">
        <f t="shared" si="17"/>
        <v>2.48</v>
      </c>
    </row>
    <row r="154" spans="1:19">
      <c r="A154" t="s">
        <v>126</v>
      </c>
      <c r="B154" t="s">
        <v>127</v>
      </c>
      <c r="C154">
        <v>20171</v>
      </c>
      <c r="D154">
        <f>VLOOKUP(A154,[1]Worksheet!$A$2:$I$423,4,0)</f>
        <v>18</v>
      </c>
      <c r="E154">
        <f>VLOOKUP(A154,[1]Worksheet!$A$2:$I$423,5,0)</f>
        <v>1.31</v>
      </c>
      <c r="F154">
        <f>VLOOKUP(A154,[1]Worksheet!$A$2:$I$423,6,0)</f>
        <v>59</v>
      </c>
      <c r="G154">
        <f>VLOOKUP(A154,[1]Worksheet!$A$2:$I$423,7,0)</f>
        <v>2.02</v>
      </c>
      <c r="M154">
        <f t="shared" si="12"/>
        <v>23.580000000000002</v>
      </c>
      <c r="N154">
        <f t="shared" si="13"/>
        <v>119.18</v>
      </c>
      <c r="P154">
        <f t="shared" si="14"/>
        <v>18</v>
      </c>
      <c r="Q154">
        <f t="shared" si="15"/>
        <v>1.31</v>
      </c>
      <c r="R154">
        <f t="shared" si="16"/>
        <v>59</v>
      </c>
      <c r="S154">
        <f t="shared" si="17"/>
        <v>2.02</v>
      </c>
    </row>
    <row r="155" spans="1:19">
      <c r="A155" t="s">
        <v>128</v>
      </c>
      <c r="B155" t="s">
        <v>129</v>
      </c>
      <c r="C155">
        <v>20171</v>
      </c>
      <c r="D155">
        <f>VLOOKUP(A155,[1]Worksheet!$A$2:$I$423,4,0)</f>
        <v>18</v>
      </c>
      <c r="E155">
        <f>VLOOKUP(A155,[1]Worksheet!$A$2:$I$423,5,0)</f>
        <v>2.14</v>
      </c>
      <c r="F155">
        <f>VLOOKUP(A155,[1]Worksheet!$A$2:$I$423,6,0)</f>
        <v>59</v>
      </c>
      <c r="G155">
        <f>VLOOKUP(A155,[1]Worksheet!$A$2:$I$423,7,0)</f>
        <v>2.25</v>
      </c>
      <c r="M155">
        <f t="shared" si="12"/>
        <v>38.520000000000003</v>
      </c>
      <c r="N155">
        <f t="shared" si="13"/>
        <v>132.75</v>
      </c>
      <c r="P155">
        <f t="shared" si="14"/>
        <v>18</v>
      </c>
      <c r="Q155">
        <f t="shared" si="15"/>
        <v>2.14</v>
      </c>
      <c r="R155">
        <f t="shared" si="16"/>
        <v>59</v>
      </c>
      <c r="S155">
        <f t="shared" si="17"/>
        <v>2.25</v>
      </c>
    </row>
    <row r="156" spans="1:19">
      <c r="A156" t="s">
        <v>78</v>
      </c>
      <c r="B156" t="s">
        <v>79</v>
      </c>
      <c r="C156">
        <v>20171</v>
      </c>
      <c r="D156">
        <f>VLOOKUP(A156,[1]Worksheet!$A$2:$I$423,4,0)</f>
        <v>20</v>
      </c>
      <c r="E156">
        <f>VLOOKUP(A156,[1]Worksheet!$A$2:$I$423,5,0)</f>
        <v>2.0499999999999998</v>
      </c>
      <c r="F156">
        <f>VLOOKUP(A156,[1]Worksheet!$A$2:$I$423,6,0)</f>
        <v>63</v>
      </c>
      <c r="G156">
        <f>VLOOKUP(A156,[1]Worksheet!$A$2:$I$423,7,0)</f>
        <v>2.41</v>
      </c>
      <c r="M156">
        <f t="shared" si="12"/>
        <v>41</v>
      </c>
      <c r="N156">
        <f t="shared" si="13"/>
        <v>151.83000000000001</v>
      </c>
      <c r="P156">
        <f t="shared" si="14"/>
        <v>20</v>
      </c>
      <c r="Q156">
        <f t="shared" si="15"/>
        <v>2.0499999999999998</v>
      </c>
      <c r="R156">
        <f t="shared" si="16"/>
        <v>63</v>
      </c>
      <c r="S156">
        <f t="shared" si="17"/>
        <v>2.41</v>
      </c>
    </row>
    <row r="157" spans="1:19">
      <c r="A157" t="s">
        <v>80</v>
      </c>
      <c r="B157" t="s">
        <v>81</v>
      </c>
      <c r="C157">
        <v>20171</v>
      </c>
      <c r="D157">
        <f>VLOOKUP(A157,[1]Worksheet!$A$2:$I$423,4,0)</f>
        <v>23</v>
      </c>
      <c r="E157">
        <f>VLOOKUP(A157,[1]Worksheet!$A$2:$I$423,5,0)</f>
        <v>3.22</v>
      </c>
      <c r="F157">
        <f>VLOOKUP(A157,[1]Worksheet!$A$2:$I$423,6,0)</f>
        <v>66</v>
      </c>
      <c r="G157">
        <f>VLOOKUP(A157,[1]Worksheet!$A$2:$I$423,7,0)</f>
        <v>3.1</v>
      </c>
      <c r="M157">
        <f t="shared" si="12"/>
        <v>74.06</v>
      </c>
      <c r="N157">
        <f t="shared" si="13"/>
        <v>204.6</v>
      </c>
      <c r="P157">
        <f t="shared" si="14"/>
        <v>23</v>
      </c>
      <c r="Q157">
        <f t="shared" si="15"/>
        <v>3.22</v>
      </c>
      <c r="R157">
        <f t="shared" si="16"/>
        <v>66</v>
      </c>
      <c r="S157">
        <f t="shared" si="17"/>
        <v>3.1</v>
      </c>
    </row>
    <row r="158" spans="1:19">
      <c r="A158" t="s">
        <v>83</v>
      </c>
      <c r="B158" t="s">
        <v>84</v>
      </c>
      <c r="C158">
        <v>20171</v>
      </c>
      <c r="D158">
        <f>VLOOKUP(A158,[1]Worksheet!$A$2:$I$423,4,0)</f>
        <v>21</v>
      </c>
      <c r="E158">
        <f>VLOOKUP(A158,[1]Worksheet!$A$2:$I$423,5,0)</f>
        <v>2.38</v>
      </c>
      <c r="F158">
        <f>VLOOKUP(A158,[1]Worksheet!$A$2:$I$423,6,0)</f>
        <v>62</v>
      </c>
      <c r="G158">
        <f>VLOOKUP(A158,[1]Worksheet!$A$2:$I$423,7,0)</f>
        <v>2.65</v>
      </c>
      <c r="M158">
        <f t="shared" si="12"/>
        <v>49.98</v>
      </c>
      <c r="N158">
        <f t="shared" si="13"/>
        <v>164.29999999999998</v>
      </c>
      <c r="P158">
        <f t="shared" si="14"/>
        <v>21</v>
      </c>
      <c r="Q158">
        <f t="shared" si="15"/>
        <v>2.38</v>
      </c>
      <c r="R158">
        <f t="shared" si="16"/>
        <v>62</v>
      </c>
      <c r="S158">
        <f t="shared" si="17"/>
        <v>2.65</v>
      </c>
    </row>
    <row r="159" spans="1:19">
      <c r="A159" t="s">
        <v>85</v>
      </c>
      <c r="B159" t="s">
        <v>86</v>
      </c>
      <c r="C159">
        <v>20171</v>
      </c>
      <c r="D159">
        <f>VLOOKUP(A159,[1]Worksheet!$A$2:$I$423,4,0)</f>
        <v>21</v>
      </c>
      <c r="E159">
        <f>VLOOKUP(A159,[1]Worksheet!$A$2:$I$423,5,0)</f>
        <v>3.17</v>
      </c>
      <c r="F159">
        <f>VLOOKUP(A159,[1]Worksheet!$A$2:$I$423,6,0)</f>
        <v>64</v>
      </c>
      <c r="G159">
        <f>VLOOKUP(A159,[1]Worksheet!$A$2:$I$423,7,0)</f>
        <v>3.22</v>
      </c>
      <c r="M159">
        <f t="shared" si="12"/>
        <v>66.569999999999993</v>
      </c>
      <c r="N159">
        <f t="shared" si="13"/>
        <v>206.08</v>
      </c>
      <c r="P159">
        <f t="shared" si="14"/>
        <v>21</v>
      </c>
      <c r="Q159">
        <f t="shared" si="15"/>
        <v>3.1699999999999995</v>
      </c>
      <c r="R159">
        <f t="shared" si="16"/>
        <v>64</v>
      </c>
      <c r="S159">
        <f t="shared" si="17"/>
        <v>3.22</v>
      </c>
    </row>
    <row r="160" spans="1:19">
      <c r="A160" t="s">
        <v>87</v>
      </c>
      <c r="B160" t="s">
        <v>88</v>
      </c>
      <c r="C160">
        <v>20171</v>
      </c>
      <c r="D160">
        <f>VLOOKUP(A160,[1]Worksheet!$A$2:$I$423,4,0)</f>
        <v>21</v>
      </c>
      <c r="E160">
        <f>VLOOKUP(A160,[1]Worksheet!$A$2:$I$423,5,0)</f>
        <v>1.98</v>
      </c>
      <c r="F160">
        <f>VLOOKUP(A160,[1]Worksheet!$A$2:$I$423,6,0)</f>
        <v>64</v>
      </c>
      <c r="G160">
        <f>VLOOKUP(A160,[1]Worksheet!$A$2:$I$423,7,0)</f>
        <v>2.5299999999999998</v>
      </c>
      <c r="M160">
        <f t="shared" si="12"/>
        <v>41.58</v>
      </c>
      <c r="N160">
        <f t="shared" si="13"/>
        <v>161.91999999999999</v>
      </c>
      <c r="P160">
        <f t="shared" si="14"/>
        <v>21</v>
      </c>
      <c r="Q160">
        <f t="shared" si="15"/>
        <v>1.98</v>
      </c>
      <c r="R160">
        <f t="shared" si="16"/>
        <v>64</v>
      </c>
      <c r="S160">
        <f t="shared" si="17"/>
        <v>2.5299999999999998</v>
      </c>
    </row>
    <row r="161" spans="1:19">
      <c r="A161" t="s">
        <v>89</v>
      </c>
      <c r="B161" t="s">
        <v>90</v>
      </c>
      <c r="C161">
        <v>20171</v>
      </c>
      <c r="D161">
        <f>VLOOKUP(A161,[1]Worksheet!$A$2:$I$423,4,0)</f>
        <v>21</v>
      </c>
      <c r="E161">
        <f>VLOOKUP(A161,[1]Worksheet!$A$2:$I$423,5,0)</f>
        <v>2.6</v>
      </c>
      <c r="F161">
        <f>VLOOKUP(A161,[1]Worksheet!$A$2:$I$423,6,0)</f>
        <v>64</v>
      </c>
      <c r="G161">
        <f>VLOOKUP(A161,[1]Worksheet!$A$2:$I$423,7,0)</f>
        <v>2.81</v>
      </c>
      <c r="M161">
        <f t="shared" si="12"/>
        <v>54.6</v>
      </c>
      <c r="N161">
        <f t="shared" si="13"/>
        <v>179.84</v>
      </c>
      <c r="P161">
        <f t="shared" si="14"/>
        <v>21</v>
      </c>
      <c r="Q161">
        <f t="shared" si="15"/>
        <v>2.6</v>
      </c>
      <c r="R161">
        <f t="shared" si="16"/>
        <v>64</v>
      </c>
      <c r="S161">
        <f t="shared" si="17"/>
        <v>2.81</v>
      </c>
    </row>
    <row r="162" spans="1:19">
      <c r="A162" t="s">
        <v>91</v>
      </c>
      <c r="B162" t="s">
        <v>92</v>
      </c>
      <c r="C162">
        <v>20171</v>
      </c>
      <c r="D162">
        <f>VLOOKUP(A162,[1]Worksheet!$A$2:$I$423,4,0)</f>
        <v>23</v>
      </c>
      <c r="E162">
        <f>VLOOKUP(A162,[1]Worksheet!$A$2:$I$423,5,0)</f>
        <v>2.87</v>
      </c>
      <c r="F162">
        <f>VLOOKUP(A162,[1]Worksheet!$A$2:$I$423,6,0)</f>
        <v>66</v>
      </c>
      <c r="G162">
        <f>VLOOKUP(A162,[1]Worksheet!$A$2:$I$423,7,0)</f>
        <v>3.05</v>
      </c>
      <c r="M162">
        <f t="shared" si="12"/>
        <v>66.010000000000005</v>
      </c>
      <c r="N162">
        <f t="shared" si="13"/>
        <v>201.29999999999998</v>
      </c>
      <c r="P162">
        <f t="shared" si="14"/>
        <v>23</v>
      </c>
      <c r="Q162">
        <f t="shared" si="15"/>
        <v>2.87</v>
      </c>
      <c r="R162">
        <f t="shared" si="16"/>
        <v>66</v>
      </c>
      <c r="S162">
        <f t="shared" si="17"/>
        <v>3.05</v>
      </c>
    </row>
    <row r="163" spans="1:19">
      <c r="A163" t="s">
        <v>93</v>
      </c>
      <c r="B163" t="s">
        <v>94</v>
      </c>
      <c r="C163">
        <v>20171</v>
      </c>
      <c r="D163">
        <f>VLOOKUP(A163,[1]Worksheet!$A$2:$I$423,4,0)</f>
        <v>21</v>
      </c>
      <c r="E163">
        <f>VLOOKUP(A163,[1]Worksheet!$A$2:$I$423,5,0)</f>
        <v>2.93</v>
      </c>
      <c r="F163">
        <f>VLOOKUP(A163,[1]Worksheet!$A$2:$I$423,6,0)</f>
        <v>62</v>
      </c>
      <c r="G163">
        <f>VLOOKUP(A163,[1]Worksheet!$A$2:$I$423,7,0)</f>
        <v>2.86</v>
      </c>
      <c r="M163">
        <f t="shared" si="12"/>
        <v>61.53</v>
      </c>
      <c r="N163">
        <f t="shared" si="13"/>
        <v>177.32</v>
      </c>
      <c r="P163">
        <f t="shared" si="14"/>
        <v>21</v>
      </c>
      <c r="Q163">
        <f t="shared" si="15"/>
        <v>2.93</v>
      </c>
      <c r="R163">
        <f t="shared" si="16"/>
        <v>62</v>
      </c>
      <c r="S163">
        <f t="shared" si="17"/>
        <v>2.86</v>
      </c>
    </row>
    <row r="164" spans="1:19">
      <c r="A164" t="s">
        <v>95</v>
      </c>
      <c r="B164" t="s">
        <v>96</v>
      </c>
      <c r="C164">
        <v>20171</v>
      </c>
      <c r="D164">
        <f>VLOOKUP(A164,[1]Worksheet!$A$2:$I$423,4,0)</f>
        <v>21</v>
      </c>
      <c r="E164">
        <f>VLOOKUP(A164,[1]Worksheet!$A$2:$I$423,5,0)</f>
        <v>2.64</v>
      </c>
      <c r="F164">
        <f>VLOOKUP(A164,[1]Worksheet!$A$2:$I$423,6,0)</f>
        <v>64</v>
      </c>
      <c r="G164">
        <f>VLOOKUP(A164,[1]Worksheet!$A$2:$I$423,7,0)</f>
        <v>3.04</v>
      </c>
      <c r="M164">
        <f t="shared" si="12"/>
        <v>55.440000000000005</v>
      </c>
      <c r="N164">
        <f t="shared" si="13"/>
        <v>194.56</v>
      </c>
      <c r="P164">
        <f t="shared" si="14"/>
        <v>21</v>
      </c>
      <c r="Q164">
        <f t="shared" si="15"/>
        <v>2.64</v>
      </c>
      <c r="R164">
        <f t="shared" si="16"/>
        <v>64</v>
      </c>
      <c r="S164">
        <f t="shared" si="17"/>
        <v>3.04</v>
      </c>
    </row>
    <row r="165" spans="1:19">
      <c r="A165" t="s">
        <v>130</v>
      </c>
      <c r="B165" t="s">
        <v>131</v>
      </c>
      <c r="C165">
        <v>20171</v>
      </c>
      <c r="D165">
        <f>VLOOKUP(A165,[1]Worksheet!$A$2:$I$423,4,0)</f>
        <v>18</v>
      </c>
      <c r="E165">
        <f>VLOOKUP(A165,[1]Worksheet!$A$2:$I$423,5,0)</f>
        <v>1</v>
      </c>
      <c r="F165">
        <f>VLOOKUP(A165,[1]Worksheet!$A$2:$I$423,6,0)</f>
        <v>61</v>
      </c>
      <c r="G165">
        <f>VLOOKUP(A165,[1]Worksheet!$A$2:$I$423,7,0)</f>
        <v>2.12</v>
      </c>
      <c r="M165">
        <f t="shared" si="12"/>
        <v>18</v>
      </c>
      <c r="N165">
        <f t="shared" si="13"/>
        <v>129.32</v>
      </c>
      <c r="P165">
        <f t="shared" si="14"/>
        <v>18</v>
      </c>
      <c r="Q165">
        <f t="shared" si="15"/>
        <v>1</v>
      </c>
      <c r="R165">
        <f t="shared" si="16"/>
        <v>61</v>
      </c>
      <c r="S165">
        <f t="shared" si="17"/>
        <v>2.12</v>
      </c>
    </row>
    <row r="166" spans="1:19">
      <c r="A166" t="s">
        <v>468</v>
      </c>
      <c r="B166" t="s">
        <v>469</v>
      </c>
      <c r="C166">
        <v>20171</v>
      </c>
      <c r="D166">
        <f>VLOOKUP(A166,[1]Worksheet!$A$2:$I$423,4,0)</f>
        <v>20</v>
      </c>
      <c r="E166">
        <f>VLOOKUP(A166,[1]Worksheet!$A$2:$I$423,5,0)</f>
        <v>3.05</v>
      </c>
      <c r="F166">
        <f>VLOOKUP(A166,[1]Worksheet!$A$2:$I$423,6,0)</f>
        <v>20</v>
      </c>
      <c r="G166">
        <f>VLOOKUP(A166,[1]Worksheet!$A$2:$I$423,7,0)</f>
        <v>3.05</v>
      </c>
      <c r="M166">
        <f t="shared" si="12"/>
        <v>61</v>
      </c>
      <c r="N166">
        <f t="shared" si="13"/>
        <v>61</v>
      </c>
      <c r="P166">
        <f t="shared" si="14"/>
        <v>20</v>
      </c>
      <c r="Q166">
        <f t="shared" si="15"/>
        <v>3.05</v>
      </c>
      <c r="R166">
        <f t="shared" si="16"/>
        <v>20</v>
      </c>
      <c r="S166">
        <f t="shared" si="17"/>
        <v>3.05</v>
      </c>
    </row>
    <row r="167" spans="1:19">
      <c r="A167" t="s">
        <v>470</v>
      </c>
      <c r="B167" t="s">
        <v>471</v>
      </c>
      <c r="C167">
        <v>20171</v>
      </c>
      <c r="D167">
        <f>VLOOKUP(A167,[1]Worksheet!$A$2:$I$423,4,0)</f>
        <v>20</v>
      </c>
      <c r="E167">
        <f>VLOOKUP(A167,[1]Worksheet!$A$2:$I$423,5,0)</f>
        <v>2.6</v>
      </c>
      <c r="F167">
        <f>VLOOKUP(A167,[1]Worksheet!$A$2:$I$423,6,0)</f>
        <v>20</v>
      </c>
      <c r="G167">
        <f>VLOOKUP(A167,[1]Worksheet!$A$2:$I$423,7,0)</f>
        <v>2.6</v>
      </c>
      <c r="M167">
        <f t="shared" si="12"/>
        <v>52</v>
      </c>
      <c r="N167">
        <f t="shared" si="13"/>
        <v>52</v>
      </c>
      <c r="P167">
        <f t="shared" si="14"/>
        <v>20</v>
      </c>
      <c r="Q167">
        <f t="shared" si="15"/>
        <v>2.6</v>
      </c>
      <c r="R167">
        <f t="shared" si="16"/>
        <v>20</v>
      </c>
      <c r="S167">
        <f t="shared" si="17"/>
        <v>2.6</v>
      </c>
    </row>
    <row r="168" spans="1:19">
      <c r="A168" t="s">
        <v>472</v>
      </c>
      <c r="B168" t="s">
        <v>473</v>
      </c>
      <c r="C168">
        <v>20171</v>
      </c>
      <c r="D168">
        <f>VLOOKUP(A168,[1]Worksheet!$A$2:$I$423,4,0)</f>
        <v>20</v>
      </c>
      <c r="E168">
        <f>VLOOKUP(A168,[1]Worksheet!$A$2:$I$423,5,0)</f>
        <v>3.03</v>
      </c>
      <c r="F168">
        <f>VLOOKUP(A168,[1]Worksheet!$A$2:$I$423,6,0)</f>
        <v>20</v>
      </c>
      <c r="G168">
        <f>VLOOKUP(A168,[1]Worksheet!$A$2:$I$423,7,0)</f>
        <v>3.03</v>
      </c>
      <c r="M168">
        <f t="shared" si="12"/>
        <v>60.599999999999994</v>
      </c>
      <c r="N168">
        <f t="shared" si="13"/>
        <v>60.599999999999994</v>
      </c>
      <c r="P168">
        <f t="shared" si="14"/>
        <v>20</v>
      </c>
      <c r="Q168">
        <f t="shared" si="15"/>
        <v>3.03</v>
      </c>
      <c r="R168">
        <f t="shared" si="16"/>
        <v>20</v>
      </c>
      <c r="S168">
        <f t="shared" si="17"/>
        <v>3.03</v>
      </c>
    </row>
    <row r="169" spans="1:19">
      <c r="A169" t="s">
        <v>474</v>
      </c>
      <c r="B169" t="s">
        <v>475</v>
      </c>
      <c r="C169">
        <v>20171</v>
      </c>
      <c r="D169">
        <f>VLOOKUP(A169,[1]Worksheet!$A$2:$I$423,4,0)</f>
        <v>20</v>
      </c>
      <c r="E169">
        <f>VLOOKUP(A169,[1]Worksheet!$A$2:$I$423,5,0)</f>
        <v>2.93</v>
      </c>
      <c r="F169">
        <f>VLOOKUP(A169,[1]Worksheet!$A$2:$I$423,6,0)</f>
        <v>20</v>
      </c>
      <c r="G169">
        <f>VLOOKUP(A169,[1]Worksheet!$A$2:$I$423,7,0)</f>
        <v>2.93</v>
      </c>
      <c r="M169">
        <f t="shared" si="12"/>
        <v>58.6</v>
      </c>
      <c r="N169">
        <f t="shared" si="13"/>
        <v>58.6</v>
      </c>
      <c r="P169">
        <f t="shared" si="14"/>
        <v>20</v>
      </c>
      <c r="Q169">
        <f t="shared" si="15"/>
        <v>2.93</v>
      </c>
      <c r="R169">
        <f t="shared" si="16"/>
        <v>20</v>
      </c>
      <c r="S169">
        <f t="shared" si="17"/>
        <v>2.93</v>
      </c>
    </row>
    <row r="170" spans="1:19">
      <c r="A170" t="s">
        <v>476</v>
      </c>
      <c r="B170" t="s">
        <v>477</v>
      </c>
      <c r="C170">
        <v>20171</v>
      </c>
      <c r="D170">
        <f>VLOOKUP(A170,[1]Worksheet!$A$2:$I$423,4,0)</f>
        <v>20</v>
      </c>
      <c r="E170">
        <f>VLOOKUP(A170,[1]Worksheet!$A$2:$I$423,5,0)</f>
        <v>3.23</v>
      </c>
      <c r="F170">
        <f>VLOOKUP(A170,[1]Worksheet!$A$2:$I$423,6,0)</f>
        <v>20</v>
      </c>
      <c r="G170">
        <f>VLOOKUP(A170,[1]Worksheet!$A$2:$I$423,7,0)</f>
        <v>3.23</v>
      </c>
      <c r="M170">
        <f t="shared" si="12"/>
        <v>64.599999999999994</v>
      </c>
      <c r="N170">
        <f t="shared" si="13"/>
        <v>64.599999999999994</v>
      </c>
      <c r="P170">
        <f t="shared" si="14"/>
        <v>20</v>
      </c>
      <c r="Q170">
        <f t="shared" si="15"/>
        <v>3.2299999999999995</v>
      </c>
      <c r="R170">
        <f t="shared" si="16"/>
        <v>20</v>
      </c>
      <c r="S170">
        <f t="shared" si="17"/>
        <v>3.2299999999999995</v>
      </c>
    </row>
    <row r="171" spans="1:19">
      <c r="A171" t="s">
        <v>478</v>
      </c>
      <c r="B171" t="s">
        <v>479</v>
      </c>
      <c r="C171">
        <v>20171</v>
      </c>
      <c r="D171">
        <f>VLOOKUP(A171,[1]Worksheet!$A$2:$I$423,4,0)</f>
        <v>20</v>
      </c>
      <c r="E171">
        <f>VLOOKUP(A171,[1]Worksheet!$A$2:$I$423,5,0)</f>
        <v>2.6</v>
      </c>
      <c r="F171">
        <f>VLOOKUP(A171,[1]Worksheet!$A$2:$I$423,6,0)</f>
        <v>20</v>
      </c>
      <c r="G171">
        <f>VLOOKUP(A171,[1]Worksheet!$A$2:$I$423,7,0)</f>
        <v>2.6</v>
      </c>
      <c r="M171">
        <f t="shared" si="12"/>
        <v>52</v>
      </c>
      <c r="N171">
        <f t="shared" si="13"/>
        <v>52</v>
      </c>
      <c r="P171">
        <f t="shared" si="14"/>
        <v>20</v>
      </c>
      <c r="Q171">
        <f t="shared" si="15"/>
        <v>2.6</v>
      </c>
      <c r="R171">
        <f t="shared" si="16"/>
        <v>20</v>
      </c>
      <c r="S171">
        <f t="shared" si="17"/>
        <v>2.6</v>
      </c>
    </row>
    <row r="172" spans="1:19">
      <c r="A172" t="s">
        <v>480</v>
      </c>
      <c r="B172" t="s">
        <v>481</v>
      </c>
      <c r="C172">
        <v>20171</v>
      </c>
      <c r="D172">
        <f>VLOOKUP(A172,[1]Worksheet!$A$2:$I$423,4,0)</f>
        <v>20</v>
      </c>
      <c r="E172">
        <f>VLOOKUP(A172,[1]Worksheet!$A$2:$I$423,5,0)</f>
        <v>3.18</v>
      </c>
      <c r="F172">
        <f>VLOOKUP(A172,[1]Worksheet!$A$2:$I$423,6,0)</f>
        <v>20</v>
      </c>
      <c r="G172">
        <f>VLOOKUP(A172,[1]Worksheet!$A$2:$I$423,7,0)</f>
        <v>3.18</v>
      </c>
      <c r="M172">
        <f t="shared" si="12"/>
        <v>63.6</v>
      </c>
      <c r="N172">
        <f t="shared" si="13"/>
        <v>63.6</v>
      </c>
      <c r="P172">
        <f t="shared" si="14"/>
        <v>20</v>
      </c>
      <c r="Q172">
        <f t="shared" si="15"/>
        <v>3.18</v>
      </c>
      <c r="R172">
        <f t="shared" si="16"/>
        <v>20</v>
      </c>
      <c r="S172">
        <f t="shared" si="17"/>
        <v>3.18</v>
      </c>
    </row>
    <row r="173" spans="1:19">
      <c r="A173" t="s">
        <v>482</v>
      </c>
      <c r="B173" t="s">
        <v>483</v>
      </c>
      <c r="C173">
        <v>20171</v>
      </c>
      <c r="D173">
        <f>VLOOKUP(A173,[1]Worksheet!$A$2:$I$423,4,0)</f>
        <v>20</v>
      </c>
      <c r="E173">
        <f>VLOOKUP(A173,[1]Worksheet!$A$2:$I$423,5,0)</f>
        <v>3.15</v>
      </c>
      <c r="F173">
        <f>VLOOKUP(A173,[1]Worksheet!$A$2:$I$423,6,0)</f>
        <v>20</v>
      </c>
      <c r="G173">
        <f>VLOOKUP(A173,[1]Worksheet!$A$2:$I$423,7,0)</f>
        <v>3.15</v>
      </c>
      <c r="M173">
        <f t="shared" si="12"/>
        <v>63</v>
      </c>
      <c r="N173">
        <f t="shared" si="13"/>
        <v>63</v>
      </c>
      <c r="P173">
        <f t="shared" si="14"/>
        <v>20</v>
      </c>
      <c r="Q173">
        <f t="shared" si="15"/>
        <v>3.15</v>
      </c>
      <c r="R173">
        <f t="shared" si="16"/>
        <v>20</v>
      </c>
      <c r="S173">
        <f t="shared" si="17"/>
        <v>3.15</v>
      </c>
    </row>
    <row r="174" spans="1:19">
      <c r="A174" t="s">
        <v>484</v>
      </c>
      <c r="B174" t="s">
        <v>485</v>
      </c>
      <c r="C174">
        <v>20171</v>
      </c>
      <c r="D174">
        <f>VLOOKUP(A174,[1]Worksheet!$A$2:$I$423,4,0)</f>
        <v>20</v>
      </c>
      <c r="E174">
        <f>VLOOKUP(A174,[1]Worksheet!$A$2:$I$423,5,0)</f>
        <v>2.1800000000000002</v>
      </c>
      <c r="F174">
        <f>VLOOKUP(A174,[1]Worksheet!$A$2:$I$423,6,0)</f>
        <v>20</v>
      </c>
      <c r="G174">
        <f>VLOOKUP(A174,[1]Worksheet!$A$2:$I$423,7,0)</f>
        <v>2.1800000000000002</v>
      </c>
      <c r="M174">
        <f t="shared" si="12"/>
        <v>43.6</v>
      </c>
      <c r="N174">
        <f t="shared" si="13"/>
        <v>43.6</v>
      </c>
      <c r="P174">
        <f t="shared" si="14"/>
        <v>20</v>
      </c>
      <c r="Q174">
        <f t="shared" si="15"/>
        <v>2.1800000000000002</v>
      </c>
      <c r="R174">
        <f t="shared" si="16"/>
        <v>20</v>
      </c>
      <c r="S174">
        <f t="shared" si="17"/>
        <v>2.1800000000000002</v>
      </c>
    </row>
    <row r="175" spans="1:19">
      <c r="A175" t="s">
        <v>486</v>
      </c>
      <c r="B175" t="s">
        <v>487</v>
      </c>
      <c r="C175">
        <v>20171</v>
      </c>
      <c r="D175">
        <f>VLOOKUP(A175,[1]Worksheet!$A$2:$I$423,4,0)</f>
        <v>20</v>
      </c>
      <c r="E175">
        <f>VLOOKUP(A175,[1]Worksheet!$A$2:$I$423,5,0)</f>
        <v>2.8</v>
      </c>
      <c r="F175">
        <f>VLOOKUP(A175,[1]Worksheet!$A$2:$I$423,6,0)</f>
        <v>20</v>
      </c>
      <c r="G175">
        <f>VLOOKUP(A175,[1]Worksheet!$A$2:$I$423,7,0)</f>
        <v>2.8</v>
      </c>
      <c r="M175">
        <f t="shared" si="12"/>
        <v>56</v>
      </c>
      <c r="N175">
        <f t="shared" si="13"/>
        <v>56</v>
      </c>
      <c r="P175">
        <f t="shared" si="14"/>
        <v>20</v>
      </c>
      <c r="Q175">
        <f t="shared" si="15"/>
        <v>2.8</v>
      </c>
      <c r="R175">
        <f t="shared" si="16"/>
        <v>20</v>
      </c>
      <c r="S175">
        <f t="shared" si="17"/>
        <v>2.8</v>
      </c>
    </row>
    <row r="176" spans="1:19">
      <c r="A176" t="s">
        <v>488</v>
      </c>
      <c r="B176" t="s">
        <v>489</v>
      </c>
      <c r="C176">
        <v>20171</v>
      </c>
      <c r="D176">
        <f>VLOOKUP(A176,[1]Worksheet!$A$2:$I$423,4,0)</f>
        <v>20</v>
      </c>
      <c r="E176">
        <f>VLOOKUP(A176,[1]Worksheet!$A$2:$I$423,5,0)</f>
        <v>2.8</v>
      </c>
      <c r="F176">
        <f>VLOOKUP(A176,[1]Worksheet!$A$2:$I$423,6,0)</f>
        <v>20</v>
      </c>
      <c r="G176">
        <f>VLOOKUP(A176,[1]Worksheet!$A$2:$I$423,7,0)</f>
        <v>2.8</v>
      </c>
      <c r="M176">
        <f t="shared" si="12"/>
        <v>56</v>
      </c>
      <c r="N176">
        <f t="shared" si="13"/>
        <v>56</v>
      </c>
      <c r="P176">
        <f t="shared" si="14"/>
        <v>20</v>
      </c>
      <c r="Q176">
        <f t="shared" si="15"/>
        <v>2.8</v>
      </c>
      <c r="R176">
        <f t="shared" si="16"/>
        <v>20</v>
      </c>
      <c r="S176">
        <f t="shared" si="17"/>
        <v>2.8</v>
      </c>
    </row>
    <row r="177" spans="1:19">
      <c r="A177" t="s">
        <v>490</v>
      </c>
      <c r="B177" t="s">
        <v>491</v>
      </c>
      <c r="C177">
        <v>20171</v>
      </c>
      <c r="D177">
        <f>VLOOKUP(A177,[1]Worksheet!$A$2:$I$423,4,0)</f>
        <v>20</v>
      </c>
      <c r="E177">
        <f>VLOOKUP(A177,[1]Worksheet!$A$2:$I$423,5,0)</f>
        <v>3.23</v>
      </c>
      <c r="F177">
        <f>VLOOKUP(A177,[1]Worksheet!$A$2:$I$423,6,0)</f>
        <v>20</v>
      </c>
      <c r="G177">
        <f>VLOOKUP(A177,[1]Worksheet!$A$2:$I$423,7,0)</f>
        <v>3.23</v>
      </c>
      <c r="M177">
        <f t="shared" si="12"/>
        <v>64.599999999999994</v>
      </c>
      <c r="N177">
        <f t="shared" si="13"/>
        <v>64.599999999999994</v>
      </c>
      <c r="P177">
        <f t="shared" si="14"/>
        <v>20</v>
      </c>
      <c r="Q177">
        <f t="shared" si="15"/>
        <v>3.2299999999999995</v>
      </c>
      <c r="R177">
        <f t="shared" si="16"/>
        <v>20</v>
      </c>
      <c r="S177">
        <f t="shared" si="17"/>
        <v>3.2299999999999995</v>
      </c>
    </row>
    <row r="178" spans="1:19">
      <c r="A178" t="s">
        <v>492</v>
      </c>
      <c r="B178" t="s">
        <v>493</v>
      </c>
      <c r="C178">
        <v>20171</v>
      </c>
      <c r="D178">
        <f>VLOOKUP(A178,[1]Worksheet!$A$2:$I$423,4,0)</f>
        <v>20</v>
      </c>
      <c r="E178">
        <f>VLOOKUP(A178,[1]Worksheet!$A$2:$I$423,5,0)</f>
        <v>2.7</v>
      </c>
      <c r="F178">
        <f>VLOOKUP(A178,[1]Worksheet!$A$2:$I$423,6,0)</f>
        <v>20</v>
      </c>
      <c r="G178">
        <f>VLOOKUP(A178,[1]Worksheet!$A$2:$I$423,7,0)</f>
        <v>2.7</v>
      </c>
      <c r="M178">
        <f t="shared" si="12"/>
        <v>54</v>
      </c>
      <c r="N178">
        <f t="shared" si="13"/>
        <v>54</v>
      </c>
      <c r="P178">
        <f t="shared" si="14"/>
        <v>20</v>
      </c>
      <c r="Q178">
        <f t="shared" si="15"/>
        <v>2.7</v>
      </c>
      <c r="R178">
        <f t="shared" si="16"/>
        <v>20</v>
      </c>
      <c r="S178">
        <f t="shared" si="17"/>
        <v>2.7</v>
      </c>
    </row>
    <row r="179" spans="1:19">
      <c r="A179" t="s">
        <v>494</v>
      </c>
      <c r="B179" t="s">
        <v>495</v>
      </c>
      <c r="C179">
        <v>20171</v>
      </c>
      <c r="D179">
        <f>VLOOKUP(A179,[1]Worksheet!$A$2:$I$423,4,0)</f>
        <v>20</v>
      </c>
      <c r="E179">
        <f>VLOOKUP(A179,[1]Worksheet!$A$2:$I$423,5,0)</f>
        <v>2.88</v>
      </c>
      <c r="F179">
        <f>VLOOKUP(A179,[1]Worksheet!$A$2:$I$423,6,0)</f>
        <v>20</v>
      </c>
      <c r="G179">
        <f>VLOOKUP(A179,[1]Worksheet!$A$2:$I$423,7,0)</f>
        <v>2.88</v>
      </c>
      <c r="M179">
        <f t="shared" si="12"/>
        <v>57.599999999999994</v>
      </c>
      <c r="N179">
        <f t="shared" si="13"/>
        <v>57.599999999999994</v>
      </c>
      <c r="P179">
        <f t="shared" si="14"/>
        <v>20</v>
      </c>
      <c r="Q179">
        <f t="shared" si="15"/>
        <v>2.88</v>
      </c>
      <c r="R179">
        <f t="shared" si="16"/>
        <v>20</v>
      </c>
      <c r="S179">
        <f t="shared" si="17"/>
        <v>2.88</v>
      </c>
    </row>
    <row r="180" spans="1:19">
      <c r="A180" t="s">
        <v>496</v>
      </c>
      <c r="B180" t="s">
        <v>497</v>
      </c>
      <c r="C180">
        <v>20171</v>
      </c>
      <c r="D180">
        <f>VLOOKUP(A180,[1]Worksheet!$A$2:$I$423,4,0)</f>
        <v>20</v>
      </c>
      <c r="E180">
        <f>VLOOKUP(A180,[1]Worksheet!$A$2:$I$423,5,0)</f>
        <v>2.83</v>
      </c>
      <c r="F180">
        <f>VLOOKUP(A180,[1]Worksheet!$A$2:$I$423,6,0)</f>
        <v>20</v>
      </c>
      <c r="G180">
        <f>VLOOKUP(A180,[1]Worksheet!$A$2:$I$423,7,0)</f>
        <v>2.83</v>
      </c>
      <c r="M180">
        <f t="shared" si="12"/>
        <v>56.6</v>
      </c>
      <c r="N180">
        <f t="shared" si="13"/>
        <v>56.6</v>
      </c>
      <c r="P180">
        <f t="shared" si="14"/>
        <v>20</v>
      </c>
      <c r="Q180">
        <f t="shared" si="15"/>
        <v>2.83</v>
      </c>
      <c r="R180">
        <f t="shared" si="16"/>
        <v>20</v>
      </c>
      <c r="S180">
        <f t="shared" si="17"/>
        <v>2.83</v>
      </c>
    </row>
    <row r="181" spans="1:19">
      <c r="A181" t="s">
        <v>498</v>
      </c>
      <c r="B181" t="s">
        <v>499</v>
      </c>
      <c r="C181">
        <v>20171</v>
      </c>
      <c r="D181">
        <f>VLOOKUP(A181,[1]Worksheet!$A$2:$I$423,4,0)</f>
        <v>20</v>
      </c>
      <c r="E181">
        <f>VLOOKUP(A181,[1]Worksheet!$A$2:$I$423,5,0)</f>
        <v>3.1</v>
      </c>
      <c r="F181">
        <f>VLOOKUP(A181,[1]Worksheet!$A$2:$I$423,6,0)</f>
        <v>20</v>
      </c>
      <c r="G181">
        <f>VLOOKUP(A181,[1]Worksheet!$A$2:$I$423,7,0)</f>
        <v>3.1</v>
      </c>
      <c r="M181">
        <f t="shared" si="12"/>
        <v>62</v>
      </c>
      <c r="N181">
        <f t="shared" si="13"/>
        <v>62</v>
      </c>
      <c r="P181">
        <f t="shared" si="14"/>
        <v>20</v>
      </c>
      <c r="Q181">
        <f t="shared" si="15"/>
        <v>3.1</v>
      </c>
      <c r="R181">
        <f t="shared" si="16"/>
        <v>20</v>
      </c>
      <c r="S181">
        <f t="shared" si="17"/>
        <v>3.1</v>
      </c>
    </row>
    <row r="182" spans="1:19">
      <c r="A182" t="s">
        <v>500</v>
      </c>
      <c r="B182" t="s">
        <v>501</v>
      </c>
      <c r="C182">
        <v>20171</v>
      </c>
      <c r="D182">
        <f>VLOOKUP(A182,[1]Worksheet!$A$2:$I$423,4,0)</f>
        <v>20</v>
      </c>
      <c r="E182">
        <f>VLOOKUP(A182,[1]Worksheet!$A$2:$I$423,5,0)</f>
        <v>3.2</v>
      </c>
      <c r="F182">
        <f>VLOOKUP(A182,[1]Worksheet!$A$2:$I$423,6,0)</f>
        <v>20</v>
      </c>
      <c r="G182">
        <f>VLOOKUP(A182,[1]Worksheet!$A$2:$I$423,7,0)</f>
        <v>3.2</v>
      </c>
      <c r="M182">
        <f t="shared" si="12"/>
        <v>64</v>
      </c>
      <c r="N182">
        <f t="shared" si="13"/>
        <v>64</v>
      </c>
      <c r="P182">
        <f t="shared" si="14"/>
        <v>20</v>
      </c>
      <c r="Q182">
        <f t="shared" si="15"/>
        <v>3.2</v>
      </c>
      <c r="R182">
        <f t="shared" si="16"/>
        <v>20</v>
      </c>
      <c r="S182">
        <f t="shared" si="17"/>
        <v>3.2</v>
      </c>
    </row>
    <row r="183" spans="1:19">
      <c r="A183" t="s">
        <v>502</v>
      </c>
      <c r="B183" t="s">
        <v>503</v>
      </c>
      <c r="C183">
        <v>20171</v>
      </c>
      <c r="D183">
        <f>VLOOKUP(A183,[1]Worksheet!$A$2:$I$423,4,0)</f>
        <v>20</v>
      </c>
      <c r="E183">
        <f>VLOOKUP(A183,[1]Worksheet!$A$2:$I$423,5,0)</f>
        <v>2.78</v>
      </c>
      <c r="F183">
        <f>VLOOKUP(A183,[1]Worksheet!$A$2:$I$423,6,0)</f>
        <v>20</v>
      </c>
      <c r="G183">
        <f>VLOOKUP(A183,[1]Worksheet!$A$2:$I$423,7,0)</f>
        <v>2.78</v>
      </c>
      <c r="M183">
        <f t="shared" si="12"/>
        <v>55.599999999999994</v>
      </c>
      <c r="N183">
        <f t="shared" si="13"/>
        <v>55.599999999999994</v>
      </c>
      <c r="P183">
        <f t="shared" si="14"/>
        <v>20</v>
      </c>
      <c r="Q183">
        <f t="shared" si="15"/>
        <v>2.78</v>
      </c>
      <c r="R183">
        <f t="shared" si="16"/>
        <v>20</v>
      </c>
      <c r="S183">
        <f t="shared" si="17"/>
        <v>2.78</v>
      </c>
    </row>
    <row r="184" spans="1:19">
      <c r="A184" t="s">
        <v>504</v>
      </c>
      <c r="B184" t="s">
        <v>505</v>
      </c>
      <c r="C184">
        <v>20171</v>
      </c>
      <c r="D184">
        <f>VLOOKUP(A184,[1]Worksheet!$A$2:$I$423,4,0)</f>
        <v>20</v>
      </c>
      <c r="E184">
        <f>VLOOKUP(A184,[1]Worksheet!$A$2:$I$423,5,0)</f>
        <v>2.5</v>
      </c>
      <c r="F184">
        <f>VLOOKUP(A184,[1]Worksheet!$A$2:$I$423,6,0)</f>
        <v>20</v>
      </c>
      <c r="G184">
        <f>VLOOKUP(A184,[1]Worksheet!$A$2:$I$423,7,0)</f>
        <v>2.5</v>
      </c>
      <c r="M184">
        <f t="shared" si="12"/>
        <v>50</v>
      </c>
      <c r="N184">
        <f t="shared" si="13"/>
        <v>50</v>
      </c>
      <c r="P184">
        <f t="shared" si="14"/>
        <v>20</v>
      </c>
      <c r="Q184">
        <f t="shared" si="15"/>
        <v>2.5</v>
      </c>
      <c r="R184">
        <f t="shared" si="16"/>
        <v>20</v>
      </c>
      <c r="S184">
        <f t="shared" si="17"/>
        <v>2.5</v>
      </c>
    </row>
    <row r="185" spans="1:19">
      <c r="A185" t="s">
        <v>506</v>
      </c>
      <c r="B185" t="s">
        <v>507</v>
      </c>
      <c r="C185">
        <v>20171</v>
      </c>
      <c r="D185">
        <f>VLOOKUP(A185,[1]Worksheet!$A$2:$I$423,4,0)</f>
        <v>20</v>
      </c>
      <c r="E185">
        <f>VLOOKUP(A185,[1]Worksheet!$A$2:$I$423,5,0)</f>
        <v>3.2</v>
      </c>
      <c r="F185">
        <f>VLOOKUP(A185,[1]Worksheet!$A$2:$I$423,6,0)</f>
        <v>20</v>
      </c>
      <c r="G185">
        <f>VLOOKUP(A185,[1]Worksheet!$A$2:$I$423,7,0)</f>
        <v>3.2</v>
      </c>
      <c r="M185">
        <f t="shared" si="12"/>
        <v>64</v>
      </c>
      <c r="N185">
        <f t="shared" si="13"/>
        <v>64</v>
      </c>
      <c r="P185">
        <f t="shared" si="14"/>
        <v>20</v>
      </c>
      <c r="Q185">
        <f t="shared" si="15"/>
        <v>3.2</v>
      </c>
      <c r="R185">
        <f t="shared" si="16"/>
        <v>20</v>
      </c>
      <c r="S185">
        <f t="shared" si="17"/>
        <v>3.2</v>
      </c>
    </row>
    <row r="186" spans="1:19">
      <c r="A186" t="s">
        <v>508</v>
      </c>
      <c r="B186" t="s">
        <v>509</v>
      </c>
      <c r="C186">
        <v>20171</v>
      </c>
      <c r="D186">
        <f>VLOOKUP(A186,[1]Worksheet!$A$2:$I$423,4,0)</f>
        <v>20</v>
      </c>
      <c r="E186">
        <f>VLOOKUP(A186,[1]Worksheet!$A$2:$I$423,5,0)</f>
        <v>2.9</v>
      </c>
      <c r="F186">
        <f>VLOOKUP(A186,[1]Worksheet!$A$2:$I$423,6,0)</f>
        <v>20</v>
      </c>
      <c r="G186">
        <f>VLOOKUP(A186,[1]Worksheet!$A$2:$I$423,7,0)</f>
        <v>2.9</v>
      </c>
      <c r="M186">
        <f t="shared" si="12"/>
        <v>58</v>
      </c>
      <c r="N186">
        <f t="shared" si="13"/>
        <v>58</v>
      </c>
      <c r="P186">
        <f t="shared" si="14"/>
        <v>20</v>
      </c>
      <c r="Q186">
        <f t="shared" si="15"/>
        <v>2.9</v>
      </c>
      <c r="R186">
        <f t="shared" si="16"/>
        <v>20</v>
      </c>
      <c r="S186">
        <f t="shared" si="17"/>
        <v>2.9</v>
      </c>
    </row>
    <row r="187" spans="1:19">
      <c r="A187" t="s">
        <v>510</v>
      </c>
      <c r="B187" t="s">
        <v>511</v>
      </c>
      <c r="C187">
        <v>20171</v>
      </c>
      <c r="D187">
        <f>VLOOKUP(A187,[1]Worksheet!$A$2:$I$423,4,0)</f>
        <v>20</v>
      </c>
      <c r="E187">
        <f>VLOOKUP(A187,[1]Worksheet!$A$2:$I$423,5,0)</f>
        <v>3.08</v>
      </c>
      <c r="F187">
        <f>VLOOKUP(A187,[1]Worksheet!$A$2:$I$423,6,0)</f>
        <v>20</v>
      </c>
      <c r="G187">
        <f>VLOOKUP(A187,[1]Worksheet!$A$2:$I$423,7,0)</f>
        <v>3.08</v>
      </c>
      <c r="M187">
        <f t="shared" si="12"/>
        <v>61.6</v>
      </c>
      <c r="N187">
        <f t="shared" si="13"/>
        <v>61.6</v>
      </c>
      <c r="P187">
        <f t="shared" si="14"/>
        <v>20</v>
      </c>
      <c r="Q187">
        <f t="shared" si="15"/>
        <v>3.08</v>
      </c>
      <c r="R187">
        <f t="shared" si="16"/>
        <v>20</v>
      </c>
      <c r="S187">
        <f t="shared" si="17"/>
        <v>3.08</v>
      </c>
    </row>
    <row r="188" spans="1:19">
      <c r="A188" t="s">
        <v>512</v>
      </c>
      <c r="B188" t="s">
        <v>513</v>
      </c>
      <c r="C188">
        <v>20171</v>
      </c>
      <c r="D188">
        <f>VLOOKUP(A188,[1]Worksheet!$A$2:$I$423,4,0)</f>
        <v>20</v>
      </c>
      <c r="E188">
        <f>VLOOKUP(A188,[1]Worksheet!$A$2:$I$423,5,0)</f>
        <v>3.05</v>
      </c>
      <c r="F188">
        <f>VLOOKUP(A188,[1]Worksheet!$A$2:$I$423,6,0)</f>
        <v>20</v>
      </c>
      <c r="G188">
        <f>VLOOKUP(A188,[1]Worksheet!$A$2:$I$423,7,0)</f>
        <v>3.05</v>
      </c>
      <c r="M188">
        <f t="shared" si="12"/>
        <v>61</v>
      </c>
      <c r="N188">
        <f t="shared" si="13"/>
        <v>61</v>
      </c>
      <c r="P188">
        <f t="shared" si="14"/>
        <v>20</v>
      </c>
      <c r="Q188">
        <f t="shared" si="15"/>
        <v>3.05</v>
      </c>
      <c r="R188">
        <f t="shared" si="16"/>
        <v>20</v>
      </c>
      <c r="S188">
        <f t="shared" si="17"/>
        <v>3.05</v>
      </c>
    </row>
    <row r="189" spans="1:19">
      <c r="A189" t="s">
        <v>514</v>
      </c>
      <c r="B189" t="s">
        <v>515</v>
      </c>
      <c r="C189">
        <v>20171</v>
      </c>
      <c r="D189">
        <f>VLOOKUP(A189,[1]Worksheet!$A$2:$I$423,4,0)</f>
        <v>20</v>
      </c>
      <c r="E189">
        <f>VLOOKUP(A189,[1]Worksheet!$A$2:$I$423,5,0)</f>
        <v>3.18</v>
      </c>
      <c r="F189">
        <f>VLOOKUP(A189,[1]Worksheet!$A$2:$I$423,6,0)</f>
        <v>20</v>
      </c>
      <c r="G189">
        <f>VLOOKUP(A189,[1]Worksheet!$A$2:$I$423,7,0)</f>
        <v>3.18</v>
      </c>
      <c r="M189">
        <f t="shared" si="12"/>
        <v>63.6</v>
      </c>
      <c r="N189">
        <f t="shared" si="13"/>
        <v>63.6</v>
      </c>
      <c r="P189">
        <f t="shared" si="14"/>
        <v>20</v>
      </c>
      <c r="Q189">
        <f t="shared" si="15"/>
        <v>3.18</v>
      </c>
      <c r="R189">
        <f t="shared" si="16"/>
        <v>20</v>
      </c>
      <c r="S189">
        <f t="shared" si="17"/>
        <v>3.18</v>
      </c>
    </row>
    <row r="190" spans="1:19">
      <c r="A190" t="s">
        <v>516</v>
      </c>
      <c r="B190" t="s">
        <v>517</v>
      </c>
      <c r="C190">
        <v>20171</v>
      </c>
      <c r="D190">
        <f>VLOOKUP(A190,[1]Worksheet!$A$2:$I$423,4,0)</f>
        <v>20</v>
      </c>
      <c r="E190">
        <f>VLOOKUP(A190,[1]Worksheet!$A$2:$I$423,5,0)</f>
        <v>2.83</v>
      </c>
      <c r="F190">
        <f>VLOOKUP(A190,[1]Worksheet!$A$2:$I$423,6,0)</f>
        <v>20</v>
      </c>
      <c r="G190">
        <f>VLOOKUP(A190,[1]Worksheet!$A$2:$I$423,7,0)</f>
        <v>2.83</v>
      </c>
      <c r="M190">
        <f t="shared" si="12"/>
        <v>56.6</v>
      </c>
      <c r="N190">
        <f t="shared" si="13"/>
        <v>56.6</v>
      </c>
      <c r="P190">
        <f t="shared" si="14"/>
        <v>20</v>
      </c>
      <c r="Q190">
        <f t="shared" si="15"/>
        <v>2.83</v>
      </c>
      <c r="R190">
        <f t="shared" si="16"/>
        <v>20</v>
      </c>
      <c r="S190">
        <f t="shared" si="17"/>
        <v>2.83</v>
      </c>
    </row>
    <row r="191" spans="1:19">
      <c r="A191" t="s">
        <v>518</v>
      </c>
      <c r="B191" t="s">
        <v>519</v>
      </c>
      <c r="C191">
        <v>20171</v>
      </c>
      <c r="D191">
        <f>VLOOKUP(A191,[1]Worksheet!$A$2:$I$423,4,0)</f>
        <v>20</v>
      </c>
      <c r="E191">
        <f>VLOOKUP(A191,[1]Worksheet!$A$2:$I$423,5,0)</f>
        <v>2.5299999999999998</v>
      </c>
      <c r="F191">
        <f>VLOOKUP(A191,[1]Worksheet!$A$2:$I$423,6,0)</f>
        <v>20</v>
      </c>
      <c r="G191">
        <f>VLOOKUP(A191,[1]Worksheet!$A$2:$I$423,7,0)</f>
        <v>2.5299999999999998</v>
      </c>
      <c r="M191">
        <f t="shared" si="12"/>
        <v>50.599999999999994</v>
      </c>
      <c r="N191">
        <f t="shared" si="13"/>
        <v>50.599999999999994</v>
      </c>
      <c r="P191">
        <f t="shared" si="14"/>
        <v>20</v>
      </c>
      <c r="Q191">
        <f t="shared" si="15"/>
        <v>2.5299999999999998</v>
      </c>
      <c r="R191">
        <f t="shared" si="16"/>
        <v>20</v>
      </c>
      <c r="S191">
        <f t="shared" si="17"/>
        <v>2.5299999999999998</v>
      </c>
    </row>
    <row r="192" spans="1:19">
      <c r="A192" t="s">
        <v>520</v>
      </c>
      <c r="B192" t="s">
        <v>521</v>
      </c>
      <c r="C192">
        <v>20171</v>
      </c>
      <c r="D192">
        <f>VLOOKUP(A192,[1]Worksheet!$A$2:$I$423,4,0)</f>
        <v>20</v>
      </c>
      <c r="E192">
        <f>VLOOKUP(A192,[1]Worksheet!$A$2:$I$423,5,0)</f>
        <v>3.08</v>
      </c>
      <c r="F192">
        <f>VLOOKUP(A192,[1]Worksheet!$A$2:$I$423,6,0)</f>
        <v>20</v>
      </c>
      <c r="G192">
        <f>VLOOKUP(A192,[1]Worksheet!$A$2:$I$423,7,0)</f>
        <v>3.08</v>
      </c>
      <c r="M192">
        <f t="shared" si="12"/>
        <v>61.6</v>
      </c>
      <c r="N192">
        <f t="shared" si="13"/>
        <v>61.6</v>
      </c>
      <c r="P192">
        <f t="shared" si="14"/>
        <v>20</v>
      </c>
      <c r="Q192">
        <f t="shared" si="15"/>
        <v>3.08</v>
      </c>
      <c r="R192">
        <f t="shared" si="16"/>
        <v>20</v>
      </c>
      <c r="S192">
        <f t="shared" si="17"/>
        <v>3.08</v>
      </c>
    </row>
    <row r="193" spans="1:19">
      <c r="A193" t="s">
        <v>522</v>
      </c>
      <c r="B193" t="s">
        <v>523</v>
      </c>
      <c r="C193">
        <v>20171</v>
      </c>
      <c r="D193">
        <f>VLOOKUP(A193,[1]Worksheet!$A$2:$I$423,4,0)</f>
        <v>20</v>
      </c>
      <c r="E193">
        <f>VLOOKUP(A193,[1]Worksheet!$A$2:$I$423,5,0)</f>
        <v>3.08</v>
      </c>
      <c r="F193">
        <f>VLOOKUP(A193,[1]Worksheet!$A$2:$I$423,6,0)</f>
        <v>20</v>
      </c>
      <c r="G193">
        <f>VLOOKUP(A193,[1]Worksheet!$A$2:$I$423,7,0)</f>
        <v>3.08</v>
      </c>
      <c r="M193">
        <f t="shared" si="12"/>
        <v>61.6</v>
      </c>
      <c r="N193">
        <f t="shared" si="13"/>
        <v>61.6</v>
      </c>
      <c r="P193">
        <f t="shared" si="14"/>
        <v>20</v>
      </c>
      <c r="Q193">
        <f t="shared" si="15"/>
        <v>3.08</v>
      </c>
      <c r="R193">
        <f t="shared" si="16"/>
        <v>20</v>
      </c>
      <c r="S193">
        <f t="shared" si="17"/>
        <v>3.08</v>
      </c>
    </row>
    <row r="194" spans="1:19">
      <c r="A194" t="s">
        <v>524</v>
      </c>
      <c r="B194" t="s">
        <v>525</v>
      </c>
      <c r="C194">
        <v>20171</v>
      </c>
      <c r="D194">
        <f>VLOOKUP(A194,[1]Worksheet!$A$2:$I$423,4,0)</f>
        <v>20</v>
      </c>
      <c r="E194">
        <f>VLOOKUP(A194,[1]Worksheet!$A$2:$I$423,5,0)</f>
        <v>3.1</v>
      </c>
      <c r="F194">
        <f>VLOOKUP(A194,[1]Worksheet!$A$2:$I$423,6,0)</f>
        <v>20</v>
      </c>
      <c r="G194">
        <f>VLOOKUP(A194,[1]Worksheet!$A$2:$I$423,7,0)</f>
        <v>3.1</v>
      </c>
      <c r="M194">
        <f t="shared" ref="M194:M206" si="18">D194*E194</f>
        <v>62</v>
      </c>
      <c r="N194">
        <f t="shared" ref="N194:N206" si="19">F194*G194</f>
        <v>62</v>
      </c>
      <c r="P194">
        <f t="shared" ref="P194:P206" si="20">K194+D194</f>
        <v>20</v>
      </c>
      <c r="Q194">
        <f t="shared" ref="Q194:Q206" si="21">M194/P194</f>
        <v>3.1</v>
      </c>
      <c r="R194">
        <f t="shared" ref="R194:R206" si="22">F194+K194</f>
        <v>20</v>
      </c>
      <c r="S194">
        <f t="shared" ref="S194:S206" si="23">N194/R194</f>
        <v>3.1</v>
      </c>
    </row>
    <row r="195" spans="1:19">
      <c r="A195" t="s">
        <v>526</v>
      </c>
      <c r="B195" t="s">
        <v>527</v>
      </c>
      <c r="C195">
        <v>20171</v>
      </c>
      <c r="D195">
        <f>VLOOKUP(A195,[1]Worksheet!$A$2:$I$423,4,0)</f>
        <v>20</v>
      </c>
      <c r="E195">
        <f>VLOOKUP(A195,[1]Worksheet!$A$2:$I$423,5,0)</f>
        <v>3.15</v>
      </c>
      <c r="F195">
        <f>VLOOKUP(A195,[1]Worksheet!$A$2:$I$423,6,0)</f>
        <v>20</v>
      </c>
      <c r="G195">
        <f>VLOOKUP(A195,[1]Worksheet!$A$2:$I$423,7,0)</f>
        <v>3.15</v>
      </c>
      <c r="M195">
        <f t="shared" si="18"/>
        <v>63</v>
      </c>
      <c r="N195">
        <f t="shared" si="19"/>
        <v>63</v>
      </c>
      <c r="P195">
        <f t="shared" si="20"/>
        <v>20</v>
      </c>
      <c r="Q195">
        <f t="shared" si="21"/>
        <v>3.15</v>
      </c>
      <c r="R195">
        <f t="shared" si="22"/>
        <v>20</v>
      </c>
      <c r="S195">
        <f t="shared" si="23"/>
        <v>3.15</v>
      </c>
    </row>
    <row r="196" spans="1:19">
      <c r="A196" t="s">
        <v>528</v>
      </c>
      <c r="B196" t="s">
        <v>529</v>
      </c>
      <c r="C196">
        <v>20171</v>
      </c>
      <c r="D196">
        <f>VLOOKUP(A196,[1]Worksheet!$A$2:$I$423,4,0)</f>
        <v>20</v>
      </c>
      <c r="E196">
        <f>VLOOKUP(A196,[1]Worksheet!$A$2:$I$423,5,0)</f>
        <v>3.15</v>
      </c>
      <c r="F196">
        <f>VLOOKUP(A196,[1]Worksheet!$A$2:$I$423,6,0)</f>
        <v>20</v>
      </c>
      <c r="G196">
        <f>VLOOKUP(A196,[1]Worksheet!$A$2:$I$423,7,0)</f>
        <v>3.15</v>
      </c>
      <c r="M196">
        <f t="shared" si="18"/>
        <v>63</v>
      </c>
      <c r="N196">
        <f t="shared" si="19"/>
        <v>63</v>
      </c>
      <c r="P196">
        <f t="shared" si="20"/>
        <v>20</v>
      </c>
      <c r="Q196">
        <f t="shared" si="21"/>
        <v>3.15</v>
      </c>
      <c r="R196">
        <f t="shared" si="22"/>
        <v>20</v>
      </c>
      <c r="S196">
        <f t="shared" si="23"/>
        <v>3.15</v>
      </c>
    </row>
    <row r="197" spans="1:19">
      <c r="A197" t="s">
        <v>530</v>
      </c>
      <c r="B197" t="s">
        <v>531</v>
      </c>
      <c r="C197">
        <v>20171</v>
      </c>
      <c r="D197">
        <f>VLOOKUP(A197,[1]Worksheet!$A$2:$I$423,4,0)</f>
        <v>20</v>
      </c>
      <c r="E197">
        <f>VLOOKUP(A197,[1]Worksheet!$A$2:$I$423,5,0)</f>
        <v>3.13</v>
      </c>
      <c r="F197">
        <f>VLOOKUP(A197,[1]Worksheet!$A$2:$I$423,6,0)</f>
        <v>20</v>
      </c>
      <c r="G197">
        <f>VLOOKUP(A197,[1]Worksheet!$A$2:$I$423,7,0)</f>
        <v>3.13</v>
      </c>
      <c r="M197">
        <f t="shared" si="18"/>
        <v>62.599999999999994</v>
      </c>
      <c r="N197">
        <f t="shared" si="19"/>
        <v>62.599999999999994</v>
      </c>
      <c r="P197">
        <f t="shared" si="20"/>
        <v>20</v>
      </c>
      <c r="Q197">
        <f t="shared" si="21"/>
        <v>3.13</v>
      </c>
      <c r="R197">
        <f t="shared" si="22"/>
        <v>20</v>
      </c>
      <c r="S197">
        <f t="shared" si="23"/>
        <v>3.13</v>
      </c>
    </row>
    <row r="198" spans="1:19">
      <c r="A198" t="s">
        <v>532</v>
      </c>
      <c r="B198" t="s">
        <v>533</v>
      </c>
      <c r="C198">
        <v>20171</v>
      </c>
      <c r="D198">
        <f>VLOOKUP(A198,[1]Worksheet!$A$2:$I$423,4,0)</f>
        <v>20</v>
      </c>
      <c r="E198">
        <f>VLOOKUP(A198,[1]Worksheet!$A$2:$I$423,5,0)</f>
        <v>3</v>
      </c>
      <c r="F198">
        <f>VLOOKUP(A198,[1]Worksheet!$A$2:$I$423,6,0)</f>
        <v>20</v>
      </c>
      <c r="G198">
        <f>VLOOKUP(A198,[1]Worksheet!$A$2:$I$423,7,0)</f>
        <v>3</v>
      </c>
      <c r="M198">
        <f t="shared" si="18"/>
        <v>60</v>
      </c>
      <c r="N198">
        <f t="shared" si="19"/>
        <v>60</v>
      </c>
      <c r="P198">
        <f t="shared" si="20"/>
        <v>20</v>
      </c>
      <c r="Q198">
        <f t="shared" si="21"/>
        <v>3</v>
      </c>
      <c r="R198">
        <f t="shared" si="22"/>
        <v>20</v>
      </c>
      <c r="S198">
        <f t="shared" si="23"/>
        <v>3</v>
      </c>
    </row>
    <row r="199" spans="1:19">
      <c r="A199" t="s">
        <v>534</v>
      </c>
      <c r="B199" t="s">
        <v>535</v>
      </c>
      <c r="C199">
        <v>20171</v>
      </c>
      <c r="D199">
        <f>VLOOKUP(A199,[1]Worksheet!$A$2:$I$423,4,0)</f>
        <v>20</v>
      </c>
      <c r="E199">
        <f>VLOOKUP(A199,[1]Worksheet!$A$2:$I$423,5,0)</f>
        <v>3.13</v>
      </c>
      <c r="F199">
        <f>VLOOKUP(A199,[1]Worksheet!$A$2:$I$423,6,0)</f>
        <v>20</v>
      </c>
      <c r="G199">
        <f>VLOOKUP(A199,[1]Worksheet!$A$2:$I$423,7,0)</f>
        <v>3.13</v>
      </c>
      <c r="M199">
        <f t="shared" si="18"/>
        <v>62.599999999999994</v>
      </c>
      <c r="N199">
        <f t="shared" si="19"/>
        <v>62.599999999999994</v>
      </c>
      <c r="P199">
        <f t="shared" si="20"/>
        <v>20</v>
      </c>
      <c r="Q199">
        <f t="shared" si="21"/>
        <v>3.13</v>
      </c>
      <c r="R199">
        <f t="shared" si="22"/>
        <v>20</v>
      </c>
      <c r="S199">
        <f t="shared" si="23"/>
        <v>3.13</v>
      </c>
    </row>
    <row r="200" spans="1:19">
      <c r="A200" t="s">
        <v>536</v>
      </c>
      <c r="B200" t="s">
        <v>537</v>
      </c>
      <c r="C200">
        <v>20171</v>
      </c>
      <c r="D200">
        <f>VLOOKUP(A200,[1]Worksheet!$A$2:$I$423,4,0)</f>
        <v>20</v>
      </c>
      <c r="E200">
        <f>VLOOKUP(A200,[1]Worksheet!$A$2:$I$423,5,0)</f>
        <v>3</v>
      </c>
      <c r="F200">
        <f>VLOOKUP(A200,[1]Worksheet!$A$2:$I$423,6,0)</f>
        <v>20</v>
      </c>
      <c r="G200">
        <f>VLOOKUP(A200,[1]Worksheet!$A$2:$I$423,7,0)</f>
        <v>3</v>
      </c>
      <c r="M200">
        <f t="shared" si="18"/>
        <v>60</v>
      </c>
      <c r="N200">
        <f t="shared" si="19"/>
        <v>60</v>
      </c>
      <c r="P200">
        <f t="shared" si="20"/>
        <v>20</v>
      </c>
      <c r="Q200">
        <f t="shared" si="21"/>
        <v>3</v>
      </c>
      <c r="R200">
        <f t="shared" si="22"/>
        <v>20</v>
      </c>
      <c r="S200">
        <f t="shared" si="23"/>
        <v>3</v>
      </c>
    </row>
    <row r="201" spans="1:19">
      <c r="A201" t="s">
        <v>538</v>
      </c>
      <c r="B201" t="s">
        <v>539</v>
      </c>
      <c r="C201">
        <v>20171</v>
      </c>
      <c r="D201">
        <f>VLOOKUP(A201,[1]Worksheet!$A$2:$I$423,4,0)</f>
        <v>20</v>
      </c>
      <c r="E201">
        <f>VLOOKUP(A201,[1]Worksheet!$A$2:$I$423,5,0)</f>
        <v>3.08</v>
      </c>
      <c r="F201">
        <f>VLOOKUP(A201,[1]Worksheet!$A$2:$I$423,6,0)</f>
        <v>20</v>
      </c>
      <c r="G201">
        <f>VLOOKUP(A201,[1]Worksheet!$A$2:$I$423,7,0)</f>
        <v>3.08</v>
      </c>
      <c r="M201">
        <f t="shared" si="18"/>
        <v>61.6</v>
      </c>
      <c r="N201">
        <f t="shared" si="19"/>
        <v>61.6</v>
      </c>
      <c r="P201">
        <f t="shared" si="20"/>
        <v>20</v>
      </c>
      <c r="Q201">
        <f t="shared" si="21"/>
        <v>3.08</v>
      </c>
      <c r="R201">
        <f t="shared" si="22"/>
        <v>20</v>
      </c>
      <c r="S201">
        <f t="shared" si="23"/>
        <v>3.08</v>
      </c>
    </row>
    <row r="202" spans="1:19">
      <c r="A202" t="s">
        <v>540</v>
      </c>
      <c r="B202" t="s">
        <v>541</v>
      </c>
      <c r="C202">
        <v>20171</v>
      </c>
      <c r="D202">
        <f>VLOOKUP(A202,[1]Worksheet!$A$2:$I$423,4,0)</f>
        <v>20</v>
      </c>
      <c r="E202">
        <f>VLOOKUP(A202,[1]Worksheet!$A$2:$I$423,5,0)</f>
        <v>2.73</v>
      </c>
      <c r="F202">
        <f>VLOOKUP(A202,[1]Worksheet!$A$2:$I$423,6,0)</f>
        <v>20</v>
      </c>
      <c r="G202">
        <f>VLOOKUP(A202,[1]Worksheet!$A$2:$I$423,7,0)</f>
        <v>2.73</v>
      </c>
      <c r="M202">
        <f t="shared" si="18"/>
        <v>54.6</v>
      </c>
      <c r="N202">
        <f t="shared" si="19"/>
        <v>54.6</v>
      </c>
      <c r="P202">
        <f t="shared" si="20"/>
        <v>20</v>
      </c>
      <c r="Q202">
        <f t="shared" si="21"/>
        <v>2.73</v>
      </c>
      <c r="R202">
        <f t="shared" si="22"/>
        <v>20</v>
      </c>
      <c r="S202">
        <f t="shared" si="23"/>
        <v>2.73</v>
      </c>
    </row>
    <row r="203" spans="1:19">
      <c r="A203" t="s">
        <v>542</v>
      </c>
      <c r="B203" t="s">
        <v>543</v>
      </c>
      <c r="C203">
        <v>20171</v>
      </c>
      <c r="D203">
        <f>VLOOKUP(A203,[1]Worksheet!$A$2:$I$423,4,0)</f>
        <v>20</v>
      </c>
      <c r="E203">
        <f>VLOOKUP(A203,[1]Worksheet!$A$2:$I$423,5,0)</f>
        <v>3.13</v>
      </c>
      <c r="F203">
        <f>VLOOKUP(A203,[1]Worksheet!$A$2:$I$423,6,0)</f>
        <v>20</v>
      </c>
      <c r="G203">
        <f>VLOOKUP(A203,[1]Worksheet!$A$2:$I$423,7,0)</f>
        <v>3.13</v>
      </c>
      <c r="M203">
        <f t="shared" si="18"/>
        <v>62.599999999999994</v>
      </c>
      <c r="N203">
        <f t="shared" si="19"/>
        <v>62.599999999999994</v>
      </c>
      <c r="P203">
        <f t="shared" si="20"/>
        <v>20</v>
      </c>
      <c r="Q203">
        <f t="shared" si="21"/>
        <v>3.13</v>
      </c>
      <c r="R203">
        <f t="shared" si="22"/>
        <v>20</v>
      </c>
      <c r="S203">
        <f t="shared" si="23"/>
        <v>3.13</v>
      </c>
    </row>
    <row r="204" spans="1:19">
      <c r="A204" t="s">
        <v>544</v>
      </c>
      <c r="B204" t="s">
        <v>545</v>
      </c>
      <c r="C204">
        <v>20171</v>
      </c>
      <c r="D204">
        <f>VLOOKUP(A204,[1]Worksheet!$A$2:$I$423,4,0)</f>
        <v>20</v>
      </c>
      <c r="E204">
        <f>VLOOKUP(A204,[1]Worksheet!$A$2:$I$423,5,0)</f>
        <v>3.15</v>
      </c>
      <c r="F204">
        <f>VLOOKUP(A204,[1]Worksheet!$A$2:$I$423,6,0)</f>
        <v>20</v>
      </c>
      <c r="G204">
        <f>VLOOKUP(A204,[1]Worksheet!$A$2:$I$423,7,0)</f>
        <v>3.15</v>
      </c>
      <c r="M204">
        <f t="shared" si="18"/>
        <v>63</v>
      </c>
      <c r="N204">
        <f t="shared" si="19"/>
        <v>63</v>
      </c>
      <c r="P204">
        <f t="shared" si="20"/>
        <v>20</v>
      </c>
      <c r="Q204">
        <f t="shared" si="21"/>
        <v>3.15</v>
      </c>
      <c r="R204">
        <f t="shared" si="22"/>
        <v>20</v>
      </c>
      <c r="S204">
        <f t="shared" si="23"/>
        <v>3.15</v>
      </c>
    </row>
    <row r="205" spans="1:19">
      <c r="A205" t="s">
        <v>546</v>
      </c>
      <c r="B205" t="s">
        <v>547</v>
      </c>
      <c r="C205">
        <v>20171</v>
      </c>
      <c r="D205">
        <f>VLOOKUP(A205,[1]Worksheet!$A$2:$I$423,4,0)</f>
        <v>20</v>
      </c>
      <c r="E205">
        <f>VLOOKUP(A205,[1]Worksheet!$A$2:$I$423,5,0)</f>
        <v>3.2</v>
      </c>
      <c r="F205">
        <f>VLOOKUP(A205,[1]Worksheet!$A$2:$I$423,6,0)</f>
        <v>20</v>
      </c>
      <c r="G205">
        <f>VLOOKUP(A205,[1]Worksheet!$A$2:$I$423,7,0)</f>
        <v>3.2</v>
      </c>
      <c r="M205">
        <f t="shared" si="18"/>
        <v>64</v>
      </c>
      <c r="N205">
        <f t="shared" si="19"/>
        <v>64</v>
      </c>
      <c r="P205">
        <f t="shared" si="20"/>
        <v>20</v>
      </c>
      <c r="Q205">
        <f t="shared" si="21"/>
        <v>3.2</v>
      </c>
      <c r="R205">
        <f t="shared" si="22"/>
        <v>20</v>
      </c>
      <c r="S205">
        <f t="shared" si="23"/>
        <v>3.2</v>
      </c>
    </row>
    <row r="206" spans="1:19">
      <c r="A206" t="s">
        <v>548</v>
      </c>
      <c r="B206" t="s">
        <v>549</v>
      </c>
      <c r="C206">
        <v>20171</v>
      </c>
      <c r="D206">
        <f>VLOOKUP(A206,[1]Worksheet!$A$2:$I$423,4,0)</f>
        <v>20</v>
      </c>
      <c r="E206">
        <f>VLOOKUP(A206,[1]Worksheet!$A$2:$I$423,5,0)</f>
        <v>3.45</v>
      </c>
      <c r="F206">
        <f>VLOOKUP(A206,[1]Worksheet!$A$2:$I$423,6,0)</f>
        <v>20</v>
      </c>
      <c r="G206">
        <f>VLOOKUP(A206,[1]Worksheet!$A$2:$I$423,7,0)</f>
        <v>3.45</v>
      </c>
      <c r="M206">
        <f t="shared" si="18"/>
        <v>69</v>
      </c>
      <c r="N206">
        <f t="shared" si="19"/>
        <v>69</v>
      </c>
      <c r="P206">
        <f t="shared" si="20"/>
        <v>20</v>
      </c>
      <c r="Q206">
        <f t="shared" si="21"/>
        <v>3.45</v>
      </c>
      <c r="R206">
        <f t="shared" si="22"/>
        <v>20</v>
      </c>
      <c r="S206">
        <f t="shared" si="23"/>
        <v>3.45</v>
      </c>
    </row>
    <row r="207" spans="1:19">
      <c r="A207" t="s">
        <v>564</v>
      </c>
      <c r="B207" t="s">
        <v>564</v>
      </c>
    </row>
    <row r="208" spans="1:19">
      <c r="A208" t="s">
        <v>564</v>
      </c>
      <c r="B208" t="s">
        <v>564</v>
      </c>
    </row>
    <row r="209" spans="1:2">
      <c r="A209" t="s">
        <v>564</v>
      </c>
      <c r="B209" t="s">
        <v>564</v>
      </c>
    </row>
    <row r="210" spans="1:2">
      <c r="A210" t="s">
        <v>564</v>
      </c>
      <c r="B210" t="s">
        <v>564</v>
      </c>
    </row>
    <row r="211" spans="1:2">
      <c r="A211" t="s">
        <v>564</v>
      </c>
      <c r="B211" t="s">
        <v>564</v>
      </c>
    </row>
    <row r="212" spans="1:2">
      <c r="A212" t="s">
        <v>564</v>
      </c>
      <c r="B212" t="s">
        <v>564</v>
      </c>
    </row>
    <row r="213" spans="1:2">
      <c r="A213" t="s">
        <v>564</v>
      </c>
      <c r="B213" t="s">
        <v>564</v>
      </c>
    </row>
    <row r="214" spans="1:2">
      <c r="A214" t="s">
        <v>564</v>
      </c>
      <c r="B214" t="s">
        <v>564</v>
      </c>
    </row>
    <row r="215" spans="1:2">
      <c r="A215" t="s">
        <v>564</v>
      </c>
      <c r="B215" t="s">
        <v>564</v>
      </c>
    </row>
    <row r="216" spans="1:2">
      <c r="A216" t="s">
        <v>564</v>
      </c>
      <c r="B216" t="s">
        <v>564</v>
      </c>
    </row>
    <row r="217" spans="1:2">
      <c r="A217" t="s">
        <v>564</v>
      </c>
      <c r="B217" t="s">
        <v>564</v>
      </c>
    </row>
    <row r="218" spans="1:2">
      <c r="A218" t="s">
        <v>564</v>
      </c>
      <c r="B218" t="s">
        <v>564</v>
      </c>
    </row>
    <row r="219" spans="1:2">
      <c r="A219" t="s">
        <v>564</v>
      </c>
      <c r="B219" t="s">
        <v>564</v>
      </c>
    </row>
    <row r="220" spans="1:2">
      <c r="A220" t="s">
        <v>564</v>
      </c>
      <c r="B220" t="s">
        <v>564</v>
      </c>
    </row>
    <row r="221" spans="1:2">
      <c r="A221" t="s">
        <v>564</v>
      </c>
      <c r="B221" t="s">
        <v>564</v>
      </c>
    </row>
    <row r="222" spans="1:2">
      <c r="A222" t="s">
        <v>564</v>
      </c>
      <c r="B222" t="s">
        <v>564</v>
      </c>
    </row>
    <row r="223" spans="1:2">
      <c r="A223" t="s">
        <v>564</v>
      </c>
      <c r="B223" t="s">
        <v>564</v>
      </c>
    </row>
    <row r="224" spans="1:2">
      <c r="A224" t="s">
        <v>564</v>
      </c>
      <c r="B224" t="s">
        <v>564</v>
      </c>
    </row>
    <row r="225" spans="1:2">
      <c r="A225" t="s">
        <v>564</v>
      </c>
      <c r="B225" t="s">
        <v>564</v>
      </c>
    </row>
    <row r="226" spans="1:2">
      <c r="A226" t="s">
        <v>564</v>
      </c>
      <c r="B226" t="s">
        <v>564</v>
      </c>
    </row>
    <row r="227" spans="1:2">
      <c r="A227" t="s">
        <v>564</v>
      </c>
      <c r="B227" t="s">
        <v>564</v>
      </c>
    </row>
    <row r="228" spans="1:2">
      <c r="A228" t="s">
        <v>564</v>
      </c>
      <c r="B228" t="s">
        <v>564</v>
      </c>
    </row>
    <row r="229" spans="1:2">
      <c r="A229" t="s">
        <v>564</v>
      </c>
      <c r="B229" t="s">
        <v>564</v>
      </c>
    </row>
    <row r="230" spans="1:2">
      <c r="A230" t="s">
        <v>564</v>
      </c>
      <c r="B230" t="s">
        <v>564</v>
      </c>
    </row>
    <row r="231" spans="1:2">
      <c r="A231" t="s">
        <v>564</v>
      </c>
      <c r="B231" t="s">
        <v>564</v>
      </c>
    </row>
    <row r="232" spans="1:2">
      <c r="A232" t="s">
        <v>564</v>
      </c>
      <c r="B232" t="s">
        <v>564</v>
      </c>
    </row>
    <row r="233" spans="1:2">
      <c r="A233" t="s">
        <v>564</v>
      </c>
      <c r="B233" t="s">
        <v>564</v>
      </c>
    </row>
    <row r="234" spans="1:2">
      <c r="A234" t="s">
        <v>564</v>
      </c>
      <c r="B234" t="s">
        <v>564</v>
      </c>
    </row>
    <row r="235" spans="1:2">
      <c r="A235" t="s">
        <v>564</v>
      </c>
      <c r="B235" t="s">
        <v>564</v>
      </c>
    </row>
    <row r="236" spans="1:2">
      <c r="A236" t="s">
        <v>564</v>
      </c>
      <c r="B236" t="s">
        <v>564</v>
      </c>
    </row>
    <row r="237" spans="1:2">
      <c r="A237" t="s">
        <v>564</v>
      </c>
      <c r="B237" t="s">
        <v>564</v>
      </c>
    </row>
    <row r="238" spans="1:2">
      <c r="A238" t="s">
        <v>564</v>
      </c>
      <c r="B238" t="s">
        <v>564</v>
      </c>
    </row>
    <row r="239" spans="1:2">
      <c r="A239" t="s">
        <v>564</v>
      </c>
      <c r="B239" t="s">
        <v>564</v>
      </c>
    </row>
    <row r="240" spans="1:2">
      <c r="A240" t="s">
        <v>564</v>
      </c>
      <c r="B240" t="s">
        <v>564</v>
      </c>
    </row>
    <row r="241" spans="1:2">
      <c r="A241" t="s">
        <v>564</v>
      </c>
      <c r="B241" t="s">
        <v>564</v>
      </c>
    </row>
    <row r="242" spans="1:2">
      <c r="A242" t="s">
        <v>564</v>
      </c>
      <c r="B242" t="s">
        <v>564</v>
      </c>
    </row>
    <row r="243" spans="1:2">
      <c r="A243" t="s">
        <v>564</v>
      </c>
      <c r="B243" t="s">
        <v>564</v>
      </c>
    </row>
    <row r="244" spans="1:2">
      <c r="A244" t="s">
        <v>564</v>
      </c>
      <c r="B244" t="s">
        <v>564</v>
      </c>
    </row>
    <row r="245" spans="1:2">
      <c r="A245" t="s">
        <v>564</v>
      </c>
      <c r="B245" t="s">
        <v>564</v>
      </c>
    </row>
    <row r="246" spans="1:2">
      <c r="A246" t="s">
        <v>564</v>
      </c>
      <c r="B246" t="s">
        <v>564</v>
      </c>
    </row>
    <row r="247" spans="1:2">
      <c r="A247" t="s">
        <v>564</v>
      </c>
      <c r="B247" t="s">
        <v>564</v>
      </c>
    </row>
    <row r="248" spans="1:2">
      <c r="A248" t="s">
        <v>564</v>
      </c>
      <c r="B248" t="s">
        <v>564</v>
      </c>
    </row>
    <row r="249" spans="1:2">
      <c r="A249" t="s">
        <v>564</v>
      </c>
      <c r="B249" t="s">
        <v>564</v>
      </c>
    </row>
    <row r="250" spans="1:2">
      <c r="A250" t="s">
        <v>564</v>
      </c>
      <c r="B250" t="s">
        <v>564</v>
      </c>
    </row>
    <row r="251" spans="1:2">
      <c r="A251" t="s">
        <v>564</v>
      </c>
      <c r="B251" t="s">
        <v>564</v>
      </c>
    </row>
    <row r="252" spans="1:2">
      <c r="A252" t="s">
        <v>564</v>
      </c>
      <c r="B252" t="s">
        <v>564</v>
      </c>
    </row>
    <row r="253" spans="1:2">
      <c r="A253" t="s">
        <v>564</v>
      </c>
      <c r="B253" t="s">
        <v>564</v>
      </c>
    </row>
    <row r="254" spans="1:2">
      <c r="A254" t="s">
        <v>564</v>
      </c>
      <c r="B254" t="s">
        <v>564</v>
      </c>
    </row>
    <row r="255" spans="1:2">
      <c r="A255" t="s">
        <v>564</v>
      </c>
      <c r="B255" t="s">
        <v>564</v>
      </c>
    </row>
    <row r="256" spans="1:2">
      <c r="A256" t="s">
        <v>564</v>
      </c>
      <c r="B256" t="s">
        <v>564</v>
      </c>
    </row>
    <row r="257" spans="1:2">
      <c r="A257" t="s">
        <v>564</v>
      </c>
      <c r="B257" t="s">
        <v>564</v>
      </c>
    </row>
    <row r="258" spans="1:2">
      <c r="A258" t="s">
        <v>564</v>
      </c>
      <c r="B258" t="s">
        <v>564</v>
      </c>
    </row>
    <row r="259" spans="1:2">
      <c r="A259" t="s">
        <v>564</v>
      </c>
      <c r="B259" t="s">
        <v>564</v>
      </c>
    </row>
    <row r="260" spans="1:2">
      <c r="A260" t="s">
        <v>564</v>
      </c>
      <c r="B260" t="s">
        <v>564</v>
      </c>
    </row>
    <row r="261" spans="1:2">
      <c r="A261" t="s">
        <v>564</v>
      </c>
      <c r="B261" t="s">
        <v>564</v>
      </c>
    </row>
    <row r="262" spans="1:2">
      <c r="A262" t="s">
        <v>564</v>
      </c>
      <c r="B262" t="s">
        <v>564</v>
      </c>
    </row>
    <row r="263" spans="1:2">
      <c r="A263" t="s">
        <v>564</v>
      </c>
      <c r="B263" t="s">
        <v>564</v>
      </c>
    </row>
    <row r="264" spans="1:2">
      <c r="A264" t="s">
        <v>564</v>
      </c>
      <c r="B264" t="s">
        <v>564</v>
      </c>
    </row>
    <row r="265" spans="1:2">
      <c r="A265" t="s">
        <v>564</v>
      </c>
      <c r="B265" t="s">
        <v>564</v>
      </c>
    </row>
    <row r="266" spans="1:2">
      <c r="A266" t="s">
        <v>564</v>
      </c>
      <c r="B266" t="s">
        <v>564</v>
      </c>
    </row>
    <row r="267" spans="1:2">
      <c r="A267" t="s">
        <v>564</v>
      </c>
      <c r="B267" t="s">
        <v>564</v>
      </c>
    </row>
    <row r="268" spans="1:2">
      <c r="A268" t="s">
        <v>564</v>
      </c>
      <c r="B268" t="s">
        <v>564</v>
      </c>
    </row>
    <row r="269" spans="1:2">
      <c r="A269" t="s">
        <v>564</v>
      </c>
      <c r="B269" t="s">
        <v>564</v>
      </c>
    </row>
    <row r="270" spans="1:2">
      <c r="A270" t="s">
        <v>564</v>
      </c>
      <c r="B270" t="s">
        <v>564</v>
      </c>
    </row>
    <row r="271" spans="1:2">
      <c r="A271" t="s">
        <v>564</v>
      </c>
      <c r="B271" t="s">
        <v>564</v>
      </c>
    </row>
    <row r="272" spans="1:2">
      <c r="A272" t="s">
        <v>564</v>
      </c>
      <c r="B272" t="s">
        <v>564</v>
      </c>
    </row>
    <row r="273" spans="1:2">
      <c r="A273" t="s">
        <v>564</v>
      </c>
      <c r="B273" t="s">
        <v>564</v>
      </c>
    </row>
    <row r="274" spans="1:2">
      <c r="A274" t="s">
        <v>564</v>
      </c>
      <c r="B274" t="s">
        <v>564</v>
      </c>
    </row>
    <row r="275" spans="1:2">
      <c r="A275" t="s">
        <v>564</v>
      </c>
      <c r="B275" t="s">
        <v>564</v>
      </c>
    </row>
    <row r="276" spans="1:2">
      <c r="A276" t="s">
        <v>564</v>
      </c>
      <c r="B276" t="s">
        <v>564</v>
      </c>
    </row>
    <row r="277" spans="1:2">
      <c r="A277" t="s">
        <v>564</v>
      </c>
      <c r="B277" t="s">
        <v>564</v>
      </c>
    </row>
    <row r="278" spans="1:2">
      <c r="A278" t="s">
        <v>564</v>
      </c>
      <c r="B278" t="s">
        <v>564</v>
      </c>
    </row>
    <row r="279" spans="1:2">
      <c r="A279" t="s">
        <v>564</v>
      </c>
      <c r="B279" t="s">
        <v>564</v>
      </c>
    </row>
    <row r="280" spans="1:2">
      <c r="A280" t="s">
        <v>564</v>
      </c>
      <c r="B280" t="s">
        <v>564</v>
      </c>
    </row>
    <row r="281" spans="1:2">
      <c r="A281" t="s">
        <v>564</v>
      </c>
      <c r="B281" t="s">
        <v>564</v>
      </c>
    </row>
    <row r="282" spans="1:2">
      <c r="A282" t="s">
        <v>564</v>
      </c>
      <c r="B282" t="s">
        <v>564</v>
      </c>
    </row>
    <row r="283" spans="1:2">
      <c r="A283" t="s">
        <v>564</v>
      </c>
      <c r="B283" t="s">
        <v>564</v>
      </c>
    </row>
    <row r="284" spans="1:2">
      <c r="A284" t="s">
        <v>564</v>
      </c>
      <c r="B284" t="s">
        <v>564</v>
      </c>
    </row>
    <row r="285" spans="1:2">
      <c r="A285" t="s">
        <v>564</v>
      </c>
      <c r="B285" t="s">
        <v>564</v>
      </c>
    </row>
    <row r="286" spans="1:2">
      <c r="A286" t="s">
        <v>564</v>
      </c>
      <c r="B286" t="s">
        <v>564</v>
      </c>
    </row>
    <row r="287" spans="1:2">
      <c r="A287" t="s">
        <v>564</v>
      </c>
      <c r="B287" t="s">
        <v>564</v>
      </c>
    </row>
    <row r="288" spans="1:2">
      <c r="A288" t="s">
        <v>564</v>
      </c>
      <c r="B288" t="s">
        <v>564</v>
      </c>
    </row>
    <row r="289" spans="1:2">
      <c r="A289" t="s">
        <v>564</v>
      </c>
      <c r="B289" t="s">
        <v>564</v>
      </c>
    </row>
    <row r="290" spans="1:2">
      <c r="A290" t="s">
        <v>564</v>
      </c>
      <c r="B290" t="s">
        <v>564</v>
      </c>
    </row>
    <row r="291" spans="1:2">
      <c r="A291" t="s">
        <v>564</v>
      </c>
      <c r="B291" t="s">
        <v>564</v>
      </c>
    </row>
    <row r="292" spans="1:2">
      <c r="A292" t="s">
        <v>564</v>
      </c>
      <c r="B292" t="s">
        <v>564</v>
      </c>
    </row>
    <row r="293" spans="1:2">
      <c r="A293" t="s">
        <v>564</v>
      </c>
      <c r="B293" t="s">
        <v>564</v>
      </c>
    </row>
    <row r="294" spans="1:2">
      <c r="A294" t="s">
        <v>564</v>
      </c>
      <c r="B294" t="s">
        <v>564</v>
      </c>
    </row>
    <row r="295" spans="1:2">
      <c r="A295" t="s">
        <v>564</v>
      </c>
      <c r="B295" t="s">
        <v>564</v>
      </c>
    </row>
    <row r="296" spans="1:2">
      <c r="A296" t="s">
        <v>564</v>
      </c>
      <c r="B296" t="s">
        <v>564</v>
      </c>
    </row>
    <row r="297" spans="1:2">
      <c r="A297" t="s">
        <v>564</v>
      </c>
      <c r="B297" t="s">
        <v>564</v>
      </c>
    </row>
    <row r="298" spans="1:2">
      <c r="A298" t="s">
        <v>564</v>
      </c>
      <c r="B298" t="s">
        <v>564</v>
      </c>
    </row>
    <row r="299" spans="1:2">
      <c r="A299" t="s">
        <v>564</v>
      </c>
      <c r="B299" t="s">
        <v>564</v>
      </c>
    </row>
    <row r="300" spans="1:2">
      <c r="A300" t="s">
        <v>564</v>
      </c>
      <c r="B300" t="s">
        <v>564</v>
      </c>
    </row>
    <row r="301" spans="1:2">
      <c r="A301" t="s">
        <v>564</v>
      </c>
      <c r="B301" t="s">
        <v>564</v>
      </c>
    </row>
    <row r="302" spans="1:2">
      <c r="A302" t="s">
        <v>564</v>
      </c>
      <c r="B302" t="s">
        <v>564</v>
      </c>
    </row>
    <row r="303" spans="1:2">
      <c r="A303" t="s">
        <v>564</v>
      </c>
      <c r="B303" t="s">
        <v>564</v>
      </c>
    </row>
    <row r="304" spans="1:2">
      <c r="A304" t="s">
        <v>564</v>
      </c>
      <c r="B304" t="s">
        <v>564</v>
      </c>
    </row>
    <row r="305" spans="1:2">
      <c r="A305" t="s">
        <v>564</v>
      </c>
      <c r="B305" t="s">
        <v>564</v>
      </c>
    </row>
    <row r="306" spans="1:2">
      <c r="A306" t="s">
        <v>564</v>
      </c>
      <c r="B306" t="s">
        <v>564</v>
      </c>
    </row>
    <row r="307" spans="1:2">
      <c r="A307" t="s">
        <v>564</v>
      </c>
      <c r="B307" t="s">
        <v>564</v>
      </c>
    </row>
    <row r="308" spans="1:2">
      <c r="A308" t="s">
        <v>564</v>
      </c>
      <c r="B308" t="s">
        <v>564</v>
      </c>
    </row>
    <row r="309" spans="1:2">
      <c r="A309" t="s">
        <v>564</v>
      </c>
      <c r="B309" t="s">
        <v>564</v>
      </c>
    </row>
    <row r="310" spans="1:2">
      <c r="A310" t="s">
        <v>564</v>
      </c>
      <c r="B310" t="s">
        <v>564</v>
      </c>
    </row>
    <row r="311" spans="1:2">
      <c r="A311" t="s">
        <v>564</v>
      </c>
      <c r="B311" t="s">
        <v>564</v>
      </c>
    </row>
    <row r="312" spans="1:2">
      <c r="A312" t="s">
        <v>564</v>
      </c>
      <c r="B312" t="s">
        <v>564</v>
      </c>
    </row>
    <row r="313" spans="1:2">
      <c r="A313" t="s">
        <v>564</v>
      </c>
      <c r="B313" t="s">
        <v>564</v>
      </c>
    </row>
    <row r="314" spans="1:2">
      <c r="A314" t="s">
        <v>564</v>
      </c>
      <c r="B314" t="s">
        <v>564</v>
      </c>
    </row>
    <row r="315" spans="1:2">
      <c r="A315" t="s">
        <v>564</v>
      </c>
      <c r="B315" t="s">
        <v>564</v>
      </c>
    </row>
    <row r="316" spans="1:2">
      <c r="A316" t="s">
        <v>564</v>
      </c>
      <c r="B316" t="s">
        <v>564</v>
      </c>
    </row>
    <row r="317" spans="1:2">
      <c r="A317" t="s">
        <v>564</v>
      </c>
      <c r="B317" t="s">
        <v>564</v>
      </c>
    </row>
    <row r="318" spans="1:2">
      <c r="A318" t="s">
        <v>564</v>
      </c>
      <c r="B318" t="s">
        <v>564</v>
      </c>
    </row>
    <row r="319" spans="1:2">
      <c r="A319" t="s">
        <v>564</v>
      </c>
      <c r="B319" t="s">
        <v>564</v>
      </c>
    </row>
    <row r="320" spans="1:2">
      <c r="A320" t="s">
        <v>564</v>
      </c>
      <c r="B320" t="s">
        <v>564</v>
      </c>
    </row>
    <row r="321" spans="1:2">
      <c r="A321" t="s">
        <v>564</v>
      </c>
      <c r="B321" t="s">
        <v>564</v>
      </c>
    </row>
    <row r="322" spans="1:2">
      <c r="A322" t="s">
        <v>564</v>
      </c>
      <c r="B322" t="s">
        <v>564</v>
      </c>
    </row>
    <row r="323" spans="1:2">
      <c r="A323" t="s">
        <v>564</v>
      </c>
      <c r="B323" t="s">
        <v>564</v>
      </c>
    </row>
    <row r="324" spans="1:2">
      <c r="A324" t="s">
        <v>564</v>
      </c>
      <c r="B324" t="s">
        <v>564</v>
      </c>
    </row>
    <row r="325" spans="1:2">
      <c r="A325" t="s">
        <v>564</v>
      </c>
      <c r="B325" t="s">
        <v>564</v>
      </c>
    </row>
    <row r="326" spans="1:2">
      <c r="A326" t="s">
        <v>564</v>
      </c>
      <c r="B326" t="s">
        <v>564</v>
      </c>
    </row>
    <row r="327" spans="1:2">
      <c r="A327" t="s">
        <v>564</v>
      </c>
      <c r="B327" t="s">
        <v>564</v>
      </c>
    </row>
    <row r="328" spans="1:2">
      <c r="A328" t="s">
        <v>564</v>
      </c>
      <c r="B328" t="s">
        <v>564</v>
      </c>
    </row>
    <row r="329" spans="1:2">
      <c r="A329" t="s">
        <v>564</v>
      </c>
      <c r="B329" t="s">
        <v>564</v>
      </c>
    </row>
    <row r="330" spans="1:2">
      <c r="A330" t="s">
        <v>564</v>
      </c>
      <c r="B330" t="s">
        <v>564</v>
      </c>
    </row>
    <row r="331" spans="1:2">
      <c r="A331" t="s">
        <v>564</v>
      </c>
      <c r="B331" t="s">
        <v>564</v>
      </c>
    </row>
    <row r="332" spans="1:2">
      <c r="A332" t="s">
        <v>564</v>
      </c>
      <c r="B332" t="s">
        <v>564</v>
      </c>
    </row>
    <row r="333" spans="1:2">
      <c r="A333" t="s">
        <v>564</v>
      </c>
      <c r="B333" t="s">
        <v>564</v>
      </c>
    </row>
    <row r="334" spans="1:2">
      <c r="A334" t="s">
        <v>564</v>
      </c>
      <c r="B334" t="s">
        <v>564</v>
      </c>
    </row>
    <row r="335" spans="1:2">
      <c r="A335" t="s">
        <v>564</v>
      </c>
      <c r="B335" t="s">
        <v>564</v>
      </c>
    </row>
    <row r="336" spans="1:2">
      <c r="A336" t="s">
        <v>564</v>
      </c>
      <c r="B336" t="s">
        <v>564</v>
      </c>
    </row>
    <row r="337" spans="1:2">
      <c r="A337" t="s">
        <v>564</v>
      </c>
      <c r="B337" t="s">
        <v>564</v>
      </c>
    </row>
    <row r="338" spans="1:2">
      <c r="A338" t="s">
        <v>564</v>
      </c>
      <c r="B338" t="s">
        <v>564</v>
      </c>
    </row>
    <row r="339" spans="1:2">
      <c r="A339" t="s">
        <v>564</v>
      </c>
      <c r="B339" t="s">
        <v>564</v>
      </c>
    </row>
    <row r="340" spans="1:2">
      <c r="A340" t="s">
        <v>564</v>
      </c>
      <c r="B340" t="s">
        <v>564</v>
      </c>
    </row>
    <row r="341" spans="1:2">
      <c r="A341" t="s">
        <v>564</v>
      </c>
      <c r="B341" t="s">
        <v>564</v>
      </c>
    </row>
    <row r="342" spans="1:2">
      <c r="A342" t="s">
        <v>564</v>
      </c>
      <c r="B342" t="s">
        <v>564</v>
      </c>
    </row>
    <row r="343" spans="1:2">
      <c r="A343" t="s">
        <v>564</v>
      </c>
      <c r="B343" t="s">
        <v>564</v>
      </c>
    </row>
    <row r="344" spans="1:2">
      <c r="A344" t="s">
        <v>564</v>
      </c>
      <c r="B344" t="s">
        <v>564</v>
      </c>
    </row>
    <row r="345" spans="1:2">
      <c r="A345" t="s">
        <v>564</v>
      </c>
      <c r="B345" t="s">
        <v>564</v>
      </c>
    </row>
    <row r="346" spans="1:2">
      <c r="A346" t="s">
        <v>564</v>
      </c>
      <c r="B346" t="s">
        <v>564</v>
      </c>
    </row>
    <row r="347" spans="1:2">
      <c r="A347" t="s">
        <v>564</v>
      </c>
      <c r="B347" t="s">
        <v>564</v>
      </c>
    </row>
    <row r="348" spans="1:2">
      <c r="A348" t="s">
        <v>564</v>
      </c>
      <c r="B348" t="s">
        <v>564</v>
      </c>
    </row>
    <row r="349" spans="1:2">
      <c r="A349" t="s">
        <v>564</v>
      </c>
      <c r="B349" t="s">
        <v>564</v>
      </c>
    </row>
    <row r="350" spans="1:2">
      <c r="A350" t="s">
        <v>564</v>
      </c>
      <c r="B350" t="s">
        <v>564</v>
      </c>
    </row>
    <row r="351" spans="1:2">
      <c r="A351" t="s">
        <v>564</v>
      </c>
      <c r="B351" t="s">
        <v>564</v>
      </c>
    </row>
    <row r="352" spans="1:2">
      <c r="A352" t="s">
        <v>564</v>
      </c>
      <c r="B352" t="s">
        <v>564</v>
      </c>
    </row>
    <row r="353" spans="1:2">
      <c r="A353" t="s">
        <v>564</v>
      </c>
      <c r="B353" t="s">
        <v>564</v>
      </c>
    </row>
    <row r="354" spans="1:2">
      <c r="A354" t="s">
        <v>564</v>
      </c>
      <c r="B354" t="s">
        <v>564</v>
      </c>
    </row>
    <row r="355" spans="1:2">
      <c r="A355" t="s">
        <v>564</v>
      </c>
      <c r="B355" t="s">
        <v>564</v>
      </c>
    </row>
    <row r="356" spans="1:2">
      <c r="A356" t="s">
        <v>564</v>
      </c>
      <c r="B356" t="s">
        <v>564</v>
      </c>
    </row>
    <row r="357" spans="1:2">
      <c r="A357" t="s">
        <v>564</v>
      </c>
      <c r="B357" t="s">
        <v>564</v>
      </c>
    </row>
    <row r="358" spans="1:2">
      <c r="A358" t="s">
        <v>564</v>
      </c>
      <c r="B358" t="s">
        <v>564</v>
      </c>
    </row>
    <row r="359" spans="1:2">
      <c r="A359" t="s">
        <v>564</v>
      </c>
      <c r="B359" t="s">
        <v>564</v>
      </c>
    </row>
    <row r="360" spans="1:2">
      <c r="A360" t="s">
        <v>564</v>
      </c>
      <c r="B360" t="s">
        <v>564</v>
      </c>
    </row>
    <row r="361" spans="1:2">
      <c r="A361" t="s">
        <v>564</v>
      </c>
      <c r="B361" t="s">
        <v>564</v>
      </c>
    </row>
    <row r="362" spans="1:2">
      <c r="A362" t="s">
        <v>564</v>
      </c>
      <c r="B362" t="s">
        <v>564</v>
      </c>
    </row>
    <row r="363" spans="1:2">
      <c r="A363" t="s">
        <v>564</v>
      </c>
      <c r="B363" t="s">
        <v>564</v>
      </c>
    </row>
    <row r="364" spans="1:2">
      <c r="A364" t="s">
        <v>564</v>
      </c>
      <c r="B364" t="s">
        <v>564</v>
      </c>
    </row>
    <row r="365" spans="1:2">
      <c r="A365" t="s">
        <v>564</v>
      </c>
      <c r="B365" t="s">
        <v>564</v>
      </c>
    </row>
    <row r="366" spans="1:2">
      <c r="A366" t="s">
        <v>564</v>
      </c>
      <c r="B366" t="s">
        <v>564</v>
      </c>
    </row>
    <row r="367" spans="1:2">
      <c r="A367" t="s">
        <v>564</v>
      </c>
      <c r="B367" t="s">
        <v>564</v>
      </c>
    </row>
    <row r="368" spans="1:2">
      <c r="A368" t="s">
        <v>564</v>
      </c>
      <c r="B368" t="s">
        <v>564</v>
      </c>
    </row>
    <row r="369" spans="1:2">
      <c r="A369" t="s">
        <v>564</v>
      </c>
      <c r="B369" t="s">
        <v>564</v>
      </c>
    </row>
    <row r="370" spans="1:2">
      <c r="A370" t="s">
        <v>564</v>
      </c>
      <c r="B370" t="s">
        <v>564</v>
      </c>
    </row>
    <row r="371" spans="1:2">
      <c r="A371" t="s">
        <v>564</v>
      </c>
      <c r="B371" t="s">
        <v>564</v>
      </c>
    </row>
    <row r="372" spans="1:2">
      <c r="A372" t="s">
        <v>564</v>
      </c>
      <c r="B372" t="s">
        <v>564</v>
      </c>
    </row>
    <row r="373" spans="1:2">
      <c r="A373" t="s">
        <v>564</v>
      </c>
      <c r="B373" t="s">
        <v>564</v>
      </c>
    </row>
    <row r="374" spans="1:2">
      <c r="A374" t="s">
        <v>564</v>
      </c>
      <c r="B374" t="s">
        <v>564</v>
      </c>
    </row>
    <row r="375" spans="1:2">
      <c r="A375" t="s">
        <v>564</v>
      </c>
      <c r="B375" t="s">
        <v>564</v>
      </c>
    </row>
    <row r="376" spans="1:2">
      <c r="A376" t="s">
        <v>564</v>
      </c>
      <c r="B376" t="s">
        <v>564</v>
      </c>
    </row>
    <row r="377" spans="1:2">
      <c r="A377" t="s">
        <v>564</v>
      </c>
      <c r="B377" t="s">
        <v>564</v>
      </c>
    </row>
    <row r="378" spans="1:2">
      <c r="A378" t="s">
        <v>564</v>
      </c>
      <c r="B378" t="s">
        <v>564</v>
      </c>
    </row>
    <row r="379" spans="1:2">
      <c r="A379" t="s">
        <v>564</v>
      </c>
      <c r="B379" t="s">
        <v>564</v>
      </c>
    </row>
    <row r="380" spans="1:2">
      <c r="A380" t="s">
        <v>564</v>
      </c>
      <c r="B380" t="s">
        <v>564</v>
      </c>
    </row>
    <row r="381" spans="1:2">
      <c r="A381" t="s">
        <v>564</v>
      </c>
      <c r="B381" t="s">
        <v>564</v>
      </c>
    </row>
    <row r="382" spans="1:2">
      <c r="A382" t="s">
        <v>564</v>
      </c>
      <c r="B382" t="s">
        <v>564</v>
      </c>
    </row>
    <row r="383" spans="1:2">
      <c r="A383" t="s">
        <v>564</v>
      </c>
      <c r="B383" t="s">
        <v>564</v>
      </c>
    </row>
    <row r="384" spans="1:2">
      <c r="A384" t="s">
        <v>564</v>
      </c>
      <c r="B384" t="s">
        <v>564</v>
      </c>
    </row>
    <row r="385" spans="1:2">
      <c r="A385" t="s">
        <v>564</v>
      </c>
      <c r="B385" t="s">
        <v>564</v>
      </c>
    </row>
    <row r="386" spans="1:2">
      <c r="A386" t="s">
        <v>564</v>
      </c>
      <c r="B386" t="s">
        <v>564</v>
      </c>
    </row>
    <row r="387" spans="1:2">
      <c r="A387" t="s">
        <v>564</v>
      </c>
      <c r="B387" t="s">
        <v>564</v>
      </c>
    </row>
    <row r="388" spans="1:2">
      <c r="A388" t="s">
        <v>564</v>
      </c>
      <c r="B388" t="s">
        <v>564</v>
      </c>
    </row>
    <row r="389" spans="1:2">
      <c r="A389" t="s">
        <v>564</v>
      </c>
      <c r="B389" t="s">
        <v>564</v>
      </c>
    </row>
    <row r="390" spans="1:2">
      <c r="A390" t="s">
        <v>564</v>
      </c>
      <c r="B390" t="s">
        <v>564</v>
      </c>
    </row>
    <row r="391" spans="1:2">
      <c r="A391" t="s">
        <v>564</v>
      </c>
      <c r="B391" t="s">
        <v>564</v>
      </c>
    </row>
    <row r="392" spans="1:2">
      <c r="A392" t="s">
        <v>564</v>
      </c>
      <c r="B392" t="s">
        <v>564</v>
      </c>
    </row>
    <row r="393" spans="1:2">
      <c r="A393" t="s">
        <v>564</v>
      </c>
      <c r="B393" t="s">
        <v>564</v>
      </c>
    </row>
    <row r="394" spans="1:2">
      <c r="A394" t="s">
        <v>564</v>
      </c>
      <c r="B394" t="s">
        <v>564</v>
      </c>
    </row>
    <row r="395" spans="1:2">
      <c r="A395" t="s">
        <v>564</v>
      </c>
      <c r="B395" t="s">
        <v>564</v>
      </c>
    </row>
    <row r="396" spans="1:2">
      <c r="A396" t="s">
        <v>564</v>
      </c>
      <c r="B396" t="s">
        <v>564</v>
      </c>
    </row>
    <row r="397" spans="1:2">
      <c r="A397" t="s">
        <v>564</v>
      </c>
      <c r="B397" t="s">
        <v>564</v>
      </c>
    </row>
    <row r="398" spans="1:2">
      <c r="A398" t="s">
        <v>564</v>
      </c>
      <c r="B398" t="s">
        <v>564</v>
      </c>
    </row>
    <row r="399" spans="1:2">
      <c r="A399" t="s">
        <v>564</v>
      </c>
      <c r="B399" t="s">
        <v>564</v>
      </c>
    </row>
    <row r="400" spans="1:2">
      <c r="A400" t="s">
        <v>564</v>
      </c>
      <c r="B400" t="s">
        <v>564</v>
      </c>
    </row>
    <row r="401" spans="1:2">
      <c r="A401" t="s">
        <v>564</v>
      </c>
      <c r="B401" t="s">
        <v>564</v>
      </c>
    </row>
    <row r="402" spans="1:2">
      <c r="A402" t="s">
        <v>564</v>
      </c>
      <c r="B402" t="s">
        <v>564</v>
      </c>
    </row>
    <row r="403" spans="1:2">
      <c r="A403" t="s">
        <v>564</v>
      </c>
      <c r="B403" t="s">
        <v>564</v>
      </c>
    </row>
    <row r="404" spans="1:2">
      <c r="A404" t="s">
        <v>564</v>
      </c>
      <c r="B404" t="s">
        <v>564</v>
      </c>
    </row>
    <row r="405" spans="1:2">
      <c r="A405" t="s">
        <v>564</v>
      </c>
      <c r="B405" t="s">
        <v>564</v>
      </c>
    </row>
    <row r="406" spans="1:2">
      <c r="A406" t="s">
        <v>564</v>
      </c>
      <c r="B406" t="s">
        <v>564</v>
      </c>
    </row>
    <row r="407" spans="1:2">
      <c r="A407" t="s">
        <v>564</v>
      </c>
      <c r="B407" t="s">
        <v>564</v>
      </c>
    </row>
    <row r="408" spans="1:2">
      <c r="A408" t="s">
        <v>564</v>
      </c>
      <c r="B408" t="s">
        <v>564</v>
      </c>
    </row>
    <row r="409" spans="1:2">
      <c r="A409" t="s">
        <v>564</v>
      </c>
      <c r="B409" t="s">
        <v>564</v>
      </c>
    </row>
    <row r="410" spans="1:2">
      <c r="A410" t="s">
        <v>564</v>
      </c>
      <c r="B410" t="s">
        <v>564</v>
      </c>
    </row>
    <row r="411" spans="1:2">
      <c r="A411" t="s">
        <v>564</v>
      </c>
      <c r="B411" t="s">
        <v>564</v>
      </c>
    </row>
    <row r="412" spans="1:2">
      <c r="A412" t="s">
        <v>564</v>
      </c>
      <c r="B412" t="s">
        <v>564</v>
      </c>
    </row>
    <row r="413" spans="1:2">
      <c r="A413" t="s">
        <v>564</v>
      </c>
      <c r="B413" t="s">
        <v>564</v>
      </c>
    </row>
    <row r="414" spans="1:2">
      <c r="A414" t="s">
        <v>564</v>
      </c>
      <c r="B414" t="s">
        <v>564</v>
      </c>
    </row>
    <row r="415" spans="1:2">
      <c r="A415" t="s">
        <v>564</v>
      </c>
      <c r="B415" t="s">
        <v>564</v>
      </c>
    </row>
    <row r="416" spans="1:2">
      <c r="A416" t="s">
        <v>564</v>
      </c>
      <c r="B416" t="s">
        <v>564</v>
      </c>
    </row>
    <row r="417" spans="1:2">
      <c r="A417" t="s">
        <v>564</v>
      </c>
      <c r="B417" t="s">
        <v>564</v>
      </c>
    </row>
    <row r="418" spans="1:2">
      <c r="A418" t="s">
        <v>564</v>
      </c>
      <c r="B418" t="s">
        <v>564</v>
      </c>
    </row>
    <row r="419" spans="1:2">
      <c r="A419" t="s">
        <v>564</v>
      </c>
      <c r="B419" t="s">
        <v>564</v>
      </c>
    </row>
    <row r="420" spans="1:2">
      <c r="A420" t="s">
        <v>564</v>
      </c>
      <c r="B420" t="s">
        <v>564</v>
      </c>
    </row>
    <row r="421" spans="1:2">
      <c r="A421" t="s">
        <v>564</v>
      </c>
      <c r="B421" t="s">
        <v>564</v>
      </c>
    </row>
    <row r="422" spans="1:2">
      <c r="A422" t="s">
        <v>564</v>
      </c>
      <c r="B422" t="s">
        <v>564</v>
      </c>
    </row>
    <row r="423" spans="1:2">
      <c r="A423" t="s">
        <v>564</v>
      </c>
      <c r="B423" t="s">
        <v>564</v>
      </c>
    </row>
    <row r="424" spans="1:2">
      <c r="A424" t="s">
        <v>564</v>
      </c>
      <c r="B424" t="s">
        <v>564</v>
      </c>
    </row>
    <row r="425" spans="1:2">
      <c r="A425" t="s">
        <v>564</v>
      </c>
      <c r="B425" t="s">
        <v>564</v>
      </c>
    </row>
    <row r="426" spans="1:2">
      <c r="A426" t="s">
        <v>564</v>
      </c>
      <c r="B426" t="s">
        <v>564</v>
      </c>
    </row>
    <row r="427" spans="1:2">
      <c r="A427" t="s">
        <v>564</v>
      </c>
      <c r="B427" t="s">
        <v>564</v>
      </c>
    </row>
    <row r="428" spans="1:2">
      <c r="A428" t="s">
        <v>564</v>
      </c>
      <c r="B428" t="s">
        <v>564</v>
      </c>
    </row>
    <row r="429" spans="1:2">
      <c r="A429" t="s">
        <v>564</v>
      </c>
      <c r="B429" t="s">
        <v>564</v>
      </c>
    </row>
    <row r="430" spans="1:2">
      <c r="A430" t="s">
        <v>564</v>
      </c>
      <c r="B430" t="s">
        <v>564</v>
      </c>
    </row>
    <row r="431" spans="1:2">
      <c r="A431" t="s">
        <v>564</v>
      </c>
      <c r="B431" t="s">
        <v>564</v>
      </c>
    </row>
    <row r="432" spans="1:2">
      <c r="A432" t="s">
        <v>564</v>
      </c>
      <c r="B432" t="s">
        <v>564</v>
      </c>
    </row>
    <row r="433" spans="1:2">
      <c r="A433" t="s">
        <v>564</v>
      </c>
      <c r="B433" t="s">
        <v>564</v>
      </c>
    </row>
    <row r="434" spans="1:2">
      <c r="A434" t="s">
        <v>564</v>
      </c>
      <c r="B434" t="s">
        <v>564</v>
      </c>
    </row>
    <row r="435" spans="1:2">
      <c r="A435" t="s">
        <v>564</v>
      </c>
      <c r="B435" t="s">
        <v>564</v>
      </c>
    </row>
    <row r="436" spans="1:2">
      <c r="A436" t="s">
        <v>564</v>
      </c>
      <c r="B436" t="s">
        <v>564</v>
      </c>
    </row>
    <row r="437" spans="1:2">
      <c r="A437" t="s">
        <v>564</v>
      </c>
      <c r="B437" t="s">
        <v>564</v>
      </c>
    </row>
    <row r="438" spans="1:2">
      <c r="A438" t="s">
        <v>564</v>
      </c>
      <c r="B438" t="s">
        <v>564</v>
      </c>
    </row>
    <row r="439" spans="1:2">
      <c r="A439" t="s">
        <v>564</v>
      </c>
      <c r="B439" t="s">
        <v>564</v>
      </c>
    </row>
    <row r="440" spans="1:2">
      <c r="A440" t="s">
        <v>564</v>
      </c>
      <c r="B440" t="s">
        <v>564</v>
      </c>
    </row>
    <row r="441" spans="1:2">
      <c r="A441" t="s">
        <v>564</v>
      </c>
      <c r="B441" t="s">
        <v>564</v>
      </c>
    </row>
    <row r="442" spans="1:2">
      <c r="A442" t="s">
        <v>564</v>
      </c>
      <c r="B442" t="s">
        <v>564</v>
      </c>
    </row>
    <row r="443" spans="1:2">
      <c r="A443" t="s">
        <v>564</v>
      </c>
      <c r="B443" t="s">
        <v>564</v>
      </c>
    </row>
    <row r="444" spans="1:2">
      <c r="A444" t="s">
        <v>564</v>
      </c>
      <c r="B444" t="s">
        <v>564</v>
      </c>
    </row>
    <row r="445" spans="1:2">
      <c r="A445" t="s">
        <v>564</v>
      </c>
      <c r="B445" t="s">
        <v>564</v>
      </c>
    </row>
    <row r="446" spans="1:2">
      <c r="A446" t="s">
        <v>564</v>
      </c>
      <c r="B446" t="s">
        <v>564</v>
      </c>
    </row>
    <row r="447" spans="1:2">
      <c r="A447" t="s">
        <v>564</v>
      </c>
      <c r="B447" t="s">
        <v>564</v>
      </c>
    </row>
    <row r="448" spans="1:2">
      <c r="A448" t="s">
        <v>564</v>
      </c>
      <c r="B448" t="s">
        <v>564</v>
      </c>
    </row>
    <row r="449" spans="1:2">
      <c r="A449" t="s">
        <v>564</v>
      </c>
      <c r="B449" t="s">
        <v>564</v>
      </c>
    </row>
    <row r="450" spans="1:2">
      <c r="A450" t="s">
        <v>564</v>
      </c>
      <c r="B450" t="s">
        <v>564</v>
      </c>
    </row>
    <row r="451" spans="1:2">
      <c r="A451" t="s">
        <v>564</v>
      </c>
      <c r="B451" t="s">
        <v>564</v>
      </c>
    </row>
    <row r="452" spans="1:2">
      <c r="A452" t="s">
        <v>564</v>
      </c>
      <c r="B452" t="s">
        <v>564</v>
      </c>
    </row>
    <row r="453" spans="1:2">
      <c r="A453" t="s">
        <v>564</v>
      </c>
      <c r="B453" t="s">
        <v>564</v>
      </c>
    </row>
    <row r="454" spans="1:2">
      <c r="A454" t="s">
        <v>564</v>
      </c>
      <c r="B454" t="s">
        <v>564</v>
      </c>
    </row>
    <row r="455" spans="1:2">
      <c r="A455" t="s">
        <v>564</v>
      </c>
      <c r="B455" t="s">
        <v>564</v>
      </c>
    </row>
    <row r="456" spans="1:2">
      <c r="A456" t="s">
        <v>564</v>
      </c>
      <c r="B456" t="s">
        <v>564</v>
      </c>
    </row>
    <row r="457" spans="1:2">
      <c r="A457" t="s">
        <v>564</v>
      </c>
      <c r="B457" t="s">
        <v>564</v>
      </c>
    </row>
    <row r="458" spans="1:2">
      <c r="A458" t="s">
        <v>564</v>
      </c>
      <c r="B458" t="s">
        <v>564</v>
      </c>
    </row>
    <row r="459" spans="1:2">
      <c r="A459" t="s">
        <v>564</v>
      </c>
      <c r="B459" t="s">
        <v>564</v>
      </c>
    </row>
    <row r="460" spans="1:2">
      <c r="A460" t="s">
        <v>564</v>
      </c>
      <c r="B460" t="s">
        <v>564</v>
      </c>
    </row>
    <row r="461" spans="1:2">
      <c r="A461" t="s">
        <v>564</v>
      </c>
      <c r="B461" t="s">
        <v>564</v>
      </c>
    </row>
    <row r="462" spans="1:2">
      <c r="A462" t="s">
        <v>564</v>
      </c>
      <c r="B462" t="s">
        <v>564</v>
      </c>
    </row>
    <row r="463" spans="1:2">
      <c r="A463" t="s">
        <v>564</v>
      </c>
      <c r="B463" t="s">
        <v>564</v>
      </c>
    </row>
    <row r="464" spans="1:2">
      <c r="A464" t="s">
        <v>564</v>
      </c>
      <c r="B464" t="s">
        <v>564</v>
      </c>
    </row>
    <row r="465" spans="1:2">
      <c r="A465" t="s">
        <v>564</v>
      </c>
      <c r="B465" t="s">
        <v>564</v>
      </c>
    </row>
    <row r="466" spans="1:2">
      <c r="A466" t="s">
        <v>564</v>
      </c>
      <c r="B466" t="s">
        <v>564</v>
      </c>
    </row>
    <row r="467" spans="1:2">
      <c r="A467" t="s">
        <v>564</v>
      </c>
      <c r="B467" t="s">
        <v>564</v>
      </c>
    </row>
    <row r="468" spans="1:2">
      <c r="A468" t="s">
        <v>564</v>
      </c>
      <c r="B468" t="s">
        <v>564</v>
      </c>
    </row>
    <row r="469" spans="1:2">
      <c r="A469" t="s">
        <v>564</v>
      </c>
      <c r="B469" t="s">
        <v>564</v>
      </c>
    </row>
    <row r="470" spans="1:2">
      <c r="A470" t="s">
        <v>564</v>
      </c>
      <c r="B470" t="s">
        <v>564</v>
      </c>
    </row>
    <row r="471" spans="1:2">
      <c r="A471" t="s">
        <v>564</v>
      </c>
      <c r="B471" t="s">
        <v>564</v>
      </c>
    </row>
    <row r="472" spans="1:2">
      <c r="A472" t="s">
        <v>564</v>
      </c>
      <c r="B472" t="s">
        <v>564</v>
      </c>
    </row>
    <row r="473" spans="1:2">
      <c r="A473" t="s">
        <v>564</v>
      </c>
      <c r="B473" t="s">
        <v>564</v>
      </c>
    </row>
    <row r="474" spans="1:2">
      <c r="A474" t="s">
        <v>564</v>
      </c>
      <c r="B474" t="s">
        <v>564</v>
      </c>
    </row>
    <row r="475" spans="1:2">
      <c r="A475" t="s">
        <v>564</v>
      </c>
      <c r="B475" t="s">
        <v>564</v>
      </c>
    </row>
    <row r="476" spans="1:2">
      <c r="A476" t="s">
        <v>564</v>
      </c>
      <c r="B476" t="s">
        <v>564</v>
      </c>
    </row>
    <row r="477" spans="1:2">
      <c r="A477" t="s">
        <v>564</v>
      </c>
      <c r="B477" t="s">
        <v>564</v>
      </c>
    </row>
    <row r="478" spans="1:2">
      <c r="A478" t="s">
        <v>564</v>
      </c>
      <c r="B478" t="s">
        <v>564</v>
      </c>
    </row>
    <row r="479" spans="1:2">
      <c r="A479" t="s">
        <v>564</v>
      </c>
      <c r="B479" t="s">
        <v>564</v>
      </c>
    </row>
    <row r="480" spans="1:2">
      <c r="A480" t="s">
        <v>564</v>
      </c>
      <c r="B480" t="s">
        <v>564</v>
      </c>
    </row>
    <row r="481" spans="1:2">
      <c r="A481" t="s">
        <v>564</v>
      </c>
      <c r="B481" t="s">
        <v>564</v>
      </c>
    </row>
    <row r="482" spans="1:2">
      <c r="A482" t="s">
        <v>564</v>
      </c>
      <c r="B482" t="s">
        <v>564</v>
      </c>
    </row>
    <row r="483" spans="1:2">
      <c r="A483" t="s">
        <v>564</v>
      </c>
      <c r="B483" t="s">
        <v>564</v>
      </c>
    </row>
    <row r="484" spans="1:2">
      <c r="A484" t="s">
        <v>564</v>
      </c>
      <c r="B484" t="s">
        <v>564</v>
      </c>
    </row>
    <row r="485" spans="1:2">
      <c r="A485" t="s">
        <v>564</v>
      </c>
      <c r="B485" t="s">
        <v>564</v>
      </c>
    </row>
    <row r="486" spans="1:2">
      <c r="A486" t="s">
        <v>564</v>
      </c>
      <c r="B486" t="s">
        <v>564</v>
      </c>
    </row>
    <row r="487" spans="1:2">
      <c r="A487" t="s">
        <v>564</v>
      </c>
      <c r="B487" t="s">
        <v>564</v>
      </c>
    </row>
    <row r="488" spans="1:2">
      <c r="A488" t="s">
        <v>564</v>
      </c>
      <c r="B488" t="s">
        <v>564</v>
      </c>
    </row>
    <row r="489" spans="1:2">
      <c r="A489" t="s">
        <v>564</v>
      </c>
      <c r="B489" t="s">
        <v>564</v>
      </c>
    </row>
    <row r="490" spans="1:2">
      <c r="A490" t="s">
        <v>564</v>
      </c>
      <c r="B490" t="s">
        <v>564</v>
      </c>
    </row>
    <row r="491" spans="1:2">
      <c r="A491" t="s">
        <v>564</v>
      </c>
      <c r="B491" t="s">
        <v>564</v>
      </c>
    </row>
    <row r="492" spans="1:2">
      <c r="A492" t="s">
        <v>564</v>
      </c>
      <c r="B492" t="s">
        <v>564</v>
      </c>
    </row>
    <row r="493" spans="1:2">
      <c r="A493" t="s">
        <v>564</v>
      </c>
      <c r="B493" t="s">
        <v>564</v>
      </c>
    </row>
    <row r="494" spans="1:2">
      <c r="A494" t="s">
        <v>564</v>
      </c>
      <c r="B494" t="s">
        <v>564</v>
      </c>
    </row>
    <row r="495" spans="1:2">
      <c r="A495" t="s">
        <v>564</v>
      </c>
      <c r="B495" t="s">
        <v>564</v>
      </c>
    </row>
    <row r="496" spans="1:2">
      <c r="A496" t="s">
        <v>564</v>
      </c>
      <c r="B496" t="s">
        <v>564</v>
      </c>
    </row>
    <row r="497" spans="1:2">
      <c r="A497" t="s">
        <v>564</v>
      </c>
      <c r="B497" t="s">
        <v>564</v>
      </c>
    </row>
    <row r="498" spans="1:2">
      <c r="A498" t="s">
        <v>564</v>
      </c>
      <c r="B498" t="s">
        <v>564</v>
      </c>
    </row>
    <row r="499" spans="1:2">
      <c r="A499" t="s">
        <v>564</v>
      </c>
      <c r="B499" t="s">
        <v>564</v>
      </c>
    </row>
    <row r="500" spans="1:2">
      <c r="A500" t="s">
        <v>564</v>
      </c>
      <c r="B500" t="s">
        <v>564</v>
      </c>
    </row>
    <row r="501" spans="1:2">
      <c r="A501" t="s">
        <v>564</v>
      </c>
      <c r="B501" t="s">
        <v>564</v>
      </c>
    </row>
    <row r="502" spans="1:2">
      <c r="A502" t="s">
        <v>564</v>
      </c>
      <c r="B502" t="s">
        <v>564</v>
      </c>
    </row>
    <row r="503" spans="1:2">
      <c r="A503" t="s">
        <v>564</v>
      </c>
      <c r="B503" t="s">
        <v>564</v>
      </c>
    </row>
    <row r="504" spans="1:2">
      <c r="A504" t="s">
        <v>564</v>
      </c>
      <c r="B504" t="s">
        <v>564</v>
      </c>
    </row>
    <row r="505" spans="1:2">
      <c r="A505" t="s">
        <v>564</v>
      </c>
      <c r="B505" t="s">
        <v>564</v>
      </c>
    </row>
    <row r="506" spans="1:2">
      <c r="A506" t="s">
        <v>564</v>
      </c>
      <c r="B506" t="s">
        <v>564</v>
      </c>
    </row>
    <row r="507" spans="1:2">
      <c r="A507" t="s">
        <v>564</v>
      </c>
      <c r="B507" t="s">
        <v>564</v>
      </c>
    </row>
    <row r="508" spans="1:2">
      <c r="A508" t="s">
        <v>564</v>
      </c>
      <c r="B508" t="s">
        <v>564</v>
      </c>
    </row>
    <row r="509" spans="1:2">
      <c r="A509" t="s">
        <v>564</v>
      </c>
      <c r="B509" t="s">
        <v>564</v>
      </c>
    </row>
    <row r="510" spans="1:2">
      <c r="A510" t="s">
        <v>564</v>
      </c>
      <c r="B510" t="s">
        <v>564</v>
      </c>
    </row>
    <row r="511" spans="1:2">
      <c r="A511" t="s">
        <v>564</v>
      </c>
      <c r="B511" t="s">
        <v>564</v>
      </c>
    </row>
    <row r="512" spans="1:2">
      <c r="A512" t="s">
        <v>564</v>
      </c>
      <c r="B512" t="s">
        <v>564</v>
      </c>
    </row>
    <row r="513" spans="1:2">
      <c r="A513" t="s">
        <v>564</v>
      </c>
      <c r="B513" t="s">
        <v>564</v>
      </c>
    </row>
    <row r="514" spans="1:2">
      <c r="A514" t="s">
        <v>564</v>
      </c>
      <c r="B514" t="s">
        <v>564</v>
      </c>
    </row>
    <row r="515" spans="1:2">
      <c r="A515" t="s">
        <v>564</v>
      </c>
      <c r="B515" t="s">
        <v>564</v>
      </c>
    </row>
    <row r="516" spans="1:2">
      <c r="A516" t="s">
        <v>564</v>
      </c>
      <c r="B516" t="s">
        <v>564</v>
      </c>
    </row>
    <row r="517" spans="1:2">
      <c r="A517" t="s">
        <v>564</v>
      </c>
      <c r="B517" t="s">
        <v>564</v>
      </c>
    </row>
    <row r="518" spans="1:2">
      <c r="A518" t="s">
        <v>564</v>
      </c>
      <c r="B518" t="s">
        <v>564</v>
      </c>
    </row>
    <row r="519" spans="1:2">
      <c r="A519" t="s">
        <v>564</v>
      </c>
      <c r="B519" t="s">
        <v>564</v>
      </c>
    </row>
    <row r="520" spans="1:2">
      <c r="A520" t="s">
        <v>564</v>
      </c>
      <c r="B520" t="s">
        <v>564</v>
      </c>
    </row>
    <row r="521" spans="1:2">
      <c r="A521" t="s">
        <v>564</v>
      </c>
      <c r="B521" t="s">
        <v>564</v>
      </c>
    </row>
    <row r="522" spans="1:2">
      <c r="A522" t="s">
        <v>564</v>
      </c>
      <c r="B522" t="s">
        <v>564</v>
      </c>
    </row>
    <row r="523" spans="1:2">
      <c r="A523" t="s">
        <v>564</v>
      </c>
      <c r="B523" t="s">
        <v>564</v>
      </c>
    </row>
    <row r="524" spans="1:2">
      <c r="A524" t="s">
        <v>564</v>
      </c>
      <c r="B524" t="s">
        <v>564</v>
      </c>
    </row>
    <row r="525" spans="1:2">
      <c r="A525" t="s">
        <v>564</v>
      </c>
      <c r="B525" t="s">
        <v>564</v>
      </c>
    </row>
    <row r="526" spans="1:2">
      <c r="A526" t="s">
        <v>564</v>
      </c>
      <c r="B526" t="s">
        <v>564</v>
      </c>
    </row>
    <row r="527" spans="1:2">
      <c r="A527" t="s">
        <v>564</v>
      </c>
      <c r="B527" t="s">
        <v>564</v>
      </c>
    </row>
    <row r="528" spans="1:2">
      <c r="A528" t="s">
        <v>564</v>
      </c>
      <c r="B528" t="s">
        <v>564</v>
      </c>
    </row>
    <row r="529" spans="1:2">
      <c r="A529" t="s">
        <v>564</v>
      </c>
      <c r="B529" t="s">
        <v>564</v>
      </c>
    </row>
    <row r="530" spans="1:2">
      <c r="A530" t="s">
        <v>564</v>
      </c>
      <c r="B530" t="s">
        <v>564</v>
      </c>
    </row>
    <row r="531" spans="1:2">
      <c r="A531" t="s">
        <v>564</v>
      </c>
      <c r="B531" t="s">
        <v>564</v>
      </c>
    </row>
    <row r="532" spans="1:2">
      <c r="A532" t="s">
        <v>564</v>
      </c>
      <c r="B532" t="s">
        <v>564</v>
      </c>
    </row>
    <row r="533" spans="1:2">
      <c r="A533" t="s">
        <v>564</v>
      </c>
      <c r="B533" t="s">
        <v>564</v>
      </c>
    </row>
    <row r="534" spans="1:2">
      <c r="A534" t="s">
        <v>564</v>
      </c>
      <c r="B534" t="s">
        <v>564</v>
      </c>
    </row>
    <row r="535" spans="1:2">
      <c r="A535" t="s">
        <v>564</v>
      </c>
      <c r="B535" t="s">
        <v>564</v>
      </c>
    </row>
    <row r="536" spans="1:2">
      <c r="A536" t="s">
        <v>564</v>
      </c>
      <c r="B536" t="s">
        <v>564</v>
      </c>
    </row>
    <row r="537" spans="1:2">
      <c r="A537" t="s">
        <v>564</v>
      </c>
      <c r="B537" t="s">
        <v>564</v>
      </c>
    </row>
    <row r="538" spans="1:2">
      <c r="A538" t="s">
        <v>564</v>
      </c>
      <c r="B538" t="s">
        <v>564</v>
      </c>
    </row>
    <row r="539" spans="1:2">
      <c r="A539" t="s">
        <v>564</v>
      </c>
      <c r="B539" t="s">
        <v>564</v>
      </c>
    </row>
    <row r="540" spans="1:2">
      <c r="A540" t="s">
        <v>564</v>
      </c>
      <c r="B540" t="s">
        <v>564</v>
      </c>
    </row>
    <row r="541" spans="1:2">
      <c r="A541" t="s">
        <v>564</v>
      </c>
      <c r="B541" t="s">
        <v>564</v>
      </c>
    </row>
    <row r="542" spans="1:2">
      <c r="A542" t="s">
        <v>564</v>
      </c>
      <c r="B542" t="s">
        <v>564</v>
      </c>
    </row>
    <row r="543" spans="1:2">
      <c r="A543" t="s">
        <v>564</v>
      </c>
      <c r="B543" t="s">
        <v>564</v>
      </c>
    </row>
    <row r="544" spans="1:2">
      <c r="A544" t="s">
        <v>564</v>
      </c>
      <c r="B544" t="s">
        <v>564</v>
      </c>
    </row>
    <row r="545" spans="1:2">
      <c r="A545" t="s">
        <v>564</v>
      </c>
      <c r="B545" t="s">
        <v>564</v>
      </c>
    </row>
    <row r="546" spans="1:2">
      <c r="A546" t="s">
        <v>564</v>
      </c>
      <c r="B546" t="s">
        <v>564</v>
      </c>
    </row>
    <row r="547" spans="1:2">
      <c r="A547" t="s">
        <v>564</v>
      </c>
      <c r="B547" t="s">
        <v>564</v>
      </c>
    </row>
    <row r="548" spans="1:2">
      <c r="A548" t="s">
        <v>564</v>
      </c>
      <c r="B548" t="s">
        <v>564</v>
      </c>
    </row>
    <row r="549" spans="1:2">
      <c r="A549" t="s">
        <v>564</v>
      </c>
      <c r="B549" t="s">
        <v>564</v>
      </c>
    </row>
    <row r="550" spans="1:2">
      <c r="A550" t="s">
        <v>564</v>
      </c>
      <c r="B550" t="s">
        <v>564</v>
      </c>
    </row>
    <row r="551" spans="1:2">
      <c r="A551" t="s">
        <v>564</v>
      </c>
      <c r="B551" t="s">
        <v>564</v>
      </c>
    </row>
    <row r="552" spans="1:2">
      <c r="A552" t="s">
        <v>564</v>
      </c>
      <c r="B552" t="s">
        <v>564</v>
      </c>
    </row>
    <row r="553" spans="1:2">
      <c r="A553" t="s">
        <v>564</v>
      </c>
      <c r="B553" t="s">
        <v>564</v>
      </c>
    </row>
    <row r="554" spans="1:2">
      <c r="A554" t="s">
        <v>564</v>
      </c>
      <c r="B554" t="s">
        <v>564</v>
      </c>
    </row>
    <row r="555" spans="1:2">
      <c r="A555" t="s">
        <v>564</v>
      </c>
      <c r="B555" t="s">
        <v>564</v>
      </c>
    </row>
    <row r="556" spans="1:2">
      <c r="A556" t="s">
        <v>564</v>
      </c>
      <c r="B556" t="s">
        <v>564</v>
      </c>
    </row>
    <row r="557" spans="1:2">
      <c r="A557" t="s">
        <v>564</v>
      </c>
      <c r="B557" t="s">
        <v>564</v>
      </c>
    </row>
    <row r="558" spans="1:2">
      <c r="A558" t="s">
        <v>564</v>
      </c>
      <c r="B558" t="s">
        <v>564</v>
      </c>
    </row>
    <row r="559" spans="1:2">
      <c r="A559" t="s">
        <v>564</v>
      </c>
      <c r="B559" t="s">
        <v>564</v>
      </c>
    </row>
    <row r="560" spans="1:2">
      <c r="A560" t="s">
        <v>564</v>
      </c>
      <c r="B560" t="s">
        <v>564</v>
      </c>
    </row>
    <row r="561" spans="1:2">
      <c r="A561" t="s">
        <v>564</v>
      </c>
      <c r="B561" t="s">
        <v>564</v>
      </c>
    </row>
    <row r="562" spans="1:2">
      <c r="A562" t="s">
        <v>564</v>
      </c>
      <c r="B562" t="s">
        <v>564</v>
      </c>
    </row>
    <row r="563" spans="1:2">
      <c r="A563" t="s">
        <v>564</v>
      </c>
      <c r="B563" t="s">
        <v>564</v>
      </c>
    </row>
    <row r="564" spans="1:2">
      <c r="A564" t="s">
        <v>564</v>
      </c>
      <c r="B564" t="s">
        <v>564</v>
      </c>
    </row>
    <row r="565" spans="1:2">
      <c r="A565" t="s">
        <v>564</v>
      </c>
      <c r="B565" t="s">
        <v>564</v>
      </c>
    </row>
    <row r="566" spans="1:2">
      <c r="A566" t="s">
        <v>564</v>
      </c>
      <c r="B566" t="s">
        <v>564</v>
      </c>
    </row>
    <row r="567" spans="1:2">
      <c r="A567" t="s">
        <v>564</v>
      </c>
      <c r="B567" t="s">
        <v>564</v>
      </c>
    </row>
    <row r="568" spans="1:2">
      <c r="A568" t="s">
        <v>564</v>
      </c>
      <c r="B568" t="s">
        <v>564</v>
      </c>
    </row>
    <row r="569" spans="1:2">
      <c r="A569" t="s">
        <v>564</v>
      </c>
      <c r="B569" t="s">
        <v>564</v>
      </c>
    </row>
    <row r="570" spans="1:2">
      <c r="A570" t="s">
        <v>564</v>
      </c>
      <c r="B570" t="s">
        <v>564</v>
      </c>
    </row>
    <row r="571" spans="1:2">
      <c r="A571" t="s">
        <v>564</v>
      </c>
      <c r="B571" t="s">
        <v>564</v>
      </c>
    </row>
    <row r="572" spans="1:2">
      <c r="A572" t="s">
        <v>564</v>
      </c>
      <c r="B572" t="s">
        <v>564</v>
      </c>
    </row>
    <row r="573" spans="1:2">
      <c r="A573" t="s">
        <v>564</v>
      </c>
      <c r="B573" t="s">
        <v>564</v>
      </c>
    </row>
    <row r="574" spans="1:2">
      <c r="A574" t="s">
        <v>564</v>
      </c>
      <c r="B574" t="s">
        <v>564</v>
      </c>
    </row>
    <row r="575" spans="1:2">
      <c r="A575" t="s">
        <v>564</v>
      </c>
      <c r="B575" t="s">
        <v>564</v>
      </c>
    </row>
    <row r="576" spans="1:2">
      <c r="A576" t="s">
        <v>564</v>
      </c>
      <c r="B576" t="s">
        <v>564</v>
      </c>
    </row>
    <row r="577" spans="1:2">
      <c r="A577" t="s">
        <v>564</v>
      </c>
      <c r="B577" t="s">
        <v>564</v>
      </c>
    </row>
    <row r="578" spans="1:2">
      <c r="A578" t="s">
        <v>564</v>
      </c>
      <c r="B578" t="s">
        <v>564</v>
      </c>
    </row>
    <row r="579" spans="1:2">
      <c r="A579" t="s">
        <v>564</v>
      </c>
      <c r="B579" t="s">
        <v>564</v>
      </c>
    </row>
    <row r="580" spans="1:2">
      <c r="A580" t="s">
        <v>564</v>
      </c>
      <c r="B580" t="s">
        <v>564</v>
      </c>
    </row>
    <row r="581" spans="1:2">
      <c r="A581" t="s">
        <v>564</v>
      </c>
      <c r="B581" t="s">
        <v>564</v>
      </c>
    </row>
    <row r="582" spans="1:2">
      <c r="A582" t="s">
        <v>564</v>
      </c>
      <c r="B582" t="s">
        <v>564</v>
      </c>
    </row>
    <row r="583" spans="1:2">
      <c r="A583" t="s">
        <v>564</v>
      </c>
      <c r="B583" t="s">
        <v>564</v>
      </c>
    </row>
    <row r="584" spans="1:2">
      <c r="A584" t="s">
        <v>564</v>
      </c>
      <c r="B584" t="s">
        <v>564</v>
      </c>
    </row>
    <row r="585" spans="1:2">
      <c r="A585" t="s">
        <v>564</v>
      </c>
      <c r="B585" t="s">
        <v>564</v>
      </c>
    </row>
    <row r="586" spans="1:2">
      <c r="A586" t="s">
        <v>564</v>
      </c>
      <c r="B586" t="s">
        <v>564</v>
      </c>
    </row>
    <row r="587" spans="1:2">
      <c r="A587" t="s">
        <v>564</v>
      </c>
      <c r="B587" t="s">
        <v>564</v>
      </c>
    </row>
    <row r="588" spans="1:2">
      <c r="A588" t="s">
        <v>564</v>
      </c>
      <c r="B588" t="s">
        <v>564</v>
      </c>
    </row>
    <row r="589" spans="1:2">
      <c r="A589" t="s">
        <v>564</v>
      </c>
      <c r="B589" t="s">
        <v>564</v>
      </c>
    </row>
    <row r="590" spans="1:2">
      <c r="A590" t="s">
        <v>564</v>
      </c>
      <c r="B590" t="s">
        <v>564</v>
      </c>
    </row>
    <row r="591" spans="1:2">
      <c r="A591" t="s">
        <v>564</v>
      </c>
      <c r="B591" t="s">
        <v>564</v>
      </c>
    </row>
    <row r="592" spans="1:2">
      <c r="A592" t="s">
        <v>564</v>
      </c>
      <c r="B592" t="s">
        <v>564</v>
      </c>
    </row>
    <row r="593" spans="1:2">
      <c r="A593" t="s">
        <v>564</v>
      </c>
      <c r="B593" t="s">
        <v>564</v>
      </c>
    </row>
    <row r="594" spans="1:2">
      <c r="A594" t="s">
        <v>564</v>
      </c>
      <c r="B594" t="s">
        <v>564</v>
      </c>
    </row>
    <row r="595" spans="1:2">
      <c r="A595" t="s">
        <v>564</v>
      </c>
      <c r="B595" t="s">
        <v>564</v>
      </c>
    </row>
    <row r="596" spans="1:2">
      <c r="A596" t="s">
        <v>564</v>
      </c>
      <c r="B596" t="s">
        <v>564</v>
      </c>
    </row>
    <row r="597" spans="1:2">
      <c r="A597" t="s">
        <v>564</v>
      </c>
      <c r="B597" t="s">
        <v>564</v>
      </c>
    </row>
    <row r="598" spans="1:2">
      <c r="A598" t="s">
        <v>564</v>
      </c>
      <c r="B598" t="s">
        <v>564</v>
      </c>
    </row>
    <row r="599" spans="1:2">
      <c r="A599" t="s">
        <v>564</v>
      </c>
      <c r="B599" t="s">
        <v>564</v>
      </c>
    </row>
    <row r="600" spans="1:2">
      <c r="A600" t="s">
        <v>564</v>
      </c>
      <c r="B600" t="s">
        <v>564</v>
      </c>
    </row>
    <row r="601" spans="1:2">
      <c r="A601" t="s">
        <v>564</v>
      </c>
      <c r="B601" t="s">
        <v>564</v>
      </c>
    </row>
    <row r="602" spans="1:2">
      <c r="A602" t="s">
        <v>564</v>
      </c>
      <c r="B602" t="s">
        <v>564</v>
      </c>
    </row>
    <row r="603" spans="1:2">
      <c r="A603" t="s">
        <v>564</v>
      </c>
      <c r="B603" t="s">
        <v>564</v>
      </c>
    </row>
    <row r="604" spans="1:2">
      <c r="A604" t="s">
        <v>564</v>
      </c>
      <c r="B604" t="s">
        <v>564</v>
      </c>
    </row>
    <row r="605" spans="1:2">
      <c r="A605" t="s">
        <v>564</v>
      </c>
      <c r="B605" t="s">
        <v>564</v>
      </c>
    </row>
    <row r="606" spans="1:2">
      <c r="A606" t="s">
        <v>564</v>
      </c>
      <c r="B606" t="s">
        <v>564</v>
      </c>
    </row>
    <row r="607" spans="1:2">
      <c r="A607" t="s">
        <v>564</v>
      </c>
      <c r="B607" t="s">
        <v>564</v>
      </c>
    </row>
    <row r="608" spans="1:2">
      <c r="A608" t="s">
        <v>564</v>
      </c>
      <c r="B608" t="s">
        <v>564</v>
      </c>
    </row>
    <row r="609" spans="1:2">
      <c r="A609" t="s">
        <v>564</v>
      </c>
      <c r="B609" t="s">
        <v>564</v>
      </c>
    </row>
    <row r="610" spans="1:2">
      <c r="A610" t="s">
        <v>564</v>
      </c>
      <c r="B610" t="s">
        <v>564</v>
      </c>
    </row>
    <row r="611" spans="1:2">
      <c r="A611" t="s">
        <v>564</v>
      </c>
      <c r="B611" t="s">
        <v>564</v>
      </c>
    </row>
    <row r="612" spans="1:2">
      <c r="A612" t="s">
        <v>564</v>
      </c>
      <c r="B612" t="s">
        <v>564</v>
      </c>
    </row>
    <row r="613" spans="1:2">
      <c r="A613" t="s">
        <v>564</v>
      </c>
      <c r="B613" t="s">
        <v>564</v>
      </c>
    </row>
    <row r="614" spans="1:2">
      <c r="A614" t="s">
        <v>564</v>
      </c>
      <c r="B614" t="s">
        <v>564</v>
      </c>
    </row>
    <row r="615" spans="1:2">
      <c r="A615" t="s">
        <v>564</v>
      </c>
      <c r="B615" t="s">
        <v>564</v>
      </c>
    </row>
    <row r="616" spans="1:2">
      <c r="A616" t="s">
        <v>564</v>
      </c>
      <c r="B616" t="s">
        <v>564</v>
      </c>
    </row>
    <row r="617" spans="1:2">
      <c r="A617" t="s">
        <v>564</v>
      </c>
      <c r="B617" t="s">
        <v>564</v>
      </c>
    </row>
    <row r="618" spans="1:2">
      <c r="A618" t="s">
        <v>564</v>
      </c>
      <c r="B618" t="s">
        <v>564</v>
      </c>
    </row>
    <row r="619" spans="1:2">
      <c r="A619" t="s">
        <v>564</v>
      </c>
      <c r="B619" t="s">
        <v>564</v>
      </c>
    </row>
    <row r="620" spans="1:2">
      <c r="A620" t="s">
        <v>564</v>
      </c>
      <c r="B620" t="s">
        <v>564</v>
      </c>
    </row>
    <row r="621" spans="1:2">
      <c r="A621" t="s">
        <v>564</v>
      </c>
      <c r="B621" t="s">
        <v>564</v>
      </c>
    </row>
    <row r="622" spans="1:2">
      <c r="A622" t="s">
        <v>564</v>
      </c>
      <c r="B622" t="s">
        <v>564</v>
      </c>
    </row>
    <row r="623" spans="1:2">
      <c r="A623" t="s">
        <v>564</v>
      </c>
      <c r="B623" t="s">
        <v>564</v>
      </c>
    </row>
    <row r="624" spans="1:2">
      <c r="A624" t="s">
        <v>564</v>
      </c>
      <c r="B624" t="s">
        <v>564</v>
      </c>
    </row>
    <row r="625" spans="1:2">
      <c r="A625" t="s">
        <v>564</v>
      </c>
      <c r="B625" t="s">
        <v>564</v>
      </c>
    </row>
    <row r="626" spans="1:2">
      <c r="A626" t="s">
        <v>564</v>
      </c>
      <c r="B626" t="s">
        <v>564</v>
      </c>
    </row>
    <row r="627" spans="1:2">
      <c r="A627" t="s">
        <v>564</v>
      </c>
      <c r="B627" t="s">
        <v>564</v>
      </c>
    </row>
    <row r="628" spans="1:2">
      <c r="A628" t="s">
        <v>564</v>
      </c>
      <c r="B628" t="s">
        <v>564</v>
      </c>
    </row>
    <row r="629" spans="1:2">
      <c r="A629" t="s">
        <v>564</v>
      </c>
      <c r="B629" t="s">
        <v>564</v>
      </c>
    </row>
    <row r="630" spans="1:2">
      <c r="A630" t="s">
        <v>564</v>
      </c>
      <c r="B630" t="s">
        <v>564</v>
      </c>
    </row>
    <row r="631" spans="1:2">
      <c r="A631" t="s">
        <v>564</v>
      </c>
      <c r="B631" t="s">
        <v>564</v>
      </c>
    </row>
    <row r="632" spans="1:2">
      <c r="A632" t="s">
        <v>564</v>
      </c>
      <c r="B632" t="s">
        <v>564</v>
      </c>
    </row>
    <row r="633" spans="1:2">
      <c r="A633" t="s">
        <v>564</v>
      </c>
      <c r="B633" t="s">
        <v>564</v>
      </c>
    </row>
    <row r="634" spans="1:2">
      <c r="A634" t="s">
        <v>564</v>
      </c>
      <c r="B634" t="s">
        <v>564</v>
      </c>
    </row>
    <row r="635" spans="1:2">
      <c r="A635" t="s">
        <v>564</v>
      </c>
      <c r="B635" t="s">
        <v>564</v>
      </c>
    </row>
    <row r="636" spans="1:2">
      <c r="A636" t="s">
        <v>564</v>
      </c>
      <c r="B636" t="s">
        <v>564</v>
      </c>
    </row>
    <row r="637" spans="1:2">
      <c r="A637" t="s">
        <v>564</v>
      </c>
      <c r="B637" t="s">
        <v>564</v>
      </c>
    </row>
    <row r="638" spans="1:2">
      <c r="A638" t="s">
        <v>564</v>
      </c>
      <c r="B638" t="s">
        <v>564</v>
      </c>
    </row>
    <row r="639" spans="1:2">
      <c r="A639" t="s">
        <v>564</v>
      </c>
      <c r="B639" t="s">
        <v>564</v>
      </c>
    </row>
    <row r="640" spans="1:2">
      <c r="A640" t="s">
        <v>564</v>
      </c>
      <c r="B640" t="s">
        <v>564</v>
      </c>
    </row>
    <row r="641" spans="1:2">
      <c r="A641" t="s">
        <v>564</v>
      </c>
      <c r="B641" t="s">
        <v>564</v>
      </c>
    </row>
    <row r="642" spans="1:2">
      <c r="A642" t="s">
        <v>564</v>
      </c>
      <c r="B642" t="s">
        <v>564</v>
      </c>
    </row>
    <row r="643" spans="1:2">
      <c r="A643" t="s">
        <v>564</v>
      </c>
      <c r="B643" t="s">
        <v>564</v>
      </c>
    </row>
    <row r="644" spans="1:2">
      <c r="A644" t="s">
        <v>564</v>
      </c>
      <c r="B644" t="s">
        <v>564</v>
      </c>
    </row>
    <row r="645" spans="1:2">
      <c r="A645" t="s">
        <v>564</v>
      </c>
      <c r="B645" t="s">
        <v>564</v>
      </c>
    </row>
    <row r="646" spans="1:2">
      <c r="A646" t="s">
        <v>564</v>
      </c>
      <c r="B646" t="s">
        <v>564</v>
      </c>
    </row>
    <row r="647" spans="1:2">
      <c r="A647" t="s">
        <v>564</v>
      </c>
      <c r="B647" t="s">
        <v>564</v>
      </c>
    </row>
    <row r="648" spans="1:2">
      <c r="A648" t="s">
        <v>564</v>
      </c>
      <c r="B648" t="s">
        <v>564</v>
      </c>
    </row>
    <row r="649" spans="1:2">
      <c r="A649" t="s">
        <v>564</v>
      </c>
      <c r="B649" t="s">
        <v>564</v>
      </c>
    </row>
    <row r="650" spans="1:2">
      <c r="A650" t="s">
        <v>564</v>
      </c>
      <c r="B650" t="s">
        <v>564</v>
      </c>
    </row>
    <row r="651" spans="1:2">
      <c r="A651" t="s">
        <v>564</v>
      </c>
      <c r="B651" t="s">
        <v>564</v>
      </c>
    </row>
    <row r="652" spans="1:2">
      <c r="A652" t="s">
        <v>564</v>
      </c>
      <c r="B652" t="s">
        <v>564</v>
      </c>
    </row>
    <row r="653" spans="1:2">
      <c r="A653" t="s">
        <v>564</v>
      </c>
      <c r="B653" t="s">
        <v>564</v>
      </c>
    </row>
    <row r="654" spans="1:2">
      <c r="A654" t="s">
        <v>564</v>
      </c>
      <c r="B654" t="s">
        <v>564</v>
      </c>
    </row>
    <row r="655" spans="1:2">
      <c r="A655" t="s">
        <v>564</v>
      </c>
      <c r="B655" t="s">
        <v>564</v>
      </c>
    </row>
    <row r="656" spans="1:2">
      <c r="A656" t="s">
        <v>564</v>
      </c>
      <c r="B656" t="s">
        <v>564</v>
      </c>
    </row>
    <row r="657" spans="1:2">
      <c r="A657" t="s">
        <v>564</v>
      </c>
      <c r="B657" t="s">
        <v>564</v>
      </c>
    </row>
    <row r="658" spans="1:2">
      <c r="A658" t="s">
        <v>564</v>
      </c>
      <c r="B658" t="s">
        <v>564</v>
      </c>
    </row>
    <row r="659" spans="1:2">
      <c r="A659" t="s">
        <v>564</v>
      </c>
      <c r="B659" t="s">
        <v>564</v>
      </c>
    </row>
    <row r="660" spans="1:2">
      <c r="A660" t="s">
        <v>564</v>
      </c>
      <c r="B660" t="s">
        <v>564</v>
      </c>
    </row>
    <row r="661" spans="1:2">
      <c r="A661" t="s">
        <v>564</v>
      </c>
      <c r="B661" t="s">
        <v>564</v>
      </c>
    </row>
    <row r="662" spans="1:2">
      <c r="A662" t="s">
        <v>564</v>
      </c>
      <c r="B662" t="s">
        <v>564</v>
      </c>
    </row>
    <row r="663" spans="1:2">
      <c r="A663" t="s">
        <v>564</v>
      </c>
      <c r="B663" t="s">
        <v>564</v>
      </c>
    </row>
    <row r="664" spans="1:2">
      <c r="A664" t="s">
        <v>564</v>
      </c>
      <c r="B664" t="s">
        <v>564</v>
      </c>
    </row>
    <row r="665" spans="1:2">
      <c r="A665" t="s">
        <v>564</v>
      </c>
      <c r="B665" t="s">
        <v>564</v>
      </c>
    </row>
    <row r="666" spans="1:2">
      <c r="A666" t="s">
        <v>564</v>
      </c>
      <c r="B666" t="s">
        <v>564</v>
      </c>
    </row>
    <row r="667" spans="1:2">
      <c r="A667" t="s">
        <v>564</v>
      </c>
      <c r="B667" t="s">
        <v>564</v>
      </c>
    </row>
    <row r="668" spans="1:2">
      <c r="A668" t="s">
        <v>564</v>
      </c>
      <c r="B668" t="s">
        <v>564</v>
      </c>
    </row>
    <row r="669" spans="1:2">
      <c r="A669" t="s">
        <v>564</v>
      </c>
      <c r="B669" t="s">
        <v>564</v>
      </c>
    </row>
    <row r="670" spans="1:2">
      <c r="A670" t="s">
        <v>564</v>
      </c>
      <c r="B670" t="s">
        <v>564</v>
      </c>
    </row>
    <row r="671" spans="1:2">
      <c r="A671" t="s">
        <v>564</v>
      </c>
      <c r="B671" t="s">
        <v>564</v>
      </c>
    </row>
    <row r="672" spans="1:2">
      <c r="A672" t="s">
        <v>564</v>
      </c>
      <c r="B672" t="s">
        <v>564</v>
      </c>
    </row>
    <row r="673" spans="1:2">
      <c r="A673" t="s">
        <v>564</v>
      </c>
      <c r="B673" t="s">
        <v>564</v>
      </c>
    </row>
    <row r="674" spans="1:2">
      <c r="A674" t="s">
        <v>564</v>
      </c>
      <c r="B674" t="s">
        <v>564</v>
      </c>
    </row>
    <row r="675" spans="1:2">
      <c r="A675" t="s">
        <v>564</v>
      </c>
      <c r="B675" t="s">
        <v>564</v>
      </c>
    </row>
    <row r="676" spans="1:2">
      <c r="A676" t="s">
        <v>564</v>
      </c>
      <c r="B676" t="s">
        <v>564</v>
      </c>
    </row>
    <row r="677" spans="1:2">
      <c r="A677" t="s">
        <v>564</v>
      </c>
      <c r="B677" t="s">
        <v>564</v>
      </c>
    </row>
    <row r="678" spans="1:2">
      <c r="A678" t="s">
        <v>564</v>
      </c>
      <c r="B678" t="s">
        <v>564</v>
      </c>
    </row>
    <row r="679" spans="1:2">
      <c r="A679" t="s">
        <v>564</v>
      </c>
      <c r="B679" t="s">
        <v>564</v>
      </c>
    </row>
    <row r="680" spans="1:2">
      <c r="A680" t="s">
        <v>564</v>
      </c>
      <c r="B680" t="s">
        <v>564</v>
      </c>
    </row>
    <row r="681" spans="1:2">
      <c r="A681" t="s">
        <v>564</v>
      </c>
      <c r="B681" t="s">
        <v>564</v>
      </c>
    </row>
    <row r="682" spans="1:2">
      <c r="A682" t="s">
        <v>564</v>
      </c>
      <c r="B682" t="s">
        <v>564</v>
      </c>
    </row>
    <row r="683" spans="1:2">
      <c r="A683" t="s">
        <v>564</v>
      </c>
      <c r="B683" t="s">
        <v>564</v>
      </c>
    </row>
    <row r="684" spans="1:2">
      <c r="A684" t="s">
        <v>564</v>
      </c>
      <c r="B684" t="s">
        <v>564</v>
      </c>
    </row>
    <row r="685" spans="1:2">
      <c r="A685" t="s">
        <v>564</v>
      </c>
      <c r="B685" t="s">
        <v>564</v>
      </c>
    </row>
    <row r="686" spans="1:2">
      <c r="A686" t="s">
        <v>564</v>
      </c>
      <c r="B686" t="s">
        <v>564</v>
      </c>
    </row>
    <row r="687" spans="1:2">
      <c r="A687" t="s">
        <v>564</v>
      </c>
      <c r="B687" t="s">
        <v>564</v>
      </c>
    </row>
    <row r="688" spans="1:2">
      <c r="A688" t="s">
        <v>564</v>
      </c>
      <c r="B688" t="s">
        <v>564</v>
      </c>
    </row>
    <row r="689" spans="1:2">
      <c r="A689" t="s">
        <v>564</v>
      </c>
      <c r="B689" t="s">
        <v>564</v>
      </c>
    </row>
    <row r="690" spans="1:2">
      <c r="A690" t="s">
        <v>564</v>
      </c>
      <c r="B690" t="s">
        <v>564</v>
      </c>
    </row>
    <row r="691" spans="1:2">
      <c r="A691" t="s">
        <v>564</v>
      </c>
      <c r="B691" t="s">
        <v>564</v>
      </c>
    </row>
    <row r="692" spans="1:2">
      <c r="A692" t="s">
        <v>564</v>
      </c>
      <c r="B692" t="s">
        <v>564</v>
      </c>
    </row>
    <row r="693" spans="1:2">
      <c r="A693" t="s">
        <v>564</v>
      </c>
      <c r="B693" t="s">
        <v>564</v>
      </c>
    </row>
    <row r="694" spans="1:2">
      <c r="A694" t="s">
        <v>564</v>
      </c>
      <c r="B694" t="s">
        <v>564</v>
      </c>
    </row>
    <row r="695" spans="1:2">
      <c r="A695" t="s">
        <v>564</v>
      </c>
      <c r="B695" t="s">
        <v>564</v>
      </c>
    </row>
    <row r="696" spans="1:2">
      <c r="A696" t="s">
        <v>564</v>
      </c>
      <c r="B696" t="s">
        <v>564</v>
      </c>
    </row>
    <row r="697" spans="1:2">
      <c r="A697" t="s">
        <v>564</v>
      </c>
      <c r="B697" t="s">
        <v>564</v>
      </c>
    </row>
    <row r="698" spans="1:2">
      <c r="A698" t="s">
        <v>564</v>
      </c>
      <c r="B698" t="s">
        <v>564</v>
      </c>
    </row>
    <row r="699" spans="1:2">
      <c r="A699" t="s">
        <v>564</v>
      </c>
      <c r="B699" t="s">
        <v>564</v>
      </c>
    </row>
    <row r="700" spans="1:2">
      <c r="A700" t="s">
        <v>564</v>
      </c>
      <c r="B700" t="s">
        <v>564</v>
      </c>
    </row>
    <row r="701" spans="1:2">
      <c r="A701" t="s">
        <v>564</v>
      </c>
      <c r="B701" t="s">
        <v>564</v>
      </c>
    </row>
    <row r="702" spans="1:2">
      <c r="A702" t="s">
        <v>564</v>
      </c>
      <c r="B702" t="s">
        <v>564</v>
      </c>
    </row>
    <row r="703" spans="1:2">
      <c r="A703" t="s">
        <v>564</v>
      </c>
      <c r="B703" t="s">
        <v>564</v>
      </c>
    </row>
    <row r="704" spans="1:2">
      <c r="A704" t="s">
        <v>564</v>
      </c>
      <c r="B704" t="s">
        <v>564</v>
      </c>
    </row>
    <row r="705" spans="1:2">
      <c r="A705" t="s">
        <v>564</v>
      </c>
      <c r="B705" t="s">
        <v>564</v>
      </c>
    </row>
    <row r="706" spans="1:2">
      <c r="A706" t="s">
        <v>564</v>
      </c>
      <c r="B706" t="s">
        <v>564</v>
      </c>
    </row>
    <row r="707" spans="1:2">
      <c r="A707" t="s">
        <v>564</v>
      </c>
      <c r="B707" t="s">
        <v>564</v>
      </c>
    </row>
    <row r="708" spans="1:2">
      <c r="A708" t="s">
        <v>564</v>
      </c>
      <c r="B708" t="s">
        <v>564</v>
      </c>
    </row>
    <row r="709" spans="1:2">
      <c r="A709" t="s">
        <v>564</v>
      </c>
      <c r="B709" t="s">
        <v>564</v>
      </c>
    </row>
    <row r="710" spans="1:2">
      <c r="A710" t="s">
        <v>564</v>
      </c>
      <c r="B710" t="s">
        <v>564</v>
      </c>
    </row>
    <row r="711" spans="1:2">
      <c r="A711" t="s">
        <v>564</v>
      </c>
      <c r="B711" t="s">
        <v>564</v>
      </c>
    </row>
    <row r="712" spans="1:2">
      <c r="A712" t="s">
        <v>564</v>
      </c>
      <c r="B712" t="s">
        <v>564</v>
      </c>
    </row>
    <row r="713" spans="1:2">
      <c r="A713" t="s">
        <v>564</v>
      </c>
      <c r="B713" t="s">
        <v>564</v>
      </c>
    </row>
    <row r="714" spans="1:2">
      <c r="A714" t="s">
        <v>564</v>
      </c>
      <c r="B714" t="s">
        <v>564</v>
      </c>
    </row>
    <row r="715" spans="1:2">
      <c r="A715" t="s">
        <v>564</v>
      </c>
      <c r="B715" t="s">
        <v>564</v>
      </c>
    </row>
    <row r="716" spans="1:2">
      <c r="A716" t="s">
        <v>564</v>
      </c>
      <c r="B716" t="s">
        <v>564</v>
      </c>
    </row>
    <row r="717" spans="1:2">
      <c r="A717" t="s">
        <v>564</v>
      </c>
      <c r="B717" t="s">
        <v>564</v>
      </c>
    </row>
    <row r="718" spans="1:2">
      <c r="A718" t="s">
        <v>564</v>
      </c>
      <c r="B718" t="s">
        <v>564</v>
      </c>
    </row>
    <row r="719" spans="1:2">
      <c r="A719" t="s">
        <v>564</v>
      </c>
      <c r="B719" t="s">
        <v>564</v>
      </c>
    </row>
    <row r="720" spans="1:2">
      <c r="A720" t="s">
        <v>564</v>
      </c>
      <c r="B720" t="s">
        <v>564</v>
      </c>
    </row>
    <row r="721" spans="1:2">
      <c r="A721" t="s">
        <v>564</v>
      </c>
      <c r="B721" t="s">
        <v>564</v>
      </c>
    </row>
    <row r="722" spans="1:2">
      <c r="A722" t="s">
        <v>564</v>
      </c>
      <c r="B722" t="s">
        <v>564</v>
      </c>
    </row>
    <row r="723" spans="1:2">
      <c r="A723" t="s">
        <v>564</v>
      </c>
      <c r="B723" t="s">
        <v>564</v>
      </c>
    </row>
    <row r="724" spans="1:2">
      <c r="A724" t="s">
        <v>564</v>
      </c>
      <c r="B724" t="s">
        <v>564</v>
      </c>
    </row>
    <row r="725" spans="1:2">
      <c r="A725" t="s">
        <v>564</v>
      </c>
      <c r="B725" t="s">
        <v>564</v>
      </c>
    </row>
    <row r="726" spans="1:2">
      <c r="A726" t="s">
        <v>564</v>
      </c>
      <c r="B726" t="s">
        <v>564</v>
      </c>
    </row>
    <row r="727" spans="1:2">
      <c r="A727" t="s">
        <v>564</v>
      </c>
      <c r="B727" t="s">
        <v>564</v>
      </c>
    </row>
    <row r="728" spans="1:2">
      <c r="A728" t="s">
        <v>564</v>
      </c>
      <c r="B728" t="s">
        <v>564</v>
      </c>
    </row>
    <row r="729" spans="1:2">
      <c r="A729" t="s">
        <v>564</v>
      </c>
      <c r="B729" t="s">
        <v>564</v>
      </c>
    </row>
    <row r="730" spans="1:2">
      <c r="A730" t="s">
        <v>564</v>
      </c>
      <c r="B730" t="s">
        <v>564</v>
      </c>
    </row>
    <row r="731" spans="1:2">
      <c r="A731" t="s">
        <v>564</v>
      </c>
      <c r="B731" t="s">
        <v>564</v>
      </c>
    </row>
    <row r="732" spans="1:2">
      <c r="A732" t="s">
        <v>564</v>
      </c>
      <c r="B732" t="s">
        <v>564</v>
      </c>
    </row>
    <row r="733" spans="1:2">
      <c r="A733" t="s">
        <v>564</v>
      </c>
      <c r="B733" t="s">
        <v>564</v>
      </c>
    </row>
    <row r="734" spans="1:2">
      <c r="A734" t="s">
        <v>564</v>
      </c>
      <c r="B734" t="s">
        <v>564</v>
      </c>
    </row>
    <row r="735" spans="1:2">
      <c r="A735" t="s">
        <v>564</v>
      </c>
      <c r="B735" t="s">
        <v>564</v>
      </c>
    </row>
    <row r="736" spans="1:2">
      <c r="A736" t="s">
        <v>564</v>
      </c>
      <c r="B736" t="s">
        <v>564</v>
      </c>
    </row>
    <row r="737" spans="1:2">
      <c r="A737" t="s">
        <v>564</v>
      </c>
      <c r="B737" t="s">
        <v>564</v>
      </c>
    </row>
    <row r="738" spans="1:2">
      <c r="A738" t="s">
        <v>564</v>
      </c>
      <c r="B738" t="s">
        <v>564</v>
      </c>
    </row>
    <row r="739" spans="1:2">
      <c r="A739" t="s">
        <v>564</v>
      </c>
      <c r="B739" t="s">
        <v>564</v>
      </c>
    </row>
    <row r="740" spans="1:2">
      <c r="A740" t="s">
        <v>564</v>
      </c>
      <c r="B740" t="s">
        <v>564</v>
      </c>
    </row>
    <row r="741" spans="1:2">
      <c r="A741" t="s">
        <v>564</v>
      </c>
      <c r="B741" t="s">
        <v>564</v>
      </c>
    </row>
    <row r="742" spans="1:2">
      <c r="A742" t="s">
        <v>564</v>
      </c>
      <c r="B742" t="s">
        <v>564</v>
      </c>
    </row>
    <row r="743" spans="1:2">
      <c r="A743" t="s">
        <v>564</v>
      </c>
      <c r="B743" t="s">
        <v>564</v>
      </c>
    </row>
    <row r="744" spans="1:2">
      <c r="A744" t="s">
        <v>564</v>
      </c>
      <c r="B744" t="s">
        <v>564</v>
      </c>
    </row>
    <row r="745" spans="1:2">
      <c r="A745" t="s">
        <v>564</v>
      </c>
      <c r="B745" t="s">
        <v>564</v>
      </c>
    </row>
    <row r="746" spans="1:2">
      <c r="A746" t="s">
        <v>564</v>
      </c>
      <c r="B746" t="s">
        <v>564</v>
      </c>
    </row>
    <row r="747" spans="1:2">
      <c r="A747" t="s">
        <v>564</v>
      </c>
      <c r="B747" t="s">
        <v>564</v>
      </c>
    </row>
    <row r="748" spans="1:2">
      <c r="A748" t="s">
        <v>564</v>
      </c>
      <c r="B748" t="s">
        <v>564</v>
      </c>
    </row>
    <row r="749" spans="1:2">
      <c r="A749" t="s">
        <v>564</v>
      </c>
      <c r="B749" t="s">
        <v>564</v>
      </c>
    </row>
    <row r="750" spans="1:2">
      <c r="A750" t="s">
        <v>564</v>
      </c>
      <c r="B750" t="s">
        <v>564</v>
      </c>
    </row>
    <row r="751" spans="1:2">
      <c r="A751" t="s">
        <v>564</v>
      </c>
      <c r="B751" t="s">
        <v>564</v>
      </c>
    </row>
    <row r="752" spans="1:2">
      <c r="A752" t="s">
        <v>564</v>
      </c>
      <c r="B752" t="s">
        <v>564</v>
      </c>
    </row>
    <row r="753" spans="1:2">
      <c r="A753" t="s">
        <v>564</v>
      </c>
      <c r="B753" t="s">
        <v>564</v>
      </c>
    </row>
    <row r="754" spans="1:2">
      <c r="A754" t="s">
        <v>564</v>
      </c>
      <c r="B754" t="s">
        <v>564</v>
      </c>
    </row>
    <row r="755" spans="1:2">
      <c r="A755" t="s">
        <v>564</v>
      </c>
      <c r="B755" t="s">
        <v>564</v>
      </c>
    </row>
    <row r="756" spans="1:2">
      <c r="A756" t="s">
        <v>564</v>
      </c>
      <c r="B756" t="s">
        <v>564</v>
      </c>
    </row>
    <row r="757" spans="1:2">
      <c r="A757" t="s">
        <v>564</v>
      </c>
      <c r="B757" t="s">
        <v>564</v>
      </c>
    </row>
    <row r="758" spans="1:2">
      <c r="A758" t="s">
        <v>564</v>
      </c>
      <c r="B758" t="s">
        <v>564</v>
      </c>
    </row>
    <row r="759" spans="1:2">
      <c r="A759" t="s">
        <v>564</v>
      </c>
      <c r="B759" t="s">
        <v>564</v>
      </c>
    </row>
    <row r="760" spans="1:2">
      <c r="A760" t="s">
        <v>564</v>
      </c>
      <c r="B760" t="s">
        <v>564</v>
      </c>
    </row>
    <row r="761" spans="1:2">
      <c r="A761" t="s">
        <v>564</v>
      </c>
      <c r="B761" t="s">
        <v>564</v>
      </c>
    </row>
    <row r="762" spans="1:2">
      <c r="A762" t="s">
        <v>564</v>
      </c>
      <c r="B762" t="s">
        <v>564</v>
      </c>
    </row>
    <row r="763" spans="1:2">
      <c r="A763" t="s">
        <v>564</v>
      </c>
      <c r="B763" t="s">
        <v>564</v>
      </c>
    </row>
    <row r="764" spans="1:2">
      <c r="A764" t="s">
        <v>564</v>
      </c>
      <c r="B764" t="s">
        <v>564</v>
      </c>
    </row>
    <row r="765" spans="1:2">
      <c r="A765" t="s">
        <v>564</v>
      </c>
      <c r="B765" t="s">
        <v>564</v>
      </c>
    </row>
    <row r="766" spans="1:2">
      <c r="A766" t="s">
        <v>564</v>
      </c>
      <c r="B766" t="s">
        <v>564</v>
      </c>
    </row>
    <row r="767" spans="1:2">
      <c r="A767" t="s">
        <v>564</v>
      </c>
      <c r="B767" t="s">
        <v>564</v>
      </c>
    </row>
    <row r="768" spans="1:2">
      <c r="A768" t="s">
        <v>564</v>
      </c>
      <c r="B768" t="s">
        <v>564</v>
      </c>
    </row>
    <row r="769" spans="1:2">
      <c r="A769" t="s">
        <v>564</v>
      </c>
      <c r="B769" t="s">
        <v>564</v>
      </c>
    </row>
    <row r="770" spans="1:2">
      <c r="A770" t="s">
        <v>564</v>
      </c>
      <c r="B770" t="s">
        <v>564</v>
      </c>
    </row>
    <row r="771" spans="1:2">
      <c r="A771" t="s">
        <v>564</v>
      </c>
      <c r="B771" t="s">
        <v>564</v>
      </c>
    </row>
    <row r="772" spans="1:2">
      <c r="A772" t="s">
        <v>564</v>
      </c>
      <c r="B772" t="s">
        <v>564</v>
      </c>
    </row>
    <row r="773" spans="1:2">
      <c r="A773" t="s">
        <v>564</v>
      </c>
      <c r="B773" t="s">
        <v>564</v>
      </c>
    </row>
    <row r="774" spans="1:2">
      <c r="A774" t="s">
        <v>564</v>
      </c>
      <c r="B774" t="s">
        <v>564</v>
      </c>
    </row>
    <row r="775" spans="1:2">
      <c r="A775" t="s">
        <v>564</v>
      </c>
      <c r="B775" t="s">
        <v>564</v>
      </c>
    </row>
    <row r="776" spans="1:2">
      <c r="A776" t="s">
        <v>564</v>
      </c>
      <c r="B776" t="s">
        <v>564</v>
      </c>
    </row>
    <row r="777" spans="1:2">
      <c r="A777" t="s">
        <v>564</v>
      </c>
      <c r="B777" t="s">
        <v>564</v>
      </c>
    </row>
    <row r="778" spans="1:2">
      <c r="A778" t="s">
        <v>564</v>
      </c>
      <c r="B778" t="s">
        <v>564</v>
      </c>
    </row>
    <row r="779" spans="1:2">
      <c r="A779" t="s">
        <v>564</v>
      </c>
      <c r="B779" t="s">
        <v>564</v>
      </c>
    </row>
    <row r="780" spans="1:2">
      <c r="A780" t="s">
        <v>564</v>
      </c>
      <c r="B780" t="s">
        <v>564</v>
      </c>
    </row>
    <row r="781" spans="1:2">
      <c r="A781" t="s">
        <v>564</v>
      </c>
      <c r="B781" t="s">
        <v>564</v>
      </c>
    </row>
    <row r="782" spans="1:2">
      <c r="A782" t="s">
        <v>564</v>
      </c>
      <c r="B782" t="s">
        <v>564</v>
      </c>
    </row>
    <row r="783" spans="1:2">
      <c r="A783" t="s">
        <v>564</v>
      </c>
      <c r="B783" t="s">
        <v>564</v>
      </c>
    </row>
    <row r="784" spans="1:2">
      <c r="A784" t="s">
        <v>564</v>
      </c>
      <c r="B784" t="s">
        <v>564</v>
      </c>
    </row>
    <row r="785" spans="1:2">
      <c r="A785" t="s">
        <v>564</v>
      </c>
      <c r="B785" t="s">
        <v>564</v>
      </c>
    </row>
    <row r="786" spans="1:2">
      <c r="A786" t="s">
        <v>564</v>
      </c>
      <c r="B786" t="s">
        <v>564</v>
      </c>
    </row>
    <row r="787" spans="1:2">
      <c r="A787" t="s">
        <v>564</v>
      </c>
      <c r="B787" t="s">
        <v>564</v>
      </c>
    </row>
    <row r="788" spans="1:2">
      <c r="A788" t="s">
        <v>564</v>
      </c>
      <c r="B788" t="s">
        <v>564</v>
      </c>
    </row>
    <row r="789" spans="1:2">
      <c r="A789" t="s">
        <v>564</v>
      </c>
      <c r="B789" t="s">
        <v>564</v>
      </c>
    </row>
    <row r="790" spans="1:2">
      <c r="A790" t="s">
        <v>564</v>
      </c>
      <c r="B790" t="s">
        <v>564</v>
      </c>
    </row>
    <row r="791" spans="1:2">
      <c r="A791" t="s">
        <v>564</v>
      </c>
      <c r="B791" t="s">
        <v>564</v>
      </c>
    </row>
    <row r="792" spans="1:2">
      <c r="A792" t="s">
        <v>564</v>
      </c>
      <c r="B792" t="s">
        <v>564</v>
      </c>
    </row>
    <row r="793" spans="1:2">
      <c r="A793" t="s">
        <v>564</v>
      </c>
      <c r="B793" t="s">
        <v>564</v>
      </c>
    </row>
    <row r="794" spans="1:2">
      <c r="A794" t="s">
        <v>564</v>
      </c>
      <c r="B794" t="s">
        <v>564</v>
      </c>
    </row>
    <row r="795" spans="1:2">
      <c r="A795" t="s">
        <v>564</v>
      </c>
      <c r="B795" t="s">
        <v>564</v>
      </c>
    </row>
    <row r="796" spans="1:2">
      <c r="A796" t="s">
        <v>564</v>
      </c>
      <c r="B796" t="s">
        <v>564</v>
      </c>
    </row>
    <row r="797" spans="1:2">
      <c r="A797" t="s">
        <v>564</v>
      </c>
      <c r="B797" t="s">
        <v>564</v>
      </c>
    </row>
    <row r="798" spans="1:2">
      <c r="A798" t="s">
        <v>564</v>
      </c>
      <c r="B798" t="s">
        <v>564</v>
      </c>
    </row>
    <row r="799" spans="1:2">
      <c r="A799" t="s">
        <v>564</v>
      </c>
      <c r="B799" t="s">
        <v>564</v>
      </c>
    </row>
    <row r="800" spans="1:2">
      <c r="A800" t="s">
        <v>564</v>
      </c>
      <c r="B800" t="s">
        <v>564</v>
      </c>
    </row>
    <row r="801" spans="1:2">
      <c r="A801" t="s">
        <v>564</v>
      </c>
      <c r="B801" t="s">
        <v>564</v>
      </c>
    </row>
    <row r="802" spans="1:2">
      <c r="A802" t="s">
        <v>564</v>
      </c>
      <c r="B802" t="s">
        <v>564</v>
      </c>
    </row>
    <row r="803" spans="1:2">
      <c r="A803" t="s">
        <v>564</v>
      </c>
      <c r="B803" t="s">
        <v>564</v>
      </c>
    </row>
    <row r="804" spans="1:2">
      <c r="A804" t="s">
        <v>564</v>
      </c>
      <c r="B804" t="s">
        <v>564</v>
      </c>
    </row>
    <row r="805" spans="1:2">
      <c r="A805" t="s">
        <v>564</v>
      </c>
      <c r="B805" t="s">
        <v>564</v>
      </c>
    </row>
    <row r="806" spans="1:2">
      <c r="A806" t="s">
        <v>564</v>
      </c>
      <c r="B806" t="s">
        <v>564</v>
      </c>
    </row>
    <row r="807" spans="1:2">
      <c r="A807" t="s">
        <v>564</v>
      </c>
      <c r="B807" t="s">
        <v>564</v>
      </c>
    </row>
    <row r="808" spans="1:2">
      <c r="A808" t="s">
        <v>564</v>
      </c>
      <c r="B808" t="s">
        <v>564</v>
      </c>
    </row>
    <row r="809" spans="1:2">
      <c r="A809" t="s">
        <v>564</v>
      </c>
      <c r="B809" t="s">
        <v>564</v>
      </c>
    </row>
    <row r="810" spans="1:2">
      <c r="A810" t="s">
        <v>564</v>
      </c>
      <c r="B810" t="s">
        <v>564</v>
      </c>
    </row>
    <row r="811" spans="1:2">
      <c r="A811" t="s">
        <v>564</v>
      </c>
      <c r="B811" t="s">
        <v>564</v>
      </c>
    </row>
    <row r="812" spans="1:2">
      <c r="A812" t="s">
        <v>564</v>
      </c>
      <c r="B812" t="s">
        <v>564</v>
      </c>
    </row>
    <row r="813" spans="1:2">
      <c r="A813" t="s">
        <v>564</v>
      </c>
      <c r="B813" t="s">
        <v>564</v>
      </c>
    </row>
    <row r="814" spans="1:2">
      <c r="A814" t="s">
        <v>564</v>
      </c>
      <c r="B814" t="s">
        <v>564</v>
      </c>
    </row>
    <row r="815" spans="1:2">
      <c r="A815" t="s">
        <v>564</v>
      </c>
      <c r="B815" t="s">
        <v>564</v>
      </c>
    </row>
    <row r="816" spans="1:2">
      <c r="A816" t="s">
        <v>564</v>
      </c>
      <c r="B816" t="s">
        <v>564</v>
      </c>
    </row>
    <row r="817" spans="1:2">
      <c r="A817" t="s">
        <v>564</v>
      </c>
      <c r="B817" t="s">
        <v>564</v>
      </c>
    </row>
    <row r="818" spans="1:2">
      <c r="A818" t="s">
        <v>564</v>
      </c>
      <c r="B818" t="s">
        <v>564</v>
      </c>
    </row>
    <row r="819" spans="1:2">
      <c r="A819" t="s">
        <v>564</v>
      </c>
      <c r="B819" t="s">
        <v>564</v>
      </c>
    </row>
    <row r="820" spans="1:2">
      <c r="A820" t="s">
        <v>564</v>
      </c>
      <c r="B820" t="s">
        <v>564</v>
      </c>
    </row>
    <row r="821" spans="1:2">
      <c r="A821" t="s">
        <v>564</v>
      </c>
      <c r="B821" t="s">
        <v>564</v>
      </c>
    </row>
    <row r="822" spans="1:2">
      <c r="A822" t="s">
        <v>564</v>
      </c>
      <c r="B822" t="s">
        <v>564</v>
      </c>
    </row>
    <row r="823" spans="1:2">
      <c r="A823" t="s">
        <v>564</v>
      </c>
      <c r="B823" t="s">
        <v>564</v>
      </c>
    </row>
    <row r="824" spans="1:2">
      <c r="A824" t="s">
        <v>564</v>
      </c>
      <c r="B824" t="s">
        <v>564</v>
      </c>
    </row>
    <row r="825" spans="1:2">
      <c r="A825" t="s">
        <v>564</v>
      </c>
      <c r="B825" t="s">
        <v>564</v>
      </c>
    </row>
    <row r="826" spans="1:2">
      <c r="A826" t="s">
        <v>564</v>
      </c>
      <c r="B826" t="s">
        <v>564</v>
      </c>
    </row>
    <row r="827" spans="1:2">
      <c r="A827" t="s">
        <v>564</v>
      </c>
      <c r="B827" t="s">
        <v>564</v>
      </c>
    </row>
    <row r="828" spans="1:2">
      <c r="A828" t="s">
        <v>564</v>
      </c>
      <c r="B828" t="s">
        <v>564</v>
      </c>
    </row>
    <row r="829" spans="1:2">
      <c r="A829" t="s">
        <v>564</v>
      </c>
      <c r="B829" t="s">
        <v>564</v>
      </c>
    </row>
    <row r="830" spans="1:2">
      <c r="A830" t="s">
        <v>564</v>
      </c>
      <c r="B830" t="s">
        <v>564</v>
      </c>
    </row>
    <row r="831" spans="1:2">
      <c r="A831" t="s">
        <v>564</v>
      </c>
      <c r="B831" t="s">
        <v>564</v>
      </c>
    </row>
    <row r="832" spans="1:2">
      <c r="A832" t="s">
        <v>564</v>
      </c>
      <c r="B832" t="s">
        <v>564</v>
      </c>
    </row>
    <row r="833" spans="1:2">
      <c r="A833" t="s">
        <v>564</v>
      </c>
      <c r="B833" t="s">
        <v>564</v>
      </c>
    </row>
    <row r="834" spans="1:2">
      <c r="A834" t="s">
        <v>564</v>
      </c>
      <c r="B834" t="s">
        <v>564</v>
      </c>
    </row>
    <row r="835" spans="1:2">
      <c r="A835" t="s">
        <v>564</v>
      </c>
      <c r="B835" t="s">
        <v>564</v>
      </c>
    </row>
    <row r="836" spans="1:2">
      <c r="A836" t="s">
        <v>564</v>
      </c>
      <c r="B836" t="s">
        <v>564</v>
      </c>
    </row>
    <row r="837" spans="1:2">
      <c r="A837" t="s">
        <v>564</v>
      </c>
      <c r="B837" t="s">
        <v>564</v>
      </c>
    </row>
    <row r="838" spans="1:2">
      <c r="A838" t="s">
        <v>564</v>
      </c>
      <c r="B838" t="s">
        <v>564</v>
      </c>
    </row>
    <row r="839" spans="1:2">
      <c r="A839" t="s">
        <v>564</v>
      </c>
      <c r="B839" t="s">
        <v>564</v>
      </c>
    </row>
    <row r="840" spans="1:2">
      <c r="A840" t="s">
        <v>564</v>
      </c>
      <c r="B840" t="s">
        <v>564</v>
      </c>
    </row>
    <row r="841" spans="1:2">
      <c r="A841" t="s">
        <v>564</v>
      </c>
      <c r="B841" t="s">
        <v>564</v>
      </c>
    </row>
    <row r="842" spans="1:2">
      <c r="A842" t="s">
        <v>564</v>
      </c>
      <c r="B842" t="s">
        <v>564</v>
      </c>
    </row>
    <row r="843" spans="1:2">
      <c r="A843" t="s">
        <v>564</v>
      </c>
      <c r="B843" t="s">
        <v>564</v>
      </c>
    </row>
    <row r="844" spans="1:2">
      <c r="A844" t="s">
        <v>564</v>
      </c>
      <c r="B844" t="s">
        <v>564</v>
      </c>
    </row>
    <row r="845" spans="1:2">
      <c r="A845" t="s">
        <v>564</v>
      </c>
      <c r="B845" t="s">
        <v>564</v>
      </c>
    </row>
    <row r="846" spans="1:2">
      <c r="A846" t="s">
        <v>564</v>
      </c>
      <c r="B846" t="s">
        <v>564</v>
      </c>
    </row>
    <row r="847" spans="1:2">
      <c r="A847" t="s">
        <v>564</v>
      </c>
      <c r="B847" t="s">
        <v>564</v>
      </c>
    </row>
    <row r="848" spans="1:2">
      <c r="A848" t="s">
        <v>564</v>
      </c>
      <c r="B848" t="s">
        <v>564</v>
      </c>
    </row>
    <row r="849" spans="1:2">
      <c r="A849" t="s">
        <v>564</v>
      </c>
      <c r="B849" t="s">
        <v>564</v>
      </c>
    </row>
    <row r="850" spans="1:2">
      <c r="A850" t="s">
        <v>564</v>
      </c>
      <c r="B850" t="s">
        <v>564</v>
      </c>
    </row>
    <row r="851" spans="1:2">
      <c r="A851" t="s">
        <v>564</v>
      </c>
      <c r="B851" t="s">
        <v>564</v>
      </c>
    </row>
    <row r="852" spans="1:2">
      <c r="A852" t="s">
        <v>564</v>
      </c>
      <c r="B852" t="s">
        <v>564</v>
      </c>
    </row>
    <row r="853" spans="1:2">
      <c r="A853" t="s">
        <v>564</v>
      </c>
      <c r="B853" t="s">
        <v>564</v>
      </c>
    </row>
    <row r="854" spans="1:2">
      <c r="A854" t="s">
        <v>564</v>
      </c>
      <c r="B854" t="s">
        <v>564</v>
      </c>
    </row>
    <row r="855" spans="1:2">
      <c r="A855" t="s">
        <v>564</v>
      </c>
      <c r="B855" t="s">
        <v>564</v>
      </c>
    </row>
    <row r="856" spans="1:2">
      <c r="A856" t="s">
        <v>564</v>
      </c>
      <c r="B856" t="s">
        <v>564</v>
      </c>
    </row>
    <row r="857" spans="1:2">
      <c r="A857" t="s">
        <v>564</v>
      </c>
      <c r="B857" t="s">
        <v>564</v>
      </c>
    </row>
    <row r="858" spans="1:2">
      <c r="A858" t="s">
        <v>564</v>
      </c>
      <c r="B858" t="s">
        <v>564</v>
      </c>
    </row>
    <row r="859" spans="1:2">
      <c r="A859" t="s">
        <v>564</v>
      </c>
      <c r="B859" t="s">
        <v>564</v>
      </c>
    </row>
    <row r="860" spans="1:2">
      <c r="A860" t="s">
        <v>564</v>
      </c>
      <c r="B860" t="s">
        <v>564</v>
      </c>
    </row>
    <row r="861" spans="1:2">
      <c r="A861" t="s">
        <v>564</v>
      </c>
      <c r="B861" t="s">
        <v>564</v>
      </c>
    </row>
    <row r="862" spans="1:2">
      <c r="A862" t="s">
        <v>564</v>
      </c>
      <c r="B862" t="s">
        <v>564</v>
      </c>
    </row>
    <row r="863" spans="1:2">
      <c r="A863" t="s">
        <v>564</v>
      </c>
      <c r="B863" t="s">
        <v>564</v>
      </c>
    </row>
    <row r="864" spans="1:2">
      <c r="A864" t="s">
        <v>564</v>
      </c>
      <c r="B864" t="s">
        <v>564</v>
      </c>
    </row>
    <row r="865" spans="1:2">
      <c r="A865" t="s">
        <v>564</v>
      </c>
      <c r="B865" t="s">
        <v>564</v>
      </c>
    </row>
    <row r="866" spans="1:2">
      <c r="A866" t="s">
        <v>564</v>
      </c>
      <c r="B866" t="s">
        <v>564</v>
      </c>
    </row>
    <row r="867" spans="1:2">
      <c r="A867" t="s">
        <v>564</v>
      </c>
      <c r="B867" t="s">
        <v>564</v>
      </c>
    </row>
    <row r="868" spans="1:2">
      <c r="A868" t="s">
        <v>564</v>
      </c>
      <c r="B868" t="s">
        <v>564</v>
      </c>
    </row>
    <row r="869" spans="1:2">
      <c r="A869" t="s">
        <v>564</v>
      </c>
      <c r="B869" t="s">
        <v>564</v>
      </c>
    </row>
    <row r="870" spans="1:2">
      <c r="A870" t="s">
        <v>564</v>
      </c>
      <c r="B870" t="s">
        <v>564</v>
      </c>
    </row>
    <row r="871" spans="1:2">
      <c r="A871" t="s">
        <v>564</v>
      </c>
      <c r="B871" t="s">
        <v>564</v>
      </c>
    </row>
    <row r="872" spans="1:2">
      <c r="A872" t="s">
        <v>564</v>
      </c>
      <c r="B872" t="s">
        <v>564</v>
      </c>
    </row>
    <row r="873" spans="1:2">
      <c r="A873" t="s">
        <v>564</v>
      </c>
      <c r="B873" t="s">
        <v>564</v>
      </c>
    </row>
    <row r="874" spans="1:2">
      <c r="A874" t="s">
        <v>564</v>
      </c>
      <c r="B874" t="s">
        <v>564</v>
      </c>
    </row>
    <row r="875" spans="1:2">
      <c r="A875" t="s">
        <v>564</v>
      </c>
      <c r="B875" t="s">
        <v>564</v>
      </c>
    </row>
    <row r="876" spans="1:2">
      <c r="A876" t="s">
        <v>564</v>
      </c>
      <c r="B876" t="s">
        <v>564</v>
      </c>
    </row>
    <row r="877" spans="1:2">
      <c r="A877" t="s">
        <v>564</v>
      </c>
      <c r="B877" t="s">
        <v>564</v>
      </c>
    </row>
    <row r="878" spans="1:2">
      <c r="A878" t="s">
        <v>564</v>
      </c>
      <c r="B878" t="s">
        <v>564</v>
      </c>
    </row>
    <row r="879" spans="1:2">
      <c r="A879" t="s">
        <v>564</v>
      </c>
      <c r="B879" t="s">
        <v>564</v>
      </c>
    </row>
    <row r="880" spans="1:2">
      <c r="A880" t="s">
        <v>564</v>
      </c>
      <c r="B880" t="s">
        <v>564</v>
      </c>
    </row>
    <row r="881" spans="1:2">
      <c r="A881" t="s">
        <v>564</v>
      </c>
      <c r="B881" t="s">
        <v>564</v>
      </c>
    </row>
    <row r="882" spans="1:2">
      <c r="A882" t="s">
        <v>564</v>
      </c>
      <c r="B882" t="s">
        <v>564</v>
      </c>
    </row>
    <row r="883" spans="1:2">
      <c r="A883" t="s">
        <v>564</v>
      </c>
      <c r="B883" t="s">
        <v>564</v>
      </c>
    </row>
    <row r="884" spans="1:2">
      <c r="A884" t="s">
        <v>564</v>
      </c>
      <c r="B884" t="s">
        <v>564</v>
      </c>
    </row>
    <row r="885" spans="1:2">
      <c r="A885" t="s">
        <v>564</v>
      </c>
      <c r="B885" t="s">
        <v>564</v>
      </c>
    </row>
    <row r="886" spans="1:2">
      <c r="A886" t="s">
        <v>564</v>
      </c>
      <c r="B886" t="s">
        <v>564</v>
      </c>
    </row>
    <row r="887" spans="1:2">
      <c r="A887" t="s">
        <v>564</v>
      </c>
      <c r="B887" t="s">
        <v>564</v>
      </c>
    </row>
    <row r="888" spans="1:2">
      <c r="A888" t="s">
        <v>564</v>
      </c>
      <c r="B888" t="s">
        <v>564</v>
      </c>
    </row>
    <row r="889" spans="1:2">
      <c r="A889" t="s">
        <v>564</v>
      </c>
      <c r="B889" t="s">
        <v>564</v>
      </c>
    </row>
    <row r="890" spans="1:2">
      <c r="A890" t="s">
        <v>564</v>
      </c>
      <c r="B890" t="s">
        <v>564</v>
      </c>
    </row>
    <row r="891" spans="1:2">
      <c r="A891" t="s">
        <v>564</v>
      </c>
      <c r="B891" t="s">
        <v>564</v>
      </c>
    </row>
    <row r="892" spans="1:2">
      <c r="A892" t="s">
        <v>564</v>
      </c>
      <c r="B892" t="s">
        <v>564</v>
      </c>
    </row>
    <row r="893" spans="1:2">
      <c r="A893" t="s">
        <v>564</v>
      </c>
      <c r="B893" t="s">
        <v>564</v>
      </c>
    </row>
    <row r="894" spans="1:2">
      <c r="A894" t="s">
        <v>564</v>
      </c>
      <c r="B894" t="s">
        <v>564</v>
      </c>
    </row>
    <row r="895" spans="1:2">
      <c r="A895" t="s">
        <v>564</v>
      </c>
      <c r="B895" t="s">
        <v>564</v>
      </c>
    </row>
    <row r="896" spans="1:2">
      <c r="A896" t="s">
        <v>564</v>
      </c>
      <c r="B896" t="s">
        <v>564</v>
      </c>
    </row>
    <row r="897" spans="1:2">
      <c r="A897" t="s">
        <v>564</v>
      </c>
      <c r="B897" t="s">
        <v>564</v>
      </c>
    </row>
    <row r="898" spans="1:2">
      <c r="A898" t="s">
        <v>564</v>
      </c>
      <c r="B898" t="s">
        <v>564</v>
      </c>
    </row>
    <row r="899" spans="1:2">
      <c r="A899" t="s">
        <v>564</v>
      </c>
      <c r="B899" t="s">
        <v>564</v>
      </c>
    </row>
    <row r="900" spans="1:2">
      <c r="A900" t="s">
        <v>564</v>
      </c>
      <c r="B900" t="s">
        <v>564</v>
      </c>
    </row>
    <row r="901" spans="1:2">
      <c r="A901" t="s">
        <v>564</v>
      </c>
      <c r="B901" t="s">
        <v>564</v>
      </c>
    </row>
    <row r="902" spans="1:2">
      <c r="A902" t="s">
        <v>564</v>
      </c>
      <c r="B902" t="s">
        <v>564</v>
      </c>
    </row>
    <row r="903" spans="1:2">
      <c r="A903" t="s">
        <v>564</v>
      </c>
      <c r="B903" t="s">
        <v>564</v>
      </c>
    </row>
    <row r="904" spans="1:2">
      <c r="A904" t="s">
        <v>564</v>
      </c>
      <c r="B904" t="s">
        <v>564</v>
      </c>
    </row>
    <row r="905" spans="1:2">
      <c r="A905" t="s">
        <v>564</v>
      </c>
      <c r="B905" t="s">
        <v>564</v>
      </c>
    </row>
    <row r="906" spans="1:2">
      <c r="A906" t="s">
        <v>564</v>
      </c>
      <c r="B906" t="s">
        <v>564</v>
      </c>
    </row>
    <row r="907" spans="1:2">
      <c r="A907" t="s">
        <v>564</v>
      </c>
      <c r="B907" t="s">
        <v>564</v>
      </c>
    </row>
    <row r="908" spans="1:2">
      <c r="A908" t="s">
        <v>564</v>
      </c>
      <c r="B908" t="s">
        <v>564</v>
      </c>
    </row>
    <row r="909" spans="1:2">
      <c r="A909" t="s">
        <v>564</v>
      </c>
      <c r="B909" t="s">
        <v>564</v>
      </c>
    </row>
    <row r="910" spans="1:2">
      <c r="A910" t="s">
        <v>564</v>
      </c>
      <c r="B910" t="s">
        <v>564</v>
      </c>
    </row>
    <row r="911" spans="1:2">
      <c r="A911" t="s">
        <v>564</v>
      </c>
      <c r="B911" t="s">
        <v>564</v>
      </c>
    </row>
    <row r="912" spans="1:2">
      <c r="A912" t="s">
        <v>564</v>
      </c>
      <c r="B912" t="s">
        <v>564</v>
      </c>
    </row>
    <row r="913" spans="1:2">
      <c r="A913" t="s">
        <v>564</v>
      </c>
      <c r="B913" t="s">
        <v>564</v>
      </c>
    </row>
    <row r="914" spans="1:2">
      <c r="A914" t="s">
        <v>564</v>
      </c>
      <c r="B914" t="s">
        <v>564</v>
      </c>
    </row>
    <row r="915" spans="1:2">
      <c r="A915" t="s">
        <v>564</v>
      </c>
      <c r="B915" t="s">
        <v>564</v>
      </c>
    </row>
    <row r="916" spans="1:2">
      <c r="A916" t="s">
        <v>564</v>
      </c>
      <c r="B916" t="s">
        <v>564</v>
      </c>
    </row>
    <row r="917" spans="1:2">
      <c r="A917" t="s">
        <v>564</v>
      </c>
      <c r="B917" t="s">
        <v>564</v>
      </c>
    </row>
    <row r="918" spans="1:2">
      <c r="A918" t="s">
        <v>564</v>
      </c>
      <c r="B918" t="s">
        <v>564</v>
      </c>
    </row>
    <row r="919" spans="1:2">
      <c r="A919" t="s">
        <v>564</v>
      </c>
      <c r="B919" t="s">
        <v>564</v>
      </c>
    </row>
    <row r="920" spans="1:2">
      <c r="A920" t="s">
        <v>564</v>
      </c>
      <c r="B920" t="s">
        <v>564</v>
      </c>
    </row>
    <row r="921" spans="1:2">
      <c r="A921" t="s">
        <v>564</v>
      </c>
      <c r="B921" t="s">
        <v>564</v>
      </c>
    </row>
    <row r="922" spans="1:2">
      <c r="A922" t="s">
        <v>564</v>
      </c>
      <c r="B922" t="s">
        <v>564</v>
      </c>
    </row>
    <row r="923" spans="1:2">
      <c r="A923" t="s">
        <v>564</v>
      </c>
      <c r="B923" t="s">
        <v>564</v>
      </c>
    </row>
    <row r="924" spans="1:2">
      <c r="A924" t="s">
        <v>564</v>
      </c>
      <c r="B924" t="s">
        <v>564</v>
      </c>
    </row>
    <row r="925" spans="1:2">
      <c r="A925" t="s">
        <v>564</v>
      </c>
      <c r="B925" t="s">
        <v>564</v>
      </c>
    </row>
    <row r="926" spans="1:2">
      <c r="A926" t="s">
        <v>564</v>
      </c>
      <c r="B926" t="s">
        <v>564</v>
      </c>
    </row>
    <row r="927" spans="1:2">
      <c r="A927" t="s">
        <v>564</v>
      </c>
      <c r="B927" t="s">
        <v>564</v>
      </c>
    </row>
    <row r="928" spans="1:2">
      <c r="A928" t="s">
        <v>564</v>
      </c>
      <c r="B928" t="s">
        <v>564</v>
      </c>
    </row>
    <row r="929" spans="1:2">
      <c r="A929" t="s">
        <v>564</v>
      </c>
      <c r="B929" t="s">
        <v>564</v>
      </c>
    </row>
    <row r="930" spans="1:2">
      <c r="A930" t="s">
        <v>564</v>
      </c>
      <c r="B930" t="s">
        <v>564</v>
      </c>
    </row>
    <row r="931" spans="1:2">
      <c r="A931" t="s">
        <v>564</v>
      </c>
      <c r="B931" t="s">
        <v>564</v>
      </c>
    </row>
    <row r="932" spans="1:2">
      <c r="A932" t="s">
        <v>564</v>
      </c>
      <c r="B932" t="s">
        <v>564</v>
      </c>
    </row>
    <row r="933" spans="1:2">
      <c r="A933" t="s">
        <v>564</v>
      </c>
      <c r="B933" t="s">
        <v>564</v>
      </c>
    </row>
    <row r="934" spans="1:2">
      <c r="A934" t="s">
        <v>564</v>
      </c>
      <c r="B934" t="s">
        <v>564</v>
      </c>
    </row>
    <row r="935" spans="1:2">
      <c r="A935" t="s">
        <v>564</v>
      </c>
      <c r="B935" t="s">
        <v>564</v>
      </c>
    </row>
    <row r="936" spans="1:2">
      <c r="A936" t="s">
        <v>564</v>
      </c>
      <c r="B936" t="s">
        <v>564</v>
      </c>
    </row>
    <row r="937" spans="1:2">
      <c r="A937" t="s">
        <v>564</v>
      </c>
      <c r="B937" t="s">
        <v>564</v>
      </c>
    </row>
    <row r="938" spans="1:2">
      <c r="A938" t="s">
        <v>564</v>
      </c>
      <c r="B938" t="s">
        <v>564</v>
      </c>
    </row>
    <row r="939" spans="1:2">
      <c r="A939" t="s">
        <v>564</v>
      </c>
      <c r="B939" t="s">
        <v>564</v>
      </c>
    </row>
    <row r="940" spans="1:2">
      <c r="A940" t="s">
        <v>564</v>
      </c>
      <c r="B940" t="s">
        <v>564</v>
      </c>
    </row>
    <row r="941" spans="1:2">
      <c r="A941" t="s">
        <v>564</v>
      </c>
      <c r="B941" t="s">
        <v>564</v>
      </c>
    </row>
    <row r="942" spans="1:2">
      <c r="A942" t="s">
        <v>564</v>
      </c>
      <c r="B942" t="s">
        <v>564</v>
      </c>
    </row>
    <row r="943" spans="1:2">
      <c r="A943" t="s">
        <v>564</v>
      </c>
      <c r="B943" t="s">
        <v>564</v>
      </c>
    </row>
    <row r="944" spans="1:2">
      <c r="A944" t="s">
        <v>564</v>
      </c>
      <c r="B944" t="s">
        <v>564</v>
      </c>
    </row>
    <row r="945" spans="1:2">
      <c r="A945" t="s">
        <v>564</v>
      </c>
      <c r="B945" t="s">
        <v>564</v>
      </c>
    </row>
    <row r="946" spans="1:2">
      <c r="A946" t="s">
        <v>564</v>
      </c>
      <c r="B946" t="s">
        <v>564</v>
      </c>
    </row>
    <row r="947" spans="1:2">
      <c r="A947" t="s">
        <v>564</v>
      </c>
      <c r="B947" t="s">
        <v>564</v>
      </c>
    </row>
    <row r="948" spans="1:2">
      <c r="A948" t="s">
        <v>564</v>
      </c>
      <c r="B948" t="s">
        <v>564</v>
      </c>
    </row>
    <row r="949" spans="1:2">
      <c r="A949" t="s">
        <v>564</v>
      </c>
      <c r="B949" t="s">
        <v>564</v>
      </c>
    </row>
    <row r="950" spans="1:2">
      <c r="A950" t="s">
        <v>564</v>
      </c>
      <c r="B950" t="s">
        <v>564</v>
      </c>
    </row>
    <row r="951" spans="1:2">
      <c r="A951" t="s">
        <v>564</v>
      </c>
      <c r="B951" t="s">
        <v>564</v>
      </c>
    </row>
    <row r="952" spans="1:2">
      <c r="A952" t="s">
        <v>564</v>
      </c>
      <c r="B952" t="s">
        <v>564</v>
      </c>
    </row>
    <row r="953" spans="1:2">
      <c r="A953" t="s">
        <v>564</v>
      </c>
      <c r="B953" t="s">
        <v>564</v>
      </c>
    </row>
    <row r="954" spans="1:2">
      <c r="A954" t="s">
        <v>564</v>
      </c>
      <c r="B954" t="s">
        <v>564</v>
      </c>
    </row>
    <row r="955" spans="1:2">
      <c r="A955" t="s">
        <v>564</v>
      </c>
      <c r="B955" t="s">
        <v>564</v>
      </c>
    </row>
    <row r="956" spans="1:2">
      <c r="A956" t="s">
        <v>564</v>
      </c>
      <c r="B956" t="s">
        <v>564</v>
      </c>
    </row>
    <row r="957" spans="1:2">
      <c r="A957" t="s">
        <v>564</v>
      </c>
      <c r="B957" t="s">
        <v>564</v>
      </c>
    </row>
    <row r="958" spans="1:2">
      <c r="A958" t="s">
        <v>564</v>
      </c>
      <c r="B958" t="s">
        <v>564</v>
      </c>
    </row>
    <row r="959" spans="1:2">
      <c r="A959" t="s">
        <v>564</v>
      </c>
      <c r="B959" t="s">
        <v>564</v>
      </c>
    </row>
    <row r="960" spans="1:2">
      <c r="A960" t="s">
        <v>564</v>
      </c>
      <c r="B960" t="s">
        <v>564</v>
      </c>
    </row>
    <row r="961" spans="1:2">
      <c r="A961" t="s">
        <v>564</v>
      </c>
      <c r="B961" t="s">
        <v>564</v>
      </c>
    </row>
    <row r="962" spans="1:2">
      <c r="A962" t="s">
        <v>564</v>
      </c>
      <c r="B962" t="s">
        <v>564</v>
      </c>
    </row>
    <row r="963" spans="1:2">
      <c r="A963" t="s">
        <v>564</v>
      </c>
      <c r="B963" t="s">
        <v>564</v>
      </c>
    </row>
    <row r="964" spans="1:2">
      <c r="A964" t="s">
        <v>564</v>
      </c>
      <c r="B964" t="s">
        <v>564</v>
      </c>
    </row>
    <row r="965" spans="1:2">
      <c r="A965" t="s">
        <v>564</v>
      </c>
      <c r="B965" t="s">
        <v>564</v>
      </c>
    </row>
    <row r="966" spans="1:2">
      <c r="A966" t="s">
        <v>564</v>
      </c>
      <c r="B966" t="s">
        <v>564</v>
      </c>
    </row>
    <row r="967" spans="1:2">
      <c r="A967" t="s">
        <v>564</v>
      </c>
      <c r="B967" t="s">
        <v>564</v>
      </c>
    </row>
    <row r="968" spans="1:2">
      <c r="A968" t="s">
        <v>564</v>
      </c>
      <c r="B968" t="s">
        <v>564</v>
      </c>
    </row>
    <row r="969" spans="1:2">
      <c r="A969" t="s">
        <v>564</v>
      </c>
      <c r="B969" t="s">
        <v>564</v>
      </c>
    </row>
    <row r="970" spans="1:2">
      <c r="A970" t="s">
        <v>564</v>
      </c>
      <c r="B970" t="s">
        <v>564</v>
      </c>
    </row>
    <row r="971" spans="1:2">
      <c r="A971" t="s">
        <v>564</v>
      </c>
      <c r="B971" t="s">
        <v>564</v>
      </c>
    </row>
    <row r="972" spans="1:2">
      <c r="A972" t="s">
        <v>564</v>
      </c>
      <c r="B972" t="s">
        <v>564</v>
      </c>
    </row>
    <row r="973" spans="1:2">
      <c r="A973" t="s">
        <v>564</v>
      </c>
      <c r="B973" t="s">
        <v>564</v>
      </c>
    </row>
    <row r="974" spans="1:2">
      <c r="A974" t="s">
        <v>564</v>
      </c>
      <c r="B974" t="s">
        <v>564</v>
      </c>
    </row>
    <row r="975" spans="1:2">
      <c r="A975" t="s">
        <v>564</v>
      </c>
      <c r="B975" t="s">
        <v>564</v>
      </c>
    </row>
    <row r="976" spans="1:2">
      <c r="A976" t="s">
        <v>564</v>
      </c>
      <c r="B976" t="s">
        <v>564</v>
      </c>
    </row>
    <row r="977" spans="1:2">
      <c r="A977" t="s">
        <v>564</v>
      </c>
      <c r="B977" t="s">
        <v>564</v>
      </c>
    </row>
    <row r="978" spans="1:2">
      <c r="A978" t="s">
        <v>564</v>
      </c>
      <c r="B978" t="s">
        <v>564</v>
      </c>
    </row>
    <row r="979" spans="1:2">
      <c r="A979" t="s">
        <v>564</v>
      </c>
      <c r="B979" t="s">
        <v>564</v>
      </c>
    </row>
    <row r="980" spans="1:2">
      <c r="A980" t="s">
        <v>564</v>
      </c>
      <c r="B980" t="s">
        <v>564</v>
      </c>
    </row>
    <row r="981" spans="1:2">
      <c r="A981" t="s">
        <v>564</v>
      </c>
      <c r="B981" t="s">
        <v>564</v>
      </c>
    </row>
    <row r="982" spans="1:2">
      <c r="A982" t="s">
        <v>564</v>
      </c>
      <c r="B982" t="s">
        <v>564</v>
      </c>
    </row>
    <row r="983" spans="1:2">
      <c r="A983" t="s">
        <v>564</v>
      </c>
      <c r="B983" t="s">
        <v>564</v>
      </c>
    </row>
    <row r="984" spans="1:2">
      <c r="A984" t="s">
        <v>564</v>
      </c>
      <c r="B984" t="s">
        <v>564</v>
      </c>
    </row>
    <row r="985" spans="1:2">
      <c r="A985" t="s">
        <v>564</v>
      </c>
      <c r="B985" t="s">
        <v>564</v>
      </c>
    </row>
    <row r="986" spans="1:2">
      <c r="A986" t="s">
        <v>564</v>
      </c>
      <c r="B986" t="s">
        <v>564</v>
      </c>
    </row>
    <row r="987" spans="1:2">
      <c r="A987" t="s">
        <v>564</v>
      </c>
      <c r="B987" t="s">
        <v>564</v>
      </c>
    </row>
    <row r="988" spans="1:2">
      <c r="A988" t="s">
        <v>564</v>
      </c>
      <c r="B988" t="s">
        <v>564</v>
      </c>
    </row>
    <row r="989" spans="1:2">
      <c r="A989" t="s">
        <v>564</v>
      </c>
      <c r="B989" t="s">
        <v>564</v>
      </c>
    </row>
    <row r="990" spans="1:2">
      <c r="A990" t="s">
        <v>564</v>
      </c>
      <c r="B990" t="s">
        <v>564</v>
      </c>
    </row>
    <row r="991" spans="1:2">
      <c r="A991" t="s">
        <v>564</v>
      </c>
      <c r="B991" t="s">
        <v>564</v>
      </c>
    </row>
    <row r="992" spans="1:2">
      <c r="A992" t="s">
        <v>564</v>
      </c>
      <c r="B992" t="s">
        <v>564</v>
      </c>
    </row>
    <row r="993" spans="1:2">
      <c r="A993" t="s">
        <v>564</v>
      </c>
      <c r="B993" t="s">
        <v>564</v>
      </c>
    </row>
    <row r="994" spans="1:2">
      <c r="A994" t="s">
        <v>564</v>
      </c>
      <c r="B994" t="s">
        <v>564</v>
      </c>
    </row>
    <row r="995" spans="1:2">
      <c r="A995" t="s">
        <v>564</v>
      </c>
      <c r="B995" t="s">
        <v>564</v>
      </c>
    </row>
    <row r="996" spans="1:2">
      <c r="A996" t="s">
        <v>564</v>
      </c>
      <c r="B996" t="s">
        <v>564</v>
      </c>
    </row>
    <row r="997" spans="1:2">
      <c r="A997" t="s">
        <v>564</v>
      </c>
      <c r="B997" t="s">
        <v>564</v>
      </c>
    </row>
    <row r="998" spans="1:2">
      <c r="A998" t="s">
        <v>564</v>
      </c>
      <c r="B998" t="s">
        <v>564</v>
      </c>
    </row>
    <row r="999" spans="1:2">
      <c r="A999" t="s">
        <v>564</v>
      </c>
      <c r="B999" t="s">
        <v>564</v>
      </c>
    </row>
    <row r="1000" spans="1:2">
      <c r="A1000" t="s">
        <v>564</v>
      </c>
      <c r="B1000" t="s">
        <v>564</v>
      </c>
    </row>
    <row r="1001" spans="1:2">
      <c r="A1001" t="s">
        <v>564</v>
      </c>
      <c r="B1001" t="s">
        <v>564</v>
      </c>
    </row>
    <row r="1002" spans="1:2">
      <c r="A1002" t="s">
        <v>564</v>
      </c>
      <c r="B1002" t="s">
        <v>564</v>
      </c>
    </row>
    <row r="1003" spans="1:2">
      <c r="A1003" t="s">
        <v>564</v>
      </c>
      <c r="B1003" t="s">
        <v>564</v>
      </c>
    </row>
    <row r="1004" spans="1:2">
      <c r="A1004" t="s">
        <v>564</v>
      </c>
      <c r="B1004" t="s">
        <v>564</v>
      </c>
    </row>
    <row r="1005" spans="1:2">
      <c r="A1005" t="s">
        <v>564</v>
      </c>
      <c r="B1005" t="s">
        <v>564</v>
      </c>
    </row>
    <row r="1006" spans="1:2">
      <c r="A1006" t="s">
        <v>564</v>
      </c>
      <c r="B1006" t="s">
        <v>564</v>
      </c>
    </row>
    <row r="1007" spans="1:2">
      <c r="A1007" t="s">
        <v>564</v>
      </c>
      <c r="B1007" t="s">
        <v>564</v>
      </c>
    </row>
    <row r="1008" spans="1:2">
      <c r="A1008" t="s">
        <v>564</v>
      </c>
      <c r="B1008" t="s">
        <v>564</v>
      </c>
    </row>
    <row r="1009" spans="1:2">
      <c r="A1009" t="s">
        <v>564</v>
      </c>
      <c r="B1009" t="s">
        <v>564</v>
      </c>
    </row>
    <row r="1010" spans="1:2">
      <c r="A1010" t="s">
        <v>564</v>
      </c>
      <c r="B1010" t="s">
        <v>564</v>
      </c>
    </row>
    <row r="1011" spans="1:2">
      <c r="A1011" t="s">
        <v>564</v>
      </c>
      <c r="B1011" t="s">
        <v>564</v>
      </c>
    </row>
    <row r="1012" spans="1:2">
      <c r="A1012" t="s">
        <v>564</v>
      </c>
      <c r="B1012" t="s">
        <v>564</v>
      </c>
    </row>
    <row r="1013" spans="1:2">
      <c r="A1013" t="s">
        <v>564</v>
      </c>
      <c r="B1013" t="s">
        <v>564</v>
      </c>
    </row>
    <row r="1014" spans="1:2">
      <c r="A1014" t="s">
        <v>564</v>
      </c>
      <c r="B1014" t="s">
        <v>564</v>
      </c>
    </row>
    <row r="1015" spans="1:2">
      <c r="A1015" t="s">
        <v>564</v>
      </c>
      <c r="B1015" t="s">
        <v>564</v>
      </c>
    </row>
    <row r="1016" spans="1:2">
      <c r="A1016" t="s">
        <v>564</v>
      </c>
      <c r="B1016" t="s">
        <v>564</v>
      </c>
    </row>
    <row r="1017" spans="1:2">
      <c r="A1017" t="s">
        <v>564</v>
      </c>
      <c r="B1017" t="s">
        <v>564</v>
      </c>
    </row>
    <row r="1018" spans="1:2">
      <c r="A1018" t="s">
        <v>564</v>
      </c>
      <c r="B1018" t="s">
        <v>564</v>
      </c>
    </row>
    <row r="1019" spans="1:2">
      <c r="A1019" t="s">
        <v>564</v>
      </c>
      <c r="B1019" t="s">
        <v>564</v>
      </c>
    </row>
    <row r="1020" spans="1:2">
      <c r="A1020" t="s">
        <v>564</v>
      </c>
      <c r="B1020" t="s">
        <v>564</v>
      </c>
    </row>
    <row r="1021" spans="1:2">
      <c r="A1021" t="s">
        <v>564</v>
      </c>
      <c r="B1021" t="s">
        <v>564</v>
      </c>
    </row>
    <row r="1022" spans="1:2">
      <c r="A1022" t="s">
        <v>564</v>
      </c>
      <c r="B1022" t="s">
        <v>564</v>
      </c>
    </row>
    <row r="1023" spans="1:2">
      <c r="A1023" t="s">
        <v>564</v>
      </c>
      <c r="B1023" t="s">
        <v>564</v>
      </c>
    </row>
    <row r="1024" spans="1:2">
      <c r="A1024" t="s">
        <v>564</v>
      </c>
      <c r="B1024" t="s">
        <v>564</v>
      </c>
    </row>
    <row r="1025" spans="1:2">
      <c r="A1025" t="s">
        <v>564</v>
      </c>
      <c r="B1025" t="s">
        <v>564</v>
      </c>
    </row>
    <row r="1026" spans="1:2">
      <c r="A1026" t="s">
        <v>564</v>
      </c>
      <c r="B1026" t="s">
        <v>564</v>
      </c>
    </row>
    <row r="1027" spans="1:2">
      <c r="A1027" t="s">
        <v>564</v>
      </c>
      <c r="B1027" t="s">
        <v>564</v>
      </c>
    </row>
    <row r="1028" spans="1:2">
      <c r="A1028" t="s">
        <v>564</v>
      </c>
      <c r="B1028" t="s">
        <v>564</v>
      </c>
    </row>
    <row r="1029" spans="1:2">
      <c r="A1029" t="s">
        <v>564</v>
      </c>
      <c r="B1029" t="s">
        <v>564</v>
      </c>
    </row>
    <row r="1030" spans="1:2">
      <c r="A1030" t="s">
        <v>564</v>
      </c>
      <c r="B1030" t="s">
        <v>564</v>
      </c>
    </row>
    <row r="1031" spans="1:2">
      <c r="A1031" t="s">
        <v>564</v>
      </c>
      <c r="B1031" t="s">
        <v>564</v>
      </c>
    </row>
    <row r="1032" spans="1:2">
      <c r="A1032" t="s">
        <v>564</v>
      </c>
      <c r="B1032" t="s">
        <v>564</v>
      </c>
    </row>
    <row r="1033" spans="1:2">
      <c r="A1033" t="s">
        <v>564</v>
      </c>
      <c r="B1033" t="s">
        <v>564</v>
      </c>
    </row>
    <row r="1034" spans="1:2">
      <c r="A1034" t="s">
        <v>564</v>
      </c>
      <c r="B1034" t="s">
        <v>564</v>
      </c>
    </row>
    <row r="1035" spans="1:2">
      <c r="A1035" t="s">
        <v>564</v>
      </c>
      <c r="B1035" t="s">
        <v>564</v>
      </c>
    </row>
    <row r="1036" spans="1:2">
      <c r="A1036" t="s">
        <v>564</v>
      </c>
      <c r="B1036" t="s">
        <v>564</v>
      </c>
    </row>
    <row r="1037" spans="1:2">
      <c r="A1037" t="s">
        <v>564</v>
      </c>
      <c r="B1037" t="s">
        <v>564</v>
      </c>
    </row>
    <row r="1038" spans="1:2">
      <c r="A1038" t="s">
        <v>564</v>
      </c>
      <c r="B1038" t="s">
        <v>564</v>
      </c>
    </row>
    <row r="1039" spans="1:2">
      <c r="A1039" t="s">
        <v>564</v>
      </c>
      <c r="B1039" t="s">
        <v>564</v>
      </c>
    </row>
    <row r="1040" spans="1:2">
      <c r="A1040" t="s">
        <v>564</v>
      </c>
      <c r="B1040" t="s">
        <v>564</v>
      </c>
    </row>
    <row r="1041" spans="1:2">
      <c r="A1041" t="s">
        <v>564</v>
      </c>
      <c r="B1041" t="s">
        <v>564</v>
      </c>
    </row>
    <row r="1042" spans="1:2">
      <c r="A1042" t="s">
        <v>564</v>
      </c>
      <c r="B1042" t="s">
        <v>564</v>
      </c>
    </row>
    <row r="1043" spans="1:2">
      <c r="A1043" t="s">
        <v>564</v>
      </c>
      <c r="B1043" t="s">
        <v>564</v>
      </c>
    </row>
    <row r="1044" spans="1:2">
      <c r="A1044" t="s">
        <v>564</v>
      </c>
      <c r="B1044" t="s">
        <v>564</v>
      </c>
    </row>
    <row r="1045" spans="1:2">
      <c r="A1045" t="s">
        <v>564</v>
      </c>
      <c r="B1045" t="s">
        <v>564</v>
      </c>
    </row>
    <row r="1046" spans="1:2">
      <c r="A1046" t="s">
        <v>564</v>
      </c>
      <c r="B1046" t="s">
        <v>564</v>
      </c>
    </row>
    <row r="1047" spans="1:2">
      <c r="A1047" t="s">
        <v>564</v>
      </c>
      <c r="B1047" t="s">
        <v>564</v>
      </c>
    </row>
    <row r="1048" spans="1:2">
      <c r="A1048" t="s">
        <v>564</v>
      </c>
      <c r="B1048" t="s">
        <v>564</v>
      </c>
    </row>
    <row r="1049" spans="1:2">
      <c r="A1049" t="s">
        <v>564</v>
      </c>
      <c r="B1049" t="s">
        <v>564</v>
      </c>
    </row>
    <row r="1050" spans="1:2">
      <c r="A1050" t="s">
        <v>564</v>
      </c>
      <c r="B1050" t="s">
        <v>564</v>
      </c>
    </row>
    <row r="1051" spans="1:2">
      <c r="A1051" t="s">
        <v>564</v>
      </c>
      <c r="B1051" t="s">
        <v>564</v>
      </c>
    </row>
    <row r="1052" spans="1:2">
      <c r="A1052" t="s">
        <v>564</v>
      </c>
      <c r="B1052" t="s">
        <v>564</v>
      </c>
    </row>
    <row r="1053" spans="1:2">
      <c r="A1053" t="s">
        <v>564</v>
      </c>
      <c r="B1053" t="s">
        <v>564</v>
      </c>
    </row>
    <row r="1054" spans="1:2">
      <c r="A1054" t="s">
        <v>564</v>
      </c>
      <c r="B1054" t="s">
        <v>564</v>
      </c>
    </row>
    <row r="1055" spans="1:2">
      <c r="A1055" t="s">
        <v>564</v>
      </c>
      <c r="B1055" t="s">
        <v>564</v>
      </c>
    </row>
    <row r="1056" spans="1:2">
      <c r="A1056" t="s">
        <v>564</v>
      </c>
      <c r="B1056" t="s">
        <v>564</v>
      </c>
    </row>
    <row r="1057" spans="1:2">
      <c r="A1057" t="s">
        <v>564</v>
      </c>
      <c r="B1057" t="s">
        <v>564</v>
      </c>
    </row>
    <row r="1058" spans="1:2">
      <c r="A1058" t="s">
        <v>564</v>
      </c>
      <c r="B1058" t="s">
        <v>564</v>
      </c>
    </row>
    <row r="1059" spans="1:2">
      <c r="A1059" t="s">
        <v>564</v>
      </c>
      <c r="B1059" t="s">
        <v>564</v>
      </c>
    </row>
    <row r="1060" spans="1:2">
      <c r="A1060" t="s">
        <v>564</v>
      </c>
      <c r="B1060" t="s">
        <v>564</v>
      </c>
    </row>
    <row r="1061" spans="1:2">
      <c r="A1061" t="s">
        <v>564</v>
      </c>
      <c r="B1061" t="s">
        <v>564</v>
      </c>
    </row>
    <row r="1062" spans="1:2">
      <c r="A1062" t="s">
        <v>564</v>
      </c>
      <c r="B1062" t="s">
        <v>564</v>
      </c>
    </row>
    <row r="1063" spans="1:2">
      <c r="A1063" t="s">
        <v>564</v>
      </c>
      <c r="B1063" t="s">
        <v>564</v>
      </c>
    </row>
    <row r="1064" spans="1:2">
      <c r="A1064" t="s">
        <v>564</v>
      </c>
      <c r="B1064" t="s">
        <v>564</v>
      </c>
    </row>
    <row r="1065" spans="1:2">
      <c r="A1065" t="s">
        <v>564</v>
      </c>
      <c r="B1065" t="s">
        <v>564</v>
      </c>
    </row>
    <row r="1066" spans="1:2">
      <c r="A1066" t="s">
        <v>564</v>
      </c>
      <c r="B1066" t="s">
        <v>564</v>
      </c>
    </row>
    <row r="1067" spans="1:2">
      <c r="A1067" t="s">
        <v>564</v>
      </c>
      <c r="B1067" t="s">
        <v>564</v>
      </c>
    </row>
    <row r="1068" spans="1:2">
      <c r="A1068" t="s">
        <v>564</v>
      </c>
      <c r="B1068" t="s">
        <v>564</v>
      </c>
    </row>
    <row r="1069" spans="1:2">
      <c r="A1069" t="s">
        <v>564</v>
      </c>
      <c r="B1069" t="s">
        <v>564</v>
      </c>
    </row>
    <row r="1070" spans="1:2">
      <c r="A1070" t="s">
        <v>564</v>
      </c>
      <c r="B1070" t="s">
        <v>564</v>
      </c>
    </row>
    <row r="1071" spans="1:2">
      <c r="A1071" t="s">
        <v>564</v>
      </c>
      <c r="B1071" t="s">
        <v>564</v>
      </c>
    </row>
    <row r="1072" spans="1:2">
      <c r="A1072" t="s">
        <v>564</v>
      </c>
      <c r="B1072" t="s">
        <v>564</v>
      </c>
    </row>
    <row r="1073" spans="1:2">
      <c r="A1073" t="s">
        <v>564</v>
      </c>
      <c r="B1073" t="s">
        <v>564</v>
      </c>
    </row>
    <row r="1074" spans="1:2">
      <c r="A1074" t="s">
        <v>564</v>
      </c>
      <c r="B1074" t="s">
        <v>564</v>
      </c>
    </row>
    <row r="1075" spans="1:2">
      <c r="A1075" t="s">
        <v>564</v>
      </c>
      <c r="B1075" t="s">
        <v>564</v>
      </c>
    </row>
    <row r="1076" spans="1:2">
      <c r="A1076" t="s">
        <v>564</v>
      </c>
      <c r="B1076" t="s">
        <v>564</v>
      </c>
    </row>
    <row r="1077" spans="1:2">
      <c r="A1077" t="s">
        <v>564</v>
      </c>
      <c r="B1077" t="s">
        <v>564</v>
      </c>
    </row>
    <row r="1078" spans="1:2">
      <c r="A1078" t="s">
        <v>564</v>
      </c>
      <c r="B1078" t="s">
        <v>564</v>
      </c>
    </row>
    <row r="1079" spans="1:2">
      <c r="A1079" t="s">
        <v>564</v>
      </c>
      <c r="B1079" t="s">
        <v>564</v>
      </c>
    </row>
    <row r="1080" spans="1:2">
      <c r="A1080" t="s">
        <v>564</v>
      </c>
      <c r="B1080" t="s">
        <v>564</v>
      </c>
    </row>
    <row r="1081" spans="1:2">
      <c r="A1081" t="s">
        <v>564</v>
      </c>
      <c r="B1081" t="s">
        <v>564</v>
      </c>
    </row>
    <row r="1082" spans="1:2">
      <c r="A1082" t="s">
        <v>564</v>
      </c>
      <c r="B1082" t="s">
        <v>564</v>
      </c>
    </row>
    <row r="1083" spans="1:2">
      <c r="A1083" t="s">
        <v>564</v>
      </c>
      <c r="B1083" t="s">
        <v>564</v>
      </c>
    </row>
    <row r="1084" spans="1:2">
      <c r="A1084" t="s">
        <v>564</v>
      </c>
      <c r="B1084" t="s">
        <v>564</v>
      </c>
    </row>
    <row r="1085" spans="1:2">
      <c r="A1085" t="s">
        <v>564</v>
      </c>
      <c r="B1085" t="s">
        <v>564</v>
      </c>
    </row>
    <row r="1086" spans="1:2">
      <c r="A1086" t="s">
        <v>564</v>
      </c>
      <c r="B1086" t="s">
        <v>564</v>
      </c>
    </row>
    <row r="1087" spans="1:2">
      <c r="A1087" t="s">
        <v>564</v>
      </c>
      <c r="B1087" t="s">
        <v>564</v>
      </c>
    </row>
    <row r="1088" spans="1:2">
      <c r="A1088" t="s">
        <v>564</v>
      </c>
      <c r="B1088" t="s">
        <v>564</v>
      </c>
    </row>
    <row r="1089" spans="1:2">
      <c r="A1089" t="s">
        <v>564</v>
      </c>
      <c r="B1089" t="s">
        <v>564</v>
      </c>
    </row>
    <row r="1090" spans="1:2">
      <c r="A1090" t="s">
        <v>564</v>
      </c>
      <c r="B1090" t="s">
        <v>564</v>
      </c>
    </row>
    <row r="1091" spans="1:2">
      <c r="A1091" t="s">
        <v>564</v>
      </c>
      <c r="B1091" t="s">
        <v>564</v>
      </c>
    </row>
    <row r="1092" spans="1:2">
      <c r="A1092" t="s">
        <v>564</v>
      </c>
      <c r="B1092" t="s">
        <v>564</v>
      </c>
    </row>
    <row r="1093" spans="1:2">
      <c r="A1093" t="s">
        <v>564</v>
      </c>
      <c r="B1093" t="s">
        <v>564</v>
      </c>
    </row>
    <row r="1094" spans="1:2">
      <c r="A1094" t="s">
        <v>564</v>
      </c>
      <c r="B1094" t="s">
        <v>564</v>
      </c>
    </row>
    <row r="1095" spans="1:2">
      <c r="A1095" t="s">
        <v>564</v>
      </c>
      <c r="B1095" t="s">
        <v>564</v>
      </c>
    </row>
    <row r="1096" spans="1:2">
      <c r="A1096" t="s">
        <v>564</v>
      </c>
      <c r="B1096" t="s">
        <v>564</v>
      </c>
    </row>
    <row r="1097" spans="1:2">
      <c r="A1097" t="s">
        <v>564</v>
      </c>
      <c r="B1097" t="s">
        <v>564</v>
      </c>
    </row>
    <row r="1098" spans="1:2">
      <c r="A1098" t="s">
        <v>564</v>
      </c>
      <c r="B1098" t="s">
        <v>564</v>
      </c>
    </row>
    <row r="1099" spans="1:2">
      <c r="A1099" t="s">
        <v>564</v>
      </c>
      <c r="B1099" t="s">
        <v>564</v>
      </c>
    </row>
    <row r="1100" spans="1:2">
      <c r="A1100" t="s">
        <v>564</v>
      </c>
      <c r="B1100" t="s">
        <v>564</v>
      </c>
    </row>
    <row r="1101" spans="1:2">
      <c r="A1101" t="s">
        <v>564</v>
      </c>
      <c r="B1101" t="s">
        <v>564</v>
      </c>
    </row>
    <row r="1102" spans="1:2">
      <c r="A1102" t="s">
        <v>564</v>
      </c>
      <c r="B1102" t="s">
        <v>564</v>
      </c>
    </row>
    <row r="1103" spans="1:2">
      <c r="A1103" t="s">
        <v>564</v>
      </c>
      <c r="B1103" t="s">
        <v>564</v>
      </c>
    </row>
    <row r="1104" spans="1:2">
      <c r="A1104" t="s">
        <v>564</v>
      </c>
      <c r="B1104" t="s">
        <v>564</v>
      </c>
    </row>
    <row r="1105" spans="1:2">
      <c r="A1105" t="s">
        <v>564</v>
      </c>
      <c r="B1105" t="s">
        <v>564</v>
      </c>
    </row>
    <row r="1106" spans="1:2">
      <c r="A1106" t="s">
        <v>564</v>
      </c>
      <c r="B1106" t="s">
        <v>564</v>
      </c>
    </row>
    <row r="1107" spans="1:2">
      <c r="A1107" t="s">
        <v>564</v>
      </c>
      <c r="B1107" t="s">
        <v>564</v>
      </c>
    </row>
    <row r="1108" spans="1:2">
      <c r="A1108" t="s">
        <v>564</v>
      </c>
      <c r="B1108" t="s">
        <v>564</v>
      </c>
    </row>
    <row r="1109" spans="1:2">
      <c r="A1109" t="s">
        <v>564</v>
      </c>
      <c r="B1109" t="s">
        <v>564</v>
      </c>
    </row>
    <row r="1110" spans="1:2">
      <c r="A1110" t="s">
        <v>564</v>
      </c>
      <c r="B1110" t="s">
        <v>564</v>
      </c>
    </row>
    <row r="1111" spans="1:2">
      <c r="A1111" t="s">
        <v>564</v>
      </c>
      <c r="B1111" t="s">
        <v>564</v>
      </c>
    </row>
    <row r="1112" spans="1:2">
      <c r="A1112" t="s">
        <v>564</v>
      </c>
      <c r="B1112" t="s">
        <v>564</v>
      </c>
    </row>
    <row r="1113" spans="1:2">
      <c r="A1113" t="s">
        <v>564</v>
      </c>
      <c r="B1113" t="s">
        <v>564</v>
      </c>
    </row>
    <row r="1114" spans="1:2">
      <c r="A1114" t="s">
        <v>564</v>
      </c>
      <c r="B1114" t="s">
        <v>564</v>
      </c>
    </row>
    <row r="1115" spans="1:2">
      <c r="A1115" t="s">
        <v>564</v>
      </c>
      <c r="B1115" t="s">
        <v>564</v>
      </c>
    </row>
    <row r="1116" spans="1:2">
      <c r="A1116" t="s">
        <v>564</v>
      </c>
      <c r="B1116" t="s">
        <v>564</v>
      </c>
    </row>
    <row r="1117" spans="1:2">
      <c r="A1117" t="s">
        <v>564</v>
      </c>
      <c r="B1117" t="s">
        <v>564</v>
      </c>
    </row>
    <row r="1118" spans="1:2">
      <c r="A1118" t="s">
        <v>564</v>
      </c>
      <c r="B1118" t="s">
        <v>564</v>
      </c>
    </row>
    <row r="1119" spans="1:2">
      <c r="A1119" t="s">
        <v>564</v>
      </c>
      <c r="B1119" t="s">
        <v>564</v>
      </c>
    </row>
    <row r="1120" spans="1:2">
      <c r="A1120" t="s">
        <v>564</v>
      </c>
      <c r="B1120" t="s">
        <v>564</v>
      </c>
    </row>
    <row r="1121" spans="1:2">
      <c r="A1121" t="s">
        <v>564</v>
      </c>
      <c r="B1121" t="s">
        <v>564</v>
      </c>
    </row>
    <row r="1122" spans="1:2">
      <c r="A1122" t="s">
        <v>564</v>
      </c>
      <c r="B1122" t="s">
        <v>564</v>
      </c>
    </row>
    <row r="1123" spans="1:2">
      <c r="A1123" t="s">
        <v>564</v>
      </c>
      <c r="B1123" t="s">
        <v>564</v>
      </c>
    </row>
    <row r="1124" spans="1:2">
      <c r="A1124" t="s">
        <v>564</v>
      </c>
      <c r="B1124" t="s">
        <v>564</v>
      </c>
    </row>
    <row r="1125" spans="1:2">
      <c r="A1125" t="s">
        <v>564</v>
      </c>
      <c r="B1125" t="s">
        <v>564</v>
      </c>
    </row>
    <row r="1126" spans="1:2">
      <c r="A1126" t="s">
        <v>564</v>
      </c>
      <c r="B1126" t="s">
        <v>564</v>
      </c>
    </row>
    <row r="1127" spans="1:2">
      <c r="A1127" t="s">
        <v>564</v>
      </c>
      <c r="B1127" t="s">
        <v>564</v>
      </c>
    </row>
    <row r="1128" spans="1:2">
      <c r="A1128" t="s">
        <v>564</v>
      </c>
      <c r="B1128" t="s">
        <v>564</v>
      </c>
    </row>
    <row r="1129" spans="1:2">
      <c r="A1129" t="s">
        <v>564</v>
      </c>
      <c r="B1129" t="s">
        <v>564</v>
      </c>
    </row>
    <row r="1130" spans="1:2">
      <c r="A1130" t="s">
        <v>564</v>
      </c>
      <c r="B1130" t="s">
        <v>564</v>
      </c>
    </row>
    <row r="1131" spans="1:2">
      <c r="A1131" t="s">
        <v>564</v>
      </c>
      <c r="B1131" t="s">
        <v>564</v>
      </c>
    </row>
    <row r="1132" spans="1:2">
      <c r="A1132" t="s">
        <v>564</v>
      </c>
      <c r="B1132" t="s">
        <v>564</v>
      </c>
    </row>
    <row r="1133" spans="1:2">
      <c r="A1133" t="s">
        <v>564</v>
      </c>
      <c r="B1133" t="s">
        <v>564</v>
      </c>
    </row>
    <row r="1134" spans="1:2">
      <c r="A1134" t="s">
        <v>564</v>
      </c>
      <c r="B1134" t="s">
        <v>564</v>
      </c>
    </row>
    <row r="1135" spans="1:2">
      <c r="A1135" t="s">
        <v>564</v>
      </c>
      <c r="B1135" t="s">
        <v>564</v>
      </c>
    </row>
    <row r="1136" spans="1:2">
      <c r="A1136" t="s">
        <v>564</v>
      </c>
      <c r="B1136" t="s">
        <v>564</v>
      </c>
    </row>
    <row r="1137" spans="1:2">
      <c r="A1137" t="s">
        <v>564</v>
      </c>
      <c r="B1137" t="s">
        <v>564</v>
      </c>
    </row>
    <row r="1138" spans="1:2">
      <c r="A1138" t="s">
        <v>564</v>
      </c>
      <c r="B1138" t="s">
        <v>564</v>
      </c>
    </row>
    <row r="1139" spans="1:2">
      <c r="A1139" t="s">
        <v>564</v>
      </c>
      <c r="B1139" t="s">
        <v>564</v>
      </c>
    </row>
    <row r="1140" spans="1:2">
      <c r="A1140" t="s">
        <v>564</v>
      </c>
      <c r="B1140" t="s">
        <v>564</v>
      </c>
    </row>
    <row r="1141" spans="1:2">
      <c r="A1141" t="s">
        <v>564</v>
      </c>
      <c r="B1141" t="s">
        <v>564</v>
      </c>
    </row>
    <row r="1142" spans="1:2">
      <c r="A1142" t="s">
        <v>564</v>
      </c>
      <c r="B1142" t="s">
        <v>564</v>
      </c>
    </row>
    <row r="1143" spans="1:2">
      <c r="A1143" t="s">
        <v>564</v>
      </c>
      <c r="B1143" t="s">
        <v>564</v>
      </c>
    </row>
    <row r="1144" spans="1:2">
      <c r="A1144" t="s">
        <v>564</v>
      </c>
      <c r="B1144" t="s">
        <v>564</v>
      </c>
    </row>
    <row r="1145" spans="1:2">
      <c r="A1145" t="s">
        <v>564</v>
      </c>
      <c r="B1145" t="s">
        <v>564</v>
      </c>
    </row>
    <row r="1146" spans="1:2">
      <c r="A1146" t="s">
        <v>564</v>
      </c>
      <c r="B1146" t="s">
        <v>564</v>
      </c>
    </row>
    <row r="1147" spans="1:2">
      <c r="A1147" t="s">
        <v>564</v>
      </c>
      <c r="B1147" t="s">
        <v>564</v>
      </c>
    </row>
    <row r="1148" spans="1:2">
      <c r="A1148" t="s">
        <v>564</v>
      </c>
      <c r="B1148" t="s">
        <v>564</v>
      </c>
    </row>
    <row r="1149" spans="1:2">
      <c r="A1149" t="s">
        <v>564</v>
      </c>
      <c r="B1149" t="s">
        <v>564</v>
      </c>
    </row>
    <row r="1150" spans="1:2">
      <c r="A1150" t="s">
        <v>564</v>
      </c>
      <c r="B1150" t="s">
        <v>564</v>
      </c>
    </row>
    <row r="1151" spans="1:2">
      <c r="A1151" t="s">
        <v>564</v>
      </c>
      <c r="B1151" t="s">
        <v>564</v>
      </c>
    </row>
    <row r="1152" spans="1:2">
      <c r="A1152" t="s">
        <v>564</v>
      </c>
      <c r="B1152" t="s">
        <v>564</v>
      </c>
    </row>
    <row r="1153" spans="1:2">
      <c r="A1153" t="s">
        <v>564</v>
      </c>
      <c r="B1153" t="s">
        <v>564</v>
      </c>
    </row>
    <row r="1154" spans="1:2">
      <c r="A1154" t="s">
        <v>564</v>
      </c>
      <c r="B1154" t="s">
        <v>564</v>
      </c>
    </row>
    <row r="1155" spans="1:2">
      <c r="A1155" t="s">
        <v>564</v>
      </c>
      <c r="B1155" t="s">
        <v>564</v>
      </c>
    </row>
    <row r="1156" spans="1:2">
      <c r="A1156" t="s">
        <v>564</v>
      </c>
      <c r="B1156" t="s">
        <v>564</v>
      </c>
    </row>
    <row r="1157" spans="1:2">
      <c r="A1157" t="s">
        <v>564</v>
      </c>
      <c r="B1157" t="s">
        <v>564</v>
      </c>
    </row>
    <row r="1158" spans="1:2">
      <c r="A1158" t="s">
        <v>564</v>
      </c>
      <c r="B1158" t="s">
        <v>564</v>
      </c>
    </row>
    <row r="1159" spans="1:2">
      <c r="A1159" t="s">
        <v>564</v>
      </c>
      <c r="B1159" t="s">
        <v>564</v>
      </c>
    </row>
    <row r="1160" spans="1:2">
      <c r="A1160" t="s">
        <v>564</v>
      </c>
      <c r="B1160" t="s">
        <v>564</v>
      </c>
    </row>
    <row r="1161" spans="1:2">
      <c r="A1161" t="s">
        <v>564</v>
      </c>
      <c r="B1161" t="s">
        <v>564</v>
      </c>
    </row>
    <row r="1162" spans="1:2">
      <c r="A1162" t="s">
        <v>564</v>
      </c>
      <c r="B1162" t="s">
        <v>564</v>
      </c>
    </row>
    <row r="1163" spans="1:2">
      <c r="A1163" t="s">
        <v>564</v>
      </c>
      <c r="B1163" t="s">
        <v>564</v>
      </c>
    </row>
    <row r="1164" spans="1:2">
      <c r="A1164" t="s">
        <v>564</v>
      </c>
      <c r="B1164" t="s">
        <v>564</v>
      </c>
    </row>
    <row r="1165" spans="1:2">
      <c r="A1165" t="s">
        <v>564</v>
      </c>
      <c r="B1165" t="s">
        <v>564</v>
      </c>
    </row>
    <row r="1166" spans="1:2">
      <c r="A1166" t="s">
        <v>564</v>
      </c>
      <c r="B1166" t="s">
        <v>564</v>
      </c>
    </row>
    <row r="1167" spans="1:2">
      <c r="A1167" t="s">
        <v>564</v>
      </c>
      <c r="B1167" t="s">
        <v>564</v>
      </c>
    </row>
    <row r="1168" spans="1:2">
      <c r="A1168" t="s">
        <v>564</v>
      </c>
      <c r="B1168" t="s">
        <v>564</v>
      </c>
    </row>
    <row r="1169" spans="1:2">
      <c r="A1169" t="s">
        <v>564</v>
      </c>
      <c r="B1169" t="s">
        <v>564</v>
      </c>
    </row>
    <row r="1170" spans="1:2">
      <c r="A1170" t="s">
        <v>564</v>
      </c>
      <c r="B1170" t="s">
        <v>564</v>
      </c>
    </row>
    <row r="1171" spans="1:2">
      <c r="A1171" t="s">
        <v>564</v>
      </c>
      <c r="B1171" t="s">
        <v>564</v>
      </c>
    </row>
    <row r="1172" spans="1:2">
      <c r="A1172" t="s">
        <v>564</v>
      </c>
      <c r="B1172" t="s">
        <v>564</v>
      </c>
    </row>
    <row r="1173" spans="1:2">
      <c r="A1173" t="s">
        <v>564</v>
      </c>
      <c r="B1173" t="s">
        <v>564</v>
      </c>
    </row>
    <row r="1174" spans="1:2">
      <c r="A1174" t="s">
        <v>564</v>
      </c>
      <c r="B1174" t="s">
        <v>564</v>
      </c>
    </row>
    <row r="1175" spans="1:2">
      <c r="A1175" t="s">
        <v>564</v>
      </c>
      <c r="B1175" t="s">
        <v>564</v>
      </c>
    </row>
    <row r="1176" spans="1:2">
      <c r="A1176" t="s">
        <v>564</v>
      </c>
      <c r="B1176" t="s">
        <v>564</v>
      </c>
    </row>
    <row r="1177" spans="1:2">
      <c r="A1177" t="s">
        <v>564</v>
      </c>
      <c r="B1177" t="s">
        <v>564</v>
      </c>
    </row>
    <row r="1178" spans="1:2">
      <c r="A1178" t="s">
        <v>564</v>
      </c>
      <c r="B1178" t="s">
        <v>564</v>
      </c>
    </row>
    <row r="1179" spans="1:2">
      <c r="A1179" t="s">
        <v>564</v>
      </c>
      <c r="B1179" t="s">
        <v>564</v>
      </c>
    </row>
    <row r="1180" spans="1:2">
      <c r="A1180" t="s">
        <v>564</v>
      </c>
      <c r="B1180" t="s">
        <v>564</v>
      </c>
    </row>
    <row r="1181" spans="1:2">
      <c r="A1181" t="s">
        <v>564</v>
      </c>
      <c r="B1181" t="s">
        <v>564</v>
      </c>
    </row>
    <row r="1182" spans="1:2">
      <c r="A1182" t="s">
        <v>564</v>
      </c>
      <c r="B1182" t="s">
        <v>564</v>
      </c>
    </row>
    <row r="1183" spans="1:2">
      <c r="A1183" t="s">
        <v>564</v>
      </c>
      <c r="B1183" t="s">
        <v>564</v>
      </c>
    </row>
    <row r="1184" spans="1:2">
      <c r="A1184" t="s">
        <v>564</v>
      </c>
      <c r="B1184" t="s">
        <v>564</v>
      </c>
    </row>
    <row r="1185" spans="1:2">
      <c r="A1185" t="s">
        <v>564</v>
      </c>
      <c r="B1185" t="s">
        <v>564</v>
      </c>
    </row>
    <row r="1186" spans="1:2">
      <c r="A1186" t="s">
        <v>564</v>
      </c>
      <c r="B1186" t="s">
        <v>564</v>
      </c>
    </row>
    <row r="1187" spans="1:2">
      <c r="A1187" t="s">
        <v>564</v>
      </c>
      <c r="B1187" t="s">
        <v>564</v>
      </c>
    </row>
    <row r="1188" spans="1:2">
      <c r="A1188" t="s">
        <v>564</v>
      </c>
      <c r="B1188" t="s">
        <v>564</v>
      </c>
    </row>
    <row r="1189" spans="1:2">
      <c r="A1189" t="s">
        <v>564</v>
      </c>
      <c r="B1189" t="s">
        <v>564</v>
      </c>
    </row>
    <row r="1190" spans="1:2">
      <c r="A1190" t="s">
        <v>564</v>
      </c>
      <c r="B1190" t="s">
        <v>564</v>
      </c>
    </row>
    <row r="1191" spans="1:2">
      <c r="A1191" t="s">
        <v>564</v>
      </c>
      <c r="B1191" t="s">
        <v>564</v>
      </c>
    </row>
    <row r="1192" spans="1:2">
      <c r="A1192" t="s">
        <v>564</v>
      </c>
      <c r="B1192" t="s">
        <v>564</v>
      </c>
    </row>
    <row r="1193" spans="1:2">
      <c r="A1193" t="s">
        <v>564</v>
      </c>
      <c r="B1193" t="s">
        <v>564</v>
      </c>
    </row>
    <row r="1194" spans="1:2">
      <c r="A1194" t="s">
        <v>564</v>
      </c>
      <c r="B1194" t="s">
        <v>564</v>
      </c>
    </row>
    <row r="1195" spans="1:2">
      <c r="A1195" t="s">
        <v>564</v>
      </c>
      <c r="B1195" t="s">
        <v>564</v>
      </c>
    </row>
    <row r="1196" spans="1:2">
      <c r="A1196" t="s">
        <v>564</v>
      </c>
      <c r="B1196" t="s">
        <v>564</v>
      </c>
    </row>
    <row r="1197" spans="1:2">
      <c r="A1197" t="s">
        <v>564</v>
      </c>
      <c r="B1197" t="s">
        <v>564</v>
      </c>
    </row>
    <row r="1198" spans="1:2">
      <c r="A1198" t="s">
        <v>564</v>
      </c>
      <c r="B1198" t="s">
        <v>564</v>
      </c>
    </row>
    <row r="1199" spans="1:2">
      <c r="A1199" t="s">
        <v>564</v>
      </c>
      <c r="B1199" t="s">
        <v>564</v>
      </c>
    </row>
    <row r="1200" spans="1:2">
      <c r="A1200" t="s">
        <v>564</v>
      </c>
      <c r="B1200" t="s">
        <v>564</v>
      </c>
    </row>
    <row r="1201" spans="1:2">
      <c r="A1201" t="s">
        <v>564</v>
      </c>
      <c r="B1201" t="s">
        <v>564</v>
      </c>
    </row>
    <row r="1202" spans="1:2">
      <c r="A1202" t="s">
        <v>564</v>
      </c>
      <c r="B1202" t="s">
        <v>564</v>
      </c>
    </row>
    <row r="1203" spans="1:2">
      <c r="A1203" t="s">
        <v>564</v>
      </c>
      <c r="B1203" t="s">
        <v>564</v>
      </c>
    </row>
    <row r="1204" spans="1:2">
      <c r="A1204" t="s">
        <v>564</v>
      </c>
      <c r="B1204" t="s">
        <v>564</v>
      </c>
    </row>
    <row r="1205" spans="1:2">
      <c r="A1205" t="s">
        <v>564</v>
      </c>
      <c r="B1205" t="s">
        <v>564</v>
      </c>
    </row>
    <row r="1206" spans="1:2">
      <c r="A1206" t="s">
        <v>564</v>
      </c>
      <c r="B1206" t="s">
        <v>564</v>
      </c>
    </row>
    <row r="1207" spans="1:2">
      <c r="A1207" t="s">
        <v>564</v>
      </c>
      <c r="B1207" t="s">
        <v>564</v>
      </c>
    </row>
    <row r="1208" spans="1:2">
      <c r="A1208" t="s">
        <v>564</v>
      </c>
      <c r="B1208" t="s">
        <v>564</v>
      </c>
    </row>
    <row r="1209" spans="1:2">
      <c r="A1209" t="s">
        <v>564</v>
      </c>
      <c r="B1209" t="s">
        <v>564</v>
      </c>
    </row>
    <row r="1210" spans="1:2">
      <c r="A1210" t="s">
        <v>564</v>
      </c>
      <c r="B1210" t="s">
        <v>564</v>
      </c>
    </row>
    <row r="1211" spans="1:2">
      <c r="A1211" t="s">
        <v>564</v>
      </c>
      <c r="B1211" t="s">
        <v>564</v>
      </c>
    </row>
    <row r="1212" spans="1:2">
      <c r="A1212" t="s">
        <v>564</v>
      </c>
      <c r="B1212" t="s">
        <v>564</v>
      </c>
    </row>
    <row r="1213" spans="1:2">
      <c r="A1213" t="s">
        <v>564</v>
      </c>
      <c r="B1213" t="s">
        <v>564</v>
      </c>
    </row>
    <row r="1214" spans="1:2">
      <c r="A1214" t="s">
        <v>564</v>
      </c>
      <c r="B1214" t="s">
        <v>564</v>
      </c>
    </row>
    <row r="1215" spans="1:2">
      <c r="A1215" t="s">
        <v>564</v>
      </c>
      <c r="B1215" t="s">
        <v>564</v>
      </c>
    </row>
    <row r="1216" spans="1:2">
      <c r="A1216" t="s">
        <v>564</v>
      </c>
      <c r="B1216" t="s">
        <v>564</v>
      </c>
    </row>
    <row r="1217" spans="1:2">
      <c r="A1217" t="s">
        <v>564</v>
      </c>
      <c r="B1217" t="s">
        <v>564</v>
      </c>
    </row>
    <row r="1218" spans="1:2">
      <c r="A1218" t="s">
        <v>564</v>
      </c>
      <c r="B1218" t="s">
        <v>564</v>
      </c>
    </row>
    <row r="1219" spans="1:2">
      <c r="A1219" t="s">
        <v>564</v>
      </c>
      <c r="B1219" t="s">
        <v>564</v>
      </c>
    </row>
    <row r="1220" spans="1:2">
      <c r="A1220" t="s">
        <v>564</v>
      </c>
      <c r="B1220" t="s">
        <v>564</v>
      </c>
    </row>
    <row r="1221" spans="1:2">
      <c r="A1221" t="s">
        <v>564</v>
      </c>
      <c r="B1221" t="s">
        <v>564</v>
      </c>
    </row>
    <row r="1222" spans="1:2">
      <c r="A1222" t="s">
        <v>564</v>
      </c>
      <c r="B1222" t="s">
        <v>564</v>
      </c>
    </row>
    <row r="1223" spans="1:2">
      <c r="A1223" t="s">
        <v>564</v>
      </c>
      <c r="B1223" t="s">
        <v>564</v>
      </c>
    </row>
    <row r="1224" spans="1:2">
      <c r="A1224" t="s">
        <v>564</v>
      </c>
      <c r="B1224" t="s">
        <v>564</v>
      </c>
    </row>
    <row r="1225" spans="1:2">
      <c r="A1225" t="s">
        <v>564</v>
      </c>
      <c r="B1225" t="s">
        <v>564</v>
      </c>
    </row>
    <row r="1226" spans="1:2">
      <c r="A1226" t="s">
        <v>564</v>
      </c>
      <c r="B1226" t="s">
        <v>564</v>
      </c>
    </row>
    <row r="1227" spans="1:2">
      <c r="A1227" t="s">
        <v>564</v>
      </c>
      <c r="B1227" t="s">
        <v>564</v>
      </c>
    </row>
    <row r="1228" spans="1:2">
      <c r="A1228" t="s">
        <v>564</v>
      </c>
      <c r="B1228" t="s">
        <v>564</v>
      </c>
    </row>
    <row r="1229" spans="1:2">
      <c r="A1229" t="s">
        <v>564</v>
      </c>
      <c r="B1229" t="s">
        <v>564</v>
      </c>
    </row>
    <row r="1230" spans="1:2">
      <c r="A1230" t="s">
        <v>564</v>
      </c>
      <c r="B1230" t="s">
        <v>564</v>
      </c>
    </row>
    <row r="1231" spans="1:2">
      <c r="A1231" t="s">
        <v>564</v>
      </c>
      <c r="B1231" t="s">
        <v>564</v>
      </c>
    </row>
    <row r="1232" spans="1:2">
      <c r="A1232" t="s">
        <v>564</v>
      </c>
      <c r="B1232" t="s">
        <v>564</v>
      </c>
    </row>
    <row r="1233" spans="1:2">
      <c r="A1233" t="s">
        <v>564</v>
      </c>
      <c r="B1233" t="s">
        <v>564</v>
      </c>
    </row>
    <row r="1234" spans="1:2">
      <c r="A1234" t="s">
        <v>564</v>
      </c>
      <c r="B1234" t="s">
        <v>564</v>
      </c>
    </row>
    <row r="1235" spans="1:2">
      <c r="A1235" t="s">
        <v>564</v>
      </c>
      <c r="B1235" t="s">
        <v>564</v>
      </c>
    </row>
    <row r="1236" spans="1:2">
      <c r="A1236" t="s">
        <v>564</v>
      </c>
      <c r="B1236" t="s">
        <v>564</v>
      </c>
    </row>
    <row r="1237" spans="1:2">
      <c r="A1237" t="s">
        <v>564</v>
      </c>
      <c r="B1237" t="s">
        <v>564</v>
      </c>
    </row>
    <row r="1238" spans="1:2">
      <c r="A1238" t="s">
        <v>564</v>
      </c>
      <c r="B1238" t="s">
        <v>564</v>
      </c>
    </row>
    <row r="1239" spans="1:2">
      <c r="A1239" t="s">
        <v>564</v>
      </c>
      <c r="B1239" t="s">
        <v>564</v>
      </c>
    </row>
    <row r="1240" spans="1:2">
      <c r="A1240" t="s">
        <v>564</v>
      </c>
      <c r="B1240" t="s">
        <v>564</v>
      </c>
    </row>
    <row r="1241" spans="1:2">
      <c r="A1241" t="s">
        <v>564</v>
      </c>
      <c r="B1241" t="s">
        <v>564</v>
      </c>
    </row>
    <row r="1242" spans="1:2">
      <c r="A1242" t="s">
        <v>564</v>
      </c>
      <c r="B1242" t="s">
        <v>564</v>
      </c>
    </row>
    <row r="1243" spans="1:2">
      <c r="A1243" t="s">
        <v>564</v>
      </c>
      <c r="B1243" t="s">
        <v>564</v>
      </c>
    </row>
    <row r="1244" spans="1:2">
      <c r="A1244" t="s">
        <v>564</v>
      </c>
      <c r="B1244" t="s">
        <v>564</v>
      </c>
    </row>
    <row r="1245" spans="1:2">
      <c r="A1245" t="s">
        <v>564</v>
      </c>
      <c r="B1245" t="s">
        <v>564</v>
      </c>
    </row>
    <row r="1246" spans="1:2">
      <c r="A1246" t="s">
        <v>564</v>
      </c>
      <c r="B1246" t="s">
        <v>564</v>
      </c>
    </row>
    <row r="1247" spans="1:2">
      <c r="A1247" t="s">
        <v>564</v>
      </c>
      <c r="B1247" t="s">
        <v>564</v>
      </c>
    </row>
    <row r="1248" spans="1:2">
      <c r="A1248" t="s">
        <v>564</v>
      </c>
      <c r="B1248" t="s">
        <v>564</v>
      </c>
    </row>
    <row r="1249" spans="1:2">
      <c r="A1249" t="s">
        <v>564</v>
      </c>
      <c r="B1249" t="s">
        <v>564</v>
      </c>
    </row>
    <row r="1250" spans="1:2">
      <c r="A1250" t="s">
        <v>564</v>
      </c>
      <c r="B1250" t="s">
        <v>564</v>
      </c>
    </row>
    <row r="1251" spans="1:2">
      <c r="A1251" t="s">
        <v>564</v>
      </c>
      <c r="B1251" t="s">
        <v>564</v>
      </c>
    </row>
    <row r="1252" spans="1:2">
      <c r="A1252" t="s">
        <v>564</v>
      </c>
      <c r="B1252" t="s">
        <v>564</v>
      </c>
    </row>
    <row r="1253" spans="1:2">
      <c r="A1253" t="s">
        <v>564</v>
      </c>
      <c r="B1253" t="s">
        <v>564</v>
      </c>
    </row>
    <row r="1254" spans="1:2">
      <c r="A1254" t="s">
        <v>564</v>
      </c>
      <c r="B1254" t="s">
        <v>564</v>
      </c>
    </row>
    <row r="1255" spans="1:2">
      <c r="A1255" t="s">
        <v>564</v>
      </c>
      <c r="B1255" t="s">
        <v>564</v>
      </c>
    </row>
    <row r="1256" spans="1:2">
      <c r="A1256" t="s">
        <v>564</v>
      </c>
      <c r="B1256" t="s">
        <v>564</v>
      </c>
    </row>
    <row r="1257" spans="1:2">
      <c r="A1257" t="s">
        <v>564</v>
      </c>
      <c r="B1257" t="s">
        <v>564</v>
      </c>
    </row>
    <row r="1258" spans="1:2">
      <c r="A1258" t="s">
        <v>564</v>
      </c>
      <c r="B1258" t="s">
        <v>564</v>
      </c>
    </row>
    <row r="1259" spans="1:2">
      <c r="A1259" t="s">
        <v>564</v>
      </c>
      <c r="B1259" t="s">
        <v>564</v>
      </c>
    </row>
    <row r="1260" spans="1:2">
      <c r="A1260" t="s">
        <v>564</v>
      </c>
      <c r="B1260" t="s">
        <v>564</v>
      </c>
    </row>
    <row r="1261" spans="1:2">
      <c r="A1261" t="s">
        <v>564</v>
      </c>
      <c r="B1261" t="s">
        <v>564</v>
      </c>
    </row>
    <row r="1262" spans="1:2">
      <c r="A1262" t="s">
        <v>564</v>
      </c>
      <c r="B1262" t="s">
        <v>564</v>
      </c>
    </row>
    <row r="1263" spans="1:2">
      <c r="A1263" t="s">
        <v>564</v>
      </c>
      <c r="B1263" t="s">
        <v>564</v>
      </c>
    </row>
    <row r="1264" spans="1:2">
      <c r="A1264" t="s">
        <v>564</v>
      </c>
      <c r="B1264" t="s">
        <v>564</v>
      </c>
    </row>
    <row r="1265" spans="1:2">
      <c r="A1265" t="s">
        <v>564</v>
      </c>
      <c r="B1265" t="s">
        <v>564</v>
      </c>
    </row>
    <row r="1266" spans="1:2">
      <c r="A1266" t="s">
        <v>564</v>
      </c>
      <c r="B1266" t="s">
        <v>564</v>
      </c>
    </row>
    <row r="1267" spans="1:2">
      <c r="A1267" t="s">
        <v>564</v>
      </c>
      <c r="B1267" t="s">
        <v>564</v>
      </c>
    </row>
    <row r="1268" spans="1:2">
      <c r="A1268" t="s">
        <v>564</v>
      </c>
      <c r="B1268" t="s">
        <v>564</v>
      </c>
    </row>
    <row r="1269" spans="1:2">
      <c r="A1269" t="s">
        <v>564</v>
      </c>
      <c r="B1269" t="s">
        <v>564</v>
      </c>
    </row>
    <row r="1270" spans="1:2">
      <c r="A1270" t="s">
        <v>564</v>
      </c>
      <c r="B1270" t="s">
        <v>564</v>
      </c>
    </row>
    <row r="1271" spans="1:2">
      <c r="A1271" t="s">
        <v>564</v>
      </c>
      <c r="B1271" t="s">
        <v>564</v>
      </c>
    </row>
    <row r="1272" spans="1:2">
      <c r="A1272" t="s">
        <v>564</v>
      </c>
      <c r="B1272" t="s">
        <v>564</v>
      </c>
    </row>
    <row r="1273" spans="1:2">
      <c r="A1273" t="s">
        <v>564</v>
      </c>
      <c r="B1273" t="s">
        <v>564</v>
      </c>
    </row>
    <row r="1274" spans="1:2">
      <c r="A1274" t="s">
        <v>564</v>
      </c>
      <c r="B1274" t="s">
        <v>564</v>
      </c>
    </row>
    <row r="1275" spans="1:2">
      <c r="A1275" t="s">
        <v>564</v>
      </c>
      <c r="B1275" t="s">
        <v>564</v>
      </c>
    </row>
  </sheetData>
  <autoFilter ref="A1:U1275"/>
  <sortState ref="A2:B207">
    <sortCondition ref="A2:A207"/>
  </sortState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N67"/>
  <sheetViews>
    <sheetView topLeftCell="C34" zoomScaleNormal="100" workbookViewId="0">
      <selection activeCell="L2" sqref="L2:N61"/>
    </sheetView>
  </sheetViews>
  <sheetFormatPr defaultRowHeight="15"/>
  <cols>
    <col min="1" max="1" width="10.140625" bestFit="1" customWidth="1"/>
    <col min="2" max="2" width="33.140625" bestFit="1" customWidth="1"/>
    <col min="3" max="3" width="10.5703125" bestFit="1" customWidth="1"/>
    <col min="4" max="4" width="40.7109375" bestFit="1" customWidth="1"/>
    <col min="12" max="12" width="10.140625" bestFit="1" customWidth="1"/>
    <col min="13" max="13" width="33.140625" bestFit="1" customWidth="1"/>
  </cols>
  <sheetData>
    <row r="2" spans="1:14">
      <c r="A2" t="s">
        <v>269</v>
      </c>
      <c r="B2" t="s">
        <v>270</v>
      </c>
      <c r="C2" t="s">
        <v>271</v>
      </c>
      <c r="D2" t="s">
        <v>272</v>
      </c>
      <c r="E2">
        <v>20171</v>
      </c>
      <c r="F2" t="s">
        <v>14</v>
      </c>
      <c r="G2" t="s">
        <v>150</v>
      </c>
      <c r="L2" t="s">
        <v>269</v>
      </c>
      <c r="M2" t="s">
        <v>270</v>
      </c>
      <c r="N2">
        <v>6</v>
      </c>
    </row>
    <row r="3" spans="1:14">
      <c r="A3" t="s">
        <v>269</v>
      </c>
      <c r="B3" t="s">
        <v>270</v>
      </c>
      <c r="C3" t="s">
        <v>277</v>
      </c>
      <c r="D3" t="s">
        <v>278</v>
      </c>
      <c r="E3">
        <v>20171</v>
      </c>
      <c r="F3" t="s">
        <v>14</v>
      </c>
      <c r="G3" t="s">
        <v>150</v>
      </c>
      <c r="L3" t="s">
        <v>281</v>
      </c>
      <c r="M3" t="s">
        <v>282</v>
      </c>
      <c r="N3">
        <v>4</v>
      </c>
    </row>
    <row r="4" spans="1:14">
      <c r="A4" t="s">
        <v>281</v>
      </c>
      <c r="B4" t="s">
        <v>282</v>
      </c>
      <c r="C4" t="s">
        <v>277</v>
      </c>
      <c r="D4" t="s">
        <v>278</v>
      </c>
      <c r="E4">
        <v>20171</v>
      </c>
      <c r="F4" t="s">
        <v>14</v>
      </c>
      <c r="G4" t="s">
        <v>150</v>
      </c>
      <c r="L4" t="s">
        <v>273</v>
      </c>
      <c r="M4" t="s">
        <v>274</v>
      </c>
      <c r="N4">
        <v>6</v>
      </c>
    </row>
    <row r="5" spans="1:14">
      <c r="A5" t="s">
        <v>273</v>
      </c>
      <c r="B5" t="s">
        <v>274</v>
      </c>
      <c r="C5" t="s">
        <v>271</v>
      </c>
      <c r="D5" t="s">
        <v>272</v>
      </c>
      <c r="E5">
        <v>20171</v>
      </c>
      <c r="F5" t="s">
        <v>14</v>
      </c>
      <c r="G5" t="s">
        <v>150</v>
      </c>
      <c r="L5" t="s">
        <v>239</v>
      </c>
      <c r="M5" t="s">
        <v>240</v>
      </c>
      <c r="N5">
        <v>4</v>
      </c>
    </row>
    <row r="6" spans="1:14">
      <c r="A6" t="s">
        <v>273</v>
      </c>
      <c r="B6" t="s">
        <v>274</v>
      </c>
      <c r="C6" t="s">
        <v>277</v>
      </c>
      <c r="D6" t="s">
        <v>278</v>
      </c>
      <c r="E6">
        <v>20171</v>
      </c>
      <c r="F6" t="s">
        <v>14</v>
      </c>
      <c r="G6" t="s">
        <v>150</v>
      </c>
      <c r="L6" t="s">
        <v>311</v>
      </c>
      <c r="M6" t="s">
        <v>312</v>
      </c>
      <c r="N6">
        <v>4</v>
      </c>
    </row>
    <row r="7" spans="1:14">
      <c r="A7" t="s">
        <v>239</v>
      </c>
      <c r="B7" t="s">
        <v>240</v>
      </c>
      <c r="C7" t="s">
        <v>277</v>
      </c>
      <c r="D7" t="s">
        <v>278</v>
      </c>
      <c r="E7">
        <v>20171</v>
      </c>
      <c r="F7" t="s">
        <v>14</v>
      </c>
      <c r="G7" t="s">
        <v>150</v>
      </c>
      <c r="L7" t="s">
        <v>313</v>
      </c>
      <c r="M7" t="s">
        <v>314</v>
      </c>
      <c r="N7">
        <v>4</v>
      </c>
    </row>
    <row r="8" spans="1:14">
      <c r="A8" t="s">
        <v>311</v>
      </c>
      <c r="B8" t="s">
        <v>312</v>
      </c>
      <c r="C8" t="s">
        <v>277</v>
      </c>
      <c r="D8" t="s">
        <v>278</v>
      </c>
      <c r="E8">
        <v>20171</v>
      </c>
      <c r="F8" t="s">
        <v>14</v>
      </c>
      <c r="G8" t="s">
        <v>150</v>
      </c>
      <c r="L8" t="s">
        <v>315</v>
      </c>
      <c r="M8" t="s">
        <v>316</v>
      </c>
      <c r="N8">
        <v>4</v>
      </c>
    </row>
    <row r="9" spans="1:14">
      <c r="A9" t="s">
        <v>313</v>
      </c>
      <c r="B9" t="s">
        <v>314</v>
      </c>
      <c r="C9" t="s">
        <v>277</v>
      </c>
      <c r="D9" t="s">
        <v>278</v>
      </c>
      <c r="E9">
        <v>20171</v>
      </c>
      <c r="F9" t="s">
        <v>14</v>
      </c>
      <c r="G9" t="s">
        <v>150</v>
      </c>
      <c r="L9" t="s">
        <v>317</v>
      </c>
      <c r="M9" t="s">
        <v>318</v>
      </c>
      <c r="N9">
        <v>4</v>
      </c>
    </row>
    <row r="10" spans="1:14">
      <c r="A10" t="s">
        <v>315</v>
      </c>
      <c r="B10" t="s">
        <v>316</v>
      </c>
      <c r="C10" t="s">
        <v>277</v>
      </c>
      <c r="D10" t="s">
        <v>278</v>
      </c>
      <c r="E10">
        <v>20171</v>
      </c>
      <c r="F10" t="s">
        <v>14</v>
      </c>
      <c r="G10" t="s">
        <v>150</v>
      </c>
      <c r="L10" t="s">
        <v>325</v>
      </c>
      <c r="M10" t="s">
        <v>326</v>
      </c>
      <c r="N10">
        <v>4</v>
      </c>
    </row>
    <row r="11" spans="1:14">
      <c r="A11" t="s">
        <v>317</v>
      </c>
      <c r="B11" t="s">
        <v>318</v>
      </c>
      <c r="C11" t="s">
        <v>277</v>
      </c>
      <c r="D11" t="s">
        <v>278</v>
      </c>
      <c r="E11">
        <v>20171</v>
      </c>
      <c r="F11" t="s">
        <v>14</v>
      </c>
      <c r="G11" t="s">
        <v>150</v>
      </c>
      <c r="L11" t="s">
        <v>333</v>
      </c>
      <c r="M11" t="s">
        <v>334</v>
      </c>
      <c r="N11">
        <v>4</v>
      </c>
    </row>
    <row r="12" spans="1:14">
      <c r="A12" t="s">
        <v>325</v>
      </c>
      <c r="B12" t="s">
        <v>326</v>
      </c>
      <c r="C12" t="s">
        <v>277</v>
      </c>
      <c r="D12" t="s">
        <v>278</v>
      </c>
      <c r="E12">
        <v>20171</v>
      </c>
      <c r="F12" t="s">
        <v>14</v>
      </c>
      <c r="G12" t="s">
        <v>150</v>
      </c>
      <c r="L12" t="s">
        <v>177</v>
      </c>
      <c r="M12" t="s">
        <v>178</v>
      </c>
      <c r="N12">
        <v>9</v>
      </c>
    </row>
    <row r="13" spans="1:14">
      <c r="A13" t="s">
        <v>333</v>
      </c>
      <c r="B13" t="s">
        <v>334</v>
      </c>
      <c r="C13" t="s">
        <v>277</v>
      </c>
      <c r="D13" t="s">
        <v>278</v>
      </c>
      <c r="E13">
        <v>20171</v>
      </c>
      <c r="F13" t="s">
        <v>14</v>
      </c>
      <c r="G13" t="s">
        <v>150</v>
      </c>
      <c r="L13" t="s">
        <v>102</v>
      </c>
      <c r="M13" t="s">
        <v>103</v>
      </c>
      <c r="N13">
        <v>4</v>
      </c>
    </row>
    <row r="14" spans="1:14">
      <c r="A14" t="s">
        <v>177</v>
      </c>
      <c r="B14" t="s">
        <v>178</v>
      </c>
      <c r="C14" t="s">
        <v>277</v>
      </c>
      <c r="D14" t="s">
        <v>278</v>
      </c>
      <c r="E14">
        <v>20171</v>
      </c>
      <c r="F14" t="s">
        <v>14</v>
      </c>
      <c r="G14" t="s">
        <v>150</v>
      </c>
      <c r="L14" t="s">
        <v>337</v>
      </c>
      <c r="M14" t="s">
        <v>338</v>
      </c>
      <c r="N14">
        <v>4</v>
      </c>
    </row>
    <row r="15" spans="1:14">
      <c r="A15" t="s">
        <v>177</v>
      </c>
      <c r="B15" t="s">
        <v>178</v>
      </c>
      <c r="C15" t="s">
        <v>465</v>
      </c>
      <c r="D15" t="s">
        <v>466</v>
      </c>
      <c r="E15">
        <v>20171</v>
      </c>
      <c r="F15" t="s">
        <v>467</v>
      </c>
      <c r="G15" t="s">
        <v>150</v>
      </c>
      <c r="L15" t="s">
        <v>339</v>
      </c>
      <c r="M15" t="s">
        <v>340</v>
      </c>
      <c r="N15">
        <v>4</v>
      </c>
    </row>
    <row r="16" spans="1:14">
      <c r="A16" t="s">
        <v>177</v>
      </c>
      <c r="B16" t="s">
        <v>178</v>
      </c>
      <c r="C16" t="s">
        <v>562</v>
      </c>
      <c r="D16" t="s">
        <v>563</v>
      </c>
      <c r="E16">
        <v>20171</v>
      </c>
      <c r="F16" t="s">
        <v>467</v>
      </c>
      <c r="G16" t="s">
        <v>150</v>
      </c>
      <c r="L16" t="s">
        <v>343</v>
      </c>
      <c r="M16" t="s">
        <v>344</v>
      </c>
      <c r="N16">
        <v>4</v>
      </c>
    </row>
    <row r="17" spans="1:14">
      <c r="A17" t="s">
        <v>102</v>
      </c>
      <c r="B17" t="s">
        <v>103</v>
      </c>
      <c r="C17" t="s">
        <v>277</v>
      </c>
      <c r="D17" t="s">
        <v>278</v>
      </c>
      <c r="E17">
        <v>20171</v>
      </c>
      <c r="F17" t="s">
        <v>14</v>
      </c>
      <c r="G17" t="s">
        <v>150</v>
      </c>
      <c r="L17" t="s">
        <v>167</v>
      </c>
      <c r="M17" t="s">
        <v>168</v>
      </c>
      <c r="N17">
        <v>4</v>
      </c>
    </row>
    <row r="18" spans="1:14">
      <c r="A18" t="s">
        <v>337</v>
      </c>
      <c r="B18" t="s">
        <v>338</v>
      </c>
      <c r="C18" t="s">
        <v>277</v>
      </c>
      <c r="D18" t="s">
        <v>278</v>
      </c>
      <c r="E18">
        <v>20171</v>
      </c>
      <c r="F18" t="s">
        <v>14</v>
      </c>
      <c r="G18" t="s">
        <v>150</v>
      </c>
      <c r="L18" t="s">
        <v>171</v>
      </c>
      <c r="M18" t="s">
        <v>172</v>
      </c>
      <c r="N18">
        <v>4</v>
      </c>
    </row>
    <row r="19" spans="1:14">
      <c r="A19" t="s">
        <v>339</v>
      </c>
      <c r="B19" t="s">
        <v>340</v>
      </c>
      <c r="C19" t="s">
        <v>277</v>
      </c>
      <c r="D19" t="s">
        <v>278</v>
      </c>
      <c r="E19">
        <v>20171</v>
      </c>
      <c r="F19" t="s">
        <v>14</v>
      </c>
      <c r="G19" t="s">
        <v>150</v>
      </c>
      <c r="L19" t="s">
        <v>347</v>
      </c>
      <c r="M19" t="s">
        <v>348</v>
      </c>
      <c r="N19">
        <v>4</v>
      </c>
    </row>
    <row r="20" spans="1:14">
      <c r="A20" t="s">
        <v>343</v>
      </c>
      <c r="B20" t="s">
        <v>344</v>
      </c>
      <c r="C20" t="s">
        <v>277</v>
      </c>
      <c r="D20" t="s">
        <v>278</v>
      </c>
      <c r="E20">
        <v>20171</v>
      </c>
      <c r="F20" t="s">
        <v>14</v>
      </c>
      <c r="G20" t="s">
        <v>150</v>
      </c>
      <c r="L20" t="s">
        <v>349</v>
      </c>
      <c r="M20" t="s">
        <v>350</v>
      </c>
      <c r="N20">
        <v>4</v>
      </c>
    </row>
    <row r="21" spans="1:14">
      <c r="A21" t="s">
        <v>167</v>
      </c>
      <c r="B21" t="s">
        <v>168</v>
      </c>
      <c r="C21" t="s">
        <v>277</v>
      </c>
      <c r="D21" t="s">
        <v>278</v>
      </c>
      <c r="E21">
        <v>20171</v>
      </c>
      <c r="F21" t="s">
        <v>14</v>
      </c>
      <c r="G21" t="s">
        <v>150</v>
      </c>
      <c r="L21" t="s">
        <v>351</v>
      </c>
      <c r="M21" t="s">
        <v>352</v>
      </c>
      <c r="N21">
        <v>4</v>
      </c>
    </row>
    <row r="22" spans="1:14">
      <c r="A22" t="s">
        <v>171</v>
      </c>
      <c r="B22" t="s">
        <v>172</v>
      </c>
      <c r="C22" t="s">
        <v>277</v>
      </c>
      <c r="D22" t="s">
        <v>278</v>
      </c>
      <c r="E22">
        <v>20171</v>
      </c>
      <c r="F22" t="s">
        <v>14</v>
      </c>
      <c r="G22" t="s">
        <v>150</v>
      </c>
      <c r="L22" t="s">
        <v>104</v>
      </c>
      <c r="M22" t="s">
        <v>105</v>
      </c>
      <c r="N22">
        <v>4</v>
      </c>
    </row>
    <row r="23" spans="1:14">
      <c r="A23" t="s">
        <v>347</v>
      </c>
      <c r="B23" t="s">
        <v>348</v>
      </c>
      <c r="C23" t="s">
        <v>277</v>
      </c>
      <c r="D23" t="s">
        <v>278</v>
      </c>
      <c r="E23">
        <v>20171</v>
      </c>
      <c r="F23" t="s">
        <v>14</v>
      </c>
      <c r="G23" t="s">
        <v>150</v>
      </c>
      <c r="L23" t="s">
        <v>353</v>
      </c>
      <c r="M23" t="s">
        <v>354</v>
      </c>
      <c r="N23">
        <v>4</v>
      </c>
    </row>
    <row r="24" spans="1:14">
      <c r="A24" t="s">
        <v>349</v>
      </c>
      <c r="B24" t="s">
        <v>350</v>
      </c>
      <c r="C24" t="s">
        <v>277</v>
      </c>
      <c r="D24" t="s">
        <v>278</v>
      </c>
      <c r="E24">
        <v>20171</v>
      </c>
      <c r="F24" t="s">
        <v>14</v>
      </c>
      <c r="G24" t="s">
        <v>150</v>
      </c>
      <c r="L24" t="s">
        <v>10</v>
      </c>
      <c r="M24" t="s">
        <v>11</v>
      </c>
      <c r="N24">
        <v>4</v>
      </c>
    </row>
    <row r="25" spans="1:14">
      <c r="A25" t="s">
        <v>351</v>
      </c>
      <c r="B25" t="s">
        <v>352</v>
      </c>
      <c r="C25" t="s">
        <v>277</v>
      </c>
      <c r="D25" t="s">
        <v>278</v>
      </c>
      <c r="E25">
        <v>20171</v>
      </c>
      <c r="F25" t="s">
        <v>14</v>
      </c>
      <c r="G25" t="s">
        <v>150</v>
      </c>
      <c r="L25" t="s">
        <v>249</v>
      </c>
      <c r="M25" t="s">
        <v>250</v>
      </c>
      <c r="N25">
        <v>4</v>
      </c>
    </row>
    <row r="26" spans="1:14">
      <c r="A26" t="s">
        <v>104</v>
      </c>
      <c r="B26" t="s">
        <v>105</v>
      </c>
      <c r="C26" t="s">
        <v>277</v>
      </c>
      <c r="D26" t="s">
        <v>278</v>
      </c>
      <c r="E26">
        <v>20171</v>
      </c>
      <c r="F26" t="s">
        <v>14</v>
      </c>
      <c r="G26" t="s">
        <v>150</v>
      </c>
      <c r="L26" t="s">
        <v>357</v>
      </c>
      <c r="M26" t="s">
        <v>358</v>
      </c>
      <c r="N26">
        <v>4</v>
      </c>
    </row>
    <row r="27" spans="1:14">
      <c r="A27" t="s">
        <v>353</v>
      </c>
      <c r="B27" t="s">
        <v>354</v>
      </c>
      <c r="C27" t="s">
        <v>277</v>
      </c>
      <c r="D27" t="s">
        <v>278</v>
      </c>
      <c r="E27">
        <v>20171</v>
      </c>
      <c r="F27" t="s">
        <v>14</v>
      </c>
      <c r="G27" t="s">
        <v>150</v>
      </c>
      <c r="L27" t="s">
        <v>363</v>
      </c>
      <c r="M27" t="s">
        <v>364</v>
      </c>
      <c r="N27">
        <v>4</v>
      </c>
    </row>
    <row r="28" spans="1:14">
      <c r="A28" t="s">
        <v>10</v>
      </c>
      <c r="B28" t="s">
        <v>11</v>
      </c>
      <c r="C28" t="s">
        <v>277</v>
      </c>
      <c r="D28" t="s">
        <v>278</v>
      </c>
      <c r="E28">
        <v>20171</v>
      </c>
      <c r="F28" t="s">
        <v>14</v>
      </c>
      <c r="G28" t="s">
        <v>150</v>
      </c>
      <c r="L28" t="s">
        <v>108</v>
      </c>
      <c r="M28" t="s">
        <v>109</v>
      </c>
      <c r="N28">
        <v>4</v>
      </c>
    </row>
    <row r="29" spans="1:14">
      <c r="A29" t="s">
        <v>249</v>
      </c>
      <c r="B29" t="s">
        <v>250</v>
      </c>
      <c r="C29" t="s">
        <v>277</v>
      </c>
      <c r="D29" t="s">
        <v>278</v>
      </c>
      <c r="E29">
        <v>20171</v>
      </c>
      <c r="F29" t="s">
        <v>14</v>
      </c>
      <c r="G29" t="s">
        <v>150</v>
      </c>
      <c r="L29" t="s">
        <v>110</v>
      </c>
      <c r="M29" t="s">
        <v>111</v>
      </c>
      <c r="N29">
        <v>4</v>
      </c>
    </row>
    <row r="30" spans="1:14">
      <c r="A30" t="s">
        <v>357</v>
      </c>
      <c r="B30" t="s">
        <v>358</v>
      </c>
      <c r="C30" t="s">
        <v>277</v>
      </c>
      <c r="D30" t="s">
        <v>278</v>
      </c>
      <c r="E30">
        <v>20171</v>
      </c>
      <c r="F30" t="s">
        <v>14</v>
      </c>
      <c r="G30" t="s">
        <v>150</v>
      </c>
      <c r="L30" t="s">
        <v>251</v>
      </c>
      <c r="M30" t="s">
        <v>252</v>
      </c>
      <c r="N30">
        <v>4</v>
      </c>
    </row>
    <row r="31" spans="1:14">
      <c r="A31" t="s">
        <v>363</v>
      </c>
      <c r="B31" t="s">
        <v>364</v>
      </c>
      <c r="C31" t="s">
        <v>277</v>
      </c>
      <c r="D31" t="s">
        <v>278</v>
      </c>
      <c r="E31">
        <v>20171</v>
      </c>
      <c r="F31" t="s">
        <v>14</v>
      </c>
      <c r="G31" t="s">
        <v>150</v>
      </c>
      <c r="L31" t="s">
        <v>369</v>
      </c>
      <c r="M31" t="s">
        <v>370</v>
      </c>
      <c r="N31">
        <v>4</v>
      </c>
    </row>
    <row r="32" spans="1:14">
      <c r="A32" t="s">
        <v>108</v>
      </c>
      <c r="B32" t="s">
        <v>109</v>
      </c>
      <c r="C32" t="s">
        <v>277</v>
      </c>
      <c r="D32" t="s">
        <v>278</v>
      </c>
      <c r="E32">
        <v>20171</v>
      </c>
      <c r="F32" t="s">
        <v>14</v>
      </c>
      <c r="G32" t="s">
        <v>150</v>
      </c>
      <c r="L32" t="s">
        <v>205</v>
      </c>
      <c r="M32" t="s">
        <v>206</v>
      </c>
      <c r="N32">
        <v>2</v>
      </c>
    </row>
    <row r="33" spans="1:14">
      <c r="A33" t="s">
        <v>110</v>
      </c>
      <c r="B33" t="s">
        <v>111</v>
      </c>
      <c r="C33" t="s">
        <v>277</v>
      </c>
      <c r="D33" t="s">
        <v>278</v>
      </c>
      <c r="E33">
        <v>20171</v>
      </c>
      <c r="F33" t="s">
        <v>14</v>
      </c>
      <c r="G33" t="s">
        <v>150</v>
      </c>
      <c r="L33" t="s">
        <v>371</v>
      </c>
      <c r="M33" t="s">
        <v>372</v>
      </c>
      <c r="N33">
        <v>4</v>
      </c>
    </row>
    <row r="34" spans="1:14">
      <c r="A34" t="s">
        <v>251</v>
      </c>
      <c r="B34" t="s">
        <v>252</v>
      </c>
      <c r="C34" t="s">
        <v>277</v>
      </c>
      <c r="D34" t="s">
        <v>278</v>
      </c>
      <c r="E34">
        <v>20171</v>
      </c>
      <c r="F34" t="s">
        <v>14</v>
      </c>
      <c r="G34" t="s">
        <v>150</v>
      </c>
      <c r="L34" t="s">
        <v>253</v>
      </c>
      <c r="M34" t="s">
        <v>254</v>
      </c>
      <c r="N34">
        <v>4</v>
      </c>
    </row>
    <row r="35" spans="1:14">
      <c r="A35" t="s">
        <v>369</v>
      </c>
      <c r="B35" t="s">
        <v>370</v>
      </c>
      <c r="C35" t="s">
        <v>277</v>
      </c>
      <c r="D35" t="s">
        <v>278</v>
      </c>
      <c r="E35">
        <v>20171</v>
      </c>
      <c r="F35" t="s">
        <v>14</v>
      </c>
      <c r="G35" t="s">
        <v>150</v>
      </c>
      <c r="L35" t="s">
        <v>112</v>
      </c>
      <c r="M35" t="s">
        <v>113</v>
      </c>
      <c r="N35">
        <v>4</v>
      </c>
    </row>
    <row r="36" spans="1:14">
      <c r="A36" t="s">
        <v>205</v>
      </c>
      <c r="B36" t="s">
        <v>206</v>
      </c>
      <c r="C36" t="s">
        <v>271</v>
      </c>
      <c r="D36" t="s">
        <v>272</v>
      </c>
      <c r="E36">
        <v>20171</v>
      </c>
      <c r="F36" t="s">
        <v>14</v>
      </c>
      <c r="G36" t="s">
        <v>150</v>
      </c>
      <c r="L36" t="s">
        <v>373</v>
      </c>
      <c r="M36" t="s">
        <v>374</v>
      </c>
      <c r="N36">
        <v>4</v>
      </c>
    </row>
    <row r="37" spans="1:14">
      <c r="A37" t="s">
        <v>371</v>
      </c>
      <c r="B37" t="s">
        <v>372</v>
      </c>
      <c r="C37" t="s">
        <v>277</v>
      </c>
      <c r="D37" t="s">
        <v>278</v>
      </c>
      <c r="E37">
        <v>20171</v>
      </c>
      <c r="F37" t="s">
        <v>14</v>
      </c>
      <c r="G37" t="s">
        <v>150</v>
      </c>
      <c r="L37" t="s">
        <v>375</v>
      </c>
      <c r="M37" t="s">
        <v>376</v>
      </c>
      <c r="N37">
        <v>4</v>
      </c>
    </row>
    <row r="38" spans="1:14">
      <c r="A38" t="s">
        <v>253</v>
      </c>
      <c r="B38" t="s">
        <v>254</v>
      </c>
      <c r="C38" t="s">
        <v>277</v>
      </c>
      <c r="D38" t="s">
        <v>278</v>
      </c>
      <c r="E38">
        <v>20171</v>
      </c>
      <c r="F38" t="s">
        <v>14</v>
      </c>
      <c r="G38" t="s">
        <v>150</v>
      </c>
      <c r="L38" t="s">
        <v>377</v>
      </c>
      <c r="M38" t="s">
        <v>464</v>
      </c>
      <c r="N38">
        <v>4</v>
      </c>
    </row>
    <row r="39" spans="1:14">
      <c r="A39" t="s">
        <v>112</v>
      </c>
      <c r="B39" t="s">
        <v>113</v>
      </c>
      <c r="C39" t="s">
        <v>277</v>
      </c>
      <c r="D39" t="s">
        <v>278</v>
      </c>
      <c r="E39">
        <v>20171</v>
      </c>
      <c r="F39" t="s">
        <v>14</v>
      </c>
      <c r="G39" t="s">
        <v>150</v>
      </c>
      <c r="L39" t="s">
        <v>16</v>
      </c>
      <c r="M39" t="s">
        <v>17</v>
      </c>
      <c r="N39">
        <v>4</v>
      </c>
    </row>
    <row r="40" spans="1:14">
      <c r="A40" t="s">
        <v>373</v>
      </c>
      <c r="B40" t="s">
        <v>374</v>
      </c>
      <c r="C40" t="s">
        <v>277</v>
      </c>
      <c r="D40" t="s">
        <v>278</v>
      </c>
      <c r="E40">
        <v>20171</v>
      </c>
      <c r="F40" t="s">
        <v>14</v>
      </c>
      <c r="G40" t="s">
        <v>150</v>
      </c>
      <c r="L40" t="s">
        <v>21</v>
      </c>
      <c r="M40" t="s">
        <v>22</v>
      </c>
      <c r="N40">
        <v>4</v>
      </c>
    </row>
    <row r="41" spans="1:14">
      <c r="A41" t="s">
        <v>375</v>
      </c>
      <c r="B41" t="s">
        <v>376</v>
      </c>
      <c r="C41" t="s">
        <v>277</v>
      </c>
      <c r="D41" t="s">
        <v>278</v>
      </c>
      <c r="E41">
        <v>20171</v>
      </c>
      <c r="F41" t="s">
        <v>14</v>
      </c>
      <c r="G41" t="s">
        <v>150</v>
      </c>
      <c r="L41" t="s">
        <v>380</v>
      </c>
      <c r="M41" t="s">
        <v>381</v>
      </c>
      <c r="N41">
        <v>4</v>
      </c>
    </row>
    <row r="42" spans="1:14">
      <c r="A42" t="s">
        <v>377</v>
      </c>
      <c r="B42" t="s">
        <v>464</v>
      </c>
      <c r="C42" t="s">
        <v>277</v>
      </c>
      <c r="D42" t="s">
        <v>278</v>
      </c>
      <c r="E42">
        <v>20171</v>
      </c>
      <c r="F42" t="s">
        <v>14</v>
      </c>
      <c r="G42" t="s">
        <v>150</v>
      </c>
      <c r="L42" t="s">
        <v>382</v>
      </c>
      <c r="M42" t="s">
        <v>383</v>
      </c>
      <c r="N42">
        <v>4</v>
      </c>
    </row>
    <row r="43" spans="1:14">
      <c r="A43" t="s">
        <v>16</v>
      </c>
      <c r="B43" t="s">
        <v>17</v>
      </c>
      <c r="C43" t="s">
        <v>277</v>
      </c>
      <c r="D43" t="s">
        <v>278</v>
      </c>
      <c r="E43">
        <v>20171</v>
      </c>
      <c r="F43" t="s">
        <v>14</v>
      </c>
      <c r="G43" t="s">
        <v>150</v>
      </c>
      <c r="L43" t="s">
        <v>132</v>
      </c>
      <c r="M43" t="s">
        <v>133</v>
      </c>
      <c r="N43">
        <v>2</v>
      </c>
    </row>
    <row r="44" spans="1:14">
      <c r="A44" t="s">
        <v>21</v>
      </c>
      <c r="B44" t="s">
        <v>22</v>
      </c>
      <c r="C44" t="s">
        <v>277</v>
      </c>
      <c r="D44" t="s">
        <v>278</v>
      </c>
      <c r="E44">
        <v>20171</v>
      </c>
      <c r="F44" t="s">
        <v>14</v>
      </c>
      <c r="G44" t="s">
        <v>150</v>
      </c>
      <c r="L44" t="s">
        <v>384</v>
      </c>
      <c r="M44" t="s">
        <v>385</v>
      </c>
      <c r="N44">
        <v>4</v>
      </c>
    </row>
    <row r="45" spans="1:14">
      <c r="A45" t="s">
        <v>380</v>
      </c>
      <c r="B45" t="s">
        <v>381</v>
      </c>
      <c r="C45" t="s">
        <v>277</v>
      </c>
      <c r="D45" t="s">
        <v>278</v>
      </c>
      <c r="E45">
        <v>20171</v>
      </c>
      <c r="F45" t="s">
        <v>14</v>
      </c>
      <c r="G45" t="s">
        <v>150</v>
      </c>
      <c r="L45" t="s">
        <v>138</v>
      </c>
      <c r="M45" t="s">
        <v>139</v>
      </c>
      <c r="N45">
        <v>4</v>
      </c>
    </row>
    <row r="46" spans="1:14">
      <c r="A46" t="s">
        <v>382</v>
      </c>
      <c r="B46" t="s">
        <v>383</v>
      </c>
      <c r="C46" t="s">
        <v>277</v>
      </c>
      <c r="D46" t="s">
        <v>278</v>
      </c>
      <c r="E46">
        <v>20171</v>
      </c>
      <c r="F46" t="s">
        <v>14</v>
      </c>
      <c r="G46" t="s">
        <v>150</v>
      </c>
      <c r="L46" t="s">
        <v>173</v>
      </c>
      <c r="M46" t="s">
        <v>174</v>
      </c>
      <c r="N46">
        <v>2</v>
      </c>
    </row>
    <row r="47" spans="1:14">
      <c r="A47" t="s">
        <v>132</v>
      </c>
      <c r="B47" t="s">
        <v>133</v>
      </c>
      <c r="C47" t="s">
        <v>271</v>
      </c>
      <c r="D47" t="s">
        <v>272</v>
      </c>
      <c r="E47">
        <v>20171</v>
      </c>
      <c r="F47" t="s">
        <v>14</v>
      </c>
      <c r="G47" t="s">
        <v>150</v>
      </c>
      <c r="L47" t="s">
        <v>49</v>
      </c>
      <c r="M47" t="s">
        <v>50</v>
      </c>
      <c r="N47">
        <v>4</v>
      </c>
    </row>
    <row r="48" spans="1:14">
      <c r="A48" t="s">
        <v>384</v>
      </c>
      <c r="B48" t="s">
        <v>385</v>
      </c>
      <c r="C48" t="s">
        <v>277</v>
      </c>
      <c r="D48" t="s">
        <v>278</v>
      </c>
      <c r="E48">
        <v>20171</v>
      </c>
      <c r="F48" t="s">
        <v>14</v>
      </c>
      <c r="G48" t="s">
        <v>150</v>
      </c>
      <c r="L48" t="s">
        <v>155</v>
      </c>
      <c r="M48" t="s">
        <v>156</v>
      </c>
      <c r="N48">
        <v>2</v>
      </c>
    </row>
    <row r="49" spans="1:14">
      <c r="A49" t="s">
        <v>138</v>
      </c>
      <c r="B49" t="s">
        <v>139</v>
      </c>
      <c r="C49" t="s">
        <v>277</v>
      </c>
      <c r="D49" t="s">
        <v>278</v>
      </c>
      <c r="E49">
        <v>20171</v>
      </c>
      <c r="F49" t="s">
        <v>14</v>
      </c>
      <c r="G49" t="s">
        <v>150</v>
      </c>
      <c r="L49" t="s">
        <v>175</v>
      </c>
      <c r="M49" t="s">
        <v>176</v>
      </c>
      <c r="N49">
        <v>6</v>
      </c>
    </row>
    <row r="50" spans="1:14">
      <c r="A50" t="s">
        <v>173</v>
      </c>
      <c r="B50" t="s">
        <v>174</v>
      </c>
      <c r="C50" t="s">
        <v>271</v>
      </c>
      <c r="D50" t="s">
        <v>272</v>
      </c>
      <c r="E50">
        <v>20171</v>
      </c>
      <c r="F50" t="s">
        <v>14</v>
      </c>
      <c r="G50" t="s">
        <v>150</v>
      </c>
      <c r="L50" t="s">
        <v>157</v>
      </c>
      <c r="M50" t="s">
        <v>158</v>
      </c>
      <c r="N50">
        <v>4</v>
      </c>
    </row>
    <row r="51" spans="1:14">
      <c r="A51" t="s">
        <v>49</v>
      </c>
      <c r="B51" t="s">
        <v>50</v>
      </c>
      <c r="C51" t="s">
        <v>275</v>
      </c>
      <c r="D51" t="s">
        <v>276</v>
      </c>
      <c r="E51">
        <v>20171</v>
      </c>
      <c r="F51" t="s">
        <v>14</v>
      </c>
      <c r="G51" t="s">
        <v>150</v>
      </c>
      <c r="L51" t="s">
        <v>161</v>
      </c>
      <c r="M51" t="s">
        <v>162</v>
      </c>
      <c r="N51">
        <v>4</v>
      </c>
    </row>
    <row r="52" spans="1:14">
      <c r="A52" t="s">
        <v>155</v>
      </c>
      <c r="B52" t="s">
        <v>156</v>
      </c>
      <c r="C52" t="s">
        <v>271</v>
      </c>
      <c r="D52" t="s">
        <v>272</v>
      </c>
      <c r="E52">
        <v>20171</v>
      </c>
      <c r="F52" t="s">
        <v>14</v>
      </c>
      <c r="G52" t="s">
        <v>150</v>
      </c>
      <c r="L52" t="s">
        <v>52</v>
      </c>
      <c r="M52" t="s">
        <v>53</v>
      </c>
      <c r="N52">
        <v>4</v>
      </c>
    </row>
    <row r="53" spans="1:14">
      <c r="A53" t="s">
        <v>175</v>
      </c>
      <c r="B53" t="s">
        <v>176</v>
      </c>
      <c r="C53" t="s">
        <v>271</v>
      </c>
      <c r="D53" t="s">
        <v>272</v>
      </c>
      <c r="E53">
        <v>20171</v>
      </c>
      <c r="F53" t="s">
        <v>14</v>
      </c>
      <c r="G53" t="s">
        <v>150</v>
      </c>
      <c r="L53" t="s">
        <v>163</v>
      </c>
      <c r="M53" t="s">
        <v>164</v>
      </c>
      <c r="N53">
        <v>4</v>
      </c>
    </row>
    <row r="54" spans="1:14">
      <c r="A54" t="s">
        <v>175</v>
      </c>
      <c r="B54" t="s">
        <v>176</v>
      </c>
      <c r="C54" t="s">
        <v>275</v>
      </c>
      <c r="D54" t="s">
        <v>276</v>
      </c>
      <c r="E54">
        <v>20171</v>
      </c>
      <c r="F54" t="s">
        <v>14</v>
      </c>
      <c r="G54" t="s">
        <v>150</v>
      </c>
      <c r="L54" t="s">
        <v>263</v>
      </c>
      <c r="M54" t="s">
        <v>264</v>
      </c>
      <c r="N54">
        <v>6</v>
      </c>
    </row>
    <row r="55" spans="1:14">
      <c r="A55" t="s">
        <v>157</v>
      </c>
      <c r="B55" t="s">
        <v>158</v>
      </c>
      <c r="C55" t="s">
        <v>271</v>
      </c>
      <c r="D55" t="s">
        <v>272</v>
      </c>
      <c r="E55">
        <v>20171</v>
      </c>
      <c r="F55" t="s">
        <v>14</v>
      </c>
      <c r="G55" t="s">
        <v>150</v>
      </c>
      <c r="L55" t="s">
        <v>142</v>
      </c>
      <c r="M55" t="s">
        <v>143</v>
      </c>
      <c r="N55">
        <v>4</v>
      </c>
    </row>
    <row r="56" spans="1:14">
      <c r="A56" t="s">
        <v>161</v>
      </c>
      <c r="B56" t="s">
        <v>162</v>
      </c>
      <c r="C56" t="s">
        <v>275</v>
      </c>
      <c r="D56" t="s">
        <v>276</v>
      </c>
      <c r="E56">
        <v>20171</v>
      </c>
      <c r="F56" t="s">
        <v>14</v>
      </c>
      <c r="G56" t="s">
        <v>150</v>
      </c>
      <c r="L56" t="s">
        <v>165</v>
      </c>
      <c r="M56" t="s">
        <v>166</v>
      </c>
      <c r="N56">
        <v>4</v>
      </c>
    </row>
    <row r="57" spans="1:14">
      <c r="A57" t="s">
        <v>52</v>
      </c>
      <c r="B57" t="s">
        <v>53</v>
      </c>
      <c r="C57" t="s">
        <v>275</v>
      </c>
      <c r="D57" t="s">
        <v>276</v>
      </c>
      <c r="E57">
        <v>20171</v>
      </c>
      <c r="F57" t="s">
        <v>14</v>
      </c>
      <c r="G57" t="s">
        <v>150</v>
      </c>
      <c r="L57" t="s">
        <v>257</v>
      </c>
      <c r="M57" t="s">
        <v>258</v>
      </c>
      <c r="N57">
        <v>4</v>
      </c>
    </row>
    <row r="58" spans="1:14">
      <c r="A58" t="s">
        <v>163</v>
      </c>
      <c r="B58" t="s">
        <v>164</v>
      </c>
      <c r="C58" t="s">
        <v>275</v>
      </c>
      <c r="D58" t="s">
        <v>276</v>
      </c>
      <c r="E58">
        <v>20171</v>
      </c>
      <c r="F58" t="s">
        <v>14</v>
      </c>
      <c r="G58" t="s">
        <v>150</v>
      </c>
      <c r="L58" t="s">
        <v>201</v>
      </c>
      <c r="M58" t="s">
        <v>202</v>
      </c>
      <c r="N58">
        <v>4</v>
      </c>
    </row>
    <row r="59" spans="1:14">
      <c r="A59" t="s">
        <v>263</v>
      </c>
      <c r="B59" t="s">
        <v>264</v>
      </c>
      <c r="C59" t="s">
        <v>271</v>
      </c>
      <c r="D59" t="s">
        <v>272</v>
      </c>
      <c r="E59">
        <v>20171</v>
      </c>
      <c r="F59" t="s">
        <v>14</v>
      </c>
      <c r="G59" t="s">
        <v>150</v>
      </c>
      <c r="L59" t="s">
        <v>243</v>
      </c>
      <c r="M59" t="s">
        <v>244</v>
      </c>
      <c r="N59">
        <v>2</v>
      </c>
    </row>
    <row r="60" spans="1:14">
      <c r="A60" t="s">
        <v>263</v>
      </c>
      <c r="B60" t="s">
        <v>264</v>
      </c>
      <c r="C60" t="s">
        <v>275</v>
      </c>
      <c r="D60" t="s">
        <v>276</v>
      </c>
      <c r="E60">
        <v>20171</v>
      </c>
      <c r="F60" t="s">
        <v>14</v>
      </c>
      <c r="G60" t="s">
        <v>150</v>
      </c>
      <c r="L60" t="s">
        <v>58</v>
      </c>
      <c r="M60" t="s">
        <v>59</v>
      </c>
      <c r="N60">
        <v>1</v>
      </c>
    </row>
    <row r="61" spans="1:14">
      <c r="A61" t="s">
        <v>142</v>
      </c>
      <c r="B61" t="s">
        <v>143</v>
      </c>
      <c r="C61" t="s">
        <v>275</v>
      </c>
      <c r="D61" t="s">
        <v>276</v>
      </c>
      <c r="E61">
        <v>20171</v>
      </c>
      <c r="F61" t="s">
        <v>14</v>
      </c>
      <c r="G61" t="s">
        <v>150</v>
      </c>
      <c r="L61" t="s">
        <v>62</v>
      </c>
      <c r="M61" t="s">
        <v>63</v>
      </c>
      <c r="N61">
        <v>1</v>
      </c>
    </row>
    <row r="62" spans="1:14">
      <c r="A62" t="s">
        <v>165</v>
      </c>
      <c r="B62" t="s">
        <v>166</v>
      </c>
      <c r="C62" t="s">
        <v>275</v>
      </c>
      <c r="D62" t="s">
        <v>276</v>
      </c>
      <c r="E62">
        <v>20171</v>
      </c>
      <c r="F62" t="s">
        <v>14</v>
      </c>
      <c r="G62" t="s">
        <v>150</v>
      </c>
      <c r="L62" t="s">
        <v>564</v>
      </c>
      <c r="M62" t="s">
        <v>564</v>
      </c>
    </row>
    <row r="63" spans="1:14">
      <c r="A63" t="s">
        <v>257</v>
      </c>
      <c r="B63" t="s">
        <v>258</v>
      </c>
      <c r="C63" t="s">
        <v>275</v>
      </c>
      <c r="D63" t="s">
        <v>276</v>
      </c>
      <c r="E63">
        <v>20171</v>
      </c>
      <c r="F63" t="s">
        <v>14</v>
      </c>
      <c r="G63" t="s">
        <v>150</v>
      </c>
      <c r="L63" t="s">
        <v>564</v>
      </c>
      <c r="M63" t="s">
        <v>564</v>
      </c>
    </row>
    <row r="64" spans="1:14">
      <c r="A64" t="s">
        <v>201</v>
      </c>
      <c r="B64" t="s">
        <v>202</v>
      </c>
      <c r="C64" t="s">
        <v>275</v>
      </c>
      <c r="D64" t="s">
        <v>276</v>
      </c>
      <c r="E64">
        <v>20171</v>
      </c>
      <c r="F64" t="s">
        <v>14</v>
      </c>
      <c r="G64" t="s">
        <v>150</v>
      </c>
      <c r="L64" t="s">
        <v>564</v>
      </c>
      <c r="M64" t="s">
        <v>564</v>
      </c>
    </row>
    <row r="65" spans="1:13">
      <c r="A65" t="s">
        <v>243</v>
      </c>
      <c r="B65" t="s">
        <v>244</v>
      </c>
      <c r="C65" t="s">
        <v>440</v>
      </c>
      <c r="D65" t="s">
        <v>441</v>
      </c>
      <c r="E65">
        <v>20171</v>
      </c>
      <c r="F65" t="s">
        <v>14</v>
      </c>
      <c r="G65" t="s">
        <v>150</v>
      </c>
      <c r="L65" t="s">
        <v>564</v>
      </c>
      <c r="M65" t="s">
        <v>564</v>
      </c>
    </row>
    <row r="66" spans="1:13">
      <c r="A66" t="s">
        <v>58</v>
      </c>
      <c r="B66" t="s">
        <v>59</v>
      </c>
      <c r="C66" t="s">
        <v>148</v>
      </c>
      <c r="D66" t="s">
        <v>149</v>
      </c>
      <c r="E66">
        <v>20171</v>
      </c>
      <c r="F66" t="s">
        <v>14</v>
      </c>
      <c r="G66" t="s">
        <v>150</v>
      </c>
      <c r="L66" t="s">
        <v>564</v>
      </c>
      <c r="M66" t="s">
        <v>564</v>
      </c>
    </row>
    <row r="67" spans="1:13">
      <c r="A67" t="s">
        <v>62</v>
      </c>
      <c r="B67" t="s">
        <v>63</v>
      </c>
      <c r="C67" t="s">
        <v>148</v>
      </c>
      <c r="D67" t="s">
        <v>149</v>
      </c>
      <c r="E67">
        <v>20171</v>
      </c>
      <c r="F67" t="s">
        <v>14</v>
      </c>
      <c r="G67" t="s">
        <v>150</v>
      </c>
      <c r="L67" t="s">
        <v>564</v>
      </c>
      <c r="M67" t="s">
        <v>564</v>
      </c>
    </row>
  </sheetData>
  <sortState ref="L2:N61">
    <sortCondition ref="L2:L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J1281"/>
  <sheetViews>
    <sheetView topLeftCell="A22" workbookViewId="0">
      <selection activeCell="C42" sqref="C42"/>
    </sheetView>
  </sheetViews>
  <sheetFormatPr defaultRowHeight="15"/>
  <cols>
    <col min="2" max="2" width="42.7109375" bestFit="1" customWidth="1"/>
    <col min="6" max="6" width="11" bestFit="1" customWidth="1"/>
    <col min="7" max="7" width="34" bestFit="1" customWidth="1"/>
    <col min="9" max="9" width="41.85546875" bestFit="1" customWidth="1"/>
  </cols>
  <sheetData>
    <row r="2" spans="1:10">
      <c r="A2" t="str">
        <f>VLOOKUP(B2,[2]Sheet1!$D$5:$L$185,9,0)</f>
        <v>ES1215</v>
      </c>
      <c r="B2" s="5" t="s">
        <v>135</v>
      </c>
      <c r="C2" s="5" t="s">
        <v>14</v>
      </c>
      <c r="D2" s="5">
        <f>COUNTIF(Worksheet!$D$2:$D$1267,B2)</f>
        <v>38</v>
      </c>
      <c r="E2" s="5">
        <v>7</v>
      </c>
      <c r="F2" s="5" t="str">
        <f>VLOOKUP(E2,[3]Sheet2!$A$6:$F$43,4,0)</f>
        <v>0005106805</v>
      </c>
      <c r="G2" s="5" t="str">
        <f>VLOOKUP(E2,[3]Sheet2!$A$6:$F$43,6,0)</f>
        <v>Misbahuddin, ST., MT.</v>
      </c>
      <c r="H2">
        <v>1</v>
      </c>
      <c r="I2" t="str">
        <f>VLOOKUP(A2,Worksheet!$C$2:$D$1267,2,0)</f>
        <v>ALGORITMA DAN PEMROGRAMAN</v>
      </c>
      <c r="J2">
        <f t="shared" ref="J2:J33" si="0">IF(B2=I2,1,0)</f>
        <v>1</v>
      </c>
    </row>
    <row r="3" spans="1:10">
      <c r="A3" t="str">
        <f>VLOOKUP(B3,[2]Sheet1!$D$5:$L$185,9,0)</f>
        <v>EA3101</v>
      </c>
      <c r="B3" t="s">
        <v>437</v>
      </c>
      <c r="C3" t="s">
        <v>14</v>
      </c>
      <c r="D3">
        <f>COUNTIF(Worksheet!$D$2:$D$1267,B3)</f>
        <v>10</v>
      </c>
      <c r="E3">
        <v>24</v>
      </c>
      <c r="F3" t="str">
        <f>VLOOKUP(E3,[3]Sheet2!$A$6:$F$43,4,0)</f>
        <v>0004047303</v>
      </c>
      <c r="G3" t="str">
        <f>VLOOKUP(E3,[3]Sheet2!$A$6:$F$43,6,0)</f>
        <v>I Made Ari Nrartha, ST., MT.</v>
      </c>
      <c r="H3">
        <f t="shared" ref="H3:H35" si="1">H2+1</f>
        <v>2</v>
      </c>
      <c r="I3" t="str">
        <f>VLOOKUP(A3,Worksheet!$C$2:$D$1267,2,0)</f>
        <v>ANALISA SISTEM TENAGA I</v>
      </c>
      <c r="J3">
        <f t="shared" si="0"/>
        <v>1</v>
      </c>
    </row>
    <row r="4" spans="1:10">
      <c r="A4" t="str">
        <f>VLOOKUP(B4,[2]Sheet1!$D$5:$L$185,9,0)</f>
        <v>ED3102</v>
      </c>
      <c r="B4" t="s">
        <v>395</v>
      </c>
      <c r="C4" t="s">
        <v>14</v>
      </c>
      <c r="D4">
        <f>COUNTIF(Worksheet!$D$2:$D$1267,B4)</f>
        <v>16</v>
      </c>
      <c r="E4">
        <v>35</v>
      </c>
      <c r="F4" t="str">
        <f>VLOOKUP(E4,[3]Sheet2!$A$6:$F$43,4,0)</f>
        <v>0010038303</v>
      </c>
      <c r="G4" t="str">
        <f>VLOOKUP(E4,[3]Sheet2!$A$6:$F$43,6,0)</f>
        <v>L. A. Syamsul Irfan Akbar, ST., M.Eng.</v>
      </c>
      <c r="H4">
        <f t="shared" si="1"/>
        <v>3</v>
      </c>
      <c r="I4" t="str">
        <f>VLOOKUP(A4,Worksheet!$C$2:$D$1267,2,0)</f>
        <v>BASIS DATA</v>
      </c>
      <c r="J4">
        <f t="shared" si="0"/>
        <v>1</v>
      </c>
    </row>
    <row r="5" spans="1:10">
      <c r="A5" t="str">
        <f>VLOOKUP(B5,[2]Sheet1!$D$5:$L$185,9,0)</f>
        <v>ES2124</v>
      </c>
      <c r="B5" t="s">
        <v>100</v>
      </c>
      <c r="C5" t="s">
        <v>14</v>
      </c>
      <c r="D5">
        <f>COUNTIF(Worksheet!$D$2:$D$1267,B5)</f>
        <v>35</v>
      </c>
      <c r="E5">
        <v>26</v>
      </c>
      <c r="F5" t="str">
        <f>VLOOKUP(E5,[3]Sheet2!$A$6:$F$43,4,0)</f>
        <v>0023077104</v>
      </c>
      <c r="G5" t="str">
        <f>VLOOKUP(E5,[3]Sheet2!$A$6:$F$43,6,0)</f>
        <v>Paniran, ST., MT.</v>
      </c>
      <c r="H5">
        <f t="shared" si="1"/>
        <v>4</v>
      </c>
      <c r="I5" t="str">
        <f>VLOOKUP(A5,Worksheet!$C$2:$D$1267,2,0)</f>
        <v>DASAR ELEKTRONIKA</v>
      </c>
      <c r="J5">
        <f t="shared" si="0"/>
        <v>1</v>
      </c>
    </row>
    <row r="6" spans="1:10">
      <c r="A6" t="str">
        <f>VLOOKUP(B6,[2]Sheet1!$D$5:$L$185,9,0)</f>
        <v>ES1108</v>
      </c>
      <c r="B6" t="s">
        <v>13</v>
      </c>
      <c r="C6" t="s">
        <v>14</v>
      </c>
      <c r="D6">
        <f>COUNTIF(Worksheet!$D$2:$D$1267,B6)</f>
        <v>38</v>
      </c>
      <c r="E6">
        <v>35</v>
      </c>
      <c r="F6" t="str">
        <f>VLOOKUP(E6,[3]Sheet2!$A$6:$F$43,4,0)</f>
        <v>0010038303</v>
      </c>
      <c r="G6" t="str">
        <f>VLOOKUP(E6,[3]Sheet2!$A$6:$F$43,6,0)</f>
        <v>L. A. Syamsul Irfan Akbar, ST., M.Eng.</v>
      </c>
      <c r="H6">
        <f t="shared" si="1"/>
        <v>5</v>
      </c>
      <c r="I6" t="str">
        <f>VLOOKUP(A6,Worksheet!$C$2:$D$1267,2,0)</f>
        <v>DASAR TEKNOLOGI INFORMASI</v>
      </c>
      <c r="J6">
        <f t="shared" si="0"/>
        <v>1</v>
      </c>
    </row>
    <row r="7" spans="1:10">
      <c r="A7" t="str">
        <f>VLOOKUP(B7,[2]Sheet1!$D$5:$L$185,9,0)</f>
        <v>ES2125</v>
      </c>
      <c r="B7" s="6" t="s">
        <v>190</v>
      </c>
      <c r="C7" s="6" t="s">
        <v>14</v>
      </c>
      <c r="D7" s="6">
        <f>COUNTIF(Worksheet!$D$2:$D$1267,B7)</f>
        <v>33</v>
      </c>
      <c r="E7" s="6">
        <v>12</v>
      </c>
      <c r="F7" s="6" t="str">
        <f>VLOOKUP(E7,[3]Sheet2!$A$6:$F$43,4,0)</f>
        <v>0026027405</v>
      </c>
      <c r="G7" s="6" t="str">
        <f>VLOOKUP(E7,[3]Sheet2!$A$6:$F$43,6,0)</f>
        <v>Ida Bagus Fery Citarsa, ST., MT.</v>
      </c>
      <c r="H7">
        <f t="shared" si="1"/>
        <v>6</v>
      </c>
      <c r="I7" t="str">
        <f>VLOOKUP(A7,Worksheet!$C$2:$D$1267,2,0)</f>
        <v>DASAR TENAGA LISTRIK</v>
      </c>
      <c r="J7">
        <f t="shared" si="0"/>
        <v>1</v>
      </c>
    </row>
    <row r="8" spans="1:10">
      <c r="A8" t="str">
        <f>VLOOKUP(B8,[2]Sheet1!$D$5:$L$185,9,0)</f>
        <v>ES2125</v>
      </c>
      <c r="B8" s="6" t="s">
        <v>190</v>
      </c>
      <c r="C8" s="6" t="s">
        <v>14</v>
      </c>
      <c r="D8" s="6">
        <f>COUNTIF(Worksheet!$D$2:$D$1267,B8)</f>
        <v>33</v>
      </c>
      <c r="E8" s="6">
        <v>13</v>
      </c>
      <c r="F8" s="6" t="str">
        <f>VLOOKUP(E8,[3]Sheet2!$A$6:$F$43,4,0)</f>
        <v>0011027105</v>
      </c>
      <c r="G8" s="6" t="str">
        <f>VLOOKUP(E8,[3]Sheet2!$A$6:$F$43,6,0)</f>
        <v>Agung Budi Muljono, ST., MT.</v>
      </c>
      <c r="H8">
        <f t="shared" si="1"/>
        <v>7</v>
      </c>
      <c r="I8" t="str">
        <f>VLOOKUP(A8,Worksheet!$C$2:$D$1267,2,0)</f>
        <v>DASAR TENAGA LISTRIK</v>
      </c>
      <c r="J8">
        <f t="shared" si="0"/>
        <v>1</v>
      </c>
    </row>
    <row r="9" spans="1:10">
      <c r="A9" t="str">
        <f>VLOOKUP(B9,[2]Sheet1!$D$5:$L$185,9,0)</f>
        <v>ES2233</v>
      </c>
      <c r="B9" s="6" t="s">
        <v>248</v>
      </c>
      <c r="C9" s="6" t="s">
        <v>14</v>
      </c>
      <c r="D9" s="6">
        <f>COUNTIF(Worksheet!$D$2:$D$1267,B9)</f>
        <v>22</v>
      </c>
      <c r="E9" s="6">
        <v>5</v>
      </c>
      <c r="F9" s="6" t="str">
        <f>VLOOKUP(E9,[3]Sheet2!$A$6:$F$43,4,0)</f>
        <v>0031126704</v>
      </c>
      <c r="G9" s="6" t="str">
        <f>VLOOKUP(E9,[3]Sheet2!$A$6:$F$43,6,0)</f>
        <v>Sultan, ST., MT.</v>
      </c>
      <c r="H9">
        <f t="shared" si="1"/>
        <v>8</v>
      </c>
      <c r="I9" t="str">
        <f>VLOOKUP(A9,Worksheet!$C$2:$D$1267,2,0)</f>
        <v>EKONOMI TEKNIK</v>
      </c>
      <c r="J9">
        <f t="shared" si="0"/>
        <v>1</v>
      </c>
    </row>
    <row r="10" spans="1:10">
      <c r="A10" t="str">
        <f>VLOOKUP(B10,[2]Sheet1!$D$5:$L$185,9,0)</f>
        <v>ES2233</v>
      </c>
      <c r="B10" s="6" t="s">
        <v>248</v>
      </c>
      <c r="C10" s="6" t="s">
        <v>14</v>
      </c>
      <c r="D10" s="6">
        <f>COUNTIF(Worksheet!$D$2:$D$1267,B10)</f>
        <v>22</v>
      </c>
      <c r="E10" s="6">
        <v>10</v>
      </c>
      <c r="F10" s="6" t="str">
        <f>VLOOKUP(E10,[3]Sheet2!$A$6:$F$43,4,0)</f>
        <v>0023087003</v>
      </c>
      <c r="G10" s="6" t="str">
        <f>VLOOKUP(E10,[3]Sheet2!$A$6:$F$43,6,0)</f>
        <v>Dr. Ida Ayu Sri Adnyani, ST., MErg.</v>
      </c>
      <c r="H10">
        <f t="shared" si="1"/>
        <v>9</v>
      </c>
      <c r="I10" t="str">
        <f>VLOOKUP(A10,Worksheet!$C$2:$D$1267,2,0)</f>
        <v>EKONOMI TEKNIK</v>
      </c>
      <c r="J10">
        <f t="shared" si="0"/>
        <v>1</v>
      </c>
    </row>
    <row r="11" spans="1:10">
      <c r="A11" t="str">
        <f>VLOOKUP(B11,[2]Sheet1!$D$5:$L$185,9,0)</f>
        <v>EA4115</v>
      </c>
      <c r="B11" t="s">
        <v>449</v>
      </c>
      <c r="C11" t="s">
        <v>14</v>
      </c>
      <c r="D11">
        <f>COUNTIF(Worksheet!$D$2:$D$1267,B11)</f>
        <v>8</v>
      </c>
      <c r="E11">
        <v>8</v>
      </c>
      <c r="F11" t="str">
        <f>VLOOKUP(E11,[3]Sheet2!$A$6:$F$43,4,0)</f>
        <v>0008097004</v>
      </c>
      <c r="G11" t="str">
        <f>VLOOKUP(E11,[3]Sheet2!$A$6:$F$43,6,0)</f>
        <v>I Nyoman Wahyu S., ST., M.Sc., Ph.D.</v>
      </c>
      <c r="H11">
        <f t="shared" si="1"/>
        <v>10</v>
      </c>
      <c r="I11" t="str">
        <f>VLOOKUP(A11,Worksheet!$C$2:$D$1267,2,0)</f>
        <v>ELEKTRONIKA DAYA</v>
      </c>
      <c r="J11">
        <f t="shared" si="0"/>
        <v>1</v>
      </c>
    </row>
    <row r="12" spans="1:10">
      <c r="A12" t="str">
        <f>VLOOKUP(B12,[2]Sheet1!$D$5:$L$185,9,0)</f>
        <v>EA4004</v>
      </c>
      <c r="B12" t="s">
        <v>455</v>
      </c>
      <c r="C12" t="s">
        <v>14</v>
      </c>
      <c r="D12">
        <f>COUNTIF(Worksheet!$D$2:$D$1267,B12)</f>
        <v>12</v>
      </c>
      <c r="E12">
        <v>14</v>
      </c>
      <c r="F12" t="str">
        <f>VLOOKUP(E12,[3]Sheet2!$A$6:$F$43,4,0)</f>
        <v>0009057201</v>
      </c>
      <c r="G12" t="str">
        <f>VLOOKUP(E12,[3]Sheet2!$A$6:$F$43,6,0)</f>
        <v>Abdul Natsir, ST., MT.</v>
      </c>
      <c r="H12">
        <f t="shared" si="1"/>
        <v>11</v>
      </c>
      <c r="I12" t="str">
        <f>VLOOKUP(A12,Worksheet!$C$2:$D$1267,2,0)</f>
        <v>KECERDASAN BUATAN DALAM STL</v>
      </c>
      <c r="J12">
        <f t="shared" si="0"/>
        <v>1</v>
      </c>
    </row>
    <row r="13" spans="1:10">
      <c r="A13" t="str">
        <f>VLOOKUP(B13,[2]Sheet1!$D$5:$L$185,9,0)</f>
        <v>EA4112</v>
      </c>
      <c r="B13" t="s">
        <v>445</v>
      </c>
      <c r="C13" t="s">
        <v>14</v>
      </c>
      <c r="D13">
        <f>COUNTIF(Worksheet!$D$2:$D$1267,B13)</f>
        <v>12</v>
      </c>
      <c r="E13">
        <v>24</v>
      </c>
      <c r="F13" t="str">
        <f>VLOOKUP(E13,[3]Sheet2!$A$6:$F$43,4,0)</f>
        <v>0004047303</v>
      </c>
      <c r="G13" t="str">
        <f>VLOOKUP(E13,[3]Sheet2!$A$6:$F$43,6,0)</f>
        <v>I Made Ari Nrartha, ST., MT.</v>
      </c>
      <c r="H13">
        <f t="shared" si="1"/>
        <v>12</v>
      </c>
      <c r="I13" t="str">
        <f>VLOOKUP(A13,Worksheet!$C$2:$D$1267,2,0)</f>
        <v>MANAJEMEN OPERASI SISTEM TENAGA</v>
      </c>
      <c r="J13">
        <f t="shared" si="0"/>
        <v>1</v>
      </c>
    </row>
    <row r="14" spans="1:10">
      <c r="A14" t="str">
        <f>VLOOKUP(B14,[2]Sheet1!$D$5:$L$185,9,0)</f>
        <v>ED3101</v>
      </c>
      <c r="B14" s="5" t="s">
        <v>389</v>
      </c>
      <c r="C14" s="5" t="s">
        <v>14</v>
      </c>
      <c r="D14" s="5">
        <f>COUNTIF(Worksheet!$D$2:$D$1267,B14)</f>
        <v>15</v>
      </c>
      <c r="E14" s="5">
        <v>7</v>
      </c>
      <c r="F14" s="5" t="str">
        <f>VLOOKUP(E14,[3]Sheet2!$A$6:$F$43,4,0)</f>
        <v>0005106805</v>
      </c>
      <c r="G14" s="5" t="str">
        <f>VLOOKUP(E14,[3]Sheet2!$A$6:$F$43,6,0)</f>
        <v>Misbahuddin, ST., MT.</v>
      </c>
      <c r="H14">
        <f t="shared" si="1"/>
        <v>13</v>
      </c>
      <c r="I14" t="str">
        <f>VLOOKUP(A14,Worksheet!$C$2:$D$1267,2,0)</f>
        <v>MATEMATIKA DISKRIT</v>
      </c>
      <c r="J14">
        <f t="shared" si="0"/>
        <v>1</v>
      </c>
    </row>
    <row r="15" spans="1:10">
      <c r="A15" t="str">
        <f>VLOOKUP(B15,[2]Sheet1!$D$5:$L$185,9,0)</f>
        <v>ES2118</v>
      </c>
      <c r="B15" t="s">
        <v>200</v>
      </c>
      <c r="C15" t="s">
        <v>14</v>
      </c>
      <c r="D15">
        <f>COUNTIF(Worksheet!$D$2:$D$1267,B15)</f>
        <v>36</v>
      </c>
      <c r="E15">
        <v>37</v>
      </c>
      <c r="F15" t="str">
        <f>VLOOKUP(E15,[3]Sheet2!$A$6:$F$43,4,0)</f>
        <v>0827038501</v>
      </c>
      <c r="G15" t="str">
        <f>VLOOKUP(E15,[3]Sheet2!$A$6:$F$43,6,0)</f>
        <v>Suthami Ariessaputra, ST., M.Eng.</v>
      </c>
      <c r="H15">
        <f t="shared" si="1"/>
        <v>14</v>
      </c>
      <c r="I15" t="str">
        <f>VLOOKUP(A15,Worksheet!$C$2:$D$1267,2,0)</f>
        <v>MATEMATIKA TEKNIK I</v>
      </c>
      <c r="J15">
        <f t="shared" si="0"/>
        <v>1</v>
      </c>
    </row>
    <row r="16" spans="1:10">
      <c r="A16" t="str">
        <f>VLOOKUP(B16,[2]Sheet1!$D$5:$L$185,9,0)</f>
        <v>EA3102</v>
      </c>
      <c r="B16" t="s">
        <v>443</v>
      </c>
      <c r="C16" t="s">
        <v>14</v>
      </c>
      <c r="D16">
        <f>COUNTIF(Worksheet!$D$2:$D$1267,B16)</f>
        <v>13</v>
      </c>
      <c r="E16">
        <v>12</v>
      </c>
      <c r="F16" t="str">
        <f>VLOOKUP(E16,[3]Sheet2!$A$6:$F$43,4,0)</f>
        <v>0026027405</v>
      </c>
      <c r="G16" t="str">
        <f>VLOOKUP(E16,[3]Sheet2!$A$6:$F$43,6,0)</f>
        <v>Ida Bagus Fery Citarsa, ST., MT.</v>
      </c>
      <c r="H16">
        <f t="shared" si="1"/>
        <v>15</v>
      </c>
      <c r="I16" t="str">
        <f>VLOOKUP(A16,Worksheet!$C$2:$D$1267,2,0)</f>
        <v>MESIN LISTRIK I</v>
      </c>
      <c r="J16">
        <f t="shared" si="0"/>
        <v>1</v>
      </c>
    </row>
    <row r="17" spans="1:10">
      <c r="A17" t="str">
        <f>VLOOKUP(B17,[2]Sheet1!$D$5:$L$185,9,0)</f>
        <v>EA3103</v>
      </c>
      <c r="B17" t="s">
        <v>441</v>
      </c>
      <c r="C17" t="s">
        <v>14</v>
      </c>
      <c r="D17">
        <f>COUNTIF(Worksheet!$D$2:$D$1267,B17)</f>
        <v>10</v>
      </c>
      <c r="E17">
        <v>14</v>
      </c>
      <c r="F17" t="str">
        <f>VLOOKUP(E17,[3]Sheet2!$A$6:$F$43,4,0)</f>
        <v>0009057201</v>
      </c>
      <c r="G17" t="str">
        <f>VLOOKUP(E17,[3]Sheet2!$A$6:$F$43,6,0)</f>
        <v>Abdul Natsir, ST., MT.</v>
      </c>
      <c r="H17">
        <f t="shared" si="1"/>
        <v>16</v>
      </c>
      <c r="I17" t="str">
        <f>VLOOKUP(A17,Worksheet!$C$2:$D$1267,2,0)</f>
        <v>PEMBANGKIT TENAGA LISTRIK</v>
      </c>
      <c r="J17">
        <f t="shared" si="0"/>
        <v>1</v>
      </c>
    </row>
    <row r="18" spans="1:10">
      <c r="A18" t="str">
        <f>VLOOKUP(B18,[2]Sheet1!$D$5:$L$185,9,0)</f>
        <v>ED3104</v>
      </c>
      <c r="B18" t="s">
        <v>391</v>
      </c>
      <c r="C18" t="s">
        <v>14</v>
      </c>
      <c r="D18">
        <f>COUNTIF(Worksheet!$D$2:$D$1267,B18)</f>
        <v>15</v>
      </c>
      <c r="E18">
        <v>30</v>
      </c>
      <c r="F18" t="str">
        <f>VLOOKUP(E18,[3]Sheet2!$A$6:$F$43,4,0)</f>
        <v>0005097305</v>
      </c>
      <c r="G18" t="str">
        <f>VLOOKUP(E18,[3]Sheet2!$A$6:$F$43,6,0)</f>
        <v>Sayidiman, ST., M.Eng</v>
      </c>
      <c r="H18">
        <f t="shared" si="1"/>
        <v>17</v>
      </c>
      <c r="I18" t="str">
        <f>VLOOKUP(A18,Worksheet!$C$2:$D$1267,2,0)</f>
        <v>PEMROGRAMAN BERORIENTASI OBYEK</v>
      </c>
      <c r="J18">
        <f t="shared" si="0"/>
        <v>1</v>
      </c>
    </row>
    <row r="19" spans="1:10">
      <c r="A19" t="str">
        <f>VLOOKUP(B19,[2]Sheet1!$D$5:$L$185,9,0)</f>
        <v>ED4006</v>
      </c>
      <c r="B19" t="s">
        <v>408</v>
      </c>
      <c r="C19" t="s">
        <v>14</v>
      </c>
      <c r="D19">
        <f>COUNTIF(Worksheet!$D$2:$D$1267,B19)</f>
        <v>17</v>
      </c>
      <c r="E19">
        <v>30</v>
      </c>
      <c r="F19" t="str">
        <f>VLOOKUP(E19,[3]Sheet2!$A$6:$F$43,4,0)</f>
        <v>0005097305</v>
      </c>
      <c r="G19" t="str">
        <f>VLOOKUP(E19,[3]Sheet2!$A$6:$F$43,6,0)</f>
        <v>Sayidiman, ST., M.Eng</v>
      </c>
      <c r="H19">
        <f t="shared" si="1"/>
        <v>18</v>
      </c>
      <c r="I19" t="str">
        <f>VLOOKUP(A19,Worksheet!$C$2:$D$1267,2,0)</f>
        <v>PEMROGRAMAN PLATFORM INDEPENDENT</v>
      </c>
      <c r="J19">
        <f t="shared" si="0"/>
        <v>1</v>
      </c>
    </row>
    <row r="20" spans="1:10">
      <c r="A20" t="str">
        <f>VLOOKUP(B20,[2]Sheet1!$D$5:$L$185,9,0)</f>
        <v>ES2122</v>
      </c>
      <c r="B20" s="6" t="s">
        <v>170</v>
      </c>
      <c r="C20" s="6" t="s">
        <v>14</v>
      </c>
      <c r="D20" s="6">
        <f>COUNTIF(Worksheet!$D$2:$D$1267,B20)</f>
        <v>30</v>
      </c>
      <c r="E20" s="6">
        <v>5</v>
      </c>
      <c r="F20" s="6" t="str">
        <f>VLOOKUP(E20,[3]Sheet2!$A$6:$F$43,4,0)</f>
        <v>0031126704</v>
      </c>
      <c r="G20" s="6" t="str">
        <f>VLOOKUP(E20,[3]Sheet2!$A$6:$F$43,6,0)</f>
        <v>Sultan, ST., MT.</v>
      </c>
      <c r="H20">
        <f t="shared" si="1"/>
        <v>19</v>
      </c>
      <c r="I20" t="str">
        <f>VLOOKUP(A20,Worksheet!$C$2:$D$1267,2,0)</f>
        <v>PENGUKURAN BESARAN LISTRIK</v>
      </c>
      <c r="J20">
        <f t="shared" si="0"/>
        <v>1</v>
      </c>
    </row>
    <row r="21" spans="1:10">
      <c r="A21" t="str">
        <f>VLOOKUP(B21,[2]Sheet1!$D$5:$L$185,9,0)</f>
        <v>ES2122</v>
      </c>
      <c r="B21" s="6" t="s">
        <v>170</v>
      </c>
      <c r="C21" s="6" t="s">
        <v>14</v>
      </c>
      <c r="D21" s="6">
        <f>COUNTIF(Worksheet!$D$2:$D$1267,B21)</f>
        <v>30</v>
      </c>
      <c r="E21" s="6">
        <v>25</v>
      </c>
      <c r="F21" s="6" t="str">
        <f>VLOOKUP(E21,[3]Sheet2!$A$6:$F$43,4,0)</f>
        <v>0025037004</v>
      </c>
      <c r="G21" s="6" t="str">
        <f>VLOOKUP(E21,[3]Sheet2!$A$6:$F$43,6,0)</f>
        <v>Dr. I Made Ginarsa, ST., MT.</v>
      </c>
      <c r="H21">
        <f t="shared" si="1"/>
        <v>20</v>
      </c>
      <c r="I21" t="str">
        <f>VLOOKUP(A21,Worksheet!$C$2:$D$1267,2,0)</f>
        <v>PENGUKURAN BESARAN LISTRIK</v>
      </c>
      <c r="J21">
        <f t="shared" si="0"/>
        <v>1</v>
      </c>
    </row>
    <row r="22" spans="1:10">
      <c r="A22" t="str">
        <f>VLOOKUP(B22,[2]Sheet1!$D$5:$L$185,9,0)</f>
        <v>ES4144</v>
      </c>
      <c r="B22" t="s">
        <v>260</v>
      </c>
      <c r="C22" t="s">
        <v>14</v>
      </c>
      <c r="D22">
        <f>COUNTIF(Worksheet!$D$2:$D$1267,B22)</f>
        <v>24</v>
      </c>
      <c r="E22">
        <v>10</v>
      </c>
      <c r="F22" t="str">
        <f>VLOOKUP(E22,[3]Sheet2!$A$6:$F$43,4,0)</f>
        <v>0023087003</v>
      </c>
      <c r="G22" t="str">
        <f>VLOOKUP(E22,[3]Sheet2!$A$6:$F$43,6,0)</f>
        <v>Dr. Ida Ayu Sri Adnyani, ST., MErg.</v>
      </c>
      <c r="H22">
        <f t="shared" si="1"/>
        <v>21</v>
      </c>
      <c r="I22" t="str">
        <f>VLOOKUP(A22,Worksheet!$C$2:$D$1267,2,0)</f>
        <v>PRA TUGAS AKHIR</v>
      </c>
      <c r="J22">
        <f t="shared" si="0"/>
        <v>1</v>
      </c>
    </row>
    <row r="23" spans="1:10">
      <c r="A23" t="str">
        <f>VLOOKUP(B23,[2]Sheet1!$D$5:$L$185,9,0)</f>
        <v>ES2230</v>
      </c>
      <c r="B23" s="6" t="s">
        <v>256</v>
      </c>
      <c r="C23" s="6" t="s">
        <v>14</v>
      </c>
      <c r="D23" s="6">
        <f>COUNTIF(Worksheet!$D$2:$D$1267,B23)</f>
        <v>21</v>
      </c>
      <c r="E23" s="6">
        <v>18</v>
      </c>
      <c r="F23" s="6" t="str">
        <f>VLOOKUP(E23,[3]Sheet2!$A$6:$F$43,4,0)</f>
        <v>0022027205</v>
      </c>
      <c r="G23" s="6" t="str">
        <f>VLOOKUP(E23,[3]Sheet2!$A$6:$F$43,6,0)</f>
        <v>Muhamad Syamsu Iqbal, ST., MT.</v>
      </c>
      <c r="H23">
        <f t="shared" si="1"/>
        <v>22</v>
      </c>
      <c r="I23" t="str">
        <f>VLOOKUP(A23,Worksheet!$C$2:$D$1267,2,0)</f>
        <v>PROSES STOKASTIK</v>
      </c>
      <c r="J23">
        <f t="shared" si="0"/>
        <v>1</v>
      </c>
    </row>
    <row r="24" spans="1:10">
      <c r="A24" t="str">
        <f>VLOOKUP(B24,[2]Sheet1!$D$5:$L$185,9,0)</f>
        <v>ES2230</v>
      </c>
      <c r="B24" s="6" t="s">
        <v>256</v>
      </c>
      <c r="C24" s="6" t="s">
        <v>14</v>
      </c>
      <c r="D24" s="6">
        <f>COUNTIF(Worksheet!$D$2:$D$1267,B24)</f>
        <v>21</v>
      </c>
      <c r="E24" s="6">
        <v>6</v>
      </c>
      <c r="F24" s="6" t="str">
        <f>VLOOKUP(E24,[3]Sheet2!$A$6:$F$43,4,0)</f>
        <v>0026056701</v>
      </c>
      <c r="G24" s="6" t="str">
        <f>VLOOKUP(E24,[3]Sheet2!$A$6:$F$43,6,0)</f>
        <v>Sudi M. Al Sasongko, ST., MT.</v>
      </c>
      <c r="H24">
        <f t="shared" si="1"/>
        <v>23</v>
      </c>
      <c r="I24" t="str">
        <f>VLOOKUP(A24,Worksheet!$C$2:$D$1267,2,0)</f>
        <v>PROSES STOKASTIK</v>
      </c>
      <c r="J24">
        <f t="shared" si="0"/>
        <v>1</v>
      </c>
    </row>
    <row r="25" spans="1:10">
      <c r="A25" t="str">
        <f>VLOOKUP(B25,[2]Sheet1!$D$5:$L$185,9,0)</f>
        <v>EA4113</v>
      </c>
      <c r="B25" t="s">
        <v>459</v>
      </c>
      <c r="C25" t="s">
        <v>14</v>
      </c>
      <c r="D25">
        <f>COUNTIF(Worksheet!$D$2:$D$1267,B25)</f>
        <v>11</v>
      </c>
      <c r="E25">
        <v>2</v>
      </c>
      <c r="F25" t="str">
        <f>VLOOKUP(E25,[3]Sheet2!$A$6:$F$43,4,0)</f>
        <v>0007067105</v>
      </c>
      <c r="G25" t="str">
        <f>VLOOKUP(E25,[3]Sheet2!$A$6:$F$43,6,0)</f>
        <v>Supriyatna, ST., MT.</v>
      </c>
      <c r="H25">
        <f t="shared" si="1"/>
        <v>24</v>
      </c>
      <c r="I25" t="str">
        <f>VLOOKUP(A25,Worksheet!$C$2:$D$1267,2,0)</f>
        <v>PROTEKSI SISTEM TENAGA</v>
      </c>
      <c r="J25">
        <f t="shared" si="0"/>
        <v>1</v>
      </c>
    </row>
    <row r="26" spans="1:10">
      <c r="A26" t="str">
        <f>VLOOKUP(B26,[2]Sheet1!$D$5:$L$185,9,0)</f>
        <v>ES1212</v>
      </c>
      <c r="B26" t="s">
        <v>180</v>
      </c>
      <c r="C26" t="s">
        <v>14</v>
      </c>
      <c r="D26">
        <f>COUNTIF(Worksheet!$D$2:$D$1267,B26)</f>
        <v>42</v>
      </c>
      <c r="E26">
        <v>28</v>
      </c>
      <c r="F26" t="str">
        <f>VLOOKUP(E26,[3]Sheet2!$A$6:$F$43,4,0)</f>
        <v>0013077104</v>
      </c>
      <c r="G26" t="str">
        <f>VLOOKUP(E26,[3]Sheet2!$A$6:$F$43,6,0)</f>
        <v>Sabar Nababan, ST., MT.</v>
      </c>
      <c r="H26">
        <f t="shared" si="1"/>
        <v>25</v>
      </c>
      <c r="I26" t="str">
        <f>VLOOKUP(A26,Worksheet!$C$2:$D$1267,2,0)</f>
        <v>RANGKAIAN LISTRIK I</v>
      </c>
      <c r="J26">
        <f t="shared" si="0"/>
        <v>1</v>
      </c>
    </row>
    <row r="27" spans="1:10">
      <c r="A27" t="str">
        <f>VLOOKUP(B27,[2]Sheet1!$D$5:$L$185,9,0)</f>
        <v>ED3103</v>
      </c>
      <c r="B27" t="s">
        <v>393</v>
      </c>
      <c r="C27" t="s">
        <v>14</v>
      </c>
      <c r="D27">
        <f>COUNTIF(Worksheet!$D$2:$D$1267,B27)</f>
        <v>17</v>
      </c>
      <c r="E27">
        <v>36</v>
      </c>
      <c r="F27" t="str">
        <f>VLOOKUP(E27,[3]Sheet2!$A$6:$F$43,4,0)</f>
        <v>0004098205</v>
      </c>
      <c r="G27" t="str">
        <f>VLOOKUP(E27,[3]Sheet2!$A$6:$F$43,6,0)</f>
        <v>Giri Wahyu Wiriasto, ST., MT.</v>
      </c>
      <c r="H27">
        <f t="shared" si="1"/>
        <v>26</v>
      </c>
      <c r="I27" t="str">
        <f>VLOOKUP(A27,Worksheet!$C$2:$D$1267,2,0)</f>
        <v>REKAYASA PERANGKAT LUNAK</v>
      </c>
      <c r="J27">
        <f t="shared" si="0"/>
        <v>1</v>
      </c>
    </row>
    <row r="28" spans="1:10">
      <c r="A28" t="str">
        <f>VLOOKUP(B28,[2]Sheet1!$D$5:$L$185,9,0)</f>
        <v>ED4111</v>
      </c>
      <c r="B28" t="s">
        <v>403</v>
      </c>
      <c r="C28" t="s">
        <v>14</v>
      </c>
      <c r="D28">
        <f>COUNTIF(Worksheet!$D$2:$D$1267,B28)</f>
        <v>19</v>
      </c>
      <c r="E28">
        <v>36</v>
      </c>
      <c r="F28" t="str">
        <f>VLOOKUP(E28,[3]Sheet2!$A$6:$F$43,4,0)</f>
        <v>0004098205</v>
      </c>
      <c r="G28" t="str">
        <f>VLOOKUP(E28,[3]Sheet2!$A$6:$F$43,6,0)</f>
        <v>Giri Wahyu Wiriasto, ST., MT.</v>
      </c>
      <c r="H28">
        <f t="shared" si="1"/>
        <v>27</v>
      </c>
      <c r="I28" t="str">
        <f>VLOOKUP(A28,Worksheet!$C$2:$D$1267,2,0)</f>
        <v>SISTEM INFORMASI MANAJEMEN</v>
      </c>
      <c r="J28">
        <f t="shared" si="0"/>
        <v>1</v>
      </c>
    </row>
    <row r="29" spans="1:10" s="5" customFormat="1">
      <c r="A29" t="str">
        <f>VLOOKUP(B29,[2]Sheet1!$D$5:$L$185,9,0)</f>
        <v>ES3139</v>
      </c>
      <c r="B29" t="s">
        <v>242</v>
      </c>
      <c r="C29" t="s">
        <v>14</v>
      </c>
      <c r="D29">
        <f>COUNTIF(Worksheet!$D$2:$D$1267,B29)</f>
        <v>25</v>
      </c>
      <c r="E29">
        <v>8</v>
      </c>
      <c r="F29" t="str">
        <f>VLOOKUP(E29,[3]Sheet2!$A$6:$F$43,4,0)</f>
        <v>0008097004</v>
      </c>
      <c r="G29" t="str">
        <f>VLOOKUP(E29,[3]Sheet2!$A$6:$F$43,6,0)</f>
        <v>I Nyoman Wahyu S., ST., M.Sc., Ph.D.</v>
      </c>
      <c r="H29">
        <f t="shared" si="1"/>
        <v>28</v>
      </c>
      <c r="I29" t="str">
        <f>VLOOKUP(A29,Worksheet!$C$2:$D$1267,2,0)</f>
        <v>SISTEM KENDALI</v>
      </c>
      <c r="J29">
        <f t="shared" si="0"/>
        <v>1</v>
      </c>
    </row>
    <row r="30" spans="1:10">
      <c r="A30" t="str">
        <f>VLOOKUP(B30,[2]Sheet1!$D$5:$L$185,9,0)</f>
        <v>ES3138</v>
      </c>
      <c r="B30" s="6" t="s">
        <v>246</v>
      </c>
      <c r="C30" s="6" t="s">
        <v>14</v>
      </c>
      <c r="D30" s="6">
        <f>COUNTIF(Worksheet!$D$2:$D$1267,B30)</f>
        <v>8</v>
      </c>
      <c r="E30" s="6">
        <v>31</v>
      </c>
      <c r="F30" s="6" t="str">
        <f>VLOOKUP(E30,[3]Sheet2!$A$6:$F$43,4,0)</f>
        <v>0029077204</v>
      </c>
      <c r="G30" s="6" t="str">
        <f>VLOOKUP(E30,[3]Sheet2!$A$6:$F$43,6,0)</f>
        <v>Djulfikry Budiman, ST.</v>
      </c>
      <c r="H30">
        <f t="shared" si="1"/>
        <v>29</v>
      </c>
      <c r="I30" t="str">
        <f>VLOOKUP(A30,Worksheet!$C$2:$D$1267,2,0)</f>
        <v>SISTEM MIKROPROSESOR</v>
      </c>
      <c r="J30">
        <f t="shared" si="0"/>
        <v>1</v>
      </c>
    </row>
    <row r="31" spans="1:10">
      <c r="A31" t="str">
        <f>VLOOKUP(B31,[2]Sheet1!$D$5:$L$185,9,0)</f>
        <v>ES3138</v>
      </c>
      <c r="B31" s="6" t="s">
        <v>246</v>
      </c>
      <c r="C31" s="6" t="s">
        <v>14</v>
      </c>
      <c r="D31" s="6">
        <f>COUNTIF(Worksheet!$D$2:$D$1267,B31)</f>
        <v>8</v>
      </c>
      <c r="E31" s="6">
        <v>34</v>
      </c>
      <c r="F31" s="6" t="str">
        <f>VLOOKUP(E31,[3]Sheet2!$A$6:$F$43,4,0)</f>
        <v>0016048107</v>
      </c>
      <c r="G31" s="6" t="str">
        <f>VLOOKUP(E31,[3]Sheet2!$A$6:$F$43,6,0)</f>
        <v>Muhamad Irwan. ST., MT.</v>
      </c>
      <c r="H31">
        <f t="shared" si="1"/>
        <v>30</v>
      </c>
      <c r="I31" t="str">
        <f>VLOOKUP(A31,Worksheet!$C$2:$D$1267,2,0)</f>
        <v>SISTEM MIKROPROSESOR</v>
      </c>
      <c r="J31">
        <f t="shared" si="0"/>
        <v>1</v>
      </c>
    </row>
    <row r="32" spans="1:10">
      <c r="A32" t="str">
        <f>VLOOKUP(B32,[2]Sheet1!$D$5:$L$185,9,0)</f>
        <v>EA4010</v>
      </c>
      <c r="B32" t="s">
        <v>451</v>
      </c>
      <c r="C32" t="s">
        <v>14</v>
      </c>
      <c r="D32">
        <f>COUNTIF(Worksheet!$D$2:$D$1267,B32)</f>
        <v>16</v>
      </c>
      <c r="E32">
        <v>25</v>
      </c>
      <c r="F32" t="str">
        <f>VLOOKUP(E32,[3]Sheet2!$A$6:$F$43,4,0)</f>
        <v>0025037004</v>
      </c>
      <c r="G32" t="str">
        <f>VLOOKUP(E32,[3]Sheet2!$A$6:$F$43,6,0)</f>
        <v>Dr. I Made Ginarsa, ST., MT.</v>
      </c>
      <c r="H32">
        <f t="shared" si="1"/>
        <v>31</v>
      </c>
      <c r="I32" t="str">
        <f>VLOOKUP(A32,Worksheet!$C$2:$D$1267,2,0)</f>
        <v>SISTEM SCADA</v>
      </c>
      <c r="J32">
        <f t="shared" si="0"/>
        <v>1</v>
      </c>
    </row>
    <row r="33" spans="1:10">
      <c r="A33" t="str">
        <f>VLOOKUP(B33,[2]Sheet1!$D$5:$L$185,9,0)</f>
        <v>ES4246</v>
      </c>
      <c r="B33" t="s">
        <v>387</v>
      </c>
      <c r="C33" t="s">
        <v>14</v>
      </c>
      <c r="D33">
        <f>COUNTIF(Worksheet!$D$2:$D$1267,B33)</f>
        <v>11</v>
      </c>
      <c r="E33">
        <v>15</v>
      </c>
      <c r="F33" t="str">
        <f>VLOOKUP(E33,[3]Sheet2!$A$6:$F$43,4,0)</f>
        <v>0026107201</v>
      </c>
      <c r="G33" t="str">
        <f>VLOOKUP(E33,[3]Sheet2!$A$6:$F$43,6,0)</f>
        <v>Abdullah Zainuddin, ST., MT.</v>
      </c>
      <c r="H33">
        <f t="shared" si="1"/>
        <v>32</v>
      </c>
      <c r="I33" t="str">
        <f>VLOOKUP(A33,Worksheet!$C$2:$D$1267,2,0)</f>
        <v>TECHNOPRENEURSHIP</v>
      </c>
      <c r="J33">
        <f t="shared" si="0"/>
        <v>1</v>
      </c>
    </row>
    <row r="34" spans="1:10" s="6" customFormat="1">
      <c r="A34" t="str">
        <f>VLOOKUP(B34,[2]Sheet1!$D$5:$L$185,9,0)</f>
        <v>EB4111</v>
      </c>
      <c r="B34" t="s">
        <v>406</v>
      </c>
      <c r="C34" t="s">
        <v>14</v>
      </c>
      <c r="D34">
        <f>COUNTIF(Worksheet!$D$2:$D$1267,B34)</f>
        <v>11</v>
      </c>
      <c r="E34">
        <v>23</v>
      </c>
      <c r="F34" t="str">
        <f>VLOOKUP(E34,[3]Sheet2!$A$6:$F$43,4,0)</f>
        <v>0026047105</v>
      </c>
      <c r="G34" t="str">
        <f>VLOOKUP(E34,[3]Sheet2!$A$6:$F$43,6,0)</f>
        <v>I Made Budi Suksmadana, ST., MT.</v>
      </c>
      <c r="H34">
        <f t="shared" si="1"/>
        <v>33</v>
      </c>
      <c r="I34" t="str">
        <f>VLOOKUP(A34,Worksheet!$C$2:$D$1267,2,0)</f>
        <v>TEKNIK INTERFACING DAN SISTEM EMBEDDED</v>
      </c>
      <c r="J34">
        <f t="shared" ref="J34:J65" si="2">IF(B34=I34,1,0)</f>
        <v>1</v>
      </c>
    </row>
    <row r="35" spans="1:10" s="6" customFormat="1">
      <c r="A35" t="str">
        <f>VLOOKUP(B35,[2]Sheet1!$D$5:$L$185,9,0)</f>
        <v>EA3104</v>
      </c>
      <c r="B35" t="s">
        <v>439</v>
      </c>
      <c r="C35" t="s">
        <v>14</v>
      </c>
      <c r="D35">
        <f>COUNTIF(Worksheet!$D$2:$D$1267,B35)</f>
        <v>11</v>
      </c>
      <c r="E35">
        <v>13</v>
      </c>
      <c r="F35" t="str">
        <f>VLOOKUP(E35,[3]Sheet2!$A$6:$F$43,4,0)</f>
        <v>0011027105</v>
      </c>
      <c r="G35" t="str">
        <f>VLOOKUP(E35,[3]Sheet2!$A$6:$F$43,6,0)</f>
        <v>Agung Budi Muljono, ST., MT.</v>
      </c>
      <c r="H35">
        <f t="shared" si="1"/>
        <v>34</v>
      </c>
      <c r="I35" t="str">
        <f>VLOOKUP(A35,Worksheet!$C$2:$D$1267,2,0)</f>
        <v>TRANSMISI TENAGA LISTRIK</v>
      </c>
      <c r="J35">
        <f t="shared" si="2"/>
        <v>1</v>
      </c>
    </row>
    <row r="36" spans="1:10" s="6" customFormat="1">
      <c r="A36" t="str">
        <f>VLOOKUP(B36,[2]Sheet1!$D$5:$L$185,9,0)</f>
        <v>ED4013</v>
      </c>
      <c r="B36" t="s">
        <v>397</v>
      </c>
      <c r="C36" t="s">
        <v>575</v>
      </c>
      <c r="D36">
        <f>COUNTIF(Worksheet!$D$2:$D$1267,B36)</f>
        <v>4</v>
      </c>
      <c r="E36"/>
      <c r="F36"/>
      <c r="G36"/>
      <c r="H36"/>
      <c r="I36" t="str">
        <f>VLOOKUP(A36,Worksheet!$C$2:$D$1267,2,0)</f>
        <v>TEKNIK NEURO FUZZY</v>
      </c>
      <c r="J36">
        <f t="shared" si="2"/>
        <v>1</v>
      </c>
    </row>
    <row r="37" spans="1:10" s="6" customFormat="1">
      <c r="A37" t="str">
        <f>VLOOKUP(B37,[2]Sheet1!$D$5:$L$185,9,0)</f>
        <v>EA4002</v>
      </c>
      <c r="B37" t="s">
        <v>461</v>
      </c>
      <c r="C37" t="s">
        <v>575</v>
      </c>
      <c r="D37">
        <f>COUNTIF(Worksheet!$D$2:$D$1267,B37)</f>
        <v>3</v>
      </c>
      <c r="E37"/>
      <c r="F37"/>
      <c r="G37"/>
      <c r="H37"/>
      <c r="I37" t="str">
        <f>VLOOKUP(A37,Worksheet!$C$2:$D$1267,2,0)</f>
        <v>GEJALA MEDAN TINGGI</v>
      </c>
      <c r="J37">
        <f t="shared" si="2"/>
        <v>1</v>
      </c>
    </row>
    <row r="38" spans="1:10">
      <c r="A38" t="str">
        <f>VLOOKUP(B38,[2]Sheet1!$D$5:$L$185,9,0)</f>
        <v>EB4115</v>
      </c>
      <c r="B38" t="s">
        <v>434</v>
      </c>
      <c r="C38" t="s">
        <v>575</v>
      </c>
      <c r="D38">
        <f>COUNTIF(Worksheet!$D$2:$D$1267,B38)</f>
        <v>3</v>
      </c>
      <c r="I38" t="str">
        <f>VLOOKUP(A38,Worksheet!$C$2:$D$1267,2,0)</f>
        <v>TEKNIK KENDALI DIGITAL</v>
      </c>
      <c r="J38">
        <f t="shared" si="2"/>
        <v>1</v>
      </c>
    </row>
    <row r="39" spans="1:10">
      <c r="A39" t="str">
        <f>VLOOKUP(B39,[2]Sheet1!$D$5:$L$185,9,0)</f>
        <v>EB3103</v>
      </c>
      <c r="B39" t="s">
        <v>420</v>
      </c>
      <c r="C39" t="s">
        <v>575</v>
      </c>
      <c r="D39">
        <f>COUNTIF(Worksheet!$D$2:$D$1267,B39)</f>
        <v>2</v>
      </c>
      <c r="I39" t="str">
        <f>VLOOKUP(A39,Worksheet!$C$2:$D$1267,2,0)</f>
        <v>ELEKTRONIKA DIGITAL</v>
      </c>
      <c r="J39">
        <f t="shared" si="2"/>
        <v>1</v>
      </c>
    </row>
    <row r="40" spans="1:10">
      <c r="A40" t="str">
        <f>VLOOKUP(B40,[2]Sheet1!$D$5:$L$185,9,0)</f>
        <v>EB4112</v>
      </c>
      <c r="B40" t="s">
        <v>430</v>
      </c>
      <c r="C40" t="s">
        <v>575</v>
      </c>
      <c r="D40">
        <f>COUNTIF(Worksheet!$D$2:$D$1267,B40)</f>
        <v>2</v>
      </c>
      <c r="I40" t="str">
        <f>VLOOKUP(A40,Worksheet!$C$2:$D$1267,2,0)</f>
        <v>PERANCANGAN SISTEM ELEKTRONIKA</v>
      </c>
      <c r="J40">
        <f t="shared" si="2"/>
        <v>1</v>
      </c>
    </row>
    <row r="41" spans="1:10" s="5" customFormat="1">
      <c r="A41" t="str">
        <f>VLOOKUP(B41,[2]Sheet1!$D$5:$L$185,9,0)</f>
        <v>EB3105</v>
      </c>
      <c r="B41" t="s">
        <v>424</v>
      </c>
      <c r="C41" t="s">
        <v>575</v>
      </c>
      <c r="D41">
        <f>COUNTIF(Worksheet!$D$2:$D$1267,B41)</f>
        <v>1</v>
      </c>
      <c r="E41"/>
      <c r="F41"/>
      <c r="G41"/>
      <c r="H41"/>
      <c r="I41" t="str">
        <f>VLOOKUP(A41,Worksheet!$C$2:$D$1267,2,0)</f>
        <v>ELEKTRONIKA ANALOG</v>
      </c>
      <c r="J41">
        <f t="shared" si="2"/>
        <v>1</v>
      </c>
    </row>
    <row r="42" spans="1:10">
      <c r="A42" t="str">
        <f>VLOOKUP(B42,[2]Sheet1!$D$5:$L$185,9,0)</f>
        <v>EB4003</v>
      </c>
      <c r="B42" t="s">
        <v>432</v>
      </c>
      <c r="C42" t="s">
        <v>575</v>
      </c>
      <c r="D42">
        <f>COUNTIF(Worksheet!$D$2:$D$1267,B42)</f>
        <v>1</v>
      </c>
      <c r="I42" t="str">
        <f>VLOOKUP(A42,Worksheet!$C$2:$D$1267,2,0)</f>
        <v>JARINGAN SYARAF TIRUAN</v>
      </c>
      <c r="J42">
        <f t="shared" si="2"/>
        <v>1</v>
      </c>
    </row>
    <row r="43" spans="1:10">
      <c r="A43" t="str">
        <f>VLOOKUP(B43,[2]Sheet1!$D$5:$L$185,9,0)</f>
        <v>EB4007</v>
      </c>
      <c r="B43" t="s">
        <v>426</v>
      </c>
      <c r="C43" t="s">
        <v>575</v>
      </c>
      <c r="D43">
        <f>COUNTIF(Worksheet!$D$2:$D$1267,B43)</f>
        <v>1</v>
      </c>
      <c r="I43" t="str">
        <f>VLOOKUP(A43,Worksheet!$C$2:$D$1267,2,0)</f>
        <v>PENGOLAHAN CITRA DIGITAL</v>
      </c>
      <c r="J43">
        <f t="shared" si="2"/>
        <v>1</v>
      </c>
    </row>
    <row r="44" spans="1:10">
      <c r="A44" t="str">
        <f>VLOOKUP(B44,[2]Sheet1!$D$5:$L$185,9,0)</f>
        <v>EB3101</v>
      </c>
      <c r="B44" t="s">
        <v>416</v>
      </c>
      <c r="C44" t="s">
        <v>575</v>
      </c>
      <c r="D44">
        <f>COUNTIF(Worksheet!$D$2:$D$1267,B44)</f>
        <v>1</v>
      </c>
      <c r="I44" t="str">
        <f>VLOOKUP(A44,Worksheet!$C$2:$D$1267,2,0)</f>
        <v>RANGKAIAN ELEKTRONIKA</v>
      </c>
      <c r="J44">
        <f t="shared" si="2"/>
        <v>1</v>
      </c>
    </row>
    <row r="45" spans="1:10">
      <c r="A45" t="str">
        <f>VLOOKUP(B45,[2]Sheet1!$D$5:$L$185,9,0)</f>
        <v>EC3102</v>
      </c>
      <c r="B45" t="s">
        <v>412</v>
      </c>
      <c r="C45" t="s">
        <v>575</v>
      </c>
      <c r="D45">
        <f>COUNTIF(Worksheet!$D$2:$D$1267,B45)</f>
        <v>1</v>
      </c>
      <c r="I45" t="str">
        <f>VLOOKUP(A45,Worksheet!$C$2:$D$1267,2,0)</f>
        <v>SISTEM TELEKOMUNIKASI</v>
      </c>
      <c r="J45">
        <f t="shared" si="2"/>
        <v>1</v>
      </c>
    </row>
    <row r="46" spans="1:10">
      <c r="A46" t="str">
        <f>VLOOKUP(B46,[2]Sheet1!$D$5:$L$185,9,0)</f>
        <v>ED4010</v>
      </c>
      <c r="B46" t="s">
        <v>401</v>
      </c>
      <c r="C46" t="s">
        <v>575</v>
      </c>
      <c r="D46">
        <f>COUNTIF(Worksheet!$D$2:$D$1267,B46)</f>
        <v>6</v>
      </c>
      <c r="I46" t="str">
        <f>VLOOKUP(A46,Worksheet!$C$2:$D$1267,2,0)</f>
        <v>PROYEK PERANGKAT LUNAK</v>
      </c>
      <c r="J46">
        <f t="shared" si="2"/>
        <v>1</v>
      </c>
    </row>
    <row r="47" spans="1:10" s="6" customFormat="1">
      <c r="A47" t="str">
        <f>VLOOKUP(B47,[2]Sheet1!$D$5:$L$185,9,0)</f>
        <v>ES4248</v>
      </c>
      <c r="B47" t="s">
        <v>278</v>
      </c>
      <c r="C47" t="s">
        <v>576</v>
      </c>
      <c r="D47">
        <f>COUNTIF(Worksheet!$D$2:$D$1267,B47)</f>
        <v>75</v>
      </c>
      <c r="E47"/>
      <c r="F47"/>
      <c r="G47"/>
      <c r="H47"/>
      <c r="I47" t="str">
        <f>VLOOKUP(A47,Worksheet!$C$2:$D$1267,2,0)</f>
        <v>TUGAS AKHIR</v>
      </c>
      <c r="J47">
        <f t="shared" si="2"/>
        <v>1</v>
      </c>
    </row>
    <row r="48" spans="1:10" s="6" customFormat="1">
      <c r="A48" t="str">
        <f>VLOOKUP(B48,[2]Sheet1!$D$5:$L$185,9,0)</f>
        <v>ES2232</v>
      </c>
      <c r="B48" t="s">
        <v>236</v>
      </c>
      <c r="C48" t="s">
        <v>576</v>
      </c>
      <c r="D48">
        <f>COUNTIF(Worksheet!$D$2:$D$1267,B48)</f>
        <v>38</v>
      </c>
      <c r="E48"/>
      <c r="F48"/>
      <c r="G48"/>
      <c r="H48"/>
      <c r="I48" t="str">
        <f>VLOOKUP(A48,Worksheet!$C$2:$D$1267,2,0)</f>
        <v>PRAKTIKUM RANGKAIAN LISTRIK</v>
      </c>
      <c r="J48">
        <f t="shared" si="2"/>
        <v>1</v>
      </c>
    </row>
    <row r="49" spans="1:10">
      <c r="A49" t="str">
        <f>VLOOKUP(B49,[2]Sheet1!$D$5:$L$185,9,0)</f>
        <v>ES1214</v>
      </c>
      <c r="B49" t="s">
        <v>154</v>
      </c>
      <c r="C49" t="s">
        <v>576</v>
      </c>
      <c r="D49">
        <f>COUNTIF(Worksheet!$D$2:$D$1267,B49)</f>
        <v>32</v>
      </c>
      <c r="I49" t="str">
        <f>VLOOKUP(A49,Worksheet!$C$2:$D$1267,2,0)</f>
        <v>PRAKTIKUM RANGKAIAN LOGIKA</v>
      </c>
      <c r="J49">
        <f t="shared" si="2"/>
        <v>1</v>
      </c>
    </row>
    <row r="50" spans="1:10" s="6" customFormat="1">
      <c r="A50" t="str">
        <f>VLOOKUP(B50,[2]Sheet1!$D$5:$L$185,9,0)</f>
        <v>ES3140</v>
      </c>
      <c r="B50" t="s">
        <v>204</v>
      </c>
      <c r="C50" t="s">
        <v>576</v>
      </c>
      <c r="D50">
        <f>COUNTIF(Worksheet!$D$2:$D$1267,B50)</f>
        <v>31</v>
      </c>
      <c r="E50"/>
      <c r="F50"/>
      <c r="G50"/>
      <c r="H50"/>
      <c r="I50" t="str">
        <f>VLOOKUP(A50,Worksheet!$C$2:$D$1267,2,0)</f>
        <v>PRAKTIKUM SISTEM KENDALI</v>
      </c>
      <c r="J50">
        <f t="shared" si="2"/>
        <v>1</v>
      </c>
    </row>
    <row r="51" spans="1:10" s="6" customFormat="1">
      <c r="A51" t="str">
        <f>VLOOKUP(B51,[2]Sheet1!$D$5:$L$185,9,0)</f>
        <v>ES4245</v>
      </c>
      <c r="B51" t="s">
        <v>276</v>
      </c>
      <c r="C51" t="s">
        <v>576</v>
      </c>
      <c r="D51">
        <f>COUNTIF(Worksheet!$D$2:$D$1267,B51)</f>
        <v>29</v>
      </c>
      <c r="E51"/>
      <c r="F51"/>
      <c r="G51"/>
      <c r="H51"/>
      <c r="I51" t="str">
        <f>VLOOKUP(A51,Worksheet!$C$2:$D$1267,2,0)</f>
        <v>KULIAH KERJA NYATA (KKN)</v>
      </c>
      <c r="J51">
        <f t="shared" si="2"/>
        <v>1</v>
      </c>
    </row>
    <row r="52" spans="1:10">
      <c r="A52" t="str">
        <f>VLOOKUP(B52,[2]Sheet1!$D$5:$L$185,9,0)</f>
        <v>ES2123</v>
      </c>
      <c r="B52" t="s">
        <v>149</v>
      </c>
      <c r="C52" t="s">
        <v>576</v>
      </c>
      <c r="D52">
        <f>COUNTIF(Worksheet!$D$2:$D$1267,B52)</f>
        <v>25</v>
      </c>
      <c r="I52" t="str">
        <f>VLOOKUP(A52,Worksheet!$C$2:$D$1267,2,0)</f>
        <v>PRAKTIKUM PENGUKURAN BESARAN LISTRIK</v>
      </c>
      <c r="J52">
        <f t="shared" si="2"/>
        <v>1</v>
      </c>
    </row>
    <row r="53" spans="1:10">
      <c r="A53" t="str">
        <f>VLOOKUP(B53,[2]Sheet1!$D$5:$L$185,9,0)</f>
        <v>ES4143</v>
      </c>
      <c r="B53" t="s">
        <v>272</v>
      </c>
      <c r="C53" t="s">
        <v>576</v>
      </c>
      <c r="D53">
        <f>COUNTIF(Worksheet!$D$2:$D$1267,B53)</f>
        <v>16</v>
      </c>
      <c r="I53" t="str">
        <f>VLOOKUP(A53,Worksheet!$C$2:$D$1267,2,0)</f>
        <v>PRAKTEK KERJA LAPANGAN</v>
      </c>
      <c r="J53">
        <f t="shared" si="2"/>
        <v>1</v>
      </c>
    </row>
    <row r="54" spans="1:10">
      <c r="A54" t="s">
        <v>452</v>
      </c>
      <c r="B54" t="s">
        <v>453</v>
      </c>
      <c r="C54" t="s">
        <v>576</v>
      </c>
      <c r="D54">
        <f>COUNTIF(Worksheet!$D$2:$D$1267,B54)</f>
        <v>11</v>
      </c>
      <c r="I54" t="str">
        <f>VLOOKUP(A54,Worksheet!$C$2:$D$1267,2,0)</f>
        <v>PRAK. PROTEKSI SISTEM TENAGA</v>
      </c>
      <c r="J54">
        <f t="shared" si="2"/>
        <v>1</v>
      </c>
    </row>
    <row r="55" spans="1:10">
      <c r="A55" t="s">
        <v>456</v>
      </c>
      <c r="B55" t="s">
        <v>457</v>
      </c>
      <c r="C55" t="s">
        <v>576</v>
      </c>
      <c r="D55">
        <f>COUNTIF(Worksheet!$D$2:$D$1267,B55)</f>
        <v>10</v>
      </c>
      <c r="I55" t="str">
        <f>VLOOKUP(A55,Worksheet!$C$2:$D$1267,2,0)</f>
        <v>PRAK. TRANSMISI &amp; DISTRIBUSI</v>
      </c>
      <c r="J55">
        <f t="shared" si="2"/>
        <v>1</v>
      </c>
    </row>
    <row r="56" spans="1:10">
      <c r="A56" t="str">
        <f>VLOOKUP(B56,[2]Sheet1!$D$5:$L$185,9,0)</f>
        <v>ED4112</v>
      </c>
      <c r="B56" t="s">
        <v>399</v>
      </c>
      <c r="C56" t="s">
        <v>576</v>
      </c>
      <c r="D56">
        <f>COUNTIF(Worksheet!$D$2:$D$1267,B56)</f>
        <v>10</v>
      </c>
      <c r="I56" t="str">
        <f>VLOOKUP(A56,Worksheet!$C$2:$D$1267,2,0)</f>
        <v>PRAKTIKUM ALGORITMA DAN STRUKTUR DATA</v>
      </c>
      <c r="J56">
        <f t="shared" si="2"/>
        <v>1</v>
      </c>
    </row>
    <row r="57" spans="1:10">
      <c r="A57" t="str">
        <f>VLOOKUP(B57,[2]Sheet1!$D$5:$L$185,9,0)</f>
        <v>ED4113</v>
      </c>
      <c r="B57" t="s">
        <v>410</v>
      </c>
      <c r="C57" t="s">
        <v>576</v>
      </c>
      <c r="D57">
        <f>COUNTIF(Worksheet!$D$2:$D$1267,B57)</f>
        <v>10</v>
      </c>
      <c r="I57" t="str">
        <f>VLOOKUP(A57,Worksheet!$C$2:$D$1267,2,0)</f>
        <v>PRAKTIKUM BASIS DATA</v>
      </c>
      <c r="J57">
        <f t="shared" si="2"/>
        <v>1</v>
      </c>
    </row>
    <row r="58" spans="1:10" s="6" customFormat="1">
      <c r="A58" t="str">
        <f>VLOOKUP(B58,[2]Sheet1!$D$5:$L$185,9,0)</f>
        <v>ED4114</v>
      </c>
      <c r="B58" t="s">
        <v>405</v>
      </c>
      <c r="C58" t="s">
        <v>576</v>
      </c>
      <c r="D58">
        <f>COUNTIF(Worksheet!$D$2:$D$1267,B58)</f>
        <v>10</v>
      </c>
      <c r="E58"/>
      <c r="F58"/>
      <c r="G58"/>
      <c r="H58"/>
      <c r="I58" t="str">
        <f>VLOOKUP(A58,Worksheet!$C$2:$D$1267,2,0)</f>
        <v>PRAKTIKUM JARINGAN KOMPUTER</v>
      </c>
      <c r="J58">
        <f t="shared" si="2"/>
        <v>1</v>
      </c>
    </row>
    <row r="59" spans="1:10" s="6" customFormat="1">
      <c r="A59" t="s">
        <v>462</v>
      </c>
      <c r="B59" t="s">
        <v>463</v>
      </c>
      <c r="C59" t="s">
        <v>576</v>
      </c>
      <c r="D59">
        <f>COUNTIF(Worksheet!$D$2:$D$1267,B59)</f>
        <v>6</v>
      </c>
      <c r="E59"/>
      <c r="F59"/>
      <c r="G59"/>
      <c r="H59"/>
      <c r="I59" t="str">
        <f>VLOOKUP(A59,Worksheet!$C$2:$D$1267,2,0)</f>
        <v>PRAK. ELEKTRONIKA DAYA</v>
      </c>
      <c r="J59">
        <f t="shared" si="2"/>
        <v>1</v>
      </c>
    </row>
    <row r="60" spans="1:10">
      <c r="A60" t="str">
        <f>VLOOKUP(B60,[2]Sheet1!$D$5:$L$185,9,0)</f>
        <v>EB3104</v>
      </c>
      <c r="B60" t="s">
        <v>418</v>
      </c>
      <c r="C60" t="s">
        <v>576</v>
      </c>
      <c r="D60">
        <f>COUNTIF(Worksheet!$D$2:$D$1267,B60)</f>
        <v>2</v>
      </c>
      <c r="I60" t="str">
        <f>VLOOKUP(A60,Worksheet!$C$2:$D$1267,2,0)</f>
        <v>PRAKTIKUM ELEKTRONIKA DIGITAL</v>
      </c>
      <c r="J60">
        <f t="shared" si="2"/>
        <v>1</v>
      </c>
    </row>
    <row r="61" spans="1:10">
      <c r="A61" t="str">
        <f>VLOOKUP(B61,[2]Sheet1!$D$5:$L$185,9,0)</f>
        <v>EB3102</v>
      </c>
      <c r="B61" t="s">
        <v>422</v>
      </c>
      <c r="C61" t="s">
        <v>576</v>
      </c>
      <c r="D61">
        <f>COUNTIF(Worksheet!$D$2:$D$1267,B61)</f>
        <v>2</v>
      </c>
      <c r="I61" t="str">
        <f>VLOOKUP(A61,Worksheet!$C$2:$D$1267,2,0)</f>
        <v>PRAKTIKUM RANGKAIAN ELEKTRONIKA</v>
      </c>
      <c r="J61">
        <f t="shared" si="2"/>
        <v>1</v>
      </c>
    </row>
    <row r="62" spans="1:10">
      <c r="A62" t="str">
        <f>VLOOKUP(B62,[2]Sheet1!$D$5:$L$185,9,0)</f>
        <v>EB4113</v>
      </c>
      <c r="B62" t="s">
        <v>428</v>
      </c>
      <c r="C62" t="s">
        <v>576</v>
      </c>
      <c r="D62">
        <f>COUNTIF(Worksheet!$D$2:$D$1267,B62)</f>
        <v>1</v>
      </c>
      <c r="I62" t="str">
        <f>VLOOKUP(A62,Worksheet!$C$2:$D$1267,2,0)</f>
        <v>PRAKTIKUM PENGOLAHAN SINYAL DIGITAL</v>
      </c>
      <c r="J62">
        <f t="shared" si="2"/>
        <v>1</v>
      </c>
    </row>
    <row r="63" spans="1:10">
      <c r="A63" t="str">
        <f>VLOOKUP(B63,[2]Sheet1!$D$5:$L$185,9,0)</f>
        <v>EC4114</v>
      </c>
      <c r="B63" t="s">
        <v>414</v>
      </c>
      <c r="C63" t="s">
        <v>576</v>
      </c>
      <c r="D63">
        <f>COUNTIF(Worksheet!$D$2:$D$1267,B63)</f>
        <v>1</v>
      </c>
      <c r="H63" s="5"/>
      <c r="I63" t="str">
        <f>VLOOKUP(A63,Worksheet!$C$2:$D$1267,2,0)</f>
        <v>PRAKTIKUM SISTEM TELEKOMUNIKASI</v>
      </c>
      <c r="J63">
        <f t="shared" si="2"/>
        <v>1</v>
      </c>
    </row>
    <row r="64" spans="1:10">
      <c r="B64" t="s">
        <v>559</v>
      </c>
      <c r="C64" t="s">
        <v>467</v>
      </c>
      <c r="D64">
        <f>COUNTIF(Worksheet!$D$2:$D$1267,B64)</f>
        <v>50</v>
      </c>
      <c r="J64">
        <f t="shared" si="2"/>
        <v>0</v>
      </c>
    </row>
    <row r="65" spans="2:10">
      <c r="B65" t="s">
        <v>561</v>
      </c>
      <c r="C65" t="s">
        <v>467</v>
      </c>
      <c r="D65">
        <f>COUNTIF(Worksheet!$D$2:$D$1267,B65)</f>
        <v>48</v>
      </c>
      <c r="J65">
        <f t="shared" si="2"/>
        <v>0</v>
      </c>
    </row>
    <row r="66" spans="2:10">
      <c r="B66" t="s">
        <v>466</v>
      </c>
      <c r="C66" t="s">
        <v>467</v>
      </c>
      <c r="D66">
        <f>COUNTIF(Worksheet!$D$2:$D$1267,B66)</f>
        <v>47</v>
      </c>
      <c r="J66">
        <f t="shared" ref="J66:J71" si="3">IF(B66=I66,1,0)</f>
        <v>0</v>
      </c>
    </row>
    <row r="67" spans="2:10">
      <c r="B67" t="s">
        <v>551</v>
      </c>
      <c r="C67" t="s">
        <v>467</v>
      </c>
      <c r="D67">
        <f>COUNTIF(Worksheet!$D$2:$D$1267,B67)</f>
        <v>44</v>
      </c>
      <c r="J67">
        <f t="shared" si="3"/>
        <v>0</v>
      </c>
    </row>
    <row r="68" spans="2:10">
      <c r="B68" t="s">
        <v>553</v>
      </c>
      <c r="C68" t="s">
        <v>467</v>
      </c>
      <c r="D68">
        <f>COUNTIF(Worksheet!$D$2:$D$1267,B68)</f>
        <v>42</v>
      </c>
      <c r="J68">
        <f t="shared" si="3"/>
        <v>0</v>
      </c>
    </row>
    <row r="69" spans="2:10">
      <c r="B69" t="s">
        <v>557</v>
      </c>
      <c r="C69" t="s">
        <v>467</v>
      </c>
      <c r="D69">
        <f>COUNTIF(Worksheet!$D$2:$D$1267,B69)</f>
        <v>42</v>
      </c>
      <c r="J69">
        <f t="shared" si="3"/>
        <v>0</v>
      </c>
    </row>
    <row r="70" spans="2:10">
      <c r="B70" t="s">
        <v>563</v>
      </c>
      <c r="C70" t="s">
        <v>467</v>
      </c>
      <c r="D70">
        <f>COUNTIF(Worksheet!$D$2:$D$1267,B70)</f>
        <v>42</v>
      </c>
      <c r="J70">
        <f t="shared" si="3"/>
        <v>0</v>
      </c>
    </row>
    <row r="71" spans="2:10">
      <c r="B71" t="s">
        <v>555</v>
      </c>
      <c r="C71" t="s">
        <v>467</v>
      </c>
      <c r="D71">
        <f>COUNTIF(Worksheet!$D$2:$D$1267,B71)</f>
        <v>41</v>
      </c>
      <c r="J71">
        <f t="shared" si="3"/>
        <v>0</v>
      </c>
    </row>
    <row r="72" spans="2:10">
      <c r="B72" t="s">
        <v>564</v>
      </c>
    </row>
    <row r="73" spans="2:10">
      <c r="B73" t="s">
        <v>564</v>
      </c>
    </row>
    <row r="74" spans="2:10">
      <c r="B74" t="s">
        <v>564</v>
      </c>
    </row>
    <row r="75" spans="2:10">
      <c r="B75" t="s">
        <v>564</v>
      </c>
    </row>
    <row r="76" spans="2:10">
      <c r="B76" t="s">
        <v>564</v>
      </c>
    </row>
    <row r="77" spans="2:10">
      <c r="B77" t="s">
        <v>564</v>
      </c>
    </row>
    <row r="78" spans="2:10">
      <c r="B78" t="s">
        <v>564</v>
      </c>
    </row>
    <row r="79" spans="2:10">
      <c r="B79" t="s">
        <v>564</v>
      </c>
    </row>
    <row r="80" spans="2:10">
      <c r="B80" t="s">
        <v>564</v>
      </c>
    </row>
    <row r="81" spans="2:2">
      <c r="B81" t="s">
        <v>564</v>
      </c>
    </row>
    <row r="82" spans="2:2">
      <c r="B82" t="s">
        <v>564</v>
      </c>
    </row>
    <row r="83" spans="2:2">
      <c r="B83" t="s">
        <v>564</v>
      </c>
    </row>
    <row r="84" spans="2:2">
      <c r="B84" t="s">
        <v>564</v>
      </c>
    </row>
    <row r="85" spans="2:2">
      <c r="B85" t="s">
        <v>564</v>
      </c>
    </row>
    <row r="86" spans="2:2">
      <c r="B86" t="s">
        <v>564</v>
      </c>
    </row>
    <row r="87" spans="2:2">
      <c r="B87" t="s">
        <v>564</v>
      </c>
    </row>
    <row r="88" spans="2:2">
      <c r="B88" t="s">
        <v>564</v>
      </c>
    </row>
    <row r="89" spans="2:2">
      <c r="B89" t="s">
        <v>564</v>
      </c>
    </row>
    <row r="90" spans="2:2">
      <c r="B90" t="s">
        <v>564</v>
      </c>
    </row>
    <row r="91" spans="2:2">
      <c r="B91" t="s">
        <v>564</v>
      </c>
    </row>
    <row r="92" spans="2:2">
      <c r="B92" t="s">
        <v>564</v>
      </c>
    </row>
    <row r="93" spans="2:2">
      <c r="B93" t="s">
        <v>564</v>
      </c>
    </row>
    <row r="94" spans="2:2">
      <c r="B94" t="s">
        <v>564</v>
      </c>
    </row>
    <row r="95" spans="2:2">
      <c r="B95" t="s">
        <v>564</v>
      </c>
    </row>
    <row r="96" spans="2:2">
      <c r="B96" t="s">
        <v>564</v>
      </c>
    </row>
    <row r="97" spans="2:2">
      <c r="B97" t="s">
        <v>564</v>
      </c>
    </row>
    <row r="98" spans="2:2">
      <c r="B98" t="s">
        <v>564</v>
      </c>
    </row>
    <row r="99" spans="2:2">
      <c r="B99" t="s">
        <v>564</v>
      </c>
    </row>
    <row r="100" spans="2:2">
      <c r="B100" t="s">
        <v>564</v>
      </c>
    </row>
    <row r="101" spans="2:2">
      <c r="B101" t="s">
        <v>564</v>
      </c>
    </row>
    <row r="102" spans="2:2">
      <c r="B102" t="s">
        <v>564</v>
      </c>
    </row>
    <row r="103" spans="2:2">
      <c r="B103" t="s">
        <v>564</v>
      </c>
    </row>
    <row r="104" spans="2:2">
      <c r="B104" t="s">
        <v>564</v>
      </c>
    </row>
    <row r="105" spans="2:2">
      <c r="B105" t="s">
        <v>564</v>
      </c>
    </row>
    <row r="106" spans="2:2">
      <c r="B106" t="s">
        <v>564</v>
      </c>
    </row>
    <row r="107" spans="2:2">
      <c r="B107" t="s">
        <v>564</v>
      </c>
    </row>
    <row r="108" spans="2:2">
      <c r="B108" t="s">
        <v>564</v>
      </c>
    </row>
    <row r="109" spans="2:2">
      <c r="B109" t="s">
        <v>564</v>
      </c>
    </row>
    <row r="110" spans="2:2">
      <c r="B110" t="s">
        <v>564</v>
      </c>
    </row>
    <row r="111" spans="2:2">
      <c r="B111" t="s">
        <v>564</v>
      </c>
    </row>
    <row r="112" spans="2:2">
      <c r="B112" t="s">
        <v>564</v>
      </c>
    </row>
    <row r="113" spans="2:2">
      <c r="B113" t="s">
        <v>564</v>
      </c>
    </row>
    <row r="114" spans="2:2">
      <c r="B114" t="s">
        <v>564</v>
      </c>
    </row>
    <row r="115" spans="2:2">
      <c r="B115" t="s">
        <v>564</v>
      </c>
    </row>
    <row r="116" spans="2:2">
      <c r="B116" t="s">
        <v>564</v>
      </c>
    </row>
    <row r="117" spans="2:2">
      <c r="B117" t="s">
        <v>564</v>
      </c>
    </row>
    <row r="118" spans="2:2">
      <c r="B118" t="s">
        <v>564</v>
      </c>
    </row>
    <row r="119" spans="2:2">
      <c r="B119" t="s">
        <v>564</v>
      </c>
    </row>
    <row r="120" spans="2:2">
      <c r="B120" t="s">
        <v>564</v>
      </c>
    </row>
    <row r="121" spans="2:2">
      <c r="B121" t="s">
        <v>564</v>
      </c>
    </row>
    <row r="122" spans="2:2">
      <c r="B122" t="s">
        <v>564</v>
      </c>
    </row>
    <row r="123" spans="2:2">
      <c r="B123" t="s">
        <v>564</v>
      </c>
    </row>
    <row r="124" spans="2:2">
      <c r="B124" t="s">
        <v>564</v>
      </c>
    </row>
    <row r="125" spans="2:2">
      <c r="B125" t="s">
        <v>564</v>
      </c>
    </row>
    <row r="126" spans="2:2">
      <c r="B126" t="s">
        <v>564</v>
      </c>
    </row>
    <row r="127" spans="2:2">
      <c r="B127" t="s">
        <v>564</v>
      </c>
    </row>
    <row r="128" spans="2:2">
      <c r="B128" t="s">
        <v>564</v>
      </c>
    </row>
    <row r="129" spans="2:2">
      <c r="B129" t="s">
        <v>564</v>
      </c>
    </row>
    <row r="130" spans="2:2">
      <c r="B130" t="s">
        <v>564</v>
      </c>
    </row>
    <row r="131" spans="2:2">
      <c r="B131" t="s">
        <v>564</v>
      </c>
    </row>
    <row r="132" spans="2:2">
      <c r="B132" t="s">
        <v>564</v>
      </c>
    </row>
    <row r="133" spans="2:2">
      <c r="B133" t="s">
        <v>564</v>
      </c>
    </row>
    <row r="134" spans="2:2">
      <c r="B134" t="s">
        <v>564</v>
      </c>
    </row>
    <row r="135" spans="2:2">
      <c r="B135" t="s">
        <v>564</v>
      </c>
    </row>
    <row r="136" spans="2:2">
      <c r="B136" t="s">
        <v>564</v>
      </c>
    </row>
    <row r="137" spans="2:2">
      <c r="B137" t="s">
        <v>564</v>
      </c>
    </row>
    <row r="138" spans="2:2">
      <c r="B138" t="s">
        <v>564</v>
      </c>
    </row>
    <row r="139" spans="2:2">
      <c r="B139" t="s">
        <v>564</v>
      </c>
    </row>
    <row r="140" spans="2:2">
      <c r="B140" t="s">
        <v>564</v>
      </c>
    </row>
    <row r="141" spans="2:2">
      <c r="B141" t="s">
        <v>564</v>
      </c>
    </row>
    <row r="142" spans="2:2">
      <c r="B142" t="s">
        <v>564</v>
      </c>
    </row>
    <row r="143" spans="2:2">
      <c r="B143" t="s">
        <v>564</v>
      </c>
    </row>
    <row r="144" spans="2:2">
      <c r="B144" t="s">
        <v>564</v>
      </c>
    </row>
    <row r="145" spans="2:2">
      <c r="B145" t="s">
        <v>564</v>
      </c>
    </row>
    <row r="146" spans="2:2">
      <c r="B146" t="s">
        <v>564</v>
      </c>
    </row>
    <row r="147" spans="2:2">
      <c r="B147" t="s">
        <v>564</v>
      </c>
    </row>
    <row r="148" spans="2:2">
      <c r="B148" t="s">
        <v>564</v>
      </c>
    </row>
    <row r="149" spans="2:2">
      <c r="B149" t="s">
        <v>564</v>
      </c>
    </row>
    <row r="150" spans="2:2">
      <c r="B150" t="s">
        <v>564</v>
      </c>
    </row>
    <row r="151" spans="2:2">
      <c r="B151" t="s">
        <v>564</v>
      </c>
    </row>
    <row r="152" spans="2:2">
      <c r="B152" t="s">
        <v>564</v>
      </c>
    </row>
    <row r="153" spans="2:2">
      <c r="B153" t="s">
        <v>564</v>
      </c>
    </row>
    <row r="154" spans="2:2">
      <c r="B154" t="s">
        <v>564</v>
      </c>
    </row>
    <row r="155" spans="2:2">
      <c r="B155" t="s">
        <v>564</v>
      </c>
    </row>
    <row r="156" spans="2:2">
      <c r="B156" t="s">
        <v>564</v>
      </c>
    </row>
    <row r="157" spans="2:2">
      <c r="B157" t="s">
        <v>564</v>
      </c>
    </row>
    <row r="158" spans="2:2">
      <c r="B158" t="s">
        <v>564</v>
      </c>
    </row>
    <row r="159" spans="2:2">
      <c r="B159" t="s">
        <v>564</v>
      </c>
    </row>
    <row r="160" spans="2:2">
      <c r="B160" t="s">
        <v>564</v>
      </c>
    </row>
    <row r="161" spans="2:2">
      <c r="B161" t="s">
        <v>564</v>
      </c>
    </row>
    <row r="162" spans="2:2">
      <c r="B162" t="s">
        <v>564</v>
      </c>
    </row>
    <row r="163" spans="2:2">
      <c r="B163" t="s">
        <v>564</v>
      </c>
    </row>
    <row r="164" spans="2:2">
      <c r="B164" t="s">
        <v>564</v>
      </c>
    </row>
    <row r="165" spans="2:2">
      <c r="B165" t="s">
        <v>564</v>
      </c>
    </row>
    <row r="166" spans="2:2">
      <c r="B166" t="s">
        <v>564</v>
      </c>
    </row>
    <row r="167" spans="2:2">
      <c r="B167" t="s">
        <v>564</v>
      </c>
    </row>
    <row r="168" spans="2:2">
      <c r="B168" t="s">
        <v>564</v>
      </c>
    </row>
    <row r="169" spans="2:2">
      <c r="B169" t="s">
        <v>564</v>
      </c>
    </row>
    <row r="170" spans="2:2">
      <c r="B170" t="s">
        <v>564</v>
      </c>
    </row>
    <row r="171" spans="2:2">
      <c r="B171" t="s">
        <v>564</v>
      </c>
    </row>
    <row r="172" spans="2:2">
      <c r="B172" t="s">
        <v>564</v>
      </c>
    </row>
    <row r="173" spans="2:2">
      <c r="B173" t="s">
        <v>564</v>
      </c>
    </row>
    <row r="174" spans="2:2">
      <c r="B174" t="s">
        <v>564</v>
      </c>
    </row>
    <row r="175" spans="2:2">
      <c r="B175" t="s">
        <v>564</v>
      </c>
    </row>
    <row r="176" spans="2:2">
      <c r="B176" t="s">
        <v>564</v>
      </c>
    </row>
    <row r="177" spans="2:2">
      <c r="B177" t="s">
        <v>564</v>
      </c>
    </row>
    <row r="178" spans="2:2">
      <c r="B178" t="s">
        <v>564</v>
      </c>
    </row>
    <row r="179" spans="2:2">
      <c r="B179" t="s">
        <v>564</v>
      </c>
    </row>
    <row r="180" spans="2:2">
      <c r="B180" t="s">
        <v>564</v>
      </c>
    </row>
    <row r="181" spans="2:2">
      <c r="B181" t="s">
        <v>564</v>
      </c>
    </row>
    <row r="182" spans="2:2">
      <c r="B182" t="s">
        <v>564</v>
      </c>
    </row>
    <row r="183" spans="2:2">
      <c r="B183" t="s">
        <v>564</v>
      </c>
    </row>
    <row r="184" spans="2:2">
      <c r="B184" t="s">
        <v>564</v>
      </c>
    </row>
    <row r="185" spans="2:2">
      <c r="B185" t="s">
        <v>564</v>
      </c>
    </row>
    <row r="186" spans="2:2">
      <c r="B186" t="s">
        <v>564</v>
      </c>
    </row>
    <row r="187" spans="2:2">
      <c r="B187" t="s">
        <v>564</v>
      </c>
    </row>
    <row r="188" spans="2:2">
      <c r="B188" t="s">
        <v>564</v>
      </c>
    </row>
    <row r="189" spans="2:2">
      <c r="B189" t="s">
        <v>564</v>
      </c>
    </row>
    <row r="190" spans="2:2">
      <c r="B190" t="s">
        <v>564</v>
      </c>
    </row>
    <row r="191" spans="2:2">
      <c r="B191" t="s">
        <v>564</v>
      </c>
    </row>
    <row r="192" spans="2:2">
      <c r="B192" t="s">
        <v>564</v>
      </c>
    </row>
    <row r="193" spans="2:2">
      <c r="B193" t="s">
        <v>564</v>
      </c>
    </row>
    <row r="194" spans="2:2">
      <c r="B194" t="s">
        <v>564</v>
      </c>
    </row>
    <row r="195" spans="2:2">
      <c r="B195" t="s">
        <v>564</v>
      </c>
    </row>
    <row r="196" spans="2:2">
      <c r="B196" t="s">
        <v>564</v>
      </c>
    </row>
    <row r="197" spans="2:2">
      <c r="B197" t="s">
        <v>564</v>
      </c>
    </row>
    <row r="198" spans="2:2">
      <c r="B198" t="s">
        <v>564</v>
      </c>
    </row>
    <row r="199" spans="2:2">
      <c r="B199" t="s">
        <v>564</v>
      </c>
    </row>
    <row r="200" spans="2:2">
      <c r="B200" t="s">
        <v>564</v>
      </c>
    </row>
    <row r="201" spans="2:2">
      <c r="B201" t="s">
        <v>564</v>
      </c>
    </row>
    <row r="202" spans="2:2">
      <c r="B202" t="s">
        <v>564</v>
      </c>
    </row>
    <row r="203" spans="2:2">
      <c r="B203" t="s">
        <v>564</v>
      </c>
    </row>
    <row r="204" spans="2:2">
      <c r="B204" t="s">
        <v>564</v>
      </c>
    </row>
    <row r="205" spans="2:2">
      <c r="B205" t="s">
        <v>564</v>
      </c>
    </row>
    <row r="206" spans="2:2">
      <c r="B206" t="s">
        <v>564</v>
      </c>
    </row>
    <row r="207" spans="2:2">
      <c r="B207" t="s">
        <v>564</v>
      </c>
    </row>
    <row r="208" spans="2:2">
      <c r="B208" t="s">
        <v>564</v>
      </c>
    </row>
    <row r="209" spans="2:2">
      <c r="B209" t="s">
        <v>564</v>
      </c>
    </row>
    <row r="210" spans="2:2">
      <c r="B210" t="s">
        <v>564</v>
      </c>
    </row>
    <row r="211" spans="2:2">
      <c r="B211" t="s">
        <v>564</v>
      </c>
    </row>
    <row r="212" spans="2:2">
      <c r="B212" t="s">
        <v>564</v>
      </c>
    </row>
    <row r="213" spans="2:2">
      <c r="B213" t="s">
        <v>564</v>
      </c>
    </row>
    <row r="214" spans="2:2">
      <c r="B214" t="s">
        <v>564</v>
      </c>
    </row>
    <row r="215" spans="2:2">
      <c r="B215" t="s">
        <v>564</v>
      </c>
    </row>
    <row r="216" spans="2:2">
      <c r="B216" t="s">
        <v>564</v>
      </c>
    </row>
    <row r="217" spans="2:2">
      <c r="B217" t="s">
        <v>564</v>
      </c>
    </row>
    <row r="218" spans="2:2">
      <c r="B218" t="s">
        <v>564</v>
      </c>
    </row>
    <row r="219" spans="2:2">
      <c r="B219" t="s">
        <v>564</v>
      </c>
    </row>
    <row r="220" spans="2:2">
      <c r="B220" t="s">
        <v>564</v>
      </c>
    </row>
    <row r="221" spans="2:2">
      <c r="B221" t="s">
        <v>564</v>
      </c>
    </row>
    <row r="222" spans="2:2">
      <c r="B222" t="s">
        <v>564</v>
      </c>
    </row>
    <row r="223" spans="2:2">
      <c r="B223" t="s">
        <v>564</v>
      </c>
    </row>
    <row r="224" spans="2:2">
      <c r="B224" t="s">
        <v>564</v>
      </c>
    </row>
    <row r="225" spans="2:2">
      <c r="B225" t="s">
        <v>564</v>
      </c>
    </row>
    <row r="226" spans="2:2">
      <c r="B226" t="s">
        <v>564</v>
      </c>
    </row>
    <row r="227" spans="2:2">
      <c r="B227" t="s">
        <v>564</v>
      </c>
    </row>
    <row r="228" spans="2:2">
      <c r="B228" t="s">
        <v>564</v>
      </c>
    </row>
    <row r="229" spans="2:2">
      <c r="B229" t="s">
        <v>564</v>
      </c>
    </row>
    <row r="230" spans="2:2">
      <c r="B230" t="s">
        <v>564</v>
      </c>
    </row>
    <row r="231" spans="2:2">
      <c r="B231" t="s">
        <v>564</v>
      </c>
    </row>
    <row r="232" spans="2:2">
      <c r="B232" t="s">
        <v>564</v>
      </c>
    </row>
    <row r="233" spans="2:2">
      <c r="B233" t="s">
        <v>564</v>
      </c>
    </row>
    <row r="234" spans="2:2">
      <c r="B234" t="s">
        <v>564</v>
      </c>
    </row>
    <row r="235" spans="2:2">
      <c r="B235" t="s">
        <v>564</v>
      </c>
    </row>
    <row r="236" spans="2:2">
      <c r="B236" t="s">
        <v>564</v>
      </c>
    </row>
    <row r="237" spans="2:2">
      <c r="B237" t="s">
        <v>564</v>
      </c>
    </row>
    <row r="238" spans="2:2">
      <c r="B238" t="s">
        <v>564</v>
      </c>
    </row>
    <row r="239" spans="2:2">
      <c r="B239" t="s">
        <v>564</v>
      </c>
    </row>
    <row r="240" spans="2:2">
      <c r="B240" t="s">
        <v>564</v>
      </c>
    </row>
    <row r="241" spans="2:2">
      <c r="B241" t="s">
        <v>564</v>
      </c>
    </row>
    <row r="242" spans="2:2">
      <c r="B242" t="s">
        <v>564</v>
      </c>
    </row>
    <row r="243" spans="2:2">
      <c r="B243" t="s">
        <v>564</v>
      </c>
    </row>
    <row r="244" spans="2:2">
      <c r="B244" t="s">
        <v>564</v>
      </c>
    </row>
    <row r="245" spans="2:2">
      <c r="B245" t="s">
        <v>564</v>
      </c>
    </row>
    <row r="246" spans="2:2">
      <c r="B246" t="s">
        <v>564</v>
      </c>
    </row>
    <row r="247" spans="2:2">
      <c r="B247" t="s">
        <v>564</v>
      </c>
    </row>
    <row r="248" spans="2:2">
      <c r="B248" t="s">
        <v>564</v>
      </c>
    </row>
    <row r="249" spans="2:2">
      <c r="B249" t="s">
        <v>564</v>
      </c>
    </row>
    <row r="250" spans="2:2">
      <c r="B250" t="s">
        <v>564</v>
      </c>
    </row>
    <row r="251" spans="2:2">
      <c r="B251" t="s">
        <v>564</v>
      </c>
    </row>
    <row r="252" spans="2:2">
      <c r="B252" t="s">
        <v>564</v>
      </c>
    </row>
    <row r="253" spans="2:2">
      <c r="B253" t="s">
        <v>564</v>
      </c>
    </row>
    <row r="254" spans="2:2">
      <c r="B254" t="s">
        <v>564</v>
      </c>
    </row>
    <row r="255" spans="2:2">
      <c r="B255" t="s">
        <v>564</v>
      </c>
    </row>
    <row r="256" spans="2:2">
      <c r="B256" t="s">
        <v>564</v>
      </c>
    </row>
    <row r="257" spans="2:2">
      <c r="B257" t="s">
        <v>564</v>
      </c>
    </row>
    <row r="258" spans="2:2">
      <c r="B258" t="s">
        <v>564</v>
      </c>
    </row>
    <row r="259" spans="2:2">
      <c r="B259" t="s">
        <v>564</v>
      </c>
    </row>
    <row r="260" spans="2:2">
      <c r="B260" t="s">
        <v>564</v>
      </c>
    </row>
    <row r="261" spans="2:2">
      <c r="B261" t="s">
        <v>564</v>
      </c>
    </row>
    <row r="262" spans="2:2">
      <c r="B262" t="s">
        <v>564</v>
      </c>
    </row>
    <row r="263" spans="2:2">
      <c r="B263" t="s">
        <v>564</v>
      </c>
    </row>
    <row r="264" spans="2:2">
      <c r="B264" t="s">
        <v>564</v>
      </c>
    </row>
    <row r="265" spans="2:2">
      <c r="B265" t="s">
        <v>564</v>
      </c>
    </row>
    <row r="266" spans="2:2">
      <c r="B266" t="s">
        <v>564</v>
      </c>
    </row>
    <row r="267" spans="2:2">
      <c r="B267" t="s">
        <v>564</v>
      </c>
    </row>
    <row r="268" spans="2:2">
      <c r="B268" t="s">
        <v>564</v>
      </c>
    </row>
    <row r="269" spans="2:2">
      <c r="B269" t="s">
        <v>564</v>
      </c>
    </row>
    <row r="270" spans="2:2">
      <c r="B270" t="s">
        <v>564</v>
      </c>
    </row>
    <row r="271" spans="2:2">
      <c r="B271" t="s">
        <v>564</v>
      </c>
    </row>
    <row r="272" spans="2:2">
      <c r="B272" t="s">
        <v>564</v>
      </c>
    </row>
    <row r="273" spans="2:2">
      <c r="B273" t="s">
        <v>564</v>
      </c>
    </row>
    <row r="274" spans="2:2">
      <c r="B274" t="s">
        <v>564</v>
      </c>
    </row>
    <row r="275" spans="2:2">
      <c r="B275" t="s">
        <v>564</v>
      </c>
    </row>
    <row r="276" spans="2:2">
      <c r="B276" t="s">
        <v>564</v>
      </c>
    </row>
    <row r="277" spans="2:2">
      <c r="B277" t="s">
        <v>564</v>
      </c>
    </row>
    <row r="278" spans="2:2">
      <c r="B278" t="s">
        <v>564</v>
      </c>
    </row>
    <row r="279" spans="2:2">
      <c r="B279" t="s">
        <v>564</v>
      </c>
    </row>
    <row r="280" spans="2:2">
      <c r="B280" t="s">
        <v>564</v>
      </c>
    </row>
    <row r="281" spans="2:2">
      <c r="B281" t="s">
        <v>564</v>
      </c>
    </row>
    <row r="282" spans="2:2">
      <c r="B282" t="s">
        <v>564</v>
      </c>
    </row>
    <row r="283" spans="2:2">
      <c r="B283" t="s">
        <v>564</v>
      </c>
    </row>
    <row r="284" spans="2:2">
      <c r="B284" t="s">
        <v>564</v>
      </c>
    </row>
    <row r="285" spans="2:2">
      <c r="B285" t="s">
        <v>564</v>
      </c>
    </row>
    <row r="286" spans="2:2">
      <c r="B286" t="s">
        <v>564</v>
      </c>
    </row>
    <row r="287" spans="2:2">
      <c r="B287" t="s">
        <v>564</v>
      </c>
    </row>
    <row r="288" spans="2:2">
      <c r="B288" t="s">
        <v>564</v>
      </c>
    </row>
    <row r="289" spans="2:2">
      <c r="B289" t="s">
        <v>564</v>
      </c>
    </row>
    <row r="290" spans="2:2">
      <c r="B290" t="s">
        <v>564</v>
      </c>
    </row>
    <row r="291" spans="2:2">
      <c r="B291" t="s">
        <v>564</v>
      </c>
    </row>
    <row r="292" spans="2:2">
      <c r="B292" t="s">
        <v>564</v>
      </c>
    </row>
    <row r="293" spans="2:2">
      <c r="B293" t="s">
        <v>564</v>
      </c>
    </row>
    <row r="294" spans="2:2">
      <c r="B294" t="s">
        <v>564</v>
      </c>
    </row>
    <row r="295" spans="2:2">
      <c r="B295" t="s">
        <v>564</v>
      </c>
    </row>
    <row r="296" spans="2:2">
      <c r="B296" t="s">
        <v>564</v>
      </c>
    </row>
    <row r="297" spans="2:2">
      <c r="B297" t="s">
        <v>564</v>
      </c>
    </row>
    <row r="298" spans="2:2">
      <c r="B298" t="s">
        <v>564</v>
      </c>
    </row>
    <row r="299" spans="2:2">
      <c r="B299" t="s">
        <v>564</v>
      </c>
    </row>
    <row r="300" spans="2:2">
      <c r="B300" t="s">
        <v>564</v>
      </c>
    </row>
    <row r="301" spans="2:2">
      <c r="B301" t="s">
        <v>564</v>
      </c>
    </row>
    <row r="302" spans="2:2">
      <c r="B302" t="s">
        <v>564</v>
      </c>
    </row>
    <row r="303" spans="2:2">
      <c r="B303" t="s">
        <v>564</v>
      </c>
    </row>
    <row r="304" spans="2:2">
      <c r="B304" t="s">
        <v>564</v>
      </c>
    </row>
    <row r="305" spans="2:2">
      <c r="B305" t="s">
        <v>564</v>
      </c>
    </row>
    <row r="306" spans="2:2">
      <c r="B306" t="s">
        <v>564</v>
      </c>
    </row>
    <row r="307" spans="2:2">
      <c r="B307" t="s">
        <v>564</v>
      </c>
    </row>
    <row r="308" spans="2:2">
      <c r="B308" t="s">
        <v>564</v>
      </c>
    </row>
    <row r="309" spans="2:2">
      <c r="B309" t="s">
        <v>564</v>
      </c>
    </row>
    <row r="310" spans="2:2">
      <c r="B310" t="s">
        <v>564</v>
      </c>
    </row>
    <row r="311" spans="2:2">
      <c r="B311" t="s">
        <v>564</v>
      </c>
    </row>
    <row r="312" spans="2:2">
      <c r="B312" t="s">
        <v>564</v>
      </c>
    </row>
    <row r="313" spans="2:2">
      <c r="B313" t="s">
        <v>564</v>
      </c>
    </row>
    <row r="314" spans="2:2">
      <c r="B314" t="s">
        <v>564</v>
      </c>
    </row>
    <row r="315" spans="2:2">
      <c r="B315" t="s">
        <v>564</v>
      </c>
    </row>
    <row r="316" spans="2:2">
      <c r="B316" t="s">
        <v>564</v>
      </c>
    </row>
    <row r="317" spans="2:2">
      <c r="B317" t="s">
        <v>564</v>
      </c>
    </row>
    <row r="318" spans="2:2">
      <c r="B318" t="s">
        <v>564</v>
      </c>
    </row>
    <row r="319" spans="2:2">
      <c r="B319" t="s">
        <v>564</v>
      </c>
    </row>
    <row r="320" spans="2:2">
      <c r="B320" t="s">
        <v>564</v>
      </c>
    </row>
    <row r="321" spans="2:2">
      <c r="B321" t="s">
        <v>564</v>
      </c>
    </row>
    <row r="322" spans="2:2">
      <c r="B322" t="s">
        <v>564</v>
      </c>
    </row>
    <row r="323" spans="2:2">
      <c r="B323" t="s">
        <v>564</v>
      </c>
    </row>
    <row r="324" spans="2:2">
      <c r="B324" t="s">
        <v>564</v>
      </c>
    </row>
    <row r="325" spans="2:2">
      <c r="B325" t="s">
        <v>564</v>
      </c>
    </row>
    <row r="326" spans="2:2">
      <c r="B326" t="s">
        <v>564</v>
      </c>
    </row>
    <row r="327" spans="2:2">
      <c r="B327" t="s">
        <v>564</v>
      </c>
    </row>
    <row r="328" spans="2:2">
      <c r="B328" t="s">
        <v>564</v>
      </c>
    </row>
    <row r="329" spans="2:2">
      <c r="B329" t="s">
        <v>564</v>
      </c>
    </row>
    <row r="330" spans="2:2">
      <c r="B330" t="s">
        <v>564</v>
      </c>
    </row>
    <row r="331" spans="2:2">
      <c r="B331" t="s">
        <v>564</v>
      </c>
    </row>
    <row r="332" spans="2:2">
      <c r="B332" t="s">
        <v>564</v>
      </c>
    </row>
    <row r="333" spans="2:2">
      <c r="B333" t="s">
        <v>564</v>
      </c>
    </row>
    <row r="334" spans="2:2">
      <c r="B334" t="s">
        <v>564</v>
      </c>
    </row>
    <row r="335" spans="2:2">
      <c r="B335" t="s">
        <v>564</v>
      </c>
    </row>
    <row r="336" spans="2:2">
      <c r="B336" t="s">
        <v>564</v>
      </c>
    </row>
    <row r="337" spans="2:2">
      <c r="B337" t="s">
        <v>564</v>
      </c>
    </row>
    <row r="338" spans="2:2">
      <c r="B338" t="s">
        <v>564</v>
      </c>
    </row>
    <row r="339" spans="2:2">
      <c r="B339" t="s">
        <v>564</v>
      </c>
    </row>
    <row r="340" spans="2:2">
      <c r="B340" t="s">
        <v>564</v>
      </c>
    </row>
    <row r="341" spans="2:2">
      <c r="B341" t="s">
        <v>564</v>
      </c>
    </row>
    <row r="342" spans="2:2">
      <c r="B342" t="s">
        <v>564</v>
      </c>
    </row>
    <row r="343" spans="2:2">
      <c r="B343" t="s">
        <v>564</v>
      </c>
    </row>
    <row r="344" spans="2:2">
      <c r="B344" t="s">
        <v>564</v>
      </c>
    </row>
    <row r="345" spans="2:2">
      <c r="B345" t="s">
        <v>564</v>
      </c>
    </row>
    <row r="346" spans="2:2">
      <c r="B346" t="s">
        <v>564</v>
      </c>
    </row>
    <row r="347" spans="2:2">
      <c r="B347" t="s">
        <v>564</v>
      </c>
    </row>
    <row r="348" spans="2:2">
      <c r="B348" t="s">
        <v>564</v>
      </c>
    </row>
    <row r="349" spans="2:2">
      <c r="B349" t="s">
        <v>564</v>
      </c>
    </row>
    <row r="350" spans="2:2">
      <c r="B350" t="s">
        <v>564</v>
      </c>
    </row>
    <row r="351" spans="2:2">
      <c r="B351" t="s">
        <v>564</v>
      </c>
    </row>
    <row r="352" spans="2:2">
      <c r="B352" t="s">
        <v>564</v>
      </c>
    </row>
    <row r="353" spans="2:2">
      <c r="B353" t="s">
        <v>564</v>
      </c>
    </row>
    <row r="354" spans="2:2">
      <c r="B354" t="s">
        <v>564</v>
      </c>
    </row>
    <row r="355" spans="2:2">
      <c r="B355" t="s">
        <v>564</v>
      </c>
    </row>
    <row r="356" spans="2:2">
      <c r="B356" t="s">
        <v>564</v>
      </c>
    </row>
    <row r="357" spans="2:2">
      <c r="B357" t="s">
        <v>564</v>
      </c>
    </row>
    <row r="358" spans="2:2">
      <c r="B358" t="s">
        <v>564</v>
      </c>
    </row>
    <row r="359" spans="2:2">
      <c r="B359" t="s">
        <v>564</v>
      </c>
    </row>
    <row r="360" spans="2:2">
      <c r="B360" t="s">
        <v>564</v>
      </c>
    </row>
    <row r="361" spans="2:2">
      <c r="B361" t="s">
        <v>564</v>
      </c>
    </row>
    <row r="362" spans="2:2">
      <c r="B362" t="s">
        <v>564</v>
      </c>
    </row>
    <row r="363" spans="2:2">
      <c r="B363" t="s">
        <v>564</v>
      </c>
    </row>
    <row r="364" spans="2:2">
      <c r="B364" t="s">
        <v>564</v>
      </c>
    </row>
    <row r="365" spans="2:2">
      <c r="B365" t="s">
        <v>564</v>
      </c>
    </row>
    <row r="366" spans="2:2">
      <c r="B366" t="s">
        <v>564</v>
      </c>
    </row>
    <row r="367" spans="2:2">
      <c r="B367" t="s">
        <v>564</v>
      </c>
    </row>
    <row r="368" spans="2:2">
      <c r="B368" t="s">
        <v>564</v>
      </c>
    </row>
    <row r="369" spans="2:2">
      <c r="B369" t="s">
        <v>564</v>
      </c>
    </row>
    <row r="370" spans="2:2">
      <c r="B370" t="s">
        <v>564</v>
      </c>
    </row>
    <row r="371" spans="2:2">
      <c r="B371" t="s">
        <v>564</v>
      </c>
    </row>
    <row r="372" spans="2:2">
      <c r="B372" t="s">
        <v>564</v>
      </c>
    </row>
    <row r="373" spans="2:2">
      <c r="B373" t="s">
        <v>564</v>
      </c>
    </row>
    <row r="374" spans="2:2">
      <c r="B374" t="s">
        <v>564</v>
      </c>
    </row>
    <row r="375" spans="2:2">
      <c r="B375" t="s">
        <v>564</v>
      </c>
    </row>
    <row r="376" spans="2:2">
      <c r="B376" t="s">
        <v>564</v>
      </c>
    </row>
    <row r="377" spans="2:2">
      <c r="B377" t="s">
        <v>564</v>
      </c>
    </row>
    <row r="378" spans="2:2">
      <c r="B378" t="s">
        <v>564</v>
      </c>
    </row>
    <row r="379" spans="2:2">
      <c r="B379" t="s">
        <v>564</v>
      </c>
    </row>
    <row r="380" spans="2:2">
      <c r="B380" t="s">
        <v>564</v>
      </c>
    </row>
    <row r="381" spans="2:2">
      <c r="B381" t="s">
        <v>564</v>
      </c>
    </row>
    <row r="382" spans="2:2">
      <c r="B382" t="s">
        <v>564</v>
      </c>
    </row>
    <row r="383" spans="2:2">
      <c r="B383" t="s">
        <v>564</v>
      </c>
    </row>
    <row r="384" spans="2:2">
      <c r="B384" t="s">
        <v>564</v>
      </c>
    </row>
    <row r="385" spans="2:2">
      <c r="B385" t="s">
        <v>564</v>
      </c>
    </row>
    <row r="386" spans="2:2">
      <c r="B386" t="s">
        <v>564</v>
      </c>
    </row>
    <row r="387" spans="2:2">
      <c r="B387" t="s">
        <v>564</v>
      </c>
    </row>
    <row r="388" spans="2:2">
      <c r="B388" t="s">
        <v>564</v>
      </c>
    </row>
    <row r="389" spans="2:2">
      <c r="B389" t="s">
        <v>564</v>
      </c>
    </row>
    <row r="390" spans="2:2">
      <c r="B390" t="s">
        <v>564</v>
      </c>
    </row>
    <row r="391" spans="2:2">
      <c r="B391" t="s">
        <v>564</v>
      </c>
    </row>
    <row r="392" spans="2:2">
      <c r="B392" t="s">
        <v>564</v>
      </c>
    </row>
    <row r="393" spans="2:2">
      <c r="B393" t="s">
        <v>564</v>
      </c>
    </row>
    <row r="394" spans="2:2">
      <c r="B394" t="s">
        <v>564</v>
      </c>
    </row>
    <row r="395" spans="2:2">
      <c r="B395" t="s">
        <v>564</v>
      </c>
    </row>
    <row r="396" spans="2:2">
      <c r="B396" t="s">
        <v>564</v>
      </c>
    </row>
    <row r="397" spans="2:2">
      <c r="B397" t="s">
        <v>564</v>
      </c>
    </row>
    <row r="398" spans="2:2">
      <c r="B398" t="s">
        <v>564</v>
      </c>
    </row>
    <row r="399" spans="2:2">
      <c r="B399" t="s">
        <v>564</v>
      </c>
    </row>
    <row r="400" spans="2:2">
      <c r="B400" t="s">
        <v>564</v>
      </c>
    </row>
    <row r="401" spans="2:2">
      <c r="B401" t="s">
        <v>564</v>
      </c>
    </row>
    <row r="402" spans="2:2">
      <c r="B402" t="s">
        <v>564</v>
      </c>
    </row>
    <row r="403" spans="2:2">
      <c r="B403" t="s">
        <v>564</v>
      </c>
    </row>
    <row r="404" spans="2:2">
      <c r="B404" t="s">
        <v>564</v>
      </c>
    </row>
    <row r="405" spans="2:2">
      <c r="B405" t="s">
        <v>564</v>
      </c>
    </row>
    <row r="406" spans="2:2">
      <c r="B406" t="s">
        <v>564</v>
      </c>
    </row>
    <row r="407" spans="2:2">
      <c r="B407" t="s">
        <v>564</v>
      </c>
    </row>
    <row r="408" spans="2:2">
      <c r="B408" t="s">
        <v>564</v>
      </c>
    </row>
    <row r="409" spans="2:2">
      <c r="B409" t="s">
        <v>564</v>
      </c>
    </row>
    <row r="410" spans="2:2">
      <c r="B410" t="s">
        <v>564</v>
      </c>
    </row>
    <row r="411" spans="2:2">
      <c r="B411" t="s">
        <v>564</v>
      </c>
    </row>
    <row r="412" spans="2:2">
      <c r="B412" t="s">
        <v>564</v>
      </c>
    </row>
    <row r="413" spans="2:2">
      <c r="B413" t="s">
        <v>564</v>
      </c>
    </row>
    <row r="414" spans="2:2">
      <c r="B414" t="s">
        <v>564</v>
      </c>
    </row>
    <row r="415" spans="2:2">
      <c r="B415" t="s">
        <v>564</v>
      </c>
    </row>
    <row r="416" spans="2:2">
      <c r="B416" t="s">
        <v>564</v>
      </c>
    </row>
    <row r="417" spans="2:2">
      <c r="B417" t="s">
        <v>564</v>
      </c>
    </row>
    <row r="418" spans="2:2">
      <c r="B418" t="s">
        <v>564</v>
      </c>
    </row>
    <row r="419" spans="2:2">
      <c r="B419" t="s">
        <v>564</v>
      </c>
    </row>
    <row r="420" spans="2:2">
      <c r="B420" t="s">
        <v>564</v>
      </c>
    </row>
    <row r="421" spans="2:2">
      <c r="B421" t="s">
        <v>564</v>
      </c>
    </row>
    <row r="422" spans="2:2">
      <c r="B422" t="s">
        <v>564</v>
      </c>
    </row>
    <row r="423" spans="2:2">
      <c r="B423" t="s">
        <v>564</v>
      </c>
    </row>
    <row r="424" spans="2:2">
      <c r="B424" t="s">
        <v>564</v>
      </c>
    </row>
    <row r="425" spans="2:2">
      <c r="B425" t="s">
        <v>564</v>
      </c>
    </row>
    <row r="426" spans="2:2">
      <c r="B426" t="s">
        <v>564</v>
      </c>
    </row>
    <row r="427" spans="2:2">
      <c r="B427" t="s">
        <v>564</v>
      </c>
    </row>
    <row r="428" spans="2:2">
      <c r="B428" t="s">
        <v>564</v>
      </c>
    </row>
    <row r="429" spans="2:2">
      <c r="B429" t="s">
        <v>564</v>
      </c>
    </row>
    <row r="430" spans="2:2">
      <c r="B430" t="s">
        <v>564</v>
      </c>
    </row>
    <row r="431" spans="2:2">
      <c r="B431" t="s">
        <v>564</v>
      </c>
    </row>
    <row r="432" spans="2:2">
      <c r="B432" t="s">
        <v>564</v>
      </c>
    </row>
    <row r="433" spans="2:2">
      <c r="B433" t="s">
        <v>564</v>
      </c>
    </row>
    <row r="434" spans="2:2">
      <c r="B434" t="s">
        <v>564</v>
      </c>
    </row>
    <row r="435" spans="2:2">
      <c r="B435" t="s">
        <v>564</v>
      </c>
    </row>
    <row r="436" spans="2:2">
      <c r="B436" t="s">
        <v>564</v>
      </c>
    </row>
    <row r="437" spans="2:2">
      <c r="B437" t="s">
        <v>564</v>
      </c>
    </row>
    <row r="438" spans="2:2">
      <c r="B438" t="s">
        <v>564</v>
      </c>
    </row>
    <row r="439" spans="2:2">
      <c r="B439" t="s">
        <v>564</v>
      </c>
    </row>
    <row r="440" spans="2:2">
      <c r="B440" t="s">
        <v>564</v>
      </c>
    </row>
    <row r="441" spans="2:2">
      <c r="B441" t="s">
        <v>564</v>
      </c>
    </row>
    <row r="442" spans="2:2">
      <c r="B442" t="s">
        <v>564</v>
      </c>
    </row>
    <row r="443" spans="2:2">
      <c r="B443" t="s">
        <v>564</v>
      </c>
    </row>
    <row r="444" spans="2:2">
      <c r="B444" t="s">
        <v>564</v>
      </c>
    </row>
    <row r="445" spans="2:2">
      <c r="B445" t="s">
        <v>564</v>
      </c>
    </row>
    <row r="446" spans="2:2">
      <c r="B446" t="s">
        <v>564</v>
      </c>
    </row>
    <row r="447" spans="2:2">
      <c r="B447" t="s">
        <v>564</v>
      </c>
    </row>
    <row r="448" spans="2:2">
      <c r="B448" t="s">
        <v>564</v>
      </c>
    </row>
    <row r="449" spans="2:2">
      <c r="B449" t="s">
        <v>564</v>
      </c>
    </row>
    <row r="450" spans="2:2">
      <c r="B450" t="s">
        <v>564</v>
      </c>
    </row>
    <row r="451" spans="2:2">
      <c r="B451" t="s">
        <v>564</v>
      </c>
    </row>
    <row r="452" spans="2:2">
      <c r="B452" t="s">
        <v>564</v>
      </c>
    </row>
    <row r="453" spans="2:2">
      <c r="B453" t="s">
        <v>564</v>
      </c>
    </row>
    <row r="454" spans="2:2">
      <c r="B454" t="s">
        <v>564</v>
      </c>
    </row>
    <row r="455" spans="2:2">
      <c r="B455" t="s">
        <v>564</v>
      </c>
    </row>
    <row r="456" spans="2:2">
      <c r="B456" t="s">
        <v>564</v>
      </c>
    </row>
    <row r="457" spans="2:2">
      <c r="B457" t="s">
        <v>564</v>
      </c>
    </row>
    <row r="458" spans="2:2">
      <c r="B458" t="s">
        <v>564</v>
      </c>
    </row>
    <row r="459" spans="2:2">
      <c r="B459" t="s">
        <v>564</v>
      </c>
    </row>
    <row r="460" spans="2:2">
      <c r="B460" t="s">
        <v>564</v>
      </c>
    </row>
    <row r="461" spans="2:2">
      <c r="B461" t="s">
        <v>564</v>
      </c>
    </row>
    <row r="462" spans="2:2">
      <c r="B462" t="s">
        <v>564</v>
      </c>
    </row>
    <row r="463" spans="2:2">
      <c r="B463" t="s">
        <v>564</v>
      </c>
    </row>
    <row r="464" spans="2:2">
      <c r="B464" t="s">
        <v>564</v>
      </c>
    </row>
    <row r="465" spans="2:2">
      <c r="B465" t="s">
        <v>564</v>
      </c>
    </row>
    <row r="466" spans="2:2">
      <c r="B466" t="s">
        <v>564</v>
      </c>
    </row>
    <row r="467" spans="2:2">
      <c r="B467" t="s">
        <v>564</v>
      </c>
    </row>
    <row r="468" spans="2:2">
      <c r="B468" t="s">
        <v>564</v>
      </c>
    </row>
    <row r="469" spans="2:2">
      <c r="B469" t="s">
        <v>564</v>
      </c>
    </row>
    <row r="470" spans="2:2">
      <c r="B470" t="s">
        <v>564</v>
      </c>
    </row>
    <row r="471" spans="2:2">
      <c r="B471" t="s">
        <v>564</v>
      </c>
    </row>
    <row r="472" spans="2:2">
      <c r="B472" t="s">
        <v>564</v>
      </c>
    </row>
    <row r="473" spans="2:2">
      <c r="B473" t="s">
        <v>564</v>
      </c>
    </row>
    <row r="474" spans="2:2">
      <c r="B474" t="s">
        <v>564</v>
      </c>
    </row>
    <row r="475" spans="2:2">
      <c r="B475" t="s">
        <v>564</v>
      </c>
    </row>
    <row r="476" spans="2:2">
      <c r="B476" t="s">
        <v>564</v>
      </c>
    </row>
    <row r="477" spans="2:2">
      <c r="B477" t="s">
        <v>564</v>
      </c>
    </row>
    <row r="478" spans="2:2">
      <c r="B478" t="s">
        <v>564</v>
      </c>
    </row>
    <row r="479" spans="2:2">
      <c r="B479" t="s">
        <v>564</v>
      </c>
    </row>
    <row r="480" spans="2:2">
      <c r="B480" t="s">
        <v>564</v>
      </c>
    </row>
    <row r="481" spans="2:2">
      <c r="B481" t="s">
        <v>564</v>
      </c>
    </row>
    <row r="482" spans="2:2">
      <c r="B482" t="s">
        <v>564</v>
      </c>
    </row>
    <row r="483" spans="2:2">
      <c r="B483" t="s">
        <v>564</v>
      </c>
    </row>
    <row r="484" spans="2:2">
      <c r="B484" t="s">
        <v>564</v>
      </c>
    </row>
    <row r="485" spans="2:2">
      <c r="B485" t="s">
        <v>564</v>
      </c>
    </row>
    <row r="486" spans="2:2">
      <c r="B486" t="s">
        <v>564</v>
      </c>
    </row>
    <row r="487" spans="2:2">
      <c r="B487" t="s">
        <v>564</v>
      </c>
    </row>
    <row r="488" spans="2:2">
      <c r="B488" t="s">
        <v>564</v>
      </c>
    </row>
    <row r="489" spans="2:2">
      <c r="B489" t="s">
        <v>564</v>
      </c>
    </row>
    <row r="490" spans="2:2">
      <c r="B490" t="s">
        <v>564</v>
      </c>
    </row>
    <row r="491" spans="2:2">
      <c r="B491" t="s">
        <v>564</v>
      </c>
    </row>
    <row r="492" spans="2:2">
      <c r="B492" t="s">
        <v>564</v>
      </c>
    </row>
    <row r="493" spans="2:2">
      <c r="B493" t="s">
        <v>564</v>
      </c>
    </row>
    <row r="494" spans="2:2">
      <c r="B494" t="s">
        <v>564</v>
      </c>
    </row>
    <row r="495" spans="2:2">
      <c r="B495" t="s">
        <v>564</v>
      </c>
    </row>
    <row r="496" spans="2:2">
      <c r="B496" t="s">
        <v>564</v>
      </c>
    </row>
    <row r="497" spans="2:2">
      <c r="B497" t="s">
        <v>564</v>
      </c>
    </row>
    <row r="498" spans="2:2">
      <c r="B498" t="s">
        <v>564</v>
      </c>
    </row>
    <row r="499" spans="2:2">
      <c r="B499" t="s">
        <v>564</v>
      </c>
    </row>
    <row r="500" spans="2:2">
      <c r="B500" t="s">
        <v>564</v>
      </c>
    </row>
    <row r="501" spans="2:2">
      <c r="B501" t="s">
        <v>564</v>
      </c>
    </row>
    <row r="502" spans="2:2">
      <c r="B502" t="s">
        <v>564</v>
      </c>
    </row>
    <row r="503" spans="2:2">
      <c r="B503" t="s">
        <v>564</v>
      </c>
    </row>
    <row r="504" spans="2:2">
      <c r="B504" t="s">
        <v>564</v>
      </c>
    </row>
    <row r="505" spans="2:2">
      <c r="B505" t="s">
        <v>564</v>
      </c>
    </row>
    <row r="506" spans="2:2">
      <c r="B506" t="s">
        <v>564</v>
      </c>
    </row>
    <row r="507" spans="2:2">
      <c r="B507" t="s">
        <v>564</v>
      </c>
    </row>
    <row r="508" spans="2:2">
      <c r="B508" t="s">
        <v>564</v>
      </c>
    </row>
    <row r="509" spans="2:2">
      <c r="B509" t="s">
        <v>564</v>
      </c>
    </row>
    <row r="510" spans="2:2">
      <c r="B510" t="s">
        <v>564</v>
      </c>
    </row>
    <row r="511" spans="2:2">
      <c r="B511" t="s">
        <v>564</v>
      </c>
    </row>
    <row r="512" spans="2:2">
      <c r="B512" t="s">
        <v>564</v>
      </c>
    </row>
    <row r="513" spans="2:2">
      <c r="B513" t="s">
        <v>564</v>
      </c>
    </row>
    <row r="514" spans="2:2">
      <c r="B514" t="s">
        <v>564</v>
      </c>
    </row>
    <row r="515" spans="2:2">
      <c r="B515" t="s">
        <v>564</v>
      </c>
    </row>
    <row r="516" spans="2:2">
      <c r="B516" t="s">
        <v>564</v>
      </c>
    </row>
    <row r="517" spans="2:2">
      <c r="B517" t="s">
        <v>564</v>
      </c>
    </row>
    <row r="518" spans="2:2">
      <c r="B518" t="s">
        <v>564</v>
      </c>
    </row>
    <row r="519" spans="2:2">
      <c r="B519" t="s">
        <v>564</v>
      </c>
    </row>
    <row r="520" spans="2:2">
      <c r="B520" t="s">
        <v>564</v>
      </c>
    </row>
    <row r="521" spans="2:2">
      <c r="B521" t="s">
        <v>564</v>
      </c>
    </row>
    <row r="522" spans="2:2">
      <c r="B522" t="s">
        <v>564</v>
      </c>
    </row>
    <row r="523" spans="2:2">
      <c r="B523" t="s">
        <v>564</v>
      </c>
    </row>
    <row r="524" spans="2:2">
      <c r="B524" t="s">
        <v>564</v>
      </c>
    </row>
    <row r="525" spans="2:2">
      <c r="B525" t="s">
        <v>564</v>
      </c>
    </row>
    <row r="526" spans="2:2">
      <c r="B526" t="s">
        <v>564</v>
      </c>
    </row>
    <row r="527" spans="2:2">
      <c r="B527" t="s">
        <v>564</v>
      </c>
    </row>
    <row r="528" spans="2:2">
      <c r="B528" t="s">
        <v>564</v>
      </c>
    </row>
    <row r="529" spans="2:2">
      <c r="B529" t="s">
        <v>564</v>
      </c>
    </row>
    <row r="530" spans="2:2">
      <c r="B530" t="s">
        <v>564</v>
      </c>
    </row>
    <row r="531" spans="2:2">
      <c r="B531" t="s">
        <v>564</v>
      </c>
    </row>
    <row r="532" spans="2:2">
      <c r="B532" t="s">
        <v>564</v>
      </c>
    </row>
    <row r="533" spans="2:2">
      <c r="B533" t="s">
        <v>564</v>
      </c>
    </row>
    <row r="534" spans="2:2">
      <c r="B534" t="s">
        <v>564</v>
      </c>
    </row>
    <row r="535" spans="2:2">
      <c r="B535" t="s">
        <v>564</v>
      </c>
    </row>
    <row r="536" spans="2:2">
      <c r="B536" t="s">
        <v>564</v>
      </c>
    </row>
    <row r="537" spans="2:2">
      <c r="B537" t="s">
        <v>564</v>
      </c>
    </row>
    <row r="538" spans="2:2">
      <c r="B538" t="s">
        <v>564</v>
      </c>
    </row>
    <row r="539" spans="2:2">
      <c r="B539" t="s">
        <v>564</v>
      </c>
    </row>
    <row r="540" spans="2:2">
      <c r="B540" t="s">
        <v>564</v>
      </c>
    </row>
    <row r="541" spans="2:2">
      <c r="B541" t="s">
        <v>564</v>
      </c>
    </row>
    <row r="542" spans="2:2">
      <c r="B542" t="s">
        <v>564</v>
      </c>
    </row>
    <row r="543" spans="2:2">
      <c r="B543" t="s">
        <v>564</v>
      </c>
    </row>
    <row r="544" spans="2:2">
      <c r="B544" t="s">
        <v>564</v>
      </c>
    </row>
    <row r="545" spans="2:2">
      <c r="B545" t="s">
        <v>564</v>
      </c>
    </row>
    <row r="546" spans="2:2">
      <c r="B546" t="s">
        <v>564</v>
      </c>
    </row>
    <row r="547" spans="2:2">
      <c r="B547" t="s">
        <v>564</v>
      </c>
    </row>
    <row r="548" spans="2:2">
      <c r="B548" t="s">
        <v>564</v>
      </c>
    </row>
    <row r="549" spans="2:2">
      <c r="B549" t="s">
        <v>564</v>
      </c>
    </row>
    <row r="550" spans="2:2">
      <c r="B550" t="s">
        <v>564</v>
      </c>
    </row>
    <row r="551" spans="2:2">
      <c r="B551" t="s">
        <v>564</v>
      </c>
    </row>
    <row r="552" spans="2:2">
      <c r="B552" t="s">
        <v>564</v>
      </c>
    </row>
    <row r="553" spans="2:2">
      <c r="B553" t="s">
        <v>564</v>
      </c>
    </row>
    <row r="554" spans="2:2">
      <c r="B554" t="s">
        <v>564</v>
      </c>
    </row>
    <row r="555" spans="2:2">
      <c r="B555" t="s">
        <v>564</v>
      </c>
    </row>
    <row r="556" spans="2:2">
      <c r="B556" t="s">
        <v>564</v>
      </c>
    </row>
    <row r="557" spans="2:2">
      <c r="B557" t="s">
        <v>564</v>
      </c>
    </row>
    <row r="558" spans="2:2">
      <c r="B558" t="s">
        <v>564</v>
      </c>
    </row>
    <row r="559" spans="2:2">
      <c r="B559" t="s">
        <v>564</v>
      </c>
    </row>
    <row r="560" spans="2:2">
      <c r="B560" t="s">
        <v>564</v>
      </c>
    </row>
    <row r="561" spans="2:2">
      <c r="B561" t="s">
        <v>564</v>
      </c>
    </row>
    <row r="562" spans="2:2">
      <c r="B562" t="s">
        <v>564</v>
      </c>
    </row>
    <row r="563" spans="2:2">
      <c r="B563" t="s">
        <v>564</v>
      </c>
    </row>
    <row r="564" spans="2:2">
      <c r="B564" t="s">
        <v>564</v>
      </c>
    </row>
    <row r="565" spans="2:2">
      <c r="B565" t="s">
        <v>564</v>
      </c>
    </row>
    <row r="566" spans="2:2">
      <c r="B566" t="s">
        <v>564</v>
      </c>
    </row>
    <row r="567" spans="2:2">
      <c r="B567" t="s">
        <v>564</v>
      </c>
    </row>
    <row r="568" spans="2:2">
      <c r="B568" t="s">
        <v>564</v>
      </c>
    </row>
    <row r="569" spans="2:2">
      <c r="B569" t="s">
        <v>564</v>
      </c>
    </row>
    <row r="570" spans="2:2">
      <c r="B570" t="s">
        <v>564</v>
      </c>
    </row>
    <row r="571" spans="2:2">
      <c r="B571" t="s">
        <v>564</v>
      </c>
    </row>
    <row r="572" spans="2:2">
      <c r="B572" t="s">
        <v>564</v>
      </c>
    </row>
    <row r="573" spans="2:2">
      <c r="B573" t="s">
        <v>564</v>
      </c>
    </row>
    <row r="574" spans="2:2">
      <c r="B574" t="s">
        <v>564</v>
      </c>
    </row>
    <row r="575" spans="2:2">
      <c r="B575" t="s">
        <v>564</v>
      </c>
    </row>
    <row r="576" spans="2:2">
      <c r="B576" t="s">
        <v>564</v>
      </c>
    </row>
    <row r="577" spans="2:2">
      <c r="B577" t="s">
        <v>564</v>
      </c>
    </row>
    <row r="578" spans="2:2">
      <c r="B578" t="s">
        <v>564</v>
      </c>
    </row>
    <row r="579" spans="2:2">
      <c r="B579" t="s">
        <v>564</v>
      </c>
    </row>
    <row r="580" spans="2:2">
      <c r="B580" t="s">
        <v>564</v>
      </c>
    </row>
    <row r="581" spans="2:2">
      <c r="B581" t="s">
        <v>564</v>
      </c>
    </row>
    <row r="582" spans="2:2">
      <c r="B582" t="s">
        <v>564</v>
      </c>
    </row>
    <row r="583" spans="2:2">
      <c r="B583" t="s">
        <v>564</v>
      </c>
    </row>
    <row r="584" spans="2:2">
      <c r="B584" t="s">
        <v>564</v>
      </c>
    </row>
    <row r="585" spans="2:2">
      <c r="B585" t="s">
        <v>564</v>
      </c>
    </row>
    <row r="586" spans="2:2">
      <c r="B586" t="s">
        <v>564</v>
      </c>
    </row>
    <row r="587" spans="2:2">
      <c r="B587" t="s">
        <v>564</v>
      </c>
    </row>
    <row r="588" spans="2:2">
      <c r="B588" t="s">
        <v>564</v>
      </c>
    </row>
    <row r="589" spans="2:2">
      <c r="B589" t="s">
        <v>564</v>
      </c>
    </row>
    <row r="590" spans="2:2">
      <c r="B590" t="s">
        <v>564</v>
      </c>
    </row>
    <row r="591" spans="2:2">
      <c r="B591" t="s">
        <v>564</v>
      </c>
    </row>
    <row r="592" spans="2:2">
      <c r="B592" t="s">
        <v>564</v>
      </c>
    </row>
    <row r="593" spans="2:2">
      <c r="B593" t="s">
        <v>564</v>
      </c>
    </row>
    <row r="594" spans="2:2">
      <c r="B594" t="s">
        <v>564</v>
      </c>
    </row>
    <row r="595" spans="2:2">
      <c r="B595" t="s">
        <v>564</v>
      </c>
    </row>
    <row r="596" spans="2:2">
      <c r="B596" t="s">
        <v>564</v>
      </c>
    </row>
    <row r="597" spans="2:2">
      <c r="B597" t="s">
        <v>564</v>
      </c>
    </row>
    <row r="598" spans="2:2">
      <c r="B598" t="s">
        <v>564</v>
      </c>
    </row>
    <row r="599" spans="2:2">
      <c r="B599" t="s">
        <v>564</v>
      </c>
    </row>
    <row r="600" spans="2:2">
      <c r="B600" t="s">
        <v>564</v>
      </c>
    </row>
    <row r="601" spans="2:2">
      <c r="B601" t="s">
        <v>564</v>
      </c>
    </row>
    <row r="602" spans="2:2">
      <c r="B602" t="s">
        <v>564</v>
      </c>
    </row>
    <row r="603" spans="2:2">
      <c r="B603" t="s">
        <v>564</v>
      </c>
    </row>
    <row r="604" spans="2:2">
      <c r="B604" t="s">
        <v>564</v>
      </c>
    </row>
    <row r="605" spans="2:2">
      <c r="B605" t="s">
        <v>564</v>
      </c>
    </row>
    <row r="606" spans="2:2">
      <c r="B606" t="s">
        <v>564</v>
      </c>
    </row>
    <row r="607" spans="2:2">
      <c r="B607" t="s">
        <v>564</v>
      </c>
    </row>
    <row r="608" spans="2:2">
      <c r="B608" t="s">
        <v>564</v>
      </c>
    </row>
    <row r="609" spans="2:2">
      <c r="B609" t="s">
        <v>564</v>
      </c>
    </row>
    <row r="610" spans="2:2">
      <c r="B610" t="s">
        <v>564</v>
      </c>
    </row>
    <row r="611" spans="2:2">
      <c r="B611" t="s">
        <v>564</v>
      </c>
    </row>
    <row r="612" spans="2:2">
      <c r="B612" t="s">
        <v>564</v>
      </c>
    </row>
    <row r="613" spans="2:2">
      <c r="B613" t="s">
        <v>564</v>
      </c>
    </row>
    <row r="614" spans="2:2">
      <c r="B614" t="s">
        <v>564</v>
      </c>
    </row>
    <row r="615" spans="2:2">
      <c r="B615" t="s">
        <v>564</v>
      </c>
    </row>
    <row r="616" spans="2:2">
      <c r="B616" t="s">
        <v>564</v>
      </c>
    </row>
    <row r="617" spans="2:2">
      <c r="B617" t="s">
        <v>564</v>
      </c>
    </row>
    <row r="618" spans="2:2">
      <c r="B618" t="s">
        <v>564</v>
      </c>
    </row>
    <row r="619" spans="2:2">
      <c r="B619" t="s">
        <v>564</v>
      </c>
    </row>
    <row r="620" spans="2:2">
      <c r="B620" t="s">
        <v>564</v>
      </c>
    </row>
    <row r="621" spans="2:2">
      <c r="B621" t="s">
        <v>564</v>
      </c>
    </row>
    <row r="622" spans="2:2">
      <c r="B622" t="s">
        <v>564</v>
      </c>
    </row>
    <row r="623" spans="2:2">
      <c r="B623" t="s">
        <v>564</v>
      </c>
    </row>
    <row r="624" spans="2:2">
      <c r="B624" t="s">
        <v>564</v>
      </c>
    </row>
    <row r="625" spans="2:2">
      <c r="B625" t="s">
        <v>564</v>
      </c>
    </row>
    <row r="626" spans="2:2">
      <c r="B626" t="s">
        <v>564</v>
      </c>
    </row>
    <row r="627" spans="2:2">
      <c r="B627" t="s">
        <v>564</v>
      </c>
    </row>
    <row r="628" spans="2:2">
      <c r="B628" t="s">
        <v>564</v>
      </c>
    </row>
    <row r="629" spans="2:2">
      <c r="B629" t="s">
        <v>564</v>
      </c>
    </row>
    <row r="630" spans="2:2">
      <c r="B630" t="s">
        <v>564</v>
      </c>
    </row>
    <row r="631" spans="2:2">
      <c r="B631" t="s">
        <v>564</v>
      </c>
    </row>
    <row r="632" spans="2:2">
      <c r="B632" t="s">
        <v>564</v>
      </c>
    </row>
    <row r="633" spans="2:2">
      <c r="B633" t="s">
        <v>564</v>
      </c>
    </row>
    <row r="634" spans="2:2">
      <c r="B634" t="s">
        <v>564</v>
      </c>
    </row>
    <row r="635" spans="2:2">
      <c r="B635" t="s">
        <v>564</v>
      </c>
    </row>
    <row r="636" spans="2:2">
      <c r="B636" t="s">
        <v>564</v>
      </c>
    </row>
    <row r="637" spans="2:2">
      <c r="B637" t="s">
        <v>564</v>
      </c>
    </row>
    <row r="638" spans="2:2">
      <c r="B638" t="s">
        <v>564</v>
      </c>
    </row>
    <row r="639" spans="2:2">
      <c r="B639" t="s">
        <v>564</v>
      </c>
    </row>
    <row r="640" spans="2:2">
      <c r="B640" t="s">
        <v>564</v>
      </c>
    </row>
    <row r="641" spans="2:2">
      <c r="B641" t="s">
        <v>564</v>
      </c>
    </row>
    <row r="642" spans="2:2">
      <c r="B642" t="s">
        <v>564</v>
      </c>
    </row>
    <row r="643" spans="2:2">
      <c r="B643" t="s">
        <v>564</v>
      </c>
    </row>
    <row r="644" spans="2:2">
      <c r="B644" t="s">
        <v>564</v>
      </c>
    </row>
    <row r="645" spans="2:2">
      <c r="B645" t="s">
        <v>564</v>
      </c>
    </row>
    <row r="646" spans="2:2">
      <c r="B646" t="s">
        <v>564</v>
      </c>
    </row>
    <row r="647" spans="2:2">
      <c r="B647" t="s">
        <v>564</v>
      </c>
    </row>
    <row r="648" spans="2:2">
      <c r="B648" t="s">
        <v>564</v>
      </c>
    </row>
    <row r="649" spans="2:2">
      <c r="B649" t="s">
        <v>564</v>
      </c>
    </row>
    <row r="650" spans="2:2">
      <c r="B650" t="s">
        <v>564</v>
      </c>
    </row>
    <row r="651" spans="2:2">
      <c r="B651" t="s">
        <v>564</v>
      </c>
    </row>
    <row r="652" spans="2:2">
      <c r="B652" t="s">
        <v>564</v>
      </c>
    </row>
    <row r="653" spans="2:2">
      <c r="B653" t="s">
        <v>564</v>
      </c>
    </row>
    <row r="654" spans="2:2">
      <c r="B654" t="s">
        <v>564</v>
      </c>
    </row>
    <row r="655" spans="2:2">
      <c r="B655" t="s">
        <v>564</v>
      </c>
    </row>
    <row r="656" spans="2:2">
      <c r="B656" t="s">
        <v>564</v>
      </c>
    </row>
    <row r="657" spans="2:2">
      <c r="B657" t="s">
        <v>564</v>
      </c>
    </row>
    <row r="658" spans="2:2">
      <c r="B658" t="s">
        <v>564</v>
      </c>
    </row>
    <row r="659" spans="2:2">
      <c r="B659" t="s">
        <v>564</v>
      </c>
    </row>
    <row r="660" spans="2:2">
      <c r="B660" t="s">
        <v>564</v>
      </c>
    </row>
    <row r="661" spans="2:2">
      <c r="B661" t="s">
        <v>564</v>
      </c>
    </row>
    <row r="662" spans="2:2">
      <c r="B662" t="s">
        <v>564</v>
      </c>
    </row>
    <row r="663" spans="2:2">
      <c r="B663" t="s">
        <v>564</v>
      </c>
    </row>
    <row r="664" spans="2:2">
      <c r="B664" t="s">
        <v>564</v>
      </c>
    </row>
    <row r="665" spans="2:2">
      <c r="B665" t="s">
        <v>564</v>
      </c>
    </row>
    <row r="666" spans="2:2">
      <c r="B666" t="s">
        <v>564</v>
      </c>
    </row>
    <row r="667" spans="2:2">
      <c r="B667" t="s">
        <v>564</v>
      </c>
    </row>
    <row r="668" spans="2:2">
      <c r="B668" t="s">
        <v>564</v>
      </c>
    </row>
    <row r="669" spans="2:2">
      <c r="B669" t="s">
        <v>564</v>
      </c>
    </row>
    <row r="670" spans="2:2">
      <c r="B670" t="s">
        <v>564</v>
      </c>
    </row>
    <row r="671" spans="2:2">
      <c r="B671" t="s">
        <v>564</v>
      </c>
    </row>
    <row r="672" spans="2:2">
      <c r="B672" t="s">
        <v>564</v>
      </c>
    </row>
    <row r="673" spans="2:2">
      <c r="B673" t="s">
        <v>564</v>
      </c>
    </row>
    <row r="674" spans="2:2">
      <c r="B674" t="s">
        <v>564</v>
      </c>
    </row>
    <row r="675" spans="2:2">
      <c r="B675" t="s">
        <v>564</v>
      </c>
    </row>
    <row r="676" spans="2:2">
      <c r="B676" t="s">
        <v>564</v>
      </c>
    </row>
    <row r="677" spans="2:2">
      <c r="B677" t="s">
        <v>564</v>
      </c>
    </row>
    <row r="678" spans="2:2">
      <c r="B678" t="s">
        <v>564</v>
      </c>
    </row>
    <row r="679" spans="2:2">
      <c r="B679" t="s">
        <v>564</v>
      </c>
    </row>
    <row r="680" spans="2:2">
      <c r="B680" t="s">
        <v>564</v>
      </c>
    </row>
    <row r="681" spans="2:2">
      <c r="B681" t="s">
        <v>564</v>
      </c>
    </row>
    <row r="682" spans="2:2">
      <c r="B682" t="s">
        <v>564</v>
      </c>
    </row>
    <row r="683" spans="2:2">
      <c r="B683" t="s">
        <v>564</v>
      </c>
    </row>
    <row r="684" spans="2:2">
      <c r="B684" t="s">
        <v>564</v>
      </c>
    </row>
    <row r="685" spans="2:2">
      <c r="B685" t="s">
        <v>564</v>
      </c>
    </row>
    <row r="686" spans="2:2">
      <c r="B686" t="s">
        <v>564</v>
      </c>
    </row>
    <row r="687" spans="2:2">
      <c r="B687" t="s">
        <v>564</v>
      </c>
    </row>
    <row r="688" spans="2:2">
      <c r="B688" t="s">
        <v>564</v>
      </c>
    </row>
    <row r="689" spans="2:2">
      <c r="B689" t="s">
        <v>564</v>
      </c>
    </row>
    <row r="690" spans="2:2">
      <c r="B690" t="s">
        <v>564</v>
      </c>
    </row>
    <row r="691" spans="2:2">
      <c r="B691" t="s">
        <v>564</v>
      </c>
    </row>
    <row r="692" spans="2:2">
      <c r="B692" t="s">
        <v>564</v>
      </c>
    </row>
    <row r="693" spans="2:2">
      <c r="B693" t="s">
        <v>564</v>
      </c>
    </row>
    <row r="694" spans="2:2">
      <c r="B694" t="s">
        <v>564</v>
      </c>
    </row>
    <row r="695" spans="2:2">
      <c r="B695" t="s">
        <v>564</v>
      </c>
    </row>
    <row r="696" spans="2:2">
      <c r="B696" t="s">
        <v>564</v>
      </c>
    </row>
    <row r="697" spans="2:2">
      <c r="B697" t="s">
        <v>564</v>
      </c>
    </row>
    <row r="698" spans="2:2">
      <c r="B698" t="s">
        <v>564</v>
      </c>
    </row>
    <row r="699" spans="2:2">
      <c r="B699" t="s">
        <v>564</v>
      </c>
    </row>
    <row r="700" spans="2:2">
      <c r="B700" t="s">
        <v>564</v>
      </c>
    </row>
    <row r="701" spans="2:2">
      <c r="B701" t="s">
        <v>564</v>
      </c>
    </row>
    <row r="702" spans="2:2">
      <c r="B702" t="s">
        <v>564</v>
      </c>
    </row>
    <row r="703" spans="2:2">
      <c r="B703" t="s">
        <v>564</v>
      </c>
    </row>
    <row r="704" spans="2:2">
      <c r="B704" t="s">
        <v>564</v>
      </c>
    </row>
    <row r="705" spans="2:2">
      <c r="B705" t="s">
        <v>564</v>
      </c>
    </row>
    <row r="706" spans="2:2">
      <c r="B706" t="s">
        <v>564</v>
      </c>
    </row>
    <row r="707" spans="2:2">
      <c r="B707" t="s">
        <v>564</v>
      </c>
    </row>
    <row r="708" spans="2:2">
      <c r="B708" t="s">
        <v>564</v>
      </c>
    </row>
    <row r="709" spans="2:2">
      <c r="B709" t="s">
        <v>564</v>
      </c>
    </row>
    <row r="710" spans="2:2">
      <c r="B710" t="s">
        <v>564</v>
      </c>
    </row>
    <row r="711" spans="2:2">
      <c r="B711" t="s">
        <v>564</v>
      </c>
    </row>
    <row r="712" spans="2:2">
      <c r="B712" t="s">
        <v>564</v>
      </c>
    </row>
    <row r="713" spans="2:2">
      <c r="B713" t="s">
        <v>564</v>
      </c>
    </row>
    <row r="714" spans="2:2">
      <c r="B714" t="s">
        <v>564</v>
      </c>
    </row>
    <row r="715" spans="2:2">
      <c r="B715" t="s">
        <v>564</v>
      </c>
    </row>
    <row r="716" spans="2:2">
      <c r="B716" t="s">
        <v>564</v>
      </c>
    </row>
    <row r="717" spans="2:2">
      <c r="B717" t="s">
        <v>564</v>
      </c>
    </row>
    <row r="718" spans="2:2">
      <c r="B718" t="s">
        <v>564</v>
      </c>
    </row>
    <row r="719" spans="2:2">
      <c r="B719" t="s">
        <v>564</v>
      </c>
    </row>
    <row r="720" spans="2:2">
      <c r="B720" t="s">
        <v>564</v>
      </c>
    </row>
    <row r="721" spans="2:2">
      <c r="B721" t="s">
        <v>564</v>
      </c>
    </row>
    <row r="722" spans="2:2">
      <c r="B722" t="s">
        <v>564</v>
      </c>
    </row>
    <row r="723" spans="2:2">
      <c r="B723" t="s">
        <v>564</v>
      </c>
    </row>
    <row r="724" spans="2:2">
      <c r="B724" t="s">
        <v>564</v>
      </c>
    </row>
    <row r="725" spans="2:2">
      <c r="B725" t="s">
        <v>564</v>
      </c>
    </row>
    <row r="726" spans="2:2">
      <c r="B726" t="s">
        <v>564</v>
      </c>
    </row>
    <row r="727" spans="2:2">
      <c r="B727" t="s">
        <v>564</v>
      </c>
    </row>
    <row r="728" spans="2:2">
      <c r="B728" t="s">
        <v>564</v>
      </c>
    </row>
    <row r="729" spans="2:2">
      <c r="B729" t="s">
        <v>564</v>
      </c>
    </row>
    <row r="730" spans="2:2">
      <c r="B730" t="s">
        <v>564</v>
      </c>
    </row>
    <row r="731" spans="2:2">
      <c r="B731" t="s">
        <v>564</v>
      </c>
    </row>
    <row r="732" spans="2:2">
      <c r="B732" t="s">
        <v>564</v>
      </c>
    </row>
    <row r="733" spans="2:2">
      <c r="B733" t="s">
        <v>564</v>
      </c>
    </row>
    <row r="734" spans="2:2">
      <c r="B734" t="s">
        <v>564</v>
      </c>
    </row>
    <row r="735" spans="2:2">
      <c r="B735" t="s">
        <v>564</v>
      </c>
    </row>
    <row r="736" spans="2:2">
      <c r="B736" t="s">
        <v>564</v>
      </c>
    </row>
    <row r="737" spans="2:2">
      <c r="B737" t="s">
        <v>564</v>
      </c>
    </row>
    <row r="738" spans="2:2">
      <c r="B738" t="s">
        <v>564</v>
      </c>
    </row>
    <row r="739" spans="2:2">
      <c r="B739" t="s">
        <v>564</v>
      </c>
    </row>
    <row r="740" spans="2:2">
      <c r="B740" t="s">
        <v>564</v>
      </c>
    </row>
    <row r="741" spans="2:2">
      <c r="B741" t="s">
        <v>564</v>
      </c>
    </row>
    <row r="742" spans="2:2">
      <c r="B742" t="s">
        <v>564</v>
      </c>
    </row>
    <row r="743" spans="2:2">
      <c r="B743" t="s">
        <v>564</v>
      </c>
    </row>
    <row r="744" spans="2:2">
      <c r="B744" t="s">
        <v>564</v>
      </c>
    </row>
    <row r="745" spans="2:2">
      <c r="B745" t="s">
        <v>564</v>
      </c>
    </row>
    <row r="746" spans="2:2">
      <c r="B746" t="s">
        <v>564</v>
      </c>
    </row>
    <row r="747" spans="2:2">
      <c r="B747" t="s">
        <v>564</v>
      </c>
    </row>
    <row r="748" spans="2:2">
      <c r="B748" t="s">
        <v>564</v>
      </c>
    </row>
    <row r="749" spans="2:2">
      <c r="B749" t="s">
        <v>564</v>
      </c>
    </row>
    <row r="750" spans="2:2">
      <c r="B750" t="s">
        <v>564</v>
      </c>
    </row>
    <row r="751" spans="2:2">
      <c r="B751" t="s">
        <v>564</v>
      </c>
    </row>
    <row r="752" spans="2:2">
      <c r="B752" t="s">
        <v>564</v>
      </c>
    </row>
    <row r="753" spans="2:2">
      <c r="B753" t="s">
        <v>564</v>
      </c>
    </row>
    <row r="754" spans="2:2">
      <c r="B754" t="s">
        <v>564</v>
      </c>
    </row>
    <row r="755" spans="2:2">
      <c r="B755" t="s">
        <v>564</v>
      </c>
    </row>
    <row r="756" spans="2:2">
      <c r="B756" t="s">
        <v>564</v>
      </c>
    </row>
    <row r="757" spans="2:2">
      <c r="B757" t="s">
        <v>564</v>
      </c>
    </row>
    <row r="758" spans="2:2">
      <c r="B758" t="s">
        <v>564</v>
      </c>
    </row>
    <row r="759" spans="2:2">
      <c r="B759" t="s">
        <v>564</v>
      </c>
    </row>
    <row r="760" spans="2:2">
      <c r="B760" t="s">
        <v>564</v>
      </c>
    </row>
    <row r="761" spans="2:2">
      <c r="B761" t="s">
        <v>564</v>
      </c>
    </row>
    <row r="762" spans="2:2">
      <c r="B762" t="s">
        <v>564</v>
      </c>
    </row>
    <row r="763" spans="2:2">
      <c r="B763" t="s">
        <v>564</v>
      </c>
    </row>
    <row r="764" spans="2:2">
      <c r="B764" t="s">
        <v>564</v>
      </c>
    </row>
    <row r="765" spans="2:2">
      <c r="B765" t="s">
        <v>564</v>
      </c>
    </row>
    <row r="766" spans="2:2">
      <c r="B766" t="s">
        <v>564</v>
      </c>
    </row>
    <row r="767" spans="2:2">
      <c r="B767" t="s">
        <v>564</v>
      </c>
    </row>
    <row r="768" spans="2:2">
      <c r="B768" t="s">
        <v>564</v>
      </c>
    </row>
    <row r="769" spans="2:2">
      <c r="B769" t="s">
        <v>564</v>
      </c>
    </row>
    <row r="770" spans="2:2">
      <c r="B770" t="s">
        <v>564</v>
      </c>
    </row>
    <row r="771" spans="2:2">
      <c r="B771" t="s">
        <v>564</v>
      </c>
    </row>
    <row r="772" spans="2:2">
      <c r="B772" t="s">
        <v>564</v>
      </c>
    </row>
    <row r="773" spans="2:2">
      <c r="B773" t="s">
        <v>564</v>
      </c>
    </row>
    <row r="774" spans="2:2">
      <c r="B774" t="s">
        <v>564</v>
      </c>
    </row>
    <row r="775" spans="2:2">
      <c r="B775" t="s">
        <v>564</v>
      </c>
    </row>
    <row r="776" spans="2:2">
      <c r="B776" t="s">
        <v>564</v>
      </c>
    </row>
    <row r="777" spans="2:2">
      <c r="B777" t="s">
        <v>564</v>
      </c>
    </row>
    <row r="778" spans="2:2">
      <c r="B778" t="s">
        <v>564</v>
      </c>
    </row>
    <row r="779" spans="2:2">
      <c r="B779" t="s">
        <v>564</v>
      </c>
    </row>
    <row r="780" spans="2:2">
      <c r="B780" t="s">
        <v>564</v>
      </c>
    </row>
    <row r="781" spans="2:2">
      <c r="B781" t="s">
        <v>564</v>
      </c>
    </row>
    <row r="782" spans="2:2">
      <c r="B782" t="s">
        <v>564</v>
      </c>
    </row>
    <row r="783" spans="2:2">
      <c r="B783" t="s">
        <v>564</v>
      </c>
    </row>
    <row r="784" spans="2:2">
      <c r="B784" t="s">
        <v>564</v>
      </c>
    </row>
    <row r="785" spans="2:2">
      <c r="B785" t="s">
        <v>564</v>
      </c>
    </row>
    <row r="786" spans="2:2">
      <c r="B786" t="s">
        <v>564</v>
      </c>
    </row>
    <row r="787" spans="2:2">
      <c r="B787" t="s">
        <v>564</v>
      </c>
    </row>
    <row r="788" spans="2:2">
      <c r="B788" t="s">
        <v>564</v>
      </c>
    </row>
    <row r="789" spans="2:2">
      <c r="B789" t="s">
        <v>564</v>
      </c>
    </row>
    <row r="790" spans="2:2">
      <c r="B790" t="s">
        <v>564</v>
      </c>
    </row>
    <row r="791" spans="2:2">
      <c r="B791" t="s">
        <v>564</v>
      </c>
    </row>
    <row r="792" spans="2:2">
      <c r="B792" t="s">
        <v>564</v>
      </c>
    </row>
    <row r="793" spans="2:2">
      <c r="B793" t="s">
        <v>564</v>
      </c>
    </row>
    <row r="794" spans="2:2">
      <c r="B794" t="s">
        <v>564</v>
      </c>
    </row>
    <row r="795" spans="2:2">
      <c r="B795" t="s">
        <v>564</v>
      </c>
    </row>
    <row r="796" spans="2:2">
      <c r="B796" t="s">
        <v>564</v>
      </c>
    </row>
    <row r="797" spans="2:2">
      <c r="B797" t="s">
        <v>564</v>
      </c>
    </row>
    <row r="798" spans="2:2">
      <c r="B798" t="s">
        <v>564</v>
      </c>
    </row>
    <row r="799" spans="2:2">
      <c r="B799" t="s">
        <v>564</v>
      </c>
    </row>
    <row r="800" spans="2:2">
      <c r="B800" t="s">
        <v>564</v>
      </c>
    </row>
    <row r="801" spans="2:2">
      <c r="B801" t="s">
        <v>564</v>
      </c>
    </row>
    <row r="802" spans="2:2">
      <c r="B802" t="s">
        <v>564</v>
      </c>
    </row>
    <row r="803" spans="2:2">
      <c r="B803" t="s">
        <v>564</v>
      </c>
    </row>
    <row r="804" spans="2:2">
      <c r="B804" t="s">
        <v>564</v>
      </c>
    </row>
    <row r="805" spans="2:2">
      <c r="B805" t="s">
        <v>564</v>
      </c>
    </row>
    <row r="806" spans="2:2">
      <c r="B806" t="s">
        <v>564</v>
      </c>
    </row>
    <row r="807" spans="2:2">
      <c r="B807" t="s">
        <v>564</v>
      </c>
    </row>
    <row r="808" spans="2:2">
      <c r="B808" t="s">
        <v>564</v>
      </c>
    </row>
    <row r="809" spans="2:2">
      <c r="B809" t="s">
        <v>564</v>
      </c>
    </row>
    <row r="810" spans="2:2">
      <c r="B810" t="s">
        <v>564</v>
      </c>
    </row>
    <row r="811" spans="2:2">
      <c r="B811" t="s">
        <v>564</v>
      </c>
    </row>
    <row r="812" spans="2:2">
      <c r="B812" t="s">
        <v>564</v>
      </c>
    </row>
    <row r="813" spans="2:2">
      <c r="B813" t="s">
        <v>564</v>
      </c>
    </row>
    <row r="814" spans="2:2">
      <c r="B814" t="s">
        <v>564</v>
      </c>
    </row>
    <row r="815" spans="2:2">
      <c r="B815" t="s">
        <v>564</v>
      </c>
    </row>
    <row r="816" spans="2:2">
      <c r="B816" t="s">
        <v>564</v>
      </c>
    </row>
    <row r="817" spans="2:2">
      <c r="B817" t="s">
        <v>564</v>
      </c>
    </row>
    <row r="818" spans="2:2">
      <c r="B818" t="s">
        <v>564</v>
      </c>
    </row>
    <row r="819" spans="2:2">
      <c r="B819" t="s">
        <v>564</v>
      </c>
    </row>
    <row r="820" spans="2:2">
      <c r="B820" t="s">
        <v>564</v>
      </c>
    </row>
    <row r="821" spans="2:2">
      <c r="B821" t="s">
        <v>564</v>
      </c>
    </row>
    <row r="822" spans="2:2">
      <c r="B822" t="s">
        <v>564</v>
      </c>
    </row>
    <row r="823" spans="2:2">
      <c r="B823" t="s">
        <v>564</v>
      </c>
    </row>
    <row r="824" spans="2:2">
      <c r="B824" t="s">
        <v>564</v>
      </c>
    </row>
    <row r="825" spans="2:2">
      <c r="B825" t="s">
        <v>564</v>
      </c>
    </row>
    <row r="826" spans="2:2">
      <c r="B826" t="s">
        <v>564</v>
      </c>
    </row>
    <row r="827" spans="2:2">
      <c r="B827" t="s">
        <v>564</v>
      </c>
    </row>
    <row r="828" spans="2:2">
      <c r="B828" t="s">
        <v>564</v>
      </c>
    </row>
    <row r="829" spans="2:2">
      <c r="B829" t="s">
        <v>564</v>
      </c>
    </row>
    <row r="830" spans="2:2">
      <c r="B830" t="s">
        <v>564</v>
      </c>
    </row>
    <row r="831" spans="2:2">
      <c r="B831" t="s">
        <v>564</v>
      </c>
    </row>
    <row r="832" spans="2:2">
      <c r="B832" t="s">
        <v>564</v>
      </c>
    </row>
    <row r="833" spans="2:2">
      <c r="B833" t="s">
        <v>564</v>
      </c>
    </row>
    <row r="834" spans="2:2">
      <c r="B834" t="s">
        <v>564</v>
      </c>
    </row>
    <row r="835" spans="2:2">
      <c r="B835" t="s">
        <v>564</v>
      </c>
    </row>
    <row r="836" spans="2:2">
      <c r="B836" t="s">
        <v>564</v>
      </c>
    </row>
    <row r="837" spans="2:2">
      <c r="B837" t="s">
        <v>564</v>
      </c>
    </row>
    <row r="838" spans="2:2">
      <c r="B838" t="s">
        <v>564</v>
      </c>
    </row>
    <row r="839" spans="2:2">
      <c r="B839" t="s">
        <v>564</v>
      </c>
    </row>
    <row r="840" spans="2:2">
      <c r="B840" t="s">
        <v>564</v>
      </c>
    </row>
    <row r="841" spans="2:2">
      <c r="B841" t="s">
        <v>564</v>
      </c>
    </row>
    <row r="842" spans="2:2">
      <c r="B842" t="s">
        <v>564</v>
      </c>
    </row>
    <row r="843" spans="2:2">
      <c r="B843" t="s">
        <v>564</v>
      </c>
    </row>
    <row r="844" spans="2:2">
      <c r="B844" t="s">
        <v>564</v>
      </c>
    </row>
    <row r="845" spans="2:2">
      <c r="B845" t="s">
        <v>564</v>
      </c>
    </row>
    <row r="846" spans="2:2">
      <c r="B846" t="s">
        <v>564</v>
      </c>
    </row>
    <row r="847" spans="2:2">
      <c r="B847" t="s">
        <v>564</v>
      </c>
    </row>
    <row r="848" spans="2:2">
      <c r="B848" t="s">
        <v>564</v>
      </c>
    </row>
    <row r="849" spans="2:2">
      <c r="B849" t="s">
        <v>564</v>
      </c>
    </row>
    <row r="850" spans="2:2">
      <c r="B850" t="s">
        <v>564</v>
      </c>
    </row>
    <row r="851" spans="2:2">
      <c r="B851" t="s">
        <v>564</v>
      </c>
    </row>
    <row r="852" spans="2:2">
      <c r="B852" t="s">
        <v>564</v>
      </c>
    </row>
    <row r="853" spans="2:2">
      <c r="B853" t="s">
        <v>564</v>
      </c>
    </row>
    <row r="854" spans="2:2">
      <c r="B854" t="s">
        <v>564</v>
      </c>
    </row>
    <row r="855" spans="2:2">
      <c r="B855" t="s">
        <v>564</v>
      </c>
    </row>
    <row r="856" spans="2:2">
      <c r="B856" t="s">
        <v>564</v>
      </c>
    </row>
    <row r="857" spans="2:2">
      <c r="B857" t="s">
        <v>564</v>
      </c>
    </row>
    <row r="858" spans="2:2">
      <c r="B858" t="s">
        <v>564</v>
      </c>
    </row>
    <row r="859" spans="2:2">
      <c r="B859" t="s">
        <v>564</v>
      </c>
    </row>
    <row r="860" spans="2:2">
      <c r="B860" t="s">
        <v>564</v>
      </c>
    </row>
    <row r="861" spans="2:2">
      <c r="B861" t="s">
        <v>564</v>
      </c>
    </row>
    <row r="862" spans="2:2">
      <c r="B862" t="s">
        <v>564</v>
      </c>
    </row>
    <row r="863" spans="2:2">
      <c r="B863" t="s">
        <v>564</v>
      </c>
    </row>
    <row r="864" spans="2:2">
      <c r="B864" t="s">
        <v>564</v>
      </c>
    </row>
    <row r="865" spans="2:2">
      <c r="B865" t="s">
        <v>564</v>
      </c>
    </row>
    <row r="866" spans="2:2">
      <c r="B866" t="s">
        <v>564</v>
      </c>
    </row>
    <row r="867" spans="2:2">
      <c r="B867" t="s">
        <v>564</v>
      </c>
    </row>
    <row r="868" spans="2:2">
      <c r="B868" t="s">
        <v>564</v>
      </c>
    </row>
    <row r="869" spans="2:2">
      <c r="B869" t="s">
        <v>564</v>
      </c>
    </row>
    <row r="870" spans="2:2">
      <c r="B870" t="s">
        <v>564</v>
      </c>
    </row>
    <row r="871" spans="2:2">
      <c r="B871" t="s">
        <v>564</v>
      </c>
    </row>
    <row r="872" spans="2:2">
      <c r="B872" t="s">
        <v>564</v>
      </c>
    </row>
    <row r="873" spans="2:2">
      <c r="B873" t="s">
        <v>564</v>
      </c>
    </row>
    <row r="874" spans="2:2">
      <c r="B874" t="s">
        <v>564</v>
      </c>
    </row>
    <row r="875" spans="2:2">
      <c r="B875" t="s">
        <v>564</v>
      </c>
    </row>
    <row r="876" spans="2:2">
      <c r="B876" t="s">
        <v>564</v>
      </c>
    </row>
    <row r="877" spans="2:2">
      <c r="B877" t="s">
        <v>564</v>
      </c>
    </row>
    <row r="878" spans="2:2">
      <c r="B878" t="s">
        <v>564</v>
      </c>
    </row>
    <row r="879" spans="2:2">
      <c r="B879" t="s">
        <v>564</v>
      </c>
    </row>
    <row r="880" spans="2:2">
      <c r="B880" t="s">
        <v>564</v>
      </c>
    </row>
    <row r="881" spans="2:2">
      <c r="B881" t="s">
        <v>564</v>
      </c>
    </row>
    <row r="882" spans="2:2">
      <c r="B882" t="s">
        <v>564</v>
      </c>
    </row>
    <row r="883" spans="2:2">
      <c r="B883" t="s">
        <v>564</v>
      </c>
    </row>
    <row r="884" spans="2:2">
      <c r="B884" t="s">
        <v>564</v>
      </c>
    </row>
    <row r="885" spans="2:2">
      <c r="B885" t="s">
        <v>564</v>
      </c>
    </row>
    <row r="886" spans="2:2">
      <c r="B886" t="s">
        <v>564</v>
      </c>
    </row>
    <row r="887" spans="2:2">
      <c r="B887" t="s">
        <v>564</v>
      </c>
    </row>
    <row r="888" spans="2:2">
      <c r="B888" t="s">
        <v>564</v>
      </c>
    </row>
    <row r="889" spans="2:2">
      <c r="B889" t="s">
        <v>564</v>
      </c>
    </row>
    <row r="890" spans="2:2">
      <c r="B890" t="s">
        <v>564</v>
      </c>
    </row>
    <row r="891" spans="2:2">
      <c r="B891" t="s">
        <v>564</v>
      </c>
    </row>
    <row r="892" spans="2:2">
      <c r="B892" t="s">
        <v>564</v>
      </c>
    </row>
    <row r="893" spans="2:2">
      <c r="B893" t="s">
        <v>564</v>
      </c>
    </row>
    <row r="894" spans="2:2">
      <c r="B894" t="s">
        <v>564</v>
      </c>
    </row>
    <row r="895" spans="2:2">
      <c r="B895" t="s">
        <v>564</v>
      </c>
    </row>
    <row r="896" spans="2:2">
      <c r="B896" t="s">
        <v>564</v>
      </c>
    </row>
    <row r="897" spans="2:2">
      <c r="B897" t="s">
        <v>564</v>
      </c>
    </row>
    <row r="898" spans="2:2">
      <c r="B898" t="s">
        <v>564</v>
      </c>
    </row>
    <row r="899" spans="2:2">
      <c r="B899" t="s">
        <v>564</v>
      </c>
    </row>
    <row r="900" spans="2:2">
      <c r="B900" t="s">
        <v>564</v>
      </c>
    </row>
    <row r="901" spans="2:2">
      <c r="B901" t="s">
        <v>564</v>
      </c>
    </row>
    <row r="902" spans="2:2">
      <c r="B902" t="s">
        <v>564</v>
      </c>
    </row>
    <row r="903" spans="2:2">
      <c r="B903" t="s">
        <v>564</v>
      </c>
    </row>
    <row r="904" spans="2:2">
      <c r="B904" t="s">
        <v>564</v>
      </c>
    </row>
    <row r="905" spans="2:2">
      <c r="B905" t="s">
        <v>564</v>
      </c>
    </row>
    <row r="906" spans="2:2">
      <c r="B906" t="s">
        <v>564</v>
      </c>
    </row>
    <row r="907" spans="2:2">
      <c r="B907" t="s">
        <v>564</v>
      </c>
    </row>
    <row r="908" spans="2:2">
      <c r="B908" t="s">
        <v>564</v>
      </c>
    </row>
    <row r="909" spans="2:2">
      <c r="B909" t="s">
        <v>564</v>
      </c>
    </row>
    <row r="910" spans="2:2">
      <c r="B910" t="s">
        <v>564</v>
      </c>
    </row>
    <row r="911" spans="2:2">
      <c r="B911" t="s">
        <v>564</v>
      </c>
    </row>
    <row r="912" spans="2:2">
      <c r="B912" t="s">
        <v>564</v>
      </c>
    </row>
    <row r="913" spans="2:2">
      <c r="B913" t="s">
        <v>564</v>
      </c>
    </row>
    <row r="914" spans="2:2">
      <c r="B914" t="s">
        <v>564</v>
      </c>
    </row>
    <row r="915" spans="2:2">
      <c r="B915" t="s">
        <v>564</v>
      </c>
    </row>
    <row r="916" spans="2:2">
      <c r="B916" t="s">
        <v>564</v>
      </c>
    </row>
    <row r="917" spans="2:2">
      <c r="B917" t="s">
        <v>564</v>
      </c>
    </row>
    <row r="918" spans="2:2">
      <c r="B918" t="s">
        <v>564</v>
      </c>
    </row>
    <row r="919" spans="2:2">
      <c r="B919" t="s">
        <v>564</v>
      </c>
    </row>
    <row r="920" spans="2:2">
      <c r="B920" t="s">
        <v>564</v>
      </c>
    </row>
    <row r="921" spans="2:2">
      <c r="B921" t="s">
        <v>564</v>
      </c>
    </row>
    <row r="922" spans="2:2">
      <c r="B922" t="s">
        <v>564</v>
      </c>
    </row>
    <row r="923" spans="2:2">
      <c r="B923" t="s">
        <v>564</v>
      </c>
    </row>
    <row r="924" spans="2:2">
      <c r="B924" t="s">
        <v>564</v>
      </c>
    </row>
    <row r="925" spans="2:2">
      <c r="B925" t="s">
        <v>564</v>
      </c>
    </row>
    <row r="926" spans="2:2">
      <c r="B926" t="s">
        <v>564</v>
      </c>
    </row>
    <row r="927" spans="2:2">
      <c r="B927" t="s">
        <v>564</v>
      </c>
    </row>
    <row r="928" spans="2:2">
      <c r="B928" t="s">
        <v>564</v>
      </c>
    </row>
    <row r="929" spans="2:2">
      <c r="B929" t="s">
        <v>564</v>
      </c>
    </row>
    <row r="930" spans="2:2">
      <c r="B930" t="s">
        <v>564</v>
      </c>
    </row>
    <row r="931" spans="2:2">
      <c r="B931" t="s">
        <v>564</v>
      </c>
    </row>
    <row r="932" spans="2:2">
      <c r="B932" t="s">
        <v>564</v>
      </c>
    </row>
    <row r="933" spans="2:2">
      <c r="B933" t="s">
        <v>564</v>
      </c>
    </row>
    <row r="934" spans="2:2">
      <c r="B934" t="s">
        <v>564</v>
      </c>
    </row>
    <row r="935" spans="2:2">
      <c r="B935" t="s">
        <v>564</v>
      </c>
    </row>
    <row r="936" spans="2:2">
      <c r="B936" t="s">
        <v>564</v>
      </c>
    </row>
    <row r="937" spans="2:2">
      <c r="B937" t="s">
        <v>564</v>
      </c>
    </row>
    <row r="938" spans="2:2">
      <c r="B938" t="s">
        <v>564</v>
      </c>
    </row>
    <row r="939" spans="2:2">
      <c r="B939" t="s">
        <v>564</v>
      </c>
    </row>
    <row r="940" spans="2:2">
      <c r="B940" t="s">
        <v>564</v>
      </c>
    </row>
    <row r="941" spans="2:2">
      <c r="B941" t="s">
        <v>564</v>
      </c>
    </row>
    <row r="942" spans="2:2">
      <c r="B942" t="s">
        <v>564</v>
      </c>
    </row>
    <row r="943" spans="2:2">
      <c r="B943" t="s">
        <v>564</v>
      </c>
    </row>
    <row r="944" spans="2:2">
      <c r="B944" t="s">
        <v>564</v>
      </c>
    </row>
    <row r="945" spans="2:2">
      <c r="B945" t="s">
        <v>564</v>
      </c>
    </row>
    <row r="946" spans="2:2">
      <c r="B946" t="s">
        <v>564</v>
      </c>
    </row>
    <row r="947" spans="2:2">
      <c r="B947" t="s">
        <v>564</v>
      </c>
    </row>
    <row r="948" spans="2:2">
      <c r="B948" t="s">
        <v>564</v>
      </c>
    </row>
    <row r="949" spans="2:2">
      <c r="B949" t="s">
        <v>564</v>
      </c>
    </row>
    <row r="950" spans="2:2">
      <c r="B950" t="s">
        <v>564</v>
      </c>
    </row>
    <row r="951" spans="2:2">
      <c r="B951" t="s">
        <v>564</v>
      </c>
    </row>
    <row r="952" spans="2:2">
      <c r="B952" t="s">
        <v>564</v>
      </c>
    </row>
    <row r="953" spans="2:2">
      <c r="B953" t="s">
        <v>564</v>
      </c>
    </row>
    <row r="954" spans="2:2">
      <c r="B954" t="s">
        <v>564</v>
      </c>
    </row>
    <row r="955" spans="2:2">
      <c r="B955" t="s">
        <v>564</v>
      </c>
    </row>
    <row r="956" spans="2:2">
      <c r="B956" t="s">
        <v>564</v>
      </c>
    </row>
    <row r="957" spans="2:2">
      <c r="B957" t="s">
        <v>564</v>
      </c>
    </row>
    <row r="958" spans="2:2">
      <c r="B958" t="s">
        <v>564</v>
      </c>
    </row>
    <row r="959" spans="2:2">
      <c r="B959" t="s">
        <v>564</v>
      </c>
    </row>
    <row r="960" spans="2:2">
      <c r="B960" t="s">
        <v>564</v>
      </c>
    </row>
    <row r="961" spans="2:2">
      <c r="B961" t="s">
        <v>564</v>
      </c>
    </row>
    <row r="962" spans="2:2">
      <c r="B962" t="s">
        <v>564</v>
      </c>
    </row>
    <row r="963" spans="2:2">
      <c r="B963" t="s">
        <v>564</v>
      </c>
    </row>
    <row r="964" spans="2:2">
      <c r="B964" t="s">
        <v>564</v>
      </c>
    </row>
    <row r="965" spans="2:2">
      <c r="B965" t="s">
        <v>564</v>
      </c>
    </row>
    <row r="966" spans="2:2">
      <c r="B966" t="s">
        <v>564</v>
      </c>
    </row>
    <row r="967" spans="2:2">
      <c r="B967" t="s">
        <v>564</v>
      </c>
    </row>
    <row r="968" spans="2:2">
      <c r="B968" t="s">
        <v>564</v>
      </c>
    </row>
    <row r="969" spans="2:2">
      <c r="B969" t="s">
        <v>564</v>
      </c>
    </row>
    <row r="970" spans="2:2">
      <c r="B970" t="s">
        <v>564</v>
      </c>
    </row>
    <row r="971" spans="2:2">
      <c r="B971" t="s">
        <v>564</v>
      </c>
    </row>
    <row r="972" spans="2:2">
      <c r="B972" t="s">
        <v>564</v>
      </c>
    </row>
    <row r="973" spans="2:2">
      <c r="B973" t="s">
        <v>564</v>
      </c>
    </row>
    <row r="974" spans="2:2">
      <c r="B974" t="s">
        <v>564</v>
      </c>
    </row>
    <row r="975" spans="2:2">
      <c r="B975" t="s">
        <v>564</v>
      </c>
    </row>
    <row r="976" spans="2:2">
      <c r="B976" t="s">
        <v>564</v>
      </c>
    </row>
    <row r="977" spans="2:2">
      <c r="B977" t="s">
        <v>564</v>
      </c>
    </row>
    <row r="978" spans="2:2">
      <c r="B978" t="s">
        <v>564</v>
      </c>
    </row>
    <row r="979" spans="2:2">
      <c r="B979" t="s">
        <v>564</v>
      </c>
    </row>
    <row r="980" spans="2:2">
      <c r="B980" t="s">
        <v>564</v>
      </c>
    </row>
    <row r="981" spans="2:2">
      <c r="B981" t="s">
        <v>564</v>
      </c>
    </row>
    <row r="982" spans="2:2">
      <c r="B982" t="s">
        <v>564</v>
      </c>
    </row>
    <row r="983" spans="2:2">
      <c r="B983" t="s">
        <v>564</v>
      </c>
    </row>
    <row r="984" spans="2:2">
      <c r="B984" t="s">
        <v>564</v>
      </c>
    </row>
    <row r="985" spans="2:2">
      <c r="B985" t="s">
        <v>564</v>
      </c>
    </row>
    <row r="986" spans="2:2">
      <c r="B986" t="s">
        <v>564</v>
      </c>
    </row>
    <row r="987" spans="2:2">
      <c r="B987" t="s">
        <v>564</v>
      </c>
    </row>
    <row r="988" spans="2:2">
      <c r="B988" t="s">
        <v>564</v>
      </c>
    </row>
    <row r="989" spans="2:2">
      <c r="B989" t="s">
        <v>564</v>
      </c>
    </row>
    <row r="990" spans="2:2">
      <c r="B990" t="s">
        <v>564</v>
      </c>
    </row>
    <row r="991" spans="2:2">
      <c r="B991" t="s">
        <v>564</v>
      </c>
    </row>
    <row r="992" spans="2:2">
      <c r="B992" t="s">
        <v>564</v>
      </c>
    </row>
    <row r="993" spans="2:2">
      <c r="B993" t="s">
        <v>564</v>
      </c>
    </row>
    <row r="994" spans="2:2">
      <c r="B994" t="s">
        <v>564</v>
      </c>
    </row>
    <row r="995" spans="2:2">
      <c r="B995" t="s">
        <v>564</v>
      </c>
    </row>
    <row r="996" spans="2:2">
      <c r="B996" t="s">
        <v>564</v>
      </c>
    </row>
    <row r="997" spans="2:2">
      <c r="B997" t="s">
        <v>564</v>
      </c>
    </row>
    <row r="998" spans="2:2">
      <c r="B998" t="s">
        <v>564</v>
      </c>
    </row>
    <row r="999" spans="2:2">
      <c r="B999" t="s">
        <v>564</v>
      </c>
    </row>
    <row r="1000" spans="2:2">
      <c r="B1000" t="s">
        <v>564</v>
      </c>
    </row>
    <row r="1001" spans="2:2">
      <c r="B1001" t="s">
        <v>564</v>
      </c>
    </row>
    <row r="1002" spans="2:2">
      <c r="B1002" t="s">
        <v>564</v>
      </c>
    </row>
    <row r="1003" spans="2:2">
      <c r="B1003" t="s">
        <v>564</v>
      </c>
    </row>
    <row r="1004" spans="2:2">
      <c r="B1004" t="s">
        <v>564</v>
      </c>
    </row>
    <row r="1005" spans="2:2">
      <c r="B1005" t="s">
        <v>564</v>
      </c>
    </row>
    <row r="1006" spans="2:2">
      <c r="B1006" t="s">
        <v>564</v>
      </c>
    </row>
    <row r="1007" spans="2:2">
      <c r="B1007" t="s">
        <v>564</v>
      </c>
    </row>
    <row r="1008" spans="2:2">
      <c r="B1008" t="s">
        <v>564</v>
      </c>
    </row>
    <row r="1009" spans="2:2">
      <c r="B1009" t="s">
        <v>564</v>
      </c>
    </row>
    <row r="1010" spans="2:2">
      <c r="B1010" t="s">
        <v>564</v>
      </c>
    </row>
    <row r="1011" spans="2:2">
      <c r="B1011" t="s">
        <v>564</v>
      </c>
    </row>
    <row r="1012" spans="2:2">
      <c r="B1012" t="s">
        <v>564</v>
      </c>
    </row>
    <row r="1013" spans="2:2">
      <c r="B1013" t="s">
        <v>564</v>
      </c>
    </row>
    <row r="1014" spans="2:2">
      <c r="B1014" t="s">
        <v>564</v>
      </c>
    </row>
    <row r="1015" spans="2:2">
      <c r="B1015" t="s">
        <v>564</v>
      </c>
    </row>
    <row r="1016" spans="2:2">
      <c r="B1016" t="s">
        <v>564</v>
      </c>
    </row>
    <row r="1017" spans="2:2">
      <c r="B1017" t="s">
        <v>564</v>
      </c>
    </row>
    <row r="1018" spans="2:2">
      <c r="B1018" t="s">
        <v>564</v>
      </c>
    </row>
    <row r="1019" spans="2:2">
      <c r="B1019" t="s">
        <v>564</v>
      </c>
    </row>
    <row r="1020" spans="2:2">
      <c r="B1020" t="s">
        <v>564</v>
      </c>
    </row>
    <row r="1021" spans="2:2">
      <c r="B1021" t="s">
        <v>564</v>
      </c>
    </row>
    <row r="1022" spans="2:2">
      <c r="B1022" t="s">
        <v>564</v>
      </c>
    </row>
    <row r="1023" spans="2:2">
      <c r="B1023" t="s">
        <v>564</v>
      </c>
    </row>
    <row r="1024" spans="2:2">
      <c r="B1024" t="s">
        <v>564</v>
      </c>
    </row>
    <row r="1025" spans="2:2">
      <c r="B1025" t="s">
        <v>564</v>
      </c>
    </row>
    <row r="1026" spans="2:2">
      <c r="B1026" t="s">
        <v>564</v>
      </c>
    </row>
    <row r="1027" spans="2:2">
      <c r="B1027" t="s">
        <v>564</v>
      </c>
    </row>
    <row r="1028" spans="2:2">
      <c r="B1028" t="s">
        <v>564</v>
      </c>
    </row>
    <row r="1029" spans="2:2">
      <c r="B1029" t="s">
        <v>564</v>
      </c>
    </row>
    <row r="1030" spans="2:2">
      <c r="B1030" t="s">
        <v>564</v>
      </c>
    </row>
    <row r="1031" spans="2:2">
      <c r="B1031" t="s">
        <v>564</v>
      </c>
    </row>
    <row r="1032" spans="2:2">
      <c r="B1032" t="s">
        <v>564</v>
      </c>
    </row>
    <row r="1033" spans="2:2">
      <c r="B1033" t="s">
        <v>564</v>
      </c>
    </row>
    <row r="1034" spans="2:2">
      <c r="B1034" t="s">
        <v>564</v>
      </c>
    </row>
    <row r="1035" spans="2:2">
      <c r="B1035" t="s">
        <v>564</v>
      </c>
    </row>
    <row r="1036" spans="2:2">
      <c r="B1036" t="s">
        <v>564</v>
      </c>
    </row>
    <row r="1037" spans="2:2">
      <c r="B1037" t="s">
        <v>564</v>
      </c>
    </row>
    <row r="1038" spans="2:2">
      <c r="B1038" t="s">
        <v>564</v>
      </c>
    </row>
    <row r="1039" spans="2:2">
      <c r="B1039" t="s">
        <v>564</v>
      </c>
    </row>
    <row r="1040" spans="2:2">
      <c r="B1040" t="s">
        <v>564</v>
      </c>
    </row>
    <row r="1041" spans="2:2">
      <c r="B1041" t="s">
        <v>564</v>
      </c>
    </row>
    <row r="1042" spans="2:2">
      <c r="B1042" t="s">
        <v>564</v>
      </c>
    </row>
    <row r="1043" spans="2:2">
      <c r="B1043" t="s">
        <v>564</v>
      </c>
    </row>
    <row r="1044" spans="2:2">
      <c r="B1044" t="s">
        <v>564</v>
      </c>
    </row>
    <row r="1045" spans="2:2">
      <c r="B1045" t="s">
        <v>564</v>
      </c>
    </row>
    <row r="1046" spans="2:2">
      <c r="B1046" t="s">
        <v>564</v>
      </c>
    </row>
    <row r="1047" spans="2:2">
      <c r="B1047" t="s">
        <v>564</v>
      </c>
    </row>
    <row r="1048" spans="2:2">
      <c r="B1048" t="s">
        <v>564</v>
      </c>
    </row>
    <row r="1049" spans="2:2">
      <c r="B1049" t="s">
        <v>564</v>
      </c>
    </row>
    <row r="1050" spans="2:2">
      <c r="B1050" t="s">
        <v>564</v>
      </c>
    </row>
    <row r="1051" spans="2:2">
      <c r="B1051" t="s">
        <v>564</v>
      </c>
    </row>
    <row r="1052" spans="2:2">
      <c r="B1052" t="s">
        <v>564</v>
      </c>
    </row>
    <row r="1053" spans="2:2">
      <c r="B1053" t="s">
        <v>564</v>
      </c>
    </row>
    <row r="1054" spans="2:2">
      <c r="B1054" t="s">
        <v>564</v>
      </c>
    </row>
    <row r="1055" spans="2:2">
      <c r="B1055" t="s">
        <v>564</v>
      </c>
    </row>
    <row r="1056" spans="2:2">
      <c r="B1056" t="s">
        <v>564</v>
      </c>
    </row>
    <row r="1057" spans="2:2">
      <c r="B1057" t="s">
        <v>564</v>
      </c>
    </row>
    <row r="1058" spans="2:2">
      <c r="B1058" t="s">
        <v>564</v>
      </c>
    </row>
    <row r="1059" spans="2:2">
      <c r="B1059" t="s">
        <v>564</v>
      </c>
    </row>
    <row r="1060" spans="2:2">
      <c r="B1060" t="s">
        <v>564</v>
      </c>
    </row>
    <row r="1061" spans="2:2">
      <c r="B1061" t="s">
        <v>564</v>
      </c>
    </row>
    <row r="1062" spans="2:2">
      <c r="B1062" t="s">
        <v>564</v>
      </c>
    </row>
    <row r="1063" spans="2:2">
      <c r="B1063" t="s">
        <v>564</v>
      </c>
    </row>
    <row r="1064" spans="2:2">
      <c r="B1064" t="s">
        <v>564</v>
      </c>
    </row>
    <row r="1065" spans="2:2">
      <c r="B1065" t="s">
        <v>564</v>
      </c>
    </row>
    <row r="1066" spans="2:2">
      <c r="B1066" t="s">
        <v>564</v>
      </c>
    </row>
    <row r="1067" spans="2:2">
      <c r="B1067" t="s">
        <v>564</v>
      </c>
    </row>
    <row r="1068" spans="2:2">
      <c r="B1068" t="s">
        <v>564</v>
      </c>
    </row>
    <row r="1069" spans="2:2">
      <c r="B1069" t="s">
        <v>564</v>
      </c>
    </row>
    <row r="1070" spans="2:2">
      <c r="B1070" t="s">
        <v>564</v>
      </c>
    </row>
    <row r="1071" spans="2:2">
      <c r="B1071" t="s">
        <v>564</v>
      </c>
    </row>
    <row r="1072" spans="2:2">
      <c r="B1072" t="s">
        <v>564</v>
      </c>
    </row>
    <row r="1073" spans="2:2">
      <c r="B1073" t="s">
        <v>564</v>
      </c>
    </row>
    <row r="1074" spans="2:2">
      <c r="B1074" t="s">
        <v>564</v>
      </c>
    </row>
    <row r="1075" spans="2:2">
      <c r="B1075" t="s">
        <v>564</v>
      </c>
    </row>
    <row r="1076" spans="2:2">
      <c r="B1076" t="s">
        <v>564</v>
      </c>
    </row>
    <row r="1077" spans="2:2">
      <c r="B1077" t="s">
        <v>564</v>
      </c>
    </row>
    <row r="1078" spans="2:2">
      <c r="B1078" t="s">
        <v>564</v>
      </c>
    </row>
    <row r="1079" spans="2:2">
      <c r="B1079" t="s">
        <v>564</v>
      </c>
    </row>
    <row r="1080" spans="2:2">
      <c r="B1080" t="s">
        <v>564</v>
      </c>
    </row>
    <row r="1081" spans="2:2">
      <c r="B1081" t="s">
        <v>564</v>
      </c>
    </row>
    <row r="1082" spans="2:2">
      <c r="B1082" t="s">
        <v>564</v>
      </c>
    </row>
    <row r="1083" spans="2:2">
      <c r="B1083" t="s">
        <v>564</v>
      </c>
    </row>
    <row r="1084" spans="2:2">
      <c r="B1084" t="s">
        <v>564</v>
      </c>
    </row>
    <row r="1085" spans="2:2">
      <c r="B1085" t="s">
        <v>564</v>
      </c>
    </row>
    <row r="1086" spans="2:2">
      <c r="B1086" t="s">
        <v>564</v>
      </c>
    </row>
    <row r="1087" spans="2:2">
      <c r="B1087" t="s">
        <v>564</v>
      </c>
    </row>
    <row r="1088" spans="2:2">
      <c r="B1088" t="s">
        <v>564</v>
      </c>
    </row>
    <row r="1089" spans="2:2">
      <c r="B1089" t="s">
        <v>564</v>
      </c>
    </row>
    <row r="1090" spans="2:2">
      <c r="B1090" t="s">
        <v>564</v>
      </c>
    </row>
    <row r="1091" spans="2:2">
      <c r="B1091" t="s">
        <v>564</v>
      </c>
    </row>
    <row r="1092" spans="2:2">
      <c r="B1092" t="s">
        <v>564</v>
      </c>
    </row>
    <row r="1093" spans="2:2">
      <c r="B1093" t="s">
        <v>564</v>
      </c>
    </row>
    <row r="1094" spans="2:2">
      <c r="B1094" t="s">
        <v>564</v>
      </c>
    </row>
    <row r="1095" spans="2:2">
      <c r="B1095" t="s">
        <v>564</v>
      </c>
    </row>
    <row r="1096" spans="2:2">
      <c r="B1096" t="s">
        <v>564</v>
      </c>
    </row>
    <row r="1097" spans="2:2">
      <c r="B1097" t="s">
        <v>564</v>
      </c>
    </row>
    <row r="1098" spans="2:2">
      <c r="B1098" t="s">
        <v>564</v>
      </c>
    </row>
    <row r="1099" spans="2:2">
      <c r="B1099" t="s">
        <v>564</v>
      </c>
    </row>
    <row r="1100" spans="2:2">
      <c r="B1100" t="s">
        <v>564</v>
      </c>
    </row>
    <row r="1101" spans="2:2">
      <c r="B1101" t="s">
        <v>564</v>
      </c>
    </row>
    <row r="1102" spans="2:2">
      <c r="B1102" t="s">
        <v>564</v>
      </c>
    </row>
    <row r="1103" spans="2:2">
      <c r="B1103" t="s">
        <v>564</v>
      </c>
    </row>
    <row r="1104" spans="2:2">
      <c r="B1104" t="s">
        <v>564</v>
      </c>
    </row>
    <row r="1105" spans="2:2">
      <c r="B1105" t="s">
        <v>564</v>
      </c>
    </row>
    <row r="1106" spans="2:2">
      <c r="B1106" t="s">
        <v>564</v>
      </c>
    </row>
    <row r="1107" spans="2:2">
      <c r="B1107" t="s">
        <v>564</v>
      </c>
    </row>
    <row r="1108" spans="2:2">
      <c r="B1108" t="s">
        <v>564</v>
      </c>
    </row>
    <row r="1109" spans="2:2">
      <c r="B1109" t="s">
        <v>564</v>
      </c>
    </row>
    <row r="1110" spans="2:2">
      <c r="B1110" t="s">
        <v>564</v>
      </c>
    </row>
    <row r="1111" spans="2:2">
      <c r="B1111" t="s">
        <v>564</v>
      </c>
    </row>
    <row r="1112" spans="2:2">
      <c r="B1112" t="s">
        <v>564</v>
      </c>
    </row>
    <row r="1113" spans="2:2">
      <c r="B1113" t="s">
        <v>564</v>
      </c>
    </row>
    <row r="1114" spans="2:2">
      <c r="B1114" t="s">
        <v>564</v>
      </c>
    </row>
    <row r="1115" spans="2:2">
      <c r="B1115" t="s">
        <v>564</v>
      </c>
    </row>
    <row r="1116" spans="2:2">
      <c r="B1116" t="s">
        <v>564</v>
      </c>
    </row>
    <row r="1117" spans="2:2">
      <c r="B1117" t="s">
        <v>564</v>
      </c>
    </row>
    <row r="1118" spans="2:2">
      <c r="B1118" t="s">
        <v>564</v>
      </c>
    </row>
    <row r="1119" spans="2:2">
      <c r="B1119" t="s">
        <v>564</v>
      </c>
    </row>
    <row r="1120" spans="2:2">
      <c r="B1120" t="s">
        <v>564</v>
      </c>
    </row>
    <row r="1121" spans="2:2">
      <c r="B1121" t="s">
        <v>564</v>
      </c>
    </row>
    <row r="1122" spans="2:2">
      <c r="B1122" t="s">
        <v>564</v>
      </c>
    </row>
    <row r="1123" spans="2:2">
      <c r="B1123" t="s">
        <v>564</v>
      </c>
    </row>
    <row r="1124" spans="2:2">
      <c r="B1124" t="s">
        <v>564</v>
      </c>
    </row>
    <row r="1125" spans="2:2">
      <c r="B1125" t="s">
        <v>564</v>
      </c>
    </row>
    <row r="1126" spans="2:2">
      <c r="B1126" t="s">
        <v>564</v>
      </c>
    </row>
    <row r="1127" spans="2:2">
      <c r="B1127" t="s">
        <v>564</v>
      </c>
    </row>
    <row r="1128" spans="2:2">
      <c r="B1128" t="s">
        <v>564</v>
      </c>
    </row>
    <row r="1129" spans="2:2">
      <c r="B1129" t="s">
        <v>564</v>
      </c>
    </row>
    <row r="1130" spans="2:2">
      <c r="B1130" t="s">
        <v>564</v>
      </c>
    </row>
    <row r="1131" spans="2:2">
      <c r="B1131" t="s">
        <v>564</v>
      </c>
    </row>
    <row r="1132" spans="2:2">
      <c r="B1132" t="s">
        <v>564</v>
      </c>
    </row>
    <row r="1133" spans="2:2">
      <c r="B1133" t="s">
        <v>564</v>
      </c>
    </row>
    <row r="1134" spans="2:2">
      <c r="B1134" t="s">
        <v>564</v>
      </c>
    </row>
    <row r="1135" spans="2:2">
      <c r="B1135" t="s">
        <v>564</v>
      </c>
    </row>
    <row r="1136" spans="2:2">
      <c r="B1136" t="s">
        <v>564</v>
      </c>
    </row>
    <row r="1137" spans="2:2">
      <c r="B1137" t="s">
        <v>564</v>
      </c>
    </row>
    <row r="1138" spans="2:2">
      <c r="B1138" t="s">
        <v>564</v>
      </c>
    </row>
    <row r="1139" spans="2:2">
      <c r="B1139" t="s">
        <v>564</v>
      </c>
    </row>
    <row r="1140" spans="2:2">
      <c r="B1140" t="s">
        <v>564</v>
      </c>
    </row>
    <row r="1141" spans="2:2">
      <c r="B1141" t="s">
        <v>564</v>
      </c>
    </row>
    <row r="1142" spans="2:2">
      <c r="B1142" t="s">
        <v>564</v>
      </c>
    </row>
    <row r="1143" spans="2:2">
      <c r="B1143" t="s">
        <v>564</v>
      </c>
    </row>
    <row r="1144" spans="2:2">
      <c r="B1144" t="s">
        <v>564</v>
      </c>
    </row>
    <row r="1145" spans="2:2">
      <c r="B1145" t="s">
        <v>564</v>
      </c>
    </row>
    <row r="1146" spans="2:2">
      <c r="B1146" t="s">
        <v>564</v>
      </c>
    </row>
    <row r="1147" spans="2:2">
      <c r="B1147" t="s">
        <v>564</v>
      </c>
    </row>
    <row r="1148" spans="2:2">
      <c r="B1148" t="s">
        <v>564</v>
      </c>
    </row>
    <row r="1149" spans="2:2">
      <c r="B1149" t="s">
        <v>564</v>
      </c>
    </row>
    <row r="1150" spans="2:2">
      <c r="B1150" t="s">
        <v>564</v>
      </c>
    </row>
    <row r="1151" spans="2:2">
      <c r="B1151" t="s">
        <v>564</v>
      </c>
    </row>
    <row r="1152" spans="2:2">
      <c r="B1152" t="s">
        <v>564</v>
      </c>
    </row>
    <row r="1153" spans="2:2">
      <c r="B1153" t="s">
        <v>564</v>
      </c>
    </row>
    <row r="1154" spans="2:2">
      <c r="B1154" t="s">
        <v>564</v>
      </c>
    </row>
    <row r="1155" spans="2:2">
      <c r="B1155" t="s">
        <v>564</v>
      </c>
    </row>
    <row r="1156" spans="2:2">
      <c r="B1156" t="s">
        <v>564</v>
      </c>
    </row>
    <row r="1157" spans="2:2">
      <c r="B1157" t="s">
        <v>564</v>
      </c>
    </row>
    <row r="1158" spans="2:2">
      <c r="B1158" t="s">
        <v>564</v>
      </c>
    </row>
    <row r="1159" spans="2:2">
      <c r="B1159" t="s">
        <v>564</v>
      </c>
    </row>
    <row r="1160" spans="2:2">
      <c r="B1160" t="s">
        <v>564</v>
      </c>
    </row>
    <row r="1161" spans="2:2">
      <c r="B1161" t="s">
        <v>564</v>
      </c>
    </row>
    <row r="1162" spans="2:2">
      <c r="B1162" t="s">
        <v>564</v>
      </c>
    </row>
    <row r="1163" spans="2:2">
      <c r="B1163" t="s">
        <v>564</v>
      </c>
    </row>
    <row r="1164" spans="2:2">
      <c r="B1164" t="s">
        <v>564</v>
      </c>
    </row>
    <row r="1165" spans="2:2">
      <c r="B1165" t="s">
        <v>564</v>
      </c>
    </row>
    <row r="1166" spans="2:2">
      <c r="B1166" t="s">
        <v>564</v>
      </c>
    </row>
    <row r="1167" spans="2:2">
      <c r="B1167" t="s">
        <v>564</v>
      </c>
    </row>
    <row r="1168" spans="2:2">
      <c r="B1168" t="s">
        <v>564</v>
      </c>
    </row>
    <row r="1169" spans="2:2">
      <c r="B1169" t="s">
        <v>564</v>
      </c>
    </row>
    <row r="1170" spans="2:2">
      <c r="B1170" t="s">
        <v>564</v>
      </c>
    </row>
    <row r="1171" spans="2:2">
      <c r="B1171" t="s">
        <v>564</v>
      </c>
    </row>
    <row r="1172" spans="2:2">
      <c r="B1172" t="s">
        <v>564</v>
      </c>
    </row>
    <row r="1173" spans="2:2">
      <c r="B1173" t="s">
        <v>564</v>
      </c>
    </row>
    <row r="1174" spans="2:2">
      <c r="B1174" t="s">
        <v>564</v>
      </c>
    </row>
    <row r="1175" spans="2:2">
      <c r="B1175" t="s">
        <v>564</v>
      </c>
    </row>
    <row r="1176" spans="2:2">
      <c r="B1176" t="s">
        <v>564</v>
      </c>
    </row>
    <row r="1177" spans="2:2">
      <c r="B1177" t="s">
        <v>564</v>
      </c>
    </row>
    <row r="1178" spans="2:2">
      <c r="B1178" t="s">
        <v>564</v>
      </c>
    </row>
    <row r="1179" spans="2:2">
      <c r="B1179" t="s">
        <v>564</v>
      </c>
    </row>
    <row r="1180" spans="2:2">
      <c r="B1180" t="s">
        <v>564</v>
      </c>
    </row>
    <row r="1181" spans="2:2">
      <c r="B1181" t="s">
        <v>564</v>
      </c>
    </row>
    <row r="1182" spans="2:2">
      <c r="B1182" t="s">
        <v>564</v>
      </c>
    </row>
    <row r="1183" spans="2:2">
      <c r="B1183" t="s">
        <v>564</v>
      </c>
    </row>
    <row r="1184" spans="2:2">
      <c r="B1184" t="s">
        <v>564</v>
      </c>
    </row>
    <row r="1185" spans="2:2">
      <c r="B1185" t="s">
        <v>564</v>
      </c>
    </row>
    <row r="1186" spans="2:2">
      <c r="B1186" t="s">
        <v>564</v>
      </c>
    </row>
    <row r="1187" spans="2:2">
      <c r="B1187" t="s">
        <v>564</v>
      </c>
    </row>
    <row r="1188" spans="2:2">
      <c r="B1188" t="s">
        <v>564</v>
      </c>
    </row>
    <row r="1189" spans="2:2">
      <c r="B1189" t="s">
        <v>564</v>
      </c>
    </row>
    <row r="1190" spans="2:2">
      <c r="B1190" t="s">
        <v>564</v>
      </c>
    </row>
    <row r="1191" spans="2:2">
      <c r="B1191" t="s">
        <v>564</v>
      </c>
    </row>
    <row r="1192" spans="2:2">
      <c r="B1192" t="s">
        <v>564</v>
      </c>
    </row>
    <row r="1193" spans="2:2">
      <c r="B1193" t="s">
        <v>564</v>
      </c>
    </row>
    <row r="1194" spans="2:2">
      <c r="B1194" t="s">
        <v>564</v>
      </c>
    </row>
    <row r="1195" spans="2:2">
      <c r="B1195" t="s">
        <v>564</v>
      </c>
    </row>
    <row r="1196" spans="2:2">
      <c r="B1196" t="s">
        <v>564</v>
      </c>
    </row>
    <row r="1197" spans="2:2">
      <c r="B1197" t="s">
        <v>564</v>
      </c>
    </row>
    <row r="1198" spans="2:2">
      <c r="B1198" t="s">
        <v>564</v>
      </c>
    </row>
    <row r="1199" spans="2:2">
      <c r="B1199" t="s">
        <v>564</v>
      </c>
    </row>
    <row r="1200" spans="2:2">
      <c r="B1200" t="s">
        <v>564</v>
      </c>
    </row>
    <row r="1201" spans="2:2">
      <c r="B1201" t="s">
        <v>564</v>
      </c>
    </row>
    <row r="1202" spans="2:2">
      <c r="B1202" t="s">
        <v>564</v>
      </c>
    </row>
    <row r="1203" spans="2:2">
      <c r="B1203" t="s">
        <v>564</v>
      </c>
    </row>
    <row r="1204" spans="2:2">
      <c r="B1204" t="s">
        <v>564</v>
      </c>
    </row>
    <row r="1205" spans="2:2">
      <c r="B1205" t="s">
        <v>564</v>
      </c>
    </row>
    <row r="1206" spans="2:2">
      <c r="B1206" t="s">
        <v>564</v>
      </c>
    </row>
    <row r="1207" spans="2:2">
      <c r="B1207" t="s">
        <v>564</v>
      </c>
    </row>
    <row r="1208" spans="2:2">
      <c r="B1208" t="s">
        <v>564</v>
      </c>
    </row>
    <row r="1209" spans="2:2">
      <c r="B1209" t="s">
        <v>564</v>
      </c>
    </row>
    <row r="1210" spans="2:2">
      <c r="B1210" t="s">
        <v>564</v>
      </c>
    </row>
    <row r="1211" spans="2:2">
      <c r="B1211" t="s">
        <v>564</v>
      </c>
    </row>
    <row r="1212" spans="2:2">
      <c r="B1212" t="s">
        <v>564</v>
      </c>
    </row>
    <row r="1213" spans="2:2">
      <c r="B1213" t="s">
        <v>564</v>
      </c>
    </row>
    <row r="1214" spans="2:2">
      <c r="B1214" t="s">
        <v>564</v>
      </c>
    </row>
    <row r="1215" spans="2:2">
      <c r="B1215" t="s">
        <v>564</v>
      </c>
    </row>
    <row r="1216" spans="2:2">
      <c r="B1216" t="s">
        <v>564</v>
      </c>
    </row>
    <row r="1217" spans="2:2">
      <c r="B1217" t="s">
        <v>564</v>
      </c>
    </row>
    <row r="1218" spans="2:2">
      <c r="B1218" t="s">
        <v>564</v>
      </c>
    </row>
    <row r="1219" spans="2:2">
      <c r="B1219" t="s">
        <v>564</v>
      </c>
    </row>
    <row r="1220" spans="2:2">
      <c r="B1220" t="s">
        <v>564</v>
      </c>
    </row>
    <row r="1221" spans="2:2">
      <c r="B1221" t="s">
        <v>564</v>
      </c>
    </row>
    <row r="1222" spans="2:2">
      <c r="B1222" t="s">
        <v>564</v>
      </c>
    </row>
    <row r="1223" spans="2:2">
      <c r="B1223" t="s">
        <v>564</v>
      </c>
    </row>
    <row r="1224" spans="2:2">
      <c r="B1224" t="s">
        <v>564</v>
      </c>
    </row>
    <row r="1225" spans="2:2">
      <c r="B1225" t="s">
        <v>564</v>
      </c>
    </row>
    <row r="1226" spans="2:2">
      <c r="B1226" t="s">
        <v>564</v>
      </c>
    </row>
    <row r="1227" spans="2:2">
      <c r="B1227" t="s">
        <v>564</v>
      </c>
    </row>
    <row r="1228" spans="2:2">
      <c r="B1228" t="s">
        <v>564</v>
      </c>
    </row>
    <row r="1229" spans="2:2">
      <c r="B1229" t="s">
        <v>564</v>
      </c>
    </row>
    <row r="1230" spans="2:2">
      <c r="B1230" t="s">
        <v>564</v>
      </c>
    </row>
    <row r="1231" spans="2:2">
      <c r="B1231" t="s">
        <v>564</v>
      </c>
    </row>
    <row r="1232" spans="2:2">
      <c r="B1232" t="s">
        <v>564</v>
      </c>
    </row>
    <row r="1233" spans="2:2">
      <c r="B1233" t="s">
        <v>564</v>
      </c>
    </row>
    <row r="1234" spans="2:2">
      <c r="B1234" t="s">
        <v>564</v>
      </c>
    </row>
    <row r="1235" spans="2:2">
      <c r="B1235" t="s">
        <v>564</v>
      </c>
    </row>
    <row r="1236" spans="2:2">
      <c r="B1236" t="s">
        <v>564</v>
      </c>
    </row>
    <row r="1237" spans="2:2">
      <c r="B1237" t="s">
        <v>564</v>
      </c>
    </row>
    <row r="1238" spans="2:2">
      <c r="B1238" t="s">
        <v>564</v>
      </c>
    </row>
    <row r="1239" spans="2:2">
      <c r="B1239" t="s">
        <v>564</v>
      </c>
    </row>
    <row r="1240" spans="2:2">
      <c r="B1240" t="s">
        <v>564</v>
      </c>
    </row>
    <row r="1241" spans="2:2">
      <c r="B1241" t="s">
        <v>564</v>
      </c>
    </row>
    <row r="1242" spans="2:2">
      <c r="B1242" t="s">
        <v>564</v>
      </c>
    </row>
    <row r="1243" spans="2:2">
      <c r="B1243" t="s">
        <v>564</v>
      </c>
    </row>
    <row r="1244" spans="2:2">
      <c r="B1244" t="s">
        <v>564</v>
      </c>
    </row>
    <row r="1245" spans="2:2">
      <c r="B1245" t="s">
        <v>564</v>
      </c>
    </row>
    <row r="1246" spans="2:2">
      <c r="B1246" t="s">
        <v>564</v>
      </c>
    </row>
    <row r="1247" spans="2:2">
      <c r="B1247" t="s">
        <v>564</v>
      </c>
    </row>
    <row r="1248" spans="2:2">
      <c r="B1248" t="s">
        <v>564</v>
      </c>
    </row>
    <row r="1249" spans="2:2">
      <c r="B1249" t="s">
        <v>564</v>
      </c>
    </row>
    <row r="1250" spans="2:2">
      <c r="B1250" t="s">
        <v>564</v>
      </c>
    </row>
    <row r="1251" spans="2:2">
      <c r="B1251" t="s">
        <v>564</v>
      </c>
    </row>
    <row r="1252" spans="2:2">
      <c r="B1252" t="s">
        <v>564</v>
      </c>
    </row>
    <row r="1253" spans="2:2">
      <c r="B1253" t="s">
        <v>564</v>
      </c>
    </row>
    <row r="1254" spans="2:2">
      <c r="B1254" t="s">
        <v>564</v>
      </c>
    </row>
    <row r="1255" spans="2:2">
      <c r="B1255" t="s">
        <v>564</v>
      </c>
    </row>
    <row r="1256" spans="2:2">
      <c r="B1256" t="s">
        <v>564</v>
      </c>
    </row>
    <row r="1257" spans="2:2">
      <c r="B1257" t="s">
        <v>564</v>
      </c>
    </row>
    <row r="1258" spans="2:2">
      <c r="B1258" t="s">
        <v>564</v>
      </c>
    </row>
    <row r="1259" spans="2:2">
      <c r="B1259" t="s">
        <v>564</v>
      </c>
    </row>
    <row r="1260" spans="2:2">
      <c r="B1260" t="s">
        <v>564</v>
      </c>
    </row>
    <row r="1261" spans="2:2">
      <c r="B1261" t="s">
        <v>564</v>
      </c>
    </row>
    <row r="1262" spans="2:2">
      <c r="B1262" t="s">
        <v>564</v>
      </c>
    </row>
    <row r="1263" spans="2:2">
      <c r="B1263" t="s">
        <v>564</v>
      </c>
    </row>
    <row r="1264" spans="2:2">
      <c r="B1264" t="s">
        <v>564</v>
      </c>
    </row>
    <row r="1265" spans="2:2">
      <c r="B1265" t="s">
        <v>564</v>
      </c>
    </row>
    <row r="1266" spans="2:2">
      <c r="B1266" t="s">
        <v>564</v>
      </c>
    </row>
    <row r="1267" spans="2:2">
      <c r="B1267" t="s">
        <v>564</v>
      </c>
    </row>
    <row r="1268" spans="2:2">
      <c r="B1268" t="s">
        <v>564</v>
      </c>
    </row>
    <row r="1269" spans="2:2">
      <c r="B1269" t="s">
        <v>564</v>
      </c>
    </row>
    <row r="1270" spans="2:2">
      <c r="B1270" t="s">
        <v>564</v>
      </c>
    </row>
    <row r="1271" spans="2:2">
      <c r="B1271" t="s">
        <v>564</v>
      </c>
    </row>
    <row r="1272" spans="2:2">
      <c r="B1272" t="s">
        <v>564</v>
      </c>
    </row>
    <row r="1273" spans="2:2">
      <c r="B1273" t="s">
        <v>564</v>
      </c>
    </row>
    <row r="1274" spans="2:2">
      <c r="B1274" t="s">
        <v>564</v>
      </c>
    </row>
    <row r="1275" spans="2:2">
      <c r="B1275" t="s">
        <v>564</v>
      </c>
    </row>
    <row r="1276" spans="2:2">
      <c r="B1276" t="s">
        <v>564</v>
      </c>
    </row>
    <row r="1277" spans="2:2">
      <c r="B1277" t="s">
        <v>564</v>
      </c>
    </row>
    <row r="1278" spans="2:2">
      <c r="B1278" t="s">
        <v>564</v>
      </c>
    </row>
    <row r="1279" spans="2:2">
      <c r="B1279" t="s">
        <v>564</v>
      </c>
    </row>
    <row r="1280" spans="2:2">
      <c r="B1280" t="s">
        <v>564</v>
      </c>
    </row>
    <row r="1281" spans="2:2">
      <c r="B1281" t="s">
        <v>564</v>
      </c>
    </row>
  </sheetData>
  <sortState ref="B2:I71">
    <sortCondition ref="H2:H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rEKAP MHS</vt:lpstr>
      <vt:lpstr>nILAI T</vt:lpstr>
      <vt:lpstr>rEKAP kls MK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nilai_ES1108_ES4246_202012</dc:title>
  <dc:creator>Universitas Mataram</dc:creator>
  <cp:lastModifiedBy>user</cp:lastModifiedBy>
  <dcterms:created xsi:type="dcterms:W3CDTF">2018-02-06T01:53:22Z</dcterms:created>
  <dcterms:modified xsi:type="dcterms:W3CDTF">2018-04-09T05:56:48Z</dcterms:modified>
</cp:coreProperties>
</file>