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  <sheet name="Rekap Mhs" sheetId="2" state="visible" r:id="rId3"/>
    <sheet name="rekap MK" sheetId="3" state="visible" r:id="rId4"/>
    <sheet name="Rekap Kls MK" sheetId="4" state="visible" r:id="rId5"/>
    <sheet name="MK Nilai T" sheetId="5" state="visible" r:id="rId6"/>
  </sheets>
  <externalReferences>
    <externalReference r:id="rId7"/>
    <externalReference r:id="rId8"/>
    <externalReference r:id="rId9"/>
  </externalReferences>
  <definedNames>
    <definedName function="false" hidden="true" localSheetId="4" name="_xlnm._FilterDatabase" vbProcedure="false">'MK Nilai T'!$A$1:$K$181</definedName>
    <definedName function="false" hidden="true" localSheetId="3" name="_xlnm._FilterDatabase" vbProcedure="false">'Rekap Kls MK'!$A$1:$F$3489</definedName>
    <definedName function="false" hidden="true" localSheetId="1" name="_xlnm._FilterDatabase" vbProcedure="false">'Rekap Mhs'!$A$1:$I$3497</definedName>
    <definedName function="false" hidden="true" localSheetId="0" name="_xlnm._FilterDatabase" vbProcedure="false">Worksheet!$A$1:$M$3503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<sst xmlns="http://schemas.openxmlformats.org/spreadsheetml/2006/main" count="23671" uniqueCount="1154">
  <si>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</si>
  <si>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</si>
  <si>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</si>
  <si>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</si>
  <si>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</si>
  <si>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</si>
  <si>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</si>
  <si>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</si>
  <si>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</si>
  <si>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</si>
  <si>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F1B011041</t>
  </si>
  <si>
    <t xml:space="preserve">I Wayan Arya Putra K</t>
  </si>
  <si>
    <t xml:space="preserve">ES1215</t>
  </si>
  <si>
    <t xml:space="preserve">ALGORITMA DAN PEMROGRAMAN</t>
  </si>
  <si>
    <t xml:space="preserve">A</t>
  </si>
  <si>
    <t xml:space="preserve">B+</t>
  </si>
  <si>
    <t xml:space="preserve">F1B011069</t>
  </si>
  <si>
    <t xml:space="preserve">Qanur Thariq</t>
  </si>
  <si>
    <t xml:space="preserve">B</t>
  </si>
  <si>
    <t xml:space="preserve">F1B013091</t>
  </si>
  <si>
    <t xml:space="preserve">TIRANGGA ANSORI</t>
  </si>
  <si>
    <t xml:space="preserve">F1B014027</t>
  </si>
  <si>
    <t xml:space="preserve">GALUH HARDI PRATAMA</t>
  </si>
  <si>
    <t xml:space="preserve">E</t>
  </si>
  <si>
    <t xml:space="preserve">F1B016001</t>
  </si>
  <si>
    <t xml:space="preserve">ACHMAD GILDAS THAUTY</t>
  </si>
  <si>
    <t xml:space="preserve">F1B016003</t>
  </si>
  <si>
    <t xml:space="preserve">AFI SEPIYANDI</t>
  </si>
  <si>
    <t xml:space="preserve">F1B016007</t>
  </si>
  <si>
    <t xml:space="preserve">AHMAD SYAMSUDIN HAMBALI</t>
  </si>
  <si>
    <t xml:space="preserve">D+</t>
  </si>
  <si>
    <t xml:space="preserve">F1B016009</t>
  </si>
  <si>
    <t xml:space="preserve">ALFAN SUFFA PRAMANA</t>
  </si>
  <si>
    <t xml:space="preserve">F1B016011</t>
  </si>
  <si>
    <t xml:space="preserve">Alif Adi Prasetya</t>
  </si>
  <si>
    <t xml:space="preserve">F1B016013</t>
  </si>
  <si>
    <t xml:space="preserve">Andre Fikriawan</t>
  </si>
  <si>
    <t xml:space="preserve">F1B016015</t>
  </si>
  <si>
    <t xml:space="preserve">ANSARI INDRAWAN ASIKIN</t>
  </si>
  <si>
    <t xml:space="preserve">F1B016017</t>
  </si>
  <si>
    <t xml:space="preserve">ARI SATRIADI</t>
  </si>
  <si>
    <t xml:space="preserve">F1B016021</t>
  </si>
  <si>
    <t xml:space="preserve">Dira Pratiwi</t>
  </si>
  <si>
    <t xml:space="preserve">F1B016023</t>
  </si>
  <si>
    <t xml:space="preserve">DOMINIK DWI SATYA</t>
  </si>
  <si>
    <t xml:space="preserve">F1B016027</t>
  </si>
  <si>
    <t xml:space="preserve">GUGUN JOFANDI</t>
  </si>
  <si>
    <t xml:space="preserve">F1B016029</t>
  </si>
  <si>
    <t xml:space="preserve">Hasan Basri.</t>
  </si>
  <si>
    <t xml:space="preserve">F1B016033</t>
  </si>
  <si>
    <t xml:space="preserve">Ibzani Ilham Sahgianto</t>
  </si>
  <si>
    <t xml:space="preserve">F1B016035</t>
  </si>
  <si>
    <t xml:space="preserve">ILHAM BAYUAJI PAMUNGKAS</t>
  </si>
  <si>
    <t xml:space="preserve">F1B016037</t>
  </si>
  <si>
    <t xml:space="preserve">INDRA SASTRA</t>
  </si>
  <si>
    <t xml:space="preserve">F1B016039</t>
  </si>
  <si>
    <t xml:space="preserve">Julian Wahidin.S</t>
  </si>
  <si>
    <t xml:space="preserve">F1B016041</t>
  </si>
  <si>
    <t xml:space="preserve">Khilda Ayu Safitri</t>
  </si>
  <si>
    <t xml:space="preserve">F1B016045</t>
  </si>
  <si>
    <t xml:space="preserve">LALU FIQIHILMI</t>
  </si>
  <si>
    <t xml:space="preserve">F1B016047</t>
  </si>
  <si>
    <t xml:space="preserve">Lalu Hamdan Hasim Tomberi</t>
  </si>
  <si>
    <t xml:space="preserve">F1B016049</t>
  </si>
  <si>
    <t xml:space="preserve">LALU RIZKI TAMPATI</t>
  </si>
  <si>
    <t xml:space="preserve">F1B016051</t>
  </si>
  <si>
    <t xml:space="preserve">M. Andi Zikri</t>
  </si>
  <si>
    <t xml:space="preserve">F1B016055</t>
  </si>
  <si>
    <t xml:space="preserve">M. RIVALDI HARJIAN</t>
  </si>
  <si>
    <t xml:space="preserve">F1B016057</t>
  </si>
  <si>
    <t xml:space="preserve">Masitha Maghfirah</t>
  </si>
  <si>
    <t xml:space="preserve">F1B016059</t>
  </si>
  <si>
    <t xml:space="preserve">Mira Aulia</t>
  </si>
  <si>
    <t xml:space="preserve">F1B016063</t>
  </si>
  <si>
    <t xml:space="preserve">Muhamad Anjas Cahyo NUgroho</t>
  </si>
  <si>
    <t xml:space="preserve">F1B016065</t>
  </si>
  <si>
    <t xml:space="preserve">MUHAMMAD AJI MUBARAK</t>
  </si>
  <si>
    <t xml:space="preserve">F1B016067</t>
  </si>
  <si>
    <t xml:space="preserve">MUHAMMAD FAUZI MARDANI</t>
  </si>
  <si>
    <t xml:space="preserve">F1B016069</t>
  </si>
  <si>
    <t xml:space="preserve">MUHAMMAD KURNIAWAN</t>
  </si>
  <si>
    <t xml:space="preserve">F1B016075</t>
  </si>
  <si>
    <t xml:space="preserve">PANDIT PHALALOWI PARAMARTHA</t>
  </si>
  <si>
    <t xml:space="preserve">F1B016077</t>
  </si>
  <si>
    <t xml:space="preserve">PUTU NGURAH GILANG BAGASKARA</t>
  </si>
  <si>
    <t xml:space="preserve">F1B016083</t>
  </si>
  <si>
    <t xml:space="preserve">RIDHO TRI KURNIASANDI</t>
  </si>
  <si>
    <t xml:space="preserve">F1B016085</t>
  </si>
  <si>
    <t xml:space="preserve">Rizky Yudiansyah</t>
  </si>
  <si>
    <t xml:space="preserve">F1B016087</t>
  </si>
  <si>
    <t xml:space="preserve">Safiraturrahmi</t>
  </si>
  <si>
    <t xml:space="preserve">F1B016089</t>
  </si>
  <si>
    <t xml:space="preserve">SARI NURHIDAYATI</t>
  </si>
  <si>
    <t xml:space="preserve">F1B016091</t>
  </si>
  <si>
    <t xml:space="preserve">Seftian Haqiqi Adnan</t>
  </si>
  <si>
    <t xml:space="preserve">F1B016093</t>
  </si>
  <si>
    <t xml:space="preserve">SULTON HADI</t>
  </si>
  <si>
    <t xml:space="preserve">F1B016095</t>
  </si>
  <si>
    <t xml:space="preserve">Syafiq Sazali</t>
  </si>
  <si>
    <t xml:space="preserve">F1B016097</t>
  </si>
  <si>
    <t xml:space="preserve">WINALDI NURRAHMAN</t>
  </si>
  <si>
    <t xml:space="preserve">C+</t>
  </si>
  <si>
    <t xml:space="preserve">F1B016099</t>
  </si>
  <si>
    <t xml:space="preserve">Yogi Andrio Fitroh Hayadi</t>
  </si>
  <si>
    <t xml:space="preserve">F1B016101</t>
  </si>
  <si>
    <t xml:space="preserve">YUDHA ARYADI ZUHAL</t>
  </si>
  <si>
    <t xml:space="preserve">F1B016103</t>
  </si>
  <si>
    <t xml:space="preserve">YUSRON RIZKI ARDIANSYAH</t>
  </si>
  <si>
    <t xml:space="preserve">F1B211021</t>
  </si>
  <si>
    <t xml:space="preserve">Edwin Saleh</t>
  </si>
  <si>
    <t xml:space="preserve">F1B013090</t>
  </si>
  <si>
    <t xml:space="preserve">TAHARUDIN</t>
  </si>
  <si>
    <t xml:space="preserve">F1B014028</t>
  </si>
  <si>
    <t xml:space="preserve">HABIB ALI</t>
  </si>
  <si>
    <t xml:space="preserve">F1B014098</t>
  </si>
  <si>
    <t xml:space="preserve">SURAHMIN</t>
  </si>
  <si>
    <t xml:space="preserve">F1B016002</t>
  </si>
  <si>
    <t xml:space="preserve">ADE NUSA PUTRA DINATA</t>
  </si>
  <si>
    <t xml:space="preserve">F1B016004</t>
  </si>
  <si>
    <t xml:space="preserve">Ahmad Efendi</t>
  </si>
  <si>
    <t xml:space="preserve">F1B016008</t>
  </si>
  <si>
    <t xml:space="preserve">Aizul Fikri Almugni</t>
  </si>
  <si>
    <t xml:space="preserve">F1B016010</t>
  </si>
  <si>
    <t xml:space="preserve">Alfian Romli</t>
  </si>
  <si>
    <t xml:space="preserve">K</t>
  </si>
  <si>
    <t xml:space="preserve">F1B016012</t>
  </si>
  <si>
    <t xml:space="preserve">ALPARIZI</t>
  </si>
  <si>
    <t xml:space="preserve">C</t>
  </si>
  <si>
    <t xml:space="preserve">F1B016014</t>
  </si>
  <si>
    <t xml:space="preserve">Anindya Septy Cahyani</t>
  </si>
  <si>
    <t xml:space="preserve">F1B016018</t>
  </si>
  <si>
    <t xml:space="preserve">ARIF HIDAYAT</t>
  </si>
  <si>
    <t xml:space="preserve">F1B016020</t>
  </si>
  <si>
    <t xml:space="preserve">DIMAS AKBAR JULIAWAN</t>
  </si>
  <si>
    <t xml:space="preserve">F1B016022</t>
  </si>
  <si>
    <t xml:space="preserve">DODI SEFTIAWAN</t>
  </si>
  <si>
    <t xml:space="preserve">F1B016024</t>
  </si>
  <si>
    <t xml:space="preserve">DZULHAINI ASMARINI RISMAYANI</t>
  </si>
  <si>
    <t xml:space="preserve">F1B016026</t>
  </si>
  <si>
    <t xml:space="preserve">GILANG PUTRA ABIDIN</t>
  </si>
  <si>
    <t xml:space="preserve">F1B016028</t>
  </si>
  <si>
    <t xml:space="preserve">Guruh La'la Gibran</t>
  </si>
  <si>
    <t xml:space="preserve">F1B016032</t>
  </si>
  <si>
    <t xml:space="preserve">I WAYAN YOGA ANTARA</t>
  </si>
  <si>
    <t xml:space="preserve">F1B016034</t>
  </si>
  <si>
    <t xml:space="preserve">Iksanul Insan.</t>
  </si>
  <si>
    <t xml:space="preserve">F1B016036</t>
  </si>
  <si>
    <t xml:space="preserve">Indra Budiman</t>
  </si>
  <si>
    <t xml:space="preserve">F1B016040</t>
  </si>
  <si>
    <t xml:space="preserve">KETUT AGAM SARAHITA</t>
  </si>
  <si>
    <t xml:space="preserve">F1B016042</t>
  </si>
  <si>
    <t xml:space="preserve">KRISNA ADJIE DEWANTARA</t>
  </si>
  <si>
    <t xml:space="preserve">F1B016046</t>
  </si>
  <si>
    <t xml:space="preserve">Lalu Gede Rifky Azhary</t>
  </si>
  <si>
    <t xml:space="preserve">F1B016048</t>
  </si>
  <si>
    <t xml:space="preserve">LALU PUTRANSE PERMANA</t>
  </si>
  <si>
    <t xml:space="preserve">F1B016050</t>
  </si>
  <si>
    <t xml:space="preserve">LALU SEPTIAN WAHYU ADIPRATAMA</t>
  </si>
  <si>
    <t xml:space="preserve">F1B016052</t>
  </si>
  <si>
    <t xml:space="preserve">M. IMRAN JUNAEDI</t>
  </si>
  <si>
    <t xml:space="preserve">F1B016060</t>
  </si>
  <si>
    <t xml:space="preserve">Mohamad Nurul Ihsan</t>
  </si>
  <si>
    <t xml:space="preserve">F1B016062</t>
  </si>
  <si>
    <t xml:space="preserve">Muhaini</t>
  </si>
  <si>
    <t xml:space="preserve">F1B016064</t>
  </si>
  <si>
    <t xml:space="preserve">MUHAMAD SYARIF</t>
  </si>
  <si>
    <t xml:space="preserve">F1B016066</t>
  </si>
  <si>
    <t xml:space="preserve">MUHAMMAD ARIYANDA ZULYADIANSYAH</t>
  </si>
  <si>
    <t xml:space="preserve">F1B016068</t>
  </si>
  <si>
    <t xml:space="preserve">Muhammad Irfan Hidayat</t>
  </si>
  <si>
    <t xml:space="preserve">F1B016070</t>
  </si>
  <si>
    <t xml:space="preserve">MUHAMMAD NUR TAUFIQURRAHMAN</t>
  </si>
  <si>
    <t xml:space="preserve">F1B016072</t>
  </si>
  <si>
    <t xml:space="preserve">Muhammad Zaenal Saori</t>
  </si>
  <si>
    <t xml:space="preserve">F1B016074</t>
  </si>
  <si>
    <t xml:space="preserve">NURFIAN MAULANA</t>
  </si>
  <si>
    <t xml:space="preserve">F1B016076</t>
  </si>
  <si>
    <t xml:space="preserve">PUTRI MINAWARDANI</t>
  </si>
  <si>
    <t xml:space="preserve">F1B016080</t>
  </si>
  <si>
    <t xml:space="preserve">Rahmat Jaelani</t>
  </si>
  <si>
    <t xml:space="preserve">F1B016082</t>
  </si>
  <si>
    <t xml:space="preserve">Ratu Hadijah Sulastri</t>
  </si>
  <si>
    <t xml:space="preserve">F1B016086</t>
  </si>
  <si>
    <t xml:space="preserve">Robby Nata Wijaya</t>
  </si>
  <si>
    <t xml:space="preserve">F1B016088</t>
  </si>
  <si>
    <t xml:space="preserve">SANDY YUSRIL IHZAH</t>
  </si>
  <si>
    <t xml:space="preserve">F1B016090</t>
  </si>
  <si>
    <t xml:space="preserve">Satria Karara</t>
  </si>
  <si>
    <t xml:space="preserve">F1B016092</t>
  </si>
  <si>
    <t xml:space="preserve">Sonya Arnes Ratu Loly</t>
  </si>
  <si>
    <t xml:space="preserve">F1B016094</t>
  </si>
  <si>
    <t xml:space="preserve">Suryadi</t>
  </si>
  <si>
    <t xml:space="preserve">F1B016096</t>
  </si>
  <si>
    <t xml:space="preserve">VERINA VALENTINA</t>
  </si>
  <si>
    <t xml:space="preserve">F1B016098</t>
  </si>
  <si>
    <t xml:space="preserve">Yeni Minarti</t>
  </si>
  <si>
    <t xml:space="preserve">F1B016102</t>
  </si>
  <si>
    <t xml:space="preserve">YUDHI AGUS SYAHRONI</t>
  </si>
  <si>
    <t xml:space="preserve">F1B212038</t>
  </si>
  <si>
    <t xml:space="preserve">Heni Edrianti</t>
  </si>
  <si>
    <t xml:space="preserve">F1B212080</t>
  </si>
  <si>
    <t xml:space="preserve">Ratu Alfa Febriani</t>
  </si>
  <si>
    <t xml:space="preserve">F1B014099</t>
  </si>
  <si>
    <t xml:space="preserve">SYARIF HIDAYATURRAHMAN</t>
  </si>
  <si>
    <t xml:space="preserve">F1B013010</t>
  </si>
  <si>
    <t xml:space="preserve">AHMAD SANDI YAYAN S</t>
  </si>
  <si>
    <t xml:space="preserve">EA3101</t>
  </si>
  <si>
    <t xml:space="preserve">ANALISA SISTEM TENAGA I</t>
  </si>
  <si>
    <t xml:space="preserve">P</t>
  </si>
  <si>
    <t xml:space="preserve">F1B014106</t>
  </si>
  <si>
    <t xml:space="preserve">YADIN AKHMALAGANI</t>
  </si>
  <si>
    <t xml:space="preserve">F1B015005</t>
  </si>
  <si>
    <t xml:space="preserve">ANANDA GHUFRAN</t>
  </si>
  <si>
    <t xml:space="preserve">F1B015008</t>
  </si>
  <si>
    <t xml:space="preserve">ANDI AKBAR HIDAYAT</t>
  </si>
  <si>
    <t xml:space="preserve">F1B015019</t>
  </si>
  <si>
    <t xml:space="preserve">Gopinda</t>
  </si>
  <si>
    <t xml:space="preserve">F1B015021</t>
  </si>
  <si>
    <t xml:space="preserve">Hari Surya Satma Bowo</t>
  </si>
  <si>
    <t xml:space="preserve">F1B015022</t>
  </si>
  <si>
    <t xml:space="preserve">Hengki Juniarta</t>
  </si>
  <si>
    <t xml:space="preserve">F1B015031</t>
  </si>
  <si>
    <t xml:space="preserve">I Putu Yogi Artha</t>
  </si>
  <si>
    <t xml:space="preserve">F1B015032</t>
  </si>
  <si>
    <t xml:space="preserve">Ibnu Zyad</t>
  </si>
  <si>
    <t xml:space="preserve">F1B015043</t>
  </si>
  <si>
    <t xml:space="preserve">LALU MUHAMMAD PAOZAN</t>
  </si>
  <si>
    <t xml:space="preserve">F1B015046</t>
  </si>
  <si>
    <t xml:space="preserve">LUKMAN PARHAN</t>
  </si>
  <si>
    <t xml:space="preserve">F1B015050</t>
  </si>
  <si>
    <t xml:space="preserve">MAHIGA SUHITA KUSUMA WARDHANI</t>
  </si>
  <si>
    <t xml:space="preserve">F1B015051</t>
  </si>
  <si>
    <t xml:space="preserve">Meti Puspa Syabani</t>
  </si>
  <si>
    <t xml:space="preserve">F1B015055</t>
  </si>
  <si>
    <t xml:space="preserve">Muh Aghung Trisna Wiyadhi</t>
  </si>
  <si>
    <t xml:space="preserve">F1B015063</t>
  </si>
  <si>
    <t xml:space="preserve">MUHAMMAD FAJAR ALGHIFFARI</t>
  </si>
  <si>
    <t xml:space="preserve">F1B015069</t>
  </si>
  <si>
    <t xml:space="preserve">NI MADE ANGGRAENI</t>
  </si>
  <si>
    <t xml:space="preserve">F1B015071</t>
  </si>
  <si>
    <t xml:space="preserve">Nora Intan Huswari</t>
  </si>
  <si>
    <t xml:space="preserve">F1B015073</t>
  </si>
  <si>
    <t xml:space="preserve">Pikri Hidayat</t>
  </si>
  <si>
    <t xml:space="preserve">F1B015074</t>
  </si>
  <si>
    <t xml:space="preserve">Pramono</t>
  </si>
  <si>
    <t xml:space="preserve">F1B015075</t>
  </si>
  <si>
    <t xml:space="preserve">PRASETYO</t>
  </si>
  <si>
    <t xml:space="preserve">F1B015077</t>
  </si>
  <si>
    <t xml:space="preserve">RAHMAN HIDAYAT</t>
  </si>
  <si>
    <t xml:space="preserve">F1B015081</t>
  </si>
  <si>
    <t xml:space="preserve">RETA ARSITA</t>
  </si>
  <si>
    <t xml:space="preserve">F1B015082</t>
  </si>
  <si>
    <t xml:space="preserve">RIJALUL HIDAYAT</t>
  </si>
  <si>
    <t xml:space="preserve">F1B015084</t>
  </si>
  <si>
    <t xml:space="preserve">Satrya Bhayangkara Poetra</t>
  </si>
  <si>
    <t xml:space="preserve">F1B015086</t>
  </si>
  <si>
    <t xml:space="preserve">Surya Darma</t>
  </si>
  <si>
    <t xml:space="preserve">F1B015087</t>
  </si>
  <si>
    <t xml:space="preserve">Taufik</t>
  </si>
  <si>
    <t xml:space="preserve">F1B014018</t>
  </si>
  <si>
    <t xml:space="preserve">BUYUNG SATRYA ANUGRAH</t>
  </si>
  <si>
    <t xml:space="preserve">EC4112</t>
  </si>
  <si>
    <t xml:space="preserve">ANTENA DAN PROPAGASI</t>
  </si>
  <si>
    <t xml:space="preserve">F1B014079</t>
  </si>
  <si>
    <t xml:space="preserve">RADEN FADLAN EFENDI</t>
  </si>
  <si>
    <t xml:space="preserve">F1B014083</t>
  </si>
  <si>
    <t xml:space="preserve">RIJALUL AMRI</t>
  </si>
  <si>
    <t xml:space="preserve">F1B014088</t>
  </si>
  <si>
    <t xml:space="preserve">ROZI PAHLEFI EDI PRADANA</t>
  </si>
  <si>
    <t xml:space="preserve">F1B014096</t>
  </si>
  <si>
    <t xml:space="preserve">SUHAILI</t>
  </si>
  <si>
    <t xml:space="preserve">F1B014097</t>
  </si>
  <si>
    <t xml:space="preserve">SUMAHAR</t>
  </si>
  <si>
    <t xml:space="preserve">F1B014101</t>
  </si>
  <si>
    <t xml:space="preserve">TASMINI HARYATI</t>
  </si>
  <si>
    <t xml:space="preserve">F1B015013</t>
  </si>
  <si>
    <t xml:space="preserve">Eva Estia Ningsih</t>
  </si>
  <si>
    <t xml:space="preserve">F1B015034</t>
  </si>
  <si>
    <t xml:space="preserve">IKA SURYANI</t>
  </si>
  <si>
    <t xml:space="preserve">F1B015040</t>
  </si>
  <si>
    <t xml:space="preserve">KENYA DAMAYANTI PRIYATNA</t>
  </si>
  <si>
    <t xml:space="preserve">F1B015044</t>
  </si>
  <si>
    <t xml:space="preserve">LALU RIZAL SAPUTRA JUNISTIAWAN</t>
  </si>
  <si>
    <t xml:space="preserve">F1B015047</t>
  </si>
  <si>
    <t xml:space="preserve">M Khaerul Anwar</t>
  </si>
  <si>
    <t xml:space="preserve">F1B015049</t>
  </si>
  <si>
    <t xml:space="preserve">M FAUZAN ALFARGANI</t>
  </si>
  <si>
    <t xml:space="preserve">F1B015059</t>
  </si>
  <si>
    <t xml:space="preserve">Muhammad Afrizal Ghifari Rasyda</t>
  </si>
  <si>
    <t xml:space="preserve">F1B015062</t>
  </si>
  <si>
    <t xml:space="preserve">Muhammad Amri Akbar</t>
  </si>
  <si>
    <t xml:space="preserve">F1B015064</t>
  </si>
  <si>
    <t xml:space="preserve">Muhammad Fajri</t>
  </si>
  <si>
    <t xml:space="preserve">F1B015068</t>
  </si>
  <si>
    <t xml:space="preserve">Muhtadin Akbar</t>
  </si>
  <si>
    <t xml:space="preserve">F1B015083</t>
  </si>
  <si>
    <t xml:space="preserve">RIZQI DWI CAHYO UTOMO</t>
  </si>
  <si>
    <t xml:space="preserve">F1B015092</t>
  </si>
  <si>
    <t xml:space="preserve">ZUL AFRIANTO</t>
  </si>
  <si>
    <t xml:space="preserve">F1B010029</t>
  </si>
  <si>
    <t xml:space="preserve">ATNI MARDIANA</t>
  </si>
  <si>
    <t xml:space="preserve">TPBU04203</t>
  </si>
  <si>
    <t xml:space="preserve">BAHASA INDONESIA</t>
  </si>
  <si>
    <t xml:space="preserve">TPB</t>
  </si>
  <si>
    <t xml:space="preserve">F1B011017</t>
  </si>
  <si>
    <t xml:space="preserve">Darmawan</t>
  </si>
  <si>
    <t xml:space="preserve">F1B012050</t>
  </si>
  <si>
    <t xml:space="preserve">Lalu Alfian Wahyudi</t>
  </si>
  <si>
    <t xml:space="preserve">F1B012079</t>
  </si>
  <si>
    <t xml:space="preserve">Rani Arum Aisytiani</t>
  </si>
  <si>
    <t xml:space="preserve">F1B015012</t>
  </si>
  <si>
    <t xml:space="preserve">Dwi Elok Anggraeni</t>
  </si>
  <si>
    <t xml:space="preserve">F1B015037</t>
  </si>
  <si>
    <t xml:space="preserve">Isnawati</t>
  </si>
  <si>
    <t xml:space="preserve">F1B017001</t>
  </si>
  <si>
    <t xml:space="preserve">ABDIL GANI</t>
  </si>
  <si>
    <t xml:space="preserve">F1B017002</t>
  </si>
  <si>
    <t xml:space="preserve">ABDUL KARIM</t>
  </si>
  <si>
    <t xml:space="preserve">F1B017003</t>
  </si>
  <si>
    <t xml:space="preserve">ABID ADIKA JUHARSA</t>
  </si>
  <si>
    <t xml:space="preserve">F1B017004</t>
  </si>
  <si>
    <t xml:space="preserve">ACHMAD TORIQ IVANDA</t>
  </si>
  <si>
    <t xml:space="preserve">F1B017005</t>
  </si>
  <si>
    <t xml:space="preserve">ADI DARMA MURDALI</t>
  </si>
  <si>
    <t xml:space="preserve">F1B017006</t>
  </si>
  <si>
    <t xml:space="preserve">ADITYA RIZKI KURNIAWAN</t>
  </si>
  <si>
    <t xml:space="preserve">F1B017007</t>
  </si>
  <si>
    <t xml:space="preserve">AHDIAT AUNUL HIPZI</t>
  </si>
  <si>
    <t xml:space="preserve">F1B017008</t>
  </si>
  <si>
    <t xml:space="preserve">AHMAD GOZALI</t>
  </si>
  <si>
    <t xml:space="preserve">F1B017009</t>
  </si>
  <si>
    <t xml:space="preserve">AJI SUMIARDI</t>
  </si>
  <si>
    <t xml:space="preserve">F1B017010</t>
  </si>
  <si>
    <t xml:space="preserve">AKBAR RAIHAN HILMY</t>
  </si>
  <si>
    <t xml:space="preserve">F1B017011</t>
  </si>
  <si>
    <t xml:space="preserve">ALFAN JUNINSYAH</t>
  </si>
  <si>
    <t xml:space="preserve">F1B017012</t>
  </si>
  <si>
    <t xml:space="preserve">ALFAN MAJDI</t>
  </si>
  <si>
    <t xml:space="preserve">F1B017013</t>
  </si>
  <si>
    <t xml:space="preserve">ANGGRIANI</t>
  </si>
  <si>
    <t xml:space="preserve">F1B017014</t>
  </si>
  <si>
    <t xml:space="preserve">ANTHORUL HAKIM MASRI</t>
  </si>
  <si>
    <t xml:space="preserve">F1B017015</t>
  </si>
  <si>
    <t xml:space="preserve">APRIALDY BUDI SAPUTRA</t>
  </si>
  <si>
    <t xml:space="preserve">F1B017016</t>
  </si>
  <si>
    <t xml:space="preserve">ARDIANTO</t>
  </si>
  <si>
    <t xml:space="preserve">F1B017017</t>
  </si>
  <si>
    <t xml:space="preserve">ARI SUBAGYO</t>
  </si>
  <si>
    <t xml:space="preserve">F1B017018</t>
  </si>
  <si>
    <t xml:space="preserve">ARIEFUDIN</t>
  </si>
  <si>
    <t xml:space="preserve">F1B017019</t>
  </si>
  <si>
    <t xml:space="preserve">ARMAN HIDAYAT</t>
  </si>
  <si>
    <t xml:space="preserve">F1B017020</t>
  </si>
  <si>
    <t xml:space="preserve">ARYA ANANG PUTRA MANGGALI</t>
  </si>
  <si>
    <t xml:space="preserve">F1B017021</t>
  </si>
  <si>
    <t xml:space="preserve">AS'AD ZAENUL ARHAM</t>
  </si>
  <si>
    <t xml:space="preserve">F1B017022</t>
  </si>
  <si>
    <t xml:space="preserve">BAYU HERMAWAN</t>
  </si>
  <si>
    <t xml:space="preserve">F1B017023</t>
  </si>
  <si>
    <t xml:space="preserve">BUNGA AGITA LITYA PRIBADI</t>
  </si>
  <si>
    <t xml:space="preserve">F1B017024</t>
  </si>
  <si>
    <t xml:space="preserve">DENY RAHMAN</t>
  </si>
  <si>
    <t xml:space="preserve">F1B017025</t>
  </si>
  <si>
    <t xml:space="preserve">DIKA PRATAMA</t>
  </si>
  <si>
    <t xml:space="preserve">F1B017026</t>
  </si>
  <si>
    <t xml:space="preserve">ELVIRA SEPTIANA HASBI</t>
  </si>
  <si>
    <t xml:space="preserve">F1B017027</t>
  </si>
  <si>
    <t xml:space="preserve">ERLANGGA DWIVIDI PUTRA</t>
  </si>
  <si>
    <t xml:space="preserve">F1B017028</t>
  </si>
  <si>
    <t xml:space="preserve">FAISAL AHMADI</t>
  </si>
  <si>
    <t xml:space="preserve">F1B017029</t>
  </si>
  <si>
    <t xml:space="preserve">FEBIA NINGRUM SOSROWIJOYO</t>
  </si>
  <si>
    <t xml:space="preserve">F1B017030</t>
  </si>
  <si>
    <t xml:space="preserve">HAETUN NISSA</t>
  </si>
  <si>
    <t xml:space="preserve">F1B017031</t>
  </si>
  <si>
    <t xml:space="preserve">HASBI WIRIAN</t>
  </si>
  <si>
    <t xml:space="preserve">F1B017032</t>
  </si>
  <si>
    <t xml:space="preserve">HOTI ATABIA</t>
  </si>
  <si>
    <t xml:space="preserve">F1B017033</t>
  </si>
  <si>
    <t xml:space="preserve">I MADE HENDRA ARIAMBAWA</t>
  </si>
  <si>
    <t xml:space="preserve">F1B017034</t>
  </si>
  <si>
    <t xml:space="preserve">I MADE WISNU KUSUMA PUTRA</t>
  </si>
  <si>
    <t xml:space="preserve">F1B017035</t>
  </si>
  <si>
    <t xml:space="preserve">I PUTU DENNY WAHYU KURNIAWAN</t>
  </si>
  <si>
    <t xml:space="preserve">F1B017036</t>
  </si>
  <si>
    <t xml:space="preserve">I WAYAN ERIK JAYANTIKA</t>
  </si>
  <si>
    <t xml:space="preserve">F1B017037</t>
  </si>
  <si>
    <t xml:space="preserve">IKHWANI SYAHBANA</t>
  </si>
  <si>
    <t xml:space="preserve">F1B017038</t>
  </si>
  <si>
    <t xml:space="preserve">INDRA TRI OKTAVIANSYAH</t>
  </si>
  <si>
    <t xml:space="preserve">F1B017039</t>
  </si>
  <si>
    <t xml:space="preserve">IRGA DIFANI</t>
  </si>
  <si>
    <t xml:space="preserve">F1B017040</t>
  </si>
  <si>
    <t xml:space="preserve">IRMAN ZAKARIYA</t>
  </si>
  <si>
    <t xml:space="preserve">F1B017041</t>
  </si>
  <si>
    <t xml:space="preserve">JOSHUA HENRY RIVALDO SIANTURI</t>
  </si>
  <si>
    <t xml:space="preserve">F1B017042</t>
  </si>
  <si>
    <t xml:space="preserve">JULIA KAMILATIN</t>
  </si>
  <si>
    <t xml:space="preserve">F1B017043</t>
  </si>
  <si>
    <t xml:space="preserve">JULIAN MINDRIA ROSYADI</t>
  </si>
  <si>
    <t xml:space="preserve">F1B017044</t>
  </si>
  <si>
    <t xml:space="preserve">KHAERUL MAJDI ASH-SHIDDIQY</t>
  </si>
  <si>
    <t xml:space="preserve">F1B017045</t>
  </si>
  <si>
    <t xml:space="preserve">KOMANG AGUS TRI ARTHAWAN RADIN</t>
  </si>
  <si>
    <t xml:space="preserve">F1B017046</t>
  </si>
  <si>
    <t xml:space="preserve">KUSMANTO MANSYUR</t>
  </si>
  <si>
    <t xml:space="preserve">F1B017047</t>
  </si>
  <si>
    <t xml:space="preserve">LALIZA ULWANI</t>
  </si>
  <si>
    <t xml:space="preserve">F1B017048</t>
  </si>
  <si>
    <t xml:space="preserve">LALU ISHADI DARWINATA</t>
  </si>
  <si>
    <t xml:space="preserve">F1B017049</t>
  </si>
  <si>
    <t xml:space="preserve">LALU MOH.JUNAIDI IDRIS</t>
  </si>
  <si>
    <t xml:space="preserve">F1B017050</t>
  </si>
  <si>
    <t xml:space="preserve">LALU MUHAMMAD IQBAL HERDIANTO</t>
  </si>
  <si>
    <t xml:space="preserve">F1B017051</t>
  </si>
  <si>
    <t xml:space="preserve">LALU YUDA ARDIKA</t>
  </si>
  <si>
    <t xml:space="preserve">F1B017052</t>
  </si>
  <si>
    <t xml:space="preserve">LISTA INTAN PRATIWI</t>
  </si>
  <si>
    <t xml:space="preserve">F1B017053</t>
  </si>
  <si>
    <t xml:space="preserve">M. ALFI ASHABANA</t>
  </si>
  <si>
    <t xml:space="preserve">F1B017054</t>
  </si>
  <si>
    <t xml:space="preserve">M. RILAN AMPURAMA R</t>
  </si>
  <si>
    <t xml:space="preserve">F1B017055</t>
  </si>
  <si>
    <t xml:space="preserve">M. RIZKA ZULFIKRI</t>
  </si>
  <si>
    <t xml:space="preserve">F1B017056</t>
  </si>
  <si>
    <t xml:space="preserve">M.YUNUS</t>
  </si>
  <si>
    <t xml:space="preserve">F1B017057</t>
  </si>
  <si>
    <t xml:space="preserve">MAULANA ABDILLAH</t>
  </si>
  <si>
    <t xml:space="preserve">F1B017058</t>
  </si>
  <si>
    <t xml:space="preserve">MUH FADIL</t>
  </si>
  <si>
    <t xml:space="preserve">F1B017059</t>
  </si>
  <si>
    <t xml:space="preserve">MUHAMAD FACHRUL AMRI</t>
  </si>
  <si>
    <t xml:space="preserve">F1B017060</t>
  </si>
  <si>
    <t xml:space="preserve">MUHAMAD FAJRIN AKBAR</t>
  </si>
  <si>
    <t xml:space="preserve">F1B017061</t>
  </si>
  <si>
    <t xml:space="preserve">MUHAMMAD ABDUL HARIS RAMDAN</t>
  </si>
  <si>
    <t xml:space="preserve">F1B017062</t>
  </si>
  <si>
    <t xml:space="preserve">MUHAMMAD ABDULLOH HAMZAN</t>
  </si>
  <si>
    <t xml:space="preserve">F1B017063</t>
  </si>
  <si>
    <t xml:space="preserve">MUHAMMAD ALFARIZI PUTRA</t>
  </si>
  <si>
    <t xml:space="preserve">F1B017064</t>
  </si>
  <si>
    <t xml:space="preserve">MUHAMMAD FIKRIANSYAH</t>
  </si>
  <si>
    <t xml:space="preserve">F1B017065</t>
  </si>
  <si>
    <t xml:space="preserve">MUHAMMAD HAMDANI</t>
  </si>
  <si>
    <t xml:space="preserve">F1B017066</t>
  </si>
  <si>
    <t xml:space="preserve">MUHAMMAD IQBAL FIRDAUS</t>
  </si>
  <si>
    <t xml:space="preserve">F1B017067</t>
  </si>
  <si>
    <t xml:space="preserve">MUHAMMAD RAFLY JUNIZAR RATULOLY</t>
  </si>
  <si>
    <t xml:space="preserve">F1B017068</t>
  </si>
  <si>
    <t xml:space="preserve">MUHAMMAD RIZAL AKBAR</t>
  </si>
  <si>
    <t xml:space="preserve">F1B017069</t>
  </si>
  <si>
    <t xml:space="preserve">MUHAMMAD RIZKY PRASETYA</t>
  </si>
  <si>
    <t xml:space="preserve">F1B017070</t>
  </si>
  <si>
    <t xml:space="preserve">MUHAMMAD ROLAN ALFIAN</t>
  </si>
  <si>
    <t xml:space="preserve">F1B017071</t>
  </si>
  <si>
    <t xml:space="preserve">MUHAMMAD SATRIAJI AROFA</t>
  </si>
  <si>
    <t xml:space="preserve">F1B017072</t>
  </si>
  <si>
    <t xml:space="preserve">MUHAMMAD VERGIAWAN SAPUTRA</t>
  </si>
  <si>
    <t xml:space="preserve">F1B017073</t>
  </si>
  <si>
    <t xml:space="preserve">MUHAMMAD ZIYAD AL KAUTSAR</t>
  </si>
  <si>
    <t xml:space="preserve">F1B017074</t>
  </si>
  <si>
    <t xml:space="preserve">MUJABIR</t>
  </si>
  <si>
    <t xml:space="preserve">F1B017075</t>
  </si>
  <si>
    <t xml:space="preserve">MUSTAIN NASRULLAH</t>
  </si>
  <si>
    <t xml:space="preserve">F1B017076</t>
  </si>
  <si>
    <t xml:space="preserve">NINDU WARDA TIARA PUTRI</t>
  </si>
  <si>
    <t xml:space="preserve">F1B017077</t>
  </si>
  <si>
    <t xml:space="preserve">RACHMAD ADITYA BARUNA PUTRA</t>
  </si>
  <si>
    <t xml:space="preserve">F1B017078</t>
  </si>
  <si>
    <t xml:space="preserve">RESTU SANDI</t>
  </si>
  <si>
    <t xml:space="preserve">F1B017079</t>
  </si>
  <si>
    <t xml:space="preserve">RIFALDA FADILLA LADY</t>
  </si>
  <si>
    <t xml:space="preserve">F1B017080</t>
  </si>
  <si>
    <t xml:space="preserve">RIZKI AMRIYANSYAH</t>
  </si>
  <si>
    <t xml:space="preserve">F1B017081</t>
  </si>
  <si>
    <t xml:space="preserve">ROSDIANA</t>
  </si>
  <si>
    <t xml:space="preserve">F1B017082</t>
  </si>
  <si>
    <t xml:space="preserve">SARIF FAISAL</t>
  </si>
  <si>
    <t xml:space="preserve">F1B017083</t>
  </si>
  <si>
    <t xml:space="preserve">SOFIAN ICHSAN MULADI</t>
  </si>
  <si>
    <t xml:space="preserve">F1B017084</t>
  </si>
  <si>
    <t xml:space="preserve">SUBHAWAL CHAIR</t>
  </si>
  <si>
    <t xml:space="preserve">F1B017085</t>
  </si>
  <si>
    <t xml:space="preserve">SUGANDA ALPAYUS</t>
  </si>
  <si>
    <t xml:space="preserve">F1B017086</t>
  </si>
  <si>
    <t xml:space="preserve">SYAMSUL RIZQY</t>
  </si>
  <si>
    <t xml:space="preserve">F1B017087</t>
  </si>
  <si>
    <t xml:space="preserve">SYARIF HIDAYATULLAH</t>
  </si>
  <si>
    <t xml:space="preserve">F1B017088</t>
  </si>
  <si>
    <t xml:space="preserve">TANDA WARDANA</t>
  </si>
  <si>
    <t xml:space="preserve">F1B017089</t>
  </si>
  <si>
    <t xml:space="preserve">TONI YAZID ALBUSTON</t>
  </si>
  <si>
    <t xml:space="preserve">F1B017090</t>
  </si>
  <si>
    <t xml:space="preserve">TRI NAFISAH HIDAYATI</t>
  </si>
  <si>
    <t xml:space="preserve">F1B017091</t>
  </si>
  <si>
    <t xml:space="preserve">VIRGIAN PUJI HADIANTO</t>
  </si>
  <si>
    <t xml:space="preserve">F1B017092</t>
  </si>
  <si>
    <t xml:space="preserve">WAHYATUL ZULKAIDAH</t>
  </si>
  <si>
    <t xml:space="preserve">F1B017093</t>
  </si>
  <si>
    <t xml:space="preserve">YANI YUSTIKA MARAWALI</t>
  </si>
  <si>
    <t xml:space="preserve">F1B017094</t>
  </si>
  <si>
    <t xml:space="preserve">YURANATA</t>
  </si>
  <si>
    <t xml:space="preserve">F1B017095</t>
  </si>
  <si>
    <t xml:space="preserve">YUSRIL IHZA MAHENDRA</t>
  </si>
  <si>
    <t xml:space="preserve">F1B017096</t>
  </si>
  <si>
    <t xml:space="preserve">YUSRIL SAEFURRASYID</t>
  </si>
  <si>
    <t xml:space="preserve">F1B017097</t>
  </si>
  <si>
    <t xml:space="preserve">ZIHAN RIZKY PARAWANSYAH</t>
  </si>
  <si>
    <t xml:space="preserve">F1B017098</t>
  </si>
  <si>
    <t xml:space="preserve">MUHAMMAD ALGHAZ NAWI</t>
  </si>
  <si>
    <t xml:space="preserve">TPBU05201</t>
  </si>
  <si>
    <t xml:space="preserve">BAHASA INGGRIS I</t>
  </si>
  <si>
    <t xml:space="preserve">F1B014052</t>
  </si>
  <si>
    <t xml:space="preserve">LALU MUHAMMAD CDS</t>
  </si>
  <si>
    <t xml:space="preserve">D</t>
  </si>
  <si>
    <t xml:space="preserve">F1B010018</t>
  </si>
  <si>
    <t xml:space="preserve">JUAN JUSTITI</t>
  </si>
  <si>
    <t xml:space="preserve">ED3102</t>
  </si>
  <si>
    <t xml:space="preserve">BASIS DATA</t>
  </si>
  <si>
    <t xml:space="preserve">F1B012097</t>
  </si>
  <si>
    <t xml:space="preserve">Yanti Listi Septiarini</t>
  </si>
  <si>
    <t xml:space="preserve">F1B013002</t>
  </si>
  <si>
    <t xml:space="preserve">ABDUL AMAR GIFARI AMIRUDIN</t>
  </si>
  <si>
    <t xml:space="preserve">F1B013030</t>
  </si>
  <si>
    <t xml:space="preserve">GEDE ADI ARYAWAN</t>
  </si>
  <si>
    <t xml:space="preserve">F1B014009</t>
  </si>
  <si>
    <t xml:space="preserve">ANDI TEDY SUTEDY</t>
  </si>
  <si>
    <t xml:space="preserve">F1B014060</t>
  </si>
  <si>
    <t xml:space="preserve">MUHAMMAD AULIA'ULI</t>
  </si>
  <si>
    <t xml:space="preserve">F1B015007</t>
  </si>
  <si>
    <t xml:space="preserve">ANAS SEGAF MULACHELA</t>
  </si>
  <si>
    <t xml:space="preserve">F1B015009</t>
  </si>
  <si>
    <t xml:space="preserve">ANDI ARDHIAN</t>
  </si>
  <si>
    <t xml:space="preserve">F1B015010</t>
  </si>
  <si>
    <t xml:space="preserve">Ari Mulyo Prakoso</t>
  </si>
  <si>
    <t xml:space="preserve">F1B015015</t>
  </si>
  <si>
    <t xml:space="preserve">FAKHRURRAHMAN</t>
  </si>
  <si>
    <t xml:space="preserve">F1B015016</t>
  </si>
  <si>
    <t xml:space="preserve">FEBRY DWI FITRIANTO</t>
  </si>
  <si>
    <t xml:space="preserve">F1B015038</t>
  </si>
  <si>
    <t xml:space="preserve">Jumarip</t>
  </si>
  <si>
    <t xml:space="preserve">F1B015048</t>
  </si>
  <si>
    <t xml:space="preserve">M YUSUF YAHYA</t>
  </si>
  <si>
    <t xml:space="preserve">F1B015060</t>
  </si>
  <si>
    <t xml:space="preserve">MUHAMMAD AGAM MAULANA</t>
  </si>
  <si>
    <t xml:space="preserve">F1B015076</t>
  </si>
  <si>
    <t xml:space="preserve">Rahmad Zainul Hidayat</t>
  </si>
  <si>
    <t xml:space="preserve">F1B015079</t>
  </si>
  <si>
    <t xml:space="preserve">RAMADAN WIBI SURYA AJI</t>
  </si>
  <si>
    <t xml:space="preserve">F1B015088</t>
  </si>
  <si>
    <t xml:space="preserve">VARRA SILVIA ADINDA</t>
  </si>
  <si>
    <t xml:space="preserve">F1B212053</t>
  </si>
  <si>
    <t xml:space="preserve">Lia Puspitawati</t>
  </si>
  <si>
    <t xml:space="preserve">TPB104211</t>
  </si>
  <si>
    <t xml:space="preserve">BIOLOGI UMUM</t>
  </si>
  <si>
    <t xml:space="preserve">F1B013001</t>
  </si>
  <si>
    <t xml:space="preserve">AAN SETIAWAN</t>
  </si>
  <si>
    <t xml:space="preserve">ES2124</t>
  </si>
  <si>
    <t xml:space="preserve">DASAR ELEKTRONIKA</t>
  </si>
  <si>
    <t xml:space="preserve">F1B013012</t>
  </si>
  <si>
    <t xml:space="preserve">AKHMAD ZAENUDIN</t>
  </si>
  <si>
    <t xml:space="preserve">F1B013070</t>
  </si>
  <si>
    <t xml:space="preserve">MUHAMMAD RIZQI</t>
  </si>
  <si>
    <t xml:space="preserve">F1B013082</t>
  </si>
  <si>
    <t xml:space="preserve">RUTENDI RIDWAN HASAN</t>
  </si>
  <si>
    <t xml:space="preserve">F1B013083</t>
  </si>
  <si>
    <t xml:space="preserve">SAMSUL AMINUDIN</t>
  </si>
  <si>
    <t xml:space="preserve">F1B013015</t>
  </si>
  <si>
    <t xml:space="preserve">AMRIANSYAH</t>
  </si>
  <si>
    <t xml:space="preserve">F1B013054</t>
  </si>
  <si>
    <t xml:space="preserve">LALU ANGGER PRASETIA</t>
  </si>
  <si>
    <t xml:space="preserve">F1B013084</t>
  </si>
  <si>
    <t xml:space="preserve">SAMSUL HADI</t>
  </si>
  <si>
    <t xml:space="preserve">F1B013085</t>
  </si>
  <si>
    <t xml:space="preserve">SATRIA WIRAWAN</t>
  </si>
  <si>
    <t xml:space="preserve">F1B014025</t>
  </si>
  <si>
    <t xml:space="preserve">FIRMAN HADI</t>
  </si>
  <si>
    <t xml:space="preserve">F1B014066</t>
  </si>
  <si>
    <t xml:space="preserve">MUHAMMAD SYAMSU IQBAL</t>
  </si>
  <si>
    <t xml:space="preserve">F1B016016</t>
  </si>
  <si>
    <t xml:space="preserve">Ardiansyah</t>
  </si>
  <si>
    <t xml:space="preserve">F1B013029</t>
  </si>
  <si>
    <t xml:space="preserve">FITRA ANUGERAH</t>
  </si>
  <si>
    <t xml:space="preserve">F1B013057</t>
  </si>
  <si>
    <t xml:space="preserve">LUKMAN AL HAKIM</t>
  </si>
  <si>
    <t xml:space="preserve">F1B014047</t>
  </si>
  <si>
    <t xml:space="preserve">JAELANI</t>
  </si>
  <si>
    <t xml:space="preserve">F1B014049</t>
  </si>
  <si>
    <t xml:space="preserve">KHAERUNISA</t>
  </si>
  <si>
    <t xml:space="preserve">F1B014059</t>
  </si>
  <si>
    <t xml:space="preserve">MUHAMAD BAEHAGI</t>
  </si>
  <si>
    <t xml:space="preserve">F1B016078</t>
  </si>
  <si>
    <t xml:space="preserve">Radifan Akbar Thirafi Maulana</t>
  </si>
  <si>
    <t xml:space="preserve">F1B014039</t>
  </si>
  <si>
    <t xml:space="preserve">IMRON MUJAHIDIN</t>
  </si>
  <si>
    <t xml:space="preserve">F1B014091</t>
  </si>
  <si>
    <t xml:space="preserve">SAHRUL</t>
  </si>
  <si>
    <t xml:space="preserve">F1B012007</t>
  </si>
  <si>
    <t xml:space="preserve">Alan Vikhta</t>
  </si>
  <si>
    <t xml:space="preserve">ES1108</t>
  </si>
  <si>
    <t xml:space="preserve">DASAR TEKNOLOGI INFORMASI</t>
  </si>
  <si>
    <t xml:space="preserve">F1B014030</t>
  </si>
  <si>
    <t xml:space="preserve">HAQULLAH NUR UKASSYAH</t>
  </si>
  <si>
    <t xml:space="preserve">F1B012014</t>
  </si>
  <si>
    <t xml:space="preserve">Aresta Daniel</t>
  </si>
  <si>
    <t xml:space="preserve">F1B012055</t>
  </si>
  <si>
    <t xml:space="preserve">M Ikhlas Setiawan</t>
  </si>
  <si>
    <t xml:space="preserve">F1B013036</t>
  </si>
  <si>
    <t xml:space="preserve">HILMAN ADITYA SUHARYADI</t>
  </si>
  <si>
    <t xml:space="preserve">F1B016025</t>
  </si>
  <si>
    <t xml:space="preserve">EGGIE YAYANG DEWANGGA RILANGI</t>
  </si>
  <si>
    <t xml:space="preserve">F1B013060</t>
  </si>
  <si>
    <t xml:space="preserve">M WINDI MARTA PRATAMA</t>
  </si>
  <si>
    <t xml:space="preserve">F1B014036</t>
  </si>
  <si>
    <t xml:space="preserve">IGNAXIUS MAHENDRA HARY ANGGARA</t>
  </si>
  <si>
    <t xml:space="preserve">F1B014082</t>
  </si>
  <si>
    <t xml:space="preserve">RENDRA DIN WANTO</t>
  </si>
  <si>
    <t xml:space="preserve">ES2125</t>
  </si>
  <si>
    <t xml:space="preserve">DASAR TENAGA LISTRIK</t>
  </si>
  <si>
    <t xml:space="preserve">F1B013021</t>
  </si>
  <si>
    <t xml:space="preserve">BAGUS DWI CAHYO</t>
  </si>
  <si>
    <t xml:space="preserve">F1B014043</t>
  </si>
  <si>
    <t xml:space="preserve">IRVAN SAPUTRA</t>
  </si>
  <si>
    <t xml:space="preserve">F1B014045</t>
  </si>
  <si>
    <t xml:space="preserve">IVAN HADI</t>
  </si>
  <si>
    <t xml:space="preserve">F1B014051</t>
  </si>
  <si>
    <t xml:space="preserve">LALU GUSMAN TAJRI</t>
  </si>
  <si>
    <t xml:space="preserve">F1B014053</t>
  </si>
  <si>
    <t xml:space="preserve">LALU PRANATA DHARMA PUTRA</t>
  </si>
  <si>
    <t xml:space="preserve">F1B014073</t>
  </si>
  <si>
    <t xml:space="preserve">NAJMAN BABGI</t>
  </si>
  <si>
    <t xml:space="preserve">F1B014074</t>
  </si>
  <si>
    <t xml:space="preserve">NAJMI BABGI</t>
  </si>
  <si>
    <t xml:space="preserve">F1B014075</t>
  </si>
  <si>
    <t xml:space="preserve">NANANG RAHMAT S</t>
  </si>
  <si>
    <t xml:space="preserve">F1B013009</t>
  </si>
  <si>
    <t xml:space="preserve">AHMAD FAHRIL</t>
  </si>
  <si>
    <t xml:space="preserve">F1B013017</t>
  </si>
  <si>
    <t xml:space="preserve">ANDI NUR SETIAWAN</t>
  </si>
  <si>
    <t xml:space="preserve">F1B013027</t>
  </si>
  <si>
    <t xml:space="preserve">FARGAN TANJUNG</t>
  </si>
  <si>
    <t xml:space="preserve">ES2233</t>
  </si>
  <si>
    <t xml:space="preserve">EKONOMI TEKNIK</t>
  </si>
  <si>
    <t xml:space="preserve">F1B013031</t>
  </si>
  <si>
    <t xml:space="preserve">GUFRAN</t>
  </si>
  <si>
    <t xml:space="preserve">F1B014042</t>
  </si>
  <si>
    <t xml:space="preserve">IRAWAN BUDI ARTANA</t>
  </si>
  <si>
    <t xml:space="preserve">F1B014062</t>
  </si>
  <si>
    <t xml:space="preserve">MUHAMMAD DZAKY AL MUNIR ASRI</t>
  </si>
  <si>
    <t xml:space="preserve">F1B013047</t>
  </si>
  <si>
    <t xml:space="preserve">IZFAN YUNUS</t>
  </si>
  <si>
    <t xml:space="preserve">F1B014006</t>
  </si>
  <si>
    <t xml:space="preserve">ALDHI RIZALDHI</t>
  </si>
  <si>
    <t xml:space="preserve">F1B014016</t>
  </si>
  <si>
    <t xml:space="preserve">BINSAR ALBERT FERNANDES GULTOM</t>
  </si>
  <si>
    <t xml:space="preserve">F1B014017</t>
  </si>
  <si>
    <t xml:space="preserve">BIRRUL WALIDAIN</t>
  </si>
  <si>
    <t xml:space="preserve">F1B014065</t>
  </si>
  <si>
    <t xml:space="preserve">MUHAMMAD SYA'RONI MUJAHIDIN</t>
  </si>
  <si>
    <t xml:space="preserve">F1B014072</t>
  </si>
  <si>
    <t xml:space="preserve">MUROWE HAKIKI</t>
  </si>
  <si>
    <t xml:space="preserve">F1B014078</t>
  </si>
  <si>
    <t xml:space="preserve">NUR SUHARNI</t>
  </si>
  <si>
    <t xml:space="preserve">F1B015058</t>
  </si>
  <si>
    <t xml:space="preserve">MUHAMMAD ADAM A  N</t>
  </si>
  <si>
    <t xml:space="preserve">F1B015078</t>
  </si>
  <si>
    <t xml:space="preserve">RAHMAT RAMADHAN</t>
  </si>
  <si>
    <t xml:space="preserve">F1B012067</t>
  </si>
  <si>
    <t xml:space="preserve">Muhammad Rizal</t>
  </si>
  <si>
    <t xml:space="preserve">F1B013049</t>
  </si>
  <si>
    <t xml:space="preserve">JULI ANUGRAH PRATAMA</t>
  </si>
  <si>
    <t xml:space="preserve">F1B013089</t>
  </si>
  <si>
    <t xml:space="preserve">SURYA HIDAYAT</t>
  </si>
  <si>
    <t xml:space="preserve">F1B014057</t>
  </si>
  <si>
    <t xml:space="preserve">M. UWAIS ALFARABI</t>
  </si>
  <si>
    <t xml:space="preserve">F1B011001</t>
  </si>
  <si>
    <t xml:space="preserve">Achmad Kharis P</t>
  </si>
  <si>
    <t xml:space="preserve">EC3101</t>
  </si>
  <si>
    <t xml:space="preserve">ELEKTROMAGNETIK LANJUT</t>
  </si>
  <si>
    <t xml:space="preserve">F1B011026</t>
  </si>
  <si>
    <t xml:space="preserve">Vini Triani</t>
  </si>
  <si>
    <t xml:space="preserve">F1B015018</t>
  </si>
  <si>
    <t xml:space="preserve">Fitriani Julianti</t>
  </si>
  <si>
    <t xml:space="preserve">F1B015080</t>
  </si>
  <si>
    <t xml:space="preserve">Ramdayanti</t>
  </si>
  <si>
    <t xml:space="preserve">EB3105</t>
  </si>
  <si>
    <t xml:space="preserve">ELEKTRONIKA ANALOG</t>
  </si>
  <si>
    <t xml:space="preserve">F1B014077</t>
  </si>
  <si>
    <t xml:space="preserve">NOVIA NITTA RIZKIA RAHMI</t>
  </si>
  <si>
    <t xml:space="preserve">F1B015001</t>
  </si>
  <si>
    <t xml:space="preserve">ABDUL LATIF AZHARI</t>
  </si>
  <si>
    <t xml:space="preserve">F1B015002</t>
  </si>
  <si>
    <t xml:space="preserve">Ahmad Khadimullah</t>
  </si>
  <si>
    <t xml:space="preserve">F1B015003</t>
  </si>
  <si>
    <t xml:space="preserve">AHMAD QODRI</t>
  </si>
  <si>
    <t xml:space="preserve">F1B015006</t>
  </si>
  <si>
    <t xml:space="preserve">ANANTA PARA MESWARA</t>
  </si>
  <si>
    <t xml:space="preserve">F1B015014</t>
  </si>
  <si>
    <t xml:space="preserve">Fahmi Yardi</t>
  </si>
  <si>
    <t xml:space="preserve">F1B015017</t>
  </si>
  <si>
    <t xml:space="preserve">FEZI OFA ABDUL GANI</t>
  </si>
  <si>
    <t xml:space="preserve">F1B015026</t>
  </si>
  <si>
    <t xml:space="preserve">I Komang Yudhi Satya Nugraha</t>
  </si>
  <si>
    <t xml:space="preserve">F1B015027</t>
  </si>
  <si>
    <t xml:space="preserve">I Made Bayu Krisna Putra</t>
  </si>
  <si>
    <t xml:space="preserve">F1B015033</t>
  </si>
  <si>
    <t xml:space="preserve">IFAN HARIADI</t>
  </si>
  <si>
    <t xml:space="preserve">F1B015035</t>
  </si>
  <si>
    <t xml:space="preserve">Ikhlas Anugerah</t>
  </si>
  <si>
    <t xml:space="preserve">F1B015036</t>
  </si>
  <si>
    <t xml:space="preserve">IMAM SYAUKANI</t>
  </si>
  <si>
    <t xml:space="preserve">F1B015039</t>
  </si>
  <si>
    <t xml:space="preserve">JUNIYAN WISNU ROHADI</t>
  </si>
  <si>
    <t xml:space="preserve">F1B015041</t>
  </si>
  <si>
    <t xml:space="preserve">Khaira Abda</t>
  </si>
  <si>
    <t xml:space="preserve">F1B015052</t>
  </si>
  <si>
    <t xml:space="preserve">MOH IQBAL HAKIM</t>
  </si>
  <si>
    <t xml:space="preserve">F1B015053</t>
  </si>
  <si>
    <t xml:space="preserve">Mohamad Husnul Haris</t>
  </si>
  <si>
    <t xml:space="preserve">F1B015057</t>
  </si>
  <si>
    <t xml:space="preserve">MUHAMAD RAMA ADIPITRA</t>
  </si>
  <si>
    <t xml:space="preserve">F1B015065</t>
  </si>
  <si>
    <t xml:space="preserve">MUHAMMAD JUAENI</t>
  </si>
  <si>
    <t xml:space="preserve">F1B015085</t>
  </si>
  <si>
    <t xml:space="preserve">Sri Kurniawati</t>
  </si>
  <si>
    <t xml:space="preserve">F1B015089</t>
  </si>
  <si>
    <t xml:space="preserve">Wahyuni Rahimatullah</t>
  </si>
  <si>
    <t xml:space="preserve">EA4115</t>
  </si>
  <si>
    <t xml:space="preserve">ELEKTRONIKA DAYA</t>
  </si>
  <si>
    <t xml:space="preserve">F1B013032</t>
  </si>
  <si>
    <t xml:space="preserve">HAIRIL</t>
  </si>
  <si>
    <t xml:space="preserve">F1B013093</t>
  </si>
  <si>
    <t xml:space="preserve">WINDI FIKRAN TAUPANI</t>
  </si>
  <si>
    <t xml:space="preserve">F1B014005</t>
  </si>
  <si>
    <t xml:space="preserve">AHMAD ZULKIFLI</t>
  </si>
  <si>
    <t xml:space="preserve">F1B014008</t>
  </si>
  <si>
    <t xml:space="preserve">ANDI RESTU WIYONO</t>
  </si>
  <si>
    <t xml:space="preserve">F1B014031</t>
  </si>
  <si>
    <t xml:space="preserve">HASMIL HADI</t>
  </si>
  <si>
    <t xml:space="preserve">F1B014102</t>
  </si>
  <si>
    <t xml:space="preserve">TITIN RISTI</t>
  </si>
  <si>
    <t xml:space="preserve">F1B012006</t>
  </si>
  <si>
    <t xml:space="preserve">Ahmad Jalaludin</t>
  </si>
  <si>
    <t xml:space="preserve">EB3103</t>
  </si>
  <si>
    <t xml:space="preserve">ELEKTRONIKA DIGITAL</t>
  </si>
  <si>
    <t xml:space="preserve">TPB102211</t>
  </si>
  <si>
    <t xml:space="preserve">FISIKA DASAR</t>
  </si>
  <si>
    <t xml:space="preserve">F1B012020</t>
  </si>
  <si>
    <t xml:space="preserve">Budi Fitrianti</t>
  </si>
  <si>
    <t xml:space="preserve">F1B012062</t>
  </si>
  <si>
    <t xml:space="preserve">Mohammad Taufik H</t>
  </si>
  <si>
    <t xml:space="preserve">F1B014100</t>
  </si>
  <si>
    <t xml:space="preserve">TARMUZI</t>
  </si>
  <si>
    <t xml:space="preserve">EA4002</t>
  </si>
  <si>
    <t xml:space="preserve">GEJALA MEDAN TINGGI</t>
  </si>
  <si>
    <t xml:space="preserve">F1B014011</t>
  </si>
  <si>
    <t xml:space="preserve">ARIF RAHMAN</t>
  </si>
  <si>
    <t xml:space="preserve">EB4003</t>
  </si>
  <si>
    <t xml:space="preserve">JARINGAN SYARAF TIRUAN</t>
  </si>
  <si>
    <t xml:space="preserve">F1B014001</t>
  </si>
  <si>
    <t xml:space="preserve">ABDURRAHMAN SUDAESI</t>
  </si>
  <si>
    <t xml:space="preserve">F1B014026</t>
  </si>
  <si>
    <t xml:space="preserve">GALANG PURNAMA HADI</t>
  </si>
  <si>
    <t xml:space="preserve">EC3103</t>
  </si>
  <si>
    <t xml:space="preserve">JARINGAN TELEKOMUNIKASI</t>
  </si>
  <si>
    <t xml:space="preserve">F1B015020</t>
  </si>
  <si>
    <t xml:space="preserve">HALBAT AKMARAL AZIAD</t>
  </si>
  <si>
    <t xml:space="preserve">EA4004</t>
  </si>
  <si>
    <t xml:space="preserve">KECERDASAN BUATAN DALAM STL</t>
  </si>
  <si>
    <t xml:space="preserve">F1B014064</t>
  </si>
  <si>
    <t xml:space="preserve">MUHAMMAD IZZUL AMRI AKBAR</t>
  </si>
  <si>
    <t xml:space="preserve">F1B014068</t>
  </si>
  <si>
    <t xml:space="preserve">MUHAMMAD ULUL AZMI</t>
  </si>
  <si>
    <t xml:space="preserve">F1B014095</t>
  </si>
  <si>
    <t xml:space="preserve">SUDIRMAN ALFIAN</t>
  </si>
  <si>
    <t xml:space="preserve">TPB103211</t>
  </si>
  <si>
    <t xml:space="preserve">KIMIA DASAR</t>
  </si>
  <si>
    <t xml:space="preserve">F1B014012</t>
  </si>
  <si>
    <t xml:space="preserve">ARMAN ASHARI</t>
  </si>
  <si>
    <t xml:space="preserve">EC4003</t>
  </si>
  <si>
    <t xml:space="preserve">KOMUNIKASI GELOMBANG MIKRO</t>
  </si>
  <si>
    <t xml:space="preserve">ES4245</t>
  </si>
  <si>
    <t xml:space="preserve">KULIAH KERJA NYATA (KKN)</t>
  </si>
  <si>
    <t xml:space="preserve">F1B012005</t>
  </si>
  <si>
    <t xml:space="preserve">Ahmad Amrillah</t>
  </si>
  <si>
    <t xml:space="preserve">F1B012037</t>
  </si>
  <si>
    <t xml:space="preserve">Hendra KP</t>
  </si>
  <si>
    <t xml:space="preserve">T</t>
  </si>
  <si>
    <t xml:space="preserve">F1B012069</t>
  </si>
  <si>
    <t xml:space="preserve">Muhammad Yahya Jaber</t>
  </si>
  <si>
    <t xml:space="preserve">F1B013048</t>
  </si>
  <si>
    <t xml:space="preserve">JALU KARTIKO PUTRO C</t>
  </si>
  <si>
    <t xml:space="preserve">F1B013058</t>
  </si>
  <si>
    <t xml:space="preserve">LUSI HENDRAYANI</t>
  </si>
  <si>
    <t xml:space="preserve">F1B013064</t>
  </si>
  <si>
    <t xml:space="preserve">MUH KHAERUR RAFIQ</t>
  </si>
  <si>
    <t xml:space="preserve">F1B013080</t>
  </si>
  <si>
    <t xml:space="preserve">RIZKA APRILIANI</t>
  </si>
  <si>
    <t xml:space="preserve">F1B014003</t>
  </si>
  <si>
    <t xml:space="preserve">AHMAD MARIZKI</t>
  </si>
  <si>
    <t xml:space="preserve">F1B014013</t>
  </si>
  <si>
    <t xml:space="preserve">ASMAH AULIA</t>
  </si>
  <si>
    <t xml:space="preserve">F1B014019</t>
  </si>
  <si>
    <t xml:space="preserve">DEWI SEPTIANA A</t>
  </si>
  <si>
    <t xml:space="preserve">F1B014020</t>
  </si>
  <si>
    <t xml:space="preserve">DIDIK HADUMI SETIAJI</t>
  </si>
  <si>
    <t xml:space="preserve">F1B014023</t>
  </si>
  <si>
    <t xml:space="preserve">ERNI DWI JAYANTI</t>
  </si>
  <si>
    <t xml:space="preserve">F1B014038</t>
  </si>
  <si>
    <t xml:space="preserve">IMAM HIDAYAT</t>
  </si>
  <si>
    <t xml:space="preserve">F1B014041</t>
  </si>
  <si>
    <t xml:space="preserve">INFA ANDRIAN</t>
  </si>
  <si>
    <t xml:space="preserve">F1B014044</t>
  </si>
  <si>
    <t xml:space="preserve">ISHFA KAUTSARI PUTERI SURYANI</t>
  </si>
  <si>
    <t xml:space="preserve">F1B014050</t>
  </si>
  <si>
    <t xml:space="preserve">KHIDIR WIRA SYABANI</t>
  </si>
  <si>
    <t xml:space="preserve">F1B014055</t>
  </si>
  <si>
    <t xml:space="preserve">LL ARIOKI SETIADI</t>
  </si>
  <si>
    <t xml:space="preserve">F1B014056</t>
  </si>
  <si>
    <t xml:space="preserve">M ONI</t>
  </si>
  <si>
    <t xml:space="preserve">F1B014063</t>
  </si>
  <si>
    <t xml:space="preserve">MUHAMMAD FAHRURROZI</t>
  </si>
  <si>
    <t xml:space="preserve">F1B014076</t>
  </si>
  <si>
    <t xml:space="preserve">NANDA MARDIENSYAH</t>
  </si>
  <si>
    <t xml:space="preserve">F1B014084</t>
  </si>
  <si>
    <t xml:space="preserve">RIYAN RIZKIYAWAN</t>
  </si>
  <si>
    <t xml:space="preserve">F1B014085</t>
  </si>
  <si>
    <t xml:space="preserve">RIZAL ERMIAZIS K</t>
  </si>
  <si>
    <t xml:space="preserve">F1B014103</t>
  </si>
  <si>
    <t xml:space="preserve">TOUFANI RIZAL ALFARISI</t>
  </si>
  <si>
    <t xml:space="preserve">F1B014104</t>
  </si>
  <si>
    <t xml:space="preserve">VIONNA WEDHARINY</t>
  </si>
  <si>
    <t xml:space="preserve">F1B212008</t>
  </si>
  <si>
    <t xml:space="preserve">Ali Farhan</t>
  </si>
  <si>
    <t xml:space="preserve">EB4004</t>
  </si>
  <si>
    <t xml:space="preserve">LOGIKA FUZZY</t>
  </si>
  <si>
    <t xml:space="preserve">EA4112</t>
  </si>
  <si>
    <t xml:space="preserve">MANAJEMEN OPERASI SISTEM TENAGA</t>
  </si>
  <si>
    <t xml:space="preserve">TPB101301</t>
  </si>
  <si>
    <t xml:space="preserve">MATEMATIKA DASAR</t>
  </si>
  <si>
    <t xml:space="preserve">ED3101</t>
  </si>
  <si>
    <t xml:space="preserve">MATEMATIKA DISKRIT</t>
  </si>
  <si>
    <t xml:space="preserve">ES2118</t>
  </si>
  <si>
    <t xml:space="preserve">MATEMATIKA TEKNIK I</t>
  </si>
  <si>
    <t xml:space="preserve">F1B014034</t>
  </si>
  <si>
    <t xml:space="preserve">I DENI BAYU EFENDI</t>
  </si>
  <si>
    <t xml:space="preserve">F1B212066</t>
  </si>
  <si>
    <t xml:space="preserve">Muhammad Nauval</t>
  </si>
  <si>
    <t xml:space="preserve">F1B013067</t>
  </si>
  <si>
    <t xml:space="preserve">MUHAMMAD KHAERI JAFRI</t>
  </si>
  <si>
    <t xml:space="preserve">EA3102</t>
  </si>
  <si>
    <t xml:space="preserve">MESIN LISTRIK I</t>
  </si>
  <si>
    <t xml:space="preserve">TPBU02203</t>
  </si>
  <si>
    <t xml:space="preserve">PANCASILA</t>
  </si>
  <si>
    <t xml:space="preserve">F1B212090</t>
  </si>
  <si>
    <t xml:space="preserve">Suhaili Rahman</t>
  </si>
  <si>
    <t xml:space="preserve">EA3103</t>
  </si>
  <si>
    <t xml:space="preserve">PEMBANGKIT TENAGA LISTRIK</t>
  </si>
  <si>
    <t xml:space="preserve">ED3104</t>
  </si>
  <si>
    <t xml:space="preserve">PEMROGRAMAN BERORIENTASI OBYEK</t>
  </si>
  <si>
    <t xml:space="preserve">ED4006</t>
  </si>
  <si>
    <t xml:space="preserve">PEMROGRAMAN PLATFORM INDEPENDENT</t>
  </si>
  <si>
    <t xml:space="preserve">F1B012082</t>
  </si>
  <si>
    <t xml:space="preserve">Rifky Irawan</t>
  </si>
  <si>
    <t xml:space="preserve">TPBU01203</t>
  </si>
  <si>
    <t xml:space="preserve">PENDIDIKAN AGAMA</t>
  </si>
  <si>
    <t xml:space="preserve">F1B212027</t>
  </si>
  <si>
    <t xml:space="preserve">Erwinsyah</t>
  </si>
  <si>
    <t xml:space="preserve">EB4007</t>
  </si>
  <si>
    <t xml:space="preserve">PENGOLAHAN CITRA DIGITAL</t>
  </si>
  <si>
    <t xml:space="preserve">ES2122</t>
  </si>
  <si>
    <t xml:space="preserve">PENGUKURAN BESARAN LISTRIK</t>
  </si>
  <si>
    <t xml:space="preserve">EC4113</t>
  </si>
  <si>
    <t xml:space="preserve">PENGUKURAN SISTEM TELEKOMUNIKASI</t>
  </si>
  <si>
    <t xml:space="preserve">EB4112</t>
  </si>
  <si>
    <t xml:space="preserve">PERANCANGAN SISTEM ELEKTRONIKA</t>
  </si>
  <si>
    <t xml:space="preserve">EB4114</t>
  </si>
  <si>
    <t xml:space="preserve">PIRANTI MIKROELEKTRONIKA</t>
  </si>
  <si>
    <t xml:space="preserve">F1B009059</t>
  </si>
  <si>
    <t xml:space="preserve">Muhammad Rizki Fauzi</t>
  </si>
  <si>
    <t xml:space="preserve">ES4144</t>
  </si>
  <si>
    <t xml:space="preserve">PRA TUGAS AKHIR</t>
  </si>
  <si>
    <t xml:space="preserve">F1B212084</t>
  </si>
  <si>
    <t xml:space="preserve">Rizal Satria Aryadi</t>
  </si>
  <si>
    <t xml:space="preserve">ES4143</t>
  </si>
  <si>
    <t xml:space="preserve">PRAKTEK KERJA LAPANGAN</t>
  </si>
  <si>
    <t xml:space="preserve">F1B012009</t>
  </si>
  <si>
    <t xml:space="preserve">Amirudin</t>
  </si>
  <si>
    <t xml:space="preserve">ED4112</t>
  </si>
  <si>
    <t xml:space="preserve">PRAKTIKUM ALGORITMA DAN STRUKTUR DATA</t>
  </si>
  <si>
    <t xml:space="preserve">ED4113</t>
  </si>
  <si>
    <t xml:space="preserve">PRAKTIKUM BASIS DATA</t>
  </si>
  <si>
    <t xml:space="preserve">EA4116</t>
  </si>
  <si>
    <t xml:space="preserve">PRAKTIKUM ELEKTRONIKA DAYA</t>
  </si>
  <si>
    <t xml:space="preserve">EB3104</t>
  </si>
  <si>
    <t xml:space="preserve">PRAKTIKUM ELEKTRONIKA DIGITAL</t>
  </si>
  <si>
    <t xml:space="preserve">ED4114</t>
  </si>
  <si>
    <t xml:space="preserve">PRAKTIKUM JARINGAN KOMPUTER</t>
  </si>
  <si>
    <t xml:space="preserve">EB4113</t>
  </si>
  <si>
    <t xml:space="preserve">PRAKTIKUM PENGOLAHAN SINYAL DIGITAL</t>
  </si>
  <si>
    <t xml:space="preserve">F1B010052</t>
  </si>
  <si>
    <t xml:space="preserve">HAZINATUL ASRON</t>
  </si>
  <si>
    <t xml:space="preserve">ES2123</t>
  </si>
  <si>
    <t xml:space="preserve">PRAKTIKUM PENGUKURAN BESARAN LISTRIK</t>
  </si>
  <si>
    <t xml:space="preserve">F1B012026</t>
  </si>
  <si>
    <t xml:space="preserve">Endang Sakinah</t>
  </si>
  <si>
    <t xml:space="preserve">EA4114</t>
  </si>
  <si>
    <t xml:space="preserve">PRAKTIKUM PROTEKSI SISTEM TENAGA</t>
  </si>
  <si>
    <t xml:space="preserve">EB3102</t>
  </si>
  <si>
    <t xml:space="preserve">PRAKTIKUM RANGKAIAN ELEKTRONIKA</t>
  </si>
  <si>
    <t xml:space="preserve">ES2232</t>
  </si>
  <si>
    <t xml:space="preserve">PRAKTIKUM RANGKAIAN LISTRIK</t>
  </si>
  <si>
    <t xml:space="preserve">F1B011035</t>
  </si>
  <si>
    <t xml:space="preserve">I Gede Subagia Artha</t>
  </si>
  <si>
    <t xml:space="preserve">F1B012030</t>
  </si>
  <si>
    <t xml:space="preserve">Fibrian Ismayadi</t>
  </si>
  <si>
    <t xml:space="preserve">ES1214</t>
  </si>
  <si>
    <t xml:space="preserve">PRAKTIKUM RANGKAIAN LOGIKA</t>
  </si>
  <si>
    <t xml:space="preserve">ES3140</t>
  </si>
  <si>
    <t xml:space="preserve">PRAKTIKUM SISTEM KENDALI</t>
  </si>
  <si>
    <t xml:space="preserve">EC4114</t>
  </si>
  <si>
    <t xml:space="preserve">PRAKTIKUM SISTEM TELEKOMUNIKASI</t>
  </si>
  <si>
    <t xml:space="preserve">EA4117</t>
  </si>
  <si>
    <t xml:space="preserve">PRAKTIKUM TRANSMISI DAN DISTRIBUSI TL</t>
  </si>
  <si>
    <t xml:space="preserve">ES2230</t>
  </si>
  <si>
    <t xml:space="preserve">PROSES STOKASTIK</t>
  </si>
  <si>
    <t xml:space="preserve">EA4113</t>
  </si>
  <si>
    <t xml:space="preserve">PROTEKSI SISTEM TENAGA</t>
  </si>
  <si>
    <t xml:space="preserve">ED4010</t>
  </si>
  <si>
    <t xml:space="preserve">PROYEK PERANGKAT LUNAK</t>
  </si>
  <si>
    <t xml:space="preserve">EB3101</t>
  </si>
  <si>
    <t xml:space="preserve">RANGKAIAN ELEKTRONIKA</t>
  </si>
  <si>
    <t xml:space="preserve">ES1212</t>
  </si>
  <si>
    <t xml:space="preserve">RANGKAIAN LISTRIK I</t>
  </si>
  <si>
    <t xml:space="preserve">F1B012083</t>
  </si>
  <si>
    <t xml:space="preserve">Rini Jayanti</t>
  </si>
  <si>
    <t xml:space="preserve">F1B013007</t>
  </si>
  <si>
    <t xml:space="preserve">AFRIA BUDIMAN</t>
  </si>
  <si>
    <t xml:space="preserve">ED3103</t>
  </si>
  <si>
    <t xml:space="preserve">REKAYASA PERANGKAT LUNAK</t>
  </si>
  <si>
    <t xml:space="preserve">EC3104</t>
  </si>
  <si>
    <t xml:space="preserve">REKAYASA TRAFIK</t>
  </si>
  <si>
    <t xml:space="preserve">ED4111</t>
  </si>
  <si>
    <t xml:space="preserve">SISTEM INFORMASI MANAJEMEN</t>
  </si>
  <si>
    <t xml:space="preserve">ES3139</t>
  </si>
  <si>
    <t xml:space="preserve">SISTEM KENDALI</t>
  </si>
  <si>
    <t xml:space="preserve">ES3138</t>
  </si>
  <si>
    <t xml:space="preserve">SISTEM MIKROPROSESOR</t>
  </si>
  <si>
    <t xml:space="preserve">EA4010</t>
  </si>
  <si>
    <t xml:space="preserve">SISTEM SCADA</t>
  </si>
  <si>
    <t xml:space="preserve">F1B012035</t>
  </si>
  <si>
    <t xml:space="preserve">Hamdan Makbul</t>
  </si>
  <si>
    <t xml:space="preserve">EC3102</t>
  </si>
  <si>
    <t xml:space="preserve">SISTEM TELEKOMUNIKASI</t>
  </si>
  <si>
    <t xml:space="preserve">ES4246</t>
  </si>
  <si>
    <t xml:space="preserve">TECHNOPRENEURSHIP</t>
  </si>
  <si>
    <t xml:space="preserve">EB4111</t>
  </si>
  <si>
    <t xml:space="preserve">TEKNIK INTERFACING DAN SISTEM EMBEDDED</t>
  </si>
  <si>
    <t xml:space="preserve">EB4115</t>
  </si>
  <si>
    <t xml:space="preserve">TEKNIK KENDALI DIGITAL</t>
  </si>
  <si>
    <t xml:space="preserve">ED4013</t>
  </si>
  <si>
    <t xml:space="preserve">TEKNIK NEURO FUZZY</t>
  </si>
  <si>
    <t xml:space="preserve">EC4012</t>
  </si>
  <si>
    <t xml:space="preserve">TELEMETRI</t>
  </si>
  <si>
    <t xml:space="preserve">EC4111</t>
  </si>
  <si>
    <t xml:space="preserve">TRANSMISI GEL ELEKTROMAGNETIK II</t>
  </si>
  <si>
    <t xml:space="preserve">EA3104</t>
  </si>
  <si>
    <t xml:space="preserve">TRANSMISI TENAGA LISTRIK</t>
  </si>
  <si>
    <t xml:space="preserve">F1B009043</t>
  </si>
  <si>
    <t xml:space="preserve">M.Sofian Sahuri</t>
  </si>
  <si>
    <t xml:space="preserve">ES4248</t>
  </si>
  <si>
    <t xml:space="preserve">TUGAS AKHIR</t>
  </si>
  <si>
    <t xml:space="preserve">R</t>
  </si>
  <si>
    <t xml:space="preserve">F1B010003</t>
  </si>
  <si>
    <t xml:space="preserve">ADI PRALYANTO ANGGAJAYA</t>
  </si>
  <si>
    <t xml:space="preserve">F1B010008</t>
  </si>
  <si>
    <t xml:space="preserve">EDI WIRANATA</t>
  </si>
  <si>
    <t xml:space="preserve">F1B010013</t>
  </si>
  <si>
    <t xml:space="preserve">SAMSUL BAHRAEN</t>
  </si>
  <si>
    <t xml:space="preserve">F1B010024</t>
  </si>
  <si>
    <t xml:space="preserve">ZAENUL ILHAM</t>
  </si>
  <si>
    <t xml:space="preserve">F1B010034</t>
  </si>
  <si>
    <t xml:space="preserve">M. NUR IHSAN</t>
  </si>
  <si>
    <t xml:space="preserve">F1B010035</t>
  </si>
  <si>
    <t xml:space="preserve">I GEDE YOGA SARMUDITHA</t>
  </si>
  <si>
    <t xml:space="preserve">F1B010042</t>
  </si>
  <si>
    <t xml:space="preserve">IZDYAD FATHIN</t>
  </si>
  <si>
    <t xml:space="preserve">F1B010055</t>
  </si>
  <si>
    <t xml:space="preserve">M. SYAHRUL LAIL A.P</t>
  </si>
  <si>
    <t xml:space="preserve">F1B010057</t>
  </si>
  <si>
    <t xml:space="preserve">DIYAN ANGGRAENI</t>
  </si>
  <si>
    <t xml:space="preserve">F1B010062</t>
  </si>
  <si>
    <t xml:space="preserve">NAWI NAUFAN NADA</t>
  </si>
  <si>
    <t xml:space="preserve">F1B010071</t>
  </si>
  <si>
    <t xml:space="preserve">EKO WAHYUDI</t>
  </si>
  <si>
    <t xml:space="preserve">F1B010078</t>
  </si>
  <si>
    <t xml:space="preserve">HENDRA TRISNAYADI</t>
  </si>
  <si>
    <t xml:space="preserve">F1B010081</t>
  </si>
  <si>
    <t xml:space="preserve">MOH. FITRAYADI</t>
  </si>
  <si>
    <t xml:space="preserve">F1B010092</t>
  </si>
  <si>
    <t xml:space="preserve">RIZKA HAFINATUNNISA</t>
  </si>
  <si>
    <t xml:space="preserve">F1B011006</t>
  </si>
  <si>
    <t xml:space="preserve">Ahmad Tarmizi Tahir</t>
  </si>
  <si>
    <t xml:space="preserve">F1B011009</t>
  </si>
  <si>
    <t xml:space="preserve">Almurozy Mursidan</t>
  </si>
  <si>
    <t xml:space="preserve">F1B011011</t>
  </si>
  <si>
    <t xml:space="preserve">Apriadi</t>
  </si>
  <si>
    <t xml:space="preserve">F1B011012</t>
  </si>
  <si>
    <t xml:space="preserve">Ari Rahmi Hermawati</t>
  </si>
  <si>
    <t xml:space="preserve">F1B011013</t>
  </si>
  <si>
    <t xml:space="preserve">Ariel Firmansyah</t>
  </si>
  <si>
    <t xml:space="preserve">F1B011018</t>
  </si>
  <si>
    <t xml:space="preserve">Dewa Putu Satria W</t>
  </si>
  <si>
    <t xml:space="preserve">F1B011025</t>
  </si>
  <si>
    <t xml:space="preserve">Evan Pawaka Utama</t>
  </si>
  <si>
    <t xml:space="preserve">F1B011027</t>
  </si>
  <si>
    <t xml:space="preserve">Frans Jordan K W</t>
  </si>
  <si>
    <t xml:space="preserve">F1B011032</t>
  </si>
  <si>
    <t xml:space="preserve">Heri Hidayat</t>
  </si>
  <si>
    <t xml:space="preserve">F1B011042</t>
  </si>
  <si>
    <t xml:space="preserve">I Wayan Suaryana Putra</t>
  </si>
  <si>
    <t xml:space="preserve">F1B011043</t>
  </si>
  <si>
    <t xml:space="preserve">Ida Bgs Pt Eka Paksi</t>
  </si>
  <si>
    <t xml:space="preserve">F1B011048</t>
  </si>
  <si>
    <t xml:space="preserve">L. Wahyu Iman Prajaya</t>
  </si>
  <si>
    <t xml:space="preserve">F1B011051</t>
  </si>
  <si>
    <t xml:space="preserve">Lalu Wahyu Dedy A</t>
  </si>
  <si>
    <t xml:space="preserve">F1B011066</t>
  </si>
  <si>
    <t xml:space="preserve">Novianti Kusuma Wardani</t>
  </si>
  <si>
    <t xml:space="preserve">F1B011068</t>
  </si>
  <si>
    <t xml:space="preserve">Nurlaily Agustiarini</t>
  </si>
  <si>
    <t xml:space="preserve">F1B011071</t>
  </si>
  <si>
    <t xml:space="preserve">Renyta Monica L.</t>
  </si>
  <si>
    <t xml:space="preserve">F1B011085</t>
  </si>
  <si>
    <t xml:space="preserve">Tajuddin</t>
  </si>
  <si>
    <t xml:space="preserve">F1B011088</t>
  </si>
  <si>
    <t xml:space="preserve">Waesal Karni</t>
  </si>
  <si>
    <t xml:space="preserve">F1B011090</t>
  </si>
  <si>
    <t xml:space="preserve">Wayan Sugiantara</t>
  </si>
  <si>
    <t xml:space="preserve">F1B011091</t>
  </si>
  <si>
    <t xml:space="preserve">Wiratama Iman Ramdha</t>
  </si>
  <si>
    <t xml:space="preserve">F1B011092</t>
  </si>
  <si>
    <t xml:space="preserve">Yakub Mardianto</t>
  </si>
  <si>
    <t xml:space="preserve">F1B011095</t>
  </si>
  <si>
    <t xml:space="preserve">Zahrawandi</t>
  </si>
  <si>
    <t xml:space="preserve">F1B011097</t>
  </si>
  <si>
    <t xml:space="preserve">Zayyan Atsigah</t>
  </si>
  <si>
    <t xml:space="preserve">F1B012001</t>
  </si>
  <si>
    <t xml:space="preserve">Aan Kurniawan</t>
  </si>
  <si>
    <t xml:space="preserve">F1B012010</t>
  </si>
  <si>
    <t xml:space="preserve">Ana Lestari</t>
  </si>
  <si>
    <t xml:space="preserve">F1B012011</t>
  </si>
  <si>
    <t xml:space="preserve">Andep Saputra</t>
  </si>
  <si>
    <t xml:space="preserve">F1B012017</t>
  </si>
  <si>
    <t xml:space="preserve">Atiq Qurata Ayun</t>
  </si>
  <si>
    <t xml:space="preserve">F1B012019</t>
  </si>
  <si>
    <t xml:space="preserve">Bayu Andipa</t>
  </si>
  <si>
    <t xml:space="preserve">F1B012024</t>
  </si>
  <si>
    <t xml:space="preserve">Dian Nihry Yusnil W</t>
  </si>
  <si>
    <t xml:space="preserve">F1B012025</t>
  </si>
  <si>
    <t xml:space="preserve">Dinar Yuliyanti</t>
  </si>
  <si>
    <t xml:space="preserve">F1B012031</t>
  </si>
  <si>
    <t xml:space="preserve">Fiqri Jamal</t>
  </si>
  <si>
    <t xml:space="preserve">F1B012045</t>
  </si>
  <si>
    <t xml:space="preserve">Iqbal Chan Saputra</t>
  </si>
  <si>
    <t xml:space="preserve">F1B012046</t>
  </si>
  <si>
    <t xml:space="preserve">Ira Oktafigara</t>
  </si>
  <si>
    <t xml:space="preserve">F1B012047</t>
  </si>
  <si>
    <t xml:space="preserve">Irma Wira Sari Putri</t>
  </si>
  <si>
    <t xml:space="preserve">F1B012064</t>
  </si>
  <si>
    <t xml:space="preserve">Muh Irfan</t>
  </si>
  <si>
    <t xml:space="preserve">F1B012076</t>
  </si>
  <si>
    <t xml:space="preserve">Rachmat Jaelani</t>
  </si>
  <si>
    <t xml:space="preserve">F1B012077</t>
  </si>
  <si>
    <t xml:space="preserve">Ramli Zaenudin</t>
  </si>
  <si>
    <t xml:space="preserve">F1B012085</t>
  </si>
  <si>
    <t xml:space="preserve">Rudy Rinjayani Putra</t>
  </si>
  <si>
    <t xml:space="preserve">F1B012087</t>
  </si>
  <si>
    <t xml:space="preserve">Sandy Febrian R</t>
  </si>
  <si>
    <t xml:space="preserve">F1B013003</t>
  </si>
  <si>
    <t xml:space="preserve">ABDUL MUJAHIDIN</t>
  </si>
  <si>
    <t xml:space="preserve">F1B013004</t>
  </si>
  <si>
    <t xml:space="preserve">ABDUL WAKIL</t>
  </si>
  <si>
    <t xml:space="preserve">F1B013005</t>
  </si>
  <si>
    <t xml:space="preserve">ADE PRADANA</t>
  </si>
  <si>
    <t xml:space="preserve">F1B013028</t>
  </si>
  <si>
    <t xml:space="preserve">FILDZAH AZZYATI</t>
  </si>
  <si>
    <t xml:space="preserve">F1B013035</t>
  </si>
  <si>
    <t xml:space="preserve">HENDRA SASMITA</t>
  </si>
  <si>
    <t xml:space="preserve">F1B013037</t>
  </si>
  <si>
    <t xml:space="preserve">HILYATI AULA</t>
  </si>
  <si>
    <t xml:space="preserve">F1B013038</t>
  </si>
  <si>
    <t xml:space="preserve">HUSEIN FAISAL HARHARAH</t>
  </si>
  <si>
    <t xml:space="preserve">F1B013040</t>
  </si>
  <si>
    <t xml:space="preserve">I KOMANG SULENDRA</t>
  </si>
  <si>
    <t xml:space="preserve">F1B013041</t>
  </si>
  <si>
    <t xml:space="preserve">I NENGAH SUHARTAWAN</t>
  </si>
  <si>
    <t xml:space="preserve">F1B013042</t>
  </si>
  <si>
    <t xml:space="preserve">I NYOMAN MEGA DHARMAWAN</t>
  </si>
  <si>
    <t xml:space="preserve">F1B013043</t>
  </si>
  <si>
    <t xml:space="preserve">I PUTU DODY WIDIHARTAWAN</t>
  </si>
  <si>
    <t xml:space="preserve">F1B013045</t>
  </si>
  <si>
    <t xml:space="preserve">INDAH PUSPITA</t>
  </si>
  <si>
    <t xml:space="preserve">F1B013051</t>
  </si>
  <si>
    <t xml:space="preserve">KIKI RIZKI AMALIA</t>
  </si>
  <si>
    <t xml:space="preserve">F1B013052</t>
  </si>
  <si>
    <t xml:space="preserve">KOMANG BAGUS KHRISNA MURTI</t>
  </si>
  <si>
    <t xml:space="preserve">F1B013055</t>
  </si>
  <si>
    <t xml:space="preserve">LALU IMAM ADIGUNA R</t>
  </si>
  <si>
    <t xml:space="preserve">F1B013059</t>
  </si>
  <si>
    <t xml:space="preserve">M NAJMUL FADLI</t>
  </si>
  <si>
    <t xml:space="preserve">F1B013061</t>
  </si>
  <si>
    <t xml:space="preserve">MARSUNI </t>
  </si>
  <si>
    <t xml:space="preserve">F1B013063</t>
  </si>
  <si>
    <t xml:space="preserve">MOH. ZOHRUL HIMAM</t>
  </si>
  <si>
    <t xml:space="preserve">F1B013066</t>
  </si>
  <si>
    <t xml:space="preserve">MUHAMMAD IRSYADUL UMAMI</t>
  </si>
  <si>
    <t xml:space="preserve">F1B013074</t>
  </si>
  <si>
    <t xml:space="preserve">NI MADE YUNIARTI</t>
  </si>
  <si>
    <t xml:space="preserve">F1B013075</t>
  </si>
  <si>
    <t xml:space="preserve">NURHAYATI</t>
  </si>
  <si>
    <t xml:space="preserve">F1B013076</t>
  </si>
  <si>
    <t xml:space="preserve">NURUL FATIN JANNATIN</t>
  </si>
  <si>
    <t xml:space="preserve">F1B013077</t>
  </si>
  <si>
    <t xml:space="preserve">RAYASA PURINGGAR PP</t>
  </si>
  <si>
    <t xml:space="preserve">F1B013086</t>
  </si>
  <si>
    <t xml:space="preserve">SHOFIAN TSAURY</t>
  </si>
  <si>
    <t xml:space="preserve">F1B013087</t>
  </si>
  <si>
    <t xml:space="preserve">SRI WAHYUNINGSIH</t>
  </si>
  <si>
    <t xml:space="preserve">F1B013088</t>
  </si>
  <si>
    <t xml:space="preserve">SUPRIYADI TP</t>
  </si>
  <si>
    <t xml:space="preserve">F1B013092</t>
  </si>
  <si>
    <t xml:space="preserve">WAHYU SEPTRIANDI S</t>
  </si>
  <si>
    <t xml:space="preserve">F1B013096</t>
  </si>
  <si>
    <t xml:space="preserve">YUNI KARINA SHOLEHA</t>
  </si>
  <si>
    <t xml:space="preserve">F1B013097</t>
  </si>
  <si>
    <t xml:space="preserve">ZAKIATUN RODIAH</t>
  </si>
  <si>
    <t xml:space="preserve">F1B211024</t>
  </si>
  <si>
    <t xml:space="preserve">Eskayanti Usi Awalia</t>
  </si>
  <si>
    <t xml:space="preserve">F1B211083</t>
  </si>
  <si>
    <t xml:space="preserve">Suliati Aini</t>
  </si>
  <si>
    <t xml:space="preserve">F1B212040</t>
  </si>
  <si>
    <t xml:space="preserve">I Made Puja Artana</t>
  </si>
  <si>
    <t xml:space="preserve">Nama</t>
  </si>
  <si>
    <t xml:space="preserve">SKS</t>
  </si>
  <si>
    <t xml:space="preserve">IP Semester</t>
  </si>
  <si>
    <t xml:space="preserve">SKS Kumulatif</t>
  </si>
  <si>
    <t xml:space="preserve">IP Kumulatif</t>
  </si>
  <si>
    <t xml:space="preserve">Status</t>
  </si>
  <si>
    <t xml:space="preserve">tambah sks</t>
  </si>
  <si>
    <t xml:space="preserve">SKS * IPS</t>
  </si>
  <si>
    <t xml:space="preserve">SKS * IPK</t>
  </si>
  <si>
    <t xml:space="preserve">kode</t>
  </si>
  <si>
    <t xml:space="preserve">sks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</si>
</sst>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99FF"/>
        <bgColor rgb="FFCC99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9" Type="http://schemas.openxmlformats.org/officeDocument/2006/relationships/externalLink" Target="externalLinks/externalLink3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C:/Dropbox/Filequ/Data%20Isian%20PDPT%202017_1/akm_F1B007001_F1B212099_202011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C:/Dropbox/Filequ/Data%20Isian%20PDPT%202017_1/Kurikulum%20TE%202014%20+%20TPB%202015%20+%20TPB%202016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C:/Dropbox/Filequ/Data%20Isian%20PDPT%202017_1/Kode%20dosen%20SI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ksheet"/>
    </sheetNames>
    <sheetDataSet>
      <sheetData sheetId="0">
        <row r="2">
          <cell r="A2" t="str">
            <v>F1B007001</v>
          </cell>
          <cell r="B2" t="str">
            <v>Ade Hendra Saputra</v>
          </cell>
          <cell r="C2">
            <v>20171</v>
          </cell>
          <cell r="D2">
            <v>0</v>
          </cell>
          <cell r="E2">
            <v>0</v>
          </cell>
          <cell r="F2">
            <v>68</v>
          </cell>
          <cell r="G2">
            <v>2.75</v>
          </cell>
          <cell r="H2" t="str">
            <v>A</v>
          </cell>
          <cell r="I2">
            <v>20201</v>
          </cell>
        </row>
        <row r="3">
          <cell r="A3" t="str">
            <v>F1B007002</v>
          </cell>
          <cell r="B3" t="str">
            <v>Agus Eka Juniartha</v>
          </cell>
          <cell r="C3">
            <v>20171</v>
          </cell>
          <cell r="D3">
            <v>0</v>
          </cell>
          <cell r="E3">
            <v>0</v>
          </cell>
          <cell r="F3">
            <v>77</v>
          </cell>
          <cell r="G3">
            <v>2.78</v>
          </cell>
          <cell r="H3" t="str">
            <v>A</v>
          </cell>
          <cell r="I3">
            <v>20201</v>
          </cell>
        </row>
        <row r="4">
          <cell r="A4" t="str">
            <v>F1B007003</v>
          </cell>
          <cell r="B4" t="str">
            <v>Agus Fathurrahman</v>
          </cell>
          <cell r="C4">
            <v>20171</v>
          </cell>
          <cell r="D4">
            <v>0</v>
          </cell>
          <cell r="E4">
            <v>0</v>
          </cell>
          <cell r="F4">
            <v>56</v>
          </cell>
          <cell r="G4">
            <v>2.25</v>
          </cell>
          <cell r="H4" t="str">
            <v>A</v>
          </cell>
          <cell r="I4">
            <v>20201</v>
          </cell>
        </row>
        <row r="5">
          <cell r="A5" t="str">
            <v>F1B007004</v>
          </cell>
          <cell r="B5" t="str">
            <v>Agus Hermanto</v>
          </cell>
          <cell r="C5">
            <v>20171</v>
          </cell>
          <cell r="D5">
            <v>0</v>
          </cell>
          <cell r="E5">
            <v>0</v>
          </cell>
          <cell r="F5">
            <v>43</v>
          </cell>
          <cell r="G5">
            <v>2.94</v>
          </cell>
          <cell r="H5" t="str">
            <v>A</v>
          </cell>
          <cell r="I5">
            <v>20201</v>
          </cell>
        </row>
        <row r="6">
          <cell r="A6" t="str">
            <v>F1B007005</v>
          </cell>
          <cell r="B6" t="str">
            <v>Ahmad Juaini</v>
          </cell>
          <cell r="C6">
            <v>20171</v>
          </cell>
          <cell r="D6">
            <v>0</v>
          </cell>
          <cell r="E6">
            <v>0</v>
          </cell>
          <cell r="F6">
            <v>66</v>
          </cell>
          <cell r="G6">
            <v>2.22</v>
          </cell>
          <cell r="H6" t="str">
            <v>A</v>
          </cell>
          <cell r="I6">
            <v>20201</v>
          </cell>
        </row>
        <row r="7">
          <cell r="A7" t="str">
            <v>F1B007006</v>
          </cell>
          <cell r="B7" t="str">
            <v>Ahmad Yusri Amry</v>
          </cell>
          <cell r="C7">
            <v>20171</v>
          </cell>
          <cell r="D7">
            <v>0</v>
          </cell>
          <cell r="E7">
            <v>0</v>
          </cell>
          <cell r="F7">
            <v>2</v>
          </cell>
          <cell r="G7">
            <v>0</v>
          </cell>
          <cell r="H7" t="str">
            <v>A</v>
          </cell>
          <cell r="I7">
            <v>20201</v>
          </cell>
        </row>
        <row r="8">
          <cell r="A8" t="str">
            <v>F1B007007</v>
          </cell>
          <cell r="B8" t="str">
            <v>Aldy Kusdianto</v>
          </cell>
          <cell r="C8">
            <v>20171</v>
          </cell>
          <cell r="D8">
            <v>0</v>
          </cell>
          <cell r="E8">
            <v>0</v>
          </cell>
          <cell r="F8">
            <v>2</v>
          </cell>
          <cell r="G8">
            <v>0</v>
          </cell>
          <cell r="H8" t="str">
            <v>A</v>
          </cell>
          <cell r="I8">
            <v>20201</v>
          </cell>
        </row>
        <row r="9">
          <cell r="A9" t="str">
            <v>F1B007008</v>
          </cell>
          <cell r="B9" t="str">
            <v>Alfian Nugraha</v>
          </cell>
          <cell r="C9">
            <v>20171</v>
          </cell>
          <cell r="D9">
            <v>0</v>
          </cell>
          <cell r="E9">
            <v>0</v>
          </cell>
          <cell r="F9">
            <v>76</v>
          </cell>
          <cell r="G9">
            <v>2.51</v>
          </cell>
          <cell r="H9" t="str">
            <v>A</v>
          </cell>
          <cell r="I9">
            <v>20201</v>
          </cell>
        </row>
        <row r="10">
          <cell r="A10" t="str">
            <v>F1B007009</v>
          </cell>
          <cell r="B10" t="str">
            <v>Annas Rahma Fath</v>
          </cell>
          <cell r="C10">
            <v>20171</v>
          </cell>
          <cell r="D10">
            <v>0</v>
          </cell>
          <cell r="E10">
            <v>0</v>
          </cell>
          <cell r="F10">
            <v>52</v>
          </cell>
          <cell r="G10">
            <v>2.57</v>
          </cell>
          <cell r="H10" t="str">
            <v>A</v>
          </cell>
          <cell r="I10">
            <v>20201</v>
          </cell>
        </row>
        <row r="11">
          <cell r="A11" t="str">
            <v>F1B007010</v>
          </cell>
          <cell r="B11" t="str">
            <v>Arief Mulyawan</v>
          </cell>
          <cell r="C11">
            <v>20171</v>
          </cell>
          <cell r="D11">
            <v>0</v>
          </cell>
          <cell r="E11">
            <v>0</v>
          </cell>
          <cell r="F11">
            <v>71</v>
          </cell>
          <cell r="G11">
            <v>2.7</v>
          </cell>
          <cell r="H11" t="str">
            <v>A</v>
          </cell>
          <cell r="I11">
            <v>20201</v>
          </cell>
        </row>
        <row r="12">
          <cell r="A12" t="str">
            <v>F1B007011</v>
          </cell>
          <cell r="B12" t="str">
            <v>Arizal Dwiantara</v>
          </cell>
          <cell r="C12">
            <v>20171</v>
          </cell>
          <cell r="D12">
            <v>0</v>
          </cell>
          <cell r="E12">
            <v>0</v>
          </cell>
          <cell r="F12">
            <v>73</v>
          </cell>
          <cell r="G12">
            <v>2.29</v>
          </cell>
          <cell r="H12" t="str">
            <v>A</v>
          </cell>
          <cell r="I12">
            <v>20201</v>
          </cell>
        </row>
        <row r="13">
          <cell r="A13" t="str">
            <v>F1B007012</v>
          </cell>
          <cell r="B13" t="str">
            <v>Beni Haerul Jalil</v>
          </cell>
          <cell r="C13">
            <v>20171</v>
          </cell>
          <cell r="D13">
            <v>0</v>
          </cell>
          <cell r="E13">
            <v>0</v>
          </cell>
          <cell r="F13">
            <v>37</v>
          </cell>
          <cell r="G13">
            <v>2.51</v>
          </cell>
          <cell r="H13" t="str">
            <v>A</v>
          </cell>
          <cell r="I13">
            <v>20201</v>
          </cell>
        </row>
        <row r="14">
          <cell r="A14" t="str">
            <v>F1B007013</v>
          </cell>
          <cell r="B14" t="str">
            <v>Cancer Devartha</v>
          </cell>
          <cell r="C14">
            <v>20171</v>
          </cell>
          <cell r="D14">
            <v>0</v>
          </cell>
          <cell r="E14">
            <v>0</v>
          </cell>
          <cell r="F14">
            <v>41</v>
          </cell>
          <cell r="G14">
            <v>3.04</v>
          </cell>
          <cell r="H14" t="str">
            <v>A</v>
          </cell>
          <cell r="I14">
            <v>20201</v>
          </cell>
        </row>
        <row r="15">
          <cell r="A15" t="str">
            <v>F1B007014</v>
          </cell>
          <cell r="B15" t="str">
            <v>Dede Setiawan</v>
          </cell>
          <cell r="C15">
            <v>20171</v>
          </cell>
          <cell r="D15">
            <v>0</v>
          </cell>
          <cell r="E15">
            <v>0</v>
          </cell>
          <cell r="F15">
            <v>65</v>
          </cell>
          <cell r="G15">
            <v>2.93</v>
          </cell>
          <cell r="H15" t="str">
            <v>A</v>
          </cell>
          <cell r="I15">
            <v>20201</v>
          </cell>
        </row>
        <row r="16">
          <cell r="A16" t="str">
            <v>F1B007015</v>
          </cell>
          <cell r="B16" t="str">
            <v>Dian Kosasih</v>
          </cell>
          <cell r="C16">
            <v>20171</v>
          </cell>
          <cell r="D16">
            <v>0</v>
          </cell>
          <cell r="E16">
            <v>0</v>
          </cell>
          <cell r="F16">
            <v>33</v>
          </cell>
          <cell r="G16">
            <v>0.38</v>
          </cell>
          <cell r="H16" t="str">
            <v>A</v>
          </cell>
          <cell r="I16">
            <v>20201</v>
          </cell>
        </row>
        <row r="17">
          <cell r="A17" t="str">
            <v>F1B007016</v>
          </cell>
          <cell r="B17" t="str">
            <v>Diman Gusriansya</v>
          </cell>
          <cell r="C17">
            <v>20171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 t="str">
            <v>A</v>
          </cell>
          <cell r="I17">
            <v>20201</v>
          </cell>
        </row>
        <row r="18">
          <cell r="A18" t="str">
            <v>F1B007017</v>
          </cell>
          <cell r="B18" t="str">
            <v>Dwi Pandu Santoso</v>
          </cell>
          <cell r="C18">
            <v>20171</v>
          </cell>
          <cell r="D18">
            <v>0</v>
          </cell>
          <cell r="E18">
            <v>0</v>
          </cell>
          <cell r="F18">
            <v>35</v>
          </cell>
          <cell r="G18">
            <v>3.31</v>
          </cell>
          <cell r="H18" t="str">
            <v>A</v>
          </cell>
          <cell r="I18">
            <v>20201</v>
          </cell>
        </row>
        <row r="19">
          <cell r="A19" t="str">
            <v>F1B007018</v>
          </cell>
          <cell r="B19" t="str">
            <v>Erfan Wiranata</v>
          </cell>
          <cell r="C19">
            <v>20171</v>
          </cell>
          <cell r="D19">
            <v>0</v>
          </cell>
          <cell r="E19">
            <v>0</v>
          </cell>
          <cell r="F19">
            <v>34</v>
          </cell>
          <cell r="G19">
            <v>3.57</v>
          </cell>
          <cell r="H19" t="str">
            <v>A</v>
          </cell>
          <cell r="I19">
            <v>20201</v>
          </cell>
        </row>
        <row r="20">
          <cell r="A20" t="str">
            <v>F1B007019</v>
          </cell>
          <cell r="B20" t="str">
            <v>Erma Suryani</v>
          </cell>
          <cell r="C20">
            <v>20171</v>
          </cell>
          <cell r="D20">
            <v>0</v>
          </cell>
          <cell r="E20">
            <v>0</v>
          </cell>
          <cell r="F20">
            <v>2</v>
          </cell>
          <cell r="G20">
            <v>0</v>
          </cell>
          <cell r="H20" t="str">
            <v>A</v>
          </cell>
          <cell r="I20">
            <v>20201</v>
          </cell>
        </row>
        <row r="21">
          <cell r="A21" t="str">
            <v>F1B007020</v>
          </cell>
          <cell r="B21" t="str">
            <v>Farid fadillah</v>
          </cell>
          <cell r="C21">
            <v>20171</v>
          </cell>
          <cell r="D21">
            <v>0</v>
          </cell>
          <cell r="E21">
            <v>0</v>
          </cell>
          <cell r="F21">
            <v>65</v>
          </cell>
          <cell r="G21">
            <v>2.7</v>
          </cell>
          <cell r="H21" t="str">
            <v>A</v>
          </cell>
          <cell r="I21">
            <v>20201</v>
          </cell>
        </row>
        <row r="22">
          <cell r="A22" t="str">
            <v>F1B007021</v>
          </cell>
          <cell r="B22" t="str">
            <v>Feni Satria Ningsih</v>
          </cell>
          <cell r="C22">
            <v>20171</v>
          </cell>
          <cell r="D22">
            <v>0</v>
          </cell>
          <cell r="E22">
            <v>0</v>
          </cell>
          <cell r="F22">
            <v>73</v>
          </cell>
          <cell r="G22">
            <v>2.71</v>
          </cell>
          <cell r="H22" t="str">
            <v>A</v>
          </cell>
          <cell r="I22">
            <v>20201</v>
          </cell>
        </row>
        <row r="23">
          <cell r="A23" t="str">
            <v>F1B007022</v>
          </cell>
          <cell r="B23" t="str">
            <v>Ferly Yunas</v>
          </cell>
          <cell r="C23">
            <v>20171</v>
          </cell>
          <cell r="D23">
            <v>0</v>
          </cell>
          <cell r="E23">
            <v>0</v>
          </cell>
          <cell r="F23">
            <v>51</v>
          </cell>
          <cell r="G23">
            <v>2.81</v>
          </cell>
          <cell r="H23" t="str">
            <v>A</v>
          </cell>
          <cell r="I23">
            <v>20201</v>
          </cell>
        </row>
        <row r="24">
          <cell r="A24" t="str">
            <v>F1B007023</v>
          </cell>
          <cell r="B24" t="str">
            <v>Finta Virga S Rayes</v>
          </cell>
          <cell r="C24">
            <v>20171</v>
          </cell>
          <cell r="D24">
            <v>0</v>
          </cell>
          <cell r="E24">
            <v>0</v>
          </cell>
          <cell r="F24">
            <v>94</v>
          </cell>
          <cell r="G24">
            <v>2.6</v>
          </cell>
          <cell r="H24" t="str">
            <v>A</v>
          </cell>
          <cell r="I24">
            <v>20201</v>
          </cell>
        </row>
        <row r="25">
          <cell r="A25" t="str">
            <v>F1B007024</v>
          </cell>
          <cell r="B25" t="str">
            <v>Gilang Gumilang A P</v>
          </cell>
          <cell r="C25">
            <v>20171</v>
          </cell>
          <cell r="D25">
            <v>0</v>
          </cell>
          <cell r="E25">
            <v>0</v>
          </cell>
          <cell r="F25">
            <v>2</v>
          </cell>
          <cell r="G25">
            <v>2</v>
          </cell>
          <cell r="H25" t="str">
            <v>A</v>
          </cell>
          <cell r="I25">
            <v>20201</v>
          </cell>
        </row>
        <row r="26">
          <cell r="A26" t="str">
            <v>F1B007025</v>
          </cell>
          <cell r="B26" t="str">
            <v>Gunawan M Idris</v>
          </cell>
          <cell r="C26">
            <v>20171</v>
          </cell>
          <cell r="D26">
            <v>0</v>
          </cell>
          <cell r="E26">
            <v>0</v>
          </cell>
          <cell r="F26">
            <v>55</v>
          </cell>
          <cell r="G26">
            <v>2.94</v>
          </cell>
          <cell r="H26" t="str">
            <v>A</v>
          </cell>
          <cell r="I26">
            <v>20201</v>
          </cell>
        </row>
        <row r="27">
          <cell r="A27" t="str">
            <v>F1B007026</v>
          </cell>
          <cell r="B27" t="str">
            <v>Hamdan Hari</v>
          </cell>
          <cell r="C27">
            <v>20171</v>
          </cell>
          <cell r="D27">
            <v>0</v>
          </cell>
          <cell r="E27">
            <v>0</v>
          </cell>
          <cell r="F27">
            <v>100</v>
          </cell>
          <cell r="G27">
            <v>2.68</v>
          </cell>
          <cell r="H27" t="str">
            <v>A</v>
          </cell>
          <cell r="I27">
            <v>20201</v>
          </cell>
        </row>
        <row r="28">
          <cell r="A28" t="str">
            <v>F1B007027</v>
          </cell>
          <cell r="B28" t="str">
            <v>Hazinatul Asror</v>
          </cell>
          <cell r="C28">
            <v>20171</v>
          </cell>
          <cell r="D28">
            <v>0</v>
          </cell>
          <cell r="E28">
            <v>0</v>
          </cell>
          <cell r="F28">
            <v>30</v>
          </cell>
          <cell r="G28">
            <v>3.22</v>
          </cell>
          <cell r="H28" t="str">
            <v>A</v>
          </cell>
          <cell r="I28">
            <v>20201</v>
          </cell>
        </row>
        <row r="29">
          <cell r="A29" t="str">
            <v>F1B007028</v>
          </cell>
          <cell r="B29" t="str">
            <v>Hermin Wahyuningsih</v>
          </cell>
          <cell r="C29">
            <v>20171</v>
          </cell>
          <cell r="D29">
            <v>0</v>
          </cell>
          <cell r="E29">
            <v>0</v>
          </cell>
          <cell r="F29">
            <v>48</v>
          </cell>
          <cell r="G29">
            <v>2.44</v>
          </cell>
          <cell r="H29" t="str">
            <v>A</v>
          </cell>
          <cell r="I29">
            <v>20201</v>
          </cell>
        </row>
        <row r="30">
          <cell r="A30" t="str">
            <v>F1B007029</v>
          </cell>
          <cell r="B30" t="str">
            <v>I Gede Adi Gunawan</v>
          </cell>
          <cell r="C30">
            <v>20171</v>
          </cell>
          <cell r="D30">
            <v>0</v>
          </cell>
          <cell r="E30">
            <v>0</v>
          </cell>
          <cell r="F30">
            <v>36</v>
          </cell>
          <cell r="G30">
            <v>3.38</v>
          </cell>
          <cell r="H30" t="str">
            <v>A</v>
          </cell>
          <cell r="I30">
            <v>20201</v>
          </cell>
        </row>
        <row r="31">
          <cell r="A31" t="str">
            <v>F1B007030</v>
          </cell>
          <cell r="B31" t="str">
            <v>I Made Ariana Ningga</v>
          </cell>
          <cell r="C31">
            <v>20171</v>
          </cell>
          <cell r="D31">
            <v>0</v>
          </cell>
          <cell r="E31">
            <v>0</v>
          </cell>
          <cell r="F31">
            <v>34</v>
          </cell>
          <cell r="G31">
            <v>3.21</v>
          </cell>
          <cell r="H31" t="str">
            <v>A</v>
          </cell>
          <cell r="I31">
            <v>20201</v>
          </cell>
        </row>
        <row r="32">
          <cell r="A32" t="str">
            <v>F1B007031</v>
          </cell>
          <cell r="B32" t="str">
            <v>I Made Deny Saputra Adiyasa</v>
          </cell>
          <cell r="C32">
            <v>20171</v>
          </cell>
          <cell r="D32">
            <v>0</v>
          </cell>
          <cell r="E32">
            <v>0</v>
          </cell>
          <cell r="F32">
            <v>43</v>
          </cell>
          <cell r="G32">
            <v>2.67</v>
          </cell>
          <cell r="H32" t="str">
            <v>A</v>
          </cell>
          <cell r="I32">
            <v>20201</v>
          </cell>
        </row>
        <row r="33">
          <cell r="A33" t="str">
            <v>F1B007032</v>
          </cell>
          <cell r="B33" t="str">
            <v>Ida bagus Anggara W</v>
          </cell>
          <cell r="C33">
            <v>20171</v>
          </cell>
          <cell r="D33">
            <v>0</v>
          </cell>
          <cell r="E33">
            <v>0</v>
          </cell>
          <cell r="F33">
            <v>2</v>
          </cell>
          <cell r="G33">
            <v>1</v>
          </cell>
          <cell r="H33" t="str">
            <v>A</v>
          </cell>
          <cell r="I33">
            <v>20201</v>
          </cell>
        </row>
        <row r="34">
          <cell r="A34" t="str">
            <v>F1B007033</v>
          </cell>
          <cell r="B34" t="str">
            <v>I Gusti Agung Bagus Surya Negara</v>
          </cell>
          <cell r="C34">
            <v>20171</v>
          </cell>
          <cell r="D34">
            <v>0</v>
          </cell>
          <cell r="E34">
            <v>0</v>
          </cell>
          <cell r="F34">
            <v>68</v>
          </cell>
          <cell r="G34">
            <v>3.11</v>
          </cell>
          <cell r="H34" t="str">
            <v>A</v>
          </cell>
          <cell r="I34">
            <v>20201</v>
          </cell>
        </row>
        <row r="35">
          <cell r="A35" t="str">
            <v>F1B007034</v>
          </cell>
          <cell r="B35" t="str">
            <v>I Gusti Bagus Eryk S</v>
          </cell>
          <cell r="C35">
            <v>20171</v>
          </cell>
          <cell r="D35">
            <v>0</v>
          </cell>
          <cell r="E35">
            <v>0</v>
          </cell>
          <cell r="F35">
            <v>2</v>
          </cell>
          <cell r="G35">
            <v>0</v>
          </cell>
          <cell r="H35" t="str">
            <v>A</v>
          </cell>
          <cell r="I35">
            <v>20201</v>
          </cell>
        </row>
        <row r="36">
          <cell r="A36" t="str">
            <v>F1B007035</v>
          </cell>
          <cell r="B36" t="str">
            <v>Ilmamuddin</v>
          </cell>
          <cell r="C36">
            <v>20171</v>
          </cell>
          <cell r="D36">
            <v>0</v>
          </cell>
          <cell r="E36">
            <v>0</v>
          </cell>
          <cell r="F36">
            <v>2</v>
          </cell>
          <cell r="G36">
            <v>0</v>
          </cell>
          <cell r="H36" t="str">
            <v>A</v>
          </cell>
          <cell r="I36">
            <v>20201</v>
          </cell>
        </row>
        <row r="37">
          <cell r="A37" t="str">
            <v>F1B007036</v>
          </cell>
          <cell r="B37" t="str">
            <v>I Nyoman Tri Santiana</v>
          </cell>
          <cell r="C37">
            <v>20171</v>
          </cell>
          <cell r="D37">
            <v>0</v>
          </cell>
          <cell r="E37">
            <v>0</v>
          </cell>
          <cell r="F37">
            <v>44</v>
          </cell>
          <cell r="G37">
            <v>2.01</v>
          </cell>
          <cell r="H37" t="str">
            <v>A</v>
          </cell>
          <cell r="I37">
            <v>20201</v>
          </cell>
        </row>
        <row r="38">
          <cell r="A38" t="str">
            <v>F1B007037</v>
          </cell>
          <cell r="B38" t="str">
            <v>Irfan Januarianto</v>
          </cell>
          <cell r="C38">
            <v>20171</v>
          </cell>
          <cell r="D38">
            <v>0</v>
          </cell>
          <cell r="E38">
            <v>0</v>
          </cell>
          <cell r="F38">
            <v>30</v>
          </cell>
          <cell r="G38">
            <v>3.43</v>
          </cell>
          <cell r="H38" t="str">
            <v>A</v>
          </cell>
          <cell r="I38">
            <v>20201</v>
          </cell>
        </row>
        <row r="39">
          <cell r="A39" t="str">
            <v>F1B007038</v>
          </cell>
          <cell r="B39" t="str">
            <v>Iwan Kurnia Setiawan</v>
          </cell>
          <cell r="C39">
            <v>20171</v>
          </cell>
          <cell r="D39">
            <v>0</v>
          </cell>
          <cell r="E39">
            <v>0</v>
          </cell>
          <cell r="F39">
            <v>67</v>
          </cell>
          <cell r="G39">
            <v>2.76</v>
          </cell>
          <cell r="H39" t="str">
            <v>A</v>
          </cell>
          <cell r="I39">
            <v>20201</v>
          </cell>
        </row>
        <row r="40">
          <cell r="A40" t="str">
            <v>F1B007039</v>
          </cell>
          <cell r="B40" t="str">
            <v>Jaka Edy Saputra</v>
          </cell>
          <cell r="C40">
            <v>20171</v>
          </cell>
          <cell r="D40">
            <v>0</v>
          </cell>
          <cell r="E40">
            <v>0</v>
          </cell>
          <cell r="F40">
            <v>33</v>
          </cell>
          <cell r="G40">
            <v>3.03</v>
          </cell>
          <cell r="H40" t="str">
            <v>A</v>
          </cell>
          <cell r="I40">
            <v>20201</v>
          </cell>
        </row>
        <row r="41">
          <cell r="A41" t="str">
            <v>F1B007040</v>
          </cell>
          <cell r="B41" t="str">
            <v>Jaka Samudra</v>
          </cell>
          <cell r="C41">
            <v>20171</v>
          </cell>
          <cell r="D41">
            <v>0</v>
          </cell>
          <cell r="E41">
            <v>0</v>
          </cell>
          <cell r="F41">
            <v>66</v>
          </cell>
          <cell r="G41">
            <v>1.29</v>
          </cell>
          <cell r="H41" t="str">
            <v>A</v>
          </cell>
          <cell r="I41">
            <v>20201</v>
          </cell>
        </row>
        <row r="42">
          <cell r="A42" t="str">
            <v>F1B007041</v>
          </cell>
          <cell r="B42" t="str">
            <v>Jan Warismawati</v>
          </cell>
          <cell r="C42">
            <v>20171</v>
          </cell>
          <cell r="D42">
            <v>0</v>
          </cell>
          <cell r="E42">
            <v>0</v>
          </cell>
          <cell r="F42">
            <v>2</v>
          </cell>
          <cell r="G42">
            <v>2.5</v>
          </cell>
          <cell r="H42" t="str">
            <v>A</v>
          </cell>
          <cell r="I42">
            <v>20201</v>
          </cell>
        </row>
        <row r="43">
          <cell r="A43" t="str">
            <v>F1B007042</v>
          </cell>
          <cell r="B43" t="str">
            <v>Jonata Purba</v>
          </cell>
          <cell r="C43">
            <v>20171</v>
          </cell>
          <cell r="D43">
            <v>0</v>
          </cell>
          <cell r="E43">
            <v>0</v>
          </cell>
          <cell r="F43">
            <v>93</v>
          </cell>
          <cell r="G43">
            <v>2.37</v>
          </cell>
          <cell r="H43" t="str">
            <v>A</v>
          </cell>
          <cell r="I43">
            <v>20201</v>
          </cell>
        </row>
        <row r="44">
          <cell r="A44" t="str">
            <v>F1B007043</v>
          </cell>
          <cell r="B44" t="str">
            <v>Juraiddin</v>
          </cell>
          <cell r="C44">
            <v>20171</v>
          </cell>
          <cell r="D44">
            <v>0</v>
          </cell>
          <cell r="E44">
            <v>0</v>
          </cell>
          <cell r="F44">
            <v>2</v>
          </cell>
          <cell r="G44">
            <v>0</v>
          </cell>
          <cell r="H44" t="str">
            <v>A</v>
          </cell>
          <cell r="I44">
            <v>20201</v>
          </cell>
        </row>
        <row r="45">
          <cell r="A45" t="str">
            <v>F1B007044</v>
          </cell>
          <cell r="B45" t="str">
            <v>Kabul Budi Artawan</v>
          </cell>
          <cell r="C45">
            <v>20171</v>
          </cell>
          <cell r="D45">
            <v>0</v>
          </cell>
          <cell r="E45">
            <v>0</v>
          </cell>
          <cell r="F45">
            <v>71</v>
          </cell>
          <cell r="G45">
            <v>2.6</v>
          </cell>
          <cell r="H45" t="str">
            <v>A</v>
          </cell>
          <cell r="I45">
            <v>20201</v>
          </cell>
        </row>
        <row r="46">
          <cell r="A46" t="str">
            <v>F1B007045</v>
          </cell>
          <cell r="B46" t="str">
            <v>Lalu Fauzi S</v>
          </cell>
          <cell r="C46">
            <v>20171</v>
          </cell>
          <cell r="D46">
            <v>0</v>
          </cell>
          <cell r="E46">
            <v>0</v>
          </cell>
          <cell r="F46">
            <v>75</v>
          </cell>
          <cell r="G46">
            <v>3.01</v>
          </cell>
          <cell r="H46" t="str">
            <v>A</v>
          </cell>
          <cell r="I46">
            <v>20201</v>
          </cell>
        </row>
        <row r="47">
          <cell r="A47" t="str">
            <v>F1B007046</v>
          </cell>
          <cell r="B47" t="str">
            <v>M. Hajrin Hendra Y</v>
          </cell>
          <cell r="C47">
            <v>20171</v>
          </cell>
          <cell r="D47">
            <v>0</v>
          </cell>
          <cell r="E47">
            <v>0</v>
          </cell>
          <cell r="F47">
            <v>2</v>
          </cell>
          <cell r="G47">
            <v>0</v>
          </cell>
          <cell r="H47" t="str">
            <v>A</v>
          </cell>
          <cell r="I47">
            <v>20201</v>
          </cell>
        </row>
        <row r="48">
          <cell r="A48" t="str">
            <v>F1B007047</v>
          </cell>
          <cell r="B48" t="str">
            <v>M Umar Zubbayyin</v>
          </cell>
          <cell r="C48">
            <v>20171</v>
          </cell>
          <cell r="D48">
            <v>0</v>
          </cell>
          <cell r="E48">
            <v>0</v>
          </cell>
          <cell r="F48">
            <v>42</v>
          </cell>
          <cell r="G48">
            <v>2.89</v>
          </cell>
          <cell r="H48" t="str">
            <v>A</v>
          </cell>
          <cell r="I48">
            <v>20201</v>
          </cell>
        </row>
        <row r="49">
          <cell r="A49" t="str">
            <v>F1B007048</v>
          </cell>
          <cell r="B49" t="str">
            <v>Maman Suryawan</v>
          </cell>
          <cell r="C49">
            <v>20171</v>
          </cell>
          <cell r="D49">
            <v>0</v>
          </cell>
          <cell r="E49">
            <v>0</v>
          </cell>
          <cell r="F49">
            <v>15</v>
          </cell>
          <cell r="G49">
            <v>1.07</v>
          </cell>
          <cell r="H49" t="str">
            <v>A</v>
          </cell>
          <cell r="I49">
            <v>20201</v>
          </cell>
        </row>
        <row r="50">
          <cell r="A50" t="str">
            <v>F1B007049</v>
          </cell>
          <cell r="B50" t="str">
            <v>Mami Faujiah</v>
          </cell>
          <cell r="C50">
            <v>20171</v>
          </cell>
          <cell r="D50">
            <v>0</v>
          </cell>
          <cell r="E50">
            <v>0</v>
          </cell>
          <cell r="F50">
            <v>42</v>
          </cell>
          <cell r="G50">
            <v>1.86</v>
          </cell>
          <cell r="H50" t="str">
            <v>A</v>
          </cell>
          <cell r="I50">
            <v>20201</v>
          </cell>
        </row>
        <row r="51">
          <cell r="A51" t="str">
            <v>F1B007050</v>
          </cell>
          <cell r="B51" t="str">
            <v>Marwan Nulhakam</v>
          </cell>
          <cell r="C51">
            <v>20171</v>
          </cell>
          <cell r="D51">
            <v>0</v>
          </cell>
          <cell r="E51">
            <v>0</v>
          </cell>
          <cell r="F51">
            <v>61</v>
          </cell>
          <cell r="G51">
            <v>2.85</v>
          </cell>
          <cell r="H51" t="str">
            <v>A</v>
          </cell>
          <cell r="I51">
            <v>20201</v>
          </cell>
        </row>
        <row r="52">
          <cell r="A52" t="str">
            <v>F1B007051</v>
          </cell>
          <cell r="B52" t="str">
            <v>Masman</v>
          </cell>
          <cell r="C52">
            <v>20171</v>
          </cell>
          <cell r="D52">
            <v>0</v>
          </cell>
          <cell r="E52">
            <v>0</v>
          </cell>
          <cell r="F52">
            <v>2</v>
          </cell>
          <cell r="G52">
            <v>0</v>
          </cell>
          <cell r="H52" t="str">
            <v>A</v>
          </cell>
          <cell r="I52">
            <v>20201</v>
          </cell>
        </row>
        <row r="53">
          <cell r="A53" t="str">
            <v>F1B007052</v>
          </cell>
          <cell r="B53" t="str">
            <v>Mizar Febrian</v>
          </cell>
          <cell r="C53">
            <v>20171</v>
          </cell>
          <cell r="D53">
            <v>0</v>
          </cell>
          <cell r="E53">
            <v>0</v>
          </cell>
          <cell r="F53">
            <v>54</v>
          </cell>
          <cell r="G53">
            <v>3.64</v>
          </cell>
          <cell r="H53" t="str">
            <v>A</v>
          </cell>
          <cell r="I53">
            <v>20201</v>
          </cell>
        </row>
        <row r="54">
          <cell r="A54" t="str">
            <v>F1B007053</v>
          </cell>
          <cell r="B54" t="str">
            <v>Mohammad Sabri</v>
          </cell>
          <cell r="C54">
            <v>20171</v>
          </cell>
          <cell r="D54">
            <v>0</v>
          </cell>
          <cell r="E54">
            <v>0</v>
          </cell>
          <cell r="F54">
            <v>67</v>
          </cell>
          <cell r="G54">
            <v>3</v>
          </cell>
          <cell r="H54" t="str">
            <v>A</v>
          </cell>
          <cell r="I54">
            <v>20201</v>
          </cell>
        </row>
        <row r="55">
          <cell r="A55" t="str">
            <v>F1B007054</v>
          </cell>
          <cell r="B55" t="str">
            <v>Muh. Rifqi Haidi</v>
          </cell>
          <cell r="C55">
            <v>20171</v>
          </cell>
          <cell r="D55">
            <v>0</v>
          </cell>
          <cell r="E55">
            <v>0</v>
          </cell>
          <cell r="F55">
            <v>44</v>
          </cell>
          <cell r="G55">
            <v>2.76</v>
          </cell>
          <cell r="H55" t="str">
            <v>A</v>
          </cell>
          <cell r="I55">
            <v>20201</v>
          </cell>
        </row>
        <row r="56">
          <cell r="A56" t="str">
            <v>F1B007055</v>
          </cell>
          <cell r="B56" t="str">
            <v>Muh. Paezal Nasri</v>
          </cell>
          <cell r="C56">
            <v>20171</v>
          </cell>
          <cell r="D56">
            <v>0</v>
          </cell>
          <cell r="E56">
            <v>0</v>
          </cell>
          <cell r="F56">
            <v>2</v>
          </cell>
          <cell r="G56">
            <v>0</v>
          </cell>
          <cell r="H56" t="str">
            <v>A</v>
          </cell>
          <cell r="I56">
            <v>20201</v>
          </cell>
        </row>
        <row r="57">
          <cell r="A57" t="str">
            <v>F1B007056</v>
          </cell>
          <cell r="B57" t="str">
            <v>Muhammad Fitrah</v>
          </cell>
          <cell r="C57">
            <v>20171</v>
          </cell>
          <cell r="D57">
            <v>0</v>
          </cell>
          <cell r="E57">
            <v>0</v>
          </cell>
          <cell r="F57">
            <v>85</v>
          </cell>
          <cell r="G57">
            <v>2.69</v>
          </cell>
          <cell r="H57" t="str">
            <v>A</v>
          </cell>
          <cell r="I57">
            <v>20201</v>
          </cell>
        </row>
        <row r="58">
          <cell r="A58" t="str">
            <v>F1B007057</v>
          </cell>
          <cell r="B58" t="str">
            <v>Muhammad Mumtaz</v>
          </cell>
          <cell r="C58">
            <v>20171</v>
          </cell>
          <cell r="D58">
            <v>0</v>
          </cell>
          <cell r="E58">
            <v>0</v>
          </cell>
          <cell r="F58">
            <v>35</v>
          </cell>
          <cell r="G58">
            <v>1.69</v>
          </cell>
          <cell r="H58" t="str">
            <v>A</v>
          </cell>
          <cell r="I58">
            <v>20201</v>
          </cell>
        </row>
        <row r="59">
          <cell r="A59" t="str">
            <v>F1B007058</v>
          </cell>
          <cell r="B59" t="str">
            <v>Murdiansyah</v>
          </cell>
          <cell r="C59">
            <v>20171</v>
          </cell>
          <cell r="D59">
            <v>0</v>
          </cell>
          <cell r="E59">
            <v>0</v>
          </cell>
          <cell r="F59">
            <v>71</v>
          </cell>
          <cell r="G59">
            <v>2.81</v>
          </cell>
          <cell r="H59" t="str">
            <v>A</v>
          </cell>
          <cell r="I59">
            <v>20201</v>
          </cell>
        </row>
        <row r="60">
          <cell r="A60" t="str">
            <v>F1B007059</v>
          </cell>
          <cell r="B60" t="str">
            <v>Muh. Triguna Wibawa</v>
          </cell>
          <cell r="C60">
            <v>20171</v>
          </cell>
          <cell r="D60">
            <v>0</v>
          </cell>
          <cell r="E60">
            <v>0</v>
          </cell>
          <cell r="F60">
            <v>96</v>
          </cell>
          <cell r="G60">
            <v>2.65</v>
          </cell>
          <cell r="H60" t="str">
            <v>A</v>
          </cell>
          <cell r="I60">
            <v>20201</v>
          </cell>
        </row>
        <row r="61">
          <cell r="A61" t="str">
            <v>F1B007060</v>
          </cell>
          <cell r="B61" t="str">
            <v>Nawir One Taufik</v>
          </cell>
          <cell r="C61">
            <v>20171</v>
          </cell>
          <cell r="D61">
            <v>0</v>
          </cell>
          <cell r="E61">
            <v>0</v>
          </cell>
          <cell r="F61">
            <v>54</v>
          </cell>
          <cell r="G61">
            <v>2.92</v>
          </cell>
          <cell r="H61" t="str">
            <v>A</v>
          </cell>
          <cell r="I61">
            <v>20201</v>
          </cell>
        </row>
        <row r="62">
          <cell r="A62" t="str">
            <v>F1B007061</v>
          </cell>
          <cell r="B62" t="str">
            <v>Ni Nyoman Sulendri</v>
          </cell>
          <cell r="C62">
            <v>20171</v>
          </cell>
          <cell r="D62">
            <v>0</v>
          </cell>
          <cell r="E62">
            <v>0</v>
          </cell>
          <cell r="F62">
            <v>2</v>
          </cell>
          <cell r="G62">
            <v>0</v>
          </cell>
          <cell r="H62" t="str">
            <v>A</v>
          </cell>
          <cell r="I62">
            <v>20201</v>
          </cell>
        </row>
        <row r="63">
          <cell r="A63" t="str">
            <v>F1B007062</v>
          </cell>
          <cell r="B63" t="str">
            <v>Novia Rizki Amalia</v>
          </cell>
          <cell r="C63">
            <v>20171</v>
          </cell>
          <cell r="D63">
            <v>0</v>
          </cell>
          <cell r="E63">
            <v>0</v>
          </cell>
          <cell r="F63">
            <v>36</v>
          </cell>
          <cell r="G63">
            <v>3.07</v>
          </cell>
          <cell r="H63" t="str">
            <v>A</v>
          </cell>
          <cell r="I63">
            <v>20201</v>
          </cell>
        </row>
        <row r="64">
          <cell r="A64" t="str">
            <v>F1B007063</v>
          </cell>
          <cell r="B64" t="str">
            <v>Rana Yudistira Priya</v>
          </cell>
          <cell r="C64">
            <v>20171</v>
          </cell>
          <cell r="D64">
            <v>0</v>
          </cell>
          <cell r="E64">
            <v>0</v>
          </cell>
          <cell r="F64">
            <v>2</v>
          </cell>
          <cell r="G64">
            <v>1.5</v>
          </cell>
          <cell r="H64" t="str">
            <v>A</v>
          </cell>
          <cell r="I64">
            <v>20201</v>
          </cell>
        </row>
        <row r="65">
          <cell r="A65" t="str">
            <v>F1B007064</v>
          </cell>
          <cell r="B65" t="str">
            <v>Reza Harlan</v>
          </cell>
          <cell r="C65">
            <v>20171</v>
          </cell>
          <cell r="D65">
            <v>0</v>
          </cell>
          <cell r="E65">
            <v>0</v>
          </cell>
          <cell r="F65">
            <v>45</v>
          </cell>
          <cell r="G65">
            <v>2.84</v>
          </cell>
          <cell r="H65" t="str">
            <v>A</v>
          </cell>
          <cell r="I65">
            <v>20201</v>
          </cell>
        </row>
        <row r="66">
          <cell r="A66" t="str">
            <v>F1B007065</v>
          </cell>
          <cell r="B66" t="str">
            <v>Reza Rahmadani Fajrin</v>
          </cell>
          <cell r="C66">
            <v>20171</v>
          </cell>
          <cell r="D66">
            <v>0</v>
          </cell>
          <cell r="E66">
            <v>0</v>
          </cell>
          <cell r="F66">
            <v>35</v>
          </cell>
          <cell r="G66">
            <v>3.56</v>
          </cell>
          <cell r="H66" t="str">
            <v>A</v>
          </cell>
          <cell r="I66">
            <v>20201</v>
          </cell>
        </row>
        <row r="67">
          <cell r="A67" t="str">
            <v>F1B007066</v>
          </cell>
          <cell r="B67" t="str">
            <v>Riska Permana Hikman</v>
          </cell>
          <cell r="C67">
            <v>20171</v>
          </cell>
          <cell r="D67">
            <v>0</v>
          </cell>
          <cell r="E67">
            <v>0</v>
          </cell>
          <cell r="F67">
            <v>48</v>
          </cell>
          <cell r="G67">
            <v>3.07</v>
          </cell>
          <cell r="H67" t="str">
            <v>A</v>
          </cell>
          <cell r="I67">
            <v>20201</v>
          </cell>
        </row>
        <row r="68">
          <cell r="A68" t="str">
            <v>F1B007067</v>
          </cell>
          <cell r="B68" t="str">
            <v>Romadhani Irawan</v>
          </cell>
          <cell r="C68">
            <v>20171</v>
          </cell>
          <cell r="D68">
            <v>0</v>
          </cell>
          <cell r="E68">
            <v>0</v>
          </cell>
          <cell r="F68">
            <v>2</v>
          </cell>
          <cell r="G68">
            <v>0</v>
          </cell>
          <cell r="H68" t="str">
            <v>A</v>
          </cell>
          <cell r="I68">
            <v>20201</v>
          </cell>
        </row>
        <row r="69">
          <cell r="A69" t="str">
            <v>F1B007068</v>
          </cell>
          <cell r="B69" t="str">
            <v>Romi Muhendrawan</v>
          </cell>
          <cell r="C69">
            <v>20171</v>
          </cell>
          <cell r="D69">
            <v>0</v>
          </cell>
          <cell r="E69">
            <v>0</v>
          </cell>
          <cell r="F69">
            <v>70</v>
          </cell>
          <cell r="G69">
            <v>1.59</v>
          </cell>
          <cell r="H69" t="str">
            <v>A</v>
          </cell>
          <cell r="I69">
            <v>20201</v>
          </cell>
        </row>
        <row r="70">
          <cell r="A70" t="str">
            <v>F1B007069</v>
          </cell>
          <cell r="B70" t="str">
            <v>Rosidi</v>
          </cell>
          <cell r="C70">
            <v>20171</v>
          </cell>
          <cell r="D70">
            <v>0</v>
          </cell>
          <cell r="E70">
            <v>0</v>
          </cell>
          <cell r="F70">
            <v>65</v>
          </cell>
          <cell r="G70">
            <v>1.88</v>
          </cell>
          <cell r="H70" t="str">
            <v>A</v>
          </cell>
          <cell r="I70">
            <v>20201</v>
          </cell>
        </row>
        <row r="71">
          <cell r="A71" t="str">
            <v>F1B007070</v>
          </cell>
          <cell r="B71" t="str">
            <v>Ryan Pratama</v>
          </cell>
          <cell r="C71">
            <v>20171</v>
          </cell>
          <cell r="D71">
            <v>0</v>
          </cell>
          <cell r="E71">
            <v>0</v>
          </cell>
          <cell r="F71">
            <v>82</v>
          </cell>
          <cell r="G71">
            <v>2.41</v>
          </cell>
          <cell r="H71" t="str">
            <v>A</v>
          </cell>
          <cell r="I71">
            <v>20201</v>
          </cell>
        </row>
        <row r="72">
          <cell r="A72" t="str">
            <v>F1B007071</v>
          </cell>
          <cell r="B72" t="str">
            <v>Safrijal Lutfi Rajak</v>
          </cell>
          <cell r="C72">
            <v>20171</v>
          </cell>
          <cell r="D72">
            <v>0</v>
          </cell>
          <cell r="E72">
            <v>0</v>
          </cell>
          <cell r="F72">
            <v>2</v>
          </cell>
          <cell r="G72">
            <v>0</v>
          </cell>
          <cell r="H72" t="str">
            <v>A</v>
          </cell>
          <cell r="I72">
            <v>20201</v>
          </cell>
        </row>
        <row r="73">
          <cell r="A73" t="str">
            <v>F1B007072</v>
          </cell>
          <cell r="B73" t="str">
            <v>Septia Haryani</v>
          </cell>
          <cell r="C73">
            <v>20171</v>
          </cell>
          <cell r="D73">
            <v>0</v>
          </cell>
          <cell r="E73">
            <v>0</v>
          </cell>
          <cell r="F73">
            <v>43</v>
          </cell>
          <cell r="G73">
            <v>3.44</v>
          </cell>
          <cell r="H73" t="str">
            <v>A</v>
          </cell>
          <cell r="I73">
            <v>20201</v>
          </cell>
        </row>
        <row r="74">
          <cell r="A74" t="str">
            <v>F1B007073</v>
          </cell>
          <cell r="B74" t="str">
            <v>Sigit Hari Pranoto</v>
          </cell>
          <cell r="C74">
            <v>20171</v>
          </cell>
          <cell r="D74">
            <v>0</v>
          </cell>
          <cell r="E74">
            <v>0</v>
          </cell>
          <cell r="F74">
            <v>2</v>
          </cell>
          <cell r="G74">
            <v>0</v>
          </cell>
          <cell r="H74" t="str">
            <v>A</v>
          </cell>
          <cell r="I74">
            <v>20201</v>
          </cell>
        </row>
        <row r="75">
          <cell r="A75" t="str">
            <v>F1B007074</v>
          </cell>
          <cell r="B75" t="str">
            <v>Singgih Herjuno Jati</v>
          </cell>
          <cell r="C75">
            <v>20171</v>
          </cell>
          <cell r="D75">
            <v>0</v>
          </cell>
          <cell r="E75">
            <v>0</v>
          </cell>
          <cell r="F75">
            <v>34</v>
          </cell>
          <cell r="G75">
            <v>3.01</v>
          </cell>
          <cell r="H75" t="str">
            <v>A</v>
          </cell>
          <cell r="I75">
            <v>20201</v>
          </cell>
        </row>
        <row r="76">
          <cell r="A76" t="str">
            <v>F1B007075</v>
          </cell>
          <cell r="B76" t="str">
            <v>Sofyan Hadi Ahmad</v>
          </cell>
          <cell r="C76">
            <v>20171</v>
          </cell>
          <cell r="D76">
            <v>0</v>
          </cell>
          <cell r="E76">
            <v>0</v>
          </cell>
          <cell r="F76">
            <v>2</v>
          </cell>
          <cell r="G76">
            <v>1</v>
          </cell>
          <cell r="H76" t="str">
            <v>A</v>
          </cell>
          <cell r="I76">
            <v>20201</v>
          </cell>
        </row>
        <row r="77">
          <cell r="A77" t="str">
            <v>F1B007076</v>
          </cell>
          <cell r="B77" t="str">
            <v>Sony Syawaliansyah</v>
          </cell>
          <cell r="C77">
            <v>20171</v>
          </cell>
          <cell r="D77">
            <v>0</v>
          </cell>
          <cell r="E77">
            <v>0</v>
          </cell>
          <cell r="F77">
            <v>37</v>
          </cell>
          <cell r="G77">
            <v>3.34</v>
          </cell>
          <cell r="H77" t="str">
            <v>A</v>
          </cell>
          <cell r="I77">
            <v>20201</v>
          </cell>
        </row>
        <row r="78">
          <cell r="A78" t="str">
            <v>F1B007077</v>
          </cell>
          <cell r="B78" t="str">
            <v>Su'adah</v>
          </cell>
          <cell r="C78">
            <v>20171</v>
          </cell>
          <cell r="D78">
            <v>0</v>
          </cell>
          <cell r="E78">
            <v>0</v>
          </cell>
          <cell r="F78">
            <v>2</v>
          </cell>
          <cell r="G78">
            <v>1</v>
          </cell>
          <cell r="H78" t="str">
            <v>A</v>
          </cell>
          <cell r="I78">
            <v>20201</v>
          </cell>
        </row>
        <row r="79">
          <cell r="A79" t="str">
            <v>F1B007078</v>
          </cell>
          <cell r="B79" t="str">
            <v>Suharsono</v>
          </cell>
          <cell r="C79">
            <v>20171</v>
          </cell>
          <cell r="D79">
            <v>0</v>
          </cell>
          <cell r="E79">
            <v>0</v>
          </cell>
          <cell r="F79">
            <v>67</v>
          </cell>
          <cell r="G79">
            <v>2.69</v>
          </cell>
          <cell r="H79" t="str">
            <v>A</v>
          </cell>
          <cell r="I79">
            <v>20201</v>
          </cell>
        </row>
        <row r="80">
          <cell r="A80" t="str">
            <v>F1B007079</v>
          </cell>
          <cell r="B80" t="str">
            <v>Syaeful Bahri</v>
          </cell>
          <cell r="C80">
            <v>20171</v>
          </cell>
          <cell r="D80">
            <v>0</v>
          </cell>
          <cell r="E80">
            <v>0</v>
          </cell>
          <cell r="F80">
            <v>31</v>
          </cell>
          <cell r="G80">
            <v>3.31</v>
          </cell>
          <cell r="H80" t="str">
            <v>A</v>
          </cell>
          <cell r="I80">
            <v>20201</v>
          </cell>
        </row>
        <row r="81">
          <cell r="A81" t="str">
            <v>F1B007080</v>
          </cell>
          <cell r="B81" t="str">
            <v>Syahrul Mubarak</v>
          </cell>
          <cell r="C81">
            <v>20171</v>
          </cell>
          <cell r="D81">
            <v>0</v>
          </cell>
          <cell r="E81">
            <v>0</v>
          </cell>
          <cell r="F81">
            <v>2</v>
          </cell>
          <cell r="G81">
            <v>0</v>
          </cell>
          <cell r="H81" t="str">
            <v>A</v>
          </cell>
          <cell r="I81">
            <v>20201</v>
          </cell>
        </row>
        <row r="82">
          <cell r="A82" t="str">
            <v>F1B007081</v>
          </cell>
          <cell r="B82" t="str">
            <v>Syamsurizal</v>
          </cell>
          <cell r="C82">
            <v>20171</v>
          </cell>
          <cell r="D82">
            <v>0</v>
          </cell>
          <cell r="E82">
            <v>0</v>
          </cell>
          <cell r="F82">
            <v>49</v>
          </cell>
          <cell r="G82">
            <v>2.88</v>
          </cell>
          <cell r="H82" t="str">
            <v>A</v>
          </cell>
          <cell r="I82">
            <v>20201</v>
          </cell>
        </row>
        <row r="83">
          <cell r="A83" t="str">
            <v>F1B007082</v>
          </cell>
          <cell r="B83" t="str">
            <v>Taufikurrahman</v>
          </cell>
          <cell r="C83">
            <v>20171</v>
          </cell>
          <cell r="D83">
            <v>0</v>
          </cell>
          <cell r="E83">
            <v>0</v>
          </cell>
          <cell r="F83">
            <v>2</v>
          </cell>
          <cell r="G83">
            <v>0</v>
          </cell>
          <cell r="H83" t="str">
            <v>A</v>
          </cell>
          <cell r="I83">
            <v>20201</v>
          </cell>
        </row>
        <row r="84">
          <cell r="A84" t="str">
            <v>F1B007083</v>
          </cell>
          <cell r="B84" t="str">
            <v>Twenty Dwi Yuli</v>
          </cell>
          <cell r="C84">
            <v>20171</v>
          </cell>
          <cell r="D84">
            <v>0</v>
          </cell>
          <cell r="E84">
            <v>0</v>
          </cell>
          <cell r="F84">
            <v>31</v>
          </cell>
          <cell r="G84">
            <v>3.23</v>
          </cell>
          <cell r="H84" t="str">
            <v>A</v>
          </cell>
          <cell r="I84">
            <v>20201</v>
          </cell>
        </row>
        <row r="85">
          <cell r="A85" t="str">
            <v>F1B007084</v>
          </cell>
          <cell r="B85" t="str">
            <v>Zumri</v>
          </cell>
          <cell r="C85">
            <v>20171</v>
          </cell>
          <cell r="D85">
            <v>0</v>
          </cell>
          <cell r="E85">
            <v>0</v>
          </cell>
          <cell r="F85">
            <v>62</v>
          </cell>
          <cell r="G85">
            <v>2.34</v>
          </cell>
          <cell r="H85" t="str">
            <v>A</v>
          </cell>
          <cell r="I85">
            <v>20201</v>
          </cell>
        </row>
        <row r="86">
          <cell r="A86" t="str">
            <v>F1B008001</v>
          </cell>
          <cell r="B86" t="str">
            <v>Nurul Hidayah</v>
          </cell>
          <cell r="C86">
            <v>20171</v>
          </cell>
          <cell r="D86">
            <v>0</v>
          </cell>
          <cell r="E86">
            <v>0</v>
          </cell>
          <cell r="F86">
            <v>81</v>
          </cell>
          <cell r="G86">
            <v>3.22</v>
          </cell>
          <cell r="H86" t="str">
            <v>A</v>
          </cell>
          <cell r="I86">
            <v>20201</v>
          </cell>
        </row>
        <row r="87">
          <cell r="A87" t="str">
            <v>F1B008002</v>
          </cell>
          <cell r="B87" t="str">
            <v>Gede Gunarta</v>
          </cell>
          <cell r="C87">
            <v>20171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 t="str">
            <v>A</v>
          </cell>
          <cell r="I87">
            <v>20201</v>
          </cell>
        </row>
        <row r="88">
          <cell r="A88" t="str">
            <v>F1B008003</v>
          </cell>
          <cell r="B88" t="str">
            <v>Vivi Dwi Aprillia</v>
          </cell>
          <cell r="C88">
            <v>20171</v>
          </cell>
          <cell r="D88">
            <v>0</v>
          </cell>
          <cell r="E88">
            <v>0</v>
          </cell>
          <cell r="F88">
            <v>82</v>
          </cell>
          <cell r="G88">
            <v>3.08</v>
          </cell>
          <cell r="H88" t="str">
            <v>A</v>
          </cell>
          <cell r="I88">
            <v>20201</v>
          </cell>
        </row>
        <row r="89">
          <cell r="A89" t="str">
            <v>F1B008004</v>
          </cell>
          <cell r="B89" t="str">
            <v>Ahmad Zafrullah M</v>
          </cell>
          <cell r="C89">
            <v>20171</v>
          </cell>
          <cell r="D89">
            <v>0</v>
          </cell>
          <cell r="E89">
            <v>0</v>
          </cell>
          <cell r="F89">
            <v>80</v>
          </cell>
          <cell r="G89">
            <v>3.21</v>
          </cell>
          <cell r="H89" t="str">
            <v>A</v>
          </cell>
          <cell r="I89">
            <v>20201</v>
          </cell>
        </row>
        <row r="90">
          <cell r="A90" t="str">
            <v>F1B008005</v>
          </cell>
          <cell r="B90" t="str">
            <v>Bayu Wibisana</v>
          </cell>
          <cell r="C90">
            <v>20171</v>
          </cell>
          <cell r="D90">
            <v>0</v>
          </cell>
          <cell r="E90">
            <v>0</v>
          </cell>
          <cell r="F90">
            <v>99</v>
          </cell>
          <cell r="G90">
            <v>2.83</v>
          </cell>
          <cell r="H90" t="str">
            <v>A</v>
          </cell>
          <cell r="I90">
            <v>20201</v>
          </cell>
        </row>
        <row r="91">
          <cell r="A91" t="str">
            <v>F1B008006</v>
          </cell>
          <cell r="B91" t="str">
            <v>Asgar</v>
          </cell>
          <cell r="C91">
            <v>20171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 t="str">
            <v>A</v>
          </cell>
          <cell r="I91">
            <v>20201</v>
          </cell>
        </row>
        <row r="92">
          <cell r="A92" t="str">
            <v>F1B008007</v>
          </cell>
          <cell r="B92" t="str">
            <v>Yanita Aulia</v>
          </cell>
          <cell r="C92">
            <v>20171</v>
          </cell>
          <cell r="D92">
            <v>0</v>
          </cell>
          <cell r="E92">
            <v>0</v>
          </cell>
          <cell r="F92">
            <v>92</v>
          </cell>
          <cell r="G92">
            <v>2.97</v>
          </cell>
          <cell r="H92" t="str">
            <v>A</v>
          </cell>
          <cell r="I92">
            <v>20201</v>
          </cell>
        </row>
        <row r="93">
          <cell r="A93" t="str">
            <v>F1B008008</v>
          </cell>
          <cell r="B93" t="str">
            <v>Susi Susanti</v>
          </cell>
          <cell r="C93">
            <v>20171</v>
          </cell>
          <cell r="D93">
            <v>0</v>
          </cell>
          <cell r="E93">
            <v>0</v>
          </cell>
          <cell r="F93">
            <v>81</v>
          </cell>
          <cell r="G93">
            <v>3.18</v>
          </cell>
          <cell r="H93" t="str">
            <v>A</v>
          </cell>
          <cell r="I93">
            <v>20201</v>
          </cell>
        </row>
        <row r="94">
          <cell r="A94" t="str">
            <v>F1B008009</v>
          </cell>
          <cell r="B94" t="str">
            <v>Wahyudi Septiawan</v>
          </cell>
          <cell r="C94">
            <v>20171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 t="str">
            <v>A</v>
          </cell>
          <cell r="I94">
            <v>20201</v>
          </cell>
        </row>
        <row r="95">
          <cell r="A95" t="str">
            <v>F1B008010</v>
          </cell>
          <cell r="B95" t="str">
            <v>Yusuf Pratama</v>
          </cell>
          <cell r="C95">
            <v>20171</v>
          </cell>
          <cell r="D95">
            <v>0</v>
          </cell>
          <cell r="E95">
            <v>0</v>
          </cell>
          <cell r="F95">
            <v>99</v>
          </cell>
          <cell r="G95">
            <v>2.68</v>
          </cell>
          <cell r="H95" t="str">
            <v>A</v>
          </cell>
          <cell r="I95">
            <v>20201</v>
          </cell>
        </row>
        <row r="96">
          <cell r="A96" t="str">
            <v>F1B008011</v>
          </cell>
          <cell r="B96" t="str">
            <v>Ramaditia DS</v>
          </cell>
          <cell r="C96">
            <v>20171</v>
          </cell>
          <cell r="D96">
            <v>0</v>
          </cell>
          <cell r="E96">
            <v>0</v>
          </cell>
          <cell r="F96">
            <v>92</v>
          </cell>
          <cell r="G96">
            <v>3.45</v>
          </cell>
          <cell r="H96" t="str">
            <v>A</v>
          </cell>
          <cell r="I96">
            <v>20201</v>
          </cell>
        </row>
        <row r="97">
          <cell r="A97" t="str">
            <v>F1B008012</v>
          </cell>
          <cell r="B97" t="str">
            <v>Lita Nirmala Sari</v>
          </cell>
          <cell r="C97">
            <v>20171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 t="str">
            <v>A</v>
          </cell>
          <cell r="I97">
            <v>20201</v>
          </cell>
        </row>
        <row r="98">
          <cell r="A98" t="str">
            <v>F1B008013</v>
          </cell>
          <cell r="B98" t="str">
            <v>Wahyu Efrayana</v>
          </cell>
          <cell r="C98">
            <v>20171</v>
          </cell>
          <cell r="D98">
            <v>0</v>
          </cell>
          <cell r="E98">
            <v>0</v>
          </cell>
          <cell r="F98">
            <v>76</v>
          </cell>
          <cell r="G98">
            <v>2.99</v>
          </cell>
          <cell r="H98" t="str">
            <v>A</v>
          </cell>
          <cell r="I98">
            <v>20201</v>
          </cell>
        </row>
        <row r="99">
          <cell r="A99" t="str">
            <v>F1B008014</v>
          </cell>
          <cell r="B99" t="str">
            <v>Sari Ismi Wardani</v>
          </cell>
          <cell r="C99">
            <v>20171</v>
          </cell>
          <cell r="D99">
            <v>0</v>
          </cell>
          <cell r="E99">
            <v>0</v>
          </cell>
          <cell r="F99">
            <v>79</v>
          </cell>
          <cell r="G99">
            <v>3.39</v>
          </cell>
          <cell r="H99" t="str">
            <v>A</v>
          </cell>
          <cell r="I99">
            <v>20201</v>
          </cell>
        </row>
        <row r="100">
          <cell r="A100" t="str">
            <v>F1B008015</v>
          </cell>
          <cell r="B100" t="str">
            <v>Anggara wardi Hamzah</v>
          </cell>
          <cell r="C100">
            <v>20171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 t="str">
            <v>A</v>
          </cell>
          <cell r="I100">
            <v>20201</v>
          </cell>
        </row>
        <row r="101">
          <cell r="A101" t="str">
            <v>F1B008016</v>
          </cell>
          <cell r="B101" t="str">
            <v>Syachrir Eka Putra</v>
          </cell>
          <cell r="C101">
            <v>20171</v>
          </cell>
          <cell r="D101">
            <v>0</v>
          </cell>
          <cell r="E101">
            <v>0</v>
          </cell>
          <cell r="F101">
            <v>71</v>
          </cell>
          <cell r="G101">
            <v>3.51</v>
          </cell>
          <cell r="H101" t="str">
            <v>A</v>
          </cell>
          <cell r="I101">
            <v>20201</v>
          </cell>
        </row>
        <row r="102">
          <cell r="A102" t="str">
            <v>F1B008017</v>
          </cell>
          <cell r="B102" t="str">
            <v>Suhariman</v>
          </cell>
          <cell r="C102">
            <v>20171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 t="str">
            <v>A</v>
          </cell>
          <cell r="I102">
            <v>20201</v>
          </cell>
        </row>
        <row r="103">
          <cell r="A103" t="str">
            <v>F1B008018</v>
          </cell>
          <cell r="B103" t="str">
            <v>Rachmi Hidayati</v>
          </cell>
          <cell r="C103">
            <v>20171</v>
          </cell>
          <cell r="D103">
            <v>0</v>
          </cell>
          <cell r="E103">
            <v>0</v>
          </cell>
          <cell r="F103">
            <v>71</v>
          </cell>
          <cell r="G103">
            <v>3.28</v>
          </cell>
          <cell r="H103" t="str">
            <v>A</v>
          </cell>
          <cell r="I103">
            <v>20201</v>
          </cell>
        </row>
        <row r="104">
          <cell r="A104" t="str">
            <v>F1B008019</v>
          </cell>
          <cell r="B104" t="str">
            <v>Lalu Amrullah</v>
          </cell>
          <cell r="C104">
            <v>20171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 t="str">
            <v>A</v>
          </cell>
          <cell r="I104">
            <v>20201</v>
          </cell>
        </row>
        <row r="105">
          <cell r="A105" t="str">
            <v>F1B008020</v>
          </cell>
          <cell r="B105" t="str">
            <v>I Dewa Made Dwi P U</v>
          </cell>
          <cell r="C105">
            <v>20171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 t="str">
            <v>A</v>
          </cell>
          <cell r="I105">
            <v>20201</v>
          </cell>
        </row>
        <row r="106">
          <cell r="A106" t="str">
            <v>F1B008021</v>
          </cell>
          <cell r="B106" t="str">
            <v>Amalia Utami</v>
          </cell>
          <cell r="C106">
            <v>20171</v>
          </cell>
          <cell r="D106">
            <v>0</v>
          </cell>
          <cell r="E106">
            <v>0</v>
          </cell>
          <cell r="F106">
            <v>91</v>
          </cell>
          <cell r="G106">
            <v>2.85</v>
          </cell>
          <cell r="H106" t="str">
            <v>A</v>
          </cell>
          <cell r="I106">
            <v>20201</v>
          </cell>
        </row>
        <row r="107">
          <cell r="A107" t="str">
            <v>F1B008022</v>
          </cell>
          <cell r="B107" t="str">
            <v>M. Rangga Akbar</v>
          </cell>
          <cell r="C107">
            <v>20171</v>
          </cell>
          <cell r="D107">
            <v>0</v>
          </cell>
          <cell r="E107">
            <v>0</v>
          </cell>
          <cell r="F107">
            <v>76</v>
          </cell>
          <cell r="G107">
            <v>3.34</v>
          </cell>
          <cell r="H107" t="str">
            <v>A</v>
          </cell>
          <cell r="I107">
            <v>20201</v>
          </cell>
        </row>
        <row r="108">
          <cell r="A108" t="str">
            <v>F1B008023</v>
          </cell>
          <cell r="B108" t="str">
            <v>Rochmad Eko Suyudi</v>
          </cell>
          <cell r="C108">
            <v>20171</v>
          </cell>
          <cell r="D108">
            <v>0</v>
          </cell>
          <cell r="E108">
            <v>0</v>
          </cell>
          <cell r="F108">
            <v>81</v>
          </cell>
          <cell r="G108">
            <v>3.46</v>
          </cell>
          <cell r="H108" t="str">
            <v>A</v>
          </cell>
          <cell r="I108">
            <v>20201</v>
          </cell>
        </row>
        <row r="109">
          <cell r="A109" t="str">
            <v>F1B008024</v>
          </cell>
          <cell r="B109" t="str">
            <v>Yul Alfan Rosadi</v>
          </cell>
          <cell r="C109">
            <v>20171</v>
          </cell>
          <cell r="D109">
            <v>0</v>
          </cell>
          <cell r="E109">
            <v>0</v>
          </cell>
          <cell r="F109">
            <v>19</v>
          </cell>
          <cell r="G109">
            <v>0</v>
          </cell>
          <cell r="H109" t="str">
            <v>A</v>
          </cell>
          <cell r="I109">
            <v>20201</v>
          </cell>
        </row>
        <row r="110">
          <cell r="A110" t="str">
            <v>F1B008025</v>
          </cell>
          <cell r="B110" t="str">
            <v>Sukma Pramudia</v>
          </cell>
          <cell r="C110">
            <v>20171</v>
          </cell>
          <cell r="D110">
            <v>0</v>
          </cell>
          <cell r="E110">
            <v>0</v>
          </cell>
          <cell r="F110">
            <v>84</v>
          </cell>
          <cell r="G110">
            <v>3.12</v>
          </cell>
          <cell r="H110" t="str">
            <v>A</v>
          </cell>
          <cell r="I110">
            <v>20201</v>
          </cell>
        </row>
        <row r="111">
          <cell r="A111" t="str">
            <v>F1B008026</v>
          </cell>
          <cell r="B111" t="str">
            <v>Ryan Nathaman Dratama</v>
          </cell>
          <cell r="C111">
            <v>20171</v>
          </cell>
          <cell r="D111">
            <v>0</v>
          </cell>
          <cell r="E111">
            <v>0</v>
          </cell>
          <cell r="F111">
            <v>84</v>
          </cell>
          <cell r="G111">
            <v>2.8</v>
          </cell>
          <cell r="H111" t="str">
            <v>A</v>
          </cell>
          <cell r="I111">
            <v>20201</v>
          </cell>
        </row>
        <row r="112">
          <cell r="A112" t="str">
            <v>F1B008027</v>
          </cell>
          <cell r="B112" t="str">
            <v>Putu Regi Pratama</v>
          </cell>
          <cell r="C112">
            <v>20171</v>
          </cell>
          <cell r="D112">
            <v>0</v>
          </cell>
          <cell r="E112">
            <v>0</v>
          </cell>
          <cell r="F112">
            <v>78</v>
          </cell>
          <cell r="G112">
            <v>3.49</v>
          </cell>
          <cell r="H112" t="str">
            <v>A</v>
          </cell>
          <cell r="I112">
            <v>20201</v>
          </cell>
        </row>
        <row r="113">
          <cell r="A113" t="str">
            <v>F1B008028</v>
          </cell>
          <cell r="B113" t="str">
            <v>Ahmad Humaidi</v>
          </cell>
          <cell r="C113">
            <v>20171</v>
          </cell>
          <cell r="D113">
            <v>0</v>
          </cell>
          <cell r="E113">
            <v>0</v>
          </cell>
          <cell r="F113">
            <v>73</v>
          </cell>
          <cell r="G113">
            <v>3.15</v>
          </cell>
          <cell r="H113" t="str">
            <v>A</v>
          </cell>
          <cell r="I113">
            <v>20201</v>
          </cell>
        </row>
        <row r="114">
          <cell r="A114" t="str">
            <v>F1B008029</v>
          </cell>
          <cell r="B114" t="str">
            <v>Apriadi</v>
          </cell>
          <cell r="C114">
            <v>20171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 t="str">
            <v>A</v>
          </cell>
          <cell r="I114">
            <v>20201</v>
          </cell>
        </row>
        <row r="115">
          <cell r="A115" t="str">
            <v>F1B008030</v>
          </cell>
          <cell r="B115" t="str">
            <v>Hadi Wibowo</v>
          </cell>
          <cell r="C115">
            <v>20171</v>
          </cell>
          <cell r="D115">
            <v>0</v>
          </cell>
          <cell r="E115">
            <v>0</v>
          </cell>
          <cell r="F115">
            <v>116</v>
          </cell>
          <cell r="G115">
            <v>2.19</v>
          </cell>
          <cell r="H115" t="str">
            <v>A</v>
          </cell>
          <cell r="I115">
            <v>20201</v>
          </cell>
        </row>
        <row r="116">
          <cell r="A116" t="str">
            <v>F1B008031</v>
          </cell>
          <cell r="B116" t="str">
            <v>Imam Takharruby</v>
          </cell>
          <cell r="C116">
            <v>20171</v>
          </cell>
          <cell r="D116">
            <v>0</v>
          </cell>
          <cell r="E116">
            <v>0</v>
          </cell>
          <cell r="F116">
            <v>73</v>
          </cell>
          <cell r="G116">
            <v>2.95</v>
          </cell>
          <cell r="H116" t="str">
            <v>A</v>
          </cell>
          <cell r="I116">
            <v>20201</v>
          </cell>
        </row>
        <row r="117">
          <cell r="A117" t="str">
            <v>F1B008032</v>
          </cell>
          <cell r="B117" t="str">
            <v>L Moh. Khaerul Salim</v>
          </cell>
          <cell r="C117">
            <v>20171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 t="str">
            <v>A</v>
          </cell>
          <cell r="I117">
            <v>20201</v>
          </cell>
        </row>
        <row r="118">
          <cell r="A118" t="str">
            <v>F1B008033</v>
          </cell>
          <cell r="B118" t="str">
            <v>MD Dwi Putra Arsana</v>
          </cell>
          <cell r="C118">
            <v>20171</v>
          </cell>
          <cell r="D118">
            <v>0</v>
          </cell>
          <cell r="E118">
            <v>0</v>
          </cell>
          <cell r="F118">
            <v>72</v>
          </cell>
          <cell r="G118">
            <v>3.22</v>
          </cell>
          <cell r="H118" t="str">
            <v>A</v>
          </cell>
          <cell r="I118">
            <v>20201</v>
          </cell>
        </row>
        <row r="119">
          <cell r="A119" t="str">
            <v>F1B008034</v>
          </cell>
          <cell r="B119" t="str">
            <v>Imam Jayadi Putra</v>
          </cell>
          <cell r="C119">
            <v>20171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 t="str">
            <v>A</v>
          </cell>
          <cell r="I119">
            <v>20201</v>
          </cell>
        </row>
        <row r="120">
          <cell r="A120" t="str">
            <v>F1B008035</v>
          </cell>
          <cell r="B120" t="str">
            <v>Muh Zuhri</v>
          </cell>
          <cell r="C120">
            <v>20171</v>
          </cell>
          <cell r="D120">
            <v>0</v>
          </cell>
          <cell r="E120">
            <v>0</v>
          </cell>
          <cell r="F120">
            <v>80</v>
          </cell>
          <cell r="G120">
            <v>2.84</v>
          </cell>
          <cell r="H120" t="str">
            <v>A</v>
          </cell>
          <cell r="I120">
            <v>20201</v>
          </cell>
        </row>
        <row r="121">
          <cell r="A121" t="str">
            <v>F1B008036</v>
          </cell>
          <cell r="B121" t="str">
            <v>Yuesvian Disthira NA</v>
          </cell>
          <cell r="C121">
            <v>20171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 t="str">
            <v>A</v>
          </cell>
          <cell r="I121">
            <v>20201</v>
          </cell>
        </row>
        <row r="122">
          <cell r="A122" t="str">
            <v>F1B008037</v>
          </cell>
          <cell r="B122" t="str">
            <v>Firqah Saimur R</v>
          </cell>
          <cell r="C122">
            <v>20171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 t="str">
            <v>A</v>
          </cell>
          <cell r="I122">
            <v>20201</v>
          </cell>
        </row>
        <row r="123">
          <cell r="A123" t="str">
            <v>F1B008038</v>
          </cell>
          <cell r="B123" t="str">
            <v>L M Edy Estrada</v>
          </cell>
          <cell r="C123">
            <v>20171</v>
          </cell>
          <cell r="D123">
            <v>0</v>
          </cell>
          <cell r="E123">
            <v>0</v>
          </cell>
          <cell r="F123">
            <v>90</v>
          </cell>
          <cell r="G123">
            <v>2.67</v>
          </cell>
          <cell r="H123" t="str">
            <v>A</v>
          </cell>
          <cell r="I123">
            <v>20201</v>
          </cell>
        </row>
        <row r="124">
          <cell r="A124" t="str">
            <v>F1B008039</v>
          </cell>
          <cell r="B124" t="str">
            <v>Muh. Jabaruddin</v>
          </cell>
          <cell r="C124">
            <v>20171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 t="str">
            <v>A</v>
          </cell>
          <cell r="I124">
            <v>20201</v>
          </cell>
        </row>
        <row r="125">
          <cell r="A125" t="str">
            <v>F1B008040</v>
          </cell>
          <cell r="B125" t="str">
            <v>Eka Meilia Suryanti</v>
          </cell>
          <cell r="C125">
            <v>20171</v>
          </cell>
          <cell r="D125">
            <v>0</v>
          </cell>
          <cell r="E125">
            <v>0</v>
          </cell>
          <cell r="F125">
            <v>73</v>
          </cell>
          <cell r="G125">
            <v>3.66</v>
          </cell>
          <cell r="H125" t="str">
            <v>A</v>
          </cell>
          <cell r="I125">
            <v>20201</v>
          </cell>
        </row>
        <row r="126">
          <cell r="A126" t="str">
            <v>F1B008041</v>
          </cell>
          <cell r="B126" t="str">
            <v>G A  Vera Subiantara</v>
          </cell>
          <cell r="C126">
            <v>20171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 t="str">
            <v>A</v>
          </cell>
          <cell r="I126">
            <v>20201</v>
          </cell>
        </row>
        <row r="127">
          <cell r="A127" t="str">
            <v>F1B008042</v>
          </cell>
          <cell r="B127" t="str">
            <v>Mayzar Annas</v>
          </cell>
          <cell r="C127">
            <v>20171</v>
          </cell>
          <cell r="D127">
            <v>0</v>
          </cell>
          <cell r="E127">
            <v>0</v>
          </cell>
          <cell r="F127">
            <v>74</v>
          </cell>
          <cell r="G127">
            <v>3.27</v>
          </cell>
          <cell r="H127" t="str">
            <v>A</v>
          </cell>
          <cell r="I127">
            <v>20201</v>
          </cell>
        </row>
        <row r="128">
          <cell r="A128" t="str">
            <v>F1B008043</v>
          </cell>
          <cell r="B128" t="str">
            <v>Hartayadi Mandraguna</v>
          </cell>
          <cell r="C128">
            <v>20171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 t="str">
            <v>A</v>
          </cell>
          <cell r="I128">
            <v>20201</v>
          </cell>
        </row>
        <row r="129">
          <cell r="A129" t="str">
            <v>F1B008044</v>
          </cell>
          <cell r="B129" t="str">
            <v>Arief T</v>
          </cell>
          <cell r="C129">
            <v>20171</v>
          </cell>
          <cell r="D129">
            <v>0</v>
          </cell>
          <cell r="E129">
            <v>0</v>
          </cell>
          <cell r="F129">
            <v>76</v>
          </cell>
          <cell r="G129">
            <v>2.99</v>
          </cell>
          <cell r="H129" t="str">
            <v>A</v>
          </cell>
          <cell r="I129">
            <v>20201</v>
          </cell>
        </row>
        <row r="130">
          <cell r="A130" t="str">
            <v>F1B008045</v>
          </cell>
          <cell r="B130" t="str">
            <v>Humaidi</v>
          </cell>
          <cell r="C130">
            <v>20171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 t="str">
            <v>A</v>
          </cell>
          <cell r="I130">
            <v>20201</v>
          </cell>
        </row>
        <row r="131">
          <cell r="A131" t="str">
            <v>F1B008046</v>
          </cell>
          <cell r="B131" t="str">
            <v>Khaerul Hazi</v>
          </cell>
          <cell r="C131">
            <v>20171</v>
          </cell>
          <cell r="D131">
            <v>0</v>
          </cell>
          <cell r="E131">
            <v>0</v>
          </cell>
          <cell r="F131">
            <v>70</v>
          </cell>
          <cell r="G131">
            <v>3.48</v>
          </cell>
          <cell r="H131" t="str">
            <v>A</v>
          </cell>
          <cell r="I131">
            <v>20201</v>
          </cell>
        </row>
        <row r="132">
          <cell r="A132" t="str">
            <v>F1B008047</v>
          </cell>
          <cell r="B132" t="str">
            <v>Andra Priatma</v>
          </cell>
          <cell r="C132">
            <v>20171</v>
          </cell>
          <cell r="D132">
            <v>0</v>
          </cell>
          <cell r="E132">
            <v>0</v>
          </cell>
          <cell r="F132">
            <v>102</v>
          </cell>
          <cell r="G132">
            <v>2.5</v>
          </cell>
          <cell r="H132" t="str">
            <v>A</v>
          </cell>
          <cell r="I132">
            <v>20201</v>
          </cell>
        </row>
        <row r="133">
          <cell r="A133" t="str">
            <v>F1B008048</v>
          </cell>
          <cell r="B133" t="str">
            <v>L. Muh Hasri</v>
          </cell>
          <cell r="C133">
            <v>20171</v>
          </cell>
          <cell r="D133">
            <v>0</v>
          </cell>
          <cell r="E133">
            <v>0</v>
          </cell>
          <cell r="F133">
            <v>10</v>
          </cell>
          <cell r="G133">
            <v>2.2</v>
          </cell>
          <cell r="H133" t="str">
            <v>A</v>
          </cell>
          <cell r="I133">
            <v>20201</v>
          </cell>
        </row>
        <row r="134">
          <cell r="A134" t="str">
            <v>F1B008049</v>
          </cell>
          <cell r="B134" t="str">
            <v>Zuladli</v>
          </cell>
          <cell r="C134">
            <v>20171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 t="str">
            <v>A</v>
          </cell>
          <cell r="I134">
            <v>20201</v>
          </cell>
        </row>
        <row r="135">
          <cell r="A135" t="str">
            <v>F1B008050</v>
          </cell>
          <cell r="B135" t="str">
            <v>Addin Gama Bertaqwa</v>
          </cell>
          <cell r="C135">
            <v>20171</v>
          </cell>
          <cell r="D135">
            <v>0</v>
          </cell>
          <cell r="E135">
            <v>0</v>
          </cell>
          <cell r="F135">
            <v>77</v>
          </cell>
          <cell r="G135">
            <v>3.68</v>
          </cell>
          <cell r="H135" t="str">
            <v>A</v>
          </cell>
          <cell r="I135">
            <v>20201</v>
          </cell>
        </row>
        <row r="136">
          <cell r="A136" t="str">
            <v>F1B008051</v>
          </cell>
          <cell r="B136" t="str">
            <v>Sari Fitri Amalia</v>
          </cell>
          <cell r="C136">
            <v>20171</v>
          </cell>
          <cell r="D136">
            <v>0</v>
          </cell>
          <cell r="E136">
            <v>0</v>
          </cell>
          <cell r="F136">
            <v>71</v>
          </cell>
          <cell r="G136">
            <v>3.15</v>
          </cell>
          <cell r="H136" t="str">
            <v>A</v>
          </cell>
          <cell r="I136">
            <v>20201</v>
          </cell>
        </row>
        <row r="137">
          <cell r="A137" t="str">
            <v>F1B008052</v>
          </cell>
          <cell r="B137" t="str">
            <v>Adi Abdul Hanan</v>
          </cell>
          <cell r="C137">
            <v>20171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 t="str">
            <v>A</v>
          </cell>
          <cell r="I137">
            <v>20201</v>
          </cell>
        </row>
        <row r="138">
          <cell r="A138" t="str">
            <v>F1B008053</v>
          </cell>
          <cell r="B138" t="str">
            <v>Adriansyah Eko S</v>
          </cell>
          <cell r="C138">
            <v>20171</v>
          </cell>
          <cell r="D138">
            <v>0</v>
          </cell>
          <cell r="E138">
            <v>0</v>
          </cell>
          <cell r="F138">
            <v>76</v>
          </cell>
          <cell r="G138">
            <v>3.34</v>
          </cell>
          <cell r="H138" t="str">
            <v>A</v>
          </cell>
          <cell r="I138">
            <v>20201</v>
          </cell>
        </row>
        <row r="139">
          <cell r="A139" t="str">
            <v>F1B008054</v>
          </cell>
          <cell r="B139" t="str">
            <v>Indra Jaya</v>
          </cell>
          <cell r="C139">
            <v>20171</v>
          </cell>
          <cell r="D139">
            <v>0</v>
          </cell>
          <cell r="E139">
            <v>0</v>
          </cell>
          <cell r="F139">
            <v>97</v>
          </cell>
          <cell r="G139">
            <v>2.86</v>
          </cell>
          <cell r="H139" t="str">
            <v>A</v>
          </cell>
          <cell r="I139">
            <v>20201</v>
          </cell>
        </row>
        <row r="140">
          <cell r="A140" t="str">
            <v>F1B008055</v>
          </cell>
          <cell r="B140" t="str">
            <v>Hamdiana</v>
          </cell>
          <cell r="C140">
            <v>20171</v>
          </cell>
          <cell r="D140">
            <v>0</v>
          </cell>
          <cell r="E140">
            <v>0</v>
          </cell>
          <cell r="F140">
            <v>76</v>
          </cell>
          <cell r="G140">
            <v>3.09</v>
          </cell>
          <cell r="H140" t="str">
            <v>A</v>
          </cell>
          <cell r="I140">
            <v>20201</v>
          </cell>
        </row>
        <row r="141">
          <cell r="A141" t="str">
            <v>F1B008056</v>
          </cell>
          <cell r="B141" t="str">
            <v>Arga Fausta Saputra</v>
          </cell>
          <cell r="C141">
            <v>20171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 t="str">
            <v>A</v>
          </cell>
          <cell r="I141">
            <v>20201</v>
          </cell>
        </row>
        <row r="142">
          <cell r="A142" t="str">
            <v>F1B008057</v>
          </cell>
          <cell r="B142" t="str">
            <v>Furqanurrahman</v>
          </cell>
          <cell r="C142">
            <v>20171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 t="str">
            <v>A</v>
          </cell>
          <cell r="I142">
            <v>20201</v>
          </cell>
        </row>
        <row r="143">
          <cell r="A143" t="str">
            <v>F1B008058</v>
          </cell>
          <cell r="B143" t="str">
            <v>Sabdi Sapriadi</v>
          </cell>
          <cell r="C143">
            <v>20171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 t="str">
            <v>A</v>
          </cell>
          <cell r="I143">
            <v>20201</v>
          </cell>
        </row>
        <row r="144">
          <cell r="A144" t="str">
            <v>F1B008059</v>
          </cell>
          <cell r="B144" t="str">
            <v>Muh. Defrian Pratama</v>
          </cell>
          <cell r="C144">
            <v>20171</v>
          </cell>
          <cell r="D144">
            <v>0</v>
          </cell>
          <cell r="E144">
            <v>0</v>
          </cell>
          <cell r="F144">
            <v>103</v>
          </cell>
          <cell r="G144">
            <v>2.6</v>
          </cell>
          <cell r="H144" t="str">
            <v>A</v>
          </cell>
          <cell r="I144">
            <v>20201</v>
          </cell>
        </row>
        <row r="145">
          <cell r="A145" t="str">
            <v>F1B008060</v>
          </cell>
          <cell r="B145" t="str">
            <v>Nazarul Bastomi</v>
          </cell>
          <cell r="C145">
            <v>20171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 t="str">
            <v>A</v>
          </cell>
          <cell r="I145">
            <v>20201</v>
          </cell>
        </row>
        <row r="146">
          <cell r="A146" t="str">
            <v>F1B008061</v>
          </cell>
          <cell r="B146" t="str">
            <v>Taufik Insani</v>
          </cell>
          <cell r="C146">
            <v>20171</v>
          </cell>
          <cell r="D146">
            <v>0</v>
          </cell>
          <cell r="E146">
            <v>0</v>
          </cell>
          <cell r="F146">
            <v>91</v>
          </cell>
          <cell r="G146">
            <v>2.79</v>
          </cell>
          <cell r="H146" t="str">
            <v>A</v>
          </cell>
          <cell r="I146">
            <v>20201</v>
          </cell>
        </row>
        <row r="147">
          <cell r="A147" t="str">
            <v>F1B008062</v>
          </cell>
          <cell r="B147" t="str">
            <v>Ryadus Shalihin</v>
          </cell>
          <cell r="C147">
            <v>20171</v>
          </cell>
          <cell r="D147">
            <v>0</v>
          </cell>
          <cell r="E147">
            <v>0</v>
          </cell>
          <cell r="F147">
            <v>99</v>
          </cell>
          <cell r="G147">
            <v>2.86</v>
          </cell>
          <cell r="H147" t="str">
            <v>A</v>
          </cell>
          <cell r="I147">
            <v>20201</v>
          </cell>
        </row>
        <row r="148">
          <cell r="A148" t="str">
            <v>F1B008063</v>
          </cell>
          <cell r="B148" t="str">
            <v>Ahmad Rosidin Talib</v>
          </cell>
          <cell r="C148">
            <v>20171</v>
          </cell>
          <cell r="D148">
            <v>0</v>
          </cell>
          <cell r="E148">
            <v>0</v>
          </cell>
          <cell r="F148">
            <v>99</v>
          </cell>
          <cell r="G148">
            <v>2.8</v>
          </cell>
          <cell r="H148" t="str">
            <v>A</v>
          </cell>
          <cell r="I148">
            <v>20201</v>
          </cell>
        </row>
        <row r="149">
          <cell r="A149" t="str">
            <v>F1B008064</v>
          </cell>
          <cell r="B149" t="str">
            <v>Suban</v>
          </cell>
          <cell r="C149">
            <v>20171</v>
          </cell>
          <cell r="D149">
            <v>0</v>
          </cell>
          <cell r="E149">
            <v>0</v>
          </cell>
          <cell r="F149">
            <v>50</v>
          </cell>
          <cell r="G149">
            <v>1.48</v>
          </cell>
          <cell r="H149" t="str">
            <v>A</v>
          </cell>
          <cell r="I149">
            <v>20201</v>
          </cell>
        </row>
        <row r="150">
          <cell r="A150" t="str">
            <v>F1B008065</v>
          </cell>
          <cell r="B150" t="str">
            <v>Muh. Eko Surtianto</v>
          </cell>
          <cell r="C150">
            <v>20171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 t="str">
            <v>A</v>
          </cell>
          <cell r="I150">
            <v>20201</v>
          </cell>
        </row>
        <row r="151">
          <cell r="A151" t="str">
            <v>F1B008066</v>
          </cell>
          <cell r="B151" t="str">
            <v>Heri Irawan</v>
          </cell>
          <cell r="C151">
            <v>20171</v>
          </cell>
          <cell r="D151">
            <v>0</v>
          </cell>
          <cell r="E151">
            <v>0</v>
          </cell>
          <cell r="F151">
            <v>79</v>
          </cell>
          <cell r="G151">
            <v>2.91</v>
          </cell>
          <cell r="H151" t="str">
            <v>A</v>
          </cell>
          <cell r="I151">
            <v>20201</v>
          </cell>
        </row>
        <row r="152">
          <cell r="A152" t="str">
            <v>F1B008067</v>
          </cell>
          <cell r="B152" t="str">
            <v>Fahroni Ardiansyah</v>
          </cell>
          <cell r="C152">
            <v>20171</v>
          </cell>
          <cell r="D152">
            <v>0</v>
          </cell>
          <cell r="E152">
            <v>0</v>
          </cell>
          <cell r="F152">
            <v>85</v>
          </cell>
          <cell r="G152">
            <v>3.08</v>
          </cell>
          <cell r="H152" t="str">
            <v>A</v>
          </cell>
          <cell r="I152">
            <v>20201</v>
          </cell>
        </row>
        <row r="153">
          <cell r="A153" t="str">
            <v>F1B008068</v>
          </cell>
          <cell r="B153" t="str">
            <v>Hikmah Aulyanti</v>
          </cell>
          <cell r="C153">
            <v>20171</v>
          </cell>
          <cell r="D153">
            <v>0</v>
          </cell>
          <cell r="E153">
            <v>0</v>
          </cell>
          <cell r="F153">
            <v>92</v>
          </cell>
          <cell r="G153">
            <v>2.24</v>
          </cell>
          <cell r="H153" t="str">
            <v>A</v>
          </cell>
          <cell r="I153">
            <v>20201</v>
          </cell>
        </row>
        <row r="154">
          <cell r="A154" t="str">
            <v>F1B008069</v>
          </cell>
          <cell r="B154" t="str">
            <v>Asraruddin</v>
          </cell>
          <cell r="C154">
            <v>20171</v>
          </cell>
          <cell r="D154">
            <v>0</v>
          </cell>
          <cell r="E154">
            <v>0</v>
          </cell>
          <cell r="F154">
            <v>63</v>
          </cell>
          <cell r="G154">
            <v>1.71</v>
          </cell>
          <cell r="H154" t="str">
            <v>P</v>
          </cell>
          <cell r="I154">
            <v>20201</v>
          </cell>
        </row>
        <row r="155">
          <cell r="A155" t="str">
            <v>F1B008070</v>
          </cell>
          <cell r="B155" t="str">
            <v>Rana Yuristia A</v>
          </cell>
          <cell r="C155">
            <v>20171</v>
          </cell>
          <cell r="D155">
            <v>0</v>
          </cell>
          <cell r="E155">
            <v>0</v>
          </cell>
          <cell r="F155">
            <v>88</v>
          </cell>
          <cell r="G155">
            <v>2.98</v>
          </cell>
          <cell r="H155" t="str">
            <v>A</v>
          </cell>
          <cell r="I155">
            <v>20201</v>
          </cell>
        </row>
        <row r="156">
          <cell r="A156" t="str">
            <v>F1B008071</v>
          </cell>
          <cell r="B156" t="str">
            <v>Titin Utari</v>
          </cell>
          <cell r="C156">
            <v>20171</v>
          </cell>
          <cell r="D156">
            <v>0</v>
          </cell>
          <cell r="E156">
            <v>0</v>
          </cell>
          <cell r="F156">
            <v>72</v>
          </cell>
          <cell r="G156">
            <v>3.3</v>
          </cell>
          <cell r="H156" t="str">
            <v>A</v>
          </cell>
          <cell r="I156">
            <v>20201</v>
          </cell>
        </row>
        <row r="157">
          <cell r="A157" t="str">
            <v>F1B008072</v>
          </cell>
          <cell r="B157" t="str">
            <v>Ade Agus Rifkianta</v>
          </cell>
          <cell r="C157">
            <v>20171</v>
          </cell>
          <cell r="D157">
            <v>0</v>
          </cell>
          <cell r="E157">
            <v>0</v>
          </cell>
          <cell r="F157">
            <v>70</v>
          </cell>
          <cell r="G157">
            <v>3.36</v>
          </cell>
          <cell r="H157" t="str">
            <v>A</v>
          </cell>
          <cell r="I157">
            <v>20201</v>
          </cell>
        </row>
        <row r="158">
          <cell r="A158" t="str">
            <v>F1B008073</v>
          </cell>
          <cell r="B158" t="str">
            <v>Kurniawan Eko S</v>
          </cell>
          <cell r="C158">
            <v>20171</v>
          </cell>
          <cell r="D158">
            <v>0</v>
          </cell>
          <cell r="E158">
            <v>0</v>
          </cell>
          <cell r="F158">
            <v>76</v>
          </cell>
          <cell r="G158">
            <v>3.38</v>
          </cell>
          <cell r="H158" t="str">
            <v>A</v>
          </cell>
          <cell r="I158">
            <v>20201</v>
          </cell>
        </row>
        <row r="159">
          <cell r="A159" t="str">
            <v>F1B008074</v>
          </cell>
          <cell r="B159" t="str">
            <v>Muh. Yusuf</v>
          </cell>
          <cell r="C159">
            <v>20171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 t="str">
            <v>A</v>
          </cell>
          <cell r="I159">
            <v>20201</v>
          </cell>
        </row>
        <row r="160">
          <cell r="A160" t="str">
            <v>F1B008075</v>
          </cell>
          <cell r="B160" t="str">
            <v>Ki Agus Riza Rahmadi</v>
          </cell>
          <cell r="C160">
            <v>20171</v>
          </cell>
          <cell r="D160">
            <v>0</v>
          </cell>
          <cell r="E160">
            <v>0</v>
          </cell>
          <cell r="F160">
            <v>104</v>
          </cell>
          <cell r="G160">
            <v>2.55</v>
          </cell>
          <cell r="H160" t="str">
            <v>A</v>
          </cell>
          <cell r="I160">
            <v>20201</v>
          </cell>
        </row>
        <row r="161">
          <cell r="A161" t="str">
            <v>F1B008076</v>
          </cell>
          <cell r="B161" t="str">
            <v>Gunawan Putra</v>
          </cell>
          <cell r="C161">
            <v>20171</v>
          </cell>
          <cell r="D161">
            <v>0</v>
          </cell>
          <cell r="E161">
            <v>0</v>
          </cell>
          <cell r="F161">
            <v>96</v>
          </cell>
          <cell r="G161">
            <v>2.99</v>
          </cell>
          <cell r="H161" t="str">
            <v>A</v>
          </cell>
          <cell r="I161">
            <v>20201</v>
          </cell>
        </row>
        <row r="162">
          <cell r="A162" t="str">
            <v>F1B008077</v>
          </cell>
          <cell r="B162" t="str">
            <v>Dewa Made Artana</v>
          </cell>
          <cell r="C162">
            <v>20171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 t="str">
            <v>A</v>
          </cell>
          <cell r="I162">
            <v>20201</v>
          </cell>
        </row>
        <row r="163">
          <cell r="A163" t="str">
            <v>F1B008078</v>
          </cell>
          <cell r="B163" t="str">
            <v>Lalu Gede Irawan Sen</v>
          </cell>
          <cell r="C163">
            <v>20171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 t="str">
            <v>A</v>
          </cell>
          <cell r="I163">
            <v>20201</v>
          </cell>
        </row>
        <row r="164">
          <cell r="A164" t="str">
            <v>F1B008079</v>
          </cell>
          <cell r="B164" t="str">
            <v>Pratama Rinad W</v>
          </cell>
          <cell r="C164">
            <v>20171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 t="str">
            <v>A</v>
          </cell>
          <cell r="I164">
            <v>20201</v>
          </cell>
        </row>
        <row r="165">
          <cell r="A165" t="str">
            <v>F1B008080</v>
          </cell>
          <cell r="B165" t="str">
            <v>Sahdan Ashari</v>
          </cell>
          <cell r="C165">
            <v>20171</v>
          </cell>
          <cell r="D165">
            <v>0</v>
          </cell>
          <cell r="E165">
            <v>0</v>
          </cell>
          <cell r="F165">
            <v>78</v>
          </cell>
          <cell r="G165">
            <v>3.51</v>
          </cell>
          <cell r="H165" t="str">
            <v>A</v>
          </cell>
          <cell r="I165">
            <v>20201</v>
          </cell>
        </row>
        <row r="166">
          <cell r="A166" t="str">
            <v>F1B008081</v>
          </cell>
          <cell r="B166" t="str">
            <v>Paris Ali Topan</v>
          </cell>
          <cell r="C166">
            <v>20171</v>
          </cell>
          <cell r="D166">
            <v>0</v>
          </cell>
          <cell r="E166">
            <v>0</v>
          </cell>
          <cell r="F166">
            <v>68</v>
          </cell>
          <cell r="G166">
            <v>3.31</v>
          </cell>
          <cell r="H166" t="str">
            <v>A</v>
          </cell>
          <cell r="I166">
            <v>20201</v>
          </cell>
        </row>
        <row r="167">
          <cell r="A167" t="str">
            <v>F1B008082</v>
          </cell>
          <cell r="B167" t="str">
            <v>Rosi Iswandi</v>
          </cell>
          <cell r="C167">
            <v>20171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 t="str">
            <v>A</v>
          </cell>
          <cell r="I167">
            <v>20201</v>
          </cell>
        </row>
        <row r="168">
          <cell r="A168" t="str">
            <v>F1B008083</v>
          </cell>
          <cell r="B168" t="str">
            <v>Wahyu Arif Pridana</v>
          </cell>
          <cell r="C168">
            <v>20171</v>
          </cell>
          <cell r="D168">
            <v>0</v>
          </cell>
          <cell r="E168">
            <v>0</v>
          </cell>
          <cell r="F168">
            <v>103</v>
          </cell>
          <cell r="G168">
            <v>3.02</v>
          </cell>
          <cell r="H168" t="str">
            <v>A</v>
          </cell>
          <cell r="I168">
            <v>20201</v>
          </cell>
        </row>
        <row r="169">
          <cell r="A169" t="str">
            <v>F1B008084</v>
          </cell>
          <cell r="B169" t="str">
            <v>Ziadatia Azmi</v>
          </cell>
          <cell r="C169">
            <v>20171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 t="str">
            <v>A</v>
          </cell>
          <cell r="I169">
            <v>20201</v>
          </cell>
        </row>
        <row r="170">
          <cell r="A170" t="str">
            <v>F1B008085</v>
          </cell>
          <cell r="B170" t="str">
            <v>I Dewa Made Dwi Arsa</v>
          </cell>
          <cell r="C170">
            <v>20171</v>
          </cell>
          <cell r="D170">
            <v>0</v>
          </cell>
          <cell r="E170">
            <v>0</v>
          </cell>
          <cell r="F170">
            <v>113</v>
          </cell>
          <cell r="G170">
            <v>2.49</v>
          </cell>
          <cell r="H170" t="str">
            <v>A</v>
          </cell>
          <cell r="I170">
            <v>20201</v>
          </cell>
        </row>
        <row r="171">
          <cell r="A171" t="str">
            <v>F1B008086</v>
          </cell>
          <cell r="B171" t="str">
            <v>Adi Imam Supriadi</v>
          </cell>
          <cell r="C171">
            <v>20171</v>
          </cell>
          <cell r="D171">
            <v>0</v>
          </cell>
          <cell r="E171">
            <v>0</v>
          </cell>
          <cell r="F171">
            <v>75</v>
          </cell>
          <cell r="G171">
            <v>1.56</v>
          </cell>
          <cell r="H171" t="str">
            <v>A</v>
          </cell>
          <cell r="I171">
            <v>20201</v>
          </cell>
        </row>
        <row r="172">
          <cell r="A172" t="str">
            <v>F1B008087</v>
          </cell>
          <cell r="B172" t="str">
            <v>Adrian Azhari</v>
          </cell>
          <cell r="C172">
            <v>20171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 t="str">
            <v>A</v>
          </cell>
          <cell r="I172">
            <v>20201</v>
          </cell>
        </row>
        <row r="173">
          <cell r="A173" t="str">
            <v>F1B008088</v>
          </cell>
          <cell r="B173" t="str">
            <v>Muhammad Harun</v>
          </cell>
          <cell r="C173">
            <v>20171</v>
          </cell>
          <cell r="D173">
            <v>0</v>
          </cell>
          <cell r="E173">
            <v>0</v>
          </cell>
          <cell r="F173">
            <v>54</v>
          </cell>
          <cell r="G173">
            <v>0.88</v>
          </cell>
          <cell r="H173" t="str">
            <v>A</v>
          </cell>
          <cell r="I173">
            <v>20201</v>
          </cell>
        </row>
        <row r="174">
          <cell r="A174" t="str">
            <v>F1B009001</v>
          </cell>
          <cell r="B174" t="str">
            <v>M. Izzudin Fikrie</v>
          </cell>
          <cell r="C174">
            <v>20171</v>
          </cell>
          <cell r="D174">
            <v>0</v>
          </cell>
          <cell r="E174">
            <v>0</v>
          </cell>
          <cell r="F174">
            <v>130</v>
          </cell>
          <cell r="G174">
            <v>2.85</v>
          </cell>
          <cell r="H174" t="str">
            <v>A</v>
          </cell>
          <cell r="I174">
            <v>20201</v>
          </cell>
        </row>
        <row r="175">
          <cell r="A175" t="str">
            <v>F1B009002</v>
          </cell>
          <cell r="B175" t="str">
            <v>Lenny Apriliyana</v>
          </cell>
          <cell r="C175">
            <v>20171</v>
          </cell>
          <cell r="D175">
            <v>0</v>
          </cell>
          <cell r="E175">
            <v>0</v>
          </cell>
          <cell r="F175">
            <v>20</v>
          </cell>
          <cell r="G175">
            <v>0</v>
          </cell>
          <cell r="H175" t="str">
            <v>A</v>
          </cell>
          <cell r="I175">
            <v>20201</v>
          </cell>
        </row>
        <row r="176">
          <cell r="A176" t="str">
            <v>F1B009003</v>
          </cell>
          <cell r="B176" t="str">
            <v>Budi Pratama Putra</v>
          </cell>
          <cell r="C176">
            <v>20171</v>
          </cell>
          <cell r="D176">
            <v>0</v>
          </cell>
          <cell r="E176">
            <v>0</v>
          </cell>
          <cell r="F176">
            <v>128</v>
          </cell>
          <cell r="G176">
            <v>2.82</v>
          </cell>
          <cell r="H176" t="str">
            <v>A</v>
          </cell>
          <cell r="I176">
            <v>20201</v>
          </cell>
        </row>
        <row r="177">
          <cell r="A177" t="str">
            <v>F1B009004</v>
          </cell>
          <cell r="B177" t="str">
            <v>Hesti Pramurti</v>
          </cell>
          <cell r="C177">
            <v>20171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 t="str">
            <v>A</v>
          </cell>
          <cell r="I177">
            <v>20201</v>
          </cell>
        </row>
        <row r="178">
          <cell r="A178" t="str">
            <v>F1B009005</v>
          </cell>
          <cell r="B178" t="str">
            <v>Lalu Rio Anggita Prastya</v>
          </cell>
          <cell r="C178">
            <v>20171</v>
          </cell>
          <cell r="D178">
            <v>0</v>
          </cell>
          <cell r="E178">
            <v>0</v>
          </cell>
          <cell r="F178">
            <v>127</v>
          </cell>
          <cell r="G178">
            <v>2.76</v>
          </cell>
          <cell r="H178" t="str">
            <v>A</v>
          </cell>
          <cell r="I178">
            <v>20201</v>
          </cell>
        </row>
        <row r="179">
          <cell r="A179" t="str">
            <v>F1B009006</v>
          </cell>
          <cell r="B179" t="str">
            <v>Siryantini Nurul Adnin</v>
          </cell>
          <cell r="C179">
            <v>20171</v>
          </cell>
          <cell r="D179">
            <v>0</v>
          </cell>
          <cell r="E179">
            <v>0</v>
          </cell>
          <cell r="F179">
            <v>128</v>
          </cell>
          <cell r="G179">
            <v>2.92</v>
          </cell>
          <cell r="H179" t="str">
            <v>A</v>
          </cell>
          <cell r="I179">
            <v>20201</v>
          </cell>
        </row>
        <row r="180">
          <cell r="A180" t="str">
            <v>F1B009007</v>
          </cell>
          <cell r="B180" t="str">
            <v>Tina Dwi Jayanti</v>
          </cell>
          <cell r="C180">
            <v>20171</v>
          </cell>
          <cell r="D180">
            <v>0</v>
          </cell>
          <cell r="E180">
            <v>0</v>
          </cell>
          <cell r="F180">
            <v>125</v>
          </cell>
          <cell r="G180">
            <v>2.93</v>
          </cell>
          <cell r="H180" t="str">
            <v>A</v>
          </cell>
          <cell r="I180">
            <v>20201</v>
          </cell>
        </row>
        <row r="181">
          <cell r="A181" t="str">
            <v>F1B009008</v>
          </cell>
          <cell r="B181" t="str">
            <v>Agus Salim</v>
          </cell>
          <cell r="C181">
            <v>20171</v>
          </cell>
          <cell r="D181">
            <v>0</v>
          </cell>
          <cell r="E181">
            <v>0</v>
          </cell>
          <cell r="F181">
            <v>120</v>
          </cell>
          <cell r="G181">
            <v>2.84</v>
          </cell>
          <cell r="H181" t="str">
            <v>A</v>
          </cell>
          <cell r="I181">
            <v>20201</v>
          </cell>
        </row>
        <row r="182">
          <cell r="A182" t="str">
            <v>F1B009009</v>
          </cell>
          <cell r="B182" t="str">
            <v>Wildan Faisal Harhara</v>
          </cell>
          <cell r="C182">
            <v>20171</v>
          </cell>
          <cell r="D182">
            <v>0</v>
          </cell>
          <cell r="E182">
            <v>0</v>
          </cell>
          <cell r="F182">
            <v>114</v>
          </cell>
          <cell r="G182">
            <v>3.11</v>
          </cell>
          <cell r="H182" t="str">
            <v>A</v>
          </cell>
          <cell r="I182">
            <v>20201</v>
          </cell>
        </row>
        <row r="183">
          <cell r="A183" t="str">
            <v>F1B009010</v>
          </cell>
          <cell r="B183" t="str">
            <v>Farida Nur Trisa Agustin</v>
          </cell>
          <cell r="C183">
            <v>20171</v>
          </cell>
          <cell r="D183">
            <v>0</v>
          </cell>
          <cell r="E183">
            <v>0</v>
          </cell>
          <cell r="F183">
            <v>117</v>
          </cell>
          <cell r="G183">
            <v>3.26</v>
          </cell>
          <cell r="H183" t="str">
            <v>A</v>
          </cell>
          <cell r="I183">
            <v>20201</v>
          </cell>
        </row>
        <row r="184">
          <cell r="A184" t="str">
            <v>F1B009011</v>
          </cell>
          <cell r="B184" t="str">
            <v>M. ahman Iawan H</v>
          </cell>
          <cell r="C184">
            <v>20171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 t="str">
            <v>A</v>
          </cell>
          <cell r="I184">
            <v>20201</v>
          </cell>
        </row>
        <row r="185">
          <cell r="A185" t="str">
            <v>F1B009012</v>
          </cell>
          <cell r="B185" t="str">
            <v>Ni Putu Yuniantari</v>
          </cell>
          <cell r="C185">
            <v>20171</v>
          </cell>
          <cell r="D185">
            <v>0</v>
          </cell>
          <cell r="E185">
            <v>0</v>
          </cell>
          <cell r="F185">
            <v>113</v>
          </cell>
          <cell r="G185">
            <v>2.85</v>
          </cell>
          <cell r="H185" t="str">
            <v>A</v>
          </cell>
          <cell r="I185">
            <v>20201</v>
          </cell>
        </row>
        <row r="186">
          <cell r="A186" t="str">
            <v>F1B009013</v>
          </cell>
          <cell r="B186" t="str">
            <v>M.Syahrul Ramadhan</v>
          </cell>
          <cell r="C186">
            <v>20171</v>
          </cell>
          <cell r="D186">
            <v>0</v>
          </cell>
          <cell r="E186">
            <v>0</v>
          </cell>
          <cell r="F186">
            <v>126</v>
          </cell>
          <cell r="G186">
            <v>2.6</v>
          </cell>
          <cell r="H186" t="str">
            <v>A</v>
          </cell>
          <cell r="I186">
            <v>20201</v>
          </cell>
        </row>
        <row r="187">
          <cell r="A187" t="str">
            <v>F1B009014</v>
          </cell>
          <cell r="B187" t="str">
            <v>Syawaluddin Kamali</v>
          </cell>
          <cell r="C187">
            <v>20171</v>
          </cell>
          <cell r="D187">
            <v>0</v>
          </cell>
          <cell r="E187">
            <v>0</v>
          </cell>
          <cell r="F187">
            <v>140</v>
          </cell>
          <cell r="G187">
            <v>2.64</v>
          </cell>
          <cell r="H187" t="str">
            <v>A</v>
          </cell>
          <cell r="I187">
            <v>20201</v>
          </cell>
        </row>
        <row r="188">
          <cell r="A188" t="str">
            <v>F1B009015</v>
          </cell>
          <cell r="B188" t="str">
            <v>Mahzan Yadi</v>
          </cell>
          <cell r="C188">
            <v>20171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 t="str">
            <v>A</v>
          </cell>
          <cell r="I188">
            <v>20201</v>
          </cell>
        </row>
        <row r="189">
          <cell r="A189" t="str">
            <v>F1B009016</v>
          </cell>
          <cell r="B189" t="str">
            <v>Al Gumara</v>
          </cell>
          <cell r="C189">
            <v>20171</v>
          </cell>
          <cell r="D189">
            <v>0</v>
          </cell>
          <cell r="E189">
            <v>0</v>
          </cell>
          <cell r="F189">
            <v>127</v>
          </cell>
          <cell r="G189">
            <v>2.21</v>
          </cell>
          <cell r="H189" t="str">
            <v>A</v>
          </cell>
          <cell r="I189">
            <v>20201</v>
          </cell>
        </row>
        <row r="190">
          <cell r="A190" t="str">
            <v>F1B009017</v>
          </cell>
          <cell r="B190" t="str">
            <v>Septa Prasetyo Yudono</v>
          </cell>
          <cell r="C190">
            <v>20171</v>
          </cell>
          <cell r="D190">
            <v>0</v>
          </cell>
          <cell r="E190">
            <v>0</v>
          </cell>
          <cell r="F190">
            <v>129</v>
          </cell>
          <cell r="G190">
            <v>2.95</v>
          </cell>
          <cell r="H190" t="str">
            <v>A</v>
          </cell>
          <cell r="I190">
            <v>20201</v>
          </cell>
        </row>
        <row r="191">
          <cell r="A191" t="str">
            <v>F1B009018</v>
          </cell>
          <cell r="B191" t="str">
            <v>Rina Prihaty Oktaviana</v>
          </cell>
          <cell r="C191">
            <v>20171</v>
          </cell>
          <cell r="D191">
            <v>0</v>
          </cell>
          <cell r="E191">
            <v>0</v>
          </cell>
          <cell r="F191">
            <v>119</v>
          </cell>
          <cell r="G191">
            <v>2.99</v>
          </cell>
          <cell r="H191" t="str">
            <v>A</v>
          </cell>
          <cell r="I191">
            <v>20201</v>
          </cell>
        </row>
        <row r="192">
          <cell r="A192" t="str">
            <v>F1B009019</v>
          </cell>
          <cell r="B192" t="str">
            <v>Ida Ayu Mas Candra Dewi</v>
          </cell>
          <cell r="C192">
            <v>20171</v>
          </cell>
          <cell r="D192">
            <v>0</v>
          </cell>
          <cell r="E192">
            <v>0</v>
          </cell>
          <cell r="F192">
            <v>113</v>
          </cell>
          <cell r="G192">
            <v>3.04</v>
          </cell>
          <cell r="H192" t="str">
            <v>A</v>
          </cell>
          <cell r="I192">
            <v>20201</v>
          </cell>
        </row>
        <row r="193">
          <cell r="A193" t="str">
            <v>F1B009020</v>
          </cell>
          <cell r="B193" t="str">
            <v>Doddy Banyu Urip</v>
          </cell>
          <cell r="C193">
            <v>20171</v>
          </cell>
          <cell r="D193">
            <v>0</v>
          </cell>
          <cell r="E193">
            <v>0</v>
          </cell>
          <cell r="F193">
            <v>126</v>
          </cell>
          <cell r="G193">
            <v>2.97</v>
          </cell>
          <cell r="H193" t="str">
            <v>A</v>
          </cell>
          <cell r="I193">
            <v>20201</v>
          </cell>
        </row>
        <row r="194">
          <cell r="A194" t="str">
            <v>F1B009021</v>
          </cell>
          <cell r="B194" t="str">
            <v>Nugroho Sujatmiko</v>
          </cell>
          <cell r="C194">
            <v>20171</v>
          </cell>
          <cell r="D194">
            <v>0</v>
          </cell>
          <cell r="E194">
            <v>0</v>
          </cell>
          <cell r="F194">
            <v>132</v>
          </cell>
          <cell r="G194">
            <v>2.64</v>
          </cell>
          <cell r="H194" t="str">
            <v>A</v>
          </cell>
          <cell r="I194">
            <v>20201</v>
          </cell>
        </row>
        <row r="195">
          <cell r="A195" t="str">
            <v>F1B009022</v>
          </cell>
          <cell r="B195" t="str">
            <v>Hermawan</v>
          </cell>
          <cell r="C195">
            <v>20171</v>
          </cell>
          <cell r="D195">
            <v>0</v>
          </cell>
          <cell r="E195">
            <v>0</v>
          </cell>
          <cell r="F195">
            <v>70</v>
          </cell>
          <cell r="G195">
            <v>2.04</v>
          </cell>
          <cell r="H195" t="str">
            <v>A</v>
          </cell>
          <cell r="I195">
            <v>20201</v>
          </cell>
        </row>
        <row r="196">
          <cell r="A196" t="str">
            <v>F1B009023</v>
          </cell>
          <cell r="B196" t="str">
            <v>Danang Januar Dani</v>
          </cell>
          <cell r="C196">
            <v>20171</v>
          </cell>
          <cell r="D196">
            <v>0</v>
          </cell>
          <cell r="E196">
            <v>0</v>
          </cell>
          <cell r="F196">
            <v>150</v>
          </cell>
          <cell r="G196">
            <v>2.2</v>
          </cell>
          <cell r="H196" t="str">
            <v>A</v>
          </cell>
          <cell r="I196">
            <v>20201</v>
          </cell>
        </row>
        <row r="197">
          <cell r="A197" t="str">
            <v>F1B009024</v>
          </cell>
          <cell r="B197" t="str">
            <v>Yudi Hapizi</v>
          </cell>
          <cell r="C197">
            <v>20171</v>
          </cell>
          <cell r="D197">
            <v>0</v>
          </cell>
          <cell r="E197">
            <v>0</v>
          </cell>
          <cell r="F197">
            <v>130</v>
          </cell>
          <cell r="G197">
            <v>2.58</v>
          </cell>
          <cell r="H197" t="str">
            <v>A</v>
          </cell>
          <cell r="I197">
            <v>20201</v>
          </cell>
        </row>
        <row r="198">
          <cell r="A198" t="str">
            <v>F1B009025</v>
          </cell>
          <cell r="B198" t="str">
            <v>Mizan Saarani</v>
          </cell>
          <cell r="C198">
            <v>20171</v>
          </cell>
          <cell r="D198">
            <v>0</v>
          </cell>
          <cell r="E198">
            <v>0</v>
          </cell>
          <cell r="F198">
            <v>69</v>
          </cell>
          <cell r="G198">
            <v>1.1</v>
          </cell>
          <cell r="H198" t="str">
            <v>A</v>
          </cell>
          <cell r="I198">
            <v>20201</v>
          </cell>
        </row>
        <row r="199">
          <cell r="A199" t="str">
            <v>F1B009026</v>
          </cell>
          <cell r="B199" t="str">
            <v>Alfian Nurhadi</v>
          </cell>
          <cell r="C199">
            <v>20171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 t="str">
            <v>A</v>
          </cell>
          <cell r="I199">
            <v>20201</v>
          </cell>
        </row>
        <row r="200">
          <cell r="A200" t="str">
            <v>F1B009027</v>
          </cell>
          <cell r="B200" t="str">
            <v>Indra Sasmita</v>
          </cell>
          <cell r="C200">
            <v>20171</v>
          </cell>
          <cell r="D200">
            <v>0</v>
          </cell>
          <cell r="E200">
            <v>0</v>
          </cell>
          <cell r="F200">
            <v>108</v>
          </cell>
          <cell r="G200">
            <v>3.36</v>
          </cell>
          <cell r="H200" t="str">
            <v>A</v>
          </cell>
          <cell r="I200">
            <v>20201</v>
          </cell>
        </row>
        <row r="201">
          <cell r="A201" t="str">
            <v>F1B009028</v>
          </cell>
          <cell r="B201" t="str">
            <v>I Gede Arya Wibawa</v>
          </cell>
          <cell r="C201">
            <v>20171</v>
          </cell>
          <cell r="D201">
            <v>0</v>
          </cell>
          <cell r="E201">
            <v>0</v>
          </cell>
          <cell r="F201">
            <v>20</v>
          </cell>
          <cell r="G201">
            <v>0.1</v>
          </cell>
          <cell r="H201" t="str">
            <v>A</v>
          </cell>
          <cell r="I201">
            <v>20201</v>
          </cell>
        </row>
        <row r="202">
          <cell r="A202" t="str">
            <v>F1B009029</v>
          </cell>
          <cell r="B202" t="str">
            <v>I H S A N</v>
          </cell>
          <cell r="C202">
            <v>20171</v>
          </cell>
          <cell r="D202">
            <v>0</v>
          </cell>
          <cell r="E202">
            <v>0</v>
          </cell>
          <cell r="F202">
            <v>26</v>
          </cell>
          <cell r="G202">
            <v>0.73</v>
          </cell>
          <cell r="H202" t="str">
            <v>A</v>
          </cell>
          <cell r="I202">
            <v>20201</v>
          </cell>
        </row>
        <row r="203">
          <cell r="A203" t="str">
            <v>F1B009030</v>
          </cell>
          <cell r="B203" t="str">
            <v>Najmul Ahyar</v>
          </cell>
          <cell r="C203">
            <v>20171</v>
          </cell>
          <cell r="D203">
            <v>0</v>
          </cell>
          <cell r="E203">
            <v>0</v>
          </cell>
          <cell r="F203">
            <v>71</v>
          </cell>
          <cell r="G203">
            <v>0.91</v>
          </cell>
          <cell r="H203" t="str">
            <v>A</v>
          </cell>
          <cell r="I203">
            <v>20201</v>
          </cell>
        </row>
        <row r="204">
          <cell r="A204" t="str">
            <v>F1B009031</v>
          </cell>
          <cell r="B204" t="str">
            <v>Rizki Ardiansyah</v>
          </cell>
          <cell r="C204">
            <v>20171</v>
          </cell>
          <cell r="D204">
            <v>0</v>
          </cell>
          <cell r="E204">
            <v>0</v>
          </cell>
          <cell r="F204">
            <v>116</v>
          </cell>
          <cell r="G204">
            <v>3.23</v>
          </cell>
          <cell r="H204" t="str">
            <v>A</v>
          </cell>
          <cell r="I204">
            <v>20201</v>
          </cell>
        </row>
        <row r="205">
          <cell r="A205" t="str">
            <v>F1B009032</v>
          </cell>
          <cell r="B205" t="str">
            <v>Baiq Sekar Kedaton</v>
          </cell>
          <cell r="C205">
            <v>20171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 t="str">
            <v>A</v>
          </cell>
          <cell r="I205">
            <v>20201</v>
          </cell>
        </row>
        <row r="206">
          <cell r="A206" t="str">
            <v>F1B009033</v>
          </cell>
          <cell r="B206" t="str">
            <v>M. Ikhrom Catur</v>
          </cell>
          <cell r="C206">
            <v>20171</v>
          </cell>
          <cell r="D206">
            <v>0</v>
          </cell>
          <cell r="E206">
            <v>0</v>
          </cell>
          <cell r="F206">
            <v>18</v>
          </cell>
          <cell r="G206">
            <v>0</v>
          </cell>
          <cell r="H206" t="str">
            <v>A</v>
          </cell>
          <cell r="I206">
            <v>20201</v>
          </cell>
        </row>
        <row r="207">
          <cell r="A207" t="str">
            <v>F1B009034</v>
          </cell>
          <cell r="B207" t="str">
            <v>Putra Agung Pratama</v>
          </cell>
          <cell r="C207">
            <v>20171</v>
          </cell>
          <cell r="D207">
            <v>0</v>
          </cell>
          <cell r="E207">
            <v>0</v>
          </cell>
          <cell r="F207">
            <v>11</v>
          </cell>
          <cell r="G207">
            <v>0.27</v>
          </cell>
          <cell r="H207" t="str">
            <v>A</v>
          </cell>
          <cell r="I207">
            <v>20201</v>
          </cell>
        </row>
        <row r="208">
          <cell r="A208" t="str">
            <v>F1B009035</v>
          </cell>
          <cell r="B208" t="str">
            <v>Saddam Husein</v>
          </cell>
          <cell r="C208">
            <v>20171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 t="str">
            <v>A</v>
          </cell>
          <cell r="I208">
            <v>20201</v>
          </cell>
        </row>
        <row r="209">
          <cell r="A209" t="str">
            <v>F1B009036</v>
          </cell>
          <cell r="B209" t="str">
            <v>Fathur Rahman</v>
          </cell>
          <cell r="C209">
            <v>20171</v>
          </cell>
          <cell r="D209">
            <v>0</v>
          </cell>
          <cell r="E209">
            <v>0</v>
          </cell>
          <cell r="F209">
            <v>129</v>
          </cell>
          <cell r="G209">
            <v>3</v>
          </cell>
          <cell r="H209" t="str">
            <v>A</v>
          </cell>
          <cell r="I209">
            <v>20201</v>
          </cell>
        </row>
        <row r="210">
          <cell r="A210" t="str">
            <v>F1B009037</v>
          </cell>
          <cell r="B210" t="str">
            <v>Siti Nurmutmainnah</v>
          </cell>
          <cell r="C210">
            <v>20171</v>
          </cell>
          <cell r="D210">
            <v>0</v>
          </cell>
          <cell r="E210">
            <v>0</v>
          </cell>
          <cell r="F210">
            <v>114</v>
          </cell>
          <cell r="G210">
            <v>3.57</v>
          </cell>
          <cell r="H210" t="str">
            <v>A</v>
          </cell>
          <cell r="I210">
            <v>20201</v>
          </cell>
        </row>
        <row r="211">
          <cell r="A211" t="str">
            <v>F1B009038</v>
          </cell>
          <cell r="B211" t="str">
            <v>A.A Istri Oka Widya Lestari</v>
          </cell>
          <cell r="C211">
            <v>20171</v>
          </cell>
          <cell r="D211">
            <v>0</v>
          </cell>
          <cell r="E211">
            <v>0</v>
          </cell>
          <cell r="F211">
            <v>129</v>
          </cell>
          <cell r="G211">
            <v>2.96</v>
          </cell>
          <cell r="H211" t="str">
            <v>A</v>
          </cell>
          <cell r="I211">
            <v>20201</v>
          </cell>
        </row>
        <row r="212">
          <cell r="A212" t="str">
            <v>F1B009039</v>
          </cell>
          <cell r="B212" t="str">
            <v>Helmi Baskara</v>
          </cell>
          <cell r="C212">
            <v>20171</v>
          </cell>
          <cell r="D212">
            <v>0</v>
          </cell>
          <cell r="E212">
            <v>0</v>
          </cell>
          <cell r="F212">
            <v>132</v>
          </cell>
          <cell r="G212">
            <v>2.54</v>
          </cell>
          <cell r="H212" t="str">
            <v>A</v>
          </cell>
          <cell r="I212">
            <v>20201</v>
          </cell>
        </row>
        <row r="213">
          <cell r="A213" t="str">
            <v>F1B009040</v>
          </cell>
          <cell r="B213" t="str">
            <v>Muhammad Haris</v>
          </cell>
          <cell r="C213">
            <v>20171</v>
          </cell>
          <cell r="D213">
            <v>0</v>
          </cell>
          <cell r="E213">
            <v>0</v>
          </cell>
          <cell r="F213">
            <v>126</v>
          </cell>
          <cell r="G213">
            <v>2.91</v>
          </cell>
          <cell r="H213" t="str">
            <v>A</v>
          </cell>
          <cell r="I213">
            <v>20201</v>
          </cell>
        </row>
        <row r="214">
          <cell r="A214" t="str">
            <v>F1B009041</v>
          </cell>
          <cell r="B214" t="str">
            <v>Lalu Hardiawan</v>
          </cell>
          <cell r="C214">
            <v>20171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 t="str">
            <v>A</v>
          </cell>
          <cell r="I214">
            <v>20201</v>
          </cell>
        </row>
        <row r="215">
          <cell r="A215" t="str">
            <v>F1B009042</v>
          </cell>
          <cell r="B215" t="str">
            <v>Yulia Prayanti</v>
          </cell>
          <cell r="C215">
            <v>20171</v>
          </cell>
          <cell r="D215">
            <v>0</v>
          </cell>
          <cell r="E215">
            <v>0</v>
          </cell>
          <cell r="F215">
            <v>116</v>
          </cell>
          <cell r="G215">
            <v>3.11</v>
          </cell>
          <cell r="H215" t="str">
            <v>A</v>
          </cell>
          <cell r="I215">
            <v>20201</v>
          </cell>
        </row>
        <row r="216">
          <cell r="A216" t="str">
            <v>F1B009043</v>
          </cell>
          <cell r="B216" t="str">
            <v>M.Sofian Sahuri</v>
          </cell>
          <cell r="C216">
            <v>20171</v>
          </cell>
          <cell r="D216">
            <v>4</v>
          </cell>
          <cell r="E216">
            <v>3.5</v>
          </cell>
          <cell r="F216">
            <v>131</v>
          </cell>
          <cell r="G216">
            <v>2.26</v>
          </cell>
          <cell r="H216" t="str">
            <v>A</v>
          </cell>
          <cell r="I216">
            <v>20201</v>
          </cell>
        </row>
        <row r="217">
          <cell r="A217" t="str">
            <v>F1B009044</v>
          </cell>
          <cell r="B217" t="str">
            <v>Muzakir Husaen</v>
          </cell>
          <cell r="C217">
            <v>20171</v>
          </cell>
          <cell r="D217">
            <v>0</v>
          </cell>
          <cell r="E217">
            <v>0</v>
          </cell>
          <cell r="F217">
            <v>68</v>
          </cell>
          <cell r="G217">
            <v>1.71</v>
          </cell>
          <cell r="H217" t="str">
            <v>A</v>
          </cell>
          <cell r="I217">
            <v>20201</v>
          </cell>
        </row>
        <row r="218">
          <cell r="A218" t="str">
            <v>F1B009045</v>
          </cell>
          <cell r="B218" t="str">
            <v>A.M Bayhaqi Usman</v>
          </cell>
          <cell r="C218">
            <v>20171</v>
          </cell>
          <cell r="D218">
            <v>0</v>
          </cell>
          <cell r="E218">
            <v>0</v>
          </cell>
          <cell r="F218">
            <v>108</v>
          </cell>
          <cell r="G218">
            <v>3.6</v>
          </cell>
          <cell r="H218" t="str">
            <v>A</v>
          </cell>
          <cell r="I218">
            <v>20201</v>
          </cell>
        </row>
        <row r="219">
          <cell r="A219" t="str">
            <v>F1B009046</v>
          </cell>
          <cell r="B219" t="str">
            <v>Moh. Zuhrol Fata</v>
          </cell>
          <cell r="C219">
            <v>20171</v>
          </cell>
          <cell r="D219">
            <v>0</v>
          </cell>
          <cell r="E219">
            <v>0</v>
          </cell>
          <cell r="F219">
            <v>14</v>
          </cell>
          <cell r="G219">
            <v>0</v>
          </cell>
          <cell r="H219" t="str">
            <v>A</v>
          </cell>
          <cell r="I219">
            <v>20201</v>
          </cell>
        </row>
        <row r="220">
          <cell r="A220" t="str">
            <v>F1B009047</v>
          </cell>
          <cell r="B220" t="str">
            <v>I Komang Tri Yulianto S</v>
          </cell>
          <cell r="C220">
            <v>20171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 t="str">
            <v>A</v>
          </cell>
          <cell r="I220">
            <v>20201</v>
          </cell>
        </row>
        <row r="221">
          <cell r="A221" t="str">
            <v>F1B009048</v>
          </cell>
          <cell r="B221" t="str">
            <v>Abdurrahman</v>
          </cell>
          <cell r="C221">
            <v>20171</v>
          </cell>
          <cell r="D221">
            <v>0</v>
          </cell>
          <cell r="E221">
            <v>0</v>
          </cell>
          <cell r="F221">
            <v>11</v>
          </cell>
          <cell r="G221">
            <v>0.91</v>
          </cell>
          <cell r="H221" t="str">
            <v>A</v>
          </cell>
          <cell r="I221">
            <v>20201</v>
          </cell>
        </row>
        <row r="222">
          <cell r="A222" t="str">
            <v>F1B009049</v>
          </cell>
          <cell r="B222" t="str">
            <v>Reni Puspita Sari</v>
          </cell>
          <cell r="C222">
            <v>20171</v>
          </cell>
          <cell r="D222">
            <v>0</v>
          </cell>
          <cell r="E222">
            <v>0</v>
          </cell>
          <cell r="F222">
            <v>114</v>
          </cell>
          <cell r="G222">
            <v>3.33</v>
          </cell>
          <cell r="H222" t="str">
            <v>A</v>
          </cell>
          <cell r="I222">
            <v>20201</v>
          </cell>
        </row>
        <row r="223">
          <cell r="A223" t="str">
            <v>F1B009050</v>
          </cell>
          <cell r="B223" t="str">
            <v>Marsoni</v>
          </cell>
          <cell r="C223">
            <v>20171</v>
          </cell>
          <cell r="D223">
            <v>0</v>
          </cell>
          <cell r="E223">
            <v>0</v>
          </cell>
          <cell r="F223">
            <v>126</v>
          </cell>
          <cell r="G223">
            <v>2.66</v>
          </cell>
          <cell r="H223" t="str">
            <v>A</v>
          </cell>
          <cell r="I223">
            <v>20201</v>
          </cell>
        </row>
        <row r="224">
          <cell r="A224" t="str">
            <v>F1B009051</v>
          </cell>
          <cell r="B224" t="str">
            <v>Fathul Jihad</v>
          </cell>
          <cell r="C224">
            <v>20171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 t="str">
            <v>A</v>
          </cell>
          <cell r="I224">
            <v>20201</v>
          </cell>
        </row>
        <row r="225">
          <cell r="A225" t="str">
            <v>F1B009052</v>
          </cell>
          <cell r="B225" t="str">
            <v>Rio Hariyoso Mida Hermawan</v>
          </cell>
          <cell r="C225">
            <v>20171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 t="str">
            <v>A</v>
          </cell>
          <cell r="I225">
            <v>20201</v>
          </cell>
        </row>
        <row r="226">
          <cell r="A226" t="str">
            <v>F1B009053</v>
          </cell>
          <cell r="B226" t="str">
            <v>Nune hasan Ismail</v>
          </cell>
          <cell r="C226">
            <v>20171</v>
          </cell>
          <cell r="D226">
            <v>0</v>
          </cell>
          <cell r="E226">
            <v>0</v>
          </cell>
          <cell r="F226">
            <v>124</v>
          </cell>
          <cell r="G226">
            <v>2.75</v>
          </cell>
          <cell r="H226" t="str">
            <v>A</v>
          </cell>
          <cell r="I226">
            <v>20201</v>
          </cell>
        </row>
        <row r="227">
          <cell r="A227" t="str">
            <v>F1B009054</v>
          </cell>
          <cell r="B227" t="str">
            <v>M. Rofik Aditya</v>
          </cell>
          <cell r="C227">
            <v>20171</v>
          </cell>
          <cell r="D227">
            <v>0</v>
          </cell>
          <cell r="E227">
            <v>0</v>
          </cell>
          <cell r="F227">
            <v>23</v>
          </cell>
          <cell r="G227">
            <v>0.39</v>
          </cell>
          <cell r="H227" t="str">
            <v>A</v>
          </cell>
          <cell r="I227">
            <v>20201</v>
          </cell>
        </row>
        <row r="228">
          <cell r="A228" t="str">
            <v>F1B009055</v>
          </cell>
          <cell r="B228" t="str">
            <v>Riyan Wicaksono</v>
          </cell>
          <cell r="C228">
            <v>20171</v>
          </cell>
          <cell r="D228">
            <v>0</v>
          </cell>
          <cell r="E228">
            <v>0</v>
          </cell>
          <cell r="F228">
            <v>109</v>
          </cell>
          <cell r="G228">
            <v>2.99</v>
          </cell>
          <cell r="H228" t="str">
            <v>A</v>
          </cell>
          <cell r="I228">
            <v>20201</v>
          </cell>
        </row>
        <row r="229">
          <cell r="A229" t="str">
            <v>F1B009056</v>
          </cell>
          <cell r="B229" t="str">
            <v>Munawar Khalil</v>
          </cell>
          <cell r="C229">
            <v>20171</v>
          </cell>
          <cell r="D229">
            <v>0</v>
          </cell>
          <cell r="E229">
            <v>0</v>
          </cell>
          <cell r="F229">
            <v>119</v>
          </cell>
          <cell r="G229">
            <v>2.87</v>
          </cell>
          <cell r="H229" t="str">
            <v>A</v>
          </cell>
          <cell r="I229">
            <v>20201</v>
          </cell>
        </row>
        <row r="230">
          <cell r="A230" t="str">
            <v>F1B009057</v>
          </cell>
          <cell r="B230" t="str">
            <v>Aziz Hari Priyono</v>
          </cell>
          <cell r="C230">
            <v>20171</v>
          </cell>
          <cell r="D230">
            <v>0</v>
          </cell>
          <cell r="E230">
            <v>0</v>
          </cell>
          <cell r="F230">
            <v>110</v>
          </cell>
          <cell r="G230">
            <v>3.33</v>
          </cell>
          <cell r="H230" t="str">
            <v>A</v>
          </cell>
          <cell r="I230">
            <v>20201</v>
          </cell>
        </row>
        <row r="231">
          <cell r="A231" t="str">
            <v>F1B009058</v>
          </cell>
          <cell r="B231" t="str">
            <v>Rahmat Herli Febriansyah</v>
          </cell>
          <cell r="C231">
            <v>20171</v>
          </cell>
          <cell r="D231">
            <v>0</v>
          </cell>
          <cell r="E231">
            <v>0</v>
          </cell>
          <cell r="F231">
            <v>52</v>
          </cell>
          <cell r="G231">
            <v>1.48</v>
          </cell>
          <cell r="H231" t="str">
            <v>A</v>
          </cell>
          <cell r="I231">
            <v>20201</v>
          </cell>
        </row>
        <row r="232">
          <cell r="A232" t="str">
            <v>F1B009059</v>
          </cell>
          <cell r="B232" t="str">
            <v>Muhammad Rizki Fauzi</v>
          </cell>
          <cell r="C232">
            <v>20171</v>
          </cell>
          <cell r="D232">
            <v>9</v>
          </cell>
          <cell r="E232">
            <v>1.78</v>
          </cell>
          <cell r="F232">
            <v>185</v>
          </cell>
          <cell r="G232">
            <v>1.87</v>
          </cell>
          <cell r="H232" t="str">
            <v>A</v>
          </cell>
          <cell r="I232">
            <v>20201</v>
          </cell>
        </row>
        <row r="233">
          <cell r="A233" t="str">
            <v>F1B009060</v>
          </cell>
          <cell r="B233" t="str">
            <v>L. Arief Rahman Hakim</v>
          </cell>
          <cell r="C233">
            <v>20171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 t="str">
            <v>A</v>
          </cell>
          <cell r="I233">
            <v>20201</v>
          </cell>
        </row>
        <row r="234">
          <cell r="A234" t="str">
            <v>F1B009061</v>
          </cell>
          <cell r="B234" t="str">
            <v>Erick Brahmadi MBA SH PN</v>
          </cell>
          <cell r="C234">
            <v>20171</v>
          </cell>
          <cell r="D234">
            <v>0</v>
          </cell>
          <cell r="E234">
            <v>0</v>
          </cell>
          <cell r="F234">
            <v>122</v>
          </cell>
          <cell r="G234">
            <v>2.96</v>
          </cell>
          <cell r="H234" t="str">
            <v>A</v>
          </cell>
          <cell r="I234">
            <v>20201</v>
          </cell>
        </row>
        <row r="235">
          <cell r="A235" t="str">
            <v>F1B009062</v>
          </cell>
          <cell r="B235" t="str">
            <v>L. Jerry Navaro</v>
          </cell>
          <cell r="C235">
            <v>20171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 t="str">
            <v>A</v>
          </cell>
          <cell r="I235">
            <v>20201</v>
          </cell>
        </row>
        <row r="236">
          <cell r="A236" t="str">
            <v>F1B009063</v>
          </cell>
          <cell r="B236" t="str">
            <v>Bisma Bagus Pamungkas</v>
          </cell>
          <cell r="C236">
            <v>20171</v>
          </cell>
          <cell r="D236">
            <v>0</v>
          </cell>
          <cell r="E236">
            <v>0</v>
          </cell>
          <cell r="F236">
            <v>17</v>
          </cell>
          <cell r="G236">
            <v>1.03</v>
          </cell>
          <cell r="H236" t="str">
            <v>A</v>
          </cell>
          <cell r="I236">
            <v>20201</v>
          </cell>
        </row>
        <row r="237">
          <cell r="A237" t="str">
            <v>F1B009064</v>
          </cell>
          <cell r="B237" t="str">
            <v>Riski Rahman</v>
          </cell>
          <cell r="C237">
            <v>20171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 t="str">
            <v>A</v>
          </cell>
          <cell r="I237">
            <v>20201</v>
          </cell>
        </row>
        <row r="238">
          <cell r="A238" t="str">
            <v>F1B009065</v>
          </cell>
          <cell r="B238" t="str">
            <v>Imam Arief Putrajaya</v>
          </cell>
          <cell r="C238">
            <v>20171</v>
          </cell>
          <cell r="D238">
            <v>0</v>
          </cell>
          <cell r="E238">
            <v>0</v>
          </cell>
          <cell r="F238">
            <v>129</v>
          </cell>
          <cell r="G238">
            <v>3.35</v>
          </cell>
          <cell r="H238" t="str">
            <v>A</v>
          </cell>
          <cell r="I238">
            <v>20201</v>
          </cell>
        </row>
        <row r="239">
          <cell r="A239" t="str">
            <v>F1B009066</v>
          </cell>
          <cell r="B239" t="str">
            <v>Syatir</v>
          </cell>
          <cell r="C239">
            <v>20171</v>
          </cell>
          <cell r="D239">
            <v>0</v>
          </cell>
          <cell r="E239">
            <v>0</v>
          </cell>
          <cell r="F239">
            <v>130</v>
          </cell>
          <cell r="G239">
            <v>2.7</v>
          </cell>
          <cell r="H239" t="str">
            <v>A</v>
          </cell>
          <cell r="I239">
            <v>20201</v>
          </cell>
        </row>
        <row r="240">
          <cell r="A240" t="str">
            <v>F1B009067</v>
          </cell>
          <cell r="B240" t="str">
            <v>Baiq Nurjanah</v>
          </cell>
          <cell r="C240">
            <v>20171</v>
          </cell>
          <cell r="D240">
            <v>0</v>
          </cell>
          <cell r="E240">
            <v>0</v>
          </cell>
          <cell r="F240">
            <v>113</v>
          </cell>
          <cell r="G240">
            <v>2.82</v>
          </cell>
          <cell r="H240" t="str">
            <v>A</v>
          </cell>
          <cell r="I240">
            <v>20201</v>
          </cell>
        </row>
        <row r="241">
          <cell r="A241" t="str">
            <v>F1B009068</v>
          </cell>
          <cell r="B241" t="str">
            <v>Pandu Adhi Nugraha</v>
          </cell>
          <cell r="C241">
            <v>20171</v>
          </cell>
          <cell r="D241">
            <v>0</v>
          </cell>
          <cell r="E241">
            <v>0</v>
          </cell>
          <cell r="F241">
            <v>8</v>
          </cell>
          <cell r="G241">
            <v>1.25</v>
          </cell>
          <cell r="H241" t="str">
            <v>A</v>
          </cell>
          <cell r="I241">
            <v>20201</v>
          </cell>
        </row>
        <row r="242">
          <cell r="A242" t="str">
            <v>F1B009069</v>
          </cell>
          <cell r="B242" t="str">
            <v>Muhazin Uswandi</v>
          </cell>
          <cell r="C242">
            <v>20171</v>
          </cell>
          <cell r="D242">
            <v>0</v>
          </cell>
          <cell r="E242">
            <v>0</v>
          </cell>
          <cell r="F242">
            <v>126</v>
          </cell>
          <cell r="G242">
            <v>2.95</v>
          </cell>
          <cell r="H242" t="str">
            <v>A</v>
          </cell>
          <cell r="I242">
            <v>20201</v>
          </cell>
        </row>
        <row r="243">
          <cell r="A243" t="str">
            <v>F1B009070</v>
          </cell>
          <cell r="B243" t="str">
            <v>Multazamar Jan</v>
          </cell>
          <cell r="C243">
            <v>20171</v>
          </cell>
          <cell r="D243">
            <v>0</v>
          </cell>
          <cell r="E243">
            <v>0</v>
          </cell>
          <cell r="F243">
            <v>120</v>
          </cell>
          <cell r="G243">
            <v>2.83</v>
          </cell>
          <cell r="H243" t="str">
            <v>A</v>
          </cell>
          <cell r="I243">
            <v>20201</v>
          </cell>
        </row>
        <row r="244">
          <cell r="A244" t="str">
            <v>F1B009071</v>
          </cell>
          <cell r="B244" t="str">
            <v>Subhan Wadi</v>
          </cell>
          <cell r="C244">
            <v>20171</v>
          </cell>
          <cell r="D244">
            <v>0</v>
          </cell>
          <cell r="E244">
            <v>0</v>
          </cell>
          <cell r="F244">
            <v>106</v>
          </cell>
          <cell r="G244">
            <v>2.16</v>
          </cell>
          <cell r="H244" t="str">
            <v>A</v>
          </cell>
          <cell r="I244">
            <v>20201</v>
          </cell>
        </row>
        <row r="245">
          <cell r="A245" t="str">
            <v>F1B009072</v>
          </cell>
          <cell r="B245" t="str">
            <v>Eka Yuliana Andea Rosari</v>
          </cell>
          <cell r="C245">
            <v>20171</v>
          </cell>
          <cell r="D245">
            <v>0</v>
          </cell>
          <cell r="E245">
            <v>0</v>
          </cell>
          <cell r="F245">
            <v>18</v>
          </cell>
          <cell r="G245">
            <v>0</v>
          </cell>
          <cell r="H245" t="str">
            <v>A</v>
          </cell>
          <cell r="I245">
            <v>20201</v>
          </cell>
        </row>
        <row r="246">
          <cell r="A246" t="str">
            <v>F1B009073</v>
          </cell>
          <cell r="B246" t="str">
            <v>Hendri Purnomo</v>
          </cell>
          <cell r="C246">
            <v>20171</v>
          </cell>
          <cell r="D246">
            <v>0</v>
          </cell>
          <cell r="E246">
            <v>0</v>
          </cell>
          <cell r="F246">
            <v>126</v>
          </cell>
          <cell r="G246">
            <v>2.93</v>
          </cell>
          <cell r="H246" t="str">
            <v>A</v>
          </cell>
          <cell r="I246">
            <v>20201</v>
          </cell>
        </row>
        <row r="247">
          <cell r="A247" t="str">
            <v>F1B009074</v>
          </cell>
          <cell r="B247" t="str">
            <v>Munawir Gazali</v>
          </cell>
          <cell r="C247">
            <v>20171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 t="str">
            <v>A</v>
          </cell>
          <cell r="I247">
            <v>20201</v>
          </cell>
        </row>
        <row r="248">
          <cell r="A248" t="str">
            <v>F1B009075</v>
          </cell>
          <cell r="B248" t="str">
            <v>Fendy Pranatha</v>
          </cell>
          <cell r="C248">
            <v>20171</v>
          </cell>
          <cell r="D248">
            <v>0</v>
          </cell>
          <cell r="E248">
            <v>0</v>
          </cell>
          <cell r="F248">
            <v>103</v>
          </cell>
          <cell r="G248">
            <v>1.31</v>
          </cell>
          <cell r="H248" t="str">
            <v>A</v>
          </cell>
          <cell r="I248">
            <v>20201</v>
          </cell>
        </row>
        <row r="249">
          <cell r="A249" t="str">
            <v>F1B009076</v>
          </cell>
          <cell r="B249" t="str">
            <v>Fadli</v>
          </cell>
          <cell r="C249">
            <v>20171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 t="str">
            <v>A</v>
          </cell>
          <cell r="I249">
            <v>20201</v>
          </cell>
        </row>
        <row r="250">
          <cell r="A250" t="str">
            <v>F1B009077</v>
          </cell>
          <cell r="B250" t="str">
            <v>Almasita Anjaswari</v>
          </cell>
          <cell r="C250">
            <v>20171</v>
          </cell>
          <cell r="D250">
            <v>0</v>
          </cell>
          <cell r="E250">
            <v>0</v>
          </cell>
          <cell r="F250">
            <v>111</v>
          </cell>
          <cell r="G250">
            <v>3.41</v>
          </cell>
          <cell r="H250" t="str">
            <v>A</v>
          </cell>
          <cell r="I250">
            <v>20201</v>
          </cell>
        </row>
        <row r="251">
          <cell r="A251" t="str">
            <v>F1B009078</v>
          </cell>
          <cell r="B251" t="str">
            <v>I Nengah Sri Dana Merta</v>
          </cell>
          <cell r="C251">
            <v>20171</v>
          </cell>
          <cell r="D251">
            <v>0</v>
          </cell>
          <cell r="E251">
            <v>0</v>
          </cell>
          <cell r="F251">
            <v>125</v>
          </cell>
          <cell r="G251">
            <v>3.04</v>
          </cell>
          <cell r="H251" t="str">
            <v>A</v>
          </cell>
          <cell r="I251">
            <v>20201</v>
          </cell>
        </row>
        <row r="252">
          <cell r="A252" t="str">
            <v>F1B009079</v>
          </cell>
          <cell r="B252" t="str">
            <v>Farlin Andriawan</v>
          </cell>
          <cell r="C252">
            <v>20171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 t="str">
            <v>A</v>
          </cell>
          <cell r="I252">
            <v>20201</v>
          </cell>
        </row>
        <row r="253">
          <cell r="A253" t="str">
            <v>F1B009080</v>
          </cell>
          <cell r="B253" t="str">
            <v>Hamzan Wadi</v>
          </cell>
          <cell r="C253">
            <v>20171</v>
          </cell>
          <cell r="D253">
            <v>0</v>
          </cell>
          <cell r="E253">
            <v>0</v>
          </cell>
          <cell r="F253">
            <v>119</v>
          </cell>
          <cell r="G253">
            <v>3.31</v>
          </cell>
          <cell r="H253" t="str">
            <v>A</v>
          </cell>
          <cell r="I253">
            <v>20201</v>
          </cell>
        </row>
        <row r="254">
          <cell r="A254" t="str">
            <v>F1B009081</v>
          </cell>
          <cell r="B254" t="str">
            <v>Marico Putra</v>
          </cell>
          <cell r="C254">
            <v>20171</v>
          </cell>
          <cell r="D254">
            <v>0</v>
          </cell>
          <cell r="E254">
            <v>0</v>
          </cell>
          <cell r="F254">
            <v>128</v>
          </cell>
          <cell r="G254">
            <v>2.7</v>
          </cell>
          <cell r="H254" t="str">
            <v>A</v>
          </cell>
          <cell r="I254">
            <v>20201</v>
          </cell>
        </row>
        <row r="255">
          <cell r="A255" t="str">
            <v>F1B009082</v>
          </cell>
          <cell r="B255" t="str">
            <v>Moh. Sofyan Sauri</v>
          </cell>
          <cell r="C255">
            <v>20171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 t="str">
            <v>A</v>
          </cell>
          <cell r="I255">
            <v>20201</v>
          </cell>
        </row>
        <row r="256">
          <cell r="A256" t="str">
            <v>F1B009083</v>
          </cell>
          <cell r="B256" t="str">
            <v>Muhammad Shaofi</v>
          </cell>
          <cell r="C256">
            <v>20171</v>
          </cell>
          <cell r="D256">
            <v>0</v>
          </cell>
          <cell r="E256">
            <v>0</v>
          </cell>
          <cell r="F256">
            <v>14</v>
          </cell>
          <cell r="G256">
            <v>0.29</v>
          </cell>
          <cell r="H256" t="str">
            <v>A</v>
          </cell>
          <cell r="I256">
            <v>20201</v>
          </cell>
        </row>
        <row r="257">
          <cell r="A257" t="str">
            <v>F1B009084</v>
          </cell>
          <cell r="B257" t="str">
            <v>Fajar Rizkianto</v>
          </cell>
          <cell r="C257">
            <v>20171</v>
          </cell>
          <cell r="D257">
            <v>0</v>
          </cell>
          <cell r="E257">
            <v>0</v>
          </cell>
          <cell r="F257">
            <v>144</v>
          </cell>
          <cell r="G257">
            <v>2.59</v>
          </cell>
          <cell r="H257" t="str">
            <v>A</v>
          </cell>
          <cell r="I257">
            <v>20201</v>
          </cell>
        </row>
        <row r="258">
          <cell r="A258" t="str">
            <v>F1B009085</v>
          </cell>
          <cell r="B258" t="str">
            <v>Ahmad Zainuri</v>
          </cell>
          <cell r="C258">
            <v>20171</v>
          </cell>
          <cell r="D258">
            <v>0</v>
          </cell>
          <cell r="E258">
            <v>0</v>
          </cell>
          <cell r="F258">
            <v>122</v>
          </cell>
          <cell r="G258">
            <v>2.31</v>
          </cell>
          <cell r="H258" t="str">
            <v>A</v>
          </cell>
          <cell r="I258">
            <v>20201</v>
          </cell>
        </row>
        <row r="259">
          <cell r="A259" t="str">
            <v>F1B009086</v>
          </cell>
          <cell r="B259" t="str">
            <v>Ratmiaji</v>
          </cell>
          <cell r="C259">
            <v>20171</v>
          </cell>
          <cell r="D259">
            <v>0</v>
          </cell>
          <cell r="E259">
            <v>0</v>
          </cell>
          <cell r="F259">
            <v>119</v>
          </cell>
          <cell r="G259">
            <v>3.15</v>
          </cell>
          <cell r="H259" t="str">
            <v>A</v>
          </cell>
          <cell r="I259">
            <v>20201</v>
          </cell>
        </row>
        <row r="260">
          <cell r="A260" t="str">
            <v>F1B009087</v>
          </cell>
          <cell r="B260" t="str">
            <v>Muhammad Zul Akhir</v>
          </cell>
          <cell r="C260">
            <v>20171</v>
          </cell>
          <cell r="D260">
            <v>0</v>
          </cell>
          <cell r="E260">
            <v>0</v>
          </cell>
          <cell r="F260">
            <v>124</v>
          </cell>
          <cell r="G260">
            <v>2.7</v>
          </cell>
          <cell r="H260" t="str">
            <v>A</v>
          </cell>
          <cell r="I260">
            <v>20201</v>
          </cell>
        </row>
        <row r="261">
          <cell r="A261" t="str">
            <v>F1B009088</v>
          </cell>
          <cell r="B261" t="str">
            <v>Hidayat Abwandi</v>
          </cell>
          <cell r="C261">
            <v>20171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 t="str">
            <v>A</v>
          </cell>
          <cell r="I261">
            <v>20201</v>
          </cell>
        </row>
        <row r="262">
          <cell r="A262" t="str">
            <v>F1B009090</v>
          </cell>
          <cell r="B262" t="str">
            <v>ARY KURNIADI IRAWAN</v>
          </cell>
          <cell r="C262">
            <v>20171</v>
          </cell>
          <cell r="D262">
            <v>0</v>
          </cell>
          <cell r="E262">
            <v>0</v>
          </cell>
          <cell r="F262">
            <v>150</v>
          </cell>
          <cell r="G262">
            <v>3.06</v>
          </cell>
          <cell r="H262" t="str">
            <v>A</v>
          </cell>
          <cell r="I262">
            <v>20201</v>
          </cell>
        </row>
        <row r="263">
          <cell r="A263" t="str">
            <v>F1B010001</v>
          </cell>
          <cell r="B263" t="str">
            <v>ANGGELINA GINTING</v>
          </cell>
          <cell r="C263">
            <v>20171</v>
          </cell>
          <cell r="D263">
            <v>0</v>
          </cell>
          <cell r="E263">
            <v>0</v>
          </cell>
          <cell r="F263">
            <v>149</v>
          </cell>
          <cell r="G263">
            <v>3.51</v>
          </cell>
          <cell r="H263" t="str">
            <v>A</v>
          </cell>
          <cell r="I263">
            <v>20201</v>
          </cell>
        </row>
        <row r="264">
          <cell r="A264" t="str">
            <v>F1B010002</v>
          </cell>
          <cell r="B264" t="str">
            <v>ARIFATUL HIDAYATI</v>
          </cell>
          <cell r="C264">
            <v>20171</v>
          </cell>
          <cell r="D264">
            <v>0</v>
          </cell>
          <cell r="E264">
            <v>0</v>
          </cell>
          <cell r="F264">
            <v>149</v>
          </cell>
          <cell r="G264">
            <v>3.43</v>
          </cell>
          <cell r="H264" t="str">
            <v>A</v>
          </cell>
          <cell r="I264">
            <v>20201</v>
          </cell>
        </row>
        <row r="265">
          <cell r="A265" t="str">
            <v>F1B010003</v>
          </cell>
          <cell r="B265" t="str">
            <v>ADI PRALYANTO ANGGAJAYA</v>
          </cell>
          <cell r="C265">
            <v>20171</v>
          </cell>
          <cell r="D265">
            <v>4</v>
          </cell>
          <cell r="E265">
            <v>3.5</v>
          </cell>
          <cell r="F265">
            <v>183</v>
          </cell>
          <cell r="G265">
            <v>2.58</v>
          </cell>
          <cell r="H265" t="str">
            <v>A</v>
          </cell>
          <cell r="I265">
            <v>20201</v>
          </cell>
        </row>
        <row r="266">
          <cell r="A266" t="str">
            <v>F1B010004</v>
          </cell>
          <cell r="B266" t="str">
            <v>SULPAN</v>
          </cell>
          <cell r="C266">
            <v>20171</v>
          </cell>
          <cell r="D266">
            <v>0</v>
          </cell>
          <cell r="E266">
            <v>0</v>
          </cell>
          <cell r="F266">
            <v>53</v>
          </cell>
          <cell r="G266">
            <v>1.3</v>
          </cell>
          <cell r="H266" t="str">
            <v>A</v>
          </cell>
          <cell r="I266">
            <v>20201</v>
          </cell>
        </row>
        <row r="267">
          <cell r="A267" t="str">
            <v>F1B010005</v>
          </cell>
          <cell r="B267" t="str">
            <v>PARISMA DEBAKTI</v>
          </cell>
          <cell r="C267">
            <v>20171</v>
          </cell>
          <cell r="D267">
            <v>0</v>
          </cell>
          <cell r="E267">
            <v>0</v>
          </cell>
          <cell r="F267">
            <v>172</v>
          </cell>
          <cell r="G267">
            <v>2.42</v>
          </cell>
          <cell r="H267" t="str">
            <v>A</v>
          </cell>
          <cell r="I267">
            <v>20201</v>
          </cell>
        </row>
        <row r="268">
          <cell r="A268" t="str">
            <v>F1B010006</v>
          </cell>
          <cell r="B268" t="str">
            <v>ARSWENDI PRAYUDA</v>
          </cell>
          <cell r="C268">
            <v>20171</v>
          </cell>
          <cell r="D268">
            <v>0</v>
          </cell>
          <cell r="E268">
            <v>0</v>
          </cell>
          <cell r="F268">
            <v>160</v>
          </cell>
          <cell r="G268">
            <v>2.52</v>
          </cell>
          <cell r="H268" t="str">
            <v>A</v>
          </cell>
          <cell r="I268">
            <v>20201</v>
          </cell>
        </row>
        <row r="269">
          <cell r="A269" t="str">
            <v>F1B010007</v>
          </cell>
          <cell r="B269" t="str">
            <v>PITARIA RAHIM RIANI</v>
          </cell>
          <cell r="C269">
            <v>20171</v>
          </cell>
          <cell r="D269">
            <v>0</v>
          </cell>
          <cell r="E269">
            <v>0</v>
          </cell>
          <cell r="F269">
            <v>144</v>
          </cell>
          <cell r="G269">
            <v>3.54</v>
          </cell>
          <cell r="H269" t="str">
            <v>A</v>
          </cell>
          <cell r="I269">
            <v>20201</v>
          </cell>
        </row>
        <row r="270">
          <cell r="A270" t="str">
            <v>F1B010008</v>
          </cell>
          <cell r="B270" t="str">
            <v>EDI WIRANATA</v>
          </cell>
          <cell r="C270">
            <v>20171</v>
          </cell>
          <cell r="D270">
            <v>4</v>
          </cell>
          <cell r="E270">
            <v>3.5</v>
          </cell>
          <cell r="F270">
            <v>163</v>
          </cell>
          <cell r="G270">
            <v>2.67</v>
          </cell>
          <cell r="H270" t="str">
            <v>A</v>
          </cell>
          <cell r="I270">
            <v>20201</v>
          </cell>
        </row>
        <row r="271">
          <cell r="A271" t="str">
            <v>F1B010009</v>
          </cell>
          <cell r="B271" t="str">
            <v>I WAYAN SUJATMIKA</v>
          </cell>
          <cell r="C271">
            <v>20171</v>
          </cell>
          <cell r="D271">
            <v>0</v>
          </cell>
          <cell r="E271">
            <v>0</v>
          </cell>
          <cell r="F271">
            <v>145</v>
          </cell>
          <cell r="G271">
            <v>3.78</v>
          </cell>
          <cell r="H271" t="str">
            <v>A</v>
          </cell>
          <cell r="I271">
            <v>20201</v>
          </cell>
        </row>
        <row r="272">
          <cell r="A272" t="str">
            <v>F1B010010</v>
          </cell>
          <cell r="B272" t="str">
            <v>WAHYU SURYA PERMANA</v>
          </cell>
          <cell r="C272">
            <v>20171</v>
          </cell>
          <cell r="D272">
            <v>0</v>
          </cell>
          <cell r="E272">
            <v>0</v>
          </cell>
          <cell r="F272">
            <v>145</v>
          </cell>
          <cell r="G272">
            <v>3.02</v>
          </cell>
          <cell r="H272" t="str">
            <v>A</v>
          </cell>
          <cell r="I272">
            <v>20201</v>
          </cell>
        </row>
        <row r="273">
          <cell r="A273" t="str">
            <v>F1B010011</v>
          </cell>
          <cell r="B273" t="str">
            <v>TATIK MULIANI</v>
          </cell>
          <cell r="C273">
            <v>20171</v>
          </cell>
          <cell r="D273">
            <v>0</v>
          </cell>
          <cell r="E273">
            <v>0</v>
          </cell>
          <cell r="F273">
            <v>149</v>
          </cell>
          <cell r="G273">
            <v>3.53</v>
          </cell>
          <cell r="H273" t="str">
            <v>A</v>
          </cell>
          <cell r="I273">
            <v>20201</v>
          </cell>
        </row>
        <row r="274">
          <cell r="A274" t="str">
            <v>F1B010012</v>
          </cell>
          <cell r="B274" t="str">
            <v>HAIRURROZIKIN</v>
          </cell>
          <cell r="C274">
            <v>20171</v>
          </cell>
          <cell r="D274">
            <v>0</v>
          </cell>
          <cell r="E274">
            <v>0</v>
          </cell>
          <cell r="F274">
            <v>156</v>
          </cell>
          <cell r="G274">
            <v>2.51</v>
          </cell>
          <cell r="H274" t="str">
            <v>A</v>
          </cell>
          <cell r="I274">
            <v>20201</v>
          </cell>
        </row>
        <row r="275">
          <cell r="A275" t="str">
            <v>F1B010013</v>
          </cell>
          <cell r="B275" t="str">
            <v>SAMSUL BAHRAEN</v>
          </cell>
          <cell r="C275">
            <v>20171</v>
          </cell>
          <cell r="D275">
            <v>4</v>
          </cell>
          <cell r="E275">
            <v>3</v>
          </cell>
          <cell r="F275">
            <v>185</v>
          </cell>
          <cell r="G275">
            <v>2.06</v>
          </cell>
          <cell r="H275" t="str">
            <v>A</v>
          </cell>
          <cell r="I275">
            <v>20201</v>
          </cell>
        </row>
        <row r="276">
          <cell r="A276" t="str">
            <v>F1B010014</v>
          </cell>
          <cell r="B276" t="str">
            <v>RISTICA TYAS SURYA</v>
          </cell>
          <cell r="C276">
            <v>20171</v>
          </cell>
          <cell r="D276">
            <v>0</v>
          </cell>
          <cell r="E276">
            <v>0</v>
          </cell>
          <cell r="F276">
            <v>20</v>
          </cell>
          <cell r="G276">
            <v>0</v>
          </cell>
          <cell r="H276" t="str">
            <v>A</v>
          </cell>
          <cell r="I276">
            <v>20201</v>
          </cell>
        </row>
        <row r="277">
          <cell r="A277" t="str">
            <v>F1B010015</v>
          </cell>
          <cell r="B277" t="str">
            <v>RATNA HIDAYATI SARI</v>
          </cell>
          <cell r="C277">
            <v>20171</v>
          </cell>
          <cell r="D277">
            <v>0</v>
          </cell>
          <cell r="E277">
            <v>0</v>
          </cell>
          <cell r="F277">
            <v>20</v>
          </cell>
          <cell r="G277">
            <v>0</v>
          </cell>
          <cell r="H277" t="str">
            <v>A</v>
          </cell>
          <cell r="I277">
            <v>20201</v>
          </cell>
        </row>
        <row r="278">
          <cell r="A278" t="str">
            <v>F1B010016</v>
          </cell>
          <cell r="B278" t="str">
            <v>RIZAL BAHTERAN</v>
          </cell>
          <cell r="C278">
            <v>20171</v>
          </cell>
          <cell r="D278">
            <v>0</v>
          </cell>
          <cell r="E278">
            <v>0</v>
          </cell>
          <cell r="F278">
            <v>153</v>
          </cell>
          <cell r="G278">
            <v>3.34</v>
          </cell>
          <cell r="H278" t="str">
            <v>A</v>
          </cell>
          <cell r="I278">
            <v>20201</v>
          </cell>
        </row>
        <row r="279">
          <cell r="A279" t="str">
            <v>F1B010017</v>
          </cell>
          <cell r="B279" t="str">
            <v>MAKHTAR</v>
          </cell>
          <cell r="C279">
            <v>20171</v>
          </cell>
          <cell r="D279">
            <v>0</v>
          </cell>
          <cell r="E279">
            <v>0</v>
          </cell>
          <cell r="F279">
            <v>20</v>
          </cell>
          <cell r="G279">
            <v>0</v>
          </cell>
          <cell r="H279" t="str">
            <v>A</v>
          </cell>
          <cell r="I279">
            <v>20201</v>
          </cell>
        </row>
        <row r="280">
          <cell r="A280" t="str">
            <v>F1B010018</v>
          </cell>
          <cell r="B280" t="str">
            <v>JUAN JUSTITI</v>
          </cell>
          <cell r="C280">
            <v>20171</v>
          </cell>
          <cell r="D280">
            <v>19</v>
          </cell>
          <cell r="E280">
            <v>0.74</v>
          </cell>
          <cell r="F280">
            <v>197</v>
          </cell>
          <cell r="G280">
            <v>2.34</v>
          </cell>
          <cell r="H280" t="str">
            <v>A</v>
          </cell>
          <cell r="I280">
            <v>20201</v>
          </cell>
        </row>
        <row r="281">
          <cell r="A281" t="str">
            <v>F1B010019</v>
          </cell>
          <cell r="B281" t="str">
            <v>AISYAH</v>
          </cell>
          <cell r="C281">
            <v>20171</v>
          </cell>
          <cell r="D281">
            <v>0</v>
          </cell>
          <cell r="E281">
            <v>0</v>
          </cell>
          <cell r="F281">
            <v>147</v>
          </cell>
          <cell r="G281">
            <v>3.41</v>
          </cell>
          <cell r="H281" t="str">
            <v>A</v>
          </cell>
          <cell r="I281">
            <v>20201</v>
          </cell>
        </row>
        <row r="282">
          <cell r="A282" t="str">
            <v>F1B010020</v>
          </cell>
          <cell r="B282" t="str">
            <v>NUR AFRIANNI SUSANTO</v>
          </cell>
          <cell r="C282">
            <v>20171</v>
          </cell>
          <cell r="D282">
            <v>0</v>
          </cell>
          <cell r="E282">
            <v>0</v>
          </cell>
          <cell r="F282">
            <v>57</v>
          </cell>
          <cell r="G282">
            <v>1.3</v>
          </cell>
          <cell r="H282" t="str">
            <v>A</v>
          </cell>
          <cell r="I282">
            <v>20201</v>
          </cell>
        </row>
        <row r="283">
          <cell r="A283" t="str">
            <v>F1B010021</v>
          </cell>
          <cell r="B283" t="str">
            <v>PUJI HIDAYATI SARI</v>
          </cell>
          <cell r="C283">
            <v>20171</v>
          </cell>
          <cell r="D283">
            <v>0</v>
          </cell>
          <cell r="E283">
            <v>0</v>
          </cell>
          <cell r="F283">
            <v>144</v>
          </cell>
          <cell r="G283">
            <v>3.36</v>
          </cell>
          <cell r="H283" t="str">
            <v>A</v>
          </cell>
          <cell r="I283">
            <v>20201</v>
          </cell>
        </row>
        <row r="284">
          <cell r="A284" t="str">
            <v>F1B010022</v>
          </cell>
          <cell r="B284" t="str">
            <v>ADIB MANGGINI</v>
          </cell>
          <cell r="C284">
            <v>20171</v>
          </cell>
          <cell r="D284">
            <v>0</v>
          </cell>
          <cell r="E284">
            <v>0</v>
          </cell>
          <cell r="F284">
            <v>173</v>
          </cell>
          <cell r="G284">
            <v>2.56</v>
          </cell>
          <cell r="H284" t="str">
            <v>A</v>
          </cell>
          <cell r="I284">
            <v>20201</v>
          </cell>
        </row>
        <row r="285">
          <cell r="A285" t="str">
            <v>F1B010023</v>
          </cell>
          <cell r="B285" t="str">
            <v>YUDA PRATAMA PUTRA KESAWA</v>
          </cell>
          <cell r="C285">
            <v>20171</v>
          </cell>
          <cell r="D285">
            <v>0</v>
          </cell>
          <cell r="E285">
            <v>0</v>
          </cell>
          <cell r="F285">
            <v>149</v>
          </cell>
          <cell r="G285">
            <v>3.64</v>
          </cell>
          <cell r="H285" t="str">
            <v>A</v>
          </cell>
          <cell r="I285">
            <v>20201</v>
          </cell>
        </row>
        <row r="286">
          <cell r="A286" t="str">
            <v>F1B010024</v>
          </cell>
          <cell r="B286" t="str">
            <v>ZAENUL ILHAM</v>
          </cell>
          <cell r="C286">
            <v>20171</v>
          </cell>
          <cell r="D286">
            <v>4</v>
          </cell>
          <cell r="E286">
            <v>3.5</v>
          </cell>
          <cell r="F286">
            <v>164</v>
          </cell>
          <cell r="G286">
            <v>2.7</v>
          </cell>
          <cell r="H286" t="str">
            <v>A</v>
          </cell>
          <cell r="I286">
            <v>20201</v>
          </cell>
        </row>
        <row r="287">
          <cell r="A287" t="str">
            <v>F1B010025</v>
          </cell>
          <cell r="B287" t="str">
            <v>DENEK BINIE TINDIH RING UBAYA</v>
          </cell>
          <cell r="C287">
            <v>20171</v>
          </cell>
          <cell r="D287">
            <v>0</v>
          </cell>
          <cell r="E287">
            <v>0</v>
          </cell>
          <cell r="F287">
            <v>147</v>
          </cell>
          <cell r="G287">
            <v>3.53</v>
          </cell>
          <cell r="H287" t="str">
            <v>A</v>
          </cell>
          <cell r="I287">
            <v>20201</v>
          </cell>
        </row>
        <row r="288">
          <cell r="A288" t="str">
            <v>F1B010026</v>
          </cell>
          <cell r="B288" t="str">
            <v>AHMAD YANI</v>
          </cell>
          <cell r="C288">
            <v>20171</v>
          </cell>
          <cell r="D288">
            <v>0</v>
          </cell>
          <cell r="E288">
            <v>0</v>
          </cell>
          <cell r="F288">
            <v>153</v>
          </cell>
          <cell r="G288">
            <v>3.18</v>
          </cell>
          <cell r="H288" t="str">
            <v>A</v>
          </cell>
          <cell r="I288">
            <v>20201</v>
          </cell>
        </row>
        <row r="289">
          <cell r="A289" t="str">
            <v>F1B010027</v>
          </cell>
          <cell r="B289" t="str">
            <v>TRI YULIANTI</v>
          </cell>
          <cell r="C289">
            <v>20171</v>
          </cell>
          <cell r="D289">
            <v>0</v>
          </cell>
          <cell r="E289">
            <v>0</v>
          </cell>
          <cell r="F289">
            <v>147</v>
          </cell>
          <cell r="G289">
            <v>3.52</v>
          </cell>
          <cell r="H289" t="str">
            <v>A</v>
          </cell>
          <cell r="I289">
            <v>20201</v>
          </cell>
        </row>
        <row r="290">
          <cell r="A290" t="str">
            <v>F1B010028</v>
          </cell>
          <cell r="B290" t="str">
            <v>FANI LANI FAJRIN</v>
          </cell>
          <cell r="C290">
            <v>20171</v>
          </cell>
          <cell r="D290">
            <v>0</v>
          </cell>
          <cell r="E290">
            <v>0</v>
          </cell>
          <cell r="F290">
            <v>20</v>
          </cell>
          <cell r="G290">
            <v>0</v>
          </cell>
          <cell r="H290" t="str">
            <v>A</v>
          </cell>
          <cell r="I290">
            <v>20201</v>
          </cell>
        </row>
        <row r="291">
          <cell r="A291" t="str">
            <v>F1B010029</v>
          </cell>
          <cell r="B291" t="str">
            <v>ATNI MARDIANA</v>
          </cell>
          <cell r="C291">
            <v>20171</v>
          </cell>
          <cell r="D291">
            <v>10</v>
          </cell>
          <cell r="E291">
            <v>0</v>
          </cell>
          <cell r="F291">
            <v>188</v>
          </cell>
          <cell r="G291">
            <v>1.91</v>
          </cell>
          <cell r="H291" t="str">
            <v>A</v>
          </cell>
          <cell r="I291">
            <v>20201</v>
          </cell>
        </row>
        <row r="292">
          <cell r="A292" t="str">
            <v>F1B010030</v>
          </cell>
          <cell r="B292" t="str">
            <v>TEDDY SETYA BUDI</v>
          </cell>
          <cell r="C292">
            <v>20171</v>
          </cell>
          <cell r="D292">
            <v>0</v>
          </cell>
          <cell r="E292">
            <v>0</v>
          </cell>
          <cell r="F292">
            <v>20</v>
          </cell>
          <cell r="G292">
            <v>0</v>
          </cell>
          <cell r="H292" t="str">
            <v>A</v>
          </cell>
          <cell r="I292">
            <v>20201</v>
          </cell>
        </row>
        <row r="293">
          <cell r="A293" t="str">
            <v>F1B010031</v>
          </cell>
          <cell r="B293" t="str">
            <v>TAUFIKURRAHMAN</v>
          </cell>
          <cell r="C293">
            <v>20171</v>
          </cell>
          <cell r="D293">
            <v>0</v>
          </cell>
          <cell r="E293">
            <v>0</v>
          </cell>
          <cell r="F293">
            <v>49</v>
          </cell>
          <cell r="G293">
            <v>1.14</v>
          </cell>
          <cell r="H293" t="str">
            <v>A</v>
          </cell>
          <cell r="I293">
            <v>20201</v>
          </cell>
        </row>
        <row r="294">
          <cell r="A294" t="str">
            <v>F1B010032</v>
          </cell>
          <cell r="B294" t="str">
            <v>MOHAMAD JUNAEDI</v>
          </cell>
          <cell r="C294">
            <v>20171</v>
          </cell>
          <cell r="D294">
            <v>0</v>
          </cell>
          <cell r="E294">
            <v>0</v>
          </cell>
          <cell r="F294">
            <v>178</v>
          </cell>
          <cell r="G294">
            <v>2.38</v>
          </cell>
          <cell r="H294" t="str">
            <v>A</v>
          </cell>
          <cell r="I294">
            <v>20201</v>
          </cell>
        </row>
        <row r="295">
          <cell r="A295" t="str">
            <v>F1B010033</v>
          </cell>
          <cell r="B295" t="str">
            <v>DIAN FEBRIYANULLAH</v>
          </cell>
          <cell r="C295">
            <v>20171</v>
          </cell>
          <cell r="D295">
            <v>0</v>
          </cell>
          <cell r="E295">
            <v>0</v>
          </cell>
          <cell r="F295">
            <v>29</v>
          </cell>
          <cell r="G295">
            <v>0.31</v>
          </cell>
          <cell r="H295" t="str">
            <v>A</v>
          </cell>
          <cell r="I295">
            <v>20201</v>
          </cell>
        </row>
        <row r="296">
          <cell r="A296" t="str">
            <v>F1B010034</v>
          </cell>
          <cell r="B296" t="str">
            <v>M. NUR IHSAN</v>
          </cell>
          <cell r="C296">
            <v>20171</v>
          </cell>
          <cell r="D296">
            <v>4</v>
          </cell>
          <cell r="E296">
            <v>3.5</v>
          </cell>
          <cell r="F296">
            <v>179</v>
          </cell>
          <cell r="G296">
            <v>2.28</v>
          </cell>
          <cell r="H296" t="str">
            <v>A</v>
          </cell>
          <cell r="I296">
            <v>20201</v>
          </cell>
        </row>
        <row r="297">
          <cell r="A297" t="str">
            <v>F1B010035</v>
          </cell>
          <cell r="B297" t="str">
            <v>I GEDE YOGA SARMUDITHA</v>
          </cell>
          <cell r="C297">
            <v>20171</v>
          </cell>
          <cell r="D297">
            <v>4</v>
          </cell>
          <cell r="E297">
            <v>3.5</v>
          </cell>
          <cell r="F297">
            <v>188</v>
          </cell>
          <cell r="G297">
            <v>2.23</v>
          </cell>
          <cell r="H297" t="str">
            <v>A</v>
          </cell>
          <cell r="I297">
            <v>20201</v>
          </cell>
        </row>
        <row r="298">
          <cell r="A298" t="str">
            <v>F1B010036</v>
          </cell>
          <cell r="B298" t="str">
            <v>AINUL HAMDANI</v>
          </cell>
          <cell r="C298">
            <v>20171</v>
          </cell>
          <cell r="D298">
            <v>0</v>
          </cell>
          <cell r="E298">
            <v>0</v>
          </cell>
          <cell r="F298">
            <v>151</v>
          </cell>
          <cell r="G298">
            <v>3.51</v>
          </cell>
          <cell r="H298" t="str">
            <v>A</v>
          </cell>
          <cell r="I298">
            <v>20201</v>
          </cell>
        </row>
        <row r="299">
          <cell r="A299" t="str">
            <v>F1B010037</v>
          </cell>
          <cell r="B299" t="str">
            <v>PANJI FAMILY</v>
          </cell>
          <cell r="C299">
            <v>20171</v>
          </cell>
          <cell r="D299">
            <v>0</v>
          </cell>
          <cell r="E299">
            <v>0</v>
          </cell>
          <cell r="F299">
            <v>51</v>
          </cell>
          <cell r="G299">
            <v>1.06</v>
          </cell>
          <cell r="H299" t="str">
            <v>A</v>
          </cell>
          <cell r="I299">
            <v>20201</v>
          </cell>
        </row>
        <row r="300">
          <cell r="A300" t="str">
            <v>F1B010038</v>
          </cell>
          <cell r="B300" t="str">
            <v>ARIS WIDYATMOKO</v>
          </cell>
          <cell r="C300">
            <v>20171</v>
          </cell>
          <cell r="D300">
            <v>0</v>
          </cell>
          <cell r="E300">
            <v>0</v>
          </cell>
          <cell r="F300">
            <v>150</v>
          </cell>
          <cell r="G300">
            <v>3.21</v>
          </cell>
          <cell r="H300" t="str">
            <v>A</v>
          </cell>
          <cell r="I300">
            <v>20201</v>
          </cell>
        </row>
        <row r="301">
          <cell r="A301" t="str">
            <v>F1B010039</v>
          </cell>
          <cell r="B301" t="str">
            <v>ZAMZAMI HIDAYAT</v>
          </cell>
          <cell r="C301">
            <v>20171</v>
          </cell>
          <cell r="D301">
            <v>0</v>
          </cell>
          <cell r="E301">
            <v>0</v>
          </cell>
          <cell r="F301">
            <v>48</v>
          </cell>
          <cell r="G301">
            <v>1.59</v>
          </cell>
          <cell r="H301" t="str">
            <v>A</v>
          </cell>
          <cell r="I301">
            <v>20201</v>
          </cell>
        </row>
        <row r="302">
          <cell r="A302" t="str">
            <v>F1B010040</v>
          </cell>
          <cell r="B302" t="str">
            <v>I WAYAN SUWIKA ADNYANA</v>
          </cell>
          <cell r="C302">
            <v>20171</v>
          </cell>
          <cell r="D302">
            <v>0</v>
          </cell>
          <cell r="E302">
            <v>0</v>
          </cell>
          <cell r="F302">
            <v>149</v>
          </cell>
          <cell r="G302">
            <v>3.05</v>
          </cell>
          <cell r="H302" t="str">
            <v>A</v>
          </cell>
          <cell r="I302">
            <v>20201</v>
          </cell>
        </row>
        <row r="303">
          <cell r="A303" t="str">
            <v>F1B010041</v>
          </cell>
          <cell r="B303" t="str">
            <v>MUHAMMAD FAUZY</v>
          </cell>
          <cell r="C303">
            <v>20171</v>
          </cell>
          <cell r="D303">
            <v>0</v>
          </cell>
          <cell r="E303">
            <v>0</v>
          </cell>
          <cell r="F303">
            <v>42</v>
          </cell>
          <cell r="G303">
            <v>1.35</v>
          </cell>
          <cell r="H303" t="str">
            <v>A</v>
          </cell>
          <cell r="I303">
            <v>20201</v>
          </cell>
        </row>
        <row r="304">
          <cell r="A304" t="str">
            <v>F1B010042</v>
          </cell>
          <cell r="B304" t="str">
            <v>IZDYAD FATHIN</v>
          </cell>
          <cell r="C304">
            <v>20171</v>
          </cell>
          <cell r="D304">
            <v>4</v>
          </cell>
          <cell r="E304">
            <v>3.5</v>
          </cell>
          <cell r="F304">
            <v>166</v>
          </cell>
          <cell r="G304">
            <v>2.56</v>
          </cell>
          <cell r="H304" t="str">
            <v>A</v>
          </cell>
          <cell r="I304">
            <v>20201</v>
          </cell>
        </row>
        <row r="305">
          <cell r="A305" t="str">
            <v>F1B010043</v>
          </cell>
          <cell r="B305" t="str">
            <v>GUNAWAN PRASTYO WAAS</v>
          </cell>
          <cell r="C305">
            <v>20171</v>
          </cell>
          <cell r="D305">
            <v>0</v>
          </cell>
          <cell r="E305">
            <v>0</v>
          </cell>
          <cell r="F305">
            <v>32</v>
          </cell>
          <cell r="G305">
            <v>0.72</v>
          </cell>
          <cell r="H305" t="str">
            <v>A</v>
          </cell>
          <cell r="I305">
            <v>20201</v>
          </cell>
        </row>
        <row r="306">
          <cell r="A306" t="str">
            <v>F1B010044</v>
          </cell>
          <cell r="B306" t="str">
            <v>AHMAD ROMZUL AMRULLAH</v>
          </cell>
          <cell r="C306">
            <v>20171</v>
          </cell>
          <cell r="D306">
            <v>0</v>
          </cell>
          <cell r="E306">
            <v>0</v>
          </cell>
          <cell r="F306">
            <v>31</v>
          </cell>
          <cell r="G306">
            <v>0.35</v>
          </cell>
          <cell r="H306" t="str">
            <v>A</v>
          </cell>
          <cell r="I306">
            <v>20201</v>
          </cell>
        </row>
        <row r="307">
          <cell r="A307" t="str">
            <v>F1B010045</v>
          </cell>
          <cell r="B307" t="str">
            <v>KHAERURROZI GAFTHY</v>
          </cell>
          <cell r="C307">
            <v>20171</v>
          </cell>
          <cell r="D307">
            <v>0</v>
          </cell>
          <cell r="E307">
            <v>0</v>
          </cell>
          <cell r="F307">
            <v>31</v>
          </cell>
          <cell r="G307">
            <v>0.77</v>
          </cell>
          <cell r="H307" t="str">
            <v>A</v>
          </cell>
          <cell r="I307">
            <v>20201</v>
          </cell>
        </row>
        <row r="308">
          <cell r="A308" t="str">
            <v>F1B010046</v>
          </cell>
          <cell r="B308" t="str">
            <v>IVAN KURNIA PRATAMA</v>
          </cell>
          <cell r="C308">
            <v>20171</v>
          </cell>
          <cell r="D308">
            <v>0</v>
          </cell>
          <cell r="E308">
            <v>0</v>
          </cell>
          <cell r="F308">
            <v>187</v>
          </cell>
          <cell r="G308">
            <v>2.66</v>
          </cell>
          <cell r="H308" t="str">
            <v>A</v>
          </cell>
          <cell r="I308">
            <v>20201</v>
          </cell>
        </row>
        <row r="309">
          <cell r="A309" t="str">
            <v>F1B010047</v>
          </cell>
          <cell r="B309" t="str">
            <v>AHMAD HASANAIN WAJEDI</v>
          </cell>
          <cell r="C309">
            <v>20171</v>
          </cell>
          <cell r="D309">
            <v>0</v>
          </cell>
          <cell r="E309">
            <v>0</v>
          </cell>
          <cell r="F309">
            <v>32</v>
          </cell>
          <cell r="G309">
            <v>1.88</v>
          </cell>
          <cell r="H309" t="str">
            <v>A</v>
          </cell>
          <cell r="I309">
            <v>20201</v>
          </cell>
        </row>
        <row r="310">
          <cell r="A310" t="str">
            <v>F1B010048</v>
          </cell>
          <cell r="B310" t="str">
            <v>ERWIN SETIAWAN</v>
          </cell>
          <cell r="C310">
            <v>20171</v>
          </cell>
          <cell r="D310">
            <v>0</v>
          </cell>
          <cell r="E310">
            <v>0</v>
          </cell>
          <cell r="F310">
            <v>161</v>
          </cell>
          <cell r="G310">
            <v>2.43</v>
          </cell>
          <cell r="H310" t="str">
            <v>A</v>
          </cell>
          <cell r="I310">
            <v>20201</v>
          </cell>
        </row>
        <row r="311">
          <cell r="A311" t="str">
            <v>F1B010049</v>
          </cell>
          <cell r="B311" t="str">
            <v>YUDIE RAHMAN H</v>
          </cell>
          <cell r="C311">
            <v>20171</v>
          </cell>
          <cell r="D311">
            <v>0</v>
          </cell>
          <cell r="E311">
            <v>0</v>
          </cell>
          <cell r="F311">
            <v>29</v>
          </cell>
          <cell r="G311">
            <v>0</v>
          </cell>
          <cell r="H311" t="str">
            <v>A</v>
          </cell>
          <cell r="I311">
            <v>20201</v>
          </cell>
        </row>
        <row r="312">
          <cell r="A312" t="str">
            <v>F1B010050</v>
          </cell>
          <cell r="B312" t="str">
            <v>SATRIAWAN SAMOKTI</v>
          </cell>
          <cell r="C312">
            <v>20171</v>
          </cell>
          <cell r="D312">
            <v>0</v>
          </cell>
          <cell r="E312">
            <v>0</v>
          </cell>
          <cell r="F312">
            <v>20</v>
          </cell>
          <cell r="G312">
            <v>0</v>
          </cell>
          <cell r="H312" t="str">
            <v>A</v>
          </cell>
          <cell r="I312">
            <v>20201</v>
          </cell>
        </row>
        <row r="313">
          <cell r="A313" t="str">
            <v>F1B010051</v>
          </cell>
          <cell r="B313" t="str">
            <v>MUHAMMAD TOHAR SAGARA</v>
          </cell>
          <cell r="C313">
            <v>20171</v>
          </cell>
          <cell r="D313">
            <v>0</v>
          </cell>
          <cell r="E313">
            <v>0</v>
          </cell>
          <cell r="F313">
            <v>187</v>
          </cell>
          <cell r="G313">
            <v>2.38</v>
          </cell>
          <cell r="H313" t="str">
            <v>A</v>
          </cell>
          <cell r="I313">
            <v>20201</v>
          </cell>
        </row>
        <row r="314">
          <cell r="A314" t="str">
            <v>F1B010052</v>
          </cell>
          <cell r="B314" t="str">
            <v>HAZINATUL ASRON</v>
          </cell>
          <cell r="C314">
            <v>20171</v>
          </cell>
          <cell r="D314">
            <v>5</v>
          </cell>
          <cell r="E314">
            <v>2.6</v>
          </cell>
          <cell r="F314">
            <v>176</v>
          </cell>
          <cell r="G314">
            <v>2.32</v>
          </cell>
          <cell r="H314" t="str">
            <v>A</v>
          </cell>
          <cell r="I314">
            <v>20201</v>
          </cell>
        </row>
        <row r="315">
          <cell r="A315" t="str">
            <v>F1B010053</v>
          </cell>
          <cell r="B315" t="str">
            <v>SINTIA YOSITA</v>
          </cell>
          <cell r="C315">
            <v>20171</v>
          </cell>
          <cell r="D315">
            <v>0</v>
          </cell>
          <cell r="E315">
            <v>0</v>
          </cell>
          <cell r="F315">
            <v>152</v>
          </cell>
          <cell r="G315">
            <v>3.27</v>
          </cell>
          <cell r="H315" t="str">
            <v>A</v>
          </cell>
          <cell r="I315">
            <v>20201</v>
          </cell>
        </row>
        <row r="316">
          <cell r="A316" t="str">
            <v>F1B010054</v>
          </cell>
          <cell r="B316" t="str">
            <v>MAULANA ISHAK SAID</v>
          </cell>
          <cell r="C316">
            <v>20171</v>
          </cell>
          <cell r="D316">
            <v>0</v>
          </cell>
          <cell r="E316">
            <v>0</v>
          </cell>
          <cell r="F316">
            <v>61</v>
          </cell>
          <cell r="G316">
            <v>1.34</v>
          </cell>
          <cell r="H316" t="str">
            <v>A</v>
          </cell>
          <cell r="I316">
            <v>20201</v>
          </cell>
        </row>
        <row r="317">
          <cell r="A317" t="str">
            <v>F1B010055</v>
          </cell>
          <cell r="B317" t="str">
            <v>M. SYAHRUL LAIL A.P</v>
          </cell>
          <cell r="C317">
            <v>20171</v>
          </cell>
          <cell r="D317">
            <v>4</v>
          </cell>
          <cell r="E317">
            <v>3.5</v>
          </cell>
          <cell r="F317">
            <v>170</v>
          </cell>
          <cell r="G317">
            <v>2.14</v>
          </cell>
          <cell r="H317" t="str">
            <v>A</v>
          </cell>
          <cell r="I317">
            <v>20201</v>
          </cell>
        </row>
        <row r="318">
          <cell r="A318" t="str">
            <v>F1B010056</v>
          </cell>
          <cell r="B318" t="str">
            <v>DODY ALKARAM</v>
          </cell>
          <cell r="C318">
            <v>20171</v>
          </cell>
          <cell r="D318">
            <v>0</v>
          </cell>
          <cell r="E318">
            <v>0</v>
          </cell>
          <cell r="F318">
            <v>146</v>
          </cell>
          <cell r="G318">
            <v>3.34</v>
          </cell>
          <cell r="H318" t="str">
            <v>A</v>
          </cell>
          <cell r="I318">
            <v>20201</v>
          </cell>
        </row>
        <row r="319">
          <cell r="A319" t="str">
            <v>F1B010057</v>
          </cell>
          <cell r="B319" t="str">
            <v>DIYAN ANGGRAENI</v>
          </cell>
          <cell r="C319">
            <v>20171</v>
          </cell>
          <cell r="D319">
            <v>4</v>
          </cell>
          <cell r="E319">
            <v>4</v>
          </cell>
          <cell r="F319">
            <v>181</v>
          </cell>
          <cell r="G319">
            <v>2.41</v>
          </cell>
          <cell r="H319" t="str">
            <v>A</v>
          </cell>
          <cell r="I319">
            <v>20201</v>
          </cell>
        </row>
        <row r="320">
          <cell r="A320" t="str">
            <v>F1B010058</v>
          </cell>
          <cell r="B320" t="str">
            <v>AHMAD RUDI</v>
          </cell>
          <cell r="C320">
            <v>20171</v>
          </cell>
          <cell r="D320">
            <v>0</v>
          </cell>
          <cell r="E320">
            <v>0</v>
          </cell>
          <cell r="F320">
            <v>186</v>
          </cell>
          <cell r="G320">
            <v>2.41</v>
          </cell>
          <cell r="H320" t="str">
            <v>A</v>
          </cell>
          <cell r="I320">
            <v>20201</v>
          </cell>
        </row>
        <row r="321">
          <cell r="A321" t="str">
            <v>F1B010059</v>
          </cell>
          <cell r="B321" t="str">
            <v>HUJJATUL ISLAM</v>
          </cell>
          <cell r="C321">
            <v>20171</v>
          </cell>
          <cell r="D321">
            <v>0</v>
          </cell>
          <cell r="E321">
            <v>0</v>
          </cell>
          <cell r="F321">
            <v>42</v>
          </cell>
          <cell r="G321">
            <v>1.64</v>
          </cell>
          <cell r="H321" t="str">
            <v>A</v>
          </cell>
          <cell r="I321">
            <v>20201</v>
          </cell>
        </row>
        <row r="322">
          <cell r="A322" t="str">
            <v>F1B010060</v>
          </cell>
          <cell r="B322" t="str">
            <v>LALU BINTANG ARYANDHANA</v>
          </cell>
          <cell r="C322">
            <v>20171</v>
          </cell>
          <cell r="D322">
            <v>0</v>
          </cell>
          <cell r="E322">
            <v>0</v>
          </cell>
          <cell r="F322">
            <v>33</v>
          </cell>
          <cell r="G322">
            <v>1.03</v>
          </cell>
          <cell r="H322" t="str">
            <v>A</v>
          </cell>
          <cell r="I322">
            <v>20201</v>
          </cell>
        </row>
        <row r="323">
          <cell r="A323" t="str">
            <v>F1B010061</v>
          </cell>
          <cell r="B323" t="str">
            <v>DWIYANTO AHMAD FIKRI</v>
          </cell>
          <cell r="C323">
            <v>20171</v>
          </cell>
          <cell r="D323">
            <v>0</v>
          </cell>
          <cell r="E323">
            <v>0</v>
          </cell>
          <cell r="F323">
            <v>30</v>
          </cell>
          <cell r="G323">
            <v>0.73</v>
          </cell>
          <cell r="H323" t="str">
            <v>A</v>
          </cell>
          <cell r="I323">
            <v>20201</v>
          </cell>
        </row>
        <row r="324">
          <cell r="A324" t="str">
            <v>F1B010062</v>
          </cell>
          <cell r="B324" t="str">
            <v>NAWI NAUFAN NADA</v>
          </cell>
          <cell r="C324">
            <v>20171</v>
          </cell>
          <cell r="D324">
            <v>4</v>
          </cell>
          <cell r="E324">
            <v>3.5</v>
          </cell>
          <cell r="F324">
            <v>155</v>
          </cell>
          <cell r="G324">
            <v>3.06</v>
          </cell>
          <cell r="H324" t="str">
            <v>A</v>
          </cell>
          <cell r="I324">
            <v>20201</v>
          </cell>
        </row>
        <row r="325">
          <cell r="A325" t="str">
            <v>F1B010063</v>
          </cell>
          <cell r="B325" t="str">
            <v>AKFA WAHYUDI</v>
          </cell>
          <cell r="C325">
            <v>20171</v>
          </cell>
          <cell r="D325">
            <v>0</v>
          </cell>
          <cell r="E325">
            <v>0</v>
          </cell>
          <cell r="F325">
            <v>37</v>
          </cell>
          <cell r="G325">
            <v>0.49</v>
          </cell>
          <cell r="H325" t="str">
            <v>A</v>
          </cell>
          <cell r="I325">
            <v>20201</v>
          </cell>
        </row>
        <row r="326">
          <cell r="A326" t="str">
            <v>F1B010064</v>
          </cell>
          <cell r="B326" t="str">
            <v>HASYRUL HIDAYAT</v>
          </cell>
          <cell r="C326">
            <v>20171</v>
          </cell>
          <cell r="D326">
            <v>0</v>
          </cell>
          <cell r="E326">
            <v>0</v>
          </cell>
          <cell r="F326">
            <v>46</v>
          </cell>
          <cell r="G326">
            <v>0.96</v>
          </cell>
          <cell r="H326" t="str">
            <v>A</v>
          </cell>
          <cell r="I326">
            <v>20201</v>
          </cell>
        </row>
        <row r="327">
          <cell r="A327" t="str">
            <v>F1B010065</v>
          </cell>
          <cell r="B327" t="str">
            <v>LALU RANDY ADITIA PRATAMA</v>
          </cell>
          <cell r="C327">
            <v>20171</v>
          </cell>
          <cell r="D327">
            <v>0</v>
          </cell>
          <cell r="E327">
            <v>0</v>
          </cell>
          <cell r="F327">
            <v>20</v>
          </cell>
          <cell r="G327">
            <v>0</v>
          </cell>
          <cell r="H327" t="str">
            <v>A</v>
          </cell>
          <cell r="I327">
            <v>20201</v>
          </cell>
        </row>
        <row r="328">
          <cell r="A328" t="str">
            <v>F1B010066</v>
          </cell>
          <cell r="B328" t="str">
            <v>YULIANA FATMI</v>
          </cell>
          <cell r="C328">
            <v>20171</v>
          </cell>
          <cell r="D328">
            <v>0</v>
          </cell>
          <cell r="E328">
            <v>0</v>
          </cell>
          <cell r="F328">
            <v>156</v>
          </cell>
          <cell r="G328">
            <v>2.93</v>
          </cell>
          <cell r="H328" t="str">
            <v>A</v>
          </cell>
          <cell r="I328">
            <v>20201</v>
          </cell>
        </row>
        <row r="329">
          <cell r="A329" t="str">
            <v>F1B010067</v>
          </cell>
          <cell r="B329" t="str">
            <v>PADLULLAH</v>
          </cell>
          <cell r="C329">
            <v>20171</v>
          </cell>
          <cell r="D329">
            <v>0</v>
          </cell>
          <cell r="E329">
            <v>0</v>
          </cell>
          <cell r="F329">
            <v>172</v>
          </cell>
          <cell r="G329">
            <v>2.58</v>
          </cell>
          <cell r="H329" t="str">
            <v>A</v>
          </cell>
          <cell r="I329">
            <v>20201</v>
          </cell>
        </row>
        <row r="330">
          <cell r="A330" t="str">
            <v>F1B010068</v>
          </cell>
          <cell r="B330" t="str">
            <v>ALWAN HASMADI</v>
          </cell>
          <cell r="C330">
            <v>20171</v>
          </cell>
          <cell r="D330">
            <v>0</v>
          </cell>
          <cell r="E330">
            <v>0</v>
          </cell>
          <cell r="F330">
            <v>160</v>
          </cell>
          <cell r="G330">
            <v>3.02</v>
          </cell>
          <cell r="H330" t="str">
            <v>A</v>
          </cell>
          <cell r="I330">
            <v>20201</v>
          </cell>
        </row>
        <row r="331">
          <cell r="A331" t="str">
            <v>F1B010069</v>
          </cell>
          <cell r="B331" t="str">
            <v>AHMAD ZAINI</v>
          </cell>
          <cell r="C331">
            <v>20171</v>
          </cell>
          <cell r="D331">
            <v>0</v>
          </cell>
          <cell r="E331">
            <v>0</v>
          </cell>
          <cell r="F331">
            <v>20</v>
          </cell>
          <cell r="G331">
            <v>0</v>
          </cell>
          <cell r="H331" t="str">
            <v>A</v>
          </cell>
          <cell r="I331">
            <v>20201</v>
          </cell>
        </row>
        <row r="332">
          <cell r="A332" t="str">
            <v>F1B010070</v>
          </cell>
          <cell r="B332" t="str">
            <v>ANDRI SUPANRI</v>
          </cell>
          <cell r="C332">
            <v>20171</v>
          </cell>
          <cell r="D332">
            <v>0</v>
          </cell>
          <cell r="E332">
            <v>0</v>
          </cell>
          <cell r="F332">
            <v>65</v>
          </cell>
          <cell r="G332">
            <v>1.53</v>
          </cell>
          <cell r="H332" t="str">
            <v>A</v>
          </cell>
          <cell r="I332">
            <v>20201</v>
          </cell>
        </row>
        <row r="333">
          <cell r="A333" t="str">
            <v>F1B010071</v>
          </cell>
          <cell r="B333" t="str">
            <v>EKO WAHYUDI</v>
          </cell>
          <cell r="C333">
            <v>20171</v>
          </cell>
          <cell r="D333">
            <v>4</v>
          </cell>
          <cell r="E333">
            <v>3.5</v>
          </cell>
          <cell r="F333">
            <v>177</v>
          </cell>
          <cell r="G333">
            <v>2.69</v>
          </cell>
          <cell r="H333" t="str">
            <v>A</v>
          </cell>
          <cell r="I333">
            <v>20201</v>
          </cell>
        </row>
        <row r="334">
          <cell r="A334" t="str">
            <v>F1B010072</v>
          </cell>
          <cell r="B334" t="str">
            <v>IMAM HIDAYAT</v>
          </cell>
          <cell r="C334">
            <v>20171</v>
          </cell>
          <cell r="D334">
            <v>0</v>
          </cell>
          <cell r="E334">
            <v>0</v>
          </cell>
          <cell r="F334">
            <v>174</v>
          </cell>
          <cell r="G334">
            <v>2.43</v>
          </cell>
          <cell r="H334" t="str">
            <v>A</v>
          </cell>
          <cell r="I334">
            <v>20201</v>
          </cell>
        </row>
        <row r="335">
          <cell r="A335" t="str">
            <v>F1B010073</v>
          </cell>
          <cell r="B335" t="str">
            <v>JULIA RUDIYANTO</v>
          </cell>
          <cell r="C335">
            <v>20171</v>
          </cell>
          <cell r="D335">
            <v>0</v>
          </cell>
          <cell r="E335">
            <v>0</v>
          </cell>
          <cell r="F335">
            <v>69</v>
          </cell>
          <cell r="G335">
            <v>1.34</v>
          </cell>
          <cell r="H335" t="str">
            <v>A</v>
          </cell>
          <cell r="I335">
            <v>20201</v>
          </cell>
        </row>
        <row r="336">
          <cell r="A336" t="str">
            <v>F1B010074</v>
          </cell>
          <cell r="B336" t="str">
            <v>MUHAMAD TAUFIK</v>
          </cell>
          <cell r="C336">
            <v>20171</v>
          </cell>
          <cell r="D336">
            <v>0</v>
          </cell>
          <cell r="E336">
            <v>0</v>
          </cell>
          <cell r="F336">
            <v>180</v>
          </cell>
          <cell r="G336">
            <v>2.54</v>
          </cell>
          <cell r="H336" t="str">
            <v>A</v>
          </cell>
          <cell r="I336">
            <v>20201</v>
          </cell>
        </row>
        <row r="337">
          <cell r="A337" t="str">
            <v>F1B010075</v>
          </cell>
          <cell r="B337" t="str">
            <v>NANDY NAWAITULAH</v>
          </cell>
          <cell r="C337">
            <v>20171</v>
          </cell>
          <cell r="D337">
            <v>0</v>
          </cell>
          <cell r="E337">
            <v>0</v>
          </cell>
          <cell r="F337">
            <v>149</v>
          </cell>
          <cell r="G337">
            <v>3.17</v>
          </cell>
          <cell r="H337" t="str">
            <v>A</v>
          </cell>
          <cell r="I337">
            <v>20201</v>
          </cell>
        </row>
        <row r="338">
          <cell r="A338" t="str">
            <v>F1B010076</v>
          </cell>
          <cell r="B338" t="str">
            <v>SAEFULLAH</v>
          </cell>
          <cell r="C338">
            <v>20171</v>
          </cell>
          <cell r="D338">
            <v>0</v>
          </cell>
          <cell r="E338">
            <v>0</v>
          </cell>
          <cell r="F338">
            <v>40</v>
          </cell>
          <cell r="G338">
            <v>1.05</v>
          </cell>
          <cell r="H338" t="str">
            <v>A</v>
          </cell>
          <cell r="I338">
            <v>20201</v>
          </cell>
        </row>
        <row r="339">
          <cell r="A339" t="str">
            <v>F1B010077</v>
          </cell>
          <cell r="B339" t="str">
            <v>AHMAD SADAM SYAEROZI</v>
          </cell>
          <cell r="C339">
            <v>20171</v>
          </cell>
          <cell r="D339">
            <v>0</v>
          </cell>
          <cell r="E339">
            <v>0</v>
          </cell>
          <cell r="F339">
            <v>148</v>
          </cell>
          <cell r="G339">
            <v>2.98</v>
          </cell>
          <cell r="H339" t="str">
            <v>A</v>
          </cell>
          <cell r="I339">
            <v>20201</v>
          </cell>
        </row>
        <row r="340">
          <cell r="A340" t="str">
            <v>F1B010078</v>
          </cell>
          <cell r="B340" t="str">
            <v>HENDRA TRISNAYADI</v>
          </cell>
          <cell r="C340">
            <v>20171</v>
          </cell>
          <cell r="D340">
            <v>0</v>
          </cell>
          <cell r="E340">
            <v>0</v>
          </cell>
          <cell r="F340">
            <v>169</v>
          </cell>
          <cell r="G340">
            <v>2.47</v>
          </cell>
          <cell r="H340" t="str">
            <v>A</v>
          </cell>
          <cell r="I340">
            <v>20201</v>
          </cell>
        </row>
        <row r="341">
          <cell r="A341" t="str">
            <v>F1B010079</v>
          </cell>
          <cell r="B341" t="str">
            <v>AGAN DWIDIO CAKTI</v>
          </cell>
          <cell r="C341">
            <v>20171</v>
          </cell>
          <cell r="D341">
            <v>0</v>
          </cell>
          <cell r="E341">
            <v>0</v>
          </cell>
          <cell r="F341">
            <v>20</v>
          </cell>
          <cell r="G341">
            <v>0</v>
          </cell>
          <cell r="H341" t="str">
            <v>A</v>
          </cell>
          <cell r="I341">
            <v>20201</v>
          </cell>
        </row>
        <row r="342">
          <cell r="A342" t="str">
            <v>F1B010080</v>
          </cell>
          <cell r="B342" t="str">
            <v>RISCA ARIE WAHYUNINGSIH</v>
          </cell>
          <cell r="C342">
            <v>20171</v>
          </cell>
          <cell r="D342">
            <v>0</v>
          </cell>
          <cell r="E342">
            <v>0</v>
          </cell>
          <cell r="F342">
            <v>151</v>
          </cell>
          <cell r="G342">
            <v>3.4</v>
          </cell>
          <cell r="H342" t="str">
            <v>A</v>
          </cell>
          <cell r="I342">
            <v>20201</v>
          </cell>
        </row>
        <row r="343">
          <cell r="A343" t="str">
            <v>F1B010081</v>
          </cell>
          <cell r="B343" t="str">
            <v>MOH. FITRAYADI</v>
          </cell>
          <cell r="C343">
            <v>20171</v>
          </cell>
          <cell r="D343">
            <v>4</v>
          </cell>
          <cell r="E343">
            <v>3.5</v>
          </cell>
          <cell r="F343">
            <v>188</v>
          </cell>
          <cell r="G343">
            <v>2.3</v>
          </cell>
          <cell r="H343" t="str">
            <v>A</v>
          </cell>
          <cell r="I343">
            <v>20201</v>
          </cell>
        </row>
        <row r="344">
          <cell r="A344" t="str">
            <v>F1B010082</v>
          </cell>
          <cell r="B344" t="str">
            <v>AHMAD URVAFI</v>
          </cell>
          <cell r="C344">
            <v>20171</v>
          </cell>
          <cell r="D344">
            <v>0</v>
          </cell>
          <cell r="E344">
            <v>0</v>
          </cell>
          <cell r="F344">
            <v>66</v>
          </cell>
          <cell r="G344">
            <v>1.37</v>
          </cell>
          <cell r="H344" t="str">
            <v>A</v>
          </cell>
          <cell r="I344">
            <v>20201</v>
          </cell>
        </row>
        <row r="345">
          <cell r="A345" t="str">
            <v>F1B010083</v>
          </cell>
          <cell r="B345" t="str">
            <v>RIZQI WAHYUDI</v>
          </cell>
          <cell r="C345">
            <v>20171</v>
          </cell>
          <cell r="D345">
            <v>0</v>
          </cell>
          <cell r="E345">
            <v>0</v>
          </cell>
          <cell r="F345">
            <v>55</v>
          </cell>
          <cell r="G345">
            <v>1.36</v>
          </cell>
          <cell r="H345" t="str">
            <v>A</v>
          </cell>
          <cell r="I345">
            <v>20201</v>
          </cell>
        </row>
        <row r="346">
          <cell r="A346" t="str">
            <v>F1B010084</v>
          </cell>
          <cell r="B346" t="str">
            <v>SUKANDRANA ARYA PENIDA</v>
          </cell>
          <cell r="C346">
            <v>20171</v>
          </cell>
          <cell r="D346">
            <v>0</v>
          </cell>
          <cell r="E346">
            <v>0</v>
          </cell>
          <cell r="F346">
            <v>20</v>
          </cell>
          <cell r="G346">
            <v>0</v>
          </cell>
          <cell r="H346" t="str">
            <v>A</v>
          </cell>
          <cell r="I346">
            <v>20201</v>
          </cell>
        </row>
        <row r="347">
          <cell r="A347" t="str">
            <v>F1B010085</v>
          </cell>
          <cell r="B347" t="str">
            <v>ARI ARDIAN KHAIR</v>
          </cell>
          <cell r="C347">
            <v>20171</v>
          </cell>
          <cell r="D347">
            <v>0</v>
          </cell>
          <cell r="E347">
            <v>0</v>
          </cell>
          <cell r="F347">
            <v>20</v>
          </cell>
          <cell r="G347">
            <v>0</v>
          </cell>
          <cell r="H347" t="str">
            <v>A</v>
          </cell>
          <cell r="I347">
            <v>20201</v>
          </cell>
        </row>
        <row r="348">
          <cell r="A348" t="str">
            <v>F1B010086</v>
          </cell>
          <cell r="B348" t="str">
            <v>RODIKA NURBAITI</v>
          </cell>
          <cell r="C348">
            <v>20171</v>
          </cell>
          <cell r="D348">
            <v>0</v>
          </cell>
          <cell r="E348">
            <v>0</v>
          </cell>
          <cell r="F348">
            <v>39</v>
          </cell>
          <cell r="G348">
            <v>1.55</v>
          </cell>
          <cell r="H348" t="str">
            <v>A</v>
          </cell>
          <cell r="I348">
            <v>20201</v>
          </cell>
        </row>
        <row r="349">
          <cell r="A349" t="str">
            <v>F1B010087</v>
          </cell>
          <cell r="B349" t="str">
            <v>MARDIAN RIZKA HARSANI</v>
          </cell>
          <cell r="C349">
            <v>20171</v>
          </cell>
          <cell r="D349">
            <v>0</v>
          </cell>
          <cell r="E349">
            <v>0</v>
          </cell>
          <cell r="F349">
            <v>152</v>
          </cell>
          <cell r="G349">
            <v>3.45</v>
          </cell>
          <cell r="H349" t="str">
            <v>A</v>
          </cell>
          <cell r="I349">
            <v>20201</v>
          </cell>
        </row>
        <row r="350">
          <cell r="A350" t="str">
            <v>F1B010088</v>
          </cell>
          <cell r="B350" t="str">
            <v>HENY WULANDARI</v>
          </cell>
          <cell r="C350">
            <v>20171</v>
          </cell>
          <cell r="D350">
            <v>0</v>
          </cell>
          <cell r="E350">
            <v>0</v>
          </cell>
          <cell r="F350">
            <v>39</v>
          </cell>
          <cell r="G350">
            <v>1.58</v>
          </cell>
          <cell r="H350" t="str">
            <v>A</v>
          </cell>
          <cell r="I350">
            <v>20201</v>
          </cell>
        </row>
        <row r="351">
          <cell r="A351" t="str">
            <v>F1B010089</v>
          </cell>
          <cell r="B351" t="str">
            <v>I KADEK DHARMAWAN</v>
          </cell>
          <cell r="C351">
            <v>20171</v>
          </cell>
          <cell r="D351">
            <v>0</v>
          </cell>
          <cell r="E351">
            <v>0</v>
          </cell>
          <cell r="F351">
            <v>20</v>
          </cell>
          <cell r="G351">
            <v>0</v>
          </cell>
          <cell r="H351" t="str">
            <v>A</v>
          </cell>
          <cell r="I351">
            <v>20201</v>
          </cell>
        </row>
        <row r="352">
          <cell r="A352" t="str">
            <v>F1B010090</v>
          </cell>
          <cell r="B352" t="str">
            <v>ANDHIKA WAHYU P</v>
          </cell>
          <cell r="C352">
            <v>20171</v>
          </cell>
          <cell r="D352">
            <v>0</v>
          </cell>
          <cell r="E352">
            <v>0</v>
          </cell>
          <cell r="F352">
            <v>20</v>
          </cell>
          <cell r="G352">
            <v>0.35</v>
          </cell>
          <cell r="H352" t="str">
            <v>A</v>
          </cell>
          <cell r="I352">
            <v>20201</v>
          </cell>
        </row>
        <row r="353">
          <cell r="A353" t="str">
            <v>F1B010091</v>
          </cell>
          <cell r="B353" t="str">
            <v>RACHMANURRASYID</v>
          </cell>
          <cell r="C353">
            <v>20171</v>
          </cell>
          <cell r="D353">
            <v>0</v>
          </cell>
          <cell r="E353">
            <v>0</v>
          </cell>
          <cell r="F353">
            <v>54</v>
          </cell>
          <cell r="G353">
            <v>1.24</v>
          </cell>
          <cell r="H353" t="str">
            <v>A</v>
          </cell>
          <cell r="I353">
            <v>20201</v>
          </cell>
        </row>
        <row r="354">
          <cell r="A354" t="str">
            <v>F1B010092</v>
          </cell>
          <cell r="B354" t="str">
            <v>RIZKA HAFINATUNNISA</v>
          </cell>
          <cell r="C354">
            <v>20171</v>
          </cell>
          <cell r="D354">
            <v>4</v>
          </cell>
          <cell r="E354">
            <v>3.5</v>
          </cell>
          <cell r="F354">
            <v>177</v>
          </cell>
          <cell r="G354">
            <v>2.42</v>
          </cell>
          <cell r="H354" t="str">
            <v>A</v>
          </cell>
          <cell r="I354">
            <v>20201</v>
          </cell>
        </row>
        <row r="355">
          <cell r="A355" t="str">
            <v>F1B011001</v>
          </cell>
          <cell r="B355" t="str">
            <v>Achmad Kharis P</v>
          </cell>
          <cell r="C355">
            <v>20171</v>
          </cell>
          <cell r="D355">
            <v>4</v>
          </cell>
          <cell r="E355">
            <v>0</v>
          </cell>
          <cell r="F355">
            <v>166</v>
          </cell>
          <cell r="G355">
            <v>2.2</v>
          </cell>
          <cell r="H355" t="str">
            <v>A</v>
          </cell>
          <cell r="I355">
            <v>20201</v>
          </cell>
        </row>
        <row r="356">
          <cell r="A356" t="str">
            <v>F1B011002</v>
          </cell>
          <cell r="B356" t="str">
            <v>Agung Hendrawan</v>
          </cell>
          <cell r="C356">
            <v>20171</v>
          </cell>
          <cell r="D356">
            <v>0</v>
          </cell>
          <cell r="E356">
            <v>0</v>
          </cell>
          <cell r="F356">
            <v>75</v>
          </cell>
          <cell r="G356">
            <v>1.27</v>
          </cell>
          <cell r="H356" t="str">
            <v>A</v>
          </cell>
          <cell r="I356">
            <v>20201</v>
          </cell>
        </row>
        <row r="357">
          <cell r="A357" t="str">
            <v>F1B011003</v>
          </cell>
          <cell r="B357" t="str">
            <v>Ahmad Farid Wajdi</v>
          </cell>
          <cell r="C357">
            <v>20171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 t="str">
            <v>A</v>
          </cell>
          <cell r="I357">
            <v>20201</v>
          </cell>
        </row>
        <row r="358">
          <cell r="A358" t="str">
            <v>F1B011004</v>
          </cell>
          <cell r="B358" t="str">
            <v>Ahmad Muhibbin</v>
          </cell>
          <cell r="C358">
            <v>20171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 t="str">
            <v>A</v>
          </cell>
          <cell r="I358">
            <v>20201</v>
          </cell>
        </row>
        <row r="359">
          <cell r="A359" t="str">
            <v>F1B011005</v>
          </cell>
          <cell r="B359" t="str">
            <v>Ahmad Tantoni</v>
          </cell>
          <cell r="C359">
            <v>20171</v>
          </cell>
          <cell r="D359">
            <v>0</v>
          </cell>
          <cell r="E359">
            <v>0</v>
          </cell>
          <cell r="F359">
            <v>39</v>
          </cell>
          <cell r="G359">
            <v>1.36</v>
          </cell>
          <cell r="H359" t="str">
            <v>A</v>
          </cell>
          <cell r="I359">
            <v>20201</v>
          </cell>
        </row>
        <row r="360">
          <cell r="A360" t="str">
            <v>F1B011006</v>
          </cell>
          <cell r="B360" t="str">
            <v>Ahmad Tarmizi Tahir</v>
          </cell>
          <cell r="C360">
            <v>20171</v>
          </cell>
          <cell r="D360">
            <v>0</v>
          </cell>
          <cell r="E360">
            <v>0</v>
          </cell>
          <cell r="F360">
            <v>177</v>
          </cell>
          <cell r="G360">
            <v>2.19</v>
          </cell>
          <cell r="H360" t="str">
            <v>A</v>
          </cell>
          <cell r="I360">
            <v>20201</v>
          </cell>
        </row>
        <row r="361">
          <cell r="A361" t="str">
            <v>F1B011007</v>
          </cell>
          <cell r="B361" t="str">
            <v>Aiman Ihsanul Akbar</v>
          </cell>
          <cell r="C361">
            <v>20171</v>
          </cell>
          <cell r="D361">
            <v>0</v>
          </cell>
          <cell r="E361">
            <v>0</v>
          </cell>
          <cell r="F361">
            <v>20</v>
          </cell>
          <cell r="G361">
            <v>0</v>
          </cell>
          <cell r="H361" t="str">
            <v>A</v>
          </cell>
          <cell r="I361">
            <v>20201</v>
          </cell>
        </row>
        <row r="362">
          <cell r="A362" t="str">
            <v>F1B011008</v>
          </cell>
          <cell r="B362" t="str">
            <v>Alhasibunur</v>
          </cell>
          <cell r="C362">
            <v>20171</v>
          </cell>
          <cell r="D362">
            <v>0</v>
          </cell>
          <cell r="E362">
            <v>0</v>
          </cell>
          <cell r="F362">
            <v>52</v>
          </cell>
          <cell r="G362">
            <v>1.16</v>
          </cell>
          <cell r="H362" t="str">
            <v>A</v>
          </cell>
          <cell r="I362">
            <v>20201</v>
          </cell>
        </row>
        <row r="363">
          <cell r="A363" t="str">
            <v>F1B011009</v>
          </cell>
          <cell r="B363" t="str">
            <v>Almurozy Mursidan</v>
          </cell>
          <cell r="C363">
            <v>20171</v>
          </cell>
          <cell r="D363">
            <v>4</v>
          </cell>
          <cell r="E363">
            <v>3.5</v>
          </cell>
          <cell r="F363">
            <v>189</v>
          </cell>
          <cell r="G363">
            <v>2.46</v>
          </cell>
          <cell r="H363" t="str">
            <v>A</v>
          </cell>
          <cell r="I363">
            <v>20201</v>
          </cell>
        </row>
        <row r="364">
          <cell r="A364" t="str">
            <v>F1B011010</v>
          </cell>
          <cell r="B364" t="str">
            <v>Andri Puryoto</v>
          </cell>
          <cell r="C364">
            <v>20171</v>
          </cell>
          <cell r="D364">
            <v>0</v>
          </cell>
          <cell r="E364">
            <v>0</v>
          </cell>
          <cell r="F364">
            <v>39</v>
          </cell>
          <cell r="G364">
            <v>1.88</v>
          </cell>
          <cell r="H364" t="str">
            <v>A</v>
          </cell>
          <cell r="I364">
            <v>20201</v>
          </cell>
        </row>
        <row r="365">
          <cell r="A365" t="str">
            <v>F1B011011</v>
          </cell>
          <cell r="B365" t="str">
            <v>Apriadi</v>
          </cell>
          <cell r="C365">
            <v>20171</v>
          </cell>
          <cell r="D365">
            <v>4</v>
          </cell>
          <cell r="E365">
            <v>4</v>
          </cell>
          <cell r="F365">
            <v>163</v>
          </cell>
          <cell r="G365">
            <v>3.09</v>
          </cell>
          <cell r="H365" t="str">
            <v>A</v>
          </cell>
          <cell r="I365">
            <v>20201</v>
          </cell>
        </row>
        <row r="366">
          <cell r="A366" t="str">
            <v>F1B011012</v>
          </cell>
          <cell r="B366" t="str">
            <v>Ari Rahmi Hermawati</v>
          </cell>
          <cell r="C366">
            <v>20171</v>
          </cell>
          <cell r="D366">
            <v>0</v>
          </cell>
          <cell r="E366">
            <v>0</v>
          </cell>
          <cell r="F366">
            <v>166</v>
          </cell>
          <cell r="G366">
            <v>2.81</v>
          </cell>
          <cell r="H366" t="str">
            <v>A</v>
          </cell>
          <cell r="I366">
            <v>20201</v>
          </cell>
        </row>
        <row r="367">
          <cell r="A367" t="str">
            <v>F1B011013</v>
          </cell>
          <cell r="B367" t="str">
            <v>Ariel Firmansyah</v>
          </cell>
          <cell r="C367">
            <v>20171</v>
          </cell>
          <cell r="D367">
            <v>0</v>
          </cell>
          <cell r="E367">
            <v>0</v>
          </cell>
          <cell r="F367">
            <v>166</v>
          </cell>
          <cell r="G367">
            <v>2.73</v>
          </cell>
          <cell r="H367" t="str">
            <v>A</v>
          </cell>
          <cell r="I367">
            <v>20201</v>
          </cell>
        </row>
        <row r="368">
          <cell r="A368" t="str">
            <v>F1B011014</v>
          </cell>
          <cell r="B368" t="str">
            <v>Aryadi Putra</v>
          </cell>
          <cell r="C368">
            <v>20171</v>
          </cell>
          <cell r="D368">
            <v>0</v>
          </cell>
          <cell r="E368">
            <v>0</v>
          </cell>
          <cell r="F368">
            <v>39</v>
          </cell>
          <cell r="G368">
            <v>1.1</v>
          </cell>
          <cell r="H368" t="str">
            <v>A</v>
          </cell>
          <cell r="I368">
            <v>20201</v>
          </cell>
        </row>
        <row r="369">
          <cell r="A369" t="str">
            <v>F1B011015</v>
          </cell>
          <cell r="B369" t="str">
            <v>Baiq Widya Ayu MP</v>
          </cell>
          <cell r="C369">
            <v>20171</v>
          </cell>
          <cell r="D369">
            <v>0</v>
          </cell>
          <cell r="E369">
            <v>0</v>
          </cell>
          <cell r="F369">
            <v>31</v>
          </cell>
          <cell r="G369">
            <v>0.45</v>
          </cell>
          <cell r="H369" t="str">
            <v>A</v>
          </cell>
          <cell r="I369">
            <v>20201</v>
          </cell>
        </row>
        <row r="370">
          <cell r="A370" t="str">
            <v>F1B011016</v>
          </cell>
          <cell r="B370" t="str">
            <v>Brian Arnanda Razak</v>
          </cell>
          <cell r="C370">
            <v>20171</v>
          </cell>
          <cell r="D370">
            <v>0</v>
          </cell>
          <cell r="E370">
            <v>0</v>
          </cell>
          <cell r="F370">
            <v>169</v>
          </cell>
          <cell r="G370">
            <v>2.94</v>
          </cell>
          <cell r="H370" t="str">
            <v>A</v>
          </cell>
          <cell r="I370">
            <v>20201</v>
          </cell>
        </row>
        <row r="371">
          <cell r="A371" t="str">
            <v>F1B011017</v>
          </cell>
          <cell r="B371" t="str">
            <v>Darmawan</v>
          </cell>
          <cell r="C371">
            <v>20171</v>
          </cell>
          <cell r="D371">
            <v>20</v>
          </cell>
          <cell r="E371">
            <v>1.53</v>
          </cell>
          <cell r="F371">
            <v>186</v>
          </cell>
          <cell r="G371">
            <v>1.89</v>
          </cell>
          <cell r="H371" t="str">
            <v>A</v>
          </cell>
          <cell r="I371">
            <v>20201</v>
          </cell>
        </row>
        <row r="372">
          <cell r="A372" t="str">
            <v>F1B011018</v>
          </cell>
          <cell r="B372" t="str">
            <v>Dewa Putu Satria W</v>
          </cell>
          <cell r="C372">
            <v>20171</v>
          </cell>
          <cell r="D372">
            <v>4</v>
          </cell>
          <cell r="E372">
            <v>4</v>
          </cell>
          <cell r="F372">
            <v>170</v>
          </cell>
          <cell r="G372">
            <v>2.62</v>
          </cell>
          <cell r="H372" t="str">
            <v>A</v>
          </cell>
          <cell r="I372">
            <v>20201</v>
          </cell>
        </row>
        <row r="373">
          <cell r="A373" t="str">
            <v>F1B011019</v>
          </cell>
          <cell r="B373" t="str">
            <v>Dewi Ratna Juita</v>
          </cell>
          <cell r="C373">
            <v>20171</v>
          </cell>
          <cell r="D373">
            <v>0</v>
          </cell>
          <cell r="E373">
            <v>0</v>
          </cell>
          <cell r="F373">
            <v>97</v>
          </cell>
          <cell r="G373">
            <v>2.32</v>
          </cell>
          <cell r="H373" t="str">
            <v>A</v>
          </cell>
          <cell r="I373">
            <v>20201</v>
          </cell>
        </row>
        <row r="374">
          <cell r="A374" t="str">
            <v>F1B011020</v>
          </cell>
          <cell r="B374" t="str">
            <v>Dhias Cahyadi F</v>
          </cell>
          <cell r="C374">
            <v>20171</v>
          </cell>
          <cell r="D374">
            <v>0</v>
          </cell>
          <cell r="E374">
            <v>0</v>
          </cell>
          <cell r="F374">
            <v>41</v>
          </cell>
          <cell r="G374">
            <v>1.27</v>
          </cell>
          <cell r="H374" t="str">
            <v>A</v>
          </cell>
          <cell r="I374">
            <v>20201</v>
          </cell>
        </row>
        <row r="375">
          <cell r="A375" t="str">
            <v>F1B011022</v>
          </cell>
          <cell r="B375" t="str">
            <v>Eka Imansyah</v>
          </cell>
          <cell r="C375">
            <v>20171</v>
          </cell>
          <cell r="D375">
            <v>0</v>
          </cell>
          <cell r="E375">
            <v>0</v>
          </cell>
          <cell r="F375">
            <v>67</v>
          </cell>
          <cell r="G375">
            <v>0.99</v>
          </cell>
          <cell r="H375" t="str">
            <v>A</v>
          </cell>
          <cell r="I375">
            <v>20201</v>
          </cell>
        </row>
        <row r="376">
          <cell r="A376" t="str">
            <v>F1B011023</v>
          </cell>
          <cell r="B376" t="str">
            <v>Eko Efri Wartanto</v>
          </cell>
          <cell r="C376">
            <v>20171</v>
          </cell>
          <cell r="D376">
            <v>0</v>
          </cell>
          <cell r="E376">
            <v>0</v>
          </cell>
          <cell r="F376">
            <v>178</v>
          </cell>
          <cell r="G376">
            <v>2.74</v>
          </cell>
          <cell r="H376" t="str">
            <v>A</v>
          </cell>
          <cell r="I376">
            <v>20201</v>
          </cell>
        </row>
        <row r="377">
          <cell r="A377" t="str">
            <v>F1B011025</v>
          </cell>
          <cell r="B377" t="str">
            <v>Evan Pawaka Utama</v>
          </cell>
          <cell r="C377">
            <v>20171</v>
          </cell>
          <cell r="D377">
            <v>4</v>
          </cell>
          <cell r="E377">
            <v>4</v>
          </cell>
          <cell r="F377">
            <v>162</v>
          </cell>
          <cell r="G377">
            <v>3.06</v>
          </cell>
          <cell r="H377" t="str">
            <v>A</v>
          </cell>
          <cell r="I377">
            <v>20201</v>
          </cell>
        </row>
        <row r="378">
          <cell r="A378" t="str">
            <v>F1B011026</v>
          </cell>
          <cell r="B378" t="str">
            <v>Vini Triani</v>
          </cell>
          <cell r="C378">
            <v>20171</v>
          </cell>
          <cell r="D378">
            <v>9</v>
          </cell>
          <cell r="E378">
            <v>0</v>
          </cell>
          <cell r="F378">
            <v>154</v>
          </cell>
          <cell r="G378">
            <v>1.98</v>
          </cell>
          <cell r="H378" t="str">
            <v>A</v>
          </cell>
          <cell r="I378">
            <v>20201</v>
          </cell>
        </row>
        <row r="379">
          <cell r="A379" t="str">
            <v>F1B011027</v>
          </cell>
          <cell r="B379" t="str">
            <v>Frans Jordan K W</v>
          </cell>
          <cell r="C379">
            <v>20171</v>
          </cell>
          <cell r="D379">
            <v>0</v>
          </cell>
          <cell r="E379">
            <v>0</v>
          </cell>
          <cell r="F379">
            <v>203</v>
          </cell>
          <cell r="G379">
            <v>2.53</v>
          </cell>
          <cell r="H379" t="str">
            <v>A</v>
          </cell>
          <cell r="I379">
            <v>20201</v>
          </cell>
        </row>
        <row r="380">
          <cell r="A380" t="str">
            <v>F1B011028</v>
          </cell>
          <cell r="B380" t="str">
            <v>Gde Wetan Pragena A</v>
          </cell>
          <cell r="C380">
            <v>20171</v>
          </cell>
          <cell r="D380">
            <v>0</v>
          </cell>
          <cell r="E380">
            <v>0</v>
          </cell>
          <cell r="F380">
            <v>148</v>
          </cell>
          <cell r="G380">
            <v>1.9</v>
          </cell>
          <cell r="H380" t="str">
            <v>A</v>
          </cell>
          <cell r="I380">
            <v>20201</v>
          </cell>
        </row>
        <row r="381">
          <cell r="A381" t="str">
            <v>F1B011030</v>
          </cell>
          <cell r="B381" t="str">
            <v>Hadi Keswanto</v>
          </cell>
          <cell r="C381">
            <v>20171</v>
          </cell>
          <cell r="D381">
            <v>0</v>
          </cell>
          <cell r="E381">
            <v>0</v>
          </cell>
          <cell r="F381">
            <v>20</v>
          </cell>
          <cell r="G381">
            <v>1.45</v>
          </cell>
          <cell r="H381" t="str">
            <v>A</v>
          </cell>
          <cell r="I381">
            <v>20201</v>
          </cell>
        </row>
        <row r="382">
          <cell r="A382" t="str">
            <v>F1B011031</v>
          </cell>
          <cell r="B382" t="str">
            <v>Haidi Hidayat</v>
          </cell>
          <cell r="C382">
            <v>20171</v>
          </cell>
          <cell r="D382">
            <v>0</v>
          </cell>
          <cell r="E382">
            <v>0</v>
          </cell>
          <cell r="F382">
            <v>39</v>
          </cell>
          <cell r="G382">
            <v>1.27</v>
          </cell>
          <cell r="H382" t="str">
            <v>A</v>
          </cell>
          <cell r="I382">
            <v>20201</v>
          </cell>
        </row>
        <row r="383">
          <cell r="A383" t="str">
            <v>F1B011032</v>
          </cell>
          <cell r="B383" t="str">
            <v>Heri Hidayat</v>
          </cell>
          <cell r="C383">
            <v>20171</v>
          </cell>
          <cell r="D383">
            <v>0</v>
          </cell>
          <cell r="E383">
            <v>0</v>
          </cell>
          <cell r="F383">
            <v>159</v>
          </cell>
          <cell r="G383">
            <v>2.9</v>
          </cell>
          <cell r="H383" t="str">
            <v>A</v>
          </cell>
          <cell r="I383">
            <v>20201</v>
          </cell>
        </row>
        <row r="384">
          <cell r="A384" t="str">
            <v>F1B011033</v>
          </cell>
          <cell r="B384" t="str">
            <v>I Gede Ferryawan</v>
          </cell>
          <cell r="C384">
            <v>20171</v>
          </cell>
          <cell r="D384">
            <v>0</v>
          </cell>
          <cell r="E384">
            <v>0</v>
          </cell>
          <cell r="F384">
            <v>155</v>
          </cell>
          <cell r="G384">
            <v>3.3</v>
          </cell>
          <cell r="H384" t="str">
            <v>A</v>
          </cell>
          <cell r="I384">
            <v>20201</v>
          </cell>
        </row>
        <row r="385">
          <cell r="A385" t="str">
            <v>F1B011034</v>
          </cell>
          <cell r="B385" t="str">
            <v>I Gusti Ayu Kusdiah</v>
          </cell>
          <cell r="C385">
            <v>20171</v>
          </cell>
          <cell r="D385">
            <v>0</v>
          </cell>
          <cell r="E385">
            <v>0</v>
          </cell>
          <cell r="F385">
            <v>152</v>
          </cell>
          <cell r="G385">
            <v>3.27</v>
          </cell>
          <cell r="H385" t="str">
            <v>A</v>
          </cell>
          <cell r="I385">
            <v>20201</v>
          </cell>
        </row>
        <row r="386">
          <cell r="A386" t="str">
            <v>F1B011035</v>
          </cell>
          <cell r="B386" t="str">
            <v>I Gede Subagia Artha</v>
          </cell>
          <cell r="C386">
            <v>20171</v>
          </cell>
          <cell r="D386">
            <v>3</v>
          </cell>
          <cell r="E386">
            <v>3.33</v>
          </cell>
          <cell r="F386">
            <v>175</v>
          </cell>
          <cell r="G386">
            <v>2.47</v>
          </cell>
          <cell r="H386" t="str">
            <v>A</v>
          </cell>
          <cell r="I386">
            <v>20201</v>
          </cell>
        </row>
        <row r="387">
          <cell r="A387" t="str">
            <v>F1B011036</v>
          </cell>
          <cell r="B387" t="str">
            <v>I Gusti Ayu Kusdiah Gemeliarana</v>
          </cell>
          <cell r="C387">
            <v>20171</v>
          </cell>
          <cell r="D387">
            <v>0</v>
          </cell>
          <cell r="E387">
            <v>0</v>
          </cell>
          <cell r="F387">
            <v>164</v>
          </cell>
          <cell r="G387">
            <v>3.21</v>
          </cell>
          <cell r="H387" t="str">
            <v>A</v>
          </cell>
          <cell r="I387">
            <v>20201</v>
          </cell>
        </row>
        <row r="388">
          <cell r="A388" t="str">
            <v>F1B011037</v>
          </cell>
          <cell r="B388" t="str">
            <v>I Made Ary Swantika</v>
          </cell>
          <cell r="C388">
            <v>20171</v>
          </cell>
          <cell r="D388">
            <v>0</v>
          </cell>
          <cell r="E388">
            <v>0</v>
          </cell>
          <cell r="F388">
            <v>161</v>
          </cell>
          <cell r="G388">
            <v>3.05</v>
          </cell>
          <cell r="H388" t="str">
            <v>A</v>
          </cell>
          <cell r="I388">
            <v>20201</v>
          </cell>
        </row>
        <row r="389">
          <cell r="A389" t="str">
            <v>F1B011038</v>
          </cell>
          <cell r="B389" t="str">
            <v>I Made Dwipayana</v>
          </cell>
          <cell r="C389">
            <v>20171</v>
          </cell>
          <cell r="D389">
            <v>0</v>
          </cell>
          <cell r="E389">
            <v>0</v>
          </cell>
          <cell r="F389">
            <v>164</v>
          </cell>
          <cell r="G389">
            <v>2.88</v>
          </cell>
          <cell r="H389" t="str">
            <v>A</v>
          </cell>
          <cell r="I389">
            <v>20201</v>
          </cell>
        </row>
        <row r="390">
          <cell r="A390" t="str">
            <v>F1B011039</v>
          </cell>
          <cell r="B390" t="str">
            <v>I Md Sandhi Artha W</v>
          </cell>
          <cell r="C390">
            <v>20171</v>
          </cell>
          <cell r="D390">
            <v>0</v>
          </cell>
          <cell r="E390">
            <v>0</v>
          </cell>
          <cell r="F390">
            <v>153</v>
          </cell>
          <cell r="G390">
            <v>3.49</v>
          </cell>
          <cell r="H390" t="str">
            <v>A</v>
          </cell>
          <cell r="I390">
            <v>20201</v>
          </cell>
        </row>
        <row r="391">
          <cell r="A391" t="str">
            <v>F1B011040</v>
          </cell>
          <cell r="B391" t="str">
            <v>I Nyoman Didik Pramana</v>
          </cell>
          <cell r="C391">
            <v>20171</v>
          </cell>
          <cell r="D391">
            <v>0</v>
          </cell>
          <cell r="E391">
            <v>0</v>
          </cell>
          <cell r="F391">
            <v>20</v>
          </cell>
          <cell r="G391">
            <v>1.3</v>
          </cell>
          <cell r="H391" t="str">
            <v>A</v>
          </cell>
          <cell r="I391">
            <v>20201</v>
          </cell>
        </row>
        <row r="392">
          <cell r="A392" t="str">
            <v>F1B011041</v>
          </cell>
          <cell r="B392" t="str">
            <v>I Wayan Arya Putra K</v>
          </cell>
          <cell r="C392">
            <v>20171</v>
          </cell>
          <cell r="D392">
            <v>14</v>
          </cell>
          <cell r="E392">
            <v>3.29</v>
          </cell>
          <cell r="F392">
            <v>180</v>
          </cell>
          <cell r="G392">
            <v>2.57</v>
          </cell>
          <cell r="H392" t="str">
            <v>A</v>
          </cell>
          <cell r="I392">
            <v>20201</v>
          </cell>
        </row>
        <row r="393">
          <cell r="A393" t="str">
            <v>F1B011042</v>
          </cell>
          <cell r="B393" t="str">
            <v>I Wayan Suaryana Putra</v>
          </cell>
          <cell r="C393">
            <v>20171</v>
          </cell>
          <cell r="D393">
            <v>0</v>
          </cell>
          <cell r="E393">
            <v>0</v>
          </cell>
          <cell r="F393">
            <v>154</v>
          </cell>
          <cell r="G393">
            <v>2.92</v>
          </cell>
          <cell r="H393" t="str">
            <v>A</v>
          </cell>
          <cell r="I393">
            <v>20201</v>
          </cell>
        </row>
        <row r="394">
          <cell r="A394" t="str">
            <v>F1B011043</v>
          </cell>
          <cell r="B394" t="str">
            <v>Ida Bgs Pt Eka Paksi</v>
          </cell>
          <cell r="C394">
            <v>20171</v>
          </cell>
          <cell r="D394">
            <v>0</v>
          </cell>
          <cell r="E394">
            <v>0</v>
          </cell>
          <cell r="F394">
            <v>159</v>
          </cell>
          <cell r="G394">
            <v>3.09</v>
          </cell>
          <cell r="H394" t="str">
            <v>A</v>
          </cell>
          <cell r="I394">
            <v>20201</v>
          </cell>
        </row>
        <row r="395">
          <cell r="A395" t="str">
            <v>F1B011044</v>
          </cell>
          <cell r="B395" t="str">
            <v>Iqra Wiryadinata</v>
          </cell>
          <cell r="C395">
            <v>20171</v>
          </cell>
          <cell r="D395">
            <v>0</v>
          </cell>
          <cell r="E395">
            <v>0</v>
          </cell>
          <cell r="F395">
            <v>20</v>
          </cell>
          <cell r="G395">
            <v>0</v>
          </cell>
          <cell r="H395" t="str">
            <v>A</v>
          </cell>
          <cell r="I395">
            <v>20201</v>
          </cell>
        </row>
        <row r="396">
          <cell r="A396" t="str">
            <v>F1B011045</v>
          </cell>
          <cell r="B396" t="str">
            <v>Jihadun</v>
          </cell>
          <cell r="C396">
            <v>20171</v>
          </cell>
          <cell r="D396">
            <v>0</v>
          </cell>
          <cell r="E396">
            <v>0</v>
          </cell>
          <cell r="F396">
            <v>37</v>
          </cell>
          <cell r="G396">
            <v>1.46</v>
          </cell>
          <cell r="H396" t="str">
            <v>A</v>
          </cell>
          <cell r="I396">
            <v>20201</v>
          </cell>
        </row>
        <row r="397">
          <cell r="A397" t="str">
            <v>F1B011046</v>
          </cell>
          <cell r="B397" t="str">
            <v>Kadek Dwi Diani S.P</v>
          </cell>
          <cell r="C397">
            <v>20171</v>
          </cell>
          <cell r="D397">
            <v>0</v>
          </cell>
          <cell r="E397">
            <v>0</v>
          </cell>
          <cell r="F397">
            <v>156</v>
          </cell>
          <cell r="G397">
            <v>3.03</v>
          </cell>
          <cell r="H397" t="str">
            <v>A</v>
          </cell>
          <cell r="I397">
            <v>20201</v>
          </cell>
        </row>
        <row r="398">
          <cell r="A398" t="str">
            <v>F1B011047</v>
          </cell>
          <cell r="B398" t="str">
            <v>Ketut Waga Purnama P</v>
          </cell>
          <cell r="C398">
            <v>20171</v>
          </cell>
          <cell r="D398">
            <v>0</v>
          </cell>
          <cell r="E398">
            <v>0</v>
          </cell>
          <cell r="F398">
            <v>160</v>
          </cell>
          <cell r="G398">
            <v>2.86</v>
          </cell>
          <cell r="H398" t="str">
            <v>A</v>
          </cell>
          <cell r="I398">
            <v>20201</v>
          </cell>
        </row>
        <row r="399">
          <cell r="A399" t="str">
            <v>F1B011048</v>
          </cell>
          <cell r="B399" t="str">
            <v>L. Wahyu Iman Prajaya</v>
          </cell>
          <cell r="C399">
            <v>20171</v>
          </cell>
          <cell r="D399">
            <v>0</v>
          </cell>
          <cell r="E399">
            <v>0</v>
          </cell>
          <cell r="F399">
            <v>158</v>
          </cell>
          <cell r="G399">
            <v>3.15</v>
          </cell>
          <cell r="H399" t="str">
            <v>A</v>
          </cell>
          <cell r="I399">
            <v>20201</v>
          </cell>
        </row>
        <row r="400">
          <cell r="A400" t="str">
            <v>F1B011049</v>
          </cell>
          <cell r="B400" t="str">
            <v>Lalu Ismail Bohari</v>
          </cell>
          <cell r="C400">
            <v>20171</v>
          </cell>
          <cell r="D400">
            <v>0</v>
          </cell>
          <cell r="E400">
            <v>0</v>
          </cell>
          <cell r="F400">
            <v>20</v>
          </cell>
          <cell r="G400">
            <v>0</v>
          </cell>
          <cell r="H400" t="str">
            <v>A</v>
          </cell>
          <cell r="I400">
            <v>20201</v>
          </cell>
        </row>
        <row r="401">
          <cell r="A401" t="str">
            <v>F1B011050</v>
          </cell>
          <cell r="B401" t="str">
            <v>Lalu Nauvan KY</v>
          </cell>
          <cell r="C401">
            <v>20171</v>
          </cell>
          <cell r="D401">
            <v>0</v>
          </cell>
          <cell r="E401">
            <v>0</v>
          </cell>
          <cell r="F401">
            <v>168</v>
          </cell>
          <cell r="G401">
            <v>2.61</v>
          </cell>
          <cell r="H401" t="str">
            <v>A</v>
          </cell>
          <cell r="I401">
            <v>20201</v>
          </cell>
        </row>
        <row r="402">
          <cell r="A402" t="str">
            <v>F1B011051</v>
          </cell>
          <cell r="B402" t="str">
            <v>Lalu Wahyu Dedy A</v>
          </cell>
          <cell r="C402">
            <v>20171</v>
          </cell>
          <cell r="D402">
            <v>0</v>
          </cell>
          <cell r="E402">
            <v>0</v>
          </cell>
          <cell r="F402">
            <v>172</v>
          </cell>
          <cell r="G402">
            <v>2.85</v>
          </cell>
          <cell r="H402" t="str">
            <v>A</v>
          </cell>
          <cell r="I402">
            <v>20201</v>
          </cell>
        </row>
        <row r="403">
          <cell r="A403" t="str">
            <v>F1B011052</v>
          </cell>
          <cell r="B403" t="str">
            <v>M. Musfariawan A</v>
          </cell>
          <cell r="C403">
            <v>20171</v>
          </cell>
          <cell r="D403">
            <v>0</v>
          </cell>
          <cell r="E403">
            <v>0</v>
          </cell>
          <cell r="F403">
            <v>153</v>
          </cell>
          <cell r="G403">
            <v>3.08</v>
          </cell>
          <cell r="H403" t="str">
            <v>A</v>
          </cell>
          <cell r="I403">
            <v>20201</v>
          </cell>
        </row>
        <row r="404">
          <cell r="A404" t="str">
            <v>F1B011053</v>
          </cell>
          <cell r="B404" t="str">
            <v>M. Rasyidatul Afkari</v>
          </cell>
          <cell r="C404">
            <v>20171</v>
          </cell>
          <cell r="D404">
            <v>0</v>
          </cell>
          <cell r="E404">
            <v>0</v>
          </cell>
          <cell r="F404">
            <v>38</v>
          </cell>
          <cell r="G404">
            <v>1.01</v>
          </cell>
          <cell r="H404" t="str">
            <v>A</v>
          </cell>
          <cell r="I404">
            <v>20201</v>
          </cell>
        </row>
        <row r="405">
          <cell r="A405" t="str">
            <v>F1B011054</v>
          </cell>
          <cell r="B405" t="str">
            <v>Maria Desi Natalia W</v>
          </cell>
          <cell r="C405">
            <v>20171</v>
          </cell>
          <cell r="D405">
            <v>0</v>
          </cell>
          <cell r="E405">
            <v>0</v>
          </cell>
          <cell r="F405">
            <v>63</v>
          </cell>
          <cell r="G405">
            <v>1.95</v>
          </cell>
          <cell r="H405" t="str">
            <v>A</v>
          </cell>
          <cell r="I405">
            <v>20201</v>
          </cell>
        </row>
        <row r="406">
          <cell r="A406" t="str">
            <v>F1B011055</v>
          </cell>
          <cell r="B406" t="str">
            <v>Masyitah Aulia</v>
          </cell>
          <cell r="C406">
            <v>20171</v>
          </cell>
          <cell r="D406">
            <v>0</v>
          </cell>
          <cell r="E406">
            <v>0</v>
          </cell>
          <cell r="F406">
            <v>180</v>
          </cell>
          <cell r="G406">
            <v>3.05</v>
          </cell>
          <cell r="H406" t="str">
            <v>A</v>
          </cell>
          <cell r="I406">
            <v>20201</v>
          </cell>
        </row>
        <row r="407">
          <cell r="A407" t="str">
            <v>F1B011056</v>
          </cell>
          <cell r="B407" t="str">
            <v>Melina</v>
          </cell>
          <cell r="C407">
            <v>20171</v>
          </cell>
          <cell r="D407">
            <v>0</v>
          </cell>
          <cell r="E407">
            <v>0</v>
          </cell>
          <cell r="F407">
            <v>20</v>
          </cell>
          <cell r="G407">
            <v>0</v>
          </cell>
          <cell r="H407" t="str">
            <v>A</v>
          </cell>
          <cell r="I407">
            <v>20201</v>
          </cell>
        </row>
        <row r="408">
          <cell r="A408" t="str">
            <v>F1B011057</v>
          </cell>
          <cell r="B408" t="str">
            <v>Moh. Nugraha Kusuma</v>
          </cell>
          <cell r="C408">
            <v>20171</v>
          </cell>
          <cell r="D408">
            <v>0</v>
          </cell>
          <cell r="E408">
            <v>0</v>
          </cell>
          <cell r="F408">
            <v>41</v>
          </cell>
          <cell r="G408">
            <v>1.26</v>
          </cell>
          <cell r="H408" t="str">
            <v>A</v>
          </cell>
          <cell r="I408">
            <v>20201</v>
          </cell>
        </row>
        <row r="409">
          <cell r="A409" t="str">
            <v>F1B011058</v>
          </cell>
          <cell r="B409" t="str">
            <v>Mokh. Aditya Eka S.</v>
          </cell>
          <cell r="C409">
            <v>20171</v>
          </cell>
          <cell r="D409">
            <v>0</v>
          </cell>
          <cell r="E409">
            <v>0</v>
          </cell>
          <cell r="F409">
            <v>162</v>
          </cell>
          <cell r="G409">
            <v>2.82</v>
          </cell>
          <cell r="H409" t="str">
            <v>A</v>
          </cell>
          <cell r="I409">
            <v>20201</v>
          </cell>
        </row>
        <row r="410">
          <cell r="A410" t="str">
            <v>F1B011059</v>
          </cell>
          <cell r="B410" t="str">
            <v>Muhamad Ray Andiko</v>
          </cell>
          <cell r="C410">
            <v>20171</v>
          </cell>
          <cell r="D410">
            <v>0</v>
          </cell>
          <cell r="E410">
            <v>0</v>
          </cell>
          <cell r="F410">
            <v>23</v>
          </cell>
          <cell r="G410">
            <v>1.24</v>
          </cell>
          <cell r="H410" t="str">
            <v>A</v>
          </cell>
          <cell r="I410">
            <v>20201</v>
          </cell>
        </row>
        <row r="411">
          <cell r="A411" t="str">
            <v>F1B011061</v>
          </cell>
          <cell r="B411" t="str">
            <v>Muhammad Edwin I</v>
          </cell>
          <cell r="C411">
            <v>20171</v>
          </cell>
          <cell r="D411">
            <v>0</v>
          </cell>
          <cell r="E411">
            <v>0</v>
          </cell>
          <cell r="F411">
            <v>43</v>
          </cell>
          <cell r="G411">
            <v>1.48</v>
          </cell>
          <cell r="H411" t="str">
            <v>A</v>
          </cell>
          <cell r="I411">
            <v>20201</v>
          </cell>
        </row>
        <row r="412">
          <cell r="A412" t="str">
            <v>F1B011062</v>
          </cell>
          <cell r="B412" t="str">
            <v>Muhammad Marendra R.</v>
          </cell>
          <cell r="C412">
            <v>20171</v>
          </cell>
          <cell r="D412">
            <v>0</v>
          </cell>
          <cell r="E412">
            <v>0</v>
          </cell>
          <cell r="F412">
            <v>29</v>
          </cell>
          <cell r="G412">
            <v>0.55</v>
          </cell>
          <cell r="H412" t="str">
            <v>A</v>
          </cell>
          <cell r="I412">
            <v>20201</v>
          </cell>
        </row>
        <row r="413">
          <cell r="A413" t="str">
            <v>F1B011063</v>
          </cell>
          <cell r="B413" t="str">
            <v>Muhammad Naironul H.</v>
          </cell>
          <cell r="C413">
            <v>20171</v>
          </cell>
          <cell r="D413">
            <v>0</v>
          </cell>
          <cell r="E413">
            <v>0</v>
          </cell>
          <cell r="F413">
            <v>163</v>
          </cell>
          <cell r="G413">
            <v>2.98</v>
          </cell>
          <cell r="H413" t="str">
            <v>A</v>
          </cell>
          <cell r="I413">
            <v>20201</v>
          </cell>
        </row>
        <row r="414">
          <cell r="A414" t="str">
            <v>F1B011064</v>
          </cell>
          <cell r="B414" t="str">
            <v>Muliadi</v>
          </cell>
          <cell r="C414">
            <v>20171</v>
          </cell>
          <cell r="D414">
            <v>0</v>
          </cell>
          <cell r="E414">
            <v>0</v>
          </cell>
          <cell r="F414">
            <v>157</v>
          </cell>
          <cell r="G414">
            <v>2.75</v>
          </cell>
          <cell r="H414" t="str">
            <v>A</v>
          </cell>
          <cell r="I414">
            <v>20201</v>
          </cell>
        </row>
        <row r="415">
          <cell r="A415" t="str">
            <v>F1B011066</v>
          </cell>
          <cell r="B415" t="str">
            <v>Novianti Kusuma Wardani</v>
          </cell>
          <cell r="C415">
            <v>20171</v>
          </cell>
          <cell r="D415">
            <v>0</v>
          </cell>
          <cell r="E415">
            <v>0</v>
          </cell>
          <cell r="F415">
            <v>164</v>
          </cell>
          <cell r="G415">
            <v>2.77</v>
          </cell>
          <cell r="H415" t="str">
            <v>A</v>
          </cell>
          <cell r="I415">
            <v>20201</v>
          </cell>
        </row>
        <row r="416">
          <cell r="A416" t="str">
            <v>F1B011067</v>
          </cell>
          <cell r="B416" t="str">
            <v>Novita Khasana Putri</v>
          </cell>
          <cell r="C416">
            <v>20171</v>
          </cell>
          <cell r="D416">
            <v>0</v>
          </cell>
          <cell r="E416">
            <v>0</v>
          </cell>
          <cell r="F416">
            <v>153</v>
          </cell>
          <cell r="G416">
            <v>3.08</v>
          </cell>
          <cell r="H416" t="str">
            <v>A</v>
          </cell>
          <cell r="I416">
            <v>20201</v>
          </cell>
        </row>
        <row r="417">
          <cell r="A417" t="str">
            <v>F1B011068</v>
          </cell>
          <cell r="B417" t="str">
            <v>Nurlaily Agustiarini</v>
          </cell>
          <cell r="C417">
            <v>20171</v>
          </cell>
          <cell r="D417">
            <v>0</v>
          </cell>
          <cell r="E417">
            <v>0</v>
          </cell>
          <cell r="F417">
            <v>157</v>
          </cell>
          <cell r="G417">
            <v>2.99</v>
          </cell>
          <cell r="H417" t="str">
            <v>A</v>
          </cell>
          <cell r="I417">
            <v>20201</v>
          </cell>
        </row>
        <row r="418">
          <cell r="A418" t="str">
            <v>F1B011069</v>
          </cell>
          <cell r="B418" t="str">
            <v>Qanur Thariq</v>
          </cell>
          <cell r="C418">
            <v>20171</v>
          </cell>
          <cell r="D418">
            <v>24</v>
          </cell>
          <cell r="E418">
            <v>2.19</v>
          </cell>
          <cell r="F418">
            <v>209</v>
          </cell>
          <cell r="G418">
            <v>1.89</v>
          </cell>
          <cell r="H418" t="str">
            <v>A</v>
          </cell>
          <cell r="I418">
            <v>20201</v>
          </cell>
        </row>
        <row r="419">
          <cell r="A419" t="str">
            <v>F1B011070</v>
          </cell>
          <cell r="B419" t="str">
            <v>Rani Rahmawati Syafrin</v>
          </cell>
          <cell r="C419">
            <v>20171</v>
          </cell>
          <cell r="D419">
            <v>0</v>
          </cell>
          <cell r="E419">
            <v>0</v>
          </cell>
          <cell r="F419">
            <v>168</v>
          </cell>
          <cell r="G419">
            <v>2.97</v>
          </cell>
          <cell r="H419" t="str">
            <v>A</v>
          </cell>
          <cell r="I419">
            <v>20201</v>
          </cell>
        </row>
        <row r="420">
          <cell r="A420" t="str">
            <v>F1B011071</v>
          </cell>
          <cell r="B420" t="str">
            <v>Renyta Monica L.</v>
          </cell>
          <cell r="C420">
            <v>20171</v>
          </cell>
          <cell r="D420">
            <v>0</v>
          </cell>
          <cell r="E420">
            <v>0</v>
          </cell>
          <cell r="F420">
            <v>169</v>
          </cell>
          <cell r="G420">
            <v>2.53</v>
          </cell>
          <cell r="H420" t="str">
            <v>A</v>
          </cell>
          <cell r="I420">
            <v>20201</v>
          </cell>
        </row>
        <row r="421">
          <cell r="A421" t="str">
            <v>F1B011072</v>
          </cell>
          <cell r="B421" t="str">
            <v>Restu Nopiandi I.</v>
          </cell>
          <cell r="C421">
            <v>20171</v>
          </cell>
          <cell r="D421">
            <v>0</v>
          </cell>
          <cell r="E421">
            <v>0</v>
          </cell>
          <cell r="F421">
            <v>153</v>
          </cell>
          <cell r="G421">
            <v>3.28</v>
          </cell>
          <cell r="H421" t="str">
            <v>A</v>
          </cell>
          <cell r="I421">
            <v>20201</v>
          </cell>
        </row>
        <row r="422">
          <cell r="A422" t="str">
            <v>F1B011074</v>
          </cell>
          <cell r="B422" t="str">
            <v>Rosmaeni Agustina</v>
          </cell>
          <cell r="C422">
            <v>20171</v>
          </cell>
          <cell r="D422">
            <v>0</v>
          </cell>
          <cell r="E422">
            <v>0</v>
          </cell>
          <cell r="F422">
            <v>169</v>
          </cell>
          <cell r="G422">
            <v>2.89</v>
          </cell>
          <cell r="H422" t="str">
            <v>A</v>
          </cell>
          <cell r="I422">
            <v>20201</v>
          </cell>
        </row>
        <row r="423">
          <cell r="A423" t="str">
            <v>F1B011075</v>
          </cell>
          <cell r="B423" t="str">
            <v>Rosmalita Arini</v>
          </cell>
          <cell r="C423">
            <v>20171</v>
          </cell>
          <cell r="D423">
            <v>0</v>
          </cell>
          <cell r="E423">
            <v>0</v>
          </cell>
          <cell r="F423">
            <v>155</v>
          </cell>
          <cell r="G423">
            <v>3</v>
          </cell>
          <cell r="H423" t="str">
            <v>A</v>
          </cell>
          <cell r="I423">
            <v>20201</v>
          </cell>
        </row>
        <row r="424">
          <cell r="A424" t="str">
            <v>F1B011076</v>
          </cell>
          <cell r="B424" t="str">
            <v>Rozan Fahriady</v>
          </cell>
          <cell r="C424">
            <v>20171</v>
          </cell>
          <cell r="D424">
            <v>0</v>
          </cell>
          <cell r="E424">
            <v>0</v>
          </cell>
          <cell r="F424">
            <v>20</v>
          </cell>
          <cell r="G424">
            <v>0.8</v>
          </cell>
          <cell r="H424" t="str">
            <v>A</v>
          </cell>
          <cell r="I424">
            <v>20201</v>
          </cell>
        </row>
        <row r="425">
          <cell r="A425" t="str">
            <v>F1B011077</v>
          </cell>
          <cell r="B425" t="str">
            <v>Sarah</v>
          </cell>
          <cell r="C425">
            <v>20171</v>
          </cell>
          <cell r="D425">
            <v>0</v>
          </cell>
          <cell r="E425">
            <v>0</v>
          </cell>
          <cell r="F425">
            <v>157</v>
          </cell>
          <cell r="G425">
            <v>2.96</v>
          </cell>
          <cell r="H425" t="str">
            <v>A</v>
          </cell>
          <cell r="I425">
            <v>20201</v>
          </cell>
        </row>
        <row r="426">
          <cell r="A426" t="str">
            <v>F1B011078</v>
          </cell>
          <cell r="B426" t="str">
            <v>Sayekti Woro Kusrini</v>
          </cell>
          <cell r="C426">
            <v>20171</v>
          </cell>
          <cell r="D426">
            <v>0</v>
          </cell>
          <cell r="E426">
            <v>0</v>
          </cell>
          <cell r="F426">
            <v>159</v>
          </cell>
          <cell r="G426">
            <v>3.07</v>
          </cell>
          <cell r="H426" t="str">
            <v>A</v>
          </cell>
          <cell r="I426">
            <v>20201</v>
          </cell>
        </row>
        <row r="427">
          <cell r="A427" t="str">
            <v>F1B011079</v>
          </cell>
          <cell r="B427" t="str">
            <v>Sirajuddin Idris</v>
          </cell>
          <cell r="C427">
            <v>20171</v>
          </cell>
          <cell r="D427">
            <v>0</v>
          </cell>
          <cell r="E427">
            <v>0</v>
          </cell>
          <cell r="F427">
            <v>170</v>
          </cell>
          <cell r="G427">
            <v>2.96</v>
          </cell>
          <cell r="H427" t="str">
            <v>A</v>
          </cell>
          <cell r="I427">
            <v>20201</v>
          </cell>
        </row>
        <row r="428">
          <cell r="A428" t="str">
            <v>F1B011080</v>
          </cell>
          <cell r="B428" t="str">
            <v>Siti Nurul Fatihatun</v>
          </cell>
          <cell r="C428">
            <v>20171</v>
          </cell>
          <cell r="D428">
            <v>0</v>
          </cell>
          <cell r="E428">
            <v>0</v>
          </cell>
          <cell r="F428">
            <v>173</v>
          </cell>
          <cell r="G428">
            <v>2.59</v>
          </cell>
          <cell r="H428" t="str">
            <v>A</v>
          </cell>
          <cell r="I428">
            <v>20201</v>
          </cell>
        </row>
        <row r="429">
          <cell r="A429" t="str">
            <v>F1B011081</v>
          </cell>
          <cell r="B429" t="str">
            <v>Sofiyan Wahyudi</v>
          </cell>
          <cell r="C429">
            <v>20171</v>
          </cell>
          <cell r="D429">
            <v>0</v>
          </cell>
          <cell r="E429">
            <v>0</v>
          </cell>
          <cell r="F429">
            <v>20</v>
          </cell>
          <cell r="G429">
            <v>0</v>
          </cell>
          <cell r="H429" t="str">
            <v>A</v>
          </cell>
          <cell r="I429">
            <v>20201</v>
          </cell>
        </row>
        <row r="430">
          <cell r="A430" t="str">
            <v>F1B011084</v>
          </cell>
          <cell r="B430" t="str">
            <v>Susilawati Riskia</v>
          </cell>
          <cell r="C430">
            <v>20171</v>
          </cell>
          <cell r="D430">
            <v>0</v>
          </cell>
          <cell r="E430">
            <v>0</v>
          </cell>
          <cell r="F430">
            <v>166</v>
          </cell>
          <cell r="G430">
            <v>2.87</v>
          </cell>
          <cell r="H430" t="str">
            <v>A</v>
          </cell>
          <cell r="I430">
            <v>20201</v>
          </cell>
        </row>
        <row r="431">
          <cell r="A431" t="str">
            <v>F1B011085</v>
          </cell>
          <cell r="B431" t="str">
            <v>Tajuddin</v>
          </cell>
          <cell r="C431">
            <v>20171</v>
          </cell>
          <cell r="D431">
            <v>0</v>
          </cell>
          <cell r="E431">
            <v>0</v>
          </cell>
          <cell r="F431">
            <v>160</v>
          </cell>
          <cell r="G431">
            <v>2.96</v>
          </cell>
          <cell r="H431" t="str">
            <v>A</v>
          </cell>
          <cell r="I431">
            <v>20201</v>
          </cell>
        </row>
        <row r="432">
          <cell r="A432" t="str">
            <v>F1B011086</v>
          </cell>
          <cell r="B432" t="str">
            <v>Taufik Akbar Nuri</v>
          </cell>
          <cell r="C432">
            <v>20171</v>
          </cell>
          <cell r="D432">
            <v>0</v>
          </cell>
          <cell r="E432">
            <v>0</v>
          </cell>
          <cell r="F432">
            <v>47</v>
          </cell>
          <cell r="G432">
            <v>1.04</v>
          </cell>
          <cell r="H432" t="str">
            <v>A</v>
          </cell>
          <cell r="I432">
            <v>20201</v>
          </cell>
        </row>
        <row r="433">
          <cell r="A433" t="str">
            <v>F1B011087</v>
          </cell>
          <cell r="B433" t="str">
            <v>Tirmizi Yasir Rozak</v>
          </cell>
          <cell r="C433">
            <v>20171</v>
          </cell>
          <cell r="D433">
            <v>0</v>
          </cell>
          <cell r="E433">
            <v>0</v>
          </cell>
          <cell r="F433">
            <v>157</v>
          </cell>
          <cell r="G433">
            <v>3.09</v>
          </cell>
          <cell r="H433" t="str">
            <v>A</v>
          </cell>
          <cell r="I433">
            <v>20201</v>
          </cell>
        </row>
        <row r="434">
          <cell r="A434" t="str">
            <v>F1B011088</v>
          </cell>
          <cell r="B434" t="str">
            <v>Waesal Karni</v>
          </cell>
          <cell r="C434">
            <v>20171</v>
          </cell>
          <cell r="D434">
            <v>0</v>
          </cell>
          <cell r="E434">
            <v>0</v>
          </cell>
          <cell r="F434">
            <v>151</v>
          </cell>
          <cell r="G434">
            <v>3.1</v>
          </cell>
          <cell r="H434" t="str">
            <v>A</v>
          </cell>
          <cell r="I434">
            <v>20201</v>
          </cell>
        </row>
        <row r="435">
          <cell r="A435" t="str">
            <v>F1B011089</v>
          </cell>
          <cell r="B435" t="str">
            <v>Walid Hayaza</v>
          </cell>
          <cell r="C435">
            <v>20171</v>
          </cell>
          <cell r="D435">
            <v>0</v>
          </cell>
          <cell r="E435">
            <v>0</v>
          </cell>
          <cell r="F435">
            <v>20</v>
          </cell>
          <cell r="G435">
            <v>0.55</v>
          </cell>
          <cell r="H435" t="str">
            <v>A</v>
          </cell>
          <cell r="I435">
            <v>20201</v>
          </cell>
        </row>
        <row r="436">
          <cell r="A436" t="str">
            <v>F1B011090</v>
          </cell>
          <cell r="B436" t="str">
            <v>Wayan Sugiantara</v>
          </cell>
          <cell r="C436">
            <v>20171</v>
          </cell>
          <cell r="D436">
            <v>0</v>
          </cell>
          <cell r="E436">
            <v>0</v>
          </cell>
          <cell r="F436">
            <v>176</v>
          </cell>
          <cell r="G436">
            <v>2.51</v>
          </cell>
          <cell r="H436" t="str">
            <v>A</v>
          </cell>
          <cell r="I436">
            <v>20201</v>
          </cell>
        </row>
        <row r="437">
          <cell r="A437" t="str">
            <v>F1B011091</v>
          </cell>
          <cell r="B437" t="str">
            <v>Wiratama Iman Ramdha</v>
          </cell>
          <cell r="C437">
            <v>20171</v>
          </cell>
          <cell r="D437">
            <v>4</v>
          </cell>
          <cell r="E437">
            <v>3.5</v>
          </cell>
          <cell r="F437">
            <v>188</v>
          </cell>
          <cell r="G437">
            <v>2.63</v>
          </cell>
          <cell r="H437" t="str">
            <v>A</v>
          </cell>
          <cell r="I437">
            <v>20201</v>
          </cell>
        </row>
        <row r="438">
          <cell r="A438" t="str">
            <v>F1B011092</v>
          </cell>
          <cell r="B438" t="str">
            <v>Yakub Mardianto</v>
          </cell>
          <cell r="C438">
            <v>20171</v>
          </cell>
          <cell r="D438">
            <v>4</v>
          </cell>
          <cell r="E438">
            <v>3.5</v>
          </cell>
          <cell r="F438">
            <v>172</v>
          </cell>
          <cell r="G438">
            <v>2.73</v>
          </cell>
          <cell r="H438" t="str">
            <v>A</v>
          </cell>
          <cell r="I438">
            <v>20201</v>
          </cell>
        </row>
        <row r="439">
          <cell r="A439" t="str">
            <v>F1B011093</v>
          </cell>
          <cell r="B439" t="str">
            <v>Yuli Astuti H.</v>
          </cell>
          <cell r="C439">
            <v>20171</v>
          </cell>
          <cell r="D439">
            <v>0</v>
          </cell>
          <cell r="E439">
            <v>0</v>
          </cell>
          <cell r="F439">
            <v>101</v>
          </cell>
          <cell r="G439">
            <v>2.44</v>
          </cell>
          <cell r="H439" t="str">
            <v>A</v>
          </cell>
          <cell r="I439">
            <v>20201</v>
          </cell>
        </row>
        <row r="440">
          <cell r="A440" t="str">
            <v>F1B011095</v>
          </cell>
          <cell r="B440" t="str">
            <v>Zahrawandi</v>
          </cell>
          <cell r="C440">
            <v>20171</v>
          </cell>
          <cell r="D440">
            <v>0</v>
          </cell>
          <cell r="E440">
            <v>0</v>
          </cell>
          <cell r="F440">
            <v>158</v>
          </cell>
          <cell r="G440">
            <v>2.82</v>
          </cell>
          <cell r="H440" t="str">
            <v>A</v>
          </cell>
          <cell r="I440">
            <v>20201</v>
          </cell>
        </row>
        <row r="441">
          <cell r="A441" t="str">
            <v>F1B011096</v>
          </cell>
          <cell r="B441" t="str">
            <v>Zamhariratib</v>
          </cell>
          <cell r="C441">
            <v>20171</v>
          </cell>
          <cell r="D441">
            <v>0</v>
          </cell>
          <cell r="E441">
            <v>0</v>
          </cell>
          <cell r="F441">
            <v>152</v>
          </cell>
          <cell r="G441">
            <v>2.91</v>
          </cell>
          <cell r="H441" t="str">
            <v>A</v>
          </cell>
          <cell r="I441">
            <v>20201</v>
          </cell>
        </row>
        <row r="442">
          <cell r="A442" t="str">
            <v>F1B011097</v>
          </cell>
          <cell r="B442" t="str">
            <v>Zayyan Atsigah</v>
          </cell>
          <cell r="C442">
            <v>20171</v>
          </cell>
          <cell r="D442">
            <v>4</v>
          </cell>
          <cell r="E442">
            <v>3.5</v>
          </cell>
          <cell r="F442">
            <v>192</v>
          </cell>
          <cell r="G442">
            <v>2.35</v>
          </cell>
          <cell r="H442" t="str">
            <v>A</v>
          </cell>
          <cell r="I442">
            <v>20201</v>
          </cell>
        </row>
        <row r="443">
          <cell r="A443" t="str">
            <v>F1B012001</v>
          </cell>
          <cell r="B443" t="str">
            <v>Aan Kurniawan</v>
          </cell>
          <cell r="C443">
            <v>20171</v>
          </cell>
          <cell r="D443">
            <v>0</v>
          </cell>
          <cell r="E443">
            <v>0</v>
          </cell>
          <cell r="F443">
            <v>160</v>
          </cell>
          <cell r="G443">
            <v>2.87</v>
          </cell>
          <cell r="H443" t="str">
            <v>A</v>
          </cell>
          <cell r="I443">
            <v>20201</v>
          </cell>
        </row>
        <row r="444">
          <cell r="A444" t="str">
            <v>F1B012002</v>
          </cell>
          <cell r="B444" t="str">
            <v>Abdul Chalel Rahman</v>
          </cell>
          <cell r="C444">
            <v>20171</v>
          </cell>
          <cell r="D444">
            <v>0</v>
          </cell>
          <cell r="E444">
            <v>0</v>
          </cell>
          <cell r="F444">
            <v>37</v>
          </cell>
          <cell r="G444">
            <v>1.51</v>
          </cell>
          <cell r="H444" t="str">
            <v>A</v>
          </cell>
          <cell r="I444">
            <v>20201</v>
          </cell>
        </row>
        <row r="445">
          <cell r="A445" t="str">
            <v>F1B012003</v>
          </cell>
          <cell r="B445" t="str">
            <v>Abdul Hafiz</v>
          </cell>
          <cell r="C445">
            <v>20171</v>
          </cell>
          <cell r="D445">
            <v>0</v>
          </cell>
          <cell r="E445">
            <v>0</v>
          </cell>
          <cell r="F445">
            <v>42</v>
          </cell>
          <cell r="G445">
            <v>2.6</v>
          </cell>
          <cell r="H445" t="str">
            <v>A</v>
          </cell>
          <cell r="I445">
            <v>20201</v>
          </cell>
        </row>
        <row r="446">
          <cell r="A446" t="str">
            <v>F1B012004</v>
          </cell>
          <cell r="B446" t="str">
            <v>Adi Muzayyad</v>
          </cell>
          <cell r="C446">
            <v>20171</v>
          </cell>
          <cell r="D446">
            <v>0</v>
          </cell>
          <cell r="E446">
            <v>0</v>
          </cell>
          <cell r="F446">
            <v>166</v>
          </cell>
          <cell r="G446">
            <v>2.55</v>
          </cell>
          <cell r="H446" t="str">
            <v>A</v>
          </cell>
          <cell r="I446">
            <v>20201</v>
          </cell>
        </row>
        <row r="447">
          <cell r="A447" t="str">
            <v>F1B012005</v>
          </cell>
          <cell r="B447" t="str">
            <v>Ahmad Amrillah</v>
          </cell>
          <cell r="C447">
            <v>20171</v>
          </cell>
          <cell r="D447">
            <v>5</v>
          </cell>
          <cell r="E447">
            <v>3.8</v>
          </cell>
          <cell r="F447">
            <v>150</v>
          </cell>
          <cell r="G447">
            <v>2.99</v>
          </cell>
          <cell r="H447" t="str">
            <v>A</v>
          </cell>
          <cell r="I447">
            <v>20201</v>
          </cell>
        </row>
        <row r="448">
          <cell r="A448" t="str">
            <v>F1B012006</v>
          </cell>
          <cell r="B448" t="str">
            <v>Ahmad Jalaludin</v>
          </cell>
          <cell r="C448">
            <v>20171</v>
          </cell>
          <cell r="D448">
            <v>14</v>
          </cell>
          <cell r="E448">
            <v>1.64</v>
          </cell>
          <cell r="F448">
            <v>146</v>
          </cell>
          <cell r="G448">
            <v>1.99</v>
          </cell>
          <cell r="H448" t="str">
            <v>A</v>
          </cell>
          <cell r="I448">
            <v>20201</v>
          </cell>
        </row>
        <row r="449">
          <cell r="A449" t="str">
            <v>F1B012007</v>
          </cell>
          <cell r="B449" t="str">
            <v>Alan Vikhta</v>
          </cell>
          <cell r="C449">
            <v>20171</v>
          </cell>
          <cell r="D449">
            <v>7</v>
          </cell>
          <cell r="E449">
            <v>1.79</v>
          </cell>
          <cell r="F449">
            <v>173</v>
          </cell>
          <cell r="G449">
            <v>2.64</v>
          </cell>
          <cell r="H449" t="str">
            <v>A</v>
          </cell>
          <cell r="I449">
            <v>20201</v>
          </cell>
        </row>
        <row r="450">
          <cell r="A450" t="str">
            <v>F1B012009</v>
          </cell>
          <cell r="B450" t="str">
            <v>Amirudin</v>
          </cell>
          <cell r="C450">
            <v>20171</v>
          </cell>
          <cell r="D450">
            <v>0</v>
          </cell>
          <cell r="E450">
            <v>0</v>
          </cell>
          <cell r="F450">
            <v>183</v>
          </cell>
          <cell r="G450">
            <v>2.57</v>
          </cell>
          <cell r="H450" t="str">
            <v>A</v>
          </cell>
          <cell r="I450">
            <v>20201</v>
          </cell>
        </row>
        <row r="451">
          <cell r="A451" t="str">
            <v>F1B012010</v>
          </cell>
          <cell r="B451" t="str">
            <v>Ana Lestari</v>
          </cell>
          <cell r="C451">
            <v>20171</v>
          </cell>
          <cell r="D451">
            <v>0</v>
          </cell>
          <cell r="E451">
            <v>0</v>
          </cell>
          <cell r="F451">
            <v>150</v>
          </cell>
          <cell r="G451">
            <v>3.38</v>
          </cell>
          <cell r="H451" t="str">
            <v>A</v>
          </cell>
          <cell r="I451">
            <v>20201</v>
          </cell>
        </row>
        <row r="452">
          <cell r="A452" t="str">
            <v>F1B012011</v>
          </cell>
          <cell r="B452" t="str">
            <v>Andep Saputra</v>
          </cell>
          <cell r="C452">
            <v>20171</v>
          </cell>
          <cell r="D452">
            <v>0</v>
          </cell>
          <cell r="E452">
            <v>0</v>
          </cell>
          <cell r="F452">
            <v>151</v>
          </cell>
          <cell r="G452">
            <v>2.91</v>
          </cell>
          <cell r="H452" t="str">
            <v>A</v>
          </cell>
          <cell r="I452">
            <v>20201</v>
          </cell>
        </row>
        <row r="453">
          <cell r="A453" t="str">
            <v>F1B012012</v>
          </cell>
          <cell r="B453" t="str">
            <v>Andryo Iskandar</v>
          </cell>
          <cell r="C453">
            <v>20171</v>
          </cell>
          <cell r="D453">
            <v>0</v>
          </cell>
          <cell r="E453">
            <v>0</v>
          </cell>
          <cell r="F453">
            <v>156</v>
          </cell>
          <cell r="G453">
            <v>3.33</v>
          </cell>
          <cell r="H453" t="str">
            <v>A</v>
          </cell>
          <cell r="I453">
            <v>20201</v>
          </cell>
        </row>
        <row r="454">
          <cell r="A454" t="str">
            <v>F1B012013</v>
          </cell>
          <cell r="B454" t="str">
            <v>Anna Afif Aprian</v>
          </cell>
          <cell r="C454">
            <v>20171</v>
          </cell>
          <cell r="D454">
            <v>0</v>
          </cell>
          <cell r="E454">
            <v>0</v>
          </cell>
          <cell r="F454">
            <v>151</v>
          </cell>
          <cell r="G454">
            <v>3.21</v>
          </cell>
          <cell r="H454" t="str">
            <v>A</v>
          </cell>
          <cell r="I454">
            <v>20201</v>
          </cell>
        </row>
        <row r="455">
          <cell r="A455" t="str">
            <v>F1B012014</v>
          </cell>
          <cell r="B455" t="str">
            <v>Aresta Daniel</v>
          </cell>
          <cell r="C455">
            <v>20171</v>
          </cell>
          <cell r="D455">
            <v>6</v>
          </cell>
          <cell r="E455">
            <v>2</v>
          </cell>
          <cell r="F455">
            <v>164</v>
          </cell>
          <cell r="G455">
            <v>2.32</v>
          </cell>
          <cell r="H455" t="str">
            <v>A</v>
          </cell>
          <cell r="I455">
            <v>20201</v>
          </cell>
        </row>
        <row r="456">
          <cell r="A456" t="str">
            <v>F1B012017</v>
          </cell>
          <cell r="B456" t="str">
            <v>Atiq Qurata Ayun</v>
          </cell>
          <cell r="C456">
            <v>20171</v>
          </cell>
          <cell r="D456">
            <v>0</v>
          </cell>
          <cell r="E456">
            <v>0</v>
          </cell>
          <cell r="F456">
            <v>165</v>
          </cell>
          <cell r="G456">
            <v>2.87</v>
          </cell>
          <cell r="H456" t="str">
            <v>A</v>
          </cell>
          <cell r="I456">
            <v>20201</v>
          </cell>
        </row>
        <row r="457">
          <cell r="A457" t="str">
            <v>F1B012018</v>
          </cell>
          <cell r="B457" t="str">
            <v>Bangun Juliardi</v>
          </cell>
          <cell r="C457">
            <v>20171</v>
          </cell>
          <cell r="D457">
            <v>0</v>
          </cell>
          <cell r="E457">
            <v>0</v>
          </cell>
          <cell r="F457">
            <v>60</v>
          </cell>
          <cell r="G457">
            <v>1.16</v>
          </cell>
          <cell r="H457" t="str">
            <v>A</v>
          </cell>
          <cell r="I457">
            <v>20201</v>
          </cell>
        </row>
        <row r="458">
          <cell r="A458" t="str">
            <v>F1B012019</v>
          </cell>
          <cell r="B458" t="str">
            <v>Bayu Andipa</v>
          </cell>
          <cell r="C458">
            <v>20171</v>
          </cell>
          <cell r="D458">
            <v>4</v>
          </cell>
          <cell r="E458">
            <v>3.5</v>
          </cell>
          <cell r="F458">
            <v>155</v>
          </cell>
          <cell r="G458">
            <v>3.01</v>
          </cell>
          <cell r="H458" t="str">
            <v>A</v>
          </cell>
          <cell r="I458">
            <v>20201</v>
          </cell>
        </row>
        <row r="459">
          <cell r="A459" t="str">
            <v>F1B012020</v>
          </cell>
          <cell r="B459" t="str">
            <v>Budi Fitrianti</v>
          </cell>
          <cell r="C459">
            <v>20171</v>
          </cell>
          <cell r="D459">
            <v>3</v>
          </cell>
          <cell r="E459">
            <v>2.5</v>
          </cell>
          <cell r="F459">
            <v>167</v>
          </cell>
          <cell r="G459">
            <v>2.86</v>
          </cell>
          <cell r="H459" t="str">
            <v>A</v>
          </cell>
          <cell r="I459">
            <v>20201</v>
          </cell>
        </row>
        <row r="460">
          <cell r="A460" t="str">
            <v>F1B012021</v>
          </cell>
          <cell r="B460" t="str">
            <v>Budiman</v>
          </cell>
          <cell r="C460">
            <v>20171</v>
          </cell>
          <cell r="D460">
            <v>0</v>
          </cell>
          <cell r="E460">
            <v>0</v>
          </cell>
          <cell r="F460">
            <v>37</v>
          </cell>
          <cell r="G460">
            <v>0.82</v>
          </cell>
          <cell r="H460" t="str">
            <v>A</v>
          </cell>
          <cell r="I460">
            <v>20201</v>
          </cell>
        </row>
        <row r="461">
          <cell r="A461" t="str">
            <v>F1B012022</v>
          </cell>
          <cell r="B461" t="str">
            <v>Desi Andriani Rahman</v>
          </cell>
          <cell r="C461">
            <v>20171</v>
          </cell>
          <cell r="D461">
            <v>0</v>
          </cell>
          <cell r="E461">
            <v>0</v>
          </cell>
          <cell r="F461">
            <v>160</v>
          </cell>
          <cell r="G461">
            <v>3.01</v>
          </cell>
          <cell r="H461" t="str">
            <v>A</v>
          </cell>
          <cell r="I461">
            <v>20201</v>
          </cell>
        </row>
        <row r="462">
          <cell r="A462" t="str">
            <v>F1B012023</v>
          </cell>
          <cell r="B462" t="str">
            <v>Diah Ayu Maulidina</v>
          </cell>
          <cell r="C462">
            <v>20171</v>
          </cell>
          <cell r="D462">
            <v>0</v>
          </cell>
          <cell r="E462">
            <v>0</v>
          </cell>
          <cell r="F462">
            <v>41</v>
          </cell>
          <cell r="G462">
            <v>1.34</v>
          </cell>
          <cell r="H462" t="str">
            <v>A</v>
          </cell>
          <cell r="I462">
            <v>20201</v>
          </cell>
        </row>
        <row r="463">
          <cell r="A463" t="str">
            <v>F1B012024</v>
          </cell>
          <cell r="B463" t="str">
            <v>Dian Nihry Yusnil W</v>
          </cell>
          <cell r="C463">
            <v>20171</v>
          </cell>
          <cell r="D463">
            <v>0</v>
          </cell>
          <cell r="E463">
            <v>0</v>
          </cell>
          <cell r="F463">
            <v>164</v>
          </cell>
          <cell r="G463">
            <v>2.59</v>
          </cell>
          <cell r="H463" t="str">
            <v>A</v>
          </cell>
          <cell r="I463">
            <v>20201</v>
          </cell>
        </row>
        <row r="464">
          <cell r="A464" t="str">
            <v>F1B012025</v>
          </cell>
          <cell r="B464" t="str">
            <v>Dinar Yuliyanti</v>
          </cell>
          <cell r="C464">
            <v>20171</v>
          </cell>
          <cell r="D464">
            <v>0</v>
          </cell>
          <cell r="E464">
            <v>0</v>
          </cell>
          <cell r="F464">
            <v>161</v>
          </cell>
          <cell r="G464">
            <v>2.99</v>
          </cell>
          <cell r="H464" t="str">
            <v>A</v>
          </cell>
          <cell r="I464">
            <v>20201</v>
          </cell>
        </row>
        <row r="465">
          <cell r="A465" t="str">
            <v>F1B012026</v>
          </cell>
          <cell r="B465" t="str">
            <v>Endang Sakinah</v>
          </cell>
          <cell r="C465">
            <v>20171</v>
          </cell>
          <cell r="D465">
            <v>2</v>
          </cell>
          <cell r="E465">
            <v>0</v>
          </cell>
          <cell r="F465">
            <v>172</v>
          </cell>
          <cell r="G465">
            <v>2.24</v>
          </cell>
          <cell r="H465" t="str">
            <v>A</v>
          </cell>
          <cell r="I465">
            <v>20201</v>
          </cell>
        </row>
        <row r="466">
          <cell r="A466" t="str">
            <v>F1B012030</v>
          </cell>
          <cell r="B466" t="str">
            <v>Fibrian Ismayadi</v>
          </cell>
          <cell r="C466">
            <v>20171</v>
          </cell>
          <cell r="D466">
            <v>4</v>
          </cell>
          <cell r="E466">
            <v>0.75</v>
          </cell>
          <cell r="F466">
            <v>175</v>
          </cell>
          <cell r="G466">
            <v>2.31</v>
          </cell>
          <cell r="H466" t="str">
            <v>A</v>
          </cell>
          <cell r="I466">
            <v>20201</v>
          </cell>
        </row>
        <row r="467">
          <cell r="A467" t="str">
            <v>F1B012031</v>
          </cell>
          <cell r="B467" t="str">
            <v>Fiqri Jamal</v>
          </cell>
          <cell r="C467">
            <v>20171</v>
          </cell>
          <cell r="D467">
            <v>0</v>
          </cell>
          <cell r="E467">
            <v>0</v>
          </cell>
          <cell r="F467">
            <v>159</v>
          </cell>
          <cell r="G467">
            <v>3.15</v>
          </cell>
          <cell r="H467" t="str">
            <v>A</v>
          </cell>
          <cell r="I467">
            <v>20201</v>
          </cell>
        </row>
        <row r="468">
          <cell r="A468" t="str">
            <v>F1B012035</v>
          </cell>
          <cell r="B468" t="str">
            <v>Hamdan Makbul</v>
          </cell>
          <cell r="C468">
            <v>20171</v>
          </cell>
          <cell r="D468">
            <v>3</v>
          </cell>
          <cell r="E468">
            <v>0</v>
          </cell>
          <cell r="F468">
            <v>169</v>
          </cell>
          <cell r="G468">
            <v>2.51</v>
          </cell>
          <cell r="H468" t="str">
            <v>A</v>
          </cell>
          <cell r="I468">
            <v>20201</v>
          </cell>
        </row>
        <row r="469">
          <cell r="A469" t="str">
            <v>F1B012036</v>
          </cell>
          <cell r="B469" t="str">
            <v>Hamdani AM</v>
          </cell>
          <cell r="C469">
            <v>20171</v>
          </cell>
          <cell r="D469">
            <v>0</v>
          </cell>
          <cell r="E469">
            <v>0</v>
          </cell>
          <cell r="F469">
            <v>45</v>
          </cell>
          <cell r="G469">
            <v>0.84</v>
          </cell>
          <cell r="H469" t="str">
            <v>A</v>
          </cell>
          <cell r="I469">
            <v>20201</v>
          </cell>
        </row>
        <row r="470">
          <cell r="A470" t="str">
            <v>F1B012037</v>
          </cell>
          <cell r="B470" t="str">
            <v>Hendra KP</v>
          </cell>
          <cell r="C470">
            <v>20171</v>
          </cell>
          <cell r="D470">
            <v>19</v>
          </cell>
          <cell r="E470">
            <v>3.16</v>
          </cell>
          <cell r="F470">
            <v>150</v>
          </cell>
          <cell r="G470">
            <v>2.93</v>
          </cell>
          <cell r="H470" t="str">
            <v>A</v>
          </cell>
          <cell r="I470">
            <v>20201</v>
          </cell>
        </row>
        <row r="471">
          <cell r="A471" t="str">
            <v>F1B012039</v>
          </cell>
          <cell r="B471" t="str">
            <v>I Made Ardana</v>
          </cell>
          <cell r="C471">
            <v>20171</v>
          </cell>
          <cell r="D471">
            <v>0</v>
          </cell>
          <cell r="E471">
            <v>0</v>
          </cell>
          <cell r="F471">
            <v>151</v>
          </cell>
          <cell r="G471">
            <v>3.39</v>
          </cell>
          <cell r="H471" t="str">
            <v>A</v>
          </cell>
          <cell r="I471">
            <v>20201</v>
          </cell>
        </row>
        <row r="472">
          <cell r="A472" t="str">
            <v>F1B012042</v>
          </cell>
          <cell r="B472" t="str">
            <v>I Wayan Sutrisna</v>
          </cell>
          <cell r="C472">
            <v>20171</v>
          </cell>
          <cell r="D472">
            <v>0</v>
          </cell>
          <cell r="E472">
            <v>0</v>
          </cell>
          <cell r="F472">
            <v>149</v>
          </cell>
          <cell r="G472">
            <v>3.54</v>
          </cell>
          <cell r="H472" t="str">
            <v>A</v>
          </cell>
          <cell r="I472">
            <v>20201</v>
          </cell>
        </row>
        <row r="473">
          <cell r="A473" t="str">
            <v>F1B012043</v>
          </cell>
          <cell r="B473" t="str">
            <v>Ilham Prasetiawan</v>
          </cell>
          <cell r="C473">
            <v>20171</v>
          </cell>
          <cell r="D473">
            <v>0</v>
          </cell>
          <cell r="E473">
            <v>0</v>
          </cell>
          <cell r="F473">
            <v>35</v>
          </cell>
          <cell r="G473">
            <v>0.27</v>
          </cell>
          <cell r="H473" t="str">
            <v>A</v>
          </cell>
          <cell r="I473">
            <v>20201</v>
          </cell>
        </row>
        <row r="474">
          <cell r="A474" t="str">
            <v>F1B012044</v>
          </cell>
          <cell r="B474" t="str">
            <v>Imam Al Ghazali</v>
          </cell>
          <cell r="C474">
            <v>20171</v>
          </cell>
          <cell r="D474">
            <v>0</v>
          </cell>
          <cell r="E474">
            <v>0</v>
          </cell>
          <cell r="F474">
            <v>38</v>
          </cell>
          <cell r="G474">
            <v>0.91</v>
          </cell>
          <cell r="H474" t="str">
            <v>A</v>
          </cell>
          <cell r="I474">
            <v>20201</v>
          </cell>
        </row>
        <row r="475">
          <cell r="A475" t="str">
            <v>F1B012045</v>
          </cell>
          <cell r="B475" t="str">
            <v>Iqbal Chan Saputra</v>
          </cell>
          <cell r="C475">
            <v>20171</v>
          </cell>
          <cell r="D475">
            <v>0</v>
          </cell>
          <cell r="E475">
            <v>0</v>
          </cell>
          <cell r="F475">
            <v>155</v>
          </cell>
          <cell r="G475">
            <v>3.13</v>
          </cell>
          <cell r="H475" t="str">
            <v>A</v>
          </cell>
          <cell r="I475">
            <v>20201</v>
          </cell>
        </row>
        <row r="476">
          <cell r="A476" t="str">
            <v>F1B012046</v>
          </cell>
          <cell r="B476" t="str">
            <v>Ira Oktafigara</v>
          </cell>
          <cell r="C476">
            <v>20171</v>
          </cell>
          <cell r="D476">
            <v>0</v>
          </cell>
          <cell r="E476">
            <v>0</v>
          </cell>
          <cell r="F476">
            <v>148</v>
          </cell>
          <cell r="G476">
            <v>3.14</v>
          </cell>
          <cell r="H476" t="str">
            <v>A</v>
          </cell>
          <cell r="I476">
            <v>20201</v>
          </cell>
        </row>
        <row r="477">
          <cell r="A477" t="str">
            <v>F1B012047</v>
          </cell>
          <cell r="B477" t="str">
            <v>Irma Wira Sari Putri</v>
          </cell>
          <cell r="C477">
            <v>20171</v>
          </cell>
          <cell r="D477">
            <v>0</v>
          </cell>
          <cell r="E477">
            <v>0</v>
          </cell>
          <cell r="F477">
            <v>160</v>
          </cell>
          <cell r="G477">
            <v>3.02</v>
          </cell>
          <cell r="H477" t="str">
            <v>A</v>
          </cell>
          <cell r="I477">
            <v>20201</v>
          </cell>
        </row>
        <row r="478">
          <cell r="A478" t="str">
            <v>F1B012048</v>
          </cell>
          <cell r="B478" t="str">
            <v>Khairil Abdi</v>
          </cell>
          <cell r="C478">
            <v>20171</v>
          </cell>
          <cell r="D478">
            <v>0</v>
          </cell>
          <cell r="E478">
            <v>0</v>
          </cell>
          <cell r="F478">
            <v>35</v>
          </cell>
          <cell r="G478">
            <v>0.31</v>
          </cell>
          <cell r="H478" t="str">
            <v>A</v>
          </cell>
          <cell r="I478">
            <v>20201</v>
          </cell>
        </row>
        <row r="479">
          <cell r="A479" t="str">
            <v>F1B012049</v>
          </cell>
          <cell r="B479" t="str">
            <v>Komang Buda Artha</v>
          </cell>
          <cell r="C479">
            <v>20171</v>
          </cell>
          <cell r="D479">
            <v>0</v>
          </cell>
          <cell r="E479">
            <v>0</v>
          </cell>
          <cell r="F479">
            <v>152</v>
          </cell>
          <cell r="G479">
            <v>3.17</v>
          </cell>
          <cell r="H479" t="str">
            <v>A</v>
          </cell>
          <cell r="I479">
            <v>20201</v>
          </cell>
        </row>
        <row r="480">
          <cell r="A480" t="str">
            <v>F1B012050</v>
          </cell>
          <cell r="B480" t="str">
            <v>Lalu Alfian Wahyudi</v>
          </cell>
          <cell r="C480">
            <v>20171</v>
          </cell>
          <cell r="D480">
            <v>8</v>
          </cell>
          <cell r="E480">
            <v>3</v>
          </cell>
          <cell r="F480">
            <v>155</v>
          </cell>
          <cell r="G480">
            <v>2.71</v>
          </cell>
          <cell r="H480" t="str">
            <v>A</v>
          </cell>
          <cell r="I480">
            <v>20201</v>
          </cell>
        </row>
        <row r="481">
          <cell r="A481" t="str">
            <v>F1B012051</v>
          </cell>
          <cell r="B481" t="str">
            <v>Lalu Rudi Oky S</v>
          </cell>
          <cell r="C481">
            <v>20171</v>
          </cell>
          <cell r="D481">
            <v>0</v>
          </cell>
          <cell r="E481">
            <v>0</v>
          </cell>
          <cell r="F481">
            <v>20</v>
          </cell>
          <cell r="G481">
            <v>0</v>
          </cell>
          <cell r="H481" t="str">
            <v>A</v>
          </cell>
          <cell r="I481">
            <v>20201</v>
          </cell>
        </row>
        <row r="482">
          <cell r="A482" t="str">
            <v>F1B012055</v>
          </cell>
          <cell r="B482" t="str">
            <v>M Ikhlas Setiawan</v>
          </cell>
          <cell r="C482">
            <v>20171</v>
          </cell>
          <cell r="D482">
            <v>5</v>
          </cell>
          <cell r="E482">
            <v>2.1</v>
          </cell>
          <cell r="F482">
            <v>179</v>
          </cell>
          <cell r="G482">
            <v>2.68</v>
          </cell>
          <cell r="H482" t="str">
            <v>A</v>
          </cell>
          <cell r="I482">
            <v>20201</v>
          </cell>
        </row>
        <row r="483">
          <cell r="A483" t="str">
            <v>F1B012056</v>
          </cell>
          <cell r="B483" t="str">
            <v>M. Imam Sopiansyah</v>
          </cell>
          <cell r="C483">
            <v>20171</v>
          </cell>
          <cell r="D483">
            <v>0</v>
          </cell>
          <cell r="E483">
            <v>0</v>
          </cell>
          <cell r="F483">
            <v>39</v>
          </cell>
          <cell r="G483">
            <v>0.92</v>
          </cell>
          <cell r="H483" t="str">
            <v>A</v>
          </cell>
          <cell r="I483">
            <v>20201</v>
          </cell>
        </row>
        <row r="484">
          <cell r="A484" t="str">
            <v>F1B012057</v>
          </cell>
          <cell r="B484" t="str">
            <v>M. Kuraish Shihab</v>
          </cell>
          <cell r="C484">
            <v>20171</v>
          </cell>
          <cell r="D484">
            <v>0</v>
          </cell>
          <cell r="E484">
            <v>0</v>
          </cell>
          <cell r="F484">
            <v>148</v>
          </cell>
          <cell r="G484">
            <v>3.71</v>
          </cell>
          <cell r="H484" t="str">
            <v>A</v>
          </cell>
          <cell r="I484">
            <v>20201</v>
          </cell>
        </row>
        <row r="485">
          <cell r="A485" t="str">
            <v>F1B012058</v>
          </cell>
          <cell r="B485" t="str">
            <v>M Maruf</v>
          </cell>
          <cell r="C485">
            <v>20171</v>
          </cell>
          <cell r="D485">
            <v>0</v>
          </cell>
          <cell r="E485">
            <v>0</v>
          </cell>
          <cell r="F485">
            <v>148</v>
          </cell>
          <cell r="G485">
            <v>3.45</v>
          </cell>
          <cell r="H485" t="str">
            <v>A</v>
          </cell>
          <cell r="I485">
            <v>20201</v>
          </cell>
        </row>
        <row r="486">
          <cell r="A486" t="str">
            <v>F1B012060</v>
          </cell>
          <cell r="B486" t="str">
            <v>Maulidiya Zofani</v>
          </cell>
          <cell r="C486">
            <v>20171</v>
          </cell>
          <cell r="D486">
            <v>0</v>
          </cell>
          <cell r="E486">
            <v>0</v>
          </cell>
          <cell r="F486">
            <v>20</v>
          </cell>
          <cell r="G486">
            <v>0</v>
          </cell>
          <cell r="H486" t="str">
            <v>A</v>
          </cell>
          <cell r="I486">
            <v>20201</v>
          </cell>
        </row>
        <row r="487">
          <cell r="A487" t="str">
            <v>F1B012061</v>
          </cell>
          <cell r="B487" t="str">
            <v>Mohammad Farid Ghozi</v>
          </cell>
          <cell r="C487">
            <v>20171</v>
          </cell>
          <cell r="D487">
            <v>0</v>
          </cell>
          <cell r="E487">
            <v>0</v>
          </cell>
          <cell r="F487">
            <v>63</v>
          </cell>
          <cell r="G487">
            <v>1.17</v>
          </cell>
          <cell r="H487" t="str">
            <v>A</v>
          </cell>
          <cell r="I487">
            <v>20201</v>
          </cell>
        </row>
        <row r="488">
          <cell r="A488" t="str">
            <v>F1B012062</v>
          </cell>
          <cell r="B488" t="str">
            <v>Mohammad Taufik H</v>
          </cell>
          <cell r="C488">
            <v>20171</v>
          </cell>
          <cell r="D488">
            <v>17</v>
          </cell>
          <cell r="E488">
            <v>3.18</v>
          </cell>
          <cell r="F488">
            <v>148</v>
          </cell>
          <cell r="G488">
            <v>3.35</v>
          </cell>
          <cell r="H488" t="str">
            <v>A</v>
          </cell>
          <cell r="I488">
            <v>20201</v>
          </cell>
        </row>
        <row r="489">
          <cell r="A489" t="str">
            <v>F1B012063</v>
          </cell>
          <cell r="B489" t="str">
            <v>Muchtar Efendi</v>
          </cell>
          <cell r="C489">
            <v>20171</v>
          </cell>
          <cell r="D489">
            <v>0</v>
          </cell>
          <cell r="E489">
            <v>0</v>
          </cell>
          <cell r="F489">
            <v>43</v>
          </cell>
          <cell r="G489">
            <v>2.27</v>
          </cell>
          <cell r="H489" t="str">
            <v>A</v>
          </cell>
          <cell r="I489">
            <v>20201</v>
          </cell>
        </row>
        <row r="490">
          <cell r="A490" t="str">
            <v>F1B012064</v>
          </cell>
          <cell r="B490" t="str">
            <v>Muh Irfan</v>
          </cell>
          <cell r="C490">
            <v>20171</v>
          </cell>
          <cell r="D490">
            <v>4</v>
          </cell>
          <cell r="E490">
            <v>4</v>
          </cell>
          <cell r="F490">
            <v>148</v>
          </cell>
          <cell r="G490">
            <v>3.48</v>
          </cell>
          <cell r="H490" t="str">
            <v>A</v>
          </cell>
          <cell r="I490">
            <v>20201</v>
          </cell>
        </row>
        <row r="491">
          <cell r="A491" t="str">
            <v>F1B012065</v>
          </cell>
          <cell r="B491" t="str">
            <v>Muhammad Iqbal</v>
          </cell>
          <cell r="C491">
            <v>20171</v>
          </cell>
          <cell r="D491">
            <v>0</v>
          </cell>
          <cell r="E491">
            <v>0</v>
          </cell>
          <cell r="F491">
            <v>39</v>
          </cell>
          <cell r="G491">
            <v>1.08</v>
          </cell>
          <cell r="H491" t="str">
            <v>A</v>
          </cell>
          <cell r="I491">
            <v>20201</v>
          </cell>
        </row>
        <row r="492">
          <cell r="A492" t="str">
            <v>F1B012067</v>
          </cell>
          <cell r="B492" t="str">
            <v>Muhammad Rizal</v>
          </cell>
          <cell r="C492">
            <v>20171</v>
          </cell>
          <cell r="D492">
            <v>7</v>
          </cell>
          <cell r="E492">
            <v>0</v>
          </cell>
          <cell r="F492">
            <v>166</v>
          </cell>
          <cell r="G492">
            <v>2.4</v>
          </cell>
          <cell r="H492" t="str">
            <v>A</v>
          </cell>
          <cell r="I492">
            <v>20201</v>
          </cell>
        </row>
        <row r="493">
          <cell r="A493" t="str">
            <v>F1B012069</v>
          </cell>
          <cell r="B493" t="str">
            <v>Muhammad Yahya Jaber</v>
          </cell>
          <cell r="C493">
            <v>20171</v>
          </cell>
          <cell r="D493">
            <v>13</v>
          </cell>
          <cell r="E493">
            <v>1.85</v>
          </cell>
          <cell r="F493">
            <v>165</v>
          </cell>
          <cell r="G493">
            <v>2.12</v>
          </cell>
          <cell r="H493" t="str">
            <v>A</v>
          </cell>
          <cell r="I493">
            <v>20201</v>
          </cell>
        </row>
        <row r="494">
          <cell r="A494" t="str">
            <v>F1B012070</v>
          </cell>
          <cell r="B494" t="str">
            <v>Muna Aulia</v>
          </cell>
          <cell r="C494">
            <v>20171</v>
          </cell>
          <cell r="D494">
            <v>0</v>
          </cell>
          <cell r="E494">
            <v>0</v>
          </cell>
          <cell r="F494">
            <v>165</v>
          </cell>
          <cell r="G494">
            <v>2.91</v>
          </cell>
          <cell r="H494" t="str">
            <v>A</v>
          </cell>
          <cell r="I494">
            <v>20201</v>
          </cell>
        </row>
        <row r="495">
          <cell r="A495" t="str">
            <v>F1B012071</v>
          </cell>
          <cell r="B495" t="str">
            <v>Nahwan Rasyad</v>
          </cell>
          <cell r="C495">
            <v>20171</v>
          </cell>
          <cell r="D495">
            <v>0</v>
          </cell>
          <cell r="E495">
            <v>0</v>
          </cell>
          <cell r="F495">
            <v>37</v>
          </cell>
          <cell r="G495">
            <v>1.04</v>
          </cell>
          <cell r="H495" t="str">
            <v>A</v>
          </cell>
          <cell r="I495">
            <v>20201</v>
          </cell>
        </row>
        <row r="496">
          <cell r="A496" t="str">
            <v>F1B012072</v>
          </cell>
          <cell r="B496" t="str">
            <v>Nita Maulina</v>
          </cell>
          <cell r="C496">
            <v>20171</v>
          </cell>
          <cell r="D496">
            <v>0</v>
          </cell>
          <cell r="E496">
            <v>0</v>
          </cell>
          <cell r="F496">
            <v>157</v>
          </cell>
          <cell r="G496">
            <v>3.25</v>
          </cell>
          <cell r="H496" t="str">
            <v>A</v>
          </cell>
          <cell r="I496">
            <v>20201</v>
          </cell>
        </row>
        <row r="497">
          <cell r="A497" t="str">
            <v>F1B012074</v>
          </cell>
          <cell r="B497" t="str">
            <v>Nurjannah</v>
          </cell>
          <cell r="C497">
            <v>20171</v>
          </cell>
          <cell r="D497">
            <v>0</v>
          </cell>
          <cell r="E497">
            <v>0</v>
          </cell>
          <cell r="F497">
            <v>148</v>
          </cell>
          <cell r="G497">
            <v>3.51</v>
          </cell>
          <cell r="H497" t="str">
            <v>A</v>
          </cell>
          <cell r="I497">
            <v>20201</v>
          </cell>
        </row>
        <row r="498">
          <cell r="A498" t="str">
            <v>F1B012075</v>
          </cell>
          <cell r="B498" t="str">
            <v>Pahrurrozi</v>
          </cell>
          <cell r="C498">
            <v>20171</v>
          </cell>
          <cell r="D498">
            <v>0</v>
          </cell>
          <cell r="E498">
            <v>0</v>
          </cell>
          <cell r="F498">
            <v>155</v>
          </cell>
          <cell r="G498">
            <v>3.04</v>
          </cell>
          <cell r="H498" t="str">
            <v>A</v>
          </cell>
          <cell r="I498">
            <v>20201</v>
          </cell>
        </row>
        <row r="499">
          <cell r="A499" t="str">
            <v>F1B012076</v>
          </cell>
          <cell r="B499" t="str">
            <v>Rachmat Jaelani</v>
          </cell>
          <cell r="C499">
            <v>20171</v>
          </cell>
          <cell r="D499">
            <v>0</v>
          </cell>
          <cell r="E499">
            <v>0</v>
          </cell>
          <cell r="F499">
            <v>163</v>
          </cell>
          <cell r="G499">
            <v>3.04</v>
          </cell>
          <cell r="H499" t="str">
            <v>A</v>
          </cell>
          <cell r="I499">
            <v>20201</v>
          </cell>
        </row>
        <row r="500">
          <cell r="A500" t="str">
            <v>F1B012077</v>
          </cell>
          <cell r="B500" t="str">
            <v>Ramli Zaenudin</v>
          </cell>
          <cell r="C500">
            <v>20171</v>
          </cell>
          <cell r="D500">
            <v>4</v>
          </cell>
          <cell r="E500">
            <v>4</v>
          </cell>
          <cell r="F500">
            <v>155</v>
          </cell>
          <cell r="G500">
            <v>2.96</v>
          </cell>
          <cell r="H500" t="str">
            <v>A</v>
          </cell>
          <cell r="I500">
            <v>20201</v>
          </cell>
        </row>
        <row r="501">
          <cell r="A501" t="str">
            <v>F1B012078</v>
          </cell>
          <cell r="B501" t="str">
            <v>Rangga Purnama</v>
          </cell>
          <cell r="C501">
            <v>20171</v>
          </cell>
          <cell r="D501">
            <v>0</v>
          </cell>
          <cell r="E501">
            <v>0</v>
          </cell>
          <cell r="F501">
            <v>62</v>
          </cell>
          <cell r="G501">
            <v>1.79</v>
          </cell>
          <cell r="H501" t="str">
            <v>A</v>
          </cell>
          <cell r="I501">
            <v>20201</v>
          </cell>
        </row>
        <row r="502">
          <cell r="A502" t="str">
            <v>F1B012079</v>
          </cell>
          <cell r="B502" t="str">
            <v>Rani Arum Aisytiani</v>
          </cell>
          <cell r="C502">
            <v>20171</v>
          </cell>
          <cell r="D502">
            <v>5</v>
          </cell>
          <cell r="E502">
            <v>0</v>
          </cell>
          <cell r="F502">
            <v>162</v>
          </cell>
          <cell r="G502">
            <v>2.45</v>
          </cell>
          <cell r="H502" t="str">
            <v>A</v>
          </cell>
          <cell r="I502">
            <v>20201</v>
          </cell>
        </row>
        <row r="503">
          <cell r="A503" t="str">
            <v>F1B012081</v>
          </cell>
          <cell r="B503" t="str">
            <v>Reza Subandi</v>
          </cell>
          <cell r="C503">
            <v>20171</v>
          </cell>
          <cell r="D503">
            <v>0</v>
          </cell>
          <cell r="E503">
            <v>0</v>
          </cell>
          <cell r="F503">
            <v>59</v>
          </cell>
          <cell r="G503">
            <v>0.85</v>
          </cell>
          <cell r="H503" t="str">
            <v>A</v>
          </cell>
          <cell r="I503">
            <v>20201</v>
          </cell>
        </row>
        <row r="504">
          <cell r="A504" t="str">
            <v>F1B012082</v>
          </cell>
          <cell r="B504" t="str">
            <v>Rifky Irawan</v>
          </cell>
          <cell r="C504">
            <v>20171</v>
          </cell>
          <cell r="D504">
            <v>11</v>
          </cell>
          <cell r="E504">
            <v>0.73</v>
          </cell>
          <cell r="F504">
            <v>188</v>
          </cell>
          <cell r="G504">
            <v>2.55</v>
          </cell>
          <cell r="H504" t="str">
            <v>A</v>
          </cell>
          <cell r="I504">
            <v>20201</v>
          </cell>
        </row>
        <row r="505">
          <cell r="A505" t="str">
            <v>F1B012083</v>
          </cell>
          <cell r="B505" t="str">
            <v>Rini Jayanti</v>
          </cell>
          <cell r="C505">
            <v>20171</v>
          </cell>
          <cell r="D505">
            <v>3</v>
          </cell>
          <cell r="E505">
            <v>3</v>
          </cell>
          <cell r="F505">
            <v>180</v>
          </cell>
          <cell r="G505">
            <v>2.63</v>
          </cell>
          <cell r="H505" t="str">
            <v>A</v>
          </cell>
          <cell r="I505">
            <v>20201</v>
          </cell>
        </row>
        <row r="506">
          <cell r="A506" t="str">
            <v>F1B012085</v>
          </cell>
          <cell r="B506" t="str">
            <v>Rudy Rinjayani Putra</v>
          </cell>
          <cell r="C506">
            <v>20171</v>
          </cell>
          <cell r="D506">
            <v>0</v>
          </cell>
          <cell r="E506">
            <v>0</v>
          </cell>
          <cell r="F506">
            <v>171</v>
          </cell>
          <cell r="G506">
            <v>2.83</v>
          </cell>
          <cell r="H506" t="str">
            <v>A</v>
          </cell>
          <cell r="I506">
            <v>20201</v>
          </cell>
        </row>
        <row r="507">
          <cell r="A507" t="str">
            <v>F1B012086</v>
          </cell>
          <cell r="B507" t="str">
            <v>Samsudin</v>
          </cell>
          <cell r="C507">
            <v>20171</v>
          </cell>
          <cell r="D507">
            <v>0</v>
          </cell>
          <cell r="E507">
            <v>0</v>
          </cell>
          <cell r="F507">
            <v>55</v>
          </cell>
          <cell r="G507">
            <v>1.41</v>
          </cell>
          <cell r="H507" t="str">
            <v>A</v>
          </cell>
          <cell r="I507">
            <v>20201</v>
          </cell>
        </row>
        <row r="508">
          <cell r="A508" t="str">
            <v>F1B012087</v>
          </cell>
          <cell r="B508" t="str">
            <v>Sandy Febrian R</v>
          </cell>
          <cell r="C508">
            <v>20171</v>
          </cell>
          <cell r="D508">
            <v>4</v>
          </cell>
          <cell r="E508">
            <v>4</v>
          </cell>
          <cell r="F508">
            <v>187</v>
          </cell>
          <cell r="G508">
            <v>2.82</v>
          </cell>
          <cell r="H508" t="str">
            <v>A</v>
          </cell>
          <cell r="I508">
            <v>20201</v>
          </cell>
        </row>
        <row r="509">
          <cell r="A509" t="str">
            <v>F1B012088</v>
          </cell>
          <cell r="B509" t="str">
            <v>Sanynita Kiskindy</v>
          </cell>
          <cell r="C509">
            <v>20171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 t="str">
            <v>A</v>
          </cell>
          <cell r="I509">
            <v>20201</v>
          </cell>
        </row>
        <row r="510">
          <cell r="A510" t="str">
            <v>F1B012089</v>
          </cell>
          <cell r="B510" t="str">
            <v>Subaidi</v>
          </cell>
          <cell r="C510">
            <v>20171</v>
          </cell>
          <cell r="D510">
            <v>0</v>
          </cell>
          <cell r="E510">
            <v>0</v>
          </cell>
          <cell r="F510">
            <v>37</v>
          </cell>
          <cell r="G510">
            <v>0.82</v>
          </cell>
          <cell r="H510" t="str">
            <v>A</v>
          </cell>
          <cell r="I510">
            <v>20201</v>
          </cell>
        </row>
        <row r="511">
          <cell r="A511" t="str">
            <v>F1B012091</v>
          </cell>
          <cell r="B511" t="str">
            <v>Syarif Alawi</v>
          </cell>
          <cell r="C511">
            <v>20171</v>
          </cell>
          <cell r="D511">
            <v>0</v>
          </cell>
          <cell r="E511">
            <v>0</v>
          </cell>
          <cell r="F511">
            <v>64</v>
          </cell>
          <cell r="G511">
            <v>0.98</v>
          </cell>
          <cell r="H511" t="str">
            <v>A</v>
          </cell>
          <cell r="I511">
            <v>20201</v>
          </cell>
        </row>
        <row r="512">
          <cell r="A512" t="str">
            <v>F1B012092</v>
          </cell>
          <cell r="B512" t="str">
            <v>Tari Widya Ariany</v>
          </cell>
          <cell r="C512">
            <v>20171</v>
          </cell>
          <cell r="D512">
            <v>0</v>
          </cell>
          <cell r="E512">
            <v>0</v>
          </cell>
          <cell r="F512">
            <v>58</v>
          </cell>
          <cell r="G512">
            <v>1.67</v>
          </cell>
          <cell r="H512" t="str">
            <v>A</v>
          </cell>
          <cell r="I512">
            <v>20201</v>
          </cell>
        </row>
        <row r="513">
          <cell r="A513" t="str">
            <v>F1B012093</v>
          </cell>
          <cell r="B513" t="str">
            <v>Ulil Amri</v>
          </cell>
          <cell r="C513">
            <v>20171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 t="str">
            <v>A</v>
          </cell>
          <cell r="I513">
            <v>20201</v>
          </cell>
        </row>
        <row r="514">
          <cell r="A514" t="str">
            <v>F1B012094</v>
          </cell>
          <cell r="B514" t="str">
            <v>Vickrarrosyadie</v>
          </cell>
          <cell r="C514">
            <v>20171</v>
          </cell>
          <cell r="D514">
            <v>0</v>
          </cell>
          <cell r="E514">
            <v>0</v>
          </cell>
          <cell r="F514">
            <v>47</v>
          </cell>
          <cell r="G514">
            <v>0.11</v>
          </cell>
          <cell r="H514" t="str">
            <v>A</v>
          </cell>
          <cell r="I514">
            <v>20201</v>
          </cell>
        </row>
        <row r="515">
          <cell r="A515" t="str">
            <v>F1B012095</v>
          </cell>
          <cell r="B515" t="str">
            <v>Wawan Setya Hadi</v>
          </cell>
          <cell r="C515">
            <v>20171</v>
          </cell>
          <cell r="D515">
            <v>0</v>
          </cell>
          <cell r="E515">
            <v>0</v>
          </cell>
          <cell r="F515">
            <v>51</v>
          </cell>
          <cell r="G515">
            <v>0.67</v>
          </cell>
          <cell r="H515" t="str">
            <v>A</v>
          </cell>
          <cell r="I515">
            <v>20201</v>
          </cell>
        </row>
        <row r="516">
          <cell r="A516" t="str">
            <v>F1B012096</v>
          </cell>
          <cell r="B516" t="str">
            <v>Wili Rahmat Muhamad</v>
          </cell>
          <cell r="C516">
            <v>20171</v>
          </cell>
          <cell r="D516">
            <v>0</v>
          </cell>
          <cell r="E516">
            <v>0</v>
          </cell>
          <cell r="F516">
            <v>156</v>
          </cell>
          <cell r="G516">
            <v>3.2</v>
          </cell>
          <cell r="H516" t="str">
            <v>A</v>
          </cell>
          <cell r="I516">
            <v>20201</v>
          </cell>
        </row>
        <row r="517">
          <cell r="A517" t="str">
            <v>F1B012097</v>
          </cell>
          <cell r="B517" t="str">
            <v>Yanti Listi Septiarini</v>
          </cell>
          <cell r="C517">
            <v>20171</v>
          </cell>
          <cell r="D517">
            <v>9</v>
          </cell>
          <cell r="E517">
            <v>3</v>
          </cell>
          <cell r="F517">
            <v>182</v>
          </cell>
          <cell r="G517">
            <v>2.54</v>
          </cell>
          <cell r="H517" t="str">
            <v>A</v>
          </cell>
          <cell r="I517">
            <v>20201</v>
          </cell>
        </row>
        <row r="518">
          <cell r="A518" t="str">
            <v>F1B012098</v>
          </cell>
          <cell r="B518" t="str">
            <v>Yulita Susilawati</v>
          </cell>
          <cell r="C518">
            <v>20171</v>
          </cell>
          <cell r="D518">
            <v>0</v>
          </cell>
          <cell r="E518">
            <v>0</v>
          </cell>
          <cell r="F518">
            <v>58</v>
          </cell>
          <cell r="G518">
            <v>1.86</v>
          </cell>
          <cell r="H518" t="str">
            <v>A</v>
          </cell>
          <cell r="I518">
            <v>20201</v>
          </cell>
        </row>
        <row r="519">
          <cell r="A519" t="str">
            <v>F1B012100</v>
          </cell>
          <cell r="B519" t="str">
            <v>Daniel Manyamboi</v>
          </cell>
          <cell r="C519">
            <v>20171</v>
          </cell>
          <cell r="D519">
            <v>0</v>
          </cell>
          <cell r="E519">
            <v>0</v>
          </cell>
          <cell r="F519">
            <v>7</v>
          </cell>
          <cell r="G519">
            <v>0</v>
          </cell>
          <cell r="H519" t="str">
            <v>A</v>
          </cell>
          <cell r="I519">
            <v>20201</v>
          </cell>
        </row>
        <row r="520">
          <cell r="A520" t="str">
            <v>F1B013001</v>
          </cell>
          <cell r="B520" t="str">
            <v>AAN SETIAWAN</v>
          </cell>
          <cell r="C520">
            <v>20171</v>
          </cell>
          <cell r="D520">
            <v>9</v>
          </cell>
          <cell r="E520">
            <v>3</v>
          </cell>
          <cell r="F520">
            <v>152</v>
          </cell>
          <cell r="G520">
            <v>2.54</v>
          </cell>
          <cell r="H520" t="str">
            <v>A</v>
          </cell>
          <cell r="I520">
            <v>20201</v>
          </cell>
        </row>
        <row r="521">
          <cell r="A521" t="str">
            <v>F1B013002</v>
          </cell>
          <cell r="B521" t="str">
            <v>ABDUL AMAR GIFARI AMIRUDIN</v>
          </cell>
          <cell r="C521">
            <v>20171</v>
          </cell>
          <cell r="D521">
            <v>21</v>
          </cell>
          <cell r="E521">
            <v>3.31</v>
          </cell>
          <cell r="F521">
            <v>161</v>
          </cell>
          <cell r="G521">
            <v>2.46</v>
          </cell>
          <cell r="H521" t="str">
            <v>A</v>
          </cell>
          <cell r="I521">
            <v>20201</v>
          </cell>
        </row>
        <row r="522">
          <cell r="A522" t="str">
            <v>F1B013003</v>
          </cell>
          <cell r="B522" t="str">
            <v>ABDUL MUJAHIDIN</v>
          </cell>
          <cell r="C522">
            <v>20171</v>
          </cell>
          <cell r="D522">
            <v>0</v>
          </cell>
          <cell r="E522">
            <v>0</v>
          </cell>
          <cell r="F522">
            <v>153</v>
          </cell>
          <cell r="G522">
            <v>2.99</v>
          </cell>
          <cell r="H522" t="str">
            <v>A</v>
          </cell>
          <cell r="I522">
            <v>20201</v>
          </cell>
        </row>
        <row r="523">
          <cell r="A523" t="str">
            <v>F1B013004</v>
          </cell>
          <cell r="B523" t="str">
            <v>ABDUL WAKIL</v>
          </cell>
          <cell r="C523">
            <v>20171</v>
          </cell>
          <cell r="D523">
            <v>0</v>
          </cell>
          <cell r="E523">
            <v>0</v>
          </cell>
          <cell r="F523">
            <v>155</v>
          </cell>
          <cell r="G523">
            <v>3.13</v>
          </cell>
          <cell r="H523" t="str">
            <v>A</v>
          </cell>
          <cell r="I523">
            <v>20201</v>
          </cell>
        </row>
        <row r="524">
          <cell r="A524" t="str">
            <v>F1B013005</v>
          </cell>
          <cell r="B524" t="str">
            <v>ADE PRADANA</v>
          </cell>
          <cell r="C524">
            <v>20171</v>
          </cell>
          <cell r="D524">
            <v>4</v>
          </cell>
          <cell r="E524">
            <v>4</v>
          </cell>
          <cell r="F524">
            <v>152</v>
          </cell>
          <cell r="G524">
            <v>3.29</v>
          </cell>
          <cell r="H524" t="str">
            <v>A</v>
          </cell>
          <cell r="I524">
            <v>20201</v>
          </cell>
        </row>
        <row r="525">
          <cell r="A525" t="str">
            <v>F1B013006</v>
          </cell>
          <cell r="B525" t="str">
            <v>ADI HIDAYAT</v>
          </cell>
          <cell r="C525">
            <v>20171</v>
          </cell>
          <cell r="D525">
            <v>0</v>
          </cell>
          <cell r="E525">
            <v>0</v>
          </cell>
          <cell r="F525">
            <v>36</v>
          </cell>
          <cell r="G525">
            <v>0.85</v>
          </cell>
          <cell r="H525" t="str">
            <v>D</v>
          </cell>
          <cell r="I525">
            <v>20201</v>
          </cell>
        </row>
        <row r="526">
          <cell r="A526" t="str">
            <v>F1B013007</v>
          </cell>
          <cell r="B526" t="str">
            <v>AFRIA BUDIMAN</v>
          </cell>
          <cell r="C526">
            <v>20171</v>
          </cell>
          <cell r="D526">
            <v>3</v>
          </cell>
          <cell r="E526">
            <v>1.5</v>
          </cell>
          <cell r="F526">
            <v>156</v>
          </cell>
          <cell r="G526">
            <v>2.85</v>
          </cell>
          <cell r="H526" t="str">
            <v>A</v>
          </cell>
          <cell r="I526">
            <v>20201</v>
          </cell>
        </row>
        <row r="527">
          <cell r="A527" t="str">
            <v>F1B013009</v>
          </cell>
          <cell r="B527" t="str">
            <v>AHMAD FAHRIL</v>
          </cell>
          <cell r="C527">
            <v>20171</v>
          </cell>
          <cell r="D527">
            <v>21</v>
          </cell>
          <cell r="E527">
            <v>0</v>
          </cell>
          <cell r="F527">
            <v>120</v>
          </cell>
          <cell r="G527">
            <v>1.41</v>
          </cell>
          <cell r="H527" t="str">
            <v>A</v>
          </cell>
          <cell r="I527">
            <v>20201</v>
          </cell>
        </row>
        <row r="528">
          <cell r="A528" t="str">
            <v>F1B013010</v>
          </cell>
          <cell r="B528" t="str">
            <v>AHMAD SANDI YAYAN S</v>
          </cell>
          <cell r="C528">
            <v>20171</v>
          </cell>
          <cell r="D528">
            <v>14</v>
          </cell>
          <cell r="E528">
            <v>3.14</v>
          </cell>
          <cell r="F528">
            <v>143</v>
          </cell>
          <cell r="G528">
            <v>3.16</v>
          </cell>
          <cell r="H528" t="str">
            <v>A</v>
          </cell>
          <cell r="I528">
            <v>20201</v>
          </cell>
        </row>
        <row r="529">
          <cell r="A529" t="str">
            <v>F1B013011</v>
          </cell>
          <cell r="B529" t="str">
            <v>AHMAD YANI</v>
          </cell>
          <cell r="C529">
            <v>20171</v>
          </cell>
          <cell r="D529">
            <v>0</v>
          </cell>
          <cell r="E529">
            <v>0</v>
          </cell>
          <cell r="F529">
            <v>69</v>
          </cell>
          <cell r="G529">
            <v>0.94</v>
          </cell>
          <cell r="H529" t="str">
            <v>A</v>
          </cell>
          <cell r="I529">
            <v>20201</v>
          </cell>
        </row>
        <row r="530">
          <cell r="A530" t="str">
            <v>F1B013012</v>
          </cell>
          <cell r="B530" t="str">
            <v>AKHMAD ZAENUDIN</v>
          </cell>
          <cell r="C530">
            <v>20171</v>
          </cell>
          <cell r="D530">
            <v>12</v>
          </cell>
          <cell r="E530">
            <v>1.42</v>
          </cell>
          <cell r="F530">
            <v>161</v>
          </cell>
          <cell r="G530">
            <v>2.7</v>
          </cell>
          <cell r="H530" t="str">
            <v>A</v>
          </cell>
          <cell r="I530">
            <v>20201</v>
          </cell>
        </row>
        <row r="531">
          <cell r="A531" t="str">
            <v>F1B013013</v>
          </cell>
          <cell r="B531" t="str">
            <v>ALI AKBAR FILIAN</v>
          </cell>
          <cell r="C531">
            <v>20171</v>
          </cell>
          <cell r="D531">
            <v>0</v>
          </cell>
          <cell r="E531">
            <v>0</v>
          </cell>
          <cell r="F531">
            <v>63</v>
          </cell>
          <cell r="G531">
            <v>1.29</v>
          </cell>
          <cell r="H531" t="str">
            <v>A</v>
          </cell>
          <cell r="I531">
            <v>20201</v>
          </cell>
        </row>
        <row r="532">
          <cell r="A532" t="str">
            <v>F1B013014</v>
          </cell>
          <cell r="B532" t="str">
            <v>AMIRUL HAJ</v>
          </cell>
          <cell r="C532">
            <v>20171</v>
          </cell>
          <cell r="D532">
            <v>0</v>
          </cell>
          <cell r="E532">
            <v>0</v>
          </cell>
          <cell r="F532">
            <v>37</v>
          </cell>
          <cell r="G532">
            <v>0.97</v>
          </cell>
          <cell r="H532" t="str">
            <v>A</v>
          </cell>
          <cell r="I532">
            <v>20201</v>
          </cell>
        </row>
        <row r="533">
          <cell r="A533" t="str">
            <v>F1B013015</v>
          </cell>
          <cell r="B533" t="str">
            <v>AMRIANSYAH</v>
          </cell>
          <cell r="C533">
            <v>20171</v>
          </cell>
          <cell r="D533">
            <v>9</v>
          </cell>
          <cell r="E533">
            <v>2.44</v>
          </cell>
          <cell r="F533">
            <v>149</v>
          </cell>
          <cell r="G533">
            <v>2.46</v>
          </cell>
          <cell r="H533" t="str">
            <v>A</v>
          </cell>
          <cell r="I533">
            <v>20201</v>
          </cell>
        </row>
        <row r="534">
          <cell r="A534" t="str">
            <v>F1B013016</v>
          </cell>
          <cell r="B534" t="str">
            <v>ANDI JASMANA PUTRA</v>
          </cell>
          <cell r="C534">
            <v>20171</v>
          </cell>
          <cell r="D534">
            <v>0</v>
          </cell>
          <cell r="E534">
            <v>0</v>
          </cell>
          <cell r="F534">
            <v>45</v>
          </cell>
          <cell r="G534">
            <v>1.1</v>
          </cell>
          <cell r="H534" t="str">
            <v>A</v>
          </cell>
          <cell r="I534">
            <v>20201</v>
          </cell>
        </row>
        <row r="535">
          <cell r="A535" t="str">
            <v>F1B013017</v>
          </cell>
          <cell r="B535" t="str">
            <v>ANDI NUR SETIAWAN</v>
          </cell>
          <cell r="C535">
            <v>20171</v>
          </cell>
          <cell r="D535">
            <v>12</v>
          </cell>
          <cell r="E535">
            <v>3.25</v>
          </cell>
          <cell r="F535">
            <v>148</v>
          </cell>
          <cell r="G535">
            <v>2.47</v>
          </cell>
          <cell r="H535" t="str">
            <v>A</v>
          </cell>
          <cell r="I535">
            <v>20201</v>
          </cell>
        </row>
        <row r="536">
          <cell r="A536" t="str">
            <v>F1B013018</v>
          </cell>
          <cell r="B536" t="str">
            <v>ANDIKA AMANATULLAH</v>
          </cell>
          <cell r="C536">
            <v>20171</v>
          </cell>
          <cell r="D536">
            <v>0</v>
          </cell>
          <cell r="E536">
            <v>0</v>
          </cell>
          <cell r="F536">
            <v>30</v>
          </cell>
          <cell r="G536">
            <v>0.23</v>
          </cell>
          <cell r="H536" t="str">
            <v>A</v>
          </cell>
          <cell r="I536">
            <v>20201</v>
          </cell>
        </row>
        <row r="537">
          <cell r="A537" t="str">
            <v>F1B013019</v>
          </cell>
          <cell r="B537" t="str">
            <v>ANSHARI FAHMI</v>
          </cell>
          <cell r="C537">
            <v>20171</v>
          </cell>
          <cell r="D537">
            <v>0</v>
          </cell>
          <cell r="E537">
            <v>0</v>
          </cell>
          <cell r="F537">
            <v>39</v>
          </cell>
          <cell r="G537">
            <v>1.55</v>
          </cell>
          <cell r="H537" t="str">
            <v>A</v>
          </cell>
          <cell r="I537">
            <v>20201</v>
          </cell>
        </row>
        <row r="538">
          <cell r="A538" t="str">
            <v>F1B013020</v>
          </cell>
          <cell r="B538" t="str">
            <v>ARDI WIJAYA KUSUMA</v>
          </cell>
          <cell r="C538">
            <v>20171</v>
          </cell>
          <cell r="D538">
            <v>0</v>
          </cell>
          <cell r="E538">
            <v>0</v>
          </cell>
          <cell r="F538">
            <v>46</v>
          </cell>
          <cell r="G538">
            <v>1.04</v>
          </cell>
          <cell r="H538" t="str">
            <v>A</v>
          </cell>
          <cell r="I538">
            <v>20201</v>
          </cell>
        </row>
        <row r="539">
          <cell r="A539" t="str">
            <v>F1B013021</v>
          </cell>
          <cell r="B539" t="str">
            <v>BAGUS DWI CAHYO</v>
          </cell>
          <cell r="C539">
            <v>20171</v>
          </cell>
          <cell r="D539">
            <v>14</v>
          </cell>
          <cell r="E539">
            <v>2</v>
          </cell>
          <cell r="F539">
            <v>145</v>
          </cell>
          <cell r="G539">
            <v>2.62</v>
          </cell>
          <cell r="H539" t="str">
            <v>A</v>
          </cell>
          <cell r="I539">
            <v>20201</v>
          </cell>
        </row>
        <row r="540">
          <cell r="A540" t="str">
            <v>F1B013022</v>
          </cell>
          <cell r="B540" t="str">
            <v>BUSTANUL ARIFIN</v>
          </cell>
          <cell r="C540">
            <v>20171</v>
          </cell>
          <cell r="D540">
            <v>0</v>
          </cell>
          <cell r="E540">
            <v>0</v>
          </cell>
          <cell r="F540">
            <v>49</v>
          </cell>
          <cell r="G540">
            <v>1.05</v>
          </cell>
          <cell r="H540" t="str">
            <v>A</v>
          </cell>
          <cell r="I540">
            <v>20201</v>
          </cell>
        </row>
        <row r="541">
          <cell r="A541" t="str">
            <v>F1B013023</v>
          </cell>
          <cell r="B541" t="str">
            <v>CHRISTINA OCTAVIANI</v>
          </cell>
          <cell r="C541">
            <v>20171</v>
          </cell>
          <cell r="D541">
            <v>0</v>
          </cell>
          <cell r="E541">
            <v>0</v>
          </cell>
          <cell r="F541">
            <v>61</v>
          </cell>
          <cell r="G541">
            <v>1.76</v>
          </cell>
          <cell r="H541" t="str">
            <v>A</v>
          </cell>
          <cell r="I541">
            <v>20201</v>
          </cell>
        </row>
        <row r="542">
          <cell r="A542" t="str">
            <v>F1B013024</v>
          </cell>
          <cell r="B542" t="str">
            <v>DINA AMALIA</v>
          </cell>
          <cell r="C542">
            <v>20171</v>
          </cell>
          <cell r="D542">
            <v>0</v>
          </cell>
          <cell r="E542">
            <v>0</v>
          </cell>
          <cell r="F542">
            <v>20</v>
          </cell>
          <cell r="G542">
            <v>0</v>
          </cell>
          <cell r="H542" t="str">
            <v>A</v>
          </cell>
          <cell r="I542">
            <v>20201</v>
          </cell>
        </row>
        <row r="543">
          <cell r="A543" t="str">
            <v>F1B013025</v>
          </cell>
          <cell r="B543" t="str">
            <v>EGI WIJAYA KUSUMA</v>
          </cell>
          <cell r="C543">
            <v>20171</v>
          </cell>
          <cell r="D543">
            <v>0</v>
          </cell>
          <cell r="E543">
            <v>0</v>
          </cell>
          <cell r="F543">
            <v>30</v>
          </cell>
          <cell r="G543">
            <v>0.67</v>
          </cell>
          <cell r="H543" t="str">
            <v>A</v>
          </cell>
          <cell r="I543">
            <v>20201</v>
          </cell>
        </row>
        <row r="544">
          <cell r="A544" t="str">
            <v>F1B013026</v>
          </cell>
          <cell r="B544" t="str">
            <v>ERWIN ROSDIANTO</v>
          </cell>
          <cell r="C544">
            <v>20171</v>
          </cell>
          <cell r="D544">
            <v>0</v>
          </cell>
          <cell r="E544">
            <v>0</v>
          </cell>
          <cell r="F544">
            <v>48</v>
          </cell>
          <cell r="G544">
            <v>1.05</v>
          </cell>
          <cell r="H544" t="str">
            <v>A</v>
          </cell>
          <cell r="I544">
            <v>20201</v>
          </cell>
        </row>
        <row r="545">
          <cell r="A545" t="str">
            <v>F1B013027</v>
          </cell>
          <cell r="B545" t="str">
            <v>FARGAN TANJUNG</v>
          </cell>
          <cell r="C545">
            <v>20171</v>
          </cell>
          <cell r="D545">
            <v>7</v>
          </cell>
          <cell r="E545">
            <v>3.71</v>
          </cell>
          <cell r="F545">
            <v>158</v>
          </cell>
          <cell r="G545">
            <v>2.94</v>
          </cell>
          <cell r="H545" t="str">
            <v>A</v>
          </cell>
          <cell r="I545">
            <v>20201</v>
          </cell>
        </row>
        <row r="546">
          <cell r="A546" t="str">
            <v>F1B013028</v>
          </cell>
          <cell r="B546" t="str">
            <v>FILDZAH AZZYATI</v>
          </cell>
          <cell r="C546">
            <v>20171</v>
          </cell>
          <cell r="D546">
            <v>4</v>
          </cell>
          <cell r="E546">
            <v>4</v>
          </cell>
          <cell r="F546">
            <v>153</v>
          </cell>
          <cell r="G546">
            <v>3.13</v>
          </cell>
          <cell r="H546" t="str">
            <v>A</v>
          </cell>
          <cell r="I546">
            <v>20201</v>
          </cell>
        </row>
        <row r="547">
          <cell r="A547" t="str">
            <v>F1B013029</v>
          </cell>
          <cell r="B547" t="str">
            <v>FITRA ANUGERAH</v>
          </cell>
          <cell r="C547">
            <v>20171</v>
          </cell>
          <cell r="D547">
            <v>15</v>
          </cell>
          <cell r="E547">
            <v>2.6</v>
          </cell>
          <cell r="F547">
            <v>162</v>
          </cell>
          <cell r="G547">
            <v>2.8</v>
          </cell>
          <cell r="H547" t="str">
            <v>A</v>
          </cell>
          <cell r="I547">
            <v>20201</v>
          </cell>
        </row>
        <row r="548">
          <cell r="A548" t="str">
            <v>F1B013030</v>
          </cell>
          <cell r="B548" t="str">
            <v>GEDE ADI ARYAWAN</v>
          </cell>
          <cell r="C548">
            <v>20171</v>
          </cell>
          <cell r="D548">
            <v>14</v>
          </cell>
          <cell r="E548">
            <v>3.71</v>
          </cell>
          <cell r="F548">
            <v>147</v>
          </cell>
          <cell r="G548">
            <v>2.66</v>
          </cell>
          <cell r="H548" t="str">
            <v>A</v>
          </cell>
          <cell r="I548">
            <v>20201</v>
          </cell>
        </row>
        <row r="549">
          <cell r="A549" t="str">
            <v>F1B013031</v>
          </cell>
          <cell r="B549" t="str">
            <v>GUFRAN</v>
          </cell>
          <cell r="C549">
            <v>20171</v>
          </cell>
          <cell r="D549">
            <v>7</v>
          </cell>
          <cell r="E549">
            <v>0.14</v>
          </cell>
          <cell r="F549">
            <v>132</v>
          </cell>
          <cell r="G549">
            <v>2.5</v>
          </cell>
          <cell r="H549" t="str">
            <v>A</v>
          </cell>
          <cell r="I549">
            <v>20201</v>
          </cell>
        </row>
        <row r="550">
          <cell r="A550" t="str">
            <v>F1B013032</v>
          </cell>
          <cell r="B550" t="str">
            <v>HAIRIL</v>
          </cell>
          <cell r="C550">
            <v>20171</v>
          </cell>
          <cell r="D550">
            <v>16</v>
          </cell>
          <cell r="E550">
            <v>2.34</v>
          </cell>
          <cell r="F550">
            <v>147</v>
          </cell>
          <cell r="G550">
            <v>2.48</v>
          </cell>
          <cell r="H550" t="str">
            <v>A</v>
          </cell>
          <cell r="I550">
            <v>20201</v>
          </cell>
        </row>
        <row r="551">
          <cell r="A551" t="str">
            <v>F1B013033</v>
          </cell>
          <cell r="B551" t="str">
            <v>HALIF HALIFAH AGUNG</v>
          </cell>
          <cell r="C551">
            <v>20171</v>
          </cell>
          <cell r="D551">
            <v>0</v>
          </cell>
          <cell r="E551">
            <v>0</v>
          </cell>
          <cell r="F551">
            <v>20</v>
          </cell>
          <cell r="G551">
            <v>0</v>
          </cell>
          <cell r="H551" t="str">
            <v>A</v>
          </cell>
          <cell r="I551">
            <v>20201</v>
          </cell>
        </row>
        <row r="552">
          <cell r="A552" t="str">
            <v>F1B013034</v>
          </cell>
          <cell r="B552" t="str">
            <v>HASANUL BASRI</v>
          </cell>
          <cell r="C552">
            <v>20171</v>
          </cell>
          <cell r="D552">
            <v>0</v>
          </cell>
          <cell r="E552">
            <v>0</v>
          </cell>
          <cell r="F552">
            <v>37</v>
          </cell>
          <cell r="G552">
            <v>1.01</v>
          </cell>
          <cell r="H552" t="str">
            <v>A</v>
          </cell>
          <cell r="I552">
            <v>20201</v>
          </cell>
        </row>
        <row r="553">
          <cell r="A553" t="str">
            <v>F1B013035</v>
          </cell>
          <cell r="B553" t="str">
            <v>HENDRA SASMITA</v>
          </cell>
          <cell r="C553">
            <v>20171</v>
          </cell>
          <cell r="D553">
            <v>4</v>
          </cell>
          <cell r="E553">
            <v>4</v>
          </cell>
          <cell r="F553">
            <v>154</v>
          </cell>
          <cell r="G553">
            <v>3.24</v>
          </cell>
          <cell r="H553" t="str">
            <v>A</v>
          </cell>
          <cell r="I553">
            <v>20201</v>
          </cell>
        </row>
        <row r="554">
          <cell r="A554" t="str">
            <v>F1B013036</v>
          </cell>
          <cell r="B554" t="str">
            <v>HILMAN ADITYA SUHARYADI</v>
          </cell>
          <cell r="C554">
            <v>20171</v>
          </cell>
          <cell r="D554">
            <v>3</v>
          </cell>
          <cell r="E554">
            <v>3.5</v>
          </cell>
          <cell r="F554">
            <v>160</v>
          </cell>
          <cell r="G554">
            <v>3.07</v>
          </cell>
          <cell r="H554" t="str">
            <v>A</v>
          </cell>
          <cell r="I554">
            <v>20201</v>
          </cell>
        </row>
        <row r="555">
          <cell r="A555" t="str">
            <v>F1B013037</v>
          </cell>
          <cell r="B555" t="str">
            <v>HILYATI AULA</v>
          </cell>
          <cell r="C555">
            <v>20171</v>
          </cell>
          <cell r="D555">
            <v>0</v>
          </cell>
          <cell r="E555">
            <v>0</v>
          </cell>
          <cell r="F555">
            <v>149</v>
          </cell>
          <cell r="G555">
            <v>2.65</v>
          </cell>
          <cell r="H555" t="str">
            <v>A</v>
          </cell>
          <cell r="I555">
            <v>20201</v>
          </cell>
        </row>
        <row r="556">
          <cell r="A556" t="str">
            <v>F1B013038</v>
          </cell>
          <cell r="B556" t="str">
            <v>HUSEIN FAISAL HARHARAH</v>
          </cell>
          <cell r="C556">
            <v>20171</v>
          </cell>
          <cell r="D556">
            <v>4</v>
          </cell>
          <cell r="E556">
            <v>4</v>
          </cell>
          <cell r="F556">
            <v>155</v>
          </cell>
          <cell r="G556">
            <v>3.03</v>
          </cell>
          <cell r="H556" t="str">
            <v>A</v>
          </cell>
          <cell r="I556">
            <v>20201</v>
          </cell>
        </row>
        <row r="557">
          <cell r="A557" t="str">
            <v>F1B013039</v>
          </cell>
          <cell r="B557" t="str">
            <v>I DEWA KETUT SUDARMAN NIDA</v>
          </cell>
          <cell r="C557">
            <v>20171</v>
          </cell>
          <cell r="D557">
            <v>0</v>
          </cell>
          <cell r="E557">
            <v>0</v>
          </cell>
          <cell r="F557">
            <v>33</v>
          </cell>
          <cell r="G557">
            <v>0.65</v>
          </cell>
          <cell r="H557" t="str">
            <v>A</v>
          </cell>
          <cell r="I557">
            <v>20201</v>
          </cell>
        </row>
        <row r="558">
          <cell r="A558" t="str">
            <v>F1B013040</v>
          </cell>
          <cell r="B558" t="str">
            <v>I KOMANG SULENDRA</v>
          </cell>
          <cell r="C558">
            <v>20171</v>
          </cell>
          <cell r="D558">
            <v>0</v>
          </cell>
          <cell r="E558">
            <v>0</v>
          </cell>
          <cell r="F558">
            <v>150</v>
          </cell>
          <cell r="G558">
            <v>3.61</v>
          </cell>
          <cell r="H558" t="str">
            <v>A</v>
          </cell>
          <cell r="I558">
            <v>20201</v>
          </cell>
        </row>
        <row r="559">
          <cell r="A559" t="str">
            <v>F1B013041</v>
          </cell>
          <cell r="B559" t="str">
            <v>I NENGAH SUHARTAWAN</v>
          </cell>
          <cell r="C559">
            <v>20171</v>
          </cell>
          <cell r="D559">
            <v>0</v>
          </cell>
          <cell r="E559">
            <v>0</v>
          </cell>
          <cell r="F559">
            <v>155</v>
          </cell>
          <cell r="G559">
            <v>2.9</v>
          </cell>
          <cell r="H559" t="str">
            <v>A</v>
          </cell>
          <cell r="I559">
            <v>20201</v>
          </cell>
        </row>
        <row r="560">
          <cell r="A560" t="str">
            <v>F1B013042</v>
          </cell>
          <cell r="B560" t="str">
            <v>I NYOMAN MEGA DHARMAWAN</v>
          </cell>
          <cell r="C560">
            <v>20171</v>
          </cell>
          <cell r="D560">
            <v>0</v>
          </cell>
          <cell r="E560">
            <v>0</v>
          </cell>
          <cell r="F560">
            <v>152</v>
          </cell>
          <cell r="G560">
            <v>3.02</v>
          </cell>
          <cell r="H560" t="str">
            <v>A</v>
          </cell>
          <cell r="I560">
            <v>20201</v>
          </cell>
        </row>
        <row r="561">
          <cell r="A561" t="str">
            <v>F1B013043</v>
          </cell>
          <cell r="B561" t="str">
            <v>I PUTU DODY WIDIHARTAWAN</v>
          </cell>
          <cell r="C561">
            <v>20171</v>
          </cell>
          <cell r="D561">
            <v>4</v>
          </cell>
          <cell r="E561">
            <v>4</v>
          </cell>
          <cell r="F561">
            <v>146</v>
          </cell>
          <cell r="G561">
            <v>3.31</v>
          </cell>
          <cell r="H561" t="str">
            <v>A</v>
          </cell>
          <cell r="I561">
            <v>20201</v>
          </cell>
        </row>
        <row r="562">
          <cell r="A562" t="str">
            <v>F1B013044</v>
          </cell>
          <cell r="B562" t="str">
            <v>IMAM SASTIAWAN</v>
          </cell>
          <cell r="C562">
            <v>20171</v>
          </cell>
          <cell r="D562">
            <v>0</v>
          </cell>
          <cell r="E562">
            <v>0</v>
          </cell>
          <cell r="F562">
            <v>33</v>
          </cell>
          <cell r="G562">
            <v>0.8</v>
          </cell>
          <cell r="H562" t="str">
            <v>A</v>
          </cell>
          <cell r="I562">
            <v>20201</v>
          </cell>
        </row>
        <row r="563">
          <cell r="A563" t="str">
            <v>F1B013045</v>
          </cell>
          <cell r="B563" t="str">
            <v>INDAH PUSPITA</v>
          </cell>
          <cell r="C563">
            <v>20171</v>
          </cell>
          <cell r="D563">
            <v>0</v>
          </cell>
          <cell r="E563">
            <v>0</v>
          </cell>
          <cell r="F563">
            <v>151</v>
          </cell>
          <cell r="G563">
            <v>3.14</v>
          </cell>
          <cell r="H563" t="str">
            <v>A</v>
          </cell>
          <cell r="I563">
            <v>20201</v>
          </cell>
        </row>
        <row r="564">
          <cell r="A564" t="str">
            <v>F1B013046</v>
          </cell>
          <cell r="B564" t="str">
            <v>IRWAN JAYADI</v>
          </cell>
          <cell r="C564">
            <v>20171</v>
          </cell>
          <cell r="D564">
            <v>0</v>
          </cell>
          <cell r="E564">
            <v>0</v>
          </cell>
          <cell r="F564">
            <v>33</v>
          </cell>
          <cell r="G564">
            <v>0.58</v>
          </cell>
          <cell r="H564" t="str">
            <v>A</v>
          </cell>
          <cell r="I564">
            <v>20201</v>
          </cell>
        </row>
        <row r="565">
          <cell r="A565" t="str">
            <v>F1B013047</v>
          </cell>
          <cell r="B565" t="str">
            <v>IZFAN YUNUS</v>
          </cell>
          <cell r="C565">
            <v>20171</v>
          </cell>
          <cell r="D565">
            <v>15</v>
          </cell>
          <cell r="E565">
            <v>2.07</v>
          </cell>
          <cell r="F565">
            <v>136</v>
          </cell>
          <cell r="G565">
            <v>2.04</v>
          </cell>
          <cell r="H565" t="str">
            <v>A</v>
          </cell>
          <cell r="I565">
            <v>20201</v>
          </cell>
        </row>
        <row r="566">
          <cell r="A566" t="str">
            <v>F1B013048</v>
          </cell>
          <cell r="B566" t="str">
            <v>JALU KARTIKO PUTRO C</v>
          </cell>
          <cell r="C566">
            <v>20171</v>
          </cell>
          <cell r="D566">
            <v>16</v>
          </cell>
          <cell r="E566">
            <v>3.22</v>
          </cell>
          <cell r="F566">
            <v>145</v>
          </cell>
          <cell r="G566">
            <v>2.51</v>
          </cell>
          <cell r="H566" t="str">
            <v>A</v>
          </cell>
          <cell r="I566">
            <v>20201</v>
          </cell>
        </row>
        <row r="567">
          <cell r="A567" t="str">
            <v>F1B013049</v>
          </cell>
          <cell r="B567" t="str">
            <v>JULI ANUGRAH PRATAMA</v>
          </cell>
          <cell r="C567">
            <v>20171</v>
          </cell>
          <cell r="D567">
            <v>16</v>
          </cell>
          <cell r="E567">
            <v>2.75</v>
          </cell>
          <cell r="F567">
            <v>144</v>
          </cell>
          <cell r="G567">
            <v>2.12</v>
          </cell>
          <cell r="H567" t="str">
            <v>A</v>
          </cell>
          <cell r="I567">
            <v>20201</v>
          </cell>
        </row>
        <row r="568">
          <cell r="A568" t="str">
            <v>F1B013050</v>
          </cell>
          <cell r="B568" t="str">
            <v>KHAERUL UMAYAH</v>
          </cell>
          <cell r="C568">
            <v>20171</v>
          </cell>
          <cell r="D568">
            <v>0</v>
          </cell>
          <cell r="E568">
            <v>0</v>
          </cell>
          <cell r="F568">
            <v>38</v>
          </cell>
          <cell r="G568">
            <v>1.49</v>
          </cell>
          <cell r="H568" t="str">
            <v>A</v>
          </cell>
          <cell r="I568">
            <v>20201</v>
          </cell>
        </row>
        <row r="569">
          <cell r="A569" t="str">
            <v>F1B013051</v>
          </cell>
          <cell r="B569" t="str">
            <v>KIKI RIZKI AMALIA</v>
          </cell>
          <cell r="C569">
            <v>20171</v>
          </cell>
          <cell r="D569">
            <v>0</v>
          </cell>
          <cell r="E569">
            <v>0</v>
          </cell>
          <cell r="F569">
            <v>148</v>
          </cell>
          <cell r="G569">
            <v>3.3</v>
          </cell>
          <cell r="H569" t="str">
            <v>A</v>
          </cell>
          <cell r="I569">
            <v>20201</v>
          </cell>
        </row>
        <row r="570">
          <cell r="A570" t="str">
            <v>F1B013052</v>
          </cell>
          <cell r="B570" t="str">
            <v>KOMANG BAGUS KHRISNA MURTI</v>
          </cell>
          <cell r="C570">
            <v>20171</v>
          </cell>
          <cell r="D570">
            <v>0</v>
          </cell>
          <cell r="E570">
            <v>0</v>
          </cell>
          <cell r="F570">
            <v>157</v>
          </cell>
          <cell r="G570">
            <v>3.17</v>
          </cell>
          <cell r="H570" t="str">
            <v>A</v>
          </cell>
          <cell r="I570">
            <v>20201</v>
          </cell>
        </row>
        <row r="571">
          <cell r="A571" t="str">
            <v>F1B013053</v>
          </cell>
          <cell r="B571" t="str">
            <v>L. MUH. FATHUL AZIZ AL AZHARI</v>
          </cell>
          <cell r="C571">
            <v>20171</v>
          </cell>
          <cell r="D571">
            <v>0</v>
          </cell>
          <cell r="E571">
            <v>0</v>
          </cell>
          <cell r="F571">
            <v>30</v>
          </cell>
          <cell r="G571">
            <v>0.13</v>
          </cell>
          <cell r="H571" t="str">
            <v>A</v>
          </cell>
          <cell r="I571">
            <v>20201</v>
          </cell>
        </row>
        <row r="572">
          <cell r="A572" t="str">
            <v>F1B013054</v>
          </cell>
          <cell r="B572" t="str">
            <v>LALU ANGGER PRASETIA</v>
          </cell>
          <cell r="C572">
            <v>20171</v>
          </cell>
          <cell r="D572">
            <v>14</v>
          </cell>
          <cell r="E572">
            <v>1.5</v>
          </cell>
          <cell r="F572">
            <v>155</v>
          </cell>
          <cell r="G572">
            <v>2.73</v>
          </cell>
          <cell r="H572" t="str">
            <v>A</v>
          </cell>
          <cell r="I572">
            <v>20201</v>
          </cell>
        </row>
        <row r="573">
          <cell r="A573" t="str">
            <v>F1B013055</v>
          </cell>
          <cell r="B573" t="str">
            <v>LALU IMAM ADIGUNA R</v>
          </cell>
          <cell r="C573">
            <v>20171</v>
          </cell>
          <cell r="D573">
            <v>4</v>
          </cell>
          <cell r="E573">
            <v>4</v>
          </cell>
          <cell r="F573">
            <v>151</v>
          </cell>
          <cell r="G573">
            <v>3.48</v>
          </cell>
          <cell r="H573" t="str">
            <v>A</v>
          </cell>
          <cell r="I573">
            <v>20201</v>
          </cell>
        </row>
        <row r="574">
          <cell r="A574" t="str">
            <v>F1B013056</v>
          </cell>
          <cell r="B574" t="str">
            <v>LALU YAYAN SETIAWAN</v>
          </cell>
          <cell r="C574">
            <v>20171</v>
          </cell>
          <cell r="D574">
            <v>0</v>
          </cell>
          <cell r="E574">
            <v>0</v>
          </cell>
          <cell r="F574">
            <v>35</v>
          </cell>
          <cell r="G574">
            <v>0.79</v>
          </cell>
          <cell r="H574" t="str">
            <v>A</v>
          </cell>
          <cell r="I574">
            <v>20201</v>
          </cell>
        </row>
        <row r="575">
          <cell r="A575" t="str">
            <v>F1B013057</v>
          </cell>
          <cell r="B575" t="str">
            <v>LUKMAN AL HAKIM</v>
          </cell>
          <cell r="C575">
            <v>20171</v>
          </cell>
          <cell r="D575">
            <v>20</v>
          </cell>
          <cell r="E575">
            <v>2.2</v>
          </cell>
          <cell r="F575">
            <v>158</v>
          </cell>
          <cell r="G575">
            <v>2.3</v>
          </cell>
          <cell r="H575" t="str">
            <v>A</v>
          </cell>
          <cell r="I575">
            <v>20201</v>
          </cell>
        </row>
        <row r="576">
          <cell r="A576" t="str">
            <v>F1B013058</v>
          </cell>
          <cell r="B576" t="str">
            <v>LUSI HENDRAYANI</v>
          </cell>
          <cell r="C576">
            <v>20171</v>
          </cell>
          <cell r="D576">
            <v>4</v>
          </cell>
          <cell r="E576">
            <v>4</v>
          </cell>
          <cell r="F576">
            <v>151</v>
          </cell>
          <cell r="G576">
            <v>2.82</v>
          </cell>
          <cell r="H576" t="str">
            <v>A</v>
          </cell>
          <cell r="I576">
            <v>20201</v>
          </cell>
        </row>
        <row r="577">
          <cell r="A577" t="str">
            <v>F1B013059</v>
          </cell>
          <cell r="B577" t="str">
            <v>M NAJMUL FADLI</v>
          </cell>
          <cell r="C577">
            <v>20171</v>
          </cell>
          <cell r="D577">
            <v>0</v>
          </cell>
          <cell r="E577">
            <v>0</v>
          </cell>
          <cell r="F577">
            <v>151</v>
          </cell>
          <cell r="G577">
            <v>3.45</v>
          </cell>
          <cell r="H577" t="str">
            <v>A</v>
          </cell>
          <cell r="I577">
            <v>20201</v>
          </cell>
        </row>
        <row r="578">
          <cell r="A578" t="str">
            <v>F1B013060</v>
          </cell>
          <cell r="B578" t="str">
            <v>M WINDI MARTA PRATAMA</v>
          </cell>
          <cell r="C578">
            <v>20171</v>
          </cell>
          <cell r="D578">
            <v>20</v>
          </cell>
          <cell r="E578">
            <v>2.73</v>
          </cell>
          <cell r="F578">
            <v>150</v>
          </cell>
          <cell r="G578">
            <v>2.71</v>
          </cell>
          <cell r="H578" t="str">
            <v>A</v>
          </cell>
          <cell r="I578">
            <v>20201</v>
          </cell>
        </row>
        <row r="579">
          <cell r="A579" t="str">
            <v>F1B013061</v>
          </cell>
          <cell r="B579" t="str">
            <v>MARSUNI</v>
          </cell>
          <cell r="C579">
            <v>20171</v>
          </cell>
          <cell r="D579">
            <v>0</v>
          </cell>
          <cell r="E579">
            <v>0</v>
          </cell>
          <cell r="F579">
            <v>152</v>
          </cell>
          <cell r="G579">
            <v>2.71</v>
          </cell>
          <cell r="H579" t="str">
            <v>A</v>
          </cell>
          <cell r="I579">
            <v>20201</v>
          </cell>
        </row>
        <row r="580">
          <cell r="A580" t="str">
            <v>F1B013062</v>
          </cell>
          <cell r="B580" t="str">
            <v>MARTAJAYA GUNAWAN</v>
          </cell>
          <cell r="C580">
            <v>20171</v>
          </cell>
          <cell r="D580">
            <v>0</v>
          </cell>
          <cell r="E580">
            <v>0</v>
          </cell>
          <cell r="F580">
            <v>58</v>
          </cell>
          <cell r="G580">
            <v>1.34</v>
          </cell>
          <cell r="H580" t="str">
            <v>A</v>
          </cell>
          <cell r="I580">
            <v>20201</v>
          </cell>
        </row>
        <row r="581">
          <cell r="A581" t="str">
            <v>F1B013063</v>
          </cell>
          <cell r="B581" t="str">
            <v>MOH. ZOHRUL HIMAM</v>
          </cell>
          <cell r="C581">
            <v>20171</v>
          </cell>
          <cell r="D581">
            <v>0</v>
          </cell>
          <cell r="E581">
            <v>0</v>
          </cell>
          <cell r="F581">
            <v>148</v>
          </cell>
          <cell r="G581">
            <v>3.12</v>
          </cell>
          <cell r="H581" t="str">
            <v>A</v>
          </cell>
          <cell r="I581">
            <v>20201</v>
          </cell>
        </row>
        <row r="582">
          <cell r="A582" t="str">
            <v>F1B013064</v>
          </cell>
          <cell r="B582" t="str">
            <v>MUH KHAERUR RAFIQ</v>
          </cell>
          <cell r="C582">
            <v>20171</v>
          </cell>
          <cell r="D582">
            <v>12</v>
          </cell>
          <cell r="E582">
            <v>2.88</v>
          </cell>
          <cell r="F582">
            <v>161</v>
          </cell>
          <cell r="G582">
            <v>2.77</v>
          </cell>
          <cell r="H582" t="str">
            <v>A</v>
          </cell>
          <cell r="I582">
            <v>20201</v>
          </cell>
        </row>
        <row r="583">
          <cell r="A583" t="str">
            <v>F1B013065</v>
          </cell>
          <cell r="B583" t="str">
            <v>MUH. ZAINI BAIHAQI</v>
          </cell>
          <cell r="C583">
            <v>20171</v>
          </cell>
          <cell r="D583">
            <v>0</v>
          </cell>
          <cell r="E583">
            <v>0</v>
          </cell>
          <cell r="F583">
            <v>20</v>
          </cell>
          <cell r="G583">
            <v>0</v>
          </cell>
          <cell r="H583" t="str">
            <v>A</v>
          </cell>
          <cell r="I583">
            <v>20201</v>
          </cell>
        </row>
        <row r="584">
          <cell r="A584" t="str">
            <v>F1B013066</v>
          </cell>
          <cell r="B584" t="str">
            <v>MUHAMMAD IRSYADUL UMAMI</v>
          </cell>
          <cell r="C584">
            <v>20171</v>
          </cell>
          <cell r="D584">
            <v>0</v>
          </cell>
          <cell r="E584">
            <v>0</v>
          </cell>
          <cell r="F584">
            <v>154</v>
          </cell>
          <cell r="G584">
            <v>3.22</v>
          </cell>
          <cell r="H584" t="str">
            <v>A</v>
          </cell>
          <cell r="I584">
            <v>20201</v>
          </cell>
        </row>
        <row r="585">
          <cell r="A585" t="str">
            <v>F1B013067</v>
          </cell>
          <cell r="B585" t="str">
            <v>MUHAMMAD KHAERI JAFRI</v>
          </cell>
          <cell r="C585">
            <v>20171</v>
          </cell>
          <cell r="D585">
            <v>9</v>
          </cell>
          <cell r="E585">
            <v>2.94</v>
          </cell>
          <cell r="F585">
            <v>156</v>
          </cell>
          <cell r="G585">
            <v>3</v>
          </cell>
          <cell r="H585" t="str">
            <v>A</v>
          </cell>
          <cell r="I585">
            <v>20201</v>
          </cell>
        </row>
        <row r="586">
          <cell r="A586" t="str">
            <v>F1B013068</v>
          </cell>
          <cell r="B586" t="str">
            <v>MUHAMMAD RASYID</v>
          </cell>
          <cell r="C586">
            <v>20171</v>
          </cell>
          <cell r="D586">
            <v>0</v>
          </cell>
          <cell r="E586">
            <v>0</v>
          </cell>
          <cell r="F586">
            <v>124</v>
          </cell>
          <cell r="G586">
            <v>2.39</v>
          </cell>
          <cell r="H586" t="str">
            <v>A</v>
          </cell>
          <cell r="I586">
            <v>20201</v>
          </cell>
        </row>
        <row r="587">
          <cell r="A587" t="str">
            <v>F1B013069</v>
          </cell>
          <cell r="B587" t="str">
            <v>MUHAMMAD RIZKI RIADI</v>
          </cell>
          <cell r="C587">
            <v>20171</v>
          </cell>
          <cell r="D587">
            <v>0</v>
          </cell>
          <cell r="E587">
            <v>0</v>
          </cell>
          <cell r="F587">
            <v>20</v>
          </cell>
          <cell r="G587">
            <v>0</v>
          </cell>
          <cell r="H587" t="str">
            <v>A</v>
          </cell>
          <cell r="I587">
            <v>20201</v>
          </cell>
        </row>
        <row r="588">
          <cell r="A588" t="str">
            <v>F1B013070</v>
          </cell>
          <cell r="B588" t="str">
            <v>MUHAMMAD RIZQI</v>
          </cell>
          <cell r="C588">
            <v>20171</v>
          </cell>
          <cell r="D588">
            <v>14</v>
          </cell>
          <cell r="E588">
            <v>2.68</v>
          </cell>
          <cell r="F588">
            <v>165</v>
          </cell>
          <cell r="G588">
            <v>2.8</v>
          </cell>
          <cell r="H588" t="str">
            <v>A</v>
          </cell>
          <cell r="I588">
            <v>20201</v>
          </cell>
        </row>
        <row r="589">
          <cell r="A589" t="str">
            <v>F1B013071</v>
          </cell>
          <cell r="B589" t="str">
            <v>MUHSAN</v>
          </cell>
          <cell r="C589">
            <v>20171</v>
          </cell>
          <cell r="D589">
            <v>0</v>
          </cell>
          <cell r="E589">
            <v>0</v>
          </cell>
          <cell r="F589">
            <v>151</v>
          </cell>
          <cell r="G589">
            <v>3.01</v>
          </cell>
          <cell r="H589" t="str">
            <v>A</v>
          </cell>
          <cell r="I589">
            <v>20201</v>
          </cell>
        </row>
        <row r="590">
          <cell r="A590" t="str">
            <v>F1B013072</v>
          </cell>
          <cell r="B590" t="str">
            <v>NAHARUDIN</v>
          </cell>
          <cell r="C590">
            <v>20171</v>
          </cell>
          <cell r="D590">
            <v>0</v>
          </cell>
          <cell r="E590">
            <v>0</v>
          </cell>
          <cell r="F590">
            <v>20</v>
          </cell>
          <cell r="G590">
            <v>0.38</v>
          </cell>
          <cell r="H590" t="str">
            <v>A</v>
          </cell>
          <cell r="I590">
            <v>20201</v>
          </cell>
        </row>
        <row r="591">
          <cell r="A591" t="str">
            <v>F1B013073</v>
          </cell>
          <cell r="B591" t="str">
            <v>NAZOAR HAMKARI</v>
          </cell>
          <cell r="C591">
            <v>20171</v>
          </cell>
          <cell r="D591">
            <v>0</v>
          </cell>
          <cell r="E591">
            <v>0</v>
          </cell>
          <cell r="F591">
            <v>39</v>
          </cell>
          <cell r="G591">
            <v>0.94</v>
          </cell>
          <cell r="H591" t="str">
            <v>A</v>
          </cell>
          <cell r="I591">
            <v>20201</v>
          </cell>
        </row>
        <row r="592">
          <cell r="A592" t="str">
            <v>F1B013074</v>
          </cell>
          <cell r="B592" t="str">
            <v>NI MADE YUNIARTI</v>
          </cell>
          <cell r="C592">
            <v>20171</v>
          </cell>
          <cell r="D592">
            <v>0</v>
          </cell>
          <cell r="E592">
            <v>0</v>
          </cell>
          <cell r="F592">
            <v>156</v>
          </cell>
          <cell r="G592">
            <v>3.1</v>
          </cell>
          <cell r="H592" t="str">
            <v>A</v>
          </cell>
          <cell r="I592">
            <v>20201</v>
          </cell>
        </row>
        <row r="593">
          <cell r="A593" t="str">
            <v>F1B013075</v>
          </cell>
          <cell r="B593" t="str">
            <v>NURHAYATI</v>
          </cell>
          <cell r="C593">
            <v>20171</v>
          </cell>
          <cell r="D593">
            <v>0</v>
          </cell>
          <cell r="E593">
            <v>0</v>
          </cell>
          <cell r="F593">
            <v>152</v>
          </cell>
          <cell r="G593">
            <v>3.04</v>
          </cell>
          <cell r="H593" t="str">
            <v>A</v>
          </cell>
          <cell r="I593">
            <v>20201</v>
          </cell>
        </row>
        <row r="594">
          <cell r="A594" t="str">
            <v>F1B013076</v>
          </cell>
          <cell r="B594" t="str">
            <v>NURUL FATIN JANNATIN</v>
          </cell>
          <cell r="C594">
            <v>20171</v>
          </cell>
          <cell r="D594">
            <v>0</v>
          </cell>
          <cell r="E594">
            <v>0</v>
          </cell>
          <cell r="F594">
            <v>154</v>
          </cell>
          <cell r="G594">
            <v>2.9</v>
          </cell>
          <cell r="H594" t="str">
            <v>A</v>
          </cell>
          <cell r="I594">
            <v>20201</v>
          </cell>
        </row>
        <row r="595">
          <cell r="A595" t="str">
            <v>F1B013077</v>
          </cell>
          <cell r="B595" t="str">
            <v>RAYASA PURINGGAR PP</v>
          </cell>
          <cell r="C595">
            <v>20171</v>
          </cell>
          <cell r="D595">
            <v>0</v>
          </cell>
          <cell r="E595">
            <v>0</v>
          </cell>
          <cell r="F595">
            <v>150</v>
          </cell>
          <cell r="G595">
            <v>2.91</v>
          </cell>
          <cell r="H595" t="str">
            <v>A</v>
          </cell>
          <cell r="I595">
            <v>20201</v>
          </cell>
        </row>
        <row r="596">
          <cell r="A596" t="str">
            <v>F1B013078</v>
          </cell>
          <cell r="B596" t="str">
            <v>PHARRAN PRATAMA ISKANDAR</v>
          </cell>
          <cell r="C596">
            <v>20171</v>
          </cell>
          <cell r="D596">
            <v>0</v>
          </cell>
          <cell r="E596">
            <v>0</v>
          </cell>
          <cell r="F596">
            <v>60</v>
          </cell>
          <cell r="G596">
            <v>1.49</v>
          </cell>
          <cell r="H596" t="str">
            <v>A</v>
          </cell>
          <cell r="I596">
            <v>20201</v>
          </cell>
        </row>
        <row r="597">
          <cell r="A597" t="str">
            <v>F1B013079</v>
          </cell>
          <cell r="B597" t="str">
            <v>RIVALDY AHYANA</v>
          </cell>
          <cell r="C597">
            <v>20171</v>
          </cell>
          <cell r="D597">
            <v>0</v>
          </cell>
          <cell r="E597">
            <v>0</v>
          </cell>
          <cell r="F597">
            <v>20</v>
          </cell>
          <cell r="G597">
            <v>0.15</v>
          </cell>
          <cell r="H597" t="str">
            <v>A</v>
          </cell>
          <cell r="I597">
            <v>20201</v>
          </cell>
        </row>
        <row r="598">
          <cell r="A598" t="str">
            <v>F1B013080</v>
          </cell>
          <cell r="B598" t="str">
            <v>RIZKA APRILIANI</v>
          </cell>
          <cell r="C598">
            <v>20171</v>
          </cell>
          <cell r="D598">
            <v>4</v>
          </cell>
          <cell r="E598">
            <v>4</v>
          </cell>
          <cell r="F598">
            <v>153</v>
          </cell>
          <cell r="G598">
            <v>2.67</v>
          </cell>
          <cell r="H598" t="str">
            <v>A</v>
          </cell>
          <cell r="I598">
            <v>20201</v>
          </cell>
        </row>
        <row r="599">
          <cell r="A599" t="str">
            <v>F1B013081</v>
          </cell>
          <cell r="B599" t="str">
            <v>RIZQIYAN APRIYADI</v>
          </cell>
          <cell r="C599">
            <v>20171</v>
          </cell>
          <cell r="D599">
            <v>0</v>
          </cell>
          <cell r="E599">
            <v>0</v>
          </cell>
          <cell r="F599">
            <v>20</v>
          </cell>
          <cell r="G599">
            <v>0.2</v>
          </cell>
          <cell r="H599" t="str">
            <v>A</v>
          </cell>
          <cell r="I599">
            <v>20201</v>
          </cell>
        </row>
        <row r="600">
          <cell r="A600" t="str">
            <v>F1B013082</v>
          </cell>
          <cell r="B600" t="str">
            <v>RUTENDI RIDWAN HASAN</v>
          </cell>
          <cell r="C600">
            <v>20171</v>
          </cell>
          <cell r="D600">
            <v>13</v>
          </cell>
          <cell r="E600">
            <v>1.46</v>
          </cell>
          <cell r="F600">
            <v>163</v>
          </cell>
          <cell r="G600">
            <v>2.85</v>
          </cell>
          <cell r="H600" t="str">
            <v>A</v>
          </cell>
          <cell r="I600">
            <v>20201</v>
          </cell>
        </row>
        <row r="601">
          <cell r="A601" t="str">
            <v>F1B013083</v>
          </cell>
          <cell r="B601" t="str">
            <v>SAMSUL AMINUDIN</v>
          </cell>
          <cell r="C601">
            <v>20171</v>
          </cell>
          <cell r="D601">
            <v>15</v>
          </cell>
          <cell r="E601">
            <v>2.3</v>
          </cell>
          <cell r="F601">
            <v>153</v>
          </cell>
          <cell r="G601">
            <v>2.54</v>
          </cell>
          <cell r="H601" t="str">
            <v>A</v>
          </cell>
          <cell r="I601">
            <v>20201</v>
          </cell>
        </row>
        <row r="602">
          <cell r="A602" t="str">
            <v>F1B013084</v>
          </cell>
          <cell r="B602" t="str">
            <v>SAMSUL HADI</v>
          </cell>
          <cell r="C602">
            <v>20171</v>
          </cell>
          <cell r="D602">
            <v>8</v>
          </cell>
          <cell r="E602">
            <v>0</v>
          </cell>
          <cell r="F602">
            <v>160</v>
          </cell>
          <cell r="G602">
            <v>2.57</v>
          </cell>
          <cell r="H602" t="str">
            <v>A</v>
          </cell>
          <cell r="I602">
            <v>20201</v>
          </cell>
        </row>
        <row r="603">
          <cell r="A603" t="str">
            <v>F1B013085</v>
          </cell>
          <cell r="B603" t="str">
            <v>SATRIA WIRAWAN</v>
          </cell>
          <cell r="C603">
            <v>20171</v>
          </cell>
          <cell r="D603">
            <v>7</v>
          </cell>
          <cell r="E603">
            <v>3.14</v>
          </cell>
          <cell r="F603">
            <v>144</v>
          </cell>
          <cell r="G603">
            <v>2.38</v>
          </cell>
          <cell r="H603" t="str">
            <v>A</v>
          </cell>
          <cell r="I603">
            <v>20201</v>
          </cell>
        </row>
        <row r="604">
          <cell r="A604" t="str">
            <v>F1B013086</v>
          </cell>
          <cell r="B604" t="str">
            <v>SHOFIAN TSAURY</v>
          </cell>
          <cell r="C604">
            <v>20171</v>
          </cell>
          <cell r="D604">
            <v>0</v>
          </cell>
          <cell r="E604">
            <v>0</v>
          </cell>
          <cell r="F604">
            <v>149</v>
          </cell>
          <cell r="G604">
            <v>3.31</v>
          </cell>
          <cell r="H604" t="str">
            <v>A</v>
          </cell>
          <cell r="I604">
            <v>20201</v>
          </cell>
        </row>
        <row r="605">
          <cell r="A605" t="str">
            <v>F1B013087</v>
          </cell>
          <cell r="B605" t="str">
            <v>SRI WAHYUNINGSIH</v>
          </cell>
          <cell r="C605">
            <v>20171</v>
          </cell>
          <cell r="D605">
            <v>0</v>
          </cell>
          <cell r="E605">
            <v>0</v>
          </cell>
          <cell r="F605">
            <v>154</v>
          </cell>
          <cell r="G605">
            <v>3.06</v>
          </cell>
          <cell r="H605" t="str">
            <v>A</v>
          </cell>
          <cell r="I605">
            <v>20201</v>
          </cell>
        </row>
        <row r="606">
          <cell r="A606" t="str">
            <v>F1B013088</v>
          </cell>
          <cell r="B606" t="str">
            <v>SUPRIYADI TP</v>
          </cell>
          <cell r="C606">
            <v>20171</v>
          </cell>
          <cell r="D606">
            <v>4</v>
          </cell>
          <cell r="E606">
            <v>4</v>
          </cell>
          <cell r="F606">
            <v>153</v>
          </cell>
          <cell r="G606">
            <v>3.32</v>
          </cell>
          <cell r="H606" t="str">
            <v>A</v>
          </cell>
          <cell r="I606">
            <v>20201</v>
          </cell>
        </row>
        <row r="607">
          <cell r="A607" t="str">
            <v>F1B013089</v>
          </cell>
          <cell r="B607" t="str">
            <v>SURYA HIDAYAT</v>
          </cell>
          <cell r="C607">
            <v>20171</v>
          </cell>
          <cell r="D607">
            <v>12</v>
          </cell>
          <cell r="E607">
            <v>2.88</v>
          </cell>
          <cell r="F607">
            <v>159</v>
          </cell>
          <cell r="G607">
            <v>2.87</v>
          </cell>
          <cell r="H607" t="str">
            <v>A</v>
          </cell>
          <cell r="I607">
            <v>20201</v>
          </cell>
        </row>
        <row r="608">
          <cell r="A608" t="str">
            <v>F1B013090</v>
          </cell>
          <cell r="B608" t="str">
            <v>TAHARUDIN</v>
          </cell>
          <cell r="C608">
            <v>20171</v>
          </cell>
          <cell r="D608">
            <v>16</v>
          </cell>
          <cell r="E608">
            <v>2.56</v>
          </cell>
          <cell r="F608">
            <v>156</v>
          </cell>
          <cell r="G608">
            <v>2.46</v>
          </cell>
          <cell r="H608" t="str">
            <v>A</v>
          </cell>
          <cell r="I608">
            <v>20201</v>
          </cell>
        </row>
        <row r="609">
          <cell r="A609" t="str">
            <v>F1B013091</v>
          </cell>
          <cell r="B609" t="str">
            <v>TIRANGGA ANSORI</v>
          </cell>
          <cell r="C609">
            <v>20171</v>
          </cell>
          <cell r="D609">
            <v>14</v>
          </cell>
          <cell r="E609">
            <v>2.21</v>
          </cell>
          <cell r="F609">
            <v>162</v>
          </cell>
          <cell r="G609">
            <v>2.68</v>
          </cell>
          <cell r="H609" t="str">
            <v>A</v>
          </cell>
          <cell r="I609">
            <v>20201</v>
          </cell>
        </row>
        <row r="610">
          <cell r="A610" t="str">
            <v>F1B013092</v>
          </cell>
          <cell r="B610" t="str">
            <v>WAHYU SEPTRIANDI S</v>
          </cell>
          <cell r="C610">
            <v>20171</v>
          </cell>
          <cell r="D610">
            <v>0</v>
          </cell>
          <cell r="E610">
            <v>0</v>
          </cell>
          <cell r="F610">
            <v>150</v>
          </cell>
          <cell r="G610">
            <v>3.19</v>
          </cell>
          <cell r="H610" t="str">
            <v>A</v>
          </cell>
          <cell r="I610">
            <v>20201</v>
          </cell>
        </row>
        <row r="611">
          <cell r="A611" t="str">
            <v>F1B013093</v>
          </cell>
          <cell r="B611" t="str">
            <v>WINDI FIKRAN TAUPANI</v>
          </cell>
          <cell r="C611">
            <v>20171</v>
          </cell>
          <cell r="D611">
            <v>16</v>
          </cell>
          <cell r="E611">
            <v>2.09</v>
          </cell>
          <cell r="F611">
            <v>133</v>
          </cell>
          <cell r="G611">
            <v>1.78</v>
          </cell>
          <cell r="H611" t="str">
            <v>A</v>
          </cell>
          <cell r="I611">
            <v>20201</v>
          </cell>
        </row>
        <row r="612">
          <cell r="A612" t="str">
            <v>F1B013094</v>
          </cell>
          <cell r="B612" t="str">
            <v>YUDI SAPUTRA</v>
          </cell>
          <cell r="C612">
            <v>20171</v>
          </cell>
          <cell r="D612">
            <v>0</v>
          </cell>
          <cell r="E612">
            <v>0</v>
          </cell>
          <cell r="F612">
            <v>20</v>
          </cell>
          <cell r="G612">
            <v>0</v>
          </cell>
          <cell r="H612" t="str">
            <v>A</v>
          </cell>
          <cell r="I612">
            <v>20201</v>
          </cell>
        </row>
        <row r="613">
          <cell r="A613" t="str">
            <v>F1B013095</v>
          </cell>
          <cell r="B613" t="str">
            <v>YUDIKO SANJAYA</v>
          </cell>
          <cell r="C613">
            <v>20171</v>
          </cell>
          <cell r="D613">
            <v>0</v>
          </cell>
          <cell r="E613">
            <v>0</v>
          </cell>
          <cell r="F613">
            <v>56</v>
          </cell>
          <cell r="G613">
            <v>1.38</v>
          </cell>
          <cell r="H613" t="str">
            <v>A</v>
          </cell>
          <cell r="I613">
            <v>20201</v>
          </cell>
        </row>
        <row r="614">
          <cell r="A614" t="str">
            <v>F1B013096</v>
          </cell>
          <cell r="B614" t="str">
            <v>YUNI KARINA SHOLEHA</v>
          </cell>
          <cell r="C614">
            <v>20171</v>
          </cell>
          <cell r="D614">
            <v>4</v>
          </cell>
          <cell r="E614">
            <v>4</v>
          </cell>
          <cell r="F614">
            <v>154</v>
          </cell>
          <cell r="G614">
            <v>3.21</v>
          </cell>
          <cell r="H614" t="str">
            <v>A</v>
          </cell>
          <cell r="I614">
            <v>20201</v>
          </cell>
        </row>
        <row r="615">
          <cell r="A615" t="str">
            <v>F1B013097</v>
          </cell>
          <cell r="B615" t="str">
            <v>ZAKIATUN RODIAH</v>
          </cell>
          <cell r="C615">
            <v>20171</v>
          </cell>
          <cell r="D615">
            <v>0</v>
          </cell>
          <cell r="E615">
            <v>0</v>
          </cell>
          <cell r="F615">
            <v>156</v>
          </cell>
          <cell r="G615">
            <v>2.95</v>
          </cell>
          <cell r="H615" t="str">
            <v>A</v>
          </cell>
          <cell r="I615">
            <v>20201</v>
          </cell>
        </row>
        <row r="616">
          <cell r="A616" t="str">
            <v>F1B013098</v>
          </cell>
          <cell r="B616" t="str">
            <v>ZULHADI</v>
          </cell>
          <cell r="C616">
            <v>20171</v>
          </cell>
          <cell r="D616">
            <v>0</v>
          </cell>
          <cell r="E616">
            <v>0</v>
          </cell>
          <cell r="F616">
            <v>45</v>
          </cell>
          <cell r="G616">
            <v>1.12</v>
          </cell>
          <cell r="H616" t="str">
            <v>A</v>
          </cell>
          <cell r="I616">
            <v>20201</v>
          </cell>
        </row>
        <row r="617">
          <cell r="A617" t="str">
            <v>F1B014001</v>
          </cell>
          <cell r="B617" t="str">
            <v>ABDURRAHMAN SUDAESI</v>
          </cell>
          <cell r="C617">
            <v>20171</v>
          </cell>
          <cell r="D617">
            <v>18</v>
          </cell>
          <cell r="E617">
            <v>3.31</v>
          </cell>
          <cell r="F617">
            <v>138</v>
          </cell>
          <cell r="G617">
            <v>3.08</v>
          </cell>
          <cell r="H617" t="str">
            <v>A</v>
          </cell>
          <cell r="I617">
            <v>20201</v>
          </cell>
        </row>
        <row r="618">
          <cell r="A618" t="str">
            <v>F1B014002</v>
          </cell>
          <cell r="B618" t="str">
            <v>AGUNG DANANJAYA ADHI</v>
          </cell>
          <cell r="C618">
            <v>20171</v>
          </cell>
          <cell r="D618">
            <v>0</v>
          </cell>
          <cell r="E618">
            <v>0</v>
          </cell>
          <cell r="F618">
            <v>19</v>
          </cell>
          <cell r="G618">
            <v>2.08</v>
          </cell>
          <cell r="H618" t="str">
            <v>A</v>
          </cell>
          <cell r="I618">
            <v>20201</v>
          </cell>
        </row>
        <row r="619">
          <cell r="A619" t="str">
            <v>F1B014003</v>
          </cell>
          <cell r="B619" t="str">
            <v>AHMAD MARIZKI</v>
          </cell>
          <cell r="C619">
            <v>20171</v>
          </cell>
          <cell r="D619">
            <v>10</v>
          </cell>
          <cell r="E619">
            <v>2.9</v>
          </cell>
          <cell r="F619">
            <v>140</v>
          </cell>
          <cell r="G619">
            <v>3.13</v>
          </cell>
          <cell r="H619" t="str">
            <v>A</v>
          </cell>
          <cell r="I619">
            <v>20201</v>
          </cell>
        </row>
        <row r="620">
          <cell r="A620" t="str">
            <v>F1B014004</v>
          </cell>
          <cell r="B620" t="str">
            <v>AHMAD MAULANA ARI S</v>
          </cell>
          <cell r="C620">
            <v>20171</v>
          </cell>
          <cell r="D620">
            <v>0</v>
          </cell>
          <cell r="E620">
            <v>0</v>
          </cell>
          <cell r="F620">
            <v>40</v>
          </cell>
          <cell r="G620">
            <v>2.61</v>
          </cell>
          <cell r="H620" t="str">
            <v>A</v>
          </cell>
          <cell r="I620">
            <v>20201</v>
          </cell>
        </row>
        <row r="621">
          <cell r="A621" t="str">
            <v>F1B014005</v>
          </cell>
          <cell r="B621" t="str">
            <v>AHMAD ZULKIFLI</v>
          </cell>
          <cell r="C621">
            <v>20171</v>
          </cell>
          <cell r="D621">
            <v>19</v>
          </cell>
          <cell r="E621">
            <v>2.42</v>
          </cell>
          <cell r="F621">
            <v>138</v>
          </cell>
          <cell r="G621">
            <v>2.81</v>
          </cell>
          <cell r="H621" t="str">
            <v>A</v>
          </cell>
          <cell r="I621">
            <v>20201</v>
          </cell>
        </row>
        <row r="622">
          <cell r="A622" t="str">
            <v>F1B014006</v>
          </cell>
          <cell r="B622" t="str">
            <v>ALDHI RIZALDHI</v>
          </cell>
          <cell r="C622">
            <v>20171</v>
          </cell>
          <cell r="D622">
            <v>18</v>
          </cell>
          <cell r="E622">
            <v>3.39</v>
          </cell>
          <cell r="F622">
            <v>131</v>
          </cell>
          <cell r="G622">
            <v>3.06</v>
          </cell>
          <cell r="H622" t="str">
            <v>A</v>
          </cell>
          <cell r="I622">
            <v>20201</v>
          </cell>
        </row>
        <row r="623">
          <cell r="A623" t="str">
            <v>F1B014007</v>
          </cell>
          <cell r="B623" t="str">
            <v>ALIF HAMZAH SETIAWAN</v>
          </cell>
          <cell r="C623">
            <v>20171</v>
          </cell>
          <cell r="D623">
            <v>0</v>
          </cell>
          <cell r="E623">
            <v>0</v>
          </cell>
          <cell r="F623">
            <v>45</v>
          </cell>
          <cell r="G623">
            <v>1.44</v>
          </cell>
          <cell r="H623" t="str">
            <v>A</v>
          </cell>
          <cell r="I623">
            <v>20201</v>
          </cell>
        </row>
        <row r="624">
          <cell r="A624" t="str">
            <v>F1B014008</v>
          </cell>
          <cell r="B624" t="str">
            <v>ANDI RESTU WIYONO</v>
          </cell>
          <cell r="C624">
            <v>20171</v>
          </cell>
          <cell r="D624">
            <v>17</v>
          </cell>
          <cell r="E624">
            <v>3.24</v>
          </cell>
          <cell r="F624">
            <v>131</v>
          </cell>
          <cell r="G624">
            <v>2.73</v>
          </cell>
          <cell r="H624" t="str">
            <v>A</v>
          </cell>
          <cell r="I624">
            <v>20201</v>
          </cell>
        </row>
        <row r="625">
          <cell r="A625" t="str">
            <v>F1B014009</v>
          </cell>
          <cell r="B625" t="str">
            <v>ANDI TEDY SUTEDY</v>
          </cell>
          <cell r="C625">
            <v>20171</v>
          </cell>
          <cell r="D625">
            <v>22</v>
          </cell>
          <cell r="E625">
            <v>2.73</v>
          </cell>
          <cell r="F625">
            <v>133</v>
          </cell>
          <cell r="G625">
            <v>2.43</v>
          </cell>
          <cell r="H625" t="str">
            <v>A</v>
          </cell>
          <cell r="I625">
            <v>20201</v>
          </cell>
        </row>
        <row r="626">
          <cell r="A626" t="str">
            <v>F1B014010</v>
          </cell>
          <cell r="B626" t="str">
            <v>AQIL RUDIYA WIBOWO</v>
          </cell>
          <cell r="C626">
            <v>20171</v>
          </cell>
          <cell r="D626">
            <v>0</v>
          </cell>
          <cell r="E626">
            <v>0</v>
          </cell>
          <cell r="F626">
            <v>29</v>
          </cell>
          <cell r="G626">
            <v>0</v>
          </cell>
          <cell r="H626" t="str">
            <v>A</v>
          </cell>
          <cell r="I626">
            <v>20201</v>
          </cell>
        </row>
        <row r="627">
          <cell r="A627" t="str">
            <v>F1B014011</v>
          </cell>
          <cell r="B627" t="str">
            <v>ARIF RAHMAN</v>
          </cell>
          <cell r="C627">
            <v>20171</v>
          </cell>
          <cell r="D627">
            <v>15</v>
          </cell>
          <cell r="E627">
            <v>3.13</v>
          </cell>
          <cell r="F627">
            <v>141</v>
          </cell>
          <cell r="G627">
            <v>3.04</v>
          </cell>
          <cell r="H627" t="str">
            <v>A</v>
          </cell>
          <cell r="I627">
            <v>20201</v>
          </cell>
        </row>
        <row r="628">
          <cell r="A628" t="str">
            <v>F1B014012</v>
          </cell>
          <cell r="B628" t="str">
            <v>ARMAN ASHARI</v>
          </cell>
          <cell r="C628">
            <v>20171</v>
          </cell>
          <cell r="D628">
            <v>13</v>
          </cell>
          <cell r="E628">
            <v>1.77</v>
          </cell>
          <cell r="F628">
            <v>139</v>
          </cell>
          <cell r="G628">
            <v>3.06</v>
          </cell>
          <cell r="H628" t="str">
            <v>A</v>
          </cell>
          <cell r="I628">
            <v>20201</v>
          </cell>
        </row>
        <row r="629">
          <cell r="A629" t="str">
            <v>F1B014013</v>
          </cell>
          <cell r="B629" t="str">
            <v>ASMAH AULIA</v>
          </cell>
          <cell r="C629">
            <v>20171</v>
          </cell>
          <cell r="D629">
            <v>16</v>
          </cell>
          <cell r="E629">
            <v>3.5</v>
          </cell>
          <cell r="F629">
            <v>144</v>
          </cell>
          <cell r="G629">
            <v>3.45</v>
          </cell>
          <cell r="H629" t="str">
            <v>A</v>
          </cell>
          <cell r="I629">
            <v>20201</v>
          </cell>
        </row>
        <row r="630">
          <cell r="A630" t="str">
            <v>F1B014014</v>
          </cell>
          <cell r="B630" t="str">
            <v>BAIQ REGHINA SEPTIHANA</v>
          </cell>
          <cell r="C630">
            <v>20171</v>
          </cell>
          <cell r="D630">
            <v>0</v>
          </cell>
          <cell r="E630">
            <v>0</v>
          </cell>
          <cell r="F630">
            <v>19</v>
          </cell>
          <cell r="G630">
            <v>0</v>
          </cell>
          <cell r="H630" t="str">
            <v>A</v>
          </cell>
          <cell r="I630">
            <v>20201</v>
          </cell>
        </row>
        <row r="631">
          <cell r="A631" t="str">
            <v>F1B014015</v>
          </cell>
          <cell r="B631" t="str">
            <v>BAKHTIAR SYAMSI PRATAMA</v>
          </cell>
          <cell r="C631">
            <v>20171</v>
          </cell>
          <cell r="D631">
            <v>0</v>
          </cell>
          <cell r="E631">
            <v>0</v>
          </cell>
          <cell r="F631">
            <v>19</v>
          </cell>
          <cell r="G631">
            <v>0</v>
          </cell>
          <cell r="H631" t="str">
            <v>A</v>
          </cell>
          <cell r="I631">
            <v>20201</v>
          </cell>
        </row>
        <row r="632">
          <cell r="A632" t="str">
            <v>F1B014016</v>
          </cell>
          <cell r="B632" t="str">
            <v>BINSAR ALBERT FERNANDES GULTOM</v>
          </cell>
          <cell r="C632">
            <v>20171</v>
          </cell>
          <cell r="D632">
            <v>18</v>
          </cell>
          <cell r="E632">
            <v>1.64</v>
          </cell>
          <cell r="F632">
            <v>114</v>
          </cell>
          <cell r="G632">
            <v>2.17</v>
          </cell>
          <cell r="H632" t="str">
            <v>A</v>
          </cell>
          <cell r="I632">
            <v>20201</v>
          </cell>
        </row>
        <row r="633">
          <cell r="A633" t="str">
            <v>F1B014017</v>
          </cell>
          <cell r="B633" t="str">
            <v>BIRRUL WALIDAIN</v>
          </cell>
          <cell r="C633">
            <v>20171</v>
          </cell>
          <cell r="D633">
            <v>19</v>
          </cell>
          <cell r="E633">
            <v>1.76</v>
          </cell>
          <cell r="F633">
            <v>132</v>
          </cell>
          <cell r="G633">
            <v>2.16</v>
          </cell>
          <cell r="H633" t="str">
            <v>A</v>
          </cell>
          <cell r="I633">
            <v>20201</v>
          </cell>
        </row>
        <row r="634">
          <cell r="A634" t="str">
            <v>F1B014018</v>
          </cell>
          <cell r="B634" t="str">
            <v>BUYUNG SATRYA ANUGRAH</v>
          </cell>
          <cell r="C634">
            <v>20171</v>
          </cell>
          <cell r="D634">
            <v>23</v>
          </cell>
          <cell r="E634">
            <v>1.87</v>
          </cell>
          <cell r="F634">
            <v>128</v>
          </cell>
          <cell r="G634">
            <v>2.36</v>
          </cell>
          <cell r="H634" t="str">
            <v>A</v>
          </cell>
          <cell r="I634">
            <v>20201</v>
          </cell>
        </row>
        <row r="635">
          <cell r="A635" t="str">
            <v>F1B014019</v>
          </cell>
          <cell r="B635" t="str">
            <v>DEWI SEPTIANA A</v>
          </cell>
          <cell r="C635">
            <v>20171</v>
          </cell>
          <cell r="D635">
            <v>19</v>
          </cell>
          <cell r="E635">
            <v>3.08</v>
          </cell>
          <cell r="F635">
            <v>136</v>
          </cell>
          <cell r="G635">
            <v>3.02</v>
          </cell>
          <cell r="H635" t="str">
            <v>A</v>
          </cell>
          <cell r="I635">
            <v>20201</v>
          </cell>
        </row>
        <row r="636">
          <cell r="A636" t="str">
            <v>F1B014020</v>
          </cell>
          <cell r="B636" t="str">
            <v>DIDIK HADUMI SETIAJI</v>
          </cell>
          <cell r="C636">
            <v>20171</v>
          </cell>
          <cell r="D636">
            <v>7</v>
          </cell>
          <cell r="E636">
            <v>3.21</v>
          </cell>
          <cell r="F636">
            <v>141</v>
          </cell>
          <cell r="G636">
            <v>3.55</v>
          </cell>
          <cell r="H636" t="str">
            <v>A</v>
          </cell>
          <cell r="I636">
            <v>20201</v>
          </cell>
        </row>
        <row r="637">
          <cell r="A637" t="str">
            <v>F1B014021</v>
          </cell>
          <cell r="B637" t="str">
            <v>EKA APRIANTO</v>
          </cell>
          <cell r="C637">
            <v>20171</v>
          </cell>
          <cell r="D637">
            <v>0</v>
          </cell>
          <cell r="E637">
            <v>0</v>
          </cell>
          <cell r="F637">
            <v>99</v>
          </cell>
          <cell r="G637">
            <v>1.57</v>
          </cell>
          <cell r="H637" t="str">
            <v>A</v>
          </cell>
          <cell r="I637">
            <v>20201</v>
          </cell>
        </row>
        <row r="638">
          <cell r="A638" t="str">
            <v>F1B014022</v>
          </cell>
          <cell r="B638" t="str">
            <v>EKA PRASETYA AKBAR</v>
          </cell>
          <cell r="C638">
            <v>20171</v>
          </cell>
          <cell r="D638">
            <v>0</v>
          </cell>
          <cell r="E638">
            <v>0</v>
          </cell>
          <cell r="F638">
            <v>33</v>
          </cell>
          <cell r="G638">
            <v>0.95</v>
          </cell>
          <cell r="H638" t="str">
            <v>A</v>
          </cell>
          <cell r="I638">
            <v>20201</v>
          </cell>
        </row>
        <row r="639">
          <cell r="A639" t="str">
            <v>F1B014023</v>
          </cell>
          <cell r="B639" t="str">
            <v>ERNI DWI JAYANTI</v>
          </cell>
          <cell r="C639">
            <v>20171</v>
          </cell>
          <cell r="D639">
            <v>20</v>
          </cell>
          <cell r="E639">
            <v>3.3</v>
          </cell>
          <cell r="F639">
            <v>145</v>
          </cell>
          <cell r="G639">
            <v>3.06</v>
          </cell>
          <cell r="H639" t="str">
            <v>A</v>
          </cell>
          <cell r="I639">
            <v>20201</v>
          </cell>
        </row>
        <row r="640">
          <cell r="A640" t="str">
            <v>F1B014024</v>
          </cell>
          <cell r="B640" t="str">
            <v>FAIZAL RINALDI</v>
          </cell>
          <cell r="C640">
            <v>20171</v>
          </cell>
          <cell r="D640">
            <v>0</v>
          </cell>
          <cell r="E640">
            <v>0</v>
          </cell>
          <cell r="F640">
            <v>36</v>
          </cell>
          <cell r="G640">
            <v>0.92</v>
          </cell>
          <cell r="H640" t="str">
            <v>A</v>
          </cell>
          <cell r="I640">
            <v>20201</v>
          </cell>
        </row>
        <row r="641">
          <cell r="A641" t="str">
            <v>F1B014025</v>
          </cell>
          <cell r="B641" t="str">
            <v>FIRMAN HADI</v>
          </cell>
          <cell r="C641">
            <v>20171</v>
          </cell>
          <cell r="D641">
            <v>21</v>
          </cell>
          <cell r="E641">
            <v>2.1</v>
          </cell>
          <cell r="F641">
            <v>122</v>
          </cell>
          <cell r="G641">
            <v>2.23</v>
          </cell>
          <cell r="H641" t="str">
            <v>A</v>
          </cell>
          <cell r="I641">
            <v>20201</v>
          </cell>
        </row>
        <row r="642">
          <cell r="A642" t="str">
            <v>F1B014026</v>
          </cell>
          <cell r="B642" t="str">
            <v>GALANG PURNAMA HADI</v>
          </cell>
          <cell r="C642">
            <v>20171</v>
          </cell>
          <cell r="D642">
            <v>20</v>
          </cell>
          <cell r="E642">
            <v>3.38</v>
          </cell>
          <cell r="F642">
            <v>142</v>
          </cell>
          <cell r="G642">
            <v>3.19</v>
          </cell>
          <cell r="H642" t="str">
            <v>A</v>
          </cell>
          <cell r="I642">
            <v>20201</v>
          </cell>
        </row>
        <row r="643">
          <cell r="A643" t="str">
            <v>F1B014027</v>
          </cell>
          <cell r="B643" t="str">
            <v>GALUH HARDI PRATAMA</v>
          </cell>
          <cell r="C643">
            <v>20171</v>
          </cell>
          <cell r="D643">
            <v>20</v>
          </cell>
          <cell r="E643">
            <v>1.4</v>
          </cell>
          <cell r="F643">
            <v>126</v>
          </cell>
          <cell r="G643">
            <v>2.2</v>
          </cell>
          <cell r="H643" t="str">
            <v>A</v>
          </cell>
          <cell r="I643">
            <v>20201</v>
          </cell>
        </row>
        <row r="644">
          <cell r="A644" t="str">
            <v>F1B014028</v>
          </cell>
          <cell r="B644" t="str">
            <v>HABIB ALI</v>
          </cell>
          <cell r="C644">
            <v>20171</v>
          </cell>
          <cell r="D644">
            <v>18</v>
          </cell>
          <cell r="E644">
            <v>2.53</v>
          </cell>
          <cell r="F644">
            <v>131</v>
          </cell>
          <cell r="G644">
            <v>2.71</v>
          </cell>
          <cell r="H644" t="str">
            <v>A</v>
          </cell>
          <cell r="I644">
            <v>20201</v>
          </cell>
        </row>
        <row r="645">
          <cell r="A645" t="str">
            <v>F1B014029</v>
          </cell>
          <cell r="B645" t="str">
            <v>HAERUL FAHMI</v>
          </cell>
          <cell r="C645">
            <v>20171</v>
          </cell>
          <cell r="D645">
            <v>0</v>
          </cell>
          <cell r="E645">
            <v>0</v>
          </cell>
          <cell r="F645">
            <v>31</v>
          </cell>
          <cell r="G645">
            <v>0.97</v>
          </cell>
          <cell r="H645" t="str">
            <v>A</v>
          </cell>
          <cell r="I645">
            <v>20201</v>
          </cell>
        </row>
        <row r="646">
          <cell r="A646" t="str">
            <v>F1B014030</v>
          </cell>
          <cell r="B646" t="str">
            <v>HAQULLAH NUR UKASSYAH</v>
          </cell>
          <cell r="C646">
            <v>20171</v>
          </cell>
          <cell r="D646">
            <v>23</v>
          </cell>
          <cell r="E646">
            <v>2</v>
          </cell>
          <cell r="F646">
            <v>121</v>
          </cell>
          <cell r="G646">
            <v>2.31</v>
          </cell>
          <cell r="H646" t="str">
            <v>A</v>
          </cell>
          <cell r="I646">
            <v>20201</v>
          </cell>
        </row>
        <row r="647">
          <cell r="A647" t="str">
            <v>F1B014031</v>
          </cell>
          <cell r="B647" t="str">
            <v>HASMIL HADI</v>
          </cell>
          <cell r="C647">
            <v>20171</v>
          </cell>
          <cell r="D647">
            <v>19</v>
          </cell>
          <cell r="E647">
            <v>2.24</v>
          </cell>
          <cell r="F647">
            <v>128</v>
          </cell>
          <cell r="G647">
            <v>2.53</v>
          </cell>
          <cell r="H647" t="str">
            <v>A</v>
          </cell>
          <cell r="I647">
            <v>20201</v>
          </cell>
        </row>
        <row r="648">
          <cell r="A648" t="str">
            <v>F1B014032</v>
          </cell>
          <cell r="B648" t="str">
            <v>HERU ISWADI</v>
          </cell>
          <cell r="C648">
            <v>20171</v>
          </cell>
          <cell r="D648">
            <v>0</v>
          </cell>
          <cell r="E648">
            <v>0</v>
          </cell>
          <cell r="F648">
            <v>35</v>
          </cell>
          <cell r="G648">
            <v>1.11</v>
          </cell>
          <cell r="H648" t="str">
            <v>A</v>
          </cell>
          <cell r="I648">
            <v>20201</v>
          </cell>
        </row>
        <row r="649">
          <cell r="A649" t="str">
            <v>F1B014033</v>
          </cell>
          <cell r="B649" t="str">
            <v>HIZBUL WATHON PURNAMA</v>
          </cell>
          <cell r="C649">
            <v>20171</v>
          </cell>
          <cell r="D649">
            <v>0</v>
          </cell>
          <cell r="E649">
            <v>0</v>
          </cell>
          <cell r="F649">
            <v>37</v>
          </cell>
          <cell r="G649">
            <v>0.99</v>
          </cell>
          <cell r="H649" t="str">
            <v>A</v>
          </cell>
          <cell r="I649">
            <v>20201</v>
          </cell>
        </row>
        <row r="650">
          <cell r="A650" t="str">
            <v>F1B014034</v>
          </cell>
          <cell r="B650" t="str">
            <v>I DENI BAYU EFENDI</v>
          </cell>
          <cell r="C650">
            <v>20171</v>
          </cell>
          <cell r="D650">
            <v>19</v>
          </cell>
          <cell r="E650">
            <v>3.18</v>
          </cell>
          <cell r="F650">
            <v>130</v>
          </cell>
          <cell r="G650">
            <v>2.94</v>
          </cell>
          <cell r="H650" t="str">
            <v>A</v>
          </cell>
          <cell r="I650">
            <v>20201</v>
          </cell>
        </row>
        <row r="651">
          <cell r="A651" t="str">
            <v>F1B014035</v>
          </cell>
          <cell r="B651" t="str">
            <v>I GEDE KARNAWA ADNYANA</v>
          </cell>
          <cell r="C651">
            <v>20171</v>
          </cell>
          <cell r="D651">
            <v>0</v>
          </cell>
          <cell r="E651">
            <v>0</v>
          </cell>
          <cell r="F651">
            <v>35</v>
          </cell>
          <cell r="G651">
            <v>0.97</v>
          </cell>
          <cell r="H651" t="str">
            <v>A</v>
          </cell>
          <cell r="I651">
            <v>20201</v>
          </cell>
        </row>
        <row r="652">
          <cell r="A652" t="str">
            <v>F1B014036</v>
          </cell>
          <cell r="B652" t="str">
            <v>IGNAXIUS MAHENDRA HARY ANGGARA</v>
          </cell>
          <cell r="C652">
            <v>20171</v>
          </cell>
          <cell r="D652">
            <v>17</v>
          </cell>
          <cell r="E652">
            <v>2.68</v>
          </cell>
          <cell r="F652">
            <v>134</v>
          </cell>
          <cell r="G652">
            <v>2.91</v>
          </cell>
          <cell r="H652" t="str">
            <v>A</v>
          </cell>
          <cell r="I652">
            <v>20201</v>
          </cell>
        </row>
        <row r="653">
          <cell r="A653" t="str">
            <v>F1B014037</v>
          </cell>
          <cell r="B653" t="str">
            <v>ILHAM NANDIYA UTOMO</v>
          </cell>
          <cell r="C653">
            <v>20171</v>
          </cell>
          <cell r="D653">
            <v>0</v>
          </cell>
          <cell r="E653">
            <v>0</v>
          </cell>
          <cell r="F653">
            <v>38</v>
          </cell>
          <cell r="G653">
            <v>1.17</v>
          </cell>
          <cell r="H653" t="str">
            <v>A</v>
          </cell>
          <cell r="I653">
            <v>20201</v>
          </cell>
        </row>
        <row r="654">
          <cell r="A654" t="str">
            <v>F1B014038</v>
          </cell>
          <cell r="B654" t="str">
            <v>IMAM HIDAYAT</v>
          </cell>
          <cell r="C654">
            <v>20171</v>
          </cell>
          <cell r="D654">
            <v>19</v>
          </cell>
          <cell r="E654">
            <v>3.84</v>
          </cell>
          <cell r="F654">
            <v>146</v>
          </cell>
          <cell r="G654">
            <v>3.47</v>
          </cell>
          <cell r="H654" t="str">
            <v>A</v>
          </cell>
          <cell r="I654">
            <v>20201</v>
          </cell>
        </row>
        <row r="655">
          <cell r="A655" t="str">
            <v>F1B014039</v>
          </cell>
          <cell r="B655" t="str">
            <v>IMRON MUJAHIDIN</v>
          </cell>
          <cell r="C655">
            <v>20171</v>
          </cell>
          <cell r="D655">
            <v>19</v>
          </cell>
          <cell r="E655">
            <v>3.16</v>
          </cell>
          <cell r="F655">
            <v>142</v>
          </cell>
          <cell r="G655">
            <v>2.89</v>
          </cell>
          <cell r="H655" t="str">
            <v>A</v>
          </cell>
          <cell r="I655">
            <v>20201</v>
          </cell>
        </row>
        <row r="656">
          <cell r="A656" t="str">
            <v>F1B014040</v>
          </cell>
          <cell r="B656" t="str">
            <v>INDRA JAYA HUSWANTO</v>
          </cell>
          <cell r="C656">
            <v>20171</v>
          </cell>
          <cell r="D656">
            <v>0</v>
          </cell>
          <cell r="E656">
            <v>0</v>
          </cell>
          <cell r="F656">
            <v>32</v>
          </cell>
          <cell r="G656">
            <v>0.06</v>
          </cell>
          <cell r="H656" t="str">
            <v>A</v>
          </cell>
          <cell r="I656">
            <v>20201</v>
          </cell>
        </row>
        <row r="657">
          <cell r="A657" t="str">
            <v>F1B014041</v>
          </cell>
          <cell r="B657" t="str">
            <v>INFA ANDRIAN</v>
          </cell>
          <cell r="C657">
            <v>20171</v>
          </cell>
          <cell r="D657">
            <v>10</v>
          </cell>
          <cell r="E657">
            <v>3.25</v>
          </cell>
          <cell r="F657">
            <v>140</v>
          </cell>
          <cell r="G657">
            <v>3.35</v>
          </cell>
          <cell r="H657" t="str">
            <v>A</v>
          </cell>
          <cell r="I657">
            <v>20201</v>
          </cell>
        </row>
        <row r="658">
          <cell r="A658" t="str">
            <v>F1B014042</v>
          </cell>
          <cell r="B658" t="str">
            <v>IRAWAN BUDI ARTANA</v>
          </cell>
          <cell r="C658">
            <v>20171</v>
          </cell>
          <cell r="D658">
            <v>23</v>
          </cell>
          <cell r="E658">
            <v>2.39</v>
          </cell>
          <cell r="F658">
            <v>126</v>
          </cell>
          <cell r="G658">
            <v>2.54</v>
          </cell>
          <cell r="H658" t="str">
            <v>A</v>
          </cell>
          <cell r="I658">
            <v>20201</v>
          </cell>
        </row>
        <row r="659">
          <cell r="A659" t="str">
            <v>F1B014043</v>
          </cell>
          <cell r="B659" t="str">
            <v>IRVAN SAPUTRA</v>
          </cell>
          <cell r="C659">
            <v>20171</v>
          </cell>
          <cell r="D659">
            <v>24</v>
          </cell>
          <cell r="E659">
            <v>3.06</v>
          </cell>
          <cell r="F659">
            <v>127</v>
          </cell>
          <cell r="G659">
            <v>2.72</v>
          </cell>
          <cell r="H659" t="str">
            <v>A</v>
          </cell>
          <cell r="I659">
            <v>20201</v>
          </cell>
        </row>
        <row r="660">
          <cell r="A660" t="str">
            <v>F1B014044</v>
          </cell>
          <cell r="B660" t="str">
            <v>ISHFA KAUTSARI PUTERI SURYANI</v>
          </cell>
          <cell r="C660">
            <v>20171</v>
          </cell>
          <cell r="D660">
            <v>10</v>
          </cell>
          <cell r="E660">
            <v>3.3</v>
          </cell>
          <cell r="F660">
            <v>140</v>
          </cell>
          <cell r="G660">
            <v>3.39</v>
          </cell>
          <cell r="H660" t="str">
            <v>A</v>
          </cell>
          <cell r="I660">
            <v>20201</v>
          </cell>
        </row>
        <row r="661">
          <cell r="A661" t="str">
            <v>F1B014045</v>
          </cell>
          <cell r="B661" t="str">
            <v>IVAN HADI</v>
          </cell>
          <cell r="C661">
            <v>20171</v>
          </cell>
          <cell r="D661">
            <v>23</v>
          </cell>
          <cell r="E661">
            <v>3.39</v>
          </cell>
          <cell r="F661">
            <v>137</v>
          </cell>
          <cell r="G661">
            <v>2.97</v>
          </cell>
          <cell r="H661" t="str">
            <v>A</v>
          </cell>
          <cell r="I661">
            <v>20201</v>
          </cell>
        </row>
        <row r="662">
          <cell r="A662" t="str">
            <v>F1B014046</v>
          </cell>
          <cell r="B662" t="str">
            <v>IZHAL LADUNNI</v>
          </cell>
          <cell r="C662">
            <v>20171</v>
          </cell>
          <cell r="D662">
            <v>0</v>
          </cell>
          <cell r="E662">
            <v>0</v>
          </cell>
          <cell r="F662">
            <v>43</v>
          </cell>
          <cell r="G662">
            <v>0.79</v>
          </cell>
          <cell r="H662" t="str">
            <v>A</v>
          </cell>
          <cell r="I662">
            <v>20201</v>
          </cell>
        </row>
        <row r="663">
          <cell r="A663" t="str">
            <v>F1B014047</v>
          </cell>
          <cell r="B663" t="str">
            <v>JAELANI</v>
          </cell>
          <cell r="C663">
            <v>20171</v>
          </cell>
          <cell r="D663">
            <v>24</v>
          </cell>
          <cell r="E663">
            <v>2.4</v>
          </cell>
          <cell r="F663">
            <v>121</v>
          </cell>
          <cell r="G663">
            <v>2.2</v>
          </cell>
          <cell r="H663" t="str">
            <v>A</v>
          </cell>
          <cell r="I663">
            <v>20201</v>
          </cell>
        </row>
        <row r="664">
          <cell r="A664" t="str">
            <v>F1B014048</v>
          </cell>
          <cell r="B664" t="str">
            <v>JAKA SABROLI IHSAN</v>
          </cell>
          <cell r="C664">
            <v>20171</v>
          </cell>
          <cell r="D664">
            <v>0</v>
          </cell>
          <cell r="E664">
            <v>0</v>
          </cell>
          <cell r="F664">
            <v>58</v>
          </cell>
          <cell r="G664">
            <v>1.08</v>
          </cell>
          <cell r="H664" t="str">
            <v>A</v>
          </cell>
          <cell r="I664">
            <v>20201</v>
          </cell>
        </row>
        <row r="665">
          <cell r="A665" t="str">
            <v>F1B014049</v>
          </cell>
          <cell r="B665" t="str">
            <v>KHAERUNISA</v>
          </cell>
          <cell r="C665">
            <v>20171</v>
          </cell>
          <cell r="D665">
            <v>18</v>
          </cell>
          <cell r="E665">
            <v>2.33</v>
          </cell>
          <cell r="F665">
            <v>131</v>
          </cell>
          <cell r="G665">
            <v>2.47</v>
          </cell>
          <cell r="H665" t="str">
            <v>A</v>
          </cell>
          <cell r="I665">
            <v>20201</v>
          </cell>
        </row>
        <row r="666">
          <cell r="A666" t="str">
            <v>F1B014050</v>
          </cell>
          <cell r="B666" t="str">
            <v>KHIDIR WIRA SYABANI</v>
          </cell>
          <cell r="C666">
            <v>20171</v>
          </cell>
          <cell r="D666">
            <v>20</v>
          </cell>
          <cell r="E666">
            <v>3.4</v>
          </cell>
          <cell r="F666">
            <v>142</v>
          </cell>
          <cell r="G666">
            <v>3.03</v>
          </cell>
          <cell r="H666" t="str">
            <v>A</v>
          </cell>
          <cell r="I666">
            <v>20201</v>
          </cell>
        </row>
        <row r="667">
          <cell r="A667" t="str">
            <v>F1B014051</v>
          </cell>
          <cell r="B667" t="str">
            <v>LALU GUSMAN TAJRI</v>
          </cell>
          <cell r="C667">
            <v>20171</v>
          </cell>
          <cell r="D667">
            <v>17</v>
          </cell>
          <cell r="E667">
            <v>2.18</v>
          </cell>
          <cell r="F667">
            <v>79</v>
          </cell>
          <cell r="G667">
            <v>1.95</v>
          </cell>
          <cell r="H667" t="str">
            <v>A</v>
          </cell>
          <cell r="I667">
            <v>20201</v>
          </cell>
        </row>
        <row r="668">
          <cell r="A668" t="str">
            <v>F1B014052</v>
          </cell>
          <cell r="B668" t="str">
            <v>LALU MUHAMMAD CDS</v>
          </cell>
          <cell r="C668">
            <v>20171</v>
          </cell>
          <cell r="D668">
            <v>22</v>
          </cell>
          <cell r="E668">
            <v>3.14</v>
          </cell>
          <cell r="F668">
            <v>131</v>
          </cell>
          <cell r="G668">
            <v>2.66</v>
          </cell>
          <cell r="H668" t="str">
            <v>A</v>
          </cell>
          <cell r="I668">
            <v>20201</v>
          </cell>
        </row>
        <row r="669">
          <cell r="A669" t="str">
            <v>F1B014053</v>
          </cell>
          <cell r="B669" t="str">
            <v>LALU PRANATA DHARMA PUTRA</v>
          </cell>
          <cell r="C669">
            <v>20171</v>
          </cell>
          <cell r="D669">
            <v>13</v>
          </cell>
          <cell r="E669">
            <v>3.12</v>
          </cell>
          <cell r="F669">
            <v>140</v>
          </cell>
          <cell r="G669">
            <v>3.13</v>
          </cell>
          <cell r="H669" t="str">
            <v>A</v>
          </cell>
          <cell r="I669">
            <v>20201</v>
          </cell>
        </row>
        <row r="670">
          <cell r="A670" t="str">
            <v>F1B014054</v>
          </cell>
          <cell r="B670" t="str">
            <v>LISNA HASYIMAWATI Y</v>
          </cell>
          <cell r="C670">
            <v>20171</v>
          </cell>
          <cell r="D670">
            <v>0</v>
          </cell>
          <cell r="E670">
            <v>0</v>
          </cell>
          <cell r="F670">
            <v>30</v>
          </cell>
          <cell r="G670">
            <v>0.5</v>
          </cell>
          <cell r="H670" t="str">
            <v>A</v>
          </cell>
          <cell r="I670">
            <v>20201</v>
          </cell>
        </row>
        <row r="671">
          <cell r="A671" t="str">
            <v>F1B014055</v>
          </cell>
          <cell r="B671" t="str">
            <v>LL ARIOKI SETIADI</v>
          </cell>
          <cell r="C671">
            <v>20171</v>
          </cell>
          <cell r="D671">
            <v>18</v>
          </cell>
          <cell r="E671">
            <v>3.03</v>
          </cell>
          <cell r="F671">
            <v>140</v>
          </cell>
          <cell r="G671">
            <v>2.79</v>
          </cell>
          <cell r="H671" t="str">
            <v>A</v>
          </cell>
          <cell r="I671">
            <v>20201</v>
          </cell>
        </row>
        <row r="672">
          <cell r="A672" t="str">
            <v>F1B014056</v>
          </cell>
          <cell r="B672" t="str">
            <v>M ONI</v>
          </cell>
          <cell r="C672">
            <v>20171</v>
          </cell>
          <cell r="D672">
            <v>15</v>
          </cell>
          <cell r="E672">
            <v>3</v>
          </cell>
          <cell r="F672">
            <v>130</v>
          </cell>
          <cell r="G672">
            <v>2.92</v>
          </cell>
          <cell r="H672" t="str">
            <v>A</v>
          </cell>
          <cell r="I672">
            <v>20201</v>
          </cell>
        </row>
        <row r="673">
          <cell r="A673" t="str">
            <v>F1B014057</v>
          </cell>
          <cell r="B673" t="str">
            <v>M. UWAIS ALFARABI</v>
          </cell>
          <cell r="C673">
            <v>20171</v>
          </cell>
          <cell r="D673">
            <v>22</v>
          </cell>
          <cell r="E673">
            <v>3.2</v>
          </cell>
          <cell r="F673">
            <v>135</v>
          </cell>
          <cell r="G673">
            <v>2.74</v>
          </cell>
          <cell r="H673" t="str">
            <v>A</v>
          </cell>
          <cell r="I673">
            <v>20201</v>
          </cell>
        </row>
        <row r="674">
          <cell r="A674" t="str">
            <v>F1B014058</v>
          </cell>
          <cell r="B674" t="str">
            <v>MARTHADO DHIA IKHTIARIN</v>
          </cell>
          <cell r="C674">
            <v>20171</v>
          </cell>
          <cell r="D674">
            <v>0</v>
          </cell>
          <cell r="E674">
            <v>0</v>
          </cell>
          <cell r="F674">
            <v>38</v>
          </cell>
          <cell r="G674">
            <v>1.21</v>
          </cell>
          <cell r="H674" t="str">
            <v>A</v>
          </cell>
          <cell r="I674">
            <v>20201</v>
          </cell>
        </row>
        <row r="675">
          <cell r="A675" t="str">
            <v>F1B014059</v>
          </cell>
          <cell r="B675" t="str">
            <v>MUHAMAD BAEHAGI</v>
          </cell>
          <cell r="C675">
            <v>20171</v>
          </cell>
          <cell r="D675">
            <v>18</v>
          </cell>
          <cell r="E675">
            <v>2.67</v>
          </cell>
          <cell r="F675">
            <v>138</v>
          </cell>
          <cell r="G675">
            <v>2.84</v>
          </cell>
          <cell r="H675" t="str">
            <v>A</v>
          </cell>
          <cell r="I675">
            <v>20201</v>
          </cell>
        </row>
        <row r="676">
          <cell r="A676" t="str">
            <v>F1B014060</v>
          </cell>
          <cell r="B676" t="str">
            <v>MUHAMMAD AULIA'ULI</v>
          </cell>
          <cell r="C676">
            <v>20171</v>
          </cell>
          <cell r="D676">
            <v>22</v>
          </cell>
          <cell r="E676">
            <v>3.18</v>
          </cell>
          <cell r="F676">
            <v>120</v>
          </cell>
          <cell r="G676">
            <v>2.52</v>
          </cell>
          <cell r="H676" t="str">
            <v>A</v>
          </cell>
          <cell r="I676">
            <v>20201</v>
          </cell>
        </row>
        <row r="677">
          <cell r="A677" t="str">
            <v>F1B014061</v>
          </cell>
          <cell r="B677" t="str">
            <v>MUHAMMAD DARMAWAN</v>
          </cell>
          <cell r="C677">
            <v>20171</v>
          </cell>
          <cell r="D677">
            <v>0</v>
          </cell>
          <cell r="E677">
            <v>0</v>
          </cell>
          <cell r="F677">
            <v>43</v>
          </cell>
          <cell r="G677">
            <v>0.35</v>
          </cell>
          <cell r="H677" t="str">
            <v>A</v>
          </cell>
          <cell r="I677">
            <v>20201</v>
          </cell>
        </row>
        <row r="678">
          <cell r="A678" t="str">
            <v>F1B014062</v>
          </cell>
          <cell r="B678" t="str">
            <v>MUHAMMAD DZAKY AL MUNIR ASRI</v>
          </cell>
          <cell r="C678">
            <v>20171</v>
          </cell>
          <cell r="D678">
            <v>20</v>
          </cell>
          <cell r="E678">
            <v>2.25</v>
          </cell>
          <cell r="F678">
            <v>122</v>
          </cell>
          <cell r="G678">
            <v>2.18</v>
          </cell>
          <cell r="H678" t="str">
            <v>A</v>
          </cell>
          <cell r="I678">
            <v>20201</v>
          </cell>
        </row>
        <row r="679">
          <cell r="A679" t="str">
            <v>F1B014063</v>
          </cell>
          <cell r="B679" t="str">
            <v>MUHAMMAD FAHRURROZI</v>
          </cell>
          <cell r="C679">
            <v>20171</v>
          </cell>
          <cell r="D679">
            <v>14</v>
          </cell>
          <cell r="E679">
            <v>3.43</v>
          </cell>
          <cell r="F679">
            <v>138</v>
          </cell>
          <cell r="G679">
            <v>2.97</v>
          </cell>
          <cell r="H679" t="str">
            <v>A</v>
          </cell>
          <cell r="I679">
            <v>20201</v>
          </cell>
        </row>
        <row r="680">
          <cell r="A680" t="str">
            <v>F1B014064</v>
          </cell>
          <cell r="B680" t="str">
            <v>MUHAMMAD IZZUL AMRI AKBAR</v>
          </cell>
          <cell r="C680">
            <v>20171</v>
          </cell>
          <cell r="D680">
            <v>12</v>
          </cell>
          <cell r="E680">
            <v>3.13</v>
          </cell>
          <cell r="F680">
            <v>139</v>
          </cell>
          <cell r="G680">
            <v>3.06</v>
          </cell>
          <cell r="H680" t="str">
            <v>A</v>
          </cell>
          <cell r="I680">
            <v>20201</v>
          </cell>
        </row>
        <row r="681">
          <cell r="A681" t="str">
            <v>F1B014065</v>
          </cell>
          <cell r="B681" t="str">
            <v>MUHAMMAD SYA'RONI MUJAHIDIN</v>
          </cell>
          <cell r="C681">
            <v>20171</v>
          </cell>
          <cell r="D681">
            <v>17</v>
          </cell>
          <cell r="E681">
            <v>3.56</v>
          </cell>
          <cell r="F681">
            <v>121</v>
          </cell>
          <cell r="G681">
            <v>2.82</v>
          </cell>
          <cell r="H681" t="str">
            <v>A</v>
          </cell>
          <cell r="I681">
            <v>20201</v>
          </cell>
        </row>
        <row r="682">
          <cell r="A682" t="str">
            <v>F1B014066</v>
          </cell>
          <cell r="B682" t="str">
            <v>MUHAMMAD SYAMSU IQBAL</v>
          </cell>
          <cell r="C682">
            <v>20171</v>
          </cell>
          <cell r="D682">
            <v>20</v>
          </cell>
          <cell r="E682">
            <v>1.85</v>
          </cell>
          <cell r="F682">
            <v>97</v>
          </cell>
          <cell r="G682">
            <v>2.43</v>
          </cell>
          <cell r="H682" t="str">
            <v>A</v>
          </cell>
          <cell r="I682">
            <v>20201</v>
          </cell>
        </row>
        <row r="683">
          <cell r="A683" t="str">
            <v>F1B014067</v>
          </cell>
          <cell r="B683" t="str">
            <v>MUHAMMAD TAHRIM</v>
          </cell>
          <cell r="C683">
            <v>20171</v>
          </cell>
          <cell r="D683">
            <v>0</v>
          </cell>
          <cell r="E683">
            <v>0</v>
          </cell>
          <cell r="F683">
            <v>38</v>
          </cell>
          <cell r="G683">
            <v>1.34</v>
          </cell>
          <cell r="H683" t="str">
            <v>A</v>
          </cell>
          <cell r="I683">
            <v>20201</v>
          </cell>
        </row>
        <row r="684">
          <cell r="A684" t="str">
            <v>F1B014068</v>
          </cell>
          <cell r="B684" t="str">
            <v>MUHAMMAD ULUL AZMI</v>
          </cell>
          <cell r="C684">
            <v>20171</v>
          </cell>
          <cell r="D684">
            <v>12</v>
          </cell>
          <cell r="E684">
            <v>3.29</v>
          </cell>
          <cell r="F684">
            <v>132</v>
          </cell>
          <cell r="G684">
            <v>3.26</v>
          </cell>
          <cell r="H684" t="str">
            <v>A</v>
          </cell>
          <cell r="I684">
            <v>20201</v>
          </cell>
        </row>
        <row r="685">
          <cell r="A685" t="str">
            <v>F1B014069</v>
          </cell>
          <cell r="B685" t="str">
            <v>MUHAMMAD YUSRIN</v>
          </cell>
          <cell r="C685">
            <v>20171</v>
          </cell>
          <cell r="D685">
            <v>0</v>
          </cell>
          <cell r="E685">
            <v>0</v>
          </cell>
          <cell r="F685">
            <v>54</v>
          </cell>
          <cell r="G685">
            <v>0.82</v>
          </cell>
          <cell r="H685" t="str">
            <v>A</v>
          </cell>
          <cell r="I685">
            <v>20201</v>
          </cell>
        </row>
        <row r="686">
          <cell r="A686" t="str">
            <v>F1B014070</v>
          </cell>
          <cell r="B686" t="str">
            <v>MUHAMMAD TAMRIN</v>
          </cell>
          <cell r="C686">
            <v>20171</v>
          </cell>
          <cell r="D686">
            <v>0</v>
          </cell>
          <cell r="E686">
            <v>0</v>
          </cell>
          <cell r="F686">
            <v>40</v>
          </cell>
          <cell r="G686">
            <v>1</v>
          </cell>
          <cell r="H686" t="str">
            <v>A</v>
          </cell>
          <cell r="I686">
            <v>20201</v>
          </cell>
        </row>
        <row r="687">
          <cell r="A687" t="str">
            <v>F1B014071</v>
          </cell>
          <cell r="B687" t="str">
            <v>MULIADI</v>
          </cell>
          <cell r="C687">
            <v>20171</v>
          </cell>
          <cell r="D687">
            <v>0</v>
          </cell>
          <cell r="E687">
            <v>0</v>
          </cell>
          <cell r="F687">
            <v>36</v>
          </cell>
          <cell r="G687">
            <v>1.36</v>
          </cell>
          <cell r="H687" t="str">
            <v>A</v>
          </cell>
          <cell r="I687">
            <v>20201</v>
          </cell>
        </row>
        <row r="688">
          <cell r="A688" t="str">
            <v>F1B014072</v>
          </cell>
          <cell r="B688" t="str">
            <v>MUROWE HAKIKI</v>
          </cell>
          <cell r="C688">
            <v>20171</v>
          </cell>
          <cell r="D688">
            <v>18</v>
          </cell>
          <cell r="E688">
            <v>3</v>
          </cell>
          <cell r="F688">
            <v>134</v>
          </cell>
          <cell r="G688">
            <v>2.98</v>
          </cell>
          <cell r="H688" t="str">
            <v>A</v>
          </cell>
          <cell r="I688">
            <v>20201</v>
          </cell>
        </row>
        <row r="689">
          <cell r="A689" t="str">
            <v>F1B014073</v>
          </cell>
          <cell r="B689" t="str">
            <v>NAJMAN BABGI</v>
          </cell>
          <cell r="C689">
            <v>20171</v>
          </cell>
          <cell r="D689">
            <v>18</v>
          </cell>
          <cell r="E689">
            <v>3.03</v>
          </cell>
          <cell r="F689">
            <v>123</v>
          </cell>
          <cell r="G689">
            <v>2.5</v>
          </cell>
          <cell r="H689" t="str">
            <v>A</v>
          </cell>
          <cell r="I689">
            <v>20201</v>
          </cell>
        </row>
        <row r="690">
          <cell r="A690" t="str">
            <v>F1B014074</v>
          </cell>
          <cell r="B690" t="str">
            <v>NAJMI BABGI</v>
          </cell>
          <cell r="C690">
            <v>20171</v>
          </cell>
          <cell r="D690">
            <v>20</v>
          </cell>
          <cell r="E690">
            <v>2.25</v>
          </cell>
          <cell r="F690">
            <v>108</v>
          </cell>
          <cell r="G690">
            <v>2.1</v>
          </cell>
          <cell r="H690" t="str">
            <v>A</v>
          </cell>
          <cell r="I690">
            <v>20201</v>
          </cell>
        </row>
        <row r="691">
          <cell r="A691" t="str">
            <v>F1B014075</v>
          </cell>
          <cell r="B691" t="str">
            <v>NANANG RAHMAT S</v>
          </cell>
          <cell r="C691">
            <v>20171</v>
          </cell>
          <cell r="D691">
            <v>19</v>
          </cell>
          <cell r="E691">
            <v>1.97</v>
          </cell>
          <cell r="F691">
            <v>102</v>
          </cell>
          <cell r="G691">
            <v>1.98</v>
          </cell>
          <cell r="H691" t="str">
            <v>A</v>
          </cell>
          <cell r="I691">
            <v>20201</v>
          </cell>
        </row>
        <row r="692">
          <cell r="A692" t="str">
            <v>F1B014076</v>
          </cell>
          <cell r="B692" t="str">
            <v>NANDA MARDIENSYAH</v>
          </cell>
          <cell r="C692">
            <v>20171</v>
          </cell>
          <cell r="D692">
            <v>14</v>
          </cell>
          <cell r="E692">
            <v>2.18</v>
          </cell>
          <cell r="F692">
            <v>123</v>
          </cell>
          <cell r="G692">
            <v>2.58</v>
          </cell>
          <cell r="H692" t="str">
            <v>A</v>
          </cell>
          <cell r="I692">
            <v>20201</v>
          </cell>
        </row>
        <row r="693">
          <cell r="A693" t="str">
            <v>F1B014077</v>
          </cell>
          <cell r="B693" t="str">
            <v>NOVIA NITTA RIZKIA RAHMI</v>
          </cell>
          <cell r="C693">
            <v>20171</v>
          </cell>
          <cell r="D693">
            <v>21</v>
          </cell>
          <cell r="E693">
            <v>1.83</v>
          </cell>
          <cell r="F693">
            <v>94</v>
          </cell>
          <cell r="G693">
            <v>1.77</v>
          </cell>
          <cell r="H693" t="str">
            <v>A</v>
          </cell>
          <cell r="I693">
            <v>20201</v>
          </cell>
        </row>
        <row r="694">
          <cell r="A694" t="str">
            <v>F1B014078</v>
          </cell>
          <cell r="B694" t="str">
            <v>NUR SUHARNI</v>
          </cell>
          <cell r="C694">
            <v>20171</v>
          </cell>
          <cell r="D694">
            <v>15</v>
          </cell>
          <cell r="E694">
            <v>3.2</v>
          </cell>
          <cell r="F694">
            <v>140</v>
          </cell>
          <cell r="G694">
            <v>3.21</v>
          </cell>
          <cell r="H694" t="str">
            <v>A</v>
          </cell>
          <cell r="I694">
            <v>20201</v>
          </cell>
        </row>
        <row r="695">
          <cell r="A695" t="str">
            <v>F1B014079</v>
          </cell>
          <cell r="B695" t="str">
            <v>RADEN FADLAN EFENDI</v>
          </cell>
          <cell r="C695">
            <v>20171</v>
          </cell>
          <cell r="D695">
            <v>18</v>
          </cell>
          <cell r="E695">
            <v>1.5</v>
          </cell>
          <cell r="F695">
            <v>116</v>
          </cell>
          <cell r="G695">
            <v>2.02</v>
          </cell>
          <cell r="H695" t="str">
            <v>A</v>
          </cell>
          <cell r="I695">
            <v>20201</v>
          </cell>
        </row>
        <row r="696">
          <cell r="A696" t="str">
            <v>F1B014080</v>
          </cell>
          <cell r="B696" t="str">
            <v>RADEN WANUN SANTUN</v>
          </cell>
          <cell r="C696">
            <v>20171</v>
          </cell>
          <cell r="D696">
            <v>0</v>
          </cell>
          <cell r="E696">
            <v>0</v>
          </cell>
          <cell r="F696">
            <v>77</v>
          </cell>
          <cell r="G696">
            <v>1.63</v>
          </cell>
          <cell r="H696" t="str">
            <v>A</v>
          </cell>
          <cell r="I696">
            <v>20201</v>
          </cell>
        </row>
        <row r="697">
          <cell r="A697" t="str">
            <v>F1B014081</v>
          </cell>
          <cell r="B697" t="str">
            <v>RAIS WANDI</v>
          </cell>
          <cell r="C697">
            <v>20171</v>
          </cell>
          <cell r="D697">
            <v>0</v>
          </cell>
          <cell r="E697">
            <v>0</v>
          </cell>
          <cell r="F697">
            <v>50</v>
          </cell>
          <cell r="G697">
            <v>1.1</v>
          </cell>
          <cell r="H697" t="str">
            <v>A</v>
          </cell>
          <cell r="I697">
            <v>20201</v>
          </cell>
        </row>
        <row r="698">
          <cell r="A698" t="str">
            <v>F1B014082</v>
          </cell>
          <cell r="B698" t="str">
            <v>RENDRA DIN WANTO</v>
          </cell>
          <cell r="C698">
            <v>20171</v>
          </cell>
          <cell r="D698">
            <v>18</v>
          </cell>
          <cell r="E698">
            <v>3.11</v>
          </cell>
          <cell r="F698">
            <v>126</v>
          </cell>
          <cell r="G698">
            <v>2.71</v>
          </cell>
          <cell r="H698" t="str">
            <v>A</v>
          </cell>
          <cell r="I698">
            <v>20201</v>
          </cell>
        </row>
        <row r="699">
          <cell r="A699" t="str">
            <v>F1B014083</v>
          </cell>
          <cell r="B699" t="str">
            <v>RIJALUL AMRI</v>
          </cell>
          <cell r="C699">
            <v>20171</v>
          </cell>
          <cell r="D699">
            <v>22</v>
          </cell>
          <cell r="E699">
            <v>2.36</v>
          </cell>
          <cell r="F699">
            <v>119</v>
          </cell>
          <cell r="G699">
            <v>2.03</v>
          </cell>
          <cell r="H699" t="str">
            <v>A</v>
          </cell>
          <cell r="I699">
            <v>20201</v>
          </cell>
        </row>
        <row r="700">
          <cell r="A700" t="str">
            <v>F1B014084</v>
          </cell>
          <cell r="B700" t="str">
            <v>RIYAN RIZKIYAWAN</v>
          </cell>
          <cell r="C700">
            <v>20171</v>
          </cell>
          <cell r="D700">
            <v>18</v>
          </cell>
          <cell r="E700">
            <v>3.36</v>
          </cell>
          <cell r="F700">
            <v>143</v>
          </cell>
          <cell r="G700">
            <v>3.16</v>
          </cell>
          <cell r="H700" t="str">
            <v>A</v>
          </cell>
          <cell r="I700">
            <v>20201</v>
          </cell>
        </row>
        <row r="701">
          <cell r="A701" t="str">
            <v>F1B014085</v>
          </cell>
          <cell r="B701" t="str">
            <v>RIZAL ERMIAZIS K</v>
          </cell>
          <cell r="C701">
            <v>20171</v>
          </cell>
          <cell r="D701">
            <v>10</v>
          </cell>
          <cell r="E701">
            <v>3.3</v>
          </cell>
          <cell r="F701">
            <v>140</v>
          </cell>
          <cell r="G701">
            <v>3.43</v>
          </cell>
          <cell r="H701" t="str">
            <v>A</v>
          </cell>
          <cell r="I701">
            <v>20201</v>
          </cell>
        </row>
        <row r="702">
          <cell r="A702" t="str">
            <v>F1B014086</v>
          </cell>
          <cell r="B702" t="str">
            <v>RIZKY HADRIYAN</v>
          </cell>
          <cell r="C702">
            <v>20171</v>
          </cell>
          <cell r="D702">
            <v>0</v>
          </cell>
          <cell r="E702">
            <v>0</v>
          </cell>
          <cell r="F702">
            <v>38</v>
          </cell>
          <cell r="G702">
            <v>1.2</v>
          </cell>
          <cell r="H702" t="str">
            <v>A</v>
          </cell>
          <cell r="I702">
            <v>20201</v>
          </cell>
        </row>
        <row r="703">
          <cell r="A703" t="str">
            <v>F1B014087</v>
          </cell>
          <cell r="B703" t="str">
            <v>ROZI HIDAYATULLOH</v>
          </cell>
          <cell r="C703">
            <v>20171</v>
          </cell>
          <cell r="D703">
            <v>0</v>
          </cell>
          <cell r="E703">
            <v>0</v>
          </cell>
          <cell r="F703">
            <v>50</v>
          </cell>
          <cell r="G703">
            <v>0.57</v>
          </cell>
          <cell r="H703" t="str">
            <v>A</v>
          </cell>
          <cell r="I703">
            <v>20201</v>
          </cell>
        </row>
        <row r="704">
          <cell r="A704" t="str">
            <v>F1B014088</v>
          </cell>
          <cell r="B704" t="str">
            <v>ROZI PAHLEFI EDI PRADANA</v>
          </cell>
          <cell r="C704">
            <v>20171</v>
          </cell>
          <cell r="D704">
            <v>23</v>
          </cell>
          <cell r="E704">
            <v>1.98</v>
          </cell>
          <cell r="F704">
            <v>120</v>
          </cell>
          <cell r="G704">
            <v>2.27</v>
          </cell>
          <cell r="H704" t="str">
            <v>A</v>
          </cell>
          <cell r="I704">
            <v>20201</v>
          </cell>
        </row>
        <row r="705">
          <cell r="A705" t="str">
            <v>F1B014089</v>
          </cell>
          <cell r="B705" t="str">
            <v>RUSLAN EFENDI</v>
          </cell>
          <cell r="C705">
            <v>20171</v>
          </cell>
          <cell r="D705">
            <v>0</v>
          </cell>
          <cell r="E705">
            <v>0</v>
          </cell>
          <cell r="F705">
            <v>38</v>
          </cell>
          <cell r="G705">
            <v>1.22</v>
          </cell>
          <cell r="H705" t="str">
            <v>A</v>
          </cell>
          <cell r="I705">
            <v>20201</v>
          </cell>
        </row>
        <row r="706">
          <cell r="A706" t="str">
            <v>F1B014090</v>
          </cell>
          <cell r="B706" t="str">
            <v>SAHLAN</v>
          </cell>
          <cell r="C706">
            <v>20171</v>
          </cell>
          <cell r="D706">
            <v>0</v>
          </cell>
          <cell r="E706">
            <v>0</v>
          </cell>
          <cell r="F706">
            <v>19</v>
          </cell>
          <cell r="G706">
            <v>0</v>
          </cell>
          <cell r="H706" t="str">
            <v>A</v>
          </cell>
          <cell r="I706">
            <v>20201</v>
          </cell>
        </row>
        <row r="707">
          <cell r="A707" t="str">
            <v>F1B014091</v>
          </cell>
          <cell r="B707" t="str">
            <v>SAHRUL</v>
          </cell>
          <cell r="C707">
            <v>20171</v>
          </cell>
          <cell r="D707">
            <v>18</v>
          </cell>
          <cell r="E707">
            <v>3.19</v>
          </cell>
          <cell r="F707">
            <v>139</v>
          </cell>
          <cell r="G707">
            <v>2.85</v>
          </cell>
          <cell r="H707" t="str">
            <v>A</v>
          </cell>
          <cell r="I707">
            <v>20201</v>
          </cell>
        </row>
        <row r="708">
          <cell r="A708" t="str">
            <v>F1B014092</v>
          </cell>
          <cell r="B708" t="str">
            <v>SHOFIAN TSAURI</v>
          </cell>
          <cell r="C708">
            <v>20171</v>
          </cell>
          <cell r="D708">
            <v>0</v>
          </cell>
          <cell r="E708">
            <v>0</v>
          </cell>
          <cell r="F708">
            <v>47</v>
          </cell>
          <cell r="G708">
            <v>0.41</v>
          </cell>
          <cell r="H708" t="str">
            <v>A</v>
          </cell>
          <cell r="I708">
            <v>20201</v>
          </cell>
        </row>
        <row r="709">
          <cell r="A709" t="str">
            <v>F1B014093</v>
          </cell>
          <cell r="B709" t="str">
            <v>SHOVA SALSABILA</v>
          </cell>
          <cell r="C709">
            <v>20171</v>
          </cell>
          <cell r="D709">
            <v>0</v>
          </cell>
          <cell r="E709">
            <v>0</v>
          </cell>
          <cell r="F709">
            <v>81</v>
          </cell>
          <cell r="G709">
            <v>1.8</v>
          </cell>
          <cell r="H709" t="str">
            <v>A</v>
          </cell>
          <cell r="I709">
            <v>20201</v>
          </cell>
        </row>
        <row r="710">
          <cell r="A710" t="str">
            <v>F1B014094</v>
          </cell>
          <cell r="B710" t="str">
            <v>SITI NIRHAM NURUL AINI</v>
          </cell>
          <cell r="C710">
            <v>20171</v>
          </cell>
          <cell r="D710">
            <v>0</v>
          </cell>
          <cell r="E710">
            <v>0</v>
          </cell>
          <cell r="F710">
            <v>54</v>
          </cell>
          <cell r="G710">
            <v>1.11</v>
          </cell>
          <cell r="H710" t="str">
            <v>A</v>
          </cell>
          <cell r="I710">
            <v>20201</v>
          </cell>
        </row>
        <row r="711">
          <cell r="A711" t="str">
            <v>F1B014095</v>
          </cell>
          <cell r="B711" t="str">
            <v>SUDIRMAN ALFIAN</v>
          </cell>
          <cell r="C711">
            <v>20171</v>
          </cell>
          <cell r="D711">
            <v>18</v>
          </cell>
          <cell r="E711">
            <v>3.08</v>
          </cell>
          <cell r="F711">
            <v>145</v>
          </cell>
          <cell r="G711">
            <v>3.04</v>
          </cell>
          <cell r="H711" t="str">
            <v>A</v>
          </cell>
          <cell r="I711">
            <v>20201</v>
          </cell>
        </row>
        <row r="712">
          <cell r="A712" t="str">
            <v>F1B014096</v>
          </cell>
          <cell r="B712" t="str">
            <v>SUHAILI</v>
          </cell>
          <cell r="C712">
            <v>20171</v>
          </cell>
          <cell r="D712">
            <v>22</v>
          </cell>
          <cell r="E712">
            <v>2.64</v>
          </cell>
          <cell r="F712">
            <v>132</v>
          </cell>
          <cell r="G712">
            <v>2.44</v>
          </cell>
          <cell r="H712" t="str">
            <v>A</v>
          </cell>
          <cell r="I712">
            <v>20201</v>
          </cell>
        </row>
        <row r="713">
          <cell r="A713" t="str">
            <v>F1B014097</v>
          </cell>
          <cell r="B713" t="str">
            <v>SUMAHAR</v>
          </cell>
          <cell r="C713">
            <v>20171</v>
          </cell>
          <cell r="D713">
            <v>12</v>
          </cell>
          <cell r="E713">
            <v>2.67</v>
          </cell>
          <cell r="F713">
            <v>121</v>
          </cell>
          <cell r="G713">
            <v>2.12</v>
          </cell>
          <cell r="H713" t="str">
            <v>A</v>
          </cell>
          <cell r="I713">
            <v>20201</v>
          </cell>
        </row>
        <row r="714">
          <cell r="A714" t="str">
            <v>F1B014098</v>
          </cell>
          <cell r="B714" t="str">
            <v>SURAHMIN</v>
          </cell>
          <cell r="C714">
            <v>20171</v>
          </cell>
          <cell r="D714">
            <v>20</v>
          </cell>
          <cell r="E714">
            <v>3.28</v>
          </cell>
          <cell r="F714">
            <v>135</v>
          </cell>
          <cell r="G714">
            <v>2.94</v>
          </cell>
          <cell r="H714" t="str">
            <v>A</v>
          </cell>
          <cell r="I714">
            <v>20201</v>
          </cell>
        </row>
        <row r="715">
          <cell r="A715" t="str">
            <v>F1B014099</v>
          </cell>
          <cell r="B715" t="str">
            <v>SYARIF HIDAYATURRAHMAN</v>
          </cell>
          <cell r="C715">
            <v>20171</v>
          </cell>
          <cell r="D715">
            <v>18</v>
          </cell>
          <cell r="E715">
            <v>3.25</v>
          </cell>
          <cell r="F715">
            <v>133</v>
          </cell>
          <cell r="G715">
            <v>2.83</v>
          </cell>
          <cell r="H715" t="str">
            <v>A</v>
          </cell>
          <cell r="I715">
            <v>20201</v>
          </cell>
        </row>
        <row r="716">
          <cell r="A716" t="str">
            <v>F1B014100</v>
          </cell>
          <cell r="B716" t="str">
            <v>TARMUZI</v>
          </cell>
          <cell r="C716">
            <v>20171</v>
          </cell>
          <cell r="D716">
            <v>18</v>
          </cell>
          <cell r="E716">
            <v>3.08</v>
          </cell>
          <cell r="F716">
            <v>143</v>
          </cell>
          <cell r="G716">
            <v>3.01</v>
          </cell>
          <cell r="H716" t="str">
            <v>A</v>
          </cell>
          <cell r="I716">
            <v>20201</v>
          </cell>
        </row>
        <row r="717">
          <cell r="A717" t="str">
            <v>F1B014101</v>
          </cell>
          <cell r="B717" t="str">
            <v>TASMINI HARYATI</v>
          </cell>
          <cell r="C717">
            <v>20171</v>
          </cell>
          <cell r="D717">
            <v>20</v>
          </cell>
          <cell r="E717">
            <v>2.5</v>
          </cell>
          <cell r="F717">
            <v>132</v>
          </cell>
          <cell r="G717">
            <v>2.28</v>
          </cell>
          <cell r="H717" t="str">
            <v>A</v>
          </cell>
          <cell r="I717">
            <v>20201</v>
          </cell>
        </row>
        <row r="718">
          <cell r="A718" t="str">
            <v>F1B014102</v>
          </cell>
          <cell r="B718" t="str">
            <v>TITIN RISTI</v>
          </cell>
          <cell r="C718">
            <v>20171</v>
          </cell>
          <cell r="D718">
            <v>15</v>
          </cell>
          <cell r="E718">
            <v>1.97</v>
          </cell>
          <cell r="F718">
            <v>132</v>
          </cell>
          <cell r="G718">
            <v>2.52</v>
          </cell>
          <cell r="H718" t="str">
            <v>A</v>
          </cell>
          <cell r="I718">
            <v>20201</v>
          </cell>
        </row>
        <row r="719">
          <cell r="A719" t="str">
            <v>F1B014103</v>
          </cell>
          <cell r="B719" t="str">
            <v>TOUFANI RIZAL ALFARISI</v>
          </cell>
          <cell r="C719">
            <v>20171</v>
          </cell>
          <cell r="D719">
            <v>18</v>
          </cell>
          <cell r="E719">
            <v>3.08</v>
          </cell>
          <cell r="F719">
            <v>144</v>
          </cell>
          <cell r="G719">
            <v>3.45</v>
          </cell>
          <cell r="H719" t="str">
            <v>A</v>
          </cell>
          <cell r="I719">
            <v>20201</v>
          </cell>
        </row>
        <row r="720">
          <cell r="A720" t="str">
            <v>F1B014104</v>
          </cell>
          <cell r="B720" t="str">
            <v>VIONNA WEDHARINY</v>
          </cell>
          <cell r="C720">
            <v>20171</v>
          </cell>
          <cell r="D720">
            <v>16</v>
          </cell>
          <cell r="E720">
            <v>3.56</v>
          </cell>
          <cell r="F720">
            <v>144</v>
          </cell>
          <cell r="G720">
            <v>3.41</v>
          </cell>
          <cell r="H720" t="str">
            <v>A</v>
          </cell>
          <cell r="I720">
            <v>20201</v>
          </cell>
        </row>
        <row r="721">
          <cell r="A721" t="str">
            <v>F1B014105</v>
          </cell>
          <cell r="B721" t="str">
            <v>WARMAN APRIANDI SAPUTRA</v>
          </cell>
          <cell r="C721">
            <v>20171</v>
          </cell>
          <cell r="D721">
            <v>0</v>
          </cell>
          <cell r="E721">
            <v>0</v>
          </cell>
          <cell r="F721">
            <v>33</v>
          </cell>
          <cell r="G721">
            <v>1.42</v>
          </cell>
          <cell r="H721" t="str">
            <v>A</v>
          </cell>
          <cell r="I721">
            <v>20201</v>
          </cell>
        </row>
        <row r="722">
          <cell r="A722" t="str">
            <v>F1B014106</v>
          </cell>
          <cell r="B722" t="str">
            <v>YADIN AKHMALAGANI</v>
          </cell>
          <cell r="C722">
            <v>20171</v>
          </cell>
          <cell r="D722">
            <v>20</v>
          </cell>
          <cell r="E722">
            <v>3.18</v>
          </cell>
          <cell r="F722">
            <v>143</v>
          </cell>
          <cell r="G722">
            <v>3.1</v>
          </cell>
          <cell r="H722" t="str">
            <v>A</v>
          </cell>
          <cell r="I722">
            <v>20201</v>
          </cell>
        </row>
        <row r="723">
          <cell r="A723" t="str">
            <v>F1B014107</v>
          </cell>
          <cell r="B723" t="str">
            <v>YUANSAH PURNAMA SIDI</v>
          </cell>
          <cell r="C723">
            <v>20171</v>
          </cell>
          <cell r="D723">
            <v>0</v>
          </cell>
          <cell r="E723">
            <v>0</v>
          </cell>
          <cell r="F723">
            <v>48</v>
          </cell>
          <cell r="G723">
            <v>0.93</v>
          </cell>
          <cell r="H723" t="str">
            <v>A</v>
          </cell>
          <cell r="I723">
            <v>20201</v>
          </cell>
        </row>
        <row r="724">
          <cell r="A724" t="str">
            <v>F1B014108</v>
          </cell>
          <cell r="B724" t="str">
            <v>ZURLINA IZMI</v>
          </cell>
          <cell r="C724">
            <v>20171</v>
          </cell>
          <cell r="D724">
            <v>0</v>
          </cell>
          <cell r="E724">
            <v>0</v>
          </cell>
          <cell r="F724">
            <v>52</v>
          </cell>
          <cell r="G724">
            <v>0.71</v>
          </cell>
          <cell r="H724" t="str">
            <v>A</v>
          </cell>
          <cell r="I724">
            <v>20201</v>
          </cell>
        </row>
        <row r="725">
          <cell r="A725" t="str">
            <v>F1B015001</v>
          </cell>
          <cell r="B725" t="str">
            <v>ABDUL LATIF AZHARI</v>
          </cell>
          <cell r="C725">
            <v>20171</v>
          </cell>
          <cell r="D725">
            <v>21</v>
          </cell>
          <cell r="E725">
            <v>3.14</v>
          </cell>
          <cell r="F725">
            <v>105</v>
          </cell>
          <cell r="G725">
            <v>2.82</v>
          </cell>
          <cell r="H725" t="str">
            <v>A</v>
          </cell>
          <cell r="I725">
            <v>20201</v>
          </cell>
        </row>
        <row r="726">
          <cell r="A726" t="str">
            <v>F1B015002</v>
          </cell>
          <cell r="B726" t="str">
            <v>Ahmad Khadimullah</v>
          </cell>
          <cell r="C726">
            <v>20171</v>
          </cell>
          <cell r="D726">
            <v>22</v>
          </cell>
          <cell r="E726">
            <v>2.98</v>
          </cell>
          <cell r="F726">
            <v>107</v>
          </cell>
          <cell r="G726">
            <v>2.43</v>
          </cell>
          <cell r="H726" t="str">
            <v>A</v>
          </cell>
          <cell r="I726">
            <v>20201</v>
          </cell>
        </row>
        <row r="727">
          <cell r="A727" t="str">
            <v>F1B015003</v>
          </cell>
          <cell r="B727" t="str">
            <v>AHMAD QODRI</v>
          </cell>
          <cell r="C727">
            <v>20171</v>
          </cell>
          <cell r="D727">
            <v>24</v>
          </cell>
          <cell r="E727">
            <v>3.15</v>
          </cell>
          <cell r="F727">
            <v>107</v>
          </cell>
          <cell r="G727">
            <v>3.26</v>
          </cell>
          <cell r="H727" t="str">
            <v>A</v>
          </cell>
          <cell r="I727">
            <v>20201</v>
          </cell>
        </row>
        <row r="728">
          <cell r="A728" t="str">
            <v>F1B015004</v>
          </cell>
          <cell r="B728" t="str">
            <v>ALUSIA FATMAMALINI</v>
          </cell>
          <cell r="C728">
            <v>20171</v>
          </cell>
          <cell r="D728">
            <v>0</v>
          </cell>
          <cell r="E728">
            <v>0</v>
          </cell>
          <cell r="F728">
            <v>35</v>
          </cell>
          <cell r="G728">
            <v>1.17</v>
          </cell>
          <cell r="H728" t="str">
            <v>A</v>
          </cell>
          <cell r="I728">
            <v>20201</v>
          </cell>
        </row>
        <row r="729">
          <cell r="A729" t="str">
            <v>F1B015005</v>
          </cell>
          <cell r="B729" t="str">
            <v>ANANDA GHUFRAN</v>
          </cell>
          <cell r="C729">
            <v>20171</v>
          </cell>
          <cell r="D729">
            <v>21</v>
          </cell>
          <cell r="E729">
            <v>2.93</v>
          </cell>
          <cell r="F729">
            <v>107</v>
          </cell>
          <cell r="G729">
            <v>2.92</v>
          </cell>
          <cell r="H729" t="str">
            <v>A</v>
          </cell>
          <cell r="I729">
            <v>20201</v>
          </cell>
        </row>
        <row r="730">
          <cell r="A730" t="str">
            <v>F1B015006</v>
          </cell>
          <cell r="B730" t="str">
            <v>ANANTA PARA MESWARA</v>
          </cell>
          <cell r="C730">
            <v>20171</v>
          </cell>
          <cell r="D730">
            <v>23</v>
          </cell>
          <cell r="E730">
            <v>3.52</v>
          </cell>
          <cell r="F730">
            <v>109</v>
          </cell>
          <cell r="G730">
            <v>2.99</v>
          </cell>
          <cell r="H730" t="str">
            <v>A</v>
          </cell>
          <cell r="I730">
            <v>20201</v>
          </cell>
        </row>
        <row r="731">
          <cell r="A731" t="str">
            <v>F1B015007</v>
          </cell>
          <cell r="B731" t="str">
            <v>ANAS SEGAF MULACHELA</v>
          </cell>
          <cell r="C731">
            <v>20171</v>
          </cell>
          <cell r="D731">
            <v>20</v>
          </cell>
          <cell r="E731">
            <v>2.73</v>
          </cell>
          <cell r="F731">
            <v>105</v>
          </cell>
          <cell r="G731">
            <v>2.63</v>
          </cell>
          <cell r="H731" t="str">
            <v>A</v>
          </cell>
          <cell r="I731">
            <v>20201</v>
          </cell>
        </row>
        <row r="732">
          <cell r="A732" t="str">
            <v>F1B015008</v>
          </cell>
          <cell r="B732" t="str">
            <v>ANDI AKBAR HIDAYAT</v>
          </cell>
          <cell r="C732">
            <v>20171</v>
          </cell>
          <cell r="D732">
            <v>21</v>
          </cell>
          <cell r="E732">
            <v>3.1</v>
          </cell>
          <cell r="F732">
            <v>109</v>
          </cell>
          <cell r="G732">
            <v>3.06</v>
          </cell>
          <cell r="H732" t="str">
            <v>A</v>
          </cell>
          <cell r="I732">
            <v>20201</v>
          </cell>
        </row>
        <row r="733">
          <cell r="A733" t="str">
            <v>F1B015009</v>
          </cell>
          <cell r="B733" t="str">
            <v>ANDI ARDHIAN</v>
          </cell>
          <cell r="C733">
            <v>20171</v>
          </cell>
          <cell r="D733">
            <v>22</v>
          </cell>
          <cell r="E733">
            <v>3.2</v>
          </cell>
          <cell r="F733">
            <v>106</v>
          </cell>
          <cell r="G733">
            <v>3.07</v>
          </cell>
          <cell r="H733" t="str">
            <v>A</v>
          </cell>
          <cell r="I733">
            <v>20201</v>
          </cell>
        </row>
        <row r="734">
          <cell r="A734" t="str">
            <v>F1B015010</v>
          </cell>
          <cell r="B734" t="str">
            <v>Ari Mulyo Prakoso</v>
          </cell>
          <cell r="C734">
            <v>20171</v>
          </cell>
          <cell r="D734">
            <v>7</v>
          </cell>
          <cell r="E734">
            <v>3.14</v>
          </cell>
          <cell r="F734">
            <v>64</v>
          </cell>
          <cell r="G734">
            <v>1.77</v>
          </cell>
          <cell r="H734" t="str">
            <v>A</v>
          </cell>
          <cell r="I734">
            <v>20201</v>
          </cell>
        </row>
        <row r="735">
          <cell r="A735" t="str">
            <v>F1B015011</v>
          </cell>
          <cell r="B735" t="str">
            <v>Chandra Ahmad Gumilang</v>
          </cell>
          <cell r="C735">
            <v>20171</v>
          </cell>
          <cell r="D735">
            <v>0</v>
          </cell>
          <cell r="E735">
            <v>0</v>
          </cell>
          <cell r="F735">
            <v>39</v>
          </cell>
          <cell r="G735">
            <v>1.12</v>
          </cell>
          <cell r="H735" t="str">
            <v>A</v>
          </cell>
          <cell r="I735">
            <v>20201</v>
          </cell>
        </row>
        <row r="736">
          <cell r="A736" t="str">
            <v>F1B015012</v>
          </cell>
          <cell r="B736" t="str">
            <v>Dwi Elok Anggraeni</v>
          </cell>
          <cell r="C736">
            <v>20171</v>
          </cell>
          <cell r="D736">
            <v>14</v>
          </cell>
          <cell r="E736">
            <v>1.18</v>
          </cell>
          <cell r="F736">
            <v>72</v>
          </cell>
          <cell r="G736">
            <v>2.69</v>
          </cell>
          <cell r="H736" t="str">
            <v>A</v>
          </cell>
          <cell r="I736">
            <v>20201</v>
          </cell>
        </row>
        <row r="737">
          <cell r="A737" t="str">
            <v>F1B015013</v>
          </cell>
          <cell r="B737" t="str">
            <v>Eva Estia Ningsih</v>
          </cell>
          <cell r="C737">
            <v>20171</v>
          </cell>
          <cell r="D737">
            <v>23</v>
          </cell>
          <cell r="E737">
            <v>3.33</v>
          </cell>
          <cell r="F737">
            <v>105</v>
          </cell>
          <cell r="G737">
            <v>2.84</v>
          </cell>
          <cell r="H737" t="str">
            <v>A</v>
          </cell>
          <cell r="I737">
            <v>20201</v>
          </cell>
        </row>
        <row r="738">
          <cell r="A738" t="str">
            <v>F1B015014</v>
          </cell>
          <cell r="B738" t="str">
            <v>Fahmi Yardi</v>
          </cell>
          <cell r="C738">
            <v>20171</v>
          </cell>
          <cell r="D738">
            <v>22</v>
          </cell>
          <cell r="E738">
            <v>3.43</v>
          </cell>
          <cell r="F738">
            <v>107</v>
          </cell>
          <cell r="G738">
            <v>3.04</v>
          </cell>
          <cell r="H738" t="str">
            <v>A</v>
          </cell>
          <cell r="I738">
            <v>20201</v>
          </cell>
        </row>
        <row r="739">
          <cell r="A739" t="str">
            <v>F1B015015</v>
          </cell>
          <cell r="B739" t="str">
            <v>FAKHRURRAHMAN</v>
          </cell>
          <cell r="C739">
            <v>20171</v>
          </cell>
          <cell r="D739">
            <v>20</v>
          </cell>
          <cell r="E739">
            <v>2.78</v>
          </cell>
          <cell r="F739">
            <v>102</v>
          </cell>
          <cell r="G739">
            <v>2.59</v>
          </cell>
          <cell r="H739" t="str">
            <v>A</v>
          </cell>
          <cell r="I739">
            <v>20201</v>
          </cell>
        </row>
        <row r="740">
          <cell r="A740" t="str">
            <v>F1B015016</v>
          </cell>
          <cell r="B740" t="str">
            <v>FEBRY DWI FITRIANTO</v>
          </cell>
          <cell r="C740">
            <v>20171</v>
          </cell>
          <cell r="D740">
            <v>21</v>
          </cell>
          <cell r="E740">
            <v>3.36</v>
          </cell>
          <cell r="F740">
            <v>110</v>
          </cell>
          <cell r="G740">
            <v>2.67</v>
          </cell>
          <cell r="H740" t="str">
            <v>A</v>
          </cell>
          <cell r="I740">
            <v>20201</v>
          </cell>
        </row>
        <row r="741">
          <cell r="A741" t="str">
            <v>F1B015017</v>
          </cell>
          <cell r="B741" t="str">
            <v>FEZI OFA ABDUL GANI</v>
          </cell>
          <cell r="C741">
            <v>20171</v>
          </cell>
          <cell r="D741">
            <v>22</v>
          </cell>
          <cell r="E741">
            <v>3.77</v>
          </cell>
          <cell r="F741">
            <v>110</v>
          </cell>
          <cell r="G741">
            <v>3.5</v>
          </cell>
          <cell r="H741" t="str">
            <v>A</v>
          </cell>
          <cell r="I741">
            <v>20201</v>
          </cell>
        </row>
        <row r="742">
          <cell r="A742" t="str">
            <v>F1B015018</v>
          </cell>
          <cell r="B742" t="str">
            <v>Fitriani Julianti</v>
          </cell>
          <cell r="C742">
            <v>20171</v>
          </cell>
          <cell r="D742">
            <v>21</v>
          </cell>
          <cell r="E742">
            <v>2.64</v>
          </cell>
          <cell r="F742">
            <v>102</v>
          </cell>
          <cell r="G742">
            <v>2.59</v>
          </cell>
          <cell r="H742" t="str">
            <v>A</v>
          </cell>
          <cell r="I742">
            <v>20201</v>
          </cell>
        </row>
        <row r="743">
          <cell r="A743" t="str">
            <v>F1B015019</v>
          </cell>
          <cell r="B743" t="str">
            <v>Gopinda</v>
          </cell>
          <cell r="C743">
            <v>20171</v>
          </cell>
          <cell r="D743">
            <v>23</v>
          </cell>
          <cell r="E743">
            <v>2.35</v>
          </cell>
          <cell r="F743">
            <v>107</v>
          </cell>
          <cell r="G743">
            <v>2.73</v>
          </cell>
          <cell r="H743" t="str">
            <v>A</v>
          </cell>
          <cell r="I743">
            <v>20201</v>
          </cell>
        </row>
        <row r="744">
          <cell r="A744" t="str">
            <v>F1B015020</v>
          </cell>
          <cell r="B744" t="str">
            <v>HALBAT AKMARAL AZIAD</v>
          </cell>
          <cell r="C744">
            <v>20171</v>
          </cell>
          <cell r="D744">
            <v>8</v>
          </cell>
          <cell r="E744">
            <v>0</v>
          </cell>
          <cell r="F744">
            <v>80</v>
          </cell>
          <cell r="G744">
            <v>1.83</v>
          </cell>
          <cell r="H744" t="str">
            <v>A</v>
          </cell>
          <cell r="I744">
            <v>20201</v>
          </cell>
        </row>
        <row r="745">
          <cell r="A745" t="str">
            <v>F1B015021</v>
          </cell>
          <cell r="B745" t="str">
            <v>Hari Surya Satma Bowo</v>
          </cell>
          <cell r="C745">
            <v>20171</v>
          </cell>
          <cell r="D745">
            <v>21</v>
          </cell>
          <cell r="E745">
            <v>3.26</v>
          </cell>
          <cell r="F745">
            <v>114</v>
          </cell>
          <cell r="G745">
            <v>3.04</v>
          </cell>
          <cell r="H745" t="str">
            <v>A</v>
          </cell>
          <cell r="I745">
            <v>20201</v>
          </cell>
        </row>
        <row r="746">
          <cell r="A746" t="str">
            <v>F1B015022</v>
          </cell>
          <cell r="B746" t="str">
            <v>Hengki Juniarta</v>
          </cell>
          <cell r="C746">
            <v>20171</v>
          </cell>
          <cell r="D746">
            <v>20</v>
          </cell>
          <cell r="E746">
            <v>2.48</v>
          </cell>
          <cell r="F746">
            <v>89</v>
          </cell>
          <cell r="G746">
            <v>2.6</v>
          </cell>
          <cell r="H746" t="str">
            <v>A</v>
          </cell>
          <cell r="I746">
            <v>20201</v>
          </cell>
        </row>
        <row r="747">
          <cell r="A747" t="str">
            <v>F1B015023</v>
          </cell>
          <cell r="B747" t="str">
            <v>HEROFIKA ROSID</v>
          </cell>
          <cell r="C747">
            <v>20171</v>
          </cell>
          <cell r="D747">
            <v>0</v>
          </cell>
          <cell r="E747">
            <v>0</v>
          </cell>
          <cell r="F747">
            <v>19</v>
          </cell>
          <cell r="G747">
            <v>0</v>
          </cell>
          <cell r="H747" t="str">
            <v>A</v>
          </cell>
          <cell r="I747">
            <v>20201</v>
          </cell>
        </row>
        <row r="748">
          <cell r="A748" t="str">
            <v>F1B015024</v>
          </cell>
          <cell r="B748" t="str">
            <v>Heru Rizky Suwito</v>
          </cell>
          <cell r="C748">
            <v>20171</v>
          </cell>
          <cell r="D748">
            <v>0</v>
          </cell>
          <cell r="E748">
            <v>0</v>
          </cell>
          <cell r="F748">
            <v>19</v>
          </cell>
          <cell r="G748">
            <v>0</v>
          </cell>
          <cell r="H748" t="str">
            <v>A</v>
          </cell>
          <cell r="I748">
            <v>20201</v>
          </cell>
        </row>
        <row r="749">
          <cell r="A749" t="str">
            <v>F1B015025</v>
          </cell>
          <cell r="B749" t="str">
            <v>Hizbullah Saputra</v>
          </cell>
          <cell r="C749">
            <v>20171</v>
          </cell>
          <cell r="D749">
            <v>0</v>
          </cell>
          <cell r="E749">
            <v>0</v>
          </cell>
          <cell r="F749">
            <v>41</v>
          </cell>
          <cell r="G749">
            <v>1.57</v>
          </cell>
          <cell r="H749" t="str">
            <v>A</v>
          </cell>
          <cell r="I749">
            <v>20201</v>
          </cell>
        </row>
        <row r="750">
          <cell r="A750" t="str">
            <v>F1B015026</v>
          </cell>
          <cell r="B750" t="str">
            <v>I Komang Yudhi Satya Nugraha</v>
          </cell>
          <cell r="C750">
            <v>20171</v>
          </cell>
          <cell r="D750">
            <v>21</v>
          </cell>
          <cell r="E750">
            <v>2.69</v>
          </cell>
          <cell r="F750">
            <v>101</v>
          </cell>
          <cell r="G750">
            <v>2.69</v>
          </cell>
          <cell r="H750" t="str">
            <v>A</v>
          </cell>
          <cell r="I750">
            <v>20201</v>
          </cell>
        </row>
        <row r="751">
          <cell r="A751" t="str">
            <v>F1B015027</v>
          </cell>
          <cell r="B751" t="str">
            <v>I Made Bayu Krisna Putra</v>
          </cell>
          <cell r="C751">
            <v>20171</v>
          </cell>
          <cell r="D751">
            <v>23</v>
          </cell>
          <cell r="E751">
            <v>3.13</v>
          </cell>
          <cell r="F751">
            <v>106</v>
          </cell>
          <cell r="G751">
            <v>3.11</v>
          </cell>
          <cell r="H751" t="str">
            <v>A</v>
          </cell>
          <cell r="I751">
            <v>20201</v>
          </cell>
        </row>
        <row r="752">
          <cell r="A752" t="str">
            <v>F1B015028</v>
          </cell>
          <cell r="B752" t="str">
            <v>I MADE NUGROHO WAHYU KRISTIANTO</v>
          </cell>
          <cell r="C752">
            <v>20171</v>
          </cell>
          <cell r="D752">
            <v>0</v>
          </cell>
          <cell r="E752">
            <v>0</v>
          </cell>
          <cell r="F752">
            <v>32</v>
          </cell>
          <cell r="G752">
            <v>0.91</v>
          </cell>
          <cell r="H752" t="str">
            <v>A</v>
          </cell>
          <cell r="I752">
            <v>20201</v>
          </cell>
        </row>
        <row r="753">
          <cell r="A753" t="str">
            <v>F1B015029</v>
          </cell>
          <cell r="B753" t="str">
            <v>I Made Sandi Budi Putra</v>
          </cell>
          <cell r="C753">
            <v>20171</v>
          </cell>
          <cell r="D753">
            <v>0</v>
          </cell>
          <cell r="E753">
            <v>0</v>
          </cell>
          <cell r="F753">
            <v>37</v>
          </cell>
          <cell r="G753">
            <v>1.23</v>
          </cell>
          <cell r="H753" t="str">
            <v>A</v>
          </cell>
          <cell r="I753">
            <v>20201</v>
          </cell>
        </row>
        <row r="754">
          <cell r="A754" t="str">
            <v>F1B015030</v>
          </cell>
          <cell r="B754" t="str">
            <v>I NYOMAN AGUS BUDIYAWAN</v>
          </cell>
          <cell r="C754">
            <v>20171</v>
          </cell>
          <cell r="D754">
            <v>0</v>
          </cell>
          <cell r="E754">
            <v>0</v>
          </cell>
          <cell r="F754">
            <v>39</v>
          </cell>
          <cell r="G754">
            <v>1.31</v>
          </cell>
          <cell r="H754" t="str">
            <v>A</v>
          </cell>
          <cell r="I754">
            <v>20201</v>
          </cell>
        </row>
        <row r="755">
          <cell r="A755" t="str">
            <v>F1B015031</v>
          </cell>
          <cell r="B755" t="str">
            <v>I Putu Yogi Artha</v>
          </cell>
          <cell r="C755">
            <v>20171</v>
          </cell>
          <cell r="D755">
            <v>23</v>
          </cell>
          <cell r="E755">
            <v>3.22</v>
          </cell>
          <cell r="F755">
            <v>108</v>
          </cell>
          <cell r="G755">
            <v>3.06</v>
          </cell>
          <cell r="H755" t="str">
            <v>A</v>
          </cell>
          <cell r="I755">
            <v>20201</v>
          </cell>
        </row>
        <row r="756">
          <cell r="A756" t="str">
            <v>F1B015032</v>
          </cell>
          <cell r="B756" t="str">
            <v>Ibnu Zyad</v>
          </cell>
          <cell r="C756">
            <v>20171</v>
          </cell>
          <cell r="D756">
            <v>21</v>
          </cell>
          <cell r="E756">
            <v>3.45</v>
          </cell>
          <cell r="F756">
            <v>109</v>
          </cell>
          <cell r="G756">
            <v>3.37</v>
          </cell>
          <cell r="H756" t="str">
            <v>A</v>
          </cell>
          <cell r="I756">
            <v>20201</v>
          </cell>
        </row>
        <row r="757">
          <cell r="A757" t="str">
            <v>F1B015033</v>
          </cell>
          <cell r="B757" t="str">
            <v>IFAN HARIADI</v>
          </cell>
          <cell r="C757">
            <v>20171</v>
          </cell>
          <cell r="D757">
            <v>21</v>
          </cell>
          <cell r="E757">
            <v>2.21</v>
          </cell>
          <cell r="F757">
            <v>90</v>
          </cell>
          <cell r="G757">
            <v>1.98</v>
          </cell>
          <cell r="H757" t="str">
            <v>A</v>
          </cell>
          <cell r="I757">
            <v>20201</v>
          </cell>
        </row>
        <row r="758">
          <cell r="A758" t="str">
            <v>F1B015034</v>
          </cell>
          <cell r="B758" t="str">
            <v>IKA SURYANI</v>
          </cell>
          <cell r="C758">
            <v>20171</v>
          </cell>
          <cell r="D758">
            <v>20</v>
          </cell>
          <cell r="E758">
            <v>3.03</v>
          </cell>
          <cell r="F758">
            <v>97</v>
          </cell>
          <cell r="G758">
            <v>2.59</v>
          </cell>
          <cell r="H758" t="str">
            <v>A</v>
          </cell>
          <cell r="I758">
            <v>20201</v>
          </cell>
        </row>
        <row r="759">
          <cell r="A759" t="str">
            <v>F1B015035</v>
          </cell>
          <cell r="B759" t="str">
            <v>Ikhlas Anugerah</v>
          </cell>
          <cell r="C759">
            <v>20171</v>
          </cell>
          <cell r="D759">
            <v>22</v>
          </cell>
          <cell r="E759">
            <v>3.09</v>
          </cell>
          <cell r="F759">
            <v>110</v>
          </cell>
          <cell r="G759">
            <v>3.21</v>
          </cell>
          <cell r="H759" t="str">
            <v>A</v>
          </cell>
          <cell r="I759">
            <v>20201</v>
          </cell>
        </row>
        <row r="760">
          <cell r="A760" t="str">
            <v>F1B015036</v>
          </cell>
          <cell r="B760" t="str">
            <v>IMAM SYAUKANI</v>
          </cell>
          <cell r="C760">
            <v>20171</v>
          </cell>
          <cell r="D760">
            <v>22</v>
          </cell>
          <cell r="E760">
            <v>3.23</v>
          </cell>
          <cell r="F760">
            <v>110</v>
          </cell>
          <cell r="G760">
            <v>3</v>
          </cell>
          <cell r="H760" t="str">
            <v>A</v>
          </cell>
          <cell r="I760">
            <v>20201</v>
          </cell>
        </row>
        <row r="761">
          <cell r="A761" t="str">
            <v>F1B015037</v>
          </cell>
          <cell r="B761" t="str">
            <v>Isnawati</v>
          </cell>
          <cell r="C761">
            <v>20171</v>
          </cell>
          <cell r="D761">
            <v>22</v>
          </cell>
          <cell r="E761">
            <v>3.14</v>
          </cell>
          <cell r="F761">
            <v>105</v>
          </cell>
          <cell r="G761">
            <v>2.85</v>
          </cell>
          <cell r="H761" t="str">
            <v>A</v>
          </cell>
          <cell r="I761">
            <v>20201</v>
          </cell>
        </row>
        <row r="762">
          <cell r="A762" t="str">
            <v>F1B015038</v>
          </cell>
          <cell r="B762" t="str">
            <v>Jumarip</v>
          </cell>
          <cell r="C762">
            <v>20171</v>
          </cell>
          <cell r="D762">
            <v>19</v>
          </cell>
          <cell r="E762">
            <v>2.53</v>
          </cell>
          <cell r="F762">
            <v>93</v>
          </cell>
          <cell r="G762">
            <v>2.34</v>
          </cell>
          <cell r="H762" t="str">
            <v>A</v>
          </cell>
          <cell r="I762">
            <v>20201</v>
          </cell>
        </row>
        <row r="763">
          <cell r="A763" t="str">
            <v>F1B015039</v>
          </cell>
          <cell r="B763" t="str">
            <v>JUNIYAN WISNU ROHADI</v>
          </cell>
          <cell r="C763">
            <v>20171</v>
          </cell>
          <cell r="D763">
            <v>21</v>
          </cell>
          <cell r="E763">
            <v>2.79</v>
          </cell>
          <cell r="F763">
            <v>109</v>
          </cell>
          <cell r="G763">
            <v>2.66</v>
          </cell>
          <cell r="H763" t="str">
            <v>A</v>
          </cell>
          <cell r="I763">
            <v>20201</v>
          </cell>
        </row>
        <row r="764">
          <cell r="A764" t="str">
            <v>F1B015040</v>
          </cell>
          <cell r="B764" t="str">
            <v>KENYA DAMAYANTI PRIYATNA</v>
          </cell>
          <cell r="C764">
            <v>20171</v>
          </cell>
          <cell r="D764">
            <v>22</v>
          </cell>
          <cell r="E764">
            <v>3.68</v>
          </cell>
          <cell r="F764">
            <v>112</v>
          </cell>
          <cell r="G764">
            <v>3.44</v>
          </cell>
          <cell r="H764" t="str">
            <v>A</v>
          </cell>
          <cell r="I764">
            <v>20201</v>
          </cell>
        </row>
        <row r="765">
          <cell r="A765" t="str">
            <v>F1B015041</v>
          </cell>
          <cell r="B765" t="str">
            <v>Khaira Abda</v>
          </cell>
          <cell r="C765">
            <v>20171</v>
          </cell>
          <cell r="D765">
            <v>21</v>
          </cell>
          <cell r="E765">
            <v>3.14</v>
          </cell>
          <cell r="F765">
            <v>109</v>
          </cell>
          <cell r="G765">
            <v>2.9</v>
          </cell>
          <cell r="H765" t="str">
            <v>A</v>
          </cell>
          <cell r="I765">
            <v>20201</v>
          </cell>
        </row>
        <row r="766">
          <cell r="A766" t="str">
            <v>F1B015042</v>
          </cell>
          <cell r="B766" t="str">
            <v>KHAIRUR ROZAQ</v>
          </cell>
          <cell r="C766">
            <v>20171</v>
          </cell>
          <cell r="D766">
            <v>0</v>
          </cell>
          <cell r="E766">
            <v>0</v>
          </cell>
          <cell r="F766">
            <v>54</v>
          </cell>
          <cell r="G766">
            <v>1.5</v>
          </cell>
          <cell r="H766" t="str">
            <v>A</v>
          </cell>
          <cell r="I766">
            <v>20201</v>
          </cell>
        </row>
        <row r="767">
          <cell r="A767" t="str">
            <v>F1B015043</v>
          </cell>
          <cell r="B767" t="str">
            <v>LALU MUHAMMAD PAOZAN</v>
          </cell>
          <cell r="C767">
            <v>20171</v>
          </cell>
          <cell r="D767">
            <v>20</v>
          </cell>
          <cell r="E767">
            <v>0.15</v>
          </cell>
          <cell r="F767">
            <v>108</v>
          </cell>
          <cell r="G767">
            <v>2.26</v>
          </cell>
          <cell r="H767" t="str">
            <v>A</v>
          </cell>
          <cell r="I767">
            <v>20201</v>
          </cell>
        </row>
        <row r="768">
          <cell r="A768" t="str">
            <v>F1B015044</v>
          </cell>
          <cell r="B768" t="str">
            <v>LALU RIZAL SAPUTRA JUNISTIAWAN</v>
          </cell>
          <cell r="C768">
            <v>20171</v>
          </cell>
          <cell r="D768">
            <v>22</v>
          </cell>
          <cell r="E768">
            <v>3.3</v>
          </cell>
          <cell r="F768">
            <v>108</v>
          </cell>
          <cell r="G768">
            <v>3.06</v>
          </cell>
          <cell r="H768" t="str">
            <v>A</v>
          </cell>
          <cell r="I768">
            <v>20201</v>
          </cell>
        </row>
        <row r="769">
          <cell r="A769" t="str">
            <v>F1B015045</v>
          </cell>
          <cell r="B769" t="str">
            <v>LASKAR WATHONI PRABOWO</v>
          </cell>
          <cell r="C769">
            <v>20171</v>
          </cell>
          <cell r="D769">
            <v>0</v>
          </cell>
          <cell r="E769">
            <v>0</v>
          </cell>
          <cell r="F769">
            <v>19</v>
          </cell>
          <cell r="G769">
            <v>0.21</v>
          </cell>
          <cell r="H769" t="str">
            <v>A</v>
          </cell>
          <cell r="I769">
            <v>20201</v>
          </cell>
        </row>
        <row r="770">
          <cell r="A770" t="str">
            <v>F1B015046</v>
          </cell>
          <cell r="B770" t="str">
            <v>LUKMAN PARHAN</v>
          </cell>
          <cell r="C770">
            <v>20171</v>
          </cell>
          <cell r="D770">
            <v>19</v>
          </cell>
          <cell r="E770">
            <v>2.29</v>
          </cell>
          <cell r="F770">
            <v>102</v>
          </cell>
          <cell r="G770">
            <v>2.58</v>
          </cell>
          <cell r="H770" t="str">
            <v>A</v>
          </cell>
          <cell r="I770">
            <v>20201</v>
          </cell>
        </row>
        <row r="771">
          <cell r="A771" t="str">
            <v>F1B015047</v>
          </cell>
          <cell r="B771" t="str">
            <v>M Khaerul Anwar</v>
          </cell>
          <cell r="C771">
            <v>20171</v>
          </cell>
          <cell r="D771">
            <v>20</v>
          </cell>
          <cell r="E771">
            <v>2.95</v>
          </cell>
          <cell r="F771">
            <v>103</v>
          </cell>
          <cell r="G771">
            <v>2.88</v>
          </cell>
          <cell r="H771" t="str">
            <v>A</v>
          </cell>
          <cell r="I771">
            <v>20201</v>
          </cell>
        </row>
        <row r="772">
          <cell r="A772" t="str">
            <v>F1B015048</v>
          </cell>
          <cell r="B772" t="str">
            <v>M YUSUF YAHYA</v>
          </cell>
          <cell r="C772">
            <v>20171</v>
          </cell>
          <cell r="D772">
            <v>20</v>
          </cell>
          <cell r="E772">
            <v>2.63</v>
          </cell>
          <cell r="F772">
            <v>103</v>
          </cell>
          <cell r="G772">
            <v>2.98</v>
          </cell>
          <cell r="H772" t="str">
            <v>A</v>
          </cell>
          <cell r="I772">
            <v>20201</v>
          </cell>
        </row>
        <row r="773">
          <cell r="A773" t="str">
            <v>F1B015049</v>
          </cell>
          <cell r="B773" t="str">
            <v>M FAUZAN ALFARGANI</v>
          </cell>
          <cell r="C773">
            <v>20171</v>
          </cell>
          <cell r="D773">
            <v>21</v>
          </cell>
          <cell r="E773">
            <v>2.52</v>
          </cell>
          <cell r="F773">
            <v>99</v>
          </cell>
          <cell r="G773">
            <v>2.54</v>
          </cell>
          <cell r="H773" t="str">
            <v>A</v>
          </cell>
          <cell r="I773">
            <v>20201</v>
          </cell>
        </row>
        <row r="774">
          <cell r="A774" t="str">
            <v>F1B015050</v>
          </cell>
          <cell r="B774" t="str">
            <v>MAHIGA SUHITA KUSUMA WARDHANI</v>
          </cell>
          <cell r="C774">
            <v>20171</v>
          </cell>
          <cell r="D774">
            <v>24</v>
          </cell>
          <cell r="E774">
            <v>3.06</v>
          </cell>
          <cell r="F774">
            <v>111</v>
          </cell>
          <cell r="G774">
            <v>3.1</v>
          </cell>
          <cell r="H774" t="str">
            <v>A</v>
          </cell>
          <cell r="I774">
            <v>20201</v>
          </cell>
        </row>
        <row r="775">
          <cell r="A775" t="str">
            <v>F1B015051</v>
          </cell>
          <cell r="B775" t="str">
            <v>Meti Puspa Syabani</v>
          </cell>
          <cell r="C775">
            <v>20171</v>
          </cell>
          <cell r="D775">
            <v>21</v>
          </cell>
          <cell r="E775">
            <v>2.21</v>
          </cell>
          <cell r="F775">
            <v>111</v>
          </cell>
          <cell r="G775">
            <v>3.05</v>
          </cell>
          <cell r="H775" t="str">
            <v>A</v>
          </cell>
          <cell r="I775">
            <v>20201</v>
          </cell>
        </row>
        <row r="776">
          <cell r="A776" t="str">
            <v>F1B015052</v>
          </cell>
          <cell r="B776" t="str">
            <v>MOH IQBAL HAKIM</v>
          </cell>
          <cell r="C776">
            <v>20171</v>
          </cell>
          <cell r="D776">
            <v>23</v>
          </cell>
          <cell r="E776">
            <v>3.17</v>
          </cell>
          <cell r="F776">
            <v>102</v>
          </cell>
          <cell r="G776">
            <v>2.78</v>
          </cell>
          <cell r="H776" t="str">
            <v>A</v>
          </cell>
          <cell r="I776">
            <v>20201</v>
          </cell>
        </row>
        <row r="777">
          <cell r="A777" t="str">
            <v>F1B015053</v>
          </cell>
          <cell r="B777" t="str">
            <v>Mohamad Husnul Haris</v>
          </cell>
          <cell r="C777">
            <v>20171</v>
          </cell>
          <cell r="D777">
            <v>24</v>
          </cell>
          <cell r="E777">
            <v>3.02</v>
          </cell>
          <cell r="F777">
            <v>110</v>
          </cell>
          <cell r="G777">
            <v>2.58</v>
          </cell>
          <cell r="H777" t="str">
            <v>A</v>
          </cell>
          <cell r="I777">
            <v>20201</v>
          </cell>
        </row>
        <row r="778">
          <cell r="A778" t="str">
            <v>F1B015054</v>
          </cell>
          <cell r="B778" t="str">
            <v>MOHAMAD SUPRAYADI</v>
          </cell>
          <cell r="C778">
            <v>20171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 t="str">
            <v>A</v>
          </cell>
          <cell r="I778">
            <v>20201</v>
          </cell>
        </row>
        <row r="779">
          <cell r="A779" t="str">
            <v>F1B015055</v>
          </cell>
          <cell r="B779" t="str">
            <v>Muh Aghung Trisna Wiyadhi</v>
          </cell>
          <cell r="C779">
            <v>20171</v>
          </cell>
          <cell r="D779">
            <v>23</v>
          </cell>
          <cell r="E779">
            <v>3.15</v>
          </cell>
          <cell r="F779">
            <v>115</v>
          </cell>
          <cell r="G779">
            <v>3.23</v>
          </cell>
          <cell r="H779" t="str">
            <v>A</v>
          </cell>
          <cell r="I779">
            <v>20201</v>
          </cell>
        </row>
        <row r="780">
          <cell r="A780" t="str">
            <v>F1B015056</v>
          </cell>
          <cell r="B780" t="str">
            <v>MUHAMAD HASBI BERLIAN</v>
          </cell>
          <cell r="C780">
            <v>20171</v>
          </cell>
          <cell r="D780">
            <v>0</v>
          </cell>
          <cell r="E780">
            <v>0</v>
          </cell>
          <cell r="F780">
            <v>41</v>
          </cell>
          <cell r="G780">
            <v>3.05</v>
          </cell>
          <cell r="H780" t="str">
            <v>A</v>
          </cell>
          <cell r="I780">
            <v>20201</v>
          </cell>
        </row>
        <row r="781">
          <cell r="A781" t="str">
            <v>F1B015057</v>
          </cell>
          <cell r="B781" t="str">
            <v>MUHAMAD RAMA ADIPITRA</v>
          </cell>
          <cell r="C781">
            <v>20171</v>
          </cell>
          <cell r="D781">
            <v>21</v>
          </cell>
          <cell r="E781">
            <v>3.24</v>
          </cell>
          <cell r="F781">
            <v>107</v>
          </cell>
          <cell r="G781">
            <v>2.85</v>
          </cell>
          <cell r="H781" t="str">
            <v>A</v>
          </cell>
          <cell r="I781">
            <v>20201</v>
          </cell>
        </row>
        <row r="782">
          <cell r="A782" t="str">
            <v>F1B015058</v>
          </cell>
          <cell r="B782" t="str">
            <v>MUHAMMAD ADAM A  N</v>
          </cell>
          <cell r="C782">
            <v>20171</v>
          </cell>
          <cell r="D782">
            <v>21</v>
          </cell>
          <cell r="E782">
            <v>2.17</v>
          </cell>
          <cell r="F782">
            <v>104</v>
          </cell>
          <cell r="G782">
            <v>2.72</v>
          </cell>
          <cell r="H782" t="str">
            <v>A</v>
          </cell>
          <cell r="I782">
            <v>20201</v>
          </cell>
        </row>
        <row r="783">
          <cell r="A783" t="str">
            <v>F1B015059</v>
          </cell>
          <cell r="B783" t="str">
            <v>Muhammad Afrizal Ghifari Rasyda</v>
          </cell>
          <cell r="C783">
            <v>20171</v>
          </cell>
          <cell r="D783">
            <v>22</v>
          </cell>
          <cell r="E783">
            <v>3.55</v>
          </cell>
          <cell r="F783">
            <v>110</v>
          </cell>
          <cell r="G783">
            <v>3.34</v>
          </cell>
          <cell r="H783" t="str">
            <v>A</v>
          </cell>
          <cell r="I783">
            <v>20201</v>
          </cell>
        </row>
        <row r="784">
          <cell r="A784" t="str">
            <v>F1B015060</v>
          </cell>
          <cell r="B784" t="str">
            <v>MUHAMMAD AGAM MAULANA</v>
          </cell>
          <cell r="C784">
            <v>20171</v>
          </cell>
          <cell r="D784">
            <v>16</v>
          </cell>
          <cell r="E784">
            <v>3.09</v>
          </cell>
          <cell r="F784">
            <v>101</v>
          </cell>
          <cell r="G784">
            <v>2.81</v>
          </cell>
          <cell r="H784" t="str">
            <v>A</v>
          </cell>
          <cell r="I784">
            <v>20201</v>
          </cell>
        </row>
        <row r="785">
          <cell r="A785" t="str">
            <v>F1B015061</v>
          </cell>
          <cell r="B785" t="str">
            <v>MUHAMMAD ALFIYAN CHAIRI HAKIM</v>
          </cell>
          <cell r="C785">
            <v>20171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 t="str">
            <v>A</v>
          </cell>
          <cell r="I785">
            <v>20201</v>
          </cell>
        </row>
        <row r="786">
          <cell r="A786" t="str">
            <v>F1B015062</v>
          </cell>
          <cell r="B786" t="str">
            <v>Muhammad Amri Akbar</v>
          </cell>
          <cell r="C786">
            <v>20171</v>
          </cell>
          <cell r="D786">
            <v>22</v>
          </cell>
          <cell r="E786">
            <v>3.27</v>
          </cell>
          <cell r="F786">
            <v>112</v>
          </cell>
          <cell r="G786">
            <v>3.23</v>
          </cell>
          <cell r="H786" t="str">
            <v>A</v>
          </cell>
          <cell r="I786">
            <v>20201</v>
          </cell>
        </row>
        <row r="787">
          <cell r="A787" t="str">
            <v>F1B015063</v>
          </cell>
          <cell r="B787" t="str">
            <v>MUHAMMAD FAJAR ALGHIFFARI</v>
          </cell>
          <cell r="C787">
            <v>20171</v>
          </cell>
          <cell r="D787">
            <v>24</v>
          </cell>
          <cell r="E787">
            <v>3.58</v>
          </cell>
          <cell r="F787">
            <v>109</v>
          </cell>
          <cell r="G787">
            <v>3.49</v>
          </cell>
          <cell r="H787" t="str">
            <v>A</v>
          </cell>
          <cell r="I787">
            <v>20201</v>
          </cell>
        </row>
        <row r="788">
          <cell r="A788" t="str">
            <v>F1B015064</v>
          </cell>
          <cell r="B788" t="str">
            <v>Muhammad Fajri</v>
          </cell>
          <cell r="C788">
            <v>20171</v>
          </cell>
          <cell r="D788">
            <v>22</v>
          </cell>
          <cell r="E788">
            <v>3.27</v>
          </cell>
          <cell r="F788">
            <v>112</v>
          </cell>
          <cell r="G788">
            <v>3.17</v>
          </cell>
          <cell r="H788" t="str">
            <v>A</v>
          </cell>
          <cell r="I788">
            <v>20201</v>
          </cell>
        </row>
        <row r="789">
          <cell r="A789" t="str">
            <v>F1B015065</v>
          </cell>
          <cell r="B789" t="str">
            <v>MUHAMMAD JUAENI</v>
          </cell>
          <cell r="C789">
            <v>20171</v>
          </cell>
          <cell r="D789">
            <v>23</v>
          </cell>
          <cell r="E789">
            <v>3.37</v>
          </cell>
          <cell r="F789">
            <v>105</v>
          </cell>
          <cell r="G789">
            <v>2.78</v>
          </cell>
          <cell r="H789" t="str">
            <v>A</v>
          </cell>
          <cell r="I789">
            <v>20201</v>
          </cell>
        </row>
        <row r="790">
          <cell r="A790" t="str">
            <v>F1B015066</v>
          </cell>
          <cell r="B790" t="str">
            <v>Muhammad Setiawan</v>
          </cell>
          <cell r="C790">
            <v>20171</v>
          </cell>
          <cell r="D790">
            <v>0</v>
          </cell>
          <cell r="E790">
            <v>0</v>
          </cell>
          <cell r="F790">
            <v>39</v>
          </cell>
          <cell r="G790">
            <v>1.21</v>
          </cell>
          <cell r="H790" t="str">
            <v>A</v>
          </cell>
          <cell r="I790">
            <v>20201</v>
          </cell>
        </row>
        <row r="791">
          <cell r="A791" t="str">
            <v>F1B015067</v>
          </cell>
          <cell r="B791" t="str">
            <v>Muhammad Suyudi Wahyu Sinangga</v>
          </cell>
          <cell r="C791">
            <v>20171</v>
          </cell>
          <cell r="D791">
            <v>0</v>
          </cell>
          <cell r="E791">
            <v>0</v>
          </cell>
          <cell r="F791">
            <v>19</v>
          </cell>
          <cell r="G791">
            <v>0.21</v>
          </cell>
          <cell r="H791" t="str">
            <v>A</v>
          </cell>
          <cell r="I791">
            <v>20201</v>
          </cell>
        </row>
        <row r="792">
          <cell r="A792" t="str">
            <v>F1B015068</v>
          </cell>
          <cell r="B792" t="str">
            <v>Muhtadin Akbar</v>
          </cell>
          <cell r="C792">
            <v>20171</v>
          </cell>
          <cell r="D792">
            <v>22</v>
          </cell>
          <cell r="E792">
            <v>2.95</v>
          </cell>
          <cell r="F792">
            <v>112</v>
          </cell>
          <cell r="G792">
            <v>2.99</v>
          </cell>
          <cell r="H792" t="str">
            <v>A</v>
          </cell>
          <cell r="I792">
            <v>20201</v>
          </cell>
        </row>
        <row r="793">
          <cell r="A793" t="str">
            <v>F1B015069</v>
          </cell>
          <cell r="B793" t="str">
            <v>NI MADE ANGGRAENI</v>
          </cell>
          <cell r="C793">
            <v>20171</v>
          </cell>
          <cell r="D793">
            <v>21</v>
          </cell>
          <cell r="E793">
            <v>3.14</v>
          </cell>
          <cell r="F793">
            <v>109</v>
          </cell>
          <cell r="G793">
            <v>2.95</v>
          </cell>
          <cell r="H793" t="str">
            <v>A</v>
          </cell>
          <cell r="I793">
            <v>20201</v>
          </cell>
        </row>
        <row r="794">
          <cell r="A794" t="str">
            <v>F1B015070</v>
          </cell>
          <cell r="B794" t="str">
            <v>Nila Yustina Triani</v>
          </cell>
          <cell r="C794">
            <v>20171</v>
          </cell>
          <cell r="D794">
            <v>0</v>
          </cell>
          <cell r="E794">
            <v>0</v>
          </cell>
          <cell r="F794">
            <v>19</v>
          </cell>
          <cell r="G794">
            <v>2.53</v>
          </cell>
          <cell r="H794" t="str">
            <v>A</v>
          </cell>
          <cell r="I794">
            <v>20201</v>
          </cell>
        </row>
        <row r="795">
          <cell r="A795" t="str">
            <v>F1B015071</v>
          </cell>
          <cell r="B795" t="str">
            <v>Nora Intan Huswari</v>
          </cell>
          <cell r="C795">
            <v>20171</v>
          </cell>
          <cell r="D795">
            <v>22</v>
          </cell>
          <cell r="E795">
            <v>2.25</v>
          </cell>
          <cell r="F795">
            <v>102</v>
          </cell>
          <cell r="G795">
            <v>2.39</v>
          </cell>
          <cell r="H795" t="str">
            <v>A</v>
          </cell>
          <cell r="I795">
            <v>20201</v>
          </cell>
        </row>
        <row r="796">
          <cell r="A796" t="str">
            <v>F1B015072</v>
          </cell>
          <cell r="B796" t="str">
            <v>Noviana</v>
          </cell>
          <cell r="C796">
            <v>20171</v>
          </cell>
          <cell r="D796">
            <v>0</v>
          </cell>
          <cell r="E796">
            <v>0</v>
          </cell>
          <cell r="F796">
            <v>19</v>
          </cell>
          <cell r="G796">
            <v>0.11</v>
          </cell>
          <cell r="H796" t="str">
            <v>A</v>
          </cell>
          <cell r="I796">
            <v>20201</v>
          </cell>
        </row>
        <row r="797">
          <cell r="A797" t="str">
            <v>F1B015073</v>
          </cell>
          <cell r="B797" t="str">
            <v>Pikri Hidayat</v>
          </cell>
          <cell r="C797">
            <v>20171</v>
          </cell>
          <cell r="D797">
            <v>21</v>
          </cell>
          <cell r="E797">
            <v>3</v>
          </cell>
          <cell r="F797">
            <v>110</v>
          </cell>
          <cell r="G797">
            <v>2.77</v>
          </cell>
          <cell r="H797" t="str">
            <v>A</v>
          </cell>
          <cell r="I797">
            <v>20201</v>
          </cell>
        </row>
        <row r="798">
          <cell r="A798" t="str">
            <v>F1B015074</v>
          </cell>
          <cell r="B798" t="str">
            <v>Pramono</v>
          </cell>
          <cell r="C798">
            <v>20171</v>
          </cell>
          <cell r="D798">
            <v>21</v>
          </cell>
          <cell r="E798">
            <v>2.64</v>
          </cell>
          <cell r="F798">
            <v>109</v>
          </cell>
          <cell r="G798">
            <v>2.54</v>
          </cell>
          <cell r="H798" t="str">
            <v>A</v>
          </cell>
          <cell r="I798">
            <v>20201</v>
          </cell>
        </row>
        <row r="799">
          <cell r="A799" t="str">
            <v>F1B015075</v>
          </cell>
          <cell r="B799" t="str">
            <v>PRASETYO</v>
          </cell>
          <cell r="C799">
            <v>20171</v>
          </cell>
          <cell r="D799">
            <v>21</v>
          </cell>
          <cell r="E799">
            <v>3.48</v>
          </cell>
          <cell r="F799">
            <v>111</v>
          </cell>
          <cell r="G799">
            <v>3.33</v>
          </cell>
          <cell r="H799" t="str">
            <v>A</v>
          </cell>
          <cell r="I799">
            <v>20201</v>
          </cell>
        </row>
        <row r="800">
          <cell r="A800" t="str">
            <v>F1B015076</v>
          </cell>
          <cell r="B800" t="str">
            <v>Rahmad Zainul Hidayat</v>
          </cell>
          <cell r="C800">
            <v>20171</v>
          </cell>
          <cell r="D800">
            <v>7</v>
          </cell>
          <cell r="E800">
            <v>3</v>
          </cell>
          <cell r="F800">
            <v>66</v>
          </cell>
          <cell r="G800">
            <v>2.04</v>
          </cell>
          <cell r="H800" t="str">
            <v>A</v>
          </cell>
          <cell r="I800">
            <v>20201</v>
          </cell>
        </row>
        <row r="801">
          <cell r="A801" t="str">
            <v>F1B015077</v>
          </cell>
          <cell r="B801" t="str">
            <v>RAHMAN HIDAYAT</v>
          </cell>
          <cell r="C801">
            <v>20171</v>
          </cell>
          <cell r="D801">
            <v>21</v>
          </cell>
          <cell r="E801">
            <v>2.76</v>
          </cell>
          <cell r="F801">
            <v>105</v>
          </cell>
          <cell r="G801">
            <v>2.68</v>
          </cell>
          <cell r="H801" t="str">
            <v>A</v>
          </cell>
          <cell r="I801">
            <v>20201</v>
          </cell>
        </row>
        <row r="802">
          <cell r="A802" t="str">
            <v>F1B015078</v>
          </cell>
          <cell r="B802" t="str">
            <v>RAHMAT RAMADHAN</v>
          </cell>
          <cell r="C802">
            <v>20171</v>
          </cell>
          <cell r="D802">
            <v>23</v>
          </cell>
          <cell r="E802">
            <v>2.93</v>
          </cell>
          <cell r="F802">
            <v>109</v>
          </cell>
          <cell r="G802">
            <v>3.1</v>
          </cell>
          <cell r="H802" t="str">
            <v>A</v>
          </cell>
          <cell r="I802">
            <v>20201</v>
          </cell>
        </row>
        <row r="803">
          <cell r="A803" t="str">
            <v>F1B015079</v>
          </cell>
          <cell r="B803" t="str">
            <v>RAMADAN WIBI SURYA AJI</v>
          </cell>
          <cell r="C803">
            <v>20171</v>
          </cell>
          <cell r="D803">
            <v>19</v>
          </cell>
          <cell r="E803">
            <v>3.55</v>
          </cell>
          <cell r="F803">
            <v>106</v>
          </cell>
          <cell r="G803">
            <v>3.33</v>
          </cell>
          <cell r="H803" t="str">
            <v>A</v>
          </cell>
          <cell r="I803">
            <v>20201</v>
          </cell>
        </row>
        <row r="804">
          <cell r="A804" t="str">
            <v>F1B015080</v>
          </cell>
          <cell r="B804" t="str">
            <v>Ramdayanti</v>
          </cell>
          <cell r="C804">
            <v>20171</v>
          </cell>
          <cell r="D804">
            <v>21</v>
          </cell>
          <cell r="E804">
            <v>2.79</v>
          </cell>
          <cell r="F804">
            <v>100</v>
          </cell>
          <cell r="G804">
            <v>2.53</v>
          </cell>
          <cell r="H804" t="str">
            <v>A</v>
          </cell>
          <cell r="I804">
            <v>20201</v>
          </cell>
        </row>
        <row r="805">
          <cell r="A805" t="str">
            <v>F1B015081</v>
          </cell>
          <cell r="B805" t="str">
            <v>RETA ARSITA</v>
          </cell>
          <cell r="C805">
            <v>20171</v>
          </cell>
          <cell r="D805">
            <v>21</v>
          </cell>
          <cell r="E805">
            <v>3.31</v>
          </cell>
          <cell r="F805">
            <v>111</v>
          </cell>
          <cell r="G805">
            <v>3.45</v>
          </cell>
          <cell r="H805" t="str">
            <v>A</v>
          </cell>
          <cell r="I805">
            <v>20201</v>
          </cell>
        </row>
        <row r="806">
          <cell r="A806" t="str">
            <v>F1B015082</v>
          </cell>
          <cell r="B806" t="str">
            <v>RIJALUL HIDAYAT</v>
          </cell>
          <cell r="C806">
            <v>20171</v>
          </cell>
          <cell r="D806">
            <v>24</v>
          </cell>
          <cell r="E806">
            <v>3.13</v>
          </cell>
          <cell r="F806">
            <v>107</v>
          </cell>
          <cell r="G806">
            <v>3.18</v>
          </cell>
          <cell r="H806" t="str">
            <v>A</v>
          </cell>
          <cell r="I806">
            <v>20201</v>
          </cell>
        </row>
        <row r="807">
          <cell r="A807" t="str">
            <v>F1B015083</v>
          </cell>
          <cell r="B807" t="str">
            <v>RIZQI DWI CAHYO UTOMO</v>
          </cell>
          <cell r="C807">
            <v>20171</v>
          </cell>
          <cell r="D807">
            <v>22</v>
          </cell>
          <cell r="E807">
            <v>2.77</v>
          </cell>
          <cell r="F807">
            <v>110</v>
          </cell>
          <cell r="G807">
            <v>3.1</v>
          </cell>
          <cell r="H807" t="str">
            <v>A</v>
          </cell>
          <cell r="I807">
            <v>20201</v>
          </cell>
        </row>
        <row r="808">
          <cell r="A808" t="str">
            <v>F1B015084</v>
          </cell>
          <cell r="B808" t="str">
            <v>Satrya Bhayangkara Poetra</v>
          </cell>
          <cell r="C808">
            <v>20171</v>
          </cell>
          <cell r="D808">
            <v>21</v>
          </cell>
          <cell r="E808">
            <v>3.57</v>
          </cell>
          <cell r="F808">
            <v>111</v>
          </cell>
          <cell r="G808">
            <v>3.59</v>
          </cell>
          <cell r="H808" t="str">
            <v>A</v>
          </cell>
          <cell r="I808">
            <v>20201</v>
          </cell>
        </row>
        <row r="809">
          <cell r="A809" t="str">
            <v>F1B015085</v>
          </cell>
          <cell r="B809" t="str">
            <v>Sri Kurniawati</v>
          </cell>
          <cell r="C809">
            <v>20171</v>
          </cell>
          <cell r="D809">
            <v>21</v>
          </cell>
          <cell r="E809">
            <v>2.98</v>
          </cell>
          <cell r="F809">
            <v>108</v>
          </cell>
          <cell r="G809">
            <v>2.85</v>
          </cell>
          <cell r="H809" t="str">
            <v>A</v>
          </cell>
          <cell r="I809">
            <v>20201</v>
          </cell>
        </row>
        <row r="810">
          <cell r="A810" t="str">
            <v>F1B015086</v>
          </cell>
          <cell r="B810" t="str">
            <v>Surya Darma</v>
          </cell>
          <cell r="C810">
            <v>20171</v>
          </cell>
          <cell r="D810">
            <v>24</v>
          </cell>
          <cell r="E810">
            <v>3.06</v>
          </cell>
          <cell r="F810">
            <v>111</v>
          </cell>
          <cell r="G810">
            <v>3.34</v>
          </cell>
          <cell r="H810" t="str">
            <v>A</v>
          </cell>
          <cell r="I810">
            <v>20201</v>
          </cell>
        </row>
        <row r="811">
          <cell r="A811" t="str">
            <v>F1B015087</v>
          </cell>
          <cell r="B811" t="str">
            <v>Taufik</v>
          </cell>
          <cell r="C811">
            <v>20171</v>
          </cell>
          <cell r="D811">
            <v>21</v>
          </cell>
          <cell r="E811">
            <v>3.07</v>
          </cell>
          <cell r="F811">
            <v>111</v>
          </cell>
          <cell r="G811">
            <v>3.07</v>
          </cell>
          <cell r="H811" t="str">
            <v>A</v>
          </cell>
          <cell r="I811">
            <v>20201</v>
          </cell>
        </row>
        <row r="812">
          <cell r="A812" t="str">
            <v>F1B015088</v>
          </cell>
          <cell r="B812" t="str">
            <v>VARRA SILVIA ADINDA</v>
          </cell>
          <cell r="C812">
            <v>20171</v>
          </cell>
          <cell r="D812">
            <v>21</v>
          </cell>
          <cell r="E812">
            <v>3.26</v>
          </cell>
          <cell r="F812">
            <v>108</v>
          </cell>
          <cell r="G812">
            <v>2.99</v>
          </cell>
          <cell r="H812" t="str">
            <v>A</v>
          </cell>
          <cell r="I812">
            <v>20201</v>
          </cell>
        </row>
        <row r="813">
          <cell r="A813" t="str">
            <v>F1B015089</v>
          </cell>
          <cell r="B813" t="str">
            <v>Wahyuni Rahimatullah</v>
          </cell>
          <cell r="C813">
            <v>20171</v>
          </cell>
          <cell r="D813">
            <v>24</v>
          </cell>
          <cell r="E813">
            <v>3.1</v>
          </cell>
          <cell r="F813">
            <v>112</v>
          </cell>
          <cell r="G813">
            <v>3.29</v>
          </cell>
          <cell r="H813" t="str">
            <v>A</v>
          </cell>
          <cell r="I813">
            <v>20201</v>
          </cell>
        </row>
        <row r="814">
          <cell r="A814" t="str">
            <v>F1B015090</v>
          </cell>
          <cell r="B814" t="str">
            <v>YANI SASUMBAR</v>
          </cell>
          <cell r="C814">
            <v>20171</v>
          </cell>
          <cell r="D814">
            <v>0</v>
          </cell>
          <cell r="E814">
            <v>0</v>
          </cell>
          <cell r="F814">
            <v>41</v>
          </cell>
          <cell r="G814">
            <v>2.77</v>
          </cell>
          <cell r="H814" t="str">
            <v>A</v>
          </cell>
          <cell r="I814">
            <v>20201</v>
          </cell>
        </row>
        <row r="815">
          <cell r="A815" t="str">
            <v>F1B015091</v>
          </cell>
          <cell r="B815" t="str">
            <v>YANUAR RIZKI WULANG G</v>
          </cell>
          <cell r="C815">
            <v>20171</v>
          </cell>
          <cell r="D815">
            <v>0</v>
          </cell>
          <cell r="E815">
            <v>0</v>
          </cell>
          <cell r="F815">
            <v>19</v>
          </cell>
          <cell r="G815">
            <v>0.32</v>
          </cell>
          <cell r="H815" t="str">
            <v>A</v>
          </cell>
          <cell r="I815">
            <v>20201</v>
          </cell>
        </row>
        <row r="816">
          <cell r="A816" t="str">
            <v>F1B015092</v>
          </cell>
          <cell r="B816" t="str">
            <v>ZUL AFRIANTO</v>
          </cell>
          <cell r="C816">
            <v>20171</v>
          </cell>
          <cell r="D816">
            <v>23</v>
          </cell>
          <cell r="E816">
            <v>3.07</v>
          </cell>
          <cell r="F816">
            <v>104</v>
          </cell>
          <cell r="G816">
            <v>2.98</v>
          </cell>
          <cell r="H816" t="str">
            <v>A</v>
          </cell>
          <cell r="I816">
            <v>20201</v>
          </cell>
        </row>
        <row r="817">
          <cell r="A817" t="str">
            <v>F1B016001</v>
          </cell>
          <cell r="B817" t="str">
            <v>ACHMAD GILDAS THAUTY</v>
          </cell>
          <cell r="C817">
            <v>20171</v>
          </cell>
          <cell r="D817">
            <v>21</v>
          </cell>
          <cell r="E817">
            <v>3.17</v>
          </cell>
          <cell r="F817">
            <v>62</v>
          </cell>
          <cell r="G817">
            <v>3.35</v>
          </cell>
          <cell r="H817" t="str">
            <v>A</v>
          </cell>
          <cell r="I817">
            <v>20201</v>
          </cell>
        </row>
        <row r="818">
          <cell r="A818" t="str">
            <v>F1B016002</v>
          </cell>
          <cell r="B818" t="str">
            <v>ADE NUSA PUTRA DINATA</v>
          </cell>
          <cell r="C818">
            <v>20171</v>
          </cell>
          <cell r="D818">
            <v>18</v>
          </cell>
          <cell r="E818">
            <v>2.92</v>
          </cell>
          <cell r="F818">
            <v>59</v>
          </cell>
          <cell r="G818">
            <v>2.89</v>
          </cell>
          <cell r="H818" t="str">
            <v>A</v>
          </cell>
          <cell r="I818">
            <v>20201</v>
          </cell>
        </row>
        <row r="819">
          <cell r="A819" t="str">
            <v>F1B016003</v>
          </cell>
          <cell r="B819" t="str">
            <v>AFI SEPIYANDI</v>
          </cell>
          <cell r="C819">
            <v>20171</v>
          </cell>
          <cell r="D819">
            <v>21</v>
          </cell>
          <cell r="E819">
            <v>2.98</v>
          </cell>
          <cell r="F819">
            <v>62</v>
          </cell>
          <cell r="G819">
            <v>3.05</v>
          </cell>
          <cell r="H819" t="str">
            <v>A</v>
          </cell>
          <cell r="I819">
            <v>20201</v>
          </cell>
        </row>
        <row r="820">
          <cell r="A820" t="str">
            <v>F1B016004</v>
          </cell>
          <cell r="B820" t="str">
            <v>Ahmad Efendi</v>
          </cell>
          <cell r="C820">
            <v>20171</v>
          </cell>
          <cell r="D820">
            <v>21</v>
          </cell>
          <cell r="E820">
            <v>3.24</v>
          </cell>
          <cell r="F820">
            <v>62</v>
          </cell>
          <cell r="G820">
            <v>3.19</v>
          </cell>
          <cell r="H820" t="str">
            <v>A</v>
          </cell>
          <cell r="I820">
            <v>20201</v>
          </cell>
        </row>
        <row r="821">
          <cell r="A821" t="str">
            <v>F1B016005</v>
          </cell>
          <cell r="B821" t="str">
            <v>AHMAD KHAIRUL FAREZA</v>
          </cell>
          <cell r="C821">
            <v>20171</v>
          </cell>
          <cell r="D821">
            <v>0</v>
          </cell>
          <cell r="E821">
            <v>0</v>
          </cell>
          <cell r="F821">
            <v>41</v>
          </cell>
          <cell r="G821">
            <v>1.44</v>
          </cell>
          <cell r="H821" t="str">
            <v>A</v>
          </cell>
          <cell r="I821">
            <v>20201</v>
          </cell>
        </row>
        <row r="822">
          <cell r="A822" t="str">
            <v>F1B016006</v>
          </cell>
          <cell r="B822" t="str">
            <v>AHMAD MUNTAHA</v>
          </cell>
          <cell r="C822">
            <v>20171</v>
          </cell>
          <cell r="D822">
            <v>0</v>
          </cell>
          <cell r="E822">
            <v>0</v>
          </cell>
          <cell r="F822">
            <v>20</v>
          </cell>
          <cell r="G822">
            <v>0.25</v>
          </cell>
          <cell r="H822" t="str">
            <v>A</v>
          </cell>
          <cell r="I822">
            <v>20201</v>
          </cell>
        </row>
        <row r="823">
          <cell r="A823" t="str">
            <v>F1B016007</v>
          </cell>
          <cell r="B823" t="str">
            <v>AHMAD SYAMSUDIN HAMBALI</v>
          </cell>
          <cell r="C823">
            <v>20171</v>
          </cell>
          <cell r="D823">
            <v>21</v>
          </cell>
          <cell r="E823">
            <v>1.29</v>
          </cell>
          <cell r="F823">
            <v>62</v>
          </cell>
          <cell r="G823">
            <v>1.9</v>
          </cell>
          <cell r="H823" t="str">
            <v>A</v>
          </cell>
          <cell r="I823">
            <v>20201</v>
          </cell>
        </row>
        <row r="824">
          <cell r="A824" t="str">
            <v>F1B016008</v>
          </cell>
          <cell r="B824" t="str">
            <v>Aizul Fikri Almugni</v>
          </cell>
          <cell r="C824">
            <v>20171</v>
          </cell>
          <cell r="D824">
            <v>21</v>
          </cell>
          <cell r="E824">
            <v>2.45</v>
          </cell>
          <cell r="F824">
            <v>64</v>
          </cell>
          <cell r="G824">
            <v>2.69</v>
          </cell>
          <cell r="H824" t="str">
            <v>A</v>
          </cell>
          <cell r="I824">
            <v>20201</v>
          </cell>
        </row>
        <row r="825">
          <cell r="A825" t="str">
            <v>F1B016009</v>
          </cell>
          <cell r="B825" t="str">
            <v>ALFAN SUFFA PRAMANA</v>
          </cell>
          <cell r="C825">
            <v>20171</v>
          </cell>
          <cell r="D825">
            <v>21</v>
          </cell>
          <cell r="E825">
            <v>2.21</v>
          </cell>
          <cell r="F825">
            <v>62</v>
          </cell>
          <cell r="G825">
            <v>2.76</v>
          </cell>
          <cell r="H825" t="str">
            <v>A</v>
          </cell>
          <cell r="I825">
            <v>20201</v>
          </cell>
        </row>
        <row r="826">
          <cell r="A826" t="str">
            <v>F1B016010</v>
          </cell>
          <cell r="B826" t="str">
            <v>Alfian Romli</v>
          </cell>
          <cell r="C826">
            <v>20171</v>
          </cell>
          <cell r="D826">
            <v>18</v>
          </cell>
          <cell r="E826">
            <v>0</v>
          </cell>
          <cell r="F826">
            <v>59</v>
          </cell>
          <cell r="G826">
            <v>1.71</v>
          </cell>
          <cell r="H826" t="str">
            <v>A</v>
          </cell>
          <cell r="I826">
            <v>20201</v>
          </cell>
        </row>
        <row r="827">
          <cell r="A827" t="str">
            <v>F1B016011</v>
          </cell>
          <cell r="B827" t="str">
            <v>Alif Adi Prasetya</v>
          </cell>
          <cell r="C827">
            <v>20171</v>
          </cell>
          <cell r="D827">
            <v>11</v>
          </cell>
          <cell r="E827">
            <v>2.64</v>
          </cell>
          <cell r="F827">
            <v>52</v>
          </cell>
          <cell r="G827">
            <v>1.76</v>
          </cell>
          <cell r="H827" t="str">
            <v>A</v>
          </cell>
          <cell r="I827">
            <v>20201</v>
          </cell>
        </row>
        <row r="828">
          <cell r="A828" t="str">
            <v>F1B016012</v>
          </cell>
          <cell r="B828" t="str">
            <v>ALPARIZI</v>
          </cell>
          <cell r="C828">
            <v>20171</v>
          </cell>
          <cell r="D828">
            <v>21</v>
          </cell>
          <cell r="E828">
            <v>1.95</v>
          </cell>
          <cell r="F828">
            <v>64</v>
          </cell>
          <cell r="G828">
            <v>2.47</v>
          </cell>
          <cell r="H828" t="str">
            <v>A</v>
          </cell>
          <cell r="I828">
            <v>20201</v>
          </cell>
        </row>
        <row r="829">
          <cell r="A829" t="str">
            <v>F1B016013</v>
          </cell>
          <cell r="B829" t="str">
            <v>Andre Fikriawan</v>
          </cell>
          <cell r="C829">
            <v>20171</v>
          </cell>
          <cell r="D829">
            <v>21</v>
          </cell>
          <cell r="E829">
            <v>2.79</v>
          </cell>
          <cell r="F829">
            <v>62</v>
          </cell>
          <cell r="G829">
            <v>2.87</v>
          </cell>
          <cell r="H829" t="str">
            <v>A</v>
          </cell>
          <cell r="I829">
            <v>20201</v>
          </cell>
        </row>
        <row r="830">
          <cell r="A830" t="str">
            <v>F1B016014</v>
          </cell>
          <cell r="B830" t="str">
            <v>Anindya Septy Cahyani</v>
          </cell>
          <cell r="C830">
            <v>20171</v>
          </cell>
          <cell r="D830">
            <v>23</v>
          </cell>
          <cell r="E830">
            <v>3.07</v>
          </cell>
          <cell r="F830">
            <v>66</v>
          </cell>
          <cell r="G830">
            <v>3.17</v>
          </cell>
          <cell r="H830" t="str">
            <v>A</v>
          </cell>
          <cell r="I830">
            <v>20201</v>
          </cell>
        </row>
        <row r="831">
          <cell r="A831" t="str">
            <v>F1B016015</v>
          </cell>
          <cell r="B831" t="str">
            <v>ANSARI INDRAWAN ASIKIN</v>
          </cell>
          <cell r="C831">
            <v>20171</v>
          </cell>
          <cell r="D831">
            <v>21</v>
          </cell>
          <cell r="E831">
            <v>2.4</v>
          </cell>
          <cell r="F831">
            <v>62</v>
          </cell>
          <cell r="G831">
            <v>2.77</v>
          </cell>
          <cell r="H831" t="str">
            <v>A</v>
          </cell>
          <cell r="I831">
            <v>20201</v>
          </cell>
        </row>
        <row r="832">
          <cell r="A832" t="str">
            <v>F1B016016</v>
          </cell>
          <cell r="B832" t="str">
            <v>Ardiansyah</v>
          </cell>
          <cell r="C832">
            <v>20171</v>
          </cell>
          <cell r="D832">
            <v>16</v>
          </cell>
          <cell r="E832">
            <v>1.69</v>
          </cell>
          <cell r="F832">
            <v>57</v>
          </cell>
          <cell r="G832">
            <v>2.15</v>
          </cell>
          <cell r="H832" t="str">
            <v>A</v>
          </cell>
          <cell r="I832">
            <v>20201</v>
          </cell>
        </row>
        <row r="833">
          <cell r="A833" t="str">
            <v>F1B016017</v>
          </cell>
          <cell r="B833" t="str">
            <v>ARI SATRIADI</v>
          </cell>
          <cell r="C833">
            <v>20171</v>
          </cell>
          <cell r="D833">
            <v>21</v>
          </cell>
          <cell r="E833">
            <v>3.24</v>
          </cell>
          <cell r="F833">
            <v>64</v>
          </cell>
          <cell r="G833">
            <v>3.37</v>
          </cell>
          <cell r="H833" t="str">
            <v>A</v>
          </cell>
          <cell r="I833">
            <v>20201</v>
          </cell>
        </row>
        <row r="834">
          <cell r="A834" t="str">
            <v>F1B016018</v>
          </cell>
          <cell r="B834" t="str">
            <v>ARIF HIDAYAT</v>
          </cell>
          <cell r="C834">
            <v>20171</v>
          </cell>
          <cell r="D834">
            <v>21</v>
          </cell>
          <cell r="E834">
            <v>2.19</v>
          </cell>
          <cell r="F834">
            <v>64</v>
          </cell>
          <cell r="G834">
            <v>2.64</v>
          </cell>
          <cell r="H834" t="str">
            <v>A</v>
          </cell>
          <cell r="I834">
            <v>20201</v>
          </cell>
        </row>
        <row r="835">
          <cell r="A835" t="str">
            <v>F1B016019</v>
          </cell>
          <cell r="B835" t="str">
            <v>Azriansyah</v>
          </cell>
          <cell r="C835">
            <v>20171</v>
          </cell>
          <cell r="D835">
            <v>0</v>
          </cell>
          <cell r="E835">
            <v>0</v>
          </cell>
          <cell r="F835">
            <v>41</v>
          </cell>
          <cell r="G835">
            <v>2.68</v>
          </cell>
          <cell r="H835" t="str">
            <v>A</v>
          </cell>
          <cell r="I835">
            <v>20201</v>
          </cell>
        </row>
        <row r="836">
          <cell r="A836" t="str">
            <v>F1B016020</v>
          </cell>
          <cell r="B836" t="str">
            <v>DIMAS AKBAR JULIAWAN</v>
          </cell>
          <cell r="C836">
            <v>20171</v>
          </cell>
          <cell r="D836">
            <v>21</v>
          </cell>
          <cell r="E836">
            <v>2.95</v>
          </cell>
          <cell r="F836">
            <v>64</v>
          </cell>
          <cell r="G836">
            <v>2.84</v>
          </cell>
          <cell r="H836" t="str">
            <v>A</v>
          </cell>
          <cell r="I836">
            <v>20201</v>
          </cell>
        </row>
        <row r="837">
          <cell r="A837" t="str">
            <v>F1B016021</v>
          </cell>
          <cell r="B837" t="str">
            <v>Dira Pratiwi</v>
          </cell>
          <cell r="C837">
            <v>20171</v>
          </cell>
          <cell r="D837">
            <v>21</v>
          </cell>
          <cell r="E837">
            <v>3.55</v>
          </cell>
          <cell r="F837">
            <v>64</v>
          </cell>
          <cell r="G837">
            <v>3.41</v>
          </cell>
          <cell r="H837" t="str">
            <v>A</v>
          </cell>
          <cell r="I837">
            <v>20201</v>
          </cell>
        </row>
        <row r="838">
          <cell r="A838" t="str">
            <v>F1B016022</v>
          </cell>
          <cell r="B838" t="str">
            <v>DODI SEFTIAWAN</v>
          </cell>
          <cell r="C838">
            <v>20171</v>
          </cell>
          <cell r="D838">
            <v>21</v>
          </cell>
          <cell r="E838">
            <v>2.26</v>
          </cell>
          <cell r="F838">
            <v>62</v>
          </cell>
          <cell r="G838">
            <v>2.51</v>
          </cell>
          <cell r="H838" t="str">
            <v>A</v>
          </cell>
          <cell r="I838">
            <v>20201</v>
          </cell>
        </row>
        <row r="839">
          <cell r="A839" t="str">
            <v>F1B016023</v>
          </cell>
          <cell r="B839" t="str">
            <v>DOMINIK DWI SATYA</v>
          </cell>
          <cell r="C839">
            <v>20171</v>
          </cell>
          <cell r="D839">
            <v>21</v>
          </cell>
          <cell r="E839">
            <v>3.4</v>
          </cell>
          <cell r="F839">
            <v>64</v>
          </cell>
          <cell r="G839">
            <v>3.39</v>
          </cell>
          <cell r="H839" t="str">
            <v>A</v>
          </cell>
          <cell r="I839">
            <v>20201</v>
          </cell>
        </row>
        <row r="840">
          <cell r="A840" t="str">
            <v>F1B016024</v>
          </cell>
          <cell r="B840" t="str">
            <v>DZULHAINI ASMARINI RISMAYANI</v>
          </cell>
          <cell r="C840">
            <v>20171</v>
          </cell>
          <cell r="D840">
            <v>21</v>
          </cell>
          <cell r="E840">
            <v>0</v>
          </cell>
          <cell r="F840">
            <v>64</v>
          </cell>
          <cell r="G840">
            <v>1.95</v>
          </cell>
          <cell r="H840" t="str">
            <v>A</v>
          </cell>
          <cell r="I840">
            <v>20201</v>
          </cell>
        </row>
        <row r="841">
          <cell r="A841" t="str">
            <v>F1B016025</v>
          </cell>
          <cell r="B841" t="str">
            <v>EGGIE YAYANG DEWANGGA RILANGI</v>
          </cell>
          <cell r="C841">
            <v>20171</v>
          </cell>
          <cell r="D841">
            <v>8</v>
          </cell>
          <cell r="E841">
            <v>2.13</v>
          </cell>
          <cell r="F841">
            <v>28</v>
          </cell>
          <cell r="G841">
            <v>3.09</v>
          </cell>
          <cell r="H841" t="str">
            <v>A</v>
          </cell>
          <cell r="I841">
            <v>20201</v>
          </cell>
        </row>
        <row r="842">
          <cell r="A842" t="str">
            <v>F1B016026</v>
          </cell>
          <cell r="B842" t="str">
            <v>GILANG PUTRA ABIDIN</v>
          </cell>
          <cell r="C842">
            <v>20171</v>
          </cell>
          <cell r="D842">
            <v>14</v>
          </cell>
          <cell r="E842">
            <v>0</v>
          </cell>
          <cell r="F842">
            <v>55</v>
          </cell>
          <cell r="G842">
            <v>1.54</v>
          </cell>
          <cell r="H842" t="str">
            <v>A</v>
          </cell>
          <cell r="I842">
            <v>20201</v>
          </cell>
        </row>
        <row r="843">
          <cell r="A843" t="str">
            <v>F1B016027</v>
          </cell>
          <cell r="B843" t="str">
            <v>GUGUN JOFANDI</v>
          </cell>
          <cell r="C843">
            <v>20171</v>
          </cell>
          <cell r="D843">
            <v>21</v>
          </cell>
          <cell r="E843">
            <v>2.93</v>
          </cell>
          <cell r="F843">
            <v>64</v>
          </cell>
          <cell r="G843">
            <v>2.86</v>
          </cell>
          <cell r="H843" t="str">
            <v>A</v>
          </cell>
          <cell r="I843">
            <v>20201</v>
          </cell>
        </row>
        <row r="844">
          <cell r="A844" t="str">
            <v>F1B016028</v>
          </cell>
          <cell r="B844" t="str">
            <v>Guruh La'la Gibran</v>
          </cell>
          <cell r="C844">
            <v>20171</v>
          </cell>
          <cell r="D844">
            <v>18</v>
          </cell>
          <cell r="E844">
            <v>2.17</v>
          </cell>
          <cell r="F844">
            <v>59</v>
          </cell>
          <cell r="G844">
            <v>2.59</v>
          </cell>
          <cell r="H844" t="str">
            <v>A</v>
          </cell>
          <cell r="I844">
            <v>20201</v>
          </cell>
        </row>
        <row r="845">
          <cell r="A845" t="str">
            <v>F1B016029</v>
          </cell>
          <cell r="B845" t="str">
            <v>Hasan Basri.</v>
          </cell>
          <cell r="C845">
            <v>20171</v>
          </cell>
          <cell r="D845">
            <v>21</v>
          </cell>
          <cell r="E845">
            <v>1.21</v>
          </cell>
          <cell r="F845">
            <v>62</v>
          </cell>
          <cell r="G845">
            <v>2.3</v>
          </cell>
          <cell r="H845" t="str">
            <v>A</v>
          </cell>
          <cell r="I845">
            <v>20201</v>
          </cell>
        </row>
        <row r="846">
          <cell r="A846" t="str">
            <v>F1B016030</v>
          </cell>
          <cell r="B846" t="str">
            <v>I KOMANG GDE RAM` KUMARA</v>
          </cell>
          <cell r="C846">
            <v>20171</v>
          </cell>
          <cell r="D846">
            <v>0</v>
          </cell>
          <cell r="E846">
            <v>0</v>
          </cell>
          <cell r="F846">
            <v>41</v>
          </cell>
          <cell r="G846">
            <v>1.6</v>
          </cell>
          <cell r="H846" t="str">
            <v>A</v>
          </cell>
          <cell r="I846">
            <v>20201</v>
          </cell>
        </row>
        <row r="847">
          <cell r="A847" t="str">
            <v>F1B016031</v>
          </cell>
          <cell r="B847" t="str">
            <v>I MADE SATYA SEMAYA YASA</v>
          </cell>
          <cell r="C847">
            <v>20171</v>
          </cell>
          <cell r="D847">
            <v>0</v>
          </cell>
          <cell r="E847">
            <v>0</v>
          </cell>
          <cell r="F847">
            <v>41</v>
          </cell>
          <cell r="G847">
            <v>1.66</v>
          </cell>
          <cell r="H847" t="str">
            <v>A</v>
          </cell>
          <cell r="I847">
            <v>20201</v>
          </cell>
        </row>
        <row r="848">
          <cell r="A848" t="str">
            <v>F1B016032</v>
          </cell>
          <cell r="B848" t="str">
            <v>I WAYAN YOGA ANTARA</v>
          </cell>
          <cell r="C848">
            <v>20171</v>
          </cell>
          <cell r="D848">
            <v>21</v>
          </cell>
          <cell r="E848">
            <v>3.43</v>
          </cell>
          <cell r="F848">
            <v>62</v>
          </cell>
          <cell r="G848">
            <v>3.3</v>
          </cell>
          <cell r="H848" t="str">
            <v>A</v>
          </cell>
          <cell r="I848">
            <v>20201</v>
          </cell>
        </row>
        <row r="849">
          <cell r="A849" t="str">
            <v>F1B016033</v>
          </cell>
          <cell r="B849" t="str">
            <v>Ibzani Ilham Sahgianto</v>
          </cell>
          <cell r="C849">
            <v>20171</v>
          </cell>
          <cell r="D849">
            <v>21</v>
          </cell>
          <cell r="E849">
            <v>2.76</v>
          </cell>
          <cell r="F849">
            <v>62</v>
          </cell>
          <cell r="G849">
            <v>2.9</v>
          </cell>
          <cell r="H849" t="str">
            <v>A</v>
          </cell>
          <cell r="I849">
            <v>20201</v>
          </cell>
        </row>
        <row r="850">
          <cell r="A850" t="str">
            <v>F1B016034</v>
          </cell>
          <cell r="B850" t="str">
            <v>Iksanul Insan.</v>
          </cell>
          <cell r="C850">
            <v>20171</v>
          </cell>
          <cell r="D850">
            <v>15</v>
          </cell>
          <cell r="E850">
            <v>0</v>
          </cell>
          <cell r="F850">
            <v>56</v>
          </cell>
          <cell r="G850">
            <v>1.85</v>
          </cell>
          <cell r="H850" t="str">
            <v>A</v>
          </cell>
          <cell r="I850">
            <v>20201</v>
          </cell>
        </row>
        <row r="851">
          <cell r="A851" t="str">
            <v>F1B016035</v>
          </cell>
          <cell r="B851" t="str">
            <v>ILHAM BAYUAJI PAMUNGKAS</v>
          </cell>
          <cell r="C851">
            <v>20171</v>
          </cell>
          <cell r="D851">
            <v>21</v>
          </cell>
          <cell r="E851">
            <v>2.48</v>
          </cell>
          <cell r="F851">
            <v>64</v>
          </cell>
          <cell r="G851">
            <v>2.77</v>
          </cell>
          <cell r="H851" t="str">
            <v>A</v>
          </cell>
          <cell r="I851">
            <v>20201</v>
          </cell>
        </row>
        <row r="852">
          <cell r="A852" t="str">
            <v>F1B016036</v>
          </cell>
          <cell r="B852" t="str">
            <v>Indra Budiman</v>
          </cell>
          <cell r="C852">
            <v>20171</v>
          </cell>
          <cell r="D852">
            <v>21</v>
          </cell>
          <cell r="E852">
            <v>2.62</v>
          </cell>
          <cell r="F852">
            <v>64</v>
          </cell>
          <cell r="G852">
            <v>3.1</v>
          </cell>
          <cell r="H852" t="str">
            <v>A</v>
          </cell>
          <cell r="I852">
            <v>20201</v>
          </cell>
        </row>
        <row r="853">
          <cell r="A853" t="str">
            <v>F1B016037</v>
          </cell>
          <cell r="B853" t="str">
            <v>INDRA SASTRA</v>
          </cell>
          <cell r="C853">
            <v>20171</v>
          </cell>
          <cell r="D853">
            <v>21</v>
          </cell>
          <cell r="E853">
            <v>1.86</v>
          </cell>
          <cell r="F853">
            <v>62</v>
          </cell>
          <cell r="G853">
            <v>2.49</v>
          </cell>
          <cell r="H853" t="str">
            <v>A</v>
          </cell>
          <cell r="I853">
            <v>20201</v>
          </cell>
        </row>
        <row r="854">
          <cell r="A854" t="str">
            <v>F1B016038</v>
          </cell>
          <cell r="B854" t="str">
            <v>JHON DHOVY</v>
          </cell>
          <cell r="C854">
            <v>20171</v>
          </cell>
          <cell r="D854">
            <v>0</v>
          </cell>
          <cell r="E854">
            <v>0</v>
          </cell>
          <cell r="F854">
            <v>43</v>
          </cell>
          <cell r="G854">
            <v>3.23</v>
          </cell>
          <cell r="H854" t="str">
            <v>A</v>
          </cell>
          <cell r="I854">
            <v>20201</v>
          </cell>
        </row>
        <row r="855">
          <cell r="A855" t="str">
            <v>F1B016039</v>
          </cell>
          <cell r="B855" t="str">
            <v>Julian Wahidin.S</v>
          </cell>
          <cell r="C855">
            <v>20171</v>
          </cell>
          <cell r="D855">
            <v>20</v>
          </cell>
          <cell r="E855">
            <v>2.38</v>
          </cell>
          <cell r="F855">
            <v>63</v>
          </cell>
          <cell r="G855">
            <v>2.74</v>
          </cell>
          <cell r="H855" t="str">
            <v>A</v>
          </cell>
          <cell r="I855">
            <v>20201</v>
          </cell>
        </row>
        <row r="856">
          <cell r="A856" t="str">
            <v>F1B016040</v>
          </cell>
          <cell r="B856" t="str">
            <v>KETUT AGAM SARAHITA</v>
          </cell>
          <cell r="C856">
            <v>20171</v>
          </cell>
          <cell r="D856">
            <v>21</v>
          </cell>
          <cell r="E856">
            <v>2.88</v>
          </cell>
          <cell r="F856">
            <v>62</v>
          </cell>
          <cell r="G856">
            <v>2.96</v>
          </cell>
          <cell r="H856" t="str">
            <v>A</v>
          </cell>
          <cell r="I856">
            <v>20201</v>
          </cell>
        </row>
        <row r="857">
          <cell r="A857" t="str">
            <v>F1B016041</v>
          </cell>
          <cell r="B857" t="str">
            <v>Khilda Ayu Safitri</v>
          </cell>
          <cell r="C857">
            <v>20171</v>
          </cell>
          <cell r="D857">
            <v>21</v>
          </cell>
          <cell r="E857">
            <v>3.45</v>
          </cell>
          <cell r="F857">
            <v>62</v>
          </cell>
          <cell r="G857">
            <v>3.27</v>
          </cell>
          <cell r="H857" t="str">
            <v>A</v>
          </cell>
          <cell r="I857">
            <v>20201</v>
          </cell>
        </row>
        <row r="858">
          <cell r="A858" t="str">
            <v>F1B016042</v>
          </cell>
          <cell r="B858" t="str">
            <v>KRISNA ADJIE DEWANTARA</v>
          </cell>
          <cell r="C858">
            <v>20171</v>
          </cell>
          <cell r="D858">
            <v>18</v>
          </cell>
          <cell r="E858">
            <v>3.11</v>
          </cell>
          <cell r="F858">
            <v>59</v>
          </cell>
          <cell r="G858">
            <v>2.94</v>
          </cell>
          <cell r="H858" t="str">
            <v>A</v>
          </cell>
          <cell r="I858">
            <v>20201</v>
          </cell>
        </row>
        <row r="859">
          <cell r="A859" t="str">
            <v>F1B016043</v>
          </cell>
          <cell r="B859" t="str">
            <v>LALU ARY KURNIAWAN HARDI</v>
          </cell>
          <cell r="C859">
            <v>20171</v>
          </cell>
          <cell r="D859">
            <v>0</v>
          </cell>
          <cell r="E859">
            <v>0</v>
          </cell>
          <cell r="F859">
            <v>41</v>
          </cell>
          <cell r="G859">
            <v>2.34</v>
          </cell>
          <cell r="H859" t="str">
            <v>A</v>
          </cell>
          <cell r="I859">
            <v>20201</v>
          </cell>
        </row>
        <row r="860">
          <cell r="A860" t="str">
            <v>F1B016044</v>
          </cell>
          <cell r="B860" t="str">
            <v>LALU DEDE CAHYA JULIA</v>
          </cell>
          <cell r="C860">
            <v>20171</v>
          </cell>
          <cell r="D860">
            <v>0</v>
          </cell>
          <cell r="E860">
            <v>0</v>
          </cell>
          <cell r="F860">
            <v>41</v>
          </cell>
          <cell r="G860">
            <v>1.48</v>
          </cell>
          <cell r="H860" t="str">
            <v>A</v>
          </cell>
          <cell r="I860">
            <v>20201</v>
          </cell>
        </row>
        <row r="861">
          <cell r="A861" t="str">
            <v>F1B016045</v>
          </cell>
          <cell r="B861" t="str">
            <v>LALU FIQIHILMI</v>
          </cell>
          <cell r="C861">
            <v>20171</v>
          </cell>
          <cell r="D861">
            <v>21</v>
          </cell>
          <cell r="E861">
            <v>2.9</v>
          </cell>
          <cell r="F861">
            <v>62</v>
          </cell>
          <cell r="G861">
            <v>2.89</v>
          </cell>
          <cell r="H861" t="str">
            <v>A</v>
          </cell>
          <cell r="I861">
            <v>20201</v>
          </cell>
        </row>
        <row r="862">
          <cell r="A862" t="str">
            <v>F1B016046</v>
          </cell>
          <cell r="B862" t="str">
            <v>Lalu Gede Rifky Azhary</v>
          </cell>
          <cell r="C862">
            <v>20171</v>
          </cell>
          <cell r="D862">
            <v>21</v>
          </cell>
          <cell r="E862">
            <v>2.76</v>
          </cell>
          <cell r="F862">
            <v>62</v>
          </cell>
          <cell r="G862">
            <v>3.07</v>
          </cell>
          <cell r="H862" t="str">
            <v>A</v>
          </cell>
          <cell r="I862">
            <v>20201</v>
          </cell>
        </row>
        <row r="863">
          <cell r="A863" t="str">
            <v>F1B016047</v>
          </cell>
          <cell r="B863" t="str">
            <v>Lalu Hamdan Hasim Tomberi</v>
          </cell>
          <cell r="C863">
            <v>20171</v>
          </cell>
          <cell r="D863">
            <v>20</v>
          </cell>
          <cell r="E863">
            <v>1.98</v>
          </cell>
          <cell r="F863">
            <v>61</v>
          </cell>
          <cell r="G863">
            <v>2.51</v>
          </cell>
          <cell r="H863" t="str">
            <v>A</v>
          </cell>
          <cell r="I863">
            <v>20201</v>
          </cell>
        </row>
        <row r="864">
          <cell r="A864" t="str">
            <v>F1B016048</v>
          </cell>
          <cell r="B864" t="str">
            <v>LALU PUTRANSE PERMANA</v>
          </cell>
          <cell r="C864">
            <v>20171</v>
          </cell>
          <cell r="D864">
            <v>21</v>
          </cell>
          <cell r="E864">
            <v>0</v>
          </cell>
          <cell r="F864">
            <v>62</v>
          </cell>
          <cell r="G864">
            <v>1.99</v>
          </cell>
          <cell r="H864" t="str">
            <v>A</v>
          </cell>
          <cell r="I864">
            <v>20201</v>
          </cell>
        </row>
        <row r="865">
          <cell r="A865" t="str">
            <v>F1B016049</v>
          </cell>
          <cell r="B865" t="str">
            <v>LALU RIZKI TAMPATI</v>
          </cell>
          <cell r="C865">
            <v>20171</v>
          </cell>
          <cell r="D865">
            <v>23</v>
          </cell>
          <cell r="E865">
            <v>2.02</v>
          </cell>
          <cell r="F865">
            <v>64</v>
          </cell>
          <cell r="G865">
            <v>2.64</v>
          </cell>
          <cell r="H865" t="str">
            <v>A</v>
          </cell>
          <cell r="I865">
            <v>20201</v>
          </cell>
        </row>
        <row r="866">
          <cell r="A866" t="str">
            <v>F1B016050</v>
          </cell>
          <cell r="B866" t="str">
            <v>LALU SEPTIAN WAHYU ADIPRATAMA</v>
          </cell>
          <cell r="C866">
            <v>20171</v>
          </cell>
          <cell r="D866">
            <v>18</v>
          </cell>
          <cell r="E866">
            <v>2.42</v>
          </cell>
          <cell r="F866">
            <v>59</v>
          </cell>
          <cell r="G866">
            <v>2.71</v>
          </cell>
          <cell r="H866" t="str">
            <v>A</v>
          </cell>
          <cell r="I866">
            <v>20201</v>
          </cell>
        </row>
        <row r="867">
          <cell r="A867" t="str">
            <v>F1B016051</v>
          </cell>
          <cell r="B867" t="str">
            <v>M. Andi Zikri</v>
          </cell>
          <cell r="C867">
            <v>20171</v>
          </cell>
          <cell r="D867">
            <v>21</v>
          </cell>
          <cell r="E867">
            <v>2.57</v>
          </cell>
          <cell r="F867">
            <v>62</v>
          </cell>
          <cell r="G867">
            <v>2.56</v>
          </cell>
          <cell r="H867" t="str">
            <v>A</v>
          </cell>
          <cell r="I867">
            <v>20201</v>
          </cell>
        </row>
        <row r="868">
          <cell r="A868" t="str">
            <v>F1B016052</v>
          </cell>
          <cell r="B868" t="str">
            <v>M. IMRAN JUNAEDI</v>
          </cell>
          <cell r="C868">
            <v>20171</v>
          </cell>
          <cell r="D868">
            <v>18</v>
          </cell>
          <cell r="E868">
            <v>2.53</v>
          </cell>
          <cell r="F868">
            <v>59</v>
          </cell>
          <cell r="G868">
            <v>2.63</v>
          </cell>
          <cell r="H868" t="str">
            <v>A</v>
          </cell>
          <cell r="I868">
            <v>20201</v>
          </cell>
        </row>
        <row r="869">
          <cell r="A869" t="str">
            <v>F1B016053</v>
          </cell>
          <cell r="B869" t="str">
            <v>M. Noviandi</v>
          </cell>
          <cell r="C869">
            <v>20171</v>
          </cell>
          <cell r="D869">
            <v>0</v>
          </cell>
          <cell r="E869">
            <v>0</v>
          </cell>
          <cell r="F869">
            <v>41</v>
          </cell>
          <cell r="G869">
            <v>1.33</v>
          </cell>
          <cell r="H869" t="str">
            <v>A</v>
          </cell>
          <cell r="I869">
            <v>20201</v>
          </cell>
        </row>
        <row r="870">
          <cell r="A870" t="str">
            <v>F1B016054</v>
          </cell>
          <cell r="B870" t="str">
            <v>M. NUR ARISA PUTRA</v>
          </cell>
          <cell r="C870">
            <v>20171</v>
          </cell>
          <cell r="D870">
            <v>0</v>
          </cell>
          <cell r="E870">
            <v>0</v>
          </cell>
          <cell r="F870">
            <v>41</v>
          </cell>
          <cell r="G870">
            <v>2.29</v>
          </cell>
          <cell r="H870" t="str">
            <v>A</v>
          </cell>
          <cell r="I870">
            <v>20201</v>
          </cell>
        </row>
        <row r="871">
          <cell r="A871" t="str">
            <v>F1B016055</v>
          </cell>
          <cell r="B871" t="str">
            <v>M. RIVALDI HARJIAN</v>
          </cell>
          <cell r="C871">
            <v>20171</v>
          </cell>
          <cell r="D871">
            <v>23</v>
          </cell>
          <cell r="E871">
            <v>2.89</v>
          </cell>
          <cell r="F871">
            <v>66</v>
          </cell>
          <cell r="G871">
            <v>3.21</v>
          </cell>
          <cell r="H871" t="str">
            <v>A</v>
          </cell>
          <cell r="I871">
            <v>20201</v>
          </cell>
        </row>
        <row r="872">
          <cell r="A872" t="str">
            <v>F1B016056</v>
          </cell>
          <cell r="B872" t="str">
            <v>M.Iip Wahyu Nurfallah</v>
          </cell>
          <cell r="C872">
            <v>20171</v>
          </cell>
          <cell r="D872">
            <v>0</v>
          </cell>
          <cell r="E872">
            <v>0</v>
          </cell>
          <cell r="F872">
            <v>20</v>
          </cell>
          <cell r="G872">
            <v>0</v>
          </cell>
          <cell r="H872" t="str">
            <v>A</v>
          </cell>
          <cell r="I872">
            <v>20201</v>
          </cell>
        </row>
        <row r="873">
          <cell r="A873" t="str">
            <v>F1B016057</v>
          </cell>
          <cell r="B873" t="str">
            <v>Masitha Maghfirah</v>
          </cell>
          <cell r="C873">
            <v>20171</v>
          </cell>
          <cell r="D873">
            <v>23</v>
          </cell>
          <cell r="E873">
            <v>3.28</v>
          </cell>
          <cell r="F873">
            <v>66</v>
          </cell>
          <cell r="G873">
            <v>3.42</v>
          </cell>
          <cell r="H873" t="str">
            <v>A</v>
          </cell>
          <cell r="I873">
            <v>20201</v>
          </cell>
        </row>
        <row r="874">
          <cell r="A874" t="str">
            <v>F1B016058</v>
          </cell>
          <cell r="B874" t="str">
            <v>MGS FANDY TJAHYA DWINANTA MAULANI THAMBRIN</v>
          </cell>
          <cell r="C874">
            <v>20171</v>
          </cell>
          <cell r="D874">
            <v>0</v>
          </cell>
          <cell r="E874">
            <v>0</v>
          </cell>
          <cell r="F874">
            <v>41</v>
          </cell>
          <cell r="G874">
            <v>1.59</v>
          </cell>
          <cell r="H874" t="str">
            <v>A</v>
          </cell>
          <cell r="I874">
            <v>20201</v>
          </cell>
        </row>
        <row r="875">
          <cell r="A875" t="str">
            <v>F1B016059</v>
          </cell>
          <cell r="B875" t="str">
            <v>Mira Aulia</v>
          </cell>
          <cell r="C875">
            <v>20171</v>
          </cell>
          <cell r="D875">
            <v>21</v>
          </cell>
          <cell r="E875">
            <v>2.71</v>
          </cell>
          <cell r="F875">
            <v>64</v>
          </cell>
          <cell r="G875">
            <v>2.96</v>
          </cell>
          <cell r="H875" t="str">
            <v>A</v>
          </cell>
          <cell r="I875">
            <v>20201</v>
          </cell>
        </row>
        <row r="876">
          <cell r="A876" t="str">
            <v>F1B016060</v>
          </cell>
          <cell r="B876" t="str">
            <v>Mohamad Nurul Ihsan</v>
          </cell>
          <cell r="C876">
            <v>20171</v>
          </cell>
          <cell r="D876">
            <v>23</v>
          </cell>
          <cell r="E876">
            <v>2.67</v>
          </cell>
          <cell r="F876">
            <v>66</v>
          </cell>
          <cell r="G876">
            <v>2.98</v>
          </cell>
          <cell r="H876" t="str">
            <v>A</v>
          </cell>
          <cell r="I876">
            <v>20201</v>
          </cell>
        </row>
        <row r="877">
          <cell r="A877" t="str">
            <v>F1B016061</v>
          </cell>
          <cell r="B877" t="str">
            <v>MUH FAHRURROZI</v>
          </cell>
          <cell r="C877">
            <v>20171</v>
          </cell>
          <cell r="D877">
            <v>0</v>
          </cell>
          <cell r="E877">
            <v>0</v>
          </cell>
          <cell r="F877">
            <v>20</v>
          </cell>
          <cell r="G877">
            <v>0.95</v>
          </cell>
          <cell r="H877" t="str">
            <v>A</v>
          </cell>
          <cell r="I877">
            <v>20201</v>
          </cell>
        </row>
        <row r="878">
          <cell r="A878" t="str">
            <v>F1B016062</v>
          </cell>
          <cell r="B878" t="str">
            <v>Muhaini</v>
          </cell>
          <cell r="C878">
            <v>20171</v>
          </cell>
          <cell r="D878">
            <v>21</v>
          </cell>
          <cell r="E878">
            <v>3.33</v>
          </cell>
          <cell r="F878">
            <v>64</v>
          </cell>
          <cell r="G878">
            <v>3.13</v>
          </cell>
          <cell r="H878" t="str">
            <v>A</v>
          </cell>
          <cell r="I878">
            <v>20201</v>
          </cell>
        </row>
        <row r="879">
          <cell r="A879" t="str">
            <v>F1B016063</v>
          </cell>
          <cell r="B879" t="str">
            <v>Muhamad Anjas Cahyo NUgroho</v>
          </cell>
          <cell r="C879">
            <v>20171</v>
          </cell>
          <cell r="D879">
            <v>21</v>
          </cell>
          <cell r="E879">
            <v>2.71</v>
          </cell>
          <cell r="F879">
            <v>64</v>
          </cell>
          <cell r="G879">
            <v>2.92</v>
          </cell>
          <cell r="H879" t="str">
            <v>A</v>
          </cell>
          <cell r="I879">
            <v>20201</v>
          </cell>
        </row>
        <row r="880">
          <cell r="A880" t="str">
            <v>F1B016064</v>
          </cell>
          <cell r="B880" t="str">
            <v>MUHAMAD SYARIF</v>
          </cell>
          <cell r="C880">
            <v>20171</v>
          </cell>
          <cell r="D880">
            <v>18</v>
          </cell>
          <cell r="E880">
            <v>0.69</v>
          </cell>
          <cell r="F880">
            <v>59</v>
          </cell>
          <cell r="G880">
            <v>2.26</v>
          </cell>
          <cell r="H880" t="str">
            <v>A</v>
          </cell>
          <cell r="I880">
            <v>20201</v>
          </cell>
        </row>
        <row r="881">
          <cell r="A881" t="str">
            <v>F1B016065</v>
          </cell>
          <cell r="B881" t="str">
            <v>MUHAMMAD AJI MUBARAK</v>
          </cell>
          <cell r="C881">
            <v>20171</v>
          </cell>
          <cell r="D881">
            <v>23</v>
          </cell>
          <cell r="E881">
            <v>2.89</v>
          </cell>
          <cell r="F881">
            <v>66</v>
          </cell>
          <cell r="G881">
            <v>3.17</v>
          </cell>
          <cell r="H881" t="str">
            <v>A</v>
          </cell>
          <cell r="I881">
            <v>20201</v>
          </cell>
        </row>
        <row r="882">
          <cell r="A882" t="str">
            <v>F1B016066</v>
          </cell>
          <cell r="B882" t="str">
            <v>MUHAMMAD ARIYANDA ZULYADIANSYAH</v>
          </cell>
          <cell r="C882">
            <v>20171</v>
          </cell>
          <cell r="D882">
            <v>13</v>
          </cell>
          <cell r="E882">
            <v>2.35</v>
          </cell>
          <cell r="F882">
            <v>54</v>
          </cell>
          <cell r="G882">
            <v>2.11</v>
          </cell>
          <cell r="H882" t="str">
            <v>A</v>
          </cell>
          <cell r="I882">
            <v>20201</v>
          </cell>
        </row>
        <row r="883">
          <cell r="A883" t="str">
            <v>F1B016067</v>
          </cell>
          <cell r="B883" t="str">
            <v>MUHAMMAD FAUZI MARDANI</v>
          </cell>
          <cell r="C883">
            <v>20171</v>
          </cell>
          <cell r="D883">
            <v>21</v>
          </cell>
          <cell r="E883">
            <v>3.1</v>
          </cell>
          <cell r="F883">
            <v>64</v>
          </cell>
          <cell r="G883">
            <v>3.45</v>
          </cell>
          <cell r="H883" t="str">
            <v>A</v>
          </cell>
          <cell r="I883">
            <v>20201</v>
          </cell>
        </row>
        <row r="884">
          <cell r="A884" t="str">
            <v>F1B016068</v>
          </cell>
          <cell r="B884" t="str">
            <v>Muhammad Irfan Hidayat</v>
          </cell>
          <cell r="C884">
            <v>20171</v>
          </cell>
          <cell r="D884">
            <v>21</v>
          </cell>
          <cell r="E884">
            <v>0.14</v>
          </cell>
          <cell r="F884">
            <v>62</v>
          </cell>
          <cell r="G884">
            <v>2.54</v>
          </cell>
          <cell r="H884" t="str">
            <v>A</v>
          </cell>
          <cell r="I884">
            <v>20201</v>
          </cell>
        </row>
        <row r="885">
          <cell r="A885" t="str">
            <v>F1B016069</v>
          </cell>
          <cell r="B885" t="str">
            <v>MUHAMMAD KURNIAWAN</v>
          </cell>
          <cell r="C885">
            <v>20171</v>
          </cell>
          <cell r="D885">
            <v>21</v>
          </cell>
          <cell r="E885">
            <v>2.69</v>
          </cell>
          <cell r="F885">
            <v>64</v>
          </cell>
          <cell r="G885">
            <v>3.09</v>
          </cell>
          <cell r="H885" t="str">
            <v>A</v>
          </cell>
          <cell r="I885">
            <v>20201</v>
          </cell>
        </row>
        <row r="886">
          <cell r="A886" t="str">
            <v>F1B016070</v>
          </cell>
          <cell r="B886" t="str">
            <v>MUHAMMAD NUR TAUFIQURRAHMAN</v>
          </cell>
          <cell r="C886">
            <v>20171</v>
          </cell>
          <cell r="D886">
            <v>18</v>
          </cell>
          <cell r="E886">
            <v>2.28</v>
          </cell>
          <cell r="F886">
            <v>59</v>
          </cell>
          <cell r="G886">
            <v>2.62</v>
          </cell>
          <cell r="H886" t="str">
            <v>A</v>
          </cell>
          <cell r="I886">
            <v>20201</v>
          </cell>
        </row>
        <row r="887">
          <cell r="A887" t="str">
            <v>F1B016071</v>
          </cell>
          <cell r="B887" t="str">
            <v>MUHAMMAD RIZALDY WINATA</v>
          </cell>
          <cell r="C887">
            <v>20171</v>
          </cell>
          <cell r="D887">
            <v>0</v>
          </cell>
          <cell r="E887">
            <v>0</v>
          </cell>
          <cell r="F887">
            <v>41</v>
          </cell>
          <cell r="G887">
            <v>2.84</v>
          </cell>
          <cell r="H887" t="str">
            <v>A</v>
          </cell>
          <cell r="I887">
            <v>20201</v>
          </cell>
        </row>
        <row r="888">
          <cell r="A888" t="str">
            <v>F1B016072</v>
          </cell>
          <cell r="B888" t="str">
            <v>Muhammad Zaenal Saori</v>
          </cell>
          <cell r="C888">
            <v>20171</v>
          </cell>
          <cell r="D888">
            <v>21</v>
          </cell>
          <cell r="E888">
            <v>2.64</v>
          </cell>
          <cell r="F888">
            <v>62</v>
          </cell>
          <cell r="G888">
            <v>2.82</v>
          </cell>
          <cell r="H888" t="str">
            <v>A</v>
          </cell>
          <cell r="I888">
            <v>20201</v>
          </cell>
        </row>
        <row r="889">
          <cell r="A889" t="str">
            <v>F1B016073</v>
          </cell>
          <cell r="B889" t="str">
            <v>Nugie Danialki</v>
          </cell>
          <cell r="C889">
            <v>20171</v>
          </cell>
          <cell r="D889">
            <v>0</v>
          </cell>
          <cell r="E889">
            <v>0</v>
          </cell>
          <cell r="F889">
            <v>20</v>
          </cell>
          <cell r="G889">
            <v>0</v>
          </cell>
          <cell r="H889" t="str">
            <v>A</v>
          </cell>
          <cell r="I889">
            <v>20201</v>
          </cell>
        </row>
        <row r="890">
          <cell r="A890" t="str">
            <v>F1B016074</v>
          </cell>
          <cell r="B890" t="str">
            <v>NURFIAN MAULANA</v>
          </cell>
          <cell r="C890">
            <v>20171</v>
          </cell>
          <cell r="D890">
            <v>18</v>
          </cell>
          <cell r="E890">
            <v>0</v>
          </cell>
          <cell r="F890">
            <v>59</v>
          </cell>
          <cell r="G890">
            <v>1.98</v>
          </cell>
          <cell r="H890" t="str">
            <v>A</v>
          </cell>
          <cell r="I890">
            <v>20201</v>
          </cell>
        </row>
        <row r="891">
          <cell r="A891" t="str">
            <v>F1B016075</v>
          </cell>
          <cell r="B891" t="str">
            <v>PANDIT PHALALOWI PARAMARTHA</v>
          </cell>
          <cell r="C891">
            <v>20171</v>
          </cell>
          <cell r="D891">
            <v>21</v>
          </cell>
          <cell r="E891">
            <v>3.24</v>
          </cell>
          <cell r="F891">
            <v>62</v>
          </cell>
          <cell r="G891">
            <v>3.36</v>
          </cell>
          <cell r="H891" t="str">
            <v>A</v>
          </cell>
          <cell r="I891">
            <v>20201</v>
          </cell>
        </row>
        <row r="892">
          <cell r="A892" t="str">
            <v>F1B016076</v>
          </cell>
          <cell r="B892" t="str">
            <v>PUTRI MINAWARDANI</v>
          </cell>
          <cell r="C892">
            <v>20171</v>
          </cell>
          <cell r="D892">
            <v>23</v>
          </cell>
          <cell r="E892">
            <v>3.39</v>
          </cell>
          <cell r="F892">
            <v>66</v>
          </cell>
          <cell r="G892">
            <v>3.6</v>
          </cell>
          <cell r="H892" t="str">
            <v>A</v>
          </cell>
          <cell r="I892">
            <v>20201</v>
          </cell>
        </row>
        <row r="893">
          <cell r="A893" t="str">
            <v>F1B016077</v>
          </cell>
          <cell r="B893" t="str">
            <v>PUTU NGURAH GILANG BAGASKARA</v>
          </cell>
          <cell r="C893">
            <v>20171</v>
          </cell>
          <cell r="D893">
            <v>21</v>
          </cell>
          <cell r="E893">
            <v>2.43</v>
          </cell>
          <cell r="F893">
            <v>62</v>
          </cell>
          <cell r="G893">
            <v>2.96</v>
          </cell>
          <cell r="H893" t="str">
            <v>A</v>
          </cell>
          <cell r="I893">
            <v>20201</v>
          </cell>
        </row>
        <row r="894">
          <cell r="A894" t="str">
            <v>F1B016078</v>
          </cell>
          <cell r="B894" t="str">
            <v>Radifan Akbar Thirafi Maulana</v>
          </cell>
          <cell r="C894">
            <v>20171</v>
          </cell>
          <cell r="D894">
            <v>13</v>
          </cell>
          <cell r="E894">
            <v>0.81</v>
          </cell>
          <cell r="F894">
            <v>54</v>
          </cell>
          <cell r="G894">
            <v>1.62</v>
          </cell>
          <cell r="H894" t="str">
            <v>A</v>
          </cell>
          <cell r="I894">
            <v>20201</v>
          </cell>
        </row>
        <row r="895">
          <cell r="A895" t="str">
            <v>F1B016079</v>
          </cell>
          <cell r="B895" t="str">
            <v>Raditya Bayu Pradipta</v>
          </cell>
          <cell r="C895">
            <v>20171</v>
          </cell>
          <cell r="D895">
            <v>0</v>
          </cell>
          <cell r="E895">
            <v>0</v>
          </cell>
          <cell r="F895">
            <v>20</v>
          </cell>
          <cell r="G895">
            <v>0</v>
          </cell>
          <cell r="H895" t="str">
            <v>A</v>
          </cell>
          <cell r="I895">
            <v>20201</v>
          </cell>
        </row>
        <row r="896">
          <cell r="A896" t="str">
            <v>F1B016080</v>
          </cell>
          <cell r="B896" t="str">
            <v>Rahmat Jaelani</v>
          </cell>
          <cell r="C896">
            <v>20171</v>
          </cell>
          <cell r="D896">
            <v>23</v>
          </cell>
          <cell r="E896">
            <v>3.2</v>
          </cell>
          <cell r="F896">
            <v>66</v>
          </cell>
          <cell r="G896">
            <v>3.23</v>
          </cell>
          <cell r="H896" t="str">
            <v>A</v>
          </cell>
          <cell r="I896">
            <v>20201</v>
          </cell>
        </row>
        <row r="897">
          <cell r="A897" t="str">
            <v>F1B016081</v>
          </cell>
          <cell r="B897" t="str">
            <v>Ramadhoni Putra Bimantara</v>
          </cell>
          <cell r="C897">
            <v>20171</v>
          </cell>
          <cell r="D897">
            <v>0</v>
          </cell>
          <cell r="E897">
            <v>0</v>
          </cell>
          <cell r="F897">
            <v>20</v>
          </cell>
          <cell r="G897">
            <v>0</v>
          </cell>
          <cell r="H897" t="str">
            <v>A</v>
          </cell>
          <cell r="I897">
            <v>20201</v>
          </cell>
        </row>
        <row r="898">
          <cell r="A898" t="str">
            <v>F1B016082</v>
          </cell>
          <cell r="B898" t="str">
            <v>Ratu Hadijah Sulastri</v>
          </cell>
          <cell r="C898">
            <v>20171</v>
          </cell>
          <cell r="D898">
            <v>21</v>
          </cell>
          <cell r="E898">
            <v>0</v>
          </cell>
          <cell r="F898">
            <v>64</v>
          </cell>
          <cell r="G898">
            <v>1.79</v>
          </cell>
          <cell r="H898" t="str">
            <v>A</v>
          </cell>
          <cell r="I898">
            <v>20201</v>
          </cell>
        </row>
        <row r="899">
          <cell r="A899" t="str">
            <v>F1B016083</v>
          </cell>
          <cell r="B899" t="str">
            <v>RIDHO TRI KURNIASANDI</v>
          </cell>
          <cell r="C899">
            <v>20171</v>
          </cell>
          <cell r="D899">
            <v>23</v>
          </cell>
          <cell r="E899">
            <v>3.26</v>
          </cell>
          <cell r="F899">
            <v>66</v>
          </cell>
          <cell r="G899">
            <v>3.53</v>
          </cell>
          <cell r="H899" t="str">
            <v>A</v>
          </cell>
          <cell r="I899">
            <v>20201</v>
          </cell>
        </row>
        <row r="900">
          <cell r="A900" t="str">
            <v>F1B016084</v>
          </cell>
          <cell r="B900" t="str">
            <v>Risky Ade Sanjaya</v>
          </cell>
          <cell r="C900">
            <v>20171</v>
          </cell>
          <cell r="D900">
            <v>0</v>
          </cell>
          <cell r="E900">
            <v>0</v>
          </cell>
          <cell r="F900">
            <v>39</v>
          </cell>
          <cell r="G900">
            <v>2.27</v>
          </cell>
          <cell r="H900" t="str">
            <v>A</v>
          </cell>
          <cell r="I900">
            <v>20201</v>
          </cell>
        </row>
        <row r="901">
          <cell r="A901" t="str">
            <v>F1B016085</v>
          </cell>
          <cell r="B901" t="str">
            <v>Rizky Yudiansyah</v>
          </cell>
          <cell r="C901">
            <v>20171</v>
          </cell>
          <cell r="D901">
            <v>21</v>
          </cell>
          <cell r="E901">
            <v>2.74</v>
          </cell>
          <cell r="F901">
            <v>64</v>
          </cell>
          <cell r="G901">
            <v>2.84</v>
          </cell>
          <cell r="H901" t="str">
            <v>A</v>
          </cell>
          <cell r="I901">
            <v>20201</v>
          </cell>
        </row>
        <row r="902">
          <cell r="A902" t="str">
            <v>F1B016086</v>
          </cell>
          <cell r="B902" t="str">
            <v>Robby Nata Wijaya</v>
          </cell>
          <cell r="C902">
            <v>20171</v>
          </cell>
          <cell r="D902">
            <v>21</v>
          </cell>
          <cell r="E902">
            <v>3.48</v>
          </cell>
          <cell r="F902">
            <v>64</v>
          </cell>
          <cell r="G902">
            <v>3.38</v>
          </cell>
          <cell r="H902" t="str">
            <v>A</v>
          </cell>
          <cell r="I902">
            <v>20201</v>
          </cell>
        </row>
        <row r="903">
          <cell r="A903" t="str">
            <v>F1B016087</v>
          </cell>
          <cell r="B903" t="str">
            <v>Safiraturrahmi</v>
          </cell>
          <cell r="C903">
            <v>20171</v>
          </cell>
          <cell r="D903">
            <v>21</v>
          </cell>
          <cell r="E903">
            <v>3.4</v>
          </cell>
          <cell r="F903">
            <v>64</v>
          </cell>
          <cell r="G903">
            <v>3.3</v>
          </cell>
          <cell r="H903" t="str">
            <v>A</v>
          </cell>
          <cell r="I903">
            <v>20201</v>
          </cell>
        </row>
        <row r="904">
          <cell r="A904" t="str">
            <v>F1B016088</v>
          </cell>
          <cell r="B904" t="str">
            <v>SANDY YUSRIL IHZAH</v>
          </cell>
          <cell r="C904">
            <v>20171</v>
          </cell>
          <cell r="D904">
            <v>21</v>
          </cell>
          <cell r="E904">
            <v>1.38</v>
          </cell>
          <cell r="F904">
            <v>64</v>
          </cell>
          <cell r="G904">
            <v>2.32</v>
          </cell>
          <cell r="H904" t="str">
            <v>A</v>
          </cell>
          <cell r="I904">
            <v>20201</v>
          </cell>
        </row>
        <row r="905">
          <cell r="A905" t="str">
            <v>F1B016089</v>
          </cell>
          <cell r="B905" t="str">
            <v>SARI NURHIDAYATI</v>
          </cell>
          <cell r="C905">
            <v>20171</v>
          </cell>
          <cell r="D905">
            <v>23</v>
          </cell>
          <cell r="E905">
            <v>2.59</v>
          </cell>
          <cell r="F905">
            <v>66</v>
          </cell>
          <cell r="G905">
            <v>3.01</v>
          </cell>
          <cell r="H905" t="str">
            <v>A</v>
          </cell>
          <cell r="I905">
            <v>20201</v>
          </cell>
        </row>
        <row r="906">
          <cell r="A906" t="str">
            <v>F1B016090</v>
          </cell>
          <cell r="B906" t="str">
            <v>Satria Karara</v>
          </cell>
          <cell r="C906">
            <v>20171</v>
          </cell>
          <cell r="D906">
            <v>21</v>
          </cell>
          <cell r="E906">
            <v>3.02</v>
          </cell>
          <cell r="F906">
            <v>64</v>
          </cell>
          <cell r="G906">
            <v>3.25</v>
          </cell>
          <cell r="H906" t="str">
            <v>A</v>
          </cell>
          <cell r="I906">
            <v>20201</v>
          </cell>
        </row>
        <row r="907">
          <cell r="A907" t="str">
            <v>F1B016091</v>
          </cell>
          <cell r="B907" t="str">
            <v>Seftian Haqiqi Adnan</v>
          </cell>
          <cell r="C907">
            <v>20171</v>
          </cell>
          <cell r="D907">
            <v>21</v>
          </cell>
          <cell r="E907">
            <v>3.69</v>
          </cell>
          <cell r="F907">
            <v>64</v>
          </cell>
          <cell r="G907">
            <v>3.43</v>
          </cell>
          <cell r="H907" t="str">
            <v>A</v>
          </cell>
          <cell r="I907">
            <v>20201</v>
          </cell>
        </row>
        <row r="908">
          <cell r="A908" t="str">
            <v>F1B016092</v>
          </cell>
          <cell r="B908" t="str">
            <v>Sonya Arnes Ratu Loly</v>
          </cell>
          <cell r="C908">
            <v>20171</v>
          </cell>
          <cell r="D908">
            <v>21</v>
          </cell>
          <cell r="E908">
            <v>2.95</v>
          </cell>
          <cell r="F908">
            <v>64</v>
          </cell>
          <cell r="G908">
            <v>2.92</v>
          </cell>
          <cell r="H908" t="str">
            <v>A</v>
          </cell>
          <cell r="I908">
            <v>20201</v>
          </cell>
        </row>
        <row r="909">
          <cell r="A909" t="str">
            <v>F1B016093</v>
          </cell>
          <cell r="B909" t="str">
            <v>SULTON HADI</v>
          </cell>
          <cell r="C909">
            <v>20171</v>
          </cell>
          <cell r="D909">
            <v>21</v>
          </cell>
          <cell r="E909">
            <v>3.36</v>
          </cell>
          <cell r="F909">
            <v>64</v>
          </cell>
          <cell r="G909">
            <v>3.09</v>
          </cell>
          <cell r="H909" t="str">
            <v>A</v>
          </cell>
          <cell r="I909">
            <v>20201</v>
          </cell>
        </row>
        <row r="910">
          <cell r="A910" t="str">
            <v>F1B016094</v>
          </cell>
          <cell r="B910" t="str">
            <v>Suryadi</v>
          </cell>
          <cell r="C910">
            <v>20171</v>
          </cell>
          <cell r="D910">
            <v>21</v>
          </cell>
          <cell r="E910">
            <v>3.62</v>
          </cell>
          <cell r="F910">
            <v>64</v>
          </cell>
          <cell r="G910">
            <v>3.2</v>
          </cell>
          <cell r="H910" t="str">
            <v>A</v>
          </cell>
          <cell r="I910">
            <v>20201</v>
          </cell>
        </row>
        <row r="911">
          <cell r="A911" t="str">
            <v>F1B016095</v>
          </cell>
          <cell r="B911" t="str">
            <v>Syafiq Sazali</v>
          </cell>
          <cell r="C911">
            <v>20171</v>
          </cell>
          <cell r="D911">
            <v>21</v>
          </cell>
          <cell r="E911">
            <v>3.24</v>
          </cell>
          <cell r="F911">
            <v>64</v>
          </cell>
          <cell r="G911">
            <v>3.46</v>
          </cell>
          <cell r="H911" t="str">
            <v>A</v>
          </cell>
          <cell r="I911">
            <v>20201</v>
          </cell>
        </row>
        <row r="912">
          <cell r="A912" t="str">
            <v>F1B016096</v>
          </cell>
          <cell r="B912" t="str">
            <v>VERINA VALENTINA</v>
          </cell>
          <cell r="C912">
            <v>20171</v>
          </cell>
          <cell r="D912">
            <v>23</v>
          </cell>
          <cell r="E912">
            <v>3.3</v>
          </cell>
          <cell r="F912">
            <v>66</v>
          </cell>
          <cell r="G912">
            <v>3.42</v>
          </cell>
          <cell r="H912" t="str">
            <v>A</v>
          </cell>
          <cell r="I912">
            <v>20201</v>
          </cell>
        </row>
        <row r="913">
          <cell r="A913" t="str">
            <v>F1B016097</v>
          </cell>
          <cell r="B913" t="str">
            <v>WINALDI NURRAHMAN</v>
          </cell>
          <cell r="C913">
            <v>20171</v>
          </cell>
          <cell r="D913">
            <v>21</v>
          </cell>
          <cell r="E913">
            <v>1.48</v>
          </cell>
          <cell r="F913">
            <v>62</v>
          </cell>
          <cell r="G913">
            <v>2.1</v>
          </cell>
          <cell r="H913" t="str">
            <v>A</v>
          </cell>
          <cell r="I913">
            <v>20201</v>
          </cell>
        </row>
        <row r="914">
          <cell r="A914" t="str">
            <v>F1B016098</v>
          </cell>
          <cell r="B914" t="str">
            <v>Yeni Minarti</v>
          </cell>
          <cell r="C914">
            <v>20171</v>
          </cell>
          <cell r="D914">
            <v>21</v>
          </cell>
          <cell r="E914">
            <v>2.64</v>
          </cell>
          <cell r="F914">
            <v>64</v>
          </cell>
          <cell r="G914">
            <v>2.97</v>
          </cell>
          <cell r="H914" t="str">
            <v>A</v>
          </cell>
          <cell r="I914">
            <v>20201</v>
          </cell>
        </row>
        <row r="915">
          <cell r="A915" t="str">
            <v>F1B016099</v>
          </cell>
          <cell r="B915" t="str">
            <v>Yogi Andrio Fitroh Hayadi</v>
          </cell>
          <cell r="C915">
            <v>20171</v>
          </cell>
          <cell r="D915">
            <v>21</v>
          </cell>
          <cell r="E915">
            <v>1.43</v>
          </cell>
          <cell r="F915">
            <v>62</v>
          </cell>
          <cell r="G915">
            <v>2.12</v>
          </cell>
          <cell r="H915" t="str">
            <v>A</v>
          </cell>
          <cell r="I915">
            <v>20201</v>
          </cell>
        </row>
        <row r="916">
          <cell r="A916" t="str">
            <v>F1B016100</v>
          </cell>
          <cell r="B916" t="str">
            <v>YOGI KHAERUL HIDAYAT</v>
          </cell>
          <cell r="C916">
            <v>20171</v>
          </cell>
          <cell r="D916">
            <v>0</v>
          </cell>
          <cell r="E916">
            <v>0</v>
          </cell>
          <cell r="F916">
            <v>20</v>
          </cell>
          <cell r="G916">
            <v>0</v>
          </cell>
          <cell r="H916" t="str">
            <v>A</v>
          </cell>
          <cell r="I916">
            <v>20201</v>
          </cell>
        </row>
        <row r="917">
          <cell r="A917" t="str">
            <v>F1B016101</v>
          </cell>
          <cell r="B917" t="str">
            <v>YUDHA ARYADI ZUHAL</v>
          </cell>
          <cell r="C917">
            <v>20171</v>
          </cell>
          <cell r="D917">
            <v>21</v>
          </cell>
          <cell r="E917">
            <v>1.88</v>
          </cell>
          <cell r="F917">
            <v>62</v>
          </cell>
          <cell r="G917">
            <v>2.36</v>
          </cell>
          <cell r="H917" t="str">
            <v>A</v>
          </cell>
          <cell r="I917">
            <v>20201</v>
          </cell>
        </row>
        <row r="918">
          <cell r="A918" t="str">
            <v>F1B016102</v>
          </cell>
          <cell r="B918" t="str">
            <v>YUDHI AGUS SYAHRONI</v>
          </cell>
          <cell r="C918">
            <v>20171</v>
          </cell>
          <cell r="D918">
            <v>15</v>
          </cell>
          <cell r="E918">
            <v>0.7</v>
          </cell>
          <cell r="F918">
            <v>56</v>
          </cell>
          <cell r="G918">
            <v>1.69</v>
          </cell>
          <cell r="H918" t="str">
            <v>A</v>
          </cell>
          <cell r="I918">
            <v>20201</v>
          </cell>
        </row>
        <row r="919">
          <cell r="A919" t="str">
            <v>F1B016103</v>
          </cell>
          <cell r="B919" t="str">
            <v>YUSRON RIZKI ARDIANSYAH</v>
          </cell>
          <cell r="C919">
            <v>20171</v>
          </cell>
          <cell r="D919">
            <v>21</v>
          </cell>
          <cell r="E919">
            <v>3.21</v>
          </cell>
          <cell r="F919">
            <v>64</v>
          </cell>
          <cell r="G919">
            <v>3.25</v>
          </cell>
          <cell r="H919" t="str">
            <v>A</v>
          </cell>
          <cell r="I919">
            <v>20201</v>
          </cell>
        </row>
        <row r="920">
          <cell r="A920" t="str">
            <v>F1B017001</v>
          </cell>
          <cell r="B920" t="str">
            <v>ABDIL GANI</v>
          </cell>
          <cell r="C920">
            <v>20171</v>
          </cell>
          <cell r="D920">
            <v>20</v>
          </cell>
          <cell r="E920">
            <v>2.98</v>
          </cell>
          <cell r="F920">
            <v>20</v>
          </cell>
          <cell r="G920">
            <v>2.98</v>
          </cell>
          <cell r="H920" t="str">
            <v>A</v>
          </cell>
          <cell r="I920">
            <v>20201</v>
          </cell>
        </row>
        <row r="921">
          <cell r="A921" t="str">
            <v>F1B017002</v>
          </cell>
          <cell r="B921" t="str">
            <v>ABDUL KARIM</v>
          </cell>
          <cell r="C921">
            <v>20171</v>
          </cell>
          <cell r="D921">
            <v>20</v>
          </cell>
          <cell r="E921">
            <v>3.05</v>
          </cell>
          <cell r="F921">
            <v>20</v>
          </cell>
          <cell r="G921">
            <v>3.05</v>
          </cell>
          <cell r="H921" t="str">
            <v>A</v>
          </cell>
          <cell r="I921">
            <v>20201</v>
          </cell>
        </row>
        <row r="922">
          <cell r="A922" t="str">
            <v>F1B017003</v>
          </cell>
          <cell r="B922" t="str">
            <v>ABID ADIKA JUHARSA</v>
          </cell>
          <cell r="C922">
            <v>20171</v>
          </cell>
          <cell r="D922">
            <v>20</v>
          </cell>
          <cell r="E922">
            <v>3.43</v>
          </cell>
          <cell r="F922">
            <v>20</v>
          </cell>
          <cell r="G922">
            <v>3.43</v>
          </cell>
          <cell r="H922" t="str">
            <v>A</v>
          </cell>
          <cell r="I922">
            <v>20201</v>
          </cell>
        </row>
        <row r="923">
          <cell r="A923" t="str">
            <v>F1B017004</v>
          </cell>
          <cell r="B923" t="str">
            <v>ACHMAD TORIQ IVANDA</v>
          </cell>
          <cell r="C923">
            <v>20171</v>
          </cell>
          <cell r="D923">
            <v>20</v>
          </cell>
          <cell r="E923">
            <v>3.25</v>
          </cell>
          <cell r="F923">
            <v>20</v>
          </cell>
          <cell r="G923">
            <v>3.25</v>
          </cell>
          <cell r="H923" t="str">
            <v>A</v>
          </cell>
          <cell r="I923">
            <v>20201</v>
          </cell>
        </row>
        <row r="924">
          <cell r="A924" t="str">
            <v>F1B017005</v>
          </cell>
          <cell r="B924" t="str">
            <v>ADI DARMA MURDALI</v>
          </cell>
          <cell r="C924">
            <v>20171</v>
          </cell>
          <cell r="D924">
            <v>20</v>
          </cell>
          <cell r="E924">
            <v>3.1</v>
          </cell>
          <cell r="F924">
            <v>20</v>
          </cell>
          <cell r="G924">
            <v>3.1</v>
          </cell>
          <cell r="H924" t="str">
            <v>A</v>
          </cell>
          <cell r="I924">
            <v>20201</v>
          </cell>
        </row>
        <row r="925">
          <cell r="A925" t="str">
            <v>F1B017006</v>
          </cell>
          <cell r="B925" t="str">
            <v>ADITYA RIZKI KURNIAWAN</v>
          </cell>
          <cell r="C925">
            <v>20171</v>
          </cell>
          <cell r="D925">
            <v>20</v>
          </cell>
          <cell r="E925">
            <v>2.83</v>
          </cell>
          <cell r="F925">
            <v>20</v>
          </cell>
          <cell r="G925">
            <v>2.83</v>
          </cell>
          <cell r="H925" t="str">
            <v>A</v>
          </cell>
          <cell r="I925">
            <v>20201</v>
          </cell>
        </row>
        <row r="926">
          <cell r="A926" t="str">
            <v>F1B017007</v>
          </cell>
          <cell r="B926" t="str">
            <v>AHDIAT AUNUL HIPZI</v>
          </cell>
          <cell r="C926">
            <v>20171</v>
          </cell>
          <cell r="D926">
            <v>20</v>
          </cell>
          <cell r="E926">
            <v>3.05</v>
          </cell>
          <cell r="F926">
            <v>20</v>
          </cell>
          <cell r="G926">
            <v>3.05</v>
          </cell>
          <cell r="H926" t="str">
            <v>A</v>
          </cell>
          <cell r="I926">
            <v>20201</v>
          </cell>
        </row>
        <row r="927">
          <cell r="A927" t="str">
            <v>F1B017008</v>
          </cell>
          <cell r="B927" t="str">
            <v>AHMAD GOZALI</v>
          </cell>
          <cell r="C927">
            <v>20171</v>
          </cell>
          <cell r="D927">
            <v>20</v>
          </cell>
          <cell r="E927">
            <v>2.78</v>
          </cell>
          <cell r="F927">
            <v>20</v>
          </cell>
          <cell r="G927">
            <v>2.78</v>
          </cell>
          <cell r="H927" t="str">
            <v>A</v>
          </cell>
          <cell r="I927">
            <v>20201</v>
          </cell>
        </row>
        <row r="928">
          <cell r="A928" t="str">
            <v>F1B017009</v>
          </cell>
          <cell r="B928" t="str">
            <v>AJI SUMIARDI</v>
          </cell>
          <cell r="C928">
            <v>20171</v>
          </cell>
          <cell r="D928">
            <v>20</v>
          </cell>
          <cell r="E928">
            <v>3.43</v>
          </cell>
          <cell r="F928">
            <v>20</v>
          </cell>
          <cell r="G928">
            <v>3.43</v>
          </cell>
          <cell r="H928" t="str">
            <v>A</v>
          </cell>
          <cell r="I928">
            <v>20201</v>
          </cell>
        </row>
        <row r="929">
          <cell r="A929" t="str">
            <v>F1B017010</v>
          </cell>
          <cell r="B929" t="str">
            <v>AKBAR RAIHAN HILMY</v>
          </cell>
          <cell r="C929">
            <v>20171</v>
          </cell>
          <cell r="D929">
            <v>20</v>
          </cell>
          <cell r="E929">
            <v>2.45</v>
          </cell>
          <cell r="F929">
            <v>20</v>
          </cell>
          <cell r="G929">
            <v>2.45</v>
          </cell>
          <cell r="H929" t="str">
            <v>A</v>
          </cell>
          <cell r="I929">
            <v>20201</v>
          </cell>
        </row>
        <row r="930">
          <cell r="A930" t="str">
            <v>F1B017011</v>
          </cell>
          <cell r="B930" t="str">
            <v>ALFAN JUNINSYAH</v>
          </cell>
          <cell r="C930">
            <v>20171</v>
          </cell>
          <cell r="D930">
            <v>20</v>
          </cell>
          <cell r="E930">
            <v>3.23</v>
          </cell>
          <cell r="F930">
            <v>20</v>
          </cell>
          <cell r="G930">
            <v>3.23</v>
          </cell>
          <cell r="H930" t="str">
            <v>A</v>
          </cell>
          <cell r="I930">
            <v>20201</v>
          </cell>
        </row>
        <row r="931">
          <cell r="A931" t="str">
            <v>F1B017012</v>
          </cell>
          <cell r="B931" t="str">
            <v>ALFAN MAJDI</v>
          </cell>
          <cell r="C931">
            <v>20171</v>
          </cell>
          <cell r="D931">
            <v>20</v>
          </cell>
          <cell r="E931">
            <v>3.23</v>
          </cell>
          <cell r="F931">
            <v>20</v>
          </cell>
          <cell r="G931">
            <v>3.23</v>
          </cell>
          <cell r="H931" t="str">
            <v>A</v>
          </cell>
          <cell r="I931">
            <v>20201</v>
          </cell>
        </row>
        <row r="932">
          <cell r="A932" t="str">
            <v>F1B017013</v>
          </cell>
          <cell r="B932" t="str">
            <v>ANGGRIANI</v>
          </cell>
          <cell r="C932">
            <v>20171</v>
          </cell>
          <cell r="D932">
            <v>20</v>
          </cell>
          <cell r="E932">
            <v>3.25</v>
          </cell>
          <cell r="F932">
            <v>20</v>
          </cell>
          <cell r="G932">
            <v>3.25</v>
          </cell>
          <cell r="H932" t="str">
            <v>A</v>
          </cell>
          <cell r="I932">
            <v>20201</v>
          </cell>
        </row>
        <row r="933">
          <cell r="A933" t="str">
            <v>F1B017014</v>
          </cell>
          <cell r="B933" t="str">
            <v>ANTHORUL HAKIM MASRI</v>
          </cell>
          <cell r="C933">
            <v>20171</v>
          </cell>
          <cell r="D933">
            <v>20</v>
          </cell>
          <cell r="E933">
            <v>3</v>
          </cell>
          <cell r="F933">
            <v>20</v>
          </cell>
          <cell r="G933">
            <v>3</v>
          </cell>
          <cell r="H933" t="str">
            <v>A</v>
          </cell>
          <cell r="I933">
            <v>20201</v>
          </cell>
        </row>
        <row r="934">
          <cell r="A934" t="str">
            <v>F1B017015</v>
          </cell>
          <cell r="B934" t="str">
            <v>APRIALDY BUDI SAPUTRA</v>
          </cell>
          <cell r="C934">
            <v>20171</v>
          </cell>
          <cell r="D934">
            <v>20</v>
          </cell>
          <cell r="E934">
            <v>3.65</v>
          </cell>
          <cell r="F934">
            <v>20</v>
          </cell>
          <cell r="G934">
            <v>3.65</v>
          </cell>
          <cell r="H934" t="str">
            <v>A</v>
          </cell>
          <cell r="I934">
            <v>20201</v>
          </cell>
        </row>
        <row r="935">
          <cell r="A935" t="str">
            <v>F1B017016</v>
          </cell>
          <cell r="B935" t="str">
            <v>ARDIANTO</v>
          </cell>
          <cell r="C935">
            <v>20171</v>
          </cell>
          <cell r="D935">
            <v>20</v>
          </cell>
          <cell r="E935">
            <v>2.9</v>
          </cell>
          <cell r="F935">
            <v>20</v>
          </cell>
          <cell r="G935">
            <v>2.9</v>
          </cell>
          <cell r="H935" t="str">
            <v>A</v>
          </cell>
          <cell r="I935">
            <v>20201</v>
          </cell>
        </row>
        <row r="936">
          <cell r="A936" t="str">
            <v>F1B017017</v>
          </cell>
          <cell r="B936" t="str">
            <v>ARI SUBAGYO</v>
          </cell>
          <cell r="C936">
            <v>20171</v>
          </cell>
          <cell r="D936">
            <v>20</v>
          </cell>
          <cell r="E936">
            <v>2.28</v>
          </cell>
          <cell r="F936">
            <v>20</v>
          </cell>
          <cell r="G936">
            <v>2.28</v>
          </cell>
          <cell r="H936" t="str">
            <v>A</v>
          </cell>
          <cell r="I936">
            <v>20201</v>
          </cell>
        </row>
        <row r="937">
          <cell r="A937" t="str">
            <v>F1B017018</v>
          </cell>
          <cell r="B937" t="str">
            <v>ARIEFUDIN</v>
          </cell>
          <cell r="C937">
            <v>20171</v>
          </cell>
          <cell r="D937">
            <v>20</v>
          </cell>
          <cell r="E937">
            <v>3.18</v>
          </cell>
          <cell r="F937">
            <v>20</v>
          </cell>
          <cell r="G937">
            <v>3.18</v>
          </cell>
          <cell r="H937" t="str">
            <v>A</v>
          </cell>
          <cell r="I937">
            <v>20201</v>
          </cell>
        </row>
        <row r="938">
          <cell r="A938" t="str">
            <v>F1B017019</v>
          </cell>
          <cell r="B938" t="str">
            <v>ARMAN HIDAYAT</v>
          </cell>
          <cell r="C938">
            <v>20171</v>
          </cell>
          <cell r="D938">
            <v>20</v>
          </cell>
          <cell r="E938">
            <v>3.28</v>
          </cell>
          <cell r="F938">
            <v>20</v>
          </cell>
          <cell r="G938">
            <v>3.28</v>
          </cell>
          <cell r="H938" t="str">
            <v>A</v>
          </cell>
          <cell r="I938">
            <v>20201</v>
          </cell>
        </row>
        <row r="939">
          <cell r="A939" t="str">
            <v>F1B017020</v>
          </cell>
          <cell r="B939" t="str">
            <v>ARYA ANANG PUTRA MANGGALI</v>
          </cell>
          <cell r="C939">
            <v>20171</v>
          </cell>
          <cell r="D939">
            <v>20</v>
          </cell>
          <cell r="E939">
            <v>3.13</v>
          </cell>
          <cell r="F939">
            <v>20</v>
          </cell>
          <cell r="G939">
            <v>3.13</v>
          </cell>
          <cell r="H939" t="str">
            <v>A</v>
          </cell>
          <cell r="I939">
            <v>20201</v>
          </cell>
        </row>
        <row r="940">
          <cell r="A940" t="str">
            <v>F1B017021</v>
          </cell>
          <cell r="B940" t="str">
            <v>AS'AD ZAENUL ARHAM</v>
          </cell>
          <cell r="C940">
            <v>20171</v>
          </cell>
          <cell r="D940">
            <v>20</v>
          </cell>
          <cell r="E940">
            <v>0.3</v>
          </cell>
          <cell r="F940">
            <v>20</v>
          </cell>
          <cell r="G940">
            <v>0.3</v>
          </cell>
          <cell r="H940" t="str">
            <v>A</v>
          </cell>
          <cell r="I940">
            <v>20201</v>
          </cell>
        </row>
        <row r="941">
          <cell r="A941" t="str">
            <v>F1B017022</v>
          </cell>
          <cell r="B941" t="str">
            <v>BAYU HERMAWAN</v>
          </cell>
          <cell r="C941">
            <v>20171</v>
          </cell>
          <cell r="D941">
            <v>20</v>
          </cell>
          <cell r="E941">
            <v>2.9</v>
          </cell>
          <cell r="F941">
            <v>20</v>
          </cell>
          <cell r="G941">
            <v>2.9</v>
          </cell>
          <cell r="H941" t="str">
            <v>A</v>
          </cell>
          <cell r="I941">
            <v>20201</v>
          </cell>
        </row>
        <row r="942">
          <cell r="A942" t="str">
            <v>F1B017023</v>
          </cell>
          <cell r="B942" t="str">
            <v>BUNGA AGITA LITYA PRIBADI</v>
          </cell>
          <cell r="C942">
            <v>20171</v>
          </cell>
          <cell r="D942">
            <v>20</v>
          </cell>
          <cell r="E942">
            <v>1.25</v>
          </cell>
          <cell r="F942">
            <v>20</v>
          </cell>
          <cell r="G942">
            <v>1.25</v>
          </cell>
          <cell r="H942" t="str">
            <v>A</v>
          </cell>
          <cell r="I942">
            <v>20201</v>
          </cell>
        </row>
        <row r="943">
          <cell r="A943" t="str">
            <v>F1B017024</v>
          </cell>
          <cell r="B943" t="str">
            <v>DENY RAHMAN</v>
          </cell>
          <cell r="C943">
            <v>20171</v>
          </cell>
          <cell r="D943">
            <v>20</v>
          </cell>
          <cell r="E943">
            <v>2.93</v>
          </cell>
          <cell r="F943">
            <v>20</v>
          </cell>
          <cell r="G943">
            <v>2.93</v>
          </cell>
          <cell r="H943" t="str">
            <v>A</v>
          </cell>
          <cell r="I943">
            <v>20201</v>
          </cell>
        </row>
        <row r="944">
          <cell r="A944" t="str">
            <v>F1B017025</v>
          </cell>
          <cell r="B944" t="str">
            <v>DIKA PRATAMA</v>
          </cell>
          <cell r="C944">
            <v>20171</v>
          </cell>
          <cell r="D944">
            <v>20</v>
          </cell>
          <cell r="E944">
            <v>2.75</v>
          </cell>
          <cell r="F944">
            <v>20</v>
          </cell>
          <cell r="G944">
            <v>2.75</v>
          </cell>
          <cell r="H944" t="str">
            <v>A</v>
          </cell>
          <cell r="I944">
            <v>20201</v>
          </cell>
        </row>
        <row r="945">
          <cell r="A945" t="str">
            <v>F1B017026</v>
          </cell>
          <cell r="B945" t="str">
            <v>ELVIRA SEPTIANA HASBI</v>
          </cell>
          <cell r="C945">
            <v>20171</v>
          </cell>
          <cell r="D945">
            <v>20</v>
          </cell>
          <cell r="E945">
            <v>3.5</v>
          </cell>
          <cell r="F945">
            <v>20</v>
          </cell>
          <cell r="G945">
            <v>3.5</v>
          </cell>
          <cell r="H945" t="str">
            <v>A</v>
          </cell>
          <cell r="I945">
            <v>20201</v>
          </cell>
        </row>
        <row r="946">
          <cell r="A946" t="str">
            <v>F1B017027</v>
          </cell>
          <cell r="B946" t="str">
            <v>ERLANGGA DWIVIDI PUTRA</v>
          </cell>
          <cell r="C946">
            <v>20171</v>
          </cell>
          <cell r="D946">
            <v>20</v>
          </cell>
          <cell r="E946">
            <v>3.15</v>
          </cell>
          <cell r="F946">
            <v>20</v>
          </cell>
          <cell r="G946">
            <v>3.15</v>
          </cell>
          <cell r="H946" t="str">
            <v>A</v>
          </cell>
          <cell r="I946">
            <v>20201</v>
          </cell>
        </row>
        <row r="947">
          <cell r="A947" t="str">
            <v>F1B017028</v>
          </cell>
          <cell r="B947" t="str">
            <v>FAISAL AHMADI</v>
          </cell>
          <cell r="C947">
            <v>20171</v>
          </cell>
          <cell r="D947">
            <v>20</v>
          </cell>
          <cell r="E947">
            <v>2.68</v>
          </cell>
          <cell r="F947">
            <v>20</v>
          </cell>
          <cell r="G947">
            <v>2.68</v>
          </cell>
          <cell r="H947" t="str">
            <v>A</v>
          </cell>
          <cell r="I947">
            <v>20201</v>
          </cell>
        </row>
        <row r="948">
          <cell r="A948" t="str">
            <v>F1B017029</v>
          </cell>
          <cell r="B948" t="str">
            <v>FEBIA NINGRUM SOSROWIJOYO</v>
          </cell>
          <cell r="C948">
            <v>20171</v>
          </cell>
          <cell r="D948">
            <v>20</v>
          </cell>
          <cell r="E948">
            <v>2.9</v>
          </cell>
          <cell r="F948">
            <v>20</v>
          </cell>
          <cell r="G948">
            <v>2.9</v>
          </cell>
          <cell r="H948" t="str">
            <v>A</v>
          </cell>
          <cell r="I948">
            <v>20201</v>
          </cell>
        </row>
        <row r="949">
          <cell r="A949" t="str">
            <v>F1B017030</v>
          </cell>
          <cell r="B949" t="str">
            <v>HAETUN NISSA</v>
          </cell>
          <cell r="C949">
            <v>20171</v>
          </cell>
          <cell r="D949">
            <v>20</v>
          </cell>
          <cell r="E949">
            <v>3.45</v>
          </cell>
          <cell r="F949">
            <v>20</v>
          </cell>
          <cell r="G949">
            <v>3.45</v>
          </cell>
          <cell r="H949" t="str">
            <v>A</v>
          </cell>
          <cell r="I949">
            <v>20201</v>
          </cell>
        </row>
        <row r="950">
          <cell r="A950" t="str">
            <v>F1B017031</v>
          </cell>
          <cell r="B950" t="str">
            <v>HASBI WIRIAN</v>
          </cell>
          <cell r="C950">
            <v>20171</v>
          </cell>
          <cell r="D950">
            <v>20</v>
          </cell>
          <cell r="E950">
            <v>3.5</v>
          </cell>
          <cell r="F950">
            <v>20</v>
          </cell>
          <cell r="G950">
            <v>3.5</v>
          </cell>
          <cell r="H950" t="str">
            <v>A</v>
          </cell>
          <cell r="I950">
            <v>20201</v>
          </cell>
        </row>
        <row r="951">
          <cell r="A951" t="str">
            <v>F1B017032</v>
          </cell>
          <cell r="B951" t="str">
            <v>HOTI ATABIA</v>
          </cell>
          <cell r="C951">
            <v>20171</v>
          </cell>
          <cell r="D951">
            <v>20</v>
          </cell>
          <cell r="E951">
            <v>3.4</v>
          </cell>
          <cell r="F951">
            <v>20</v>
          </cell>
          <cell r="G951">
            <v>3.4</v>
          </cell>
          <cell r="H951" t="str">
            <v>A</v>
          </cell>
          <cell r="I951">
            <v>20201</v>
          </cell>
        </row>
        <row r="952">
          <cell r="A952" t="str">
            <v>F1B017033</v>
          </cell>
          <cell r="B952" t="str">
            <v>I MADE HENDRA ARIAMBAWA</v>
          </cell>
          <cell r="C952">
            <v>20171</v>
          </cell>
          <cell r="D952">
            <v>20</v>
          </cell>
          <cell r="E952">
            <v>3.48</v>
          </cell>
          <cell r="F952">
            <v>20</v>
          </cell>
          <cell r="G952">
            <v>3.48</v>
          </cell>
          <cell r="H952" t="str">
            <v>A</v>
          </cell>
          <cell r="I952">
            <v>20201</v>
          </cell>
        </row>
        <row r="953">
          <cell r="A953" t="str">
            <v>F1B017034</v>
          </cell>
          <cell r="B953" t="str">
            <v>I MADE WISNU KUSUMA PUTRA</v>
          </cell>
          <cell r="C953">
            <v>20171</v>
          </cell>
          <cell r="D953">
            <v>20</v>
          </cell>
          <cell r="E953">
            <v>3.65</v>
          </cell>
          <cell r="F953">
            <v>20</v>
          </cell>
          <cell r="G953">
            <v>3.65</v>
          </cell>
          <cell r="H953" t="str">
            <v>A</v>
          </cell>
          <cell r="I953">
            <v>20201</v>
          </cell>
        </row>
        <row r="954">
          <cell r="A954" t="str">
            <v>F1B017035</v>
          </cell>
          <cell r="B954" t="str">
            <v>I PUTU DENNY WAHYU KURNIAWAN</v>
          </cell>
          <cell r="C954">
            <v>20171</v>
          </cell>
          <cell r="D954">
            <v>20</v>
          </cell>
          <cell r="E954">
            <v>3.53</v>
          </cell>
          <cell r="F954">
            <v>20</v>
          </cell>
          <cell r="G954">
            <v>3.53</v>
          </cell>
          <cell r="H954" t="str">
            <v>A</v>
          </cell>
          <cell r="I954">
            <v>20201</v>
          </cell>
        </row>
        <row r="955">
          <cell r="A955" t="str">
            <v>F1B017036</v>
          </cell>
          <cell r="B955" t="str">
            <v>I WAYAN ERIK JAYANTIKA</v>
          </cell>
          <cell r="C955">
            <v>20171</v>
          </cell>
          <cell r="D955">
            <v>20</v>
          </cell>
          <cell r="E955">
            <v>3.73</v>
          </cell>
          <cell r="F955">
            <v>20</v>
          </cell>
          <cell r="G955">
            <v>3.73</v>
          </cell>
          <cell r="H955" t="str">
            <v>A</v>
          </cell>
          <cell r="I955">
            <v>20201</v>
          </cell>
        </row>
        <row r="956">
          <cell r="A956" t="str">
            <v>F1B017037</v>
          </cell>
          <cell r="B956" t="str">
            <v>IKHWANI SYAHBANA</v>
          </cell>
          <cell r="C956">
            <v>20171</v>
          </cell>
          <cell r="D956">
            <v>20</v>
          </cell>
          <cell r="E956">
            <v>3.48</v>
          </cell>
          <cell r="F956">
            <v>20</v>
          </cell>
          <cell r="G956">
            <v>3.48</v>
          </cell>
          <cell r="H956" t="str">
            <v>A</v>
          </cell>
          <cell r="I956">
            <v>20201</v>
          </cell>
        </row>
        <row r="957">
          <cell r="A957" t="str">
            <v>F1B017038</v>
          </cell>
          <cell r="B957" t="str">
            <v>INDRA TRI OKTAVIANSYAH</v>
          </cell>
          <cell r="C957">
            <v>20171</v>
          </cell>
          <cell r="D957">
            <v>20</v>
          </cell>
          <cell r="E957">
            <v>3.43</v>
          </cell>
          <cell r="F957">
            <v>20</v>
          </cell>
          <cell r="G957">
            <v>3.43</v>
          </cell>
          <cell r="H957" t="str">
            <v>A</v>
          </cell>
          <cell r="I957">
            <v>20201</v>
          </cell>
        </row>
        <row r="958">
          <cell r="A958" t="str">
            <v>F1B017039</v>
          </cell>
          <cell r="B958" t="str">
            <v>IRGA DIFANI</v>
          </cell>
          <cell r="C958">
            <v>20171</v>
          </cell>
          <cell r="D958">
            <v>20</v>
          </cell>
          <cell r="E958">
            <v>3.58</v>
          </cell>
          <cell r="F958">
            <v>20</v>
          </cell>
          <cell r="G958">
            <v>3.58</v>
          </cell>
          <cell r="H958" t="str">
            <v>A</v>
          </cell>
          <cell r="I958">
            <v>20201</v>
          </cell>
        </row>
        <row r="959">
          <cell r="A959" t="str">
            <v>F1B017040</v>
          </cell>
          <cell r="B959" t="str">
            <v>IRMAN ZAKARIYA</v>
          </cell>
          <cell r="C959">
            <v>20171</v>
          </cell>
          <cell r="D959">
            <v>20</v>
          </cell>
          <cell r="E959">
            <v>2.75</v>
          </cell>
          <cell r="F959">
            <v>20</v>
          </cell>
          <cell r="G959">
            <v>2.75</v>
          </cell>
          <cell r="H959" t="str">
            <v>A</v>
          </cell>
          <cell r="I959">
            <v>20201</v>
          </cell>
        </row>
        <row r="960">
          <cell r="A960" t="str">
            <v>F1B017041</v>
          </cell>
          <cell r="B960" t="str">
            <v>JOSHUA HENRY RIVALDO SIANTURI</v>
          </cell>
          <cell r="C960">
            <v>20171</v>
          </cell>
          <cell r="D960">
            <v>20</v>
          </cell>
          <cell r="E960">
            <v>2.58</v>
          </cell>
          <cell r="F960">
            <v>20</v>
          </cell>
          <cell r="G960">
            <v>2.58</v>
          </cell>
          <cell r="H960" t="str">
            <v>A</v>
          </cell>
          <cell r="I960">
            <v>20201</v>
          </cell>
        </row>
        <row r="961">
          <cell r="A961" t="str">
            <v>F1B017042</v>
          </cell>
          <cell r="B961" t="str">
            <v>JULIA KAMILATIN</v>
          </cell>
          <cell r="C961">
            <v>20171</v>
          </cell>
          <cell r="D961">
            <v>20</v>
          </cell>
          <cell r="E961">
            <v>3.33</v>
          </cell>
          <cell r="F961">
            <v>20</v>
          </cell>
          <cell r="G961">
            <v>3.33</v>
          </cell>
          <cell r="H961" t="str">
            <v>A</v>
          </cell>
          <cell r="I961">
            <v>20201</v>
          </cell>
        </row>
        <row r="962">
          <cell r="A962" t="str">
            <v>F1B017043</v>
          </cell>
          <cell r="B962" t="str">
            <v>JULIAN MINDRIA ROSYADI</v>
          </cell>
          <cell r="C962">
            <v>20171</v>
          </cell>
          <cell r="D962">
            <v>20</v>
          </cell>
          <cell r="E962">
            <v>3</v>
          </cell>
          <cell r="F962">
            <v>20</v>
          </cell>
          <cell r="G962">
            <v>3</v>
          </cell>
          <cell r="H962" t="str">
            <v>A</v>
          </cell>
          <cell r="I962">
            <v>20201</v>
          </cell>
        </row>
        <row r="963">
          <cell r="A963" t="str">
            <v>F1B017044</v>
          </cell>
          <cell r="B963" t="str">
            <v>KHAERUL MAJDI ASH-SHIDDIQY</v>
          </cell>
          <cell r="C963">
            <v>20171</v>
          </cell>
          <cell r="D963">
            <v>20</v>
          </cell>
          <cell r="E963">
            <v>3.83</v>
          </cell>
          <cell r="F963">
            <v>20</v>
          </cell>
          <cell r="G963">
            <v>3.83</v>
          </cell>
          <cell r="H963" t="str">
            <v>A</v>
          </cell>
          <cell r="I963">
            <v>20201</v>
          </cell>
        </row>
        <row r="964">
          <cell r="A964" t="str">
            <v>F1B017045</v>
          </cell>
          <cell r="B964" t="str">
            <v>KOMANG AGUS TRI ARTHAWAN RADIN</v>
          </cell>
          <cell r="C964">
            <v>20171</v>
          </cell>
          <cell r="D964">
            <v>20</v>
          </cell>
          <cell r="E964">
            <v>0.4</v>
          </cell>
          <cell r="F964">
            <v>20</v>
          </cell>
          <cell r="G964">
            <v>0.4</v>
          </cell>
          <cell r="H964" t="str">
            <v>A</v>
          </cell>
          <cell r="I964">
            <v>20201</v>
          </cell>
        </row>
        <row r="965">
          <cell r="A965" t="str">
            <v>F1B017046</v>
          </cell>
          <cell r="B965" t="str">
            <v>KUSMANTO MANSYUR</v>
          </cell>
          <cell r="C965">
            <v>20171</v>
          </cell>
          <cell r="D965">
            <v>20</v>
          </cell>
          <cell r="E965">
            <v>3.48</v>
          </cell>
          <cell r="F965">
            <v>20</v>
          </cell>
          <cell r="G965">
            <v>3.48</v>
          </cell>
          <cell r="H965" t="str">
            <v>A</v>
          </cell>
          <cell r="I965">
            <v>20201</v>
          </cell>
        </row>
        <row r="966">
          <cell r="A966" t="str">
            <v>F1B017047</v>
          </cell>
          <cell r="B966" t="str">
            <v>LALIZA ULWANI</v>
          </cell>
          <cell r="C966">
            <v>20171</v>
          </cell>
          <cell r="D966">
            <v>20</v>
          </cell>
          <cell r="E966">
            <v>3.3</v>
          </cell>
          <cell r="F966">
            <v>20</v>
          </cell>
          <cell r="G966">
            <v>3.3</v>
          </cell>
          <cell r="H966" t="str">
            <v>A</v>
          </cell>
          <cell r="I966">
            <v>20201</v>
          </cell>
        </row>
        <row r="967">
          <cell r="A967" t="str">
            <v>F1B017048</v>
          </cell>
          <cell r="B967" t="str">
            <v>LALU ISHADI DARWINATA</v>
          </cell>
          <cell r="C967">
            <v>20171</v>
          </cell>
          <cell r="D967">
            <v>20</v>
          </cell>
          <cell r="E967">
            <v>3.1</v>
          </cell>
          <cell r="F967">
            <v>20</v>
          </cell>
          <cell r="G967">
            <v>3.1</v>
          </cell>
          <cell r="H967" t="str">
            <v>A</v>
          </cell>
          <cell r="I967">
            <v>20201</v>
          </cell>
        </row>
        <row r="968">
          <cell r="A968" t="str">
            <v>F1B017049</v>
          </cell>
          <cell r="B968" t="str">
            <v>LALU MOH.JUNAIDI IDRIS</v>
          </cell>
          <cell r="C968">
            <v>20171</v>
          </cell>
          <cell r="D968">
            <v>20</v>
          </cell>
          <cell r="E968">
            <v>3.85</v>
          </cell>
          <cell r="F968">
            <v>20</v>
          </cell>
          <cell r="G968">
            <v>3.85</v>
          </cell>
          <cell r="H968" t="str">
            <v>A</v>
          </cell>
          <cell r="I968">
            <v>20201</v>
          </cell>
        </row>
        <row r="969">
          <cell r="A969" t="str">
            <v>F1B017050</v>
          </cell>
          <cell r="B969" t="str">
            <v>LALU MUHAMMAD IQBAL HERDIANTO</v>
          </cell>
          <cell r="C969">
            <v>20171</v>
          </cell>
          <cell r="D969">
            <v>20</v>
          </cell>
          <cell r="E969">
            <v>2.4</v>
          </cell>
          <cell r="F969">
            <v>20</v>
          </cell>
          <cell r="G969">
            <v>2.4</v>
          </cell>
          <cell r="H969" t="str">
            <v>A</v>
          </cell>
          <cell r="I969">
            <v>20201</v>
          </cell>
        </row>
        <row r="970">
          <cell r="A970" t="str">
            <v>F1B017051</v>
          </cell>
          <cell r="B970" t="str">
            <v>LALU YUDA ARDIKA</v>
          </cell>
          <cell r="C970">
            <v>20171</v>
          </cell>
          <cell r="D970">
            <v>20</v>
          </cell>
          <cell r="E970">
            <v>3.1</v>
          </cell>
          <cell r="F970">
            <v>20</v>
          </cell>
          <cell r="G970">
            <v>3.1</v>
          </cell>
          <cell r="H970" t="str">
            <v>A</v>
          </cell>
          <cell r="I970">
            <v>20201</v>
          </cell>
        </row>
        <row r="971">
          <cell r="A971" t="str">
            <v>F1B017052</v>
          </cell>
          <cell r="B971" t="str">
            <v>LISTA INTAN PRATIWI</v>
          </cell>
          <cell r="C971">
            <v>20171</v>
          </cell>
          <cell r="D971">
            <v>20</v>
          </cell>
          <cell r="E971">
            <v>3.5</v>
          </cell>
          <cell r="F971">
            <v>20</v>
          </cell>
          <cell r="G971">
            <v>3.5</v>
          </cell>
          <cell r="H971" t="str">
            <v>A</v>
          </cell>
          <cell r="I971">
            <v>20201</v>
          </cell>
        </row>
        <row r="972">
          <cell r="A972" t="str">
            <v>F1B017053</v>
          </cell>
          <cell r="B972" t="str">
            <v>M. ALFI ASHABANA</v>
          </cell>
          <cell r="C972">
            <v>20171</v>
          </cell>
          <cell r="D972">
            <v>20</v>
          </cell>
          <cell r="E972">
            <v>3.15</v>
          </cell>
          <cell r="F972">
            <v>20</v>
          </cell>
          <cell r="G972">
            <v>3.15</v>
          </cell>
          <cell r="H972" t="str">
            <v>A</v>
          </cell>
          <cell r="I972">
            <v>20201</v>
          </cell>
        </row>
        <row r="973">
          <cell r="A973" t="str">
            <v>F1B017054</v>
          </cell>
          <cell r="B973" t="str">
            <v>M. RILAN AMPURAMA R</v>
          </cell>
          <cell r="C973">
            <v>20171</v>
          </cell>
          <cell r="D973">
            <v>20</v>
          </cell>
          <cell r="E973">
            <v>0</v>
          </cell>
          <cell r="F973">
            <v>20</v>
          </cell>
          <cell r="G973">
            <v>0</v>
          </cell>
          <cell r="H973" t="str">
            <v>A</v>
          </cell>
          <cell r="I973">
            <v>20201</v>
          </cell>
        </row>
        <row r="974">
          <cell r="A974" t="str">
            <v>F1B017055</v>
          </cell>
          <cell r="B974" t="str">
            <v>M. RIZKA ZULFIKRI</v>
          </cell>
          <cell r="C974">
            <v>20171</v>
          </cell>
          <cell r="D974">
            <v>20</v>
          </cell>
          <cell r="E974">
            <v>2.85</v>
          </cell>
          <cell r="F974">
            <v>20</v>
          </cell>
          <cell r="G974">
            <v>2.85</v>
          </cell>
          <cell r="H974" t="str">
            <v>A</v>
          </cell>
          <cell r="I974">
            <v>20201</v>
          </cell>
        </row>
        <row r="975">
          <cell r="A975" t="str">
            <v>F1B017056</v>
          </cell>
          <cell r="B975" t="str">
            <v>M.YUNUS</v>
          </cell>
          <cell r="C975">
            <v>20171</v>
          </cell>
          <cell r="D975">
            <v>20</v>
          </cell>
          <cell r="E975">
            <v>3.05</v>
          </cell>
          <cell r="F975">
            <v>20</v>
          </cell>
          <cell r="G975">
            <v>3.05</v>
          </cell>
          <cell r="H975" t="str">
            <v>A</v>
          </cell>
          <cell r="I975">
            <v>20201</v>
          </cell>
        </row>
        <row r="976">
          <cell r="A976" t="str">
            <v>F1B017057</v>
          </cell>
          <cell r="B976" t="str">
            <v>MAULANA ABDILLAH</v>
          </cell>
          <cell r="C976">
            <v>20171</v>
          </cell>
          <cell r="D976">
            <v>20</v>
          </cell>
          <cell r="E976">
            <v>3.33</v>
          </cell>
          <cell r="F976">
            <v>20</v>
          </cell>
          <cell r="G976">
            <v>3.33</v>
          </cell>
          <cell r="H976" t="str">
            <v>A</v>
          </cell>
          <cell r="I976">
            <v>20201</v>
          </cell>
        </row>
        <row r="977">
          <cell r="A977" t="str">
            <v>F1B017058</v>
          </cell>
          <cell r="B977" t="str">
            <v>MUH FADIL</v>
          </cell>
          <cell r="C977">
            <v>20171</v>
          </cell>
          <cell r="D977">
            <v>20</v>
          </cell>
          <cell r="E977">
            <v>2.63</v>
          </cell>
          <cell r="F977">
            <v>20</v>
          </cell>
          <cell r="G977">
            <v>2.63</v>
          </cell>
          <cell r="H977" t="str">
            <v>A</v>
          </cell>
          <cell r="I977">
            <v>20201</v>
          </cell>
        </row>
        <row r="978">
          <cell r="A978" t="str">
            <v>F1B017059</v>
          </cell>
          <cell r="B978" t="str">
            <v>MUHAMAD FACHRUL AMRI</v>
          </cell>
          <cell r="C978">
            <v>20171</v>
          </cell>
          <cell r="D978">
            <v>20</v>
          </cell>
          <cell r="E978">
            <v>3.1</v>
          </cell>
          <cell r="F978">
            <v>20</v>
          </cell>
          <cell r="G978">
            <v>3.1</v>
          </cell>
          <cell r="H978" t="str">
            <v>A</v>
          </cell>
          <cell r="I978">
            <v>20201</v>
          </cell>
        </row>
        <row r="979">
          <cell r="A979" t="str">
            <v>F1B017060</v>
          </cell>
          <cell r="B979" t="str">
            <v>MUHAMAD FAJRIN AKBAR</v>
          </cell>
          <cell r="C979">
            <v>20171</v>
          </cell>
          <cell r="D979">
            <v>20</v>
          </cell>
          <cell r="E979">
            <v>2.98</v>
          </cell>
          <cell r="F979">
            <v>20</v>
          </cell>
          <cell r="G979">
            <v>2.98</v>
          </cell>
          <cell r="H979" t="str">
            <v>A</v>
          </cell>
          <cell r="I979">
            <v>20201</v>
          </cell>
        </row>
        <row r="980">
          <cell r="A980" t="str">
            <v>F1B017061</v>
          </cell>
          <cell r="B980" t="str">
            <v>MUHAMMAD ABDUL HARIS RAMDAN</v>
          </cell>
          <cell r="C980">
            <v>20171</v>
          </cell>
          <cell r="D980">
            <v>20</v>
          </cell>
          <cell r="E980">
            <v>3.6</v>
          </cell>
          <cell r="F980">
            <v>20</v>
          </cell>
          <cell r="G980">
            <v>3.6</v>
          </cell>
          <cell r="H980" t="str">
            <v>A</v>
          </cell>
          <cell r="I980">
            <v>20201</v>
          </cell>
        </row>
        <row r="981">
          <cell r="A981" t="str">
            <v>F1B017062</v>
          </cell>
          <cell r="B981" t="str">
            <v>MUHAMMAD ABDULLOH HAMZAN</v>
          </cell>
          <cell r="C981">
            <v>20171</v>
          </cell>
          <cell r="D981">
            <v>20</v>
          </cell>
          <cell r="E981">
            <v>3.53</v>
          </cell>
          <cell r="F981">
            <v>20</v>
          </cell>
          <cell r="G981">
            <v>3.53</v>
          </cell>
          <cell r="H981" t="str">
            <v>A</v>
          </cell>
          <cell r="I981">
            <v>20201</v>
          </cell>
        </row>
        <row r="982">
          <cell r="A982" t="str">
            <v>F1B017063</v>
          </cell>
          <cell r="B982" t="str">
            <v>MUHAMMAD ALFARIZI PUTRA</v>
          </cell>
          <cell r="C982">
            <v>20171</v>
          </cell>
          <cell r="D982">
            <v>20</v>
          </cell>
          <cell r="E982">
            <v>3</v>
          </cell>
          <cell r="F982">
            <v>20</v>
          </cell>
          <cell r="G982">
            <v>3</v>
          </cell>
          <cell r="H982" t="str">
            <v>A</v>
          </cell>
          <cell r="I982">
            <v>20201</v>
          </cell>
        </row>
        <row r="983">
          <cell r="A983" t="str">
            <v>F1B017064</v>
          </cell>
          <cell r="B983" t="str">
            <v>MUHAMMAD FIKRIANSYAH</v>
          </cell>
          <cell r="C983">
            <v>20171</v>
          </cell>
          <cell r="D983">
            <v>20</v>
          </cell>
          <cell r="E983">
            <v>3.35</v>
          </cell>
          <cell r="F983">
            <v>20</v>
          </cell>
          <cell r="G983">
            <v>3.35</v>
          </cell>
          <cell r="H983" t="str">
            <v>A</v>
          </cell>
          <cell r="I983">
            <v>20201</v>
          </cell>
        </row>
        <row r="984">
          <cell r="A984" t="str">
            <v>F1B017065</v>
          </cell>
          <cell r="B984" t="str">
            <v>MUHAMMAD HAMDANI</v>
          </cell>
          <cell r="C984">
            <v>20171</v>
          </cell>
          <cell r="D984">
            <v>20</v>
          </cell>
          <cell r="E984">
            <v>3.08</v>
          </cell>
          <cell r="F984">
            <v>20</v>
          </cell>
          <cell r="G984">
            <v>3.08</v>
          </cell>
          <cell r="H984" t="str">
            <v>A</v>
          </cell>
          <cell r="I984">
            <v>20201</v>
          </cell>
        </row>
        <row r="985">
          <cell r="A985" t="str">
            <v>F1B017066</v>
          </cell>
          <cell r="B985" t="str">
            <v>MUHAMMAD IQBAL FIRDAUS</v>
          </cell>
          <cell r="C985">
            <v>20171</v>
          </cell>
          <cell r="D985">
            <v>20</v>
          </cell>
          <cell r="E985">
            <v>2.93</v>
          </cell>
          <cell r="F985">
            <v>20</v>
          </cell>
          <cell r="G985">
            <v>2.93</v>
          </cell>
          <cell r="H985" t="str">
            <v>A</v>
          </cell>
          <cell r="I985">
            <v>20201</v>
          </cell>
        </row>
        <row r="986">
          <cell r="A986" t="str">
            <v>F1B017067</v>
          </cell>
          <cell r="B986" t="str">
            <v>MUHAMMAD RAFLY JUNIZAR RATULOLY</v>
          </cell>
          <cell r="C986">
            <v>20171</v>
          </cell>
          <cell r="D986">
            <v>20</v>
          </cell>
          <cell r="E986">
            <v>2.88</v>
          </cell>
          <cell r="F986">
            <v>20</v>
          </cell>
          <cell r="G986">
            <v>2.88</v>
          </cell>
          <cell r="H986" t="str">
            <v>A</v>
          </cell>
          <cell r="I986">
            <v>20201</v>
          </cell>
        </row>
        <row r="987">
          <cell r="A987" t="str">
            <v>F1B017068</v>
          </cell>
          <cell r="B987" t="str">
            <v>MUHAMMAD RIZAL AKBAR</v>
          </cell>
          <cell r="C987">
            <v>20171</v>
          </cell>
          <cell r="D987">
            <v>20</v>
          </cell>
          <cell r="E987">
            <v>2.4</v>
          </cell>
          <cell r="F987">
            <v>20</v>
          </cell>
          <cell r="G987">
            <v>2.4</v>
          </cell>
          <cell r="H987" t="str">
            <v>A</v>
          </cell>
          <cell r="I987">
            <v>20201</v>
          </cell>
        </row>
        <row r="988">
          <cell r="A988" t="str">
            <v>F1B017069</v>
          </cell>
          <cell r="B988" t="str">
            <v>MUHAMMAD RIZKY PRASETYA</v>
          </cell>
          <cell r="C988">
            <v>20171</v>
          </cell>
          <cell r="D988">
            <v>20</v>
          </cell>
          <cell r="E988">
            <v>0</v>
          </cell>
          <cell r="F988">
            <v>20</v>
          </cell>
          <cell r="G988">
            <v>0</v>
          </cell>
          <cell r="H988" t="str">
            <v>A</v>
          </cell>
          <cell r="I988">
            <v>20201</v>
          </cell>
        </row>
        <row r="989">
          <cell r="A989" t="str">
            <v>F1B017070</v>
          </cell>
          <cell r="B989" t="str">
            <v>MUHAMMAD ROLAN ALFIAN</v>
          </cell>
          <cell r="C989">
            <v>20171</v>
          </cell>
          <cell r="D989">
            <v>20</v>
          </cell>
          <cell r="E989">
            <v>3.55</v>
          </cell>
          <cell r="F989">
            <v>20</v>
          </cell>
          <cell r="G989">
            <v>3.55</v>
          </cell>
          <cell r="H989" t="str">
            <v>A</v>
          </cell>
          <cell r="I989">
            <v>20201</v>
          </cell>
        </row>
        <row r="990">
          <cell r="A990" t="str">
            <v>F1B017071</v>
          </cell>
          <cell r="B990" t="str">
            <v>MUHAMMAD SATRIAJI AROFA</v>
          </cell>
          <cell r="C990">
            <v>20171</v>
          </cell>
          <cell r="D990">
            <v>20</v>
          </cell>
          <cell r="E990">
            <v>3.05</v>
          </cell>
          <cell r="F990">
            <v>20</v>
          </cell>
          <cell r="G990">
            <v>3.05</v>
          </cell>
          <cell r="H990" t="str">
            <v>A</v>
          </cell>
          <cell r="I990">
            <v>20201</v>
          </cell>
        </row>
        <row r="991">
          <cell r="A991" t="str">
            <v>F1B017072</v>
          </cell>
          <cell r="B991" t="str">
            <v>MUHAMMAD VERGIAWAN SAPUTRA</v>
          </cell>
          <cell r="C991">
            <v>20171</v>
          </cell>
          <cell r="D991">
            <v>20</v>
          </cell>
          <cell r="E991">
            <v>2.85</v>
          </cell>
          <cell r="F991">
            <v>20</v>
          </cell>
          <cell r="G991">
            <v>2.85</v>
          </cell>
          <cell r="H991" t="str">
            <v>A</v>
          </cell>
          <cell r="I991">
            <v>20201</v>
          </cell>
        </row>
        <row r="992">
          <cell r="A992" t="str">
            <v>F1B017073</v>
          </cell>
          <cell r="B992" t="str">
            <v>MUHAMMAD ZIYAD AL KAUTSAR</v>
          </cell>
          <cell r="C992">
            <v>20171</v>
          </cell>
          <cell r="D992">
            <v>20</v>
          </cell>
          <cell r="E992">
            <v>1.55</v>
          </cell>
          <cell r="F992">
            <v>20</v>
          </cell>
          <cell r="G992">
            <v>1.55</v>
          </cell>
          <cell r="H992" t="str">
            <v>A</v>
          </cell>
          <cell r="I992">
            <v>20201</v>
          </cell>
        </row>
        <row r="993">
          <cell r="A993" t="str">
            <v>F1B017074</v>
          </cell>
          <cell r="B993" t="str">
            <v>MUJABIR</v>
          </cell>
          <cell r="C993">
            <v>20171</v>
          </cell>
          <cell r="D993">
            <v>20</v>
          </cell>
          <cell r="E993">
            <v>2.78</v>
          </cell>
          <cell r="F993">
            <v>20</v>
          </cell>
          <cell r="G993">
            <v>2.78</v>
          </cell>
          <cell r="H993" t="str">
            <v>A</v>
          </cell>
          <cell r="I993">
            <v>20201</v>
          </cell>
        </row>
        <row r="994">
          <cell r="A994" t="str">
            <v>F1B017075</v>
          </cell>
          <cell r="B994" t="str">
            <v>MUSTAIN NASRULLAH</v>
          </cell>
          <cell r="C994">
            <v>20171</v>
          </cell>
          <cell r="D994">
            <v>20</v>
          </cell>
          <cell r="E994">
            <v>3.18</v>
          </cell>
          <cell r="F994">
            <v>20</v>
          </cell>
          <cell r="G994">
            <v>3.18</v>
          </cell>
          <cell r="H994" t="str">
            <v>A</v>
          </cell>
          <cell r="I994">
            <v>20201</v>
          </cell>
        </row>
        <row r="995">
          <cell r="A995" t="str">
            <v>F1B017076</v>
          </cell>
          <cell r="B995" t="str">
            <v>NINDU WARDA TIARA PUTRI</v>
          </cell>
          <cell r="C995">
            <v>20171</v>
          </cell>
          <cell r="D995">
            <v>20</v>
          </cell>
          <cell r="E995">
            <v>3.15</v>
          </cell>
          <cell r="F995">
            <v>20</v>
          </cell>
          <cell r="G995">
            <v>3.15</v>
          </cell>
          <cell r="H995" t="str">
            <v>A</v>
          </cell>
          <cell r="I995">
            <v>20201</v>
          </cell>
        </row>
        <row r="996">
          <cell r="A996" t="str">
            <v>F1B017077</v>
          </cell>
          <cell r="B996" t="str">
            <v>RACHMAD ADITYA BARUNA PUTRA</v>
          </cell>
          <cell r="C996">
            <v>20171</v>
          </cell>
          <cell r="D996">
            <v>20</v>
          </cell>
          <cell r="E996">
            <v>3.2</v>
          </cell>
          <cell r="F996">
            <v>20</v>
          </cell>
          <cell r="G996">
            <v>3.2</v>
          </cell>
          <cell r="H996" t="str">
            <v>A</v>
          </cell>
          <cell r="I996">
            <v>20201</v>
          </cell>
        </row>
        <row r="997">
          <cell r="A997" t="str">
            <v>F1B017078</v>
          </cell>
          <cell r="B997" t="str">
            <v>RESTU SANDI</v>
          </cell>
          <cell r="C997">
            <v>20171</v>
          </cell>
          <cell r="D997">
            <v>20</v>
          </cell>
          <cell r="E997">
            <v>3.28</v>
          </cell>
          <cell r="F997">
            <v>20</v>
          </cell>
          <cell r="G997">
            <v>3.28</v>
          </cell>
          <cell r="H997" t="str">
            <v>A</v>
          </cell>
          <cell r="I997">
            <v>20201</v>
          </cell>
        </row>
        <row r="998">
          <cell r="A998" t="str">
            <v>F1B017079</v>
          </cell>
          <cell r="B998" t="str">
            <v>RIFALDA FADILLA LADY</v>
          </cell>
          <cell r="C998">
            <v>20171</v>
          </cell>
          <cell r="D998">
            <v>20</v>
          </cell>
          <cell r="E998">
            <v>3.73</v>
          </cell>
          <cell r="F998">
            <v>20</v>
          </cell>
          <cell r="G998">
            <v>3.73</v>
          </cell>
          <cell r="H998" t="str">
            <v>A</v>
          </cell>
          <cell r="I998">
            <v>20201</v>
          </cell>
        </row>
        <row r="999">
          <cell r="A999" t="str">
            <v>F1B017080</v>
          </cell>
          <cell r="B999" t="str">
            <v>RIZKI AMRIYANSYAH</v>
          </cell>
          <cell r="C999">
            <v>20171</v>
          </cell>
          <cell r="D999">
            <v>20</v>
          </cell>
          <cell r="E999">
            <v>2.9</v>
          </cell>
          <cell r="F999">
            <v>20</v>
          </cell>
          <cell r="G999">
            <v>2.9</v>
          </cell>
          <cell r="H999" t="str">
            <v>A</v>
          </cell>
          <cell r="I999">
            <v>20201</v>
          </cell>
        </row>
        <row r="1000">
          <cell r="A1000" t="str">
            <v>F1B017081</v>
          </cell>
          <cell r="B1000" t="str">
            <v>ROSDIANA</v>
          </cell>
          <cell r="C1000">
            <v>20171</v>
          </cell>
          <cell r="D1000">
            <v>20</v>
          </cell>
          <cell r="E1000">
            <v>2.9</v>
          </cell>
          <cell r="F1000">
            <v>20</v>
          </cell>
          <cell r="G1000">
            <v>2.9</v>
          </cell>
          <cell r="H1000" t="str">
            <v>A</v>
          </cell>
          <cell r="I1000">
            <v>20201</v>
          </cell>
        </row>
        <row r="1001">
          <cell r="A1001" t="str">
            <v>F1B017082</v>
          </cell>
          <cell r="B1001" t="str">
            <v>SARIF FAISAL</v>
          </cell>
          <cell r="C1001">
            <v>20171</v>
          </cell>
          <cell r="D1001">
            <v>20</v>
          </cell>
          <cell r="E1001">
            <v>3.2</v>
          </cell>
          <cell r="F1001">
            <v>20</v>
          </cell>
          <cell r="G1001">
            <v>3.2</v>
          </cell>
          <cell r="H1001" t="str">
            <v>A</v>
          </cell>
          <cell r="I1001">
            <v>20201</v>
          </cell>
        </row>
        <row r="1002">
          <cell r="A1002" t="str">
            <v>F1B017083</v>
          </cell>
          <cell r="B1002" t="str">
            <v>SOFIAN ICHSAN MULADI</v>
          </cell>
          <cell r="C1002">
            <v>20171</v>
          </cell>
          <cell r="D1002">
            <v>20</v>
          </cell>
          <cell r="E1002">
            <v>3.33</v>
          </cell>
          <cell r="F1002">
            <v>20</v>
          </cell>
          <cell r="G1002">
            <v>3.33</v>
          </cell>
          <cell r="H1002" t="str">
            <v>A</v>
          </cell>
          <cell r="I1002">
            <v>20201</v>
          </cell>
        </row>
        <row r="1003">
          <cell r="A1003" t="str">
            <v>F1B017084</v>
          </cell>
          <cell r="B1003" t="str">
            <v>SUBHAWAL CHAIR</v>
          </cell>
          <cell r="C1003">
            <v>20171</v>
          </cell>
          <cell r="D1003">
            <v>20</v>
          </cell>
          <cell r="E1003">
            <v>1.9</v>
          </cell>
          <cell r="F1003">
            <v>20</v>
          </cell>
          <cell r="G1003">
            <v>1.9</v>
          </cell>
          <cell r="H1003" t="str">
            <v>A</v>
          </cell>
          <cell r="I1003">
            <v>20201</v>
          </cell>
        </row>
        <row r="1004">
          <cell r="A1004" t="str">
            <v>F1B017085</v>
          </cell>
          <cell r="B1004" t="str">
            <v>SUGANDA ALPAYUS</v>
          </cell>
          <cell r="C1004">
            <v>20171</v>
          </cell>
          <cell r="D1004">
            <v>20</v>
          </cell>
          <cell r="E1004">
            <v>2.9</v>
          </cell>
          <cell r="F1004">
            <v>20</v>
          </cell>
          <cell r="G1004">
            <v>2.9</v>
          </cell>
          <cell r="H1004" t="str">
            <v>A</v>
          </cell>
          <cell r="I1004">
            <v>20201</v>
          </cell>
        </row>
        <row r="1005">
          <cell r="A1005" t="str">
            <v>F1B017086</v>
          </cell>
          <cell r="B1005" t="str">
            <v>SYAMSUL RIZQY</v>
          </cell>
          <cell r="C1005">
            <v>20171</v>
          </cell>
          <cell r="D1005">
            <v>20</v>
          </cell>
          <cell r="E1005">
            <v>2.63</v>
          </cell>
          <cell r="F1005">
            <v>20</v>
          </cell>
          <cell r="G1005">
            <v>2.63</v>
          </cell>
          <cell r="H1005" t="str">
            <v>A</v>
          </cell>
          <cell r="I1005">
            <v>20201</v>
          </cell>
        </row>
        <row r="1006">
          <cell r="A1006" t="str">
            <v>F1B017087</v>
          </cell>
          <cell r="B1006" t="str">
            <v>SYARIF HIDAYATULLAH</v>
          </cell>
          <cell r="C1006">
            <v>20171</v>
          </cell>
          <cell r="D1006">
            <v>20</v>
          </cell>
          <cell r="E1006">
            <v>2.78</v>
          </cell>
          <cell r="F1006">
            <v>20</v>
          </cell>
          <cell r="G1006">
            <v>2.78</v>
          </cell>
          <cell r="H1006" t="str">
            <v>A</v>
          </cell>
          <cell r="I1006">
            <v>20201</v>
          </cell>
        </row>
        <row r="1007">
          <cell r="A1007" t="str">
            <v>F1B017088</v>
          </cell>
          <cell r="B1007" t="str">
            <v>TANDA WARDANA</v>
          </cell>
          <cell r="C1007">
            <v>20171</v>
          </cell>
          <cell r="D1007">
            <v>20</v>
          </cell>
          <cell r="E1007">
            <v>2.68</v>
          </cell>
          <cell r="F1007">
            <v>20</v>
          </cell>
          <cell r="G1007">
            <v>2.68</v>
          </cell>
          <cell r="H1007" t="str">
            <v>A</v>
          </cell>
          <cell r="I1007">
            <v>20201</v>
          </cell>
        </row>
        <row r="1008">
          <cell r="A1008" t="str">
            <v>F1B017089</v>
          </cell>
          <cell r="B1008" t="str">
            <v>TONI YAZID ALBUSTON</v>
          </cell>
          <cell r="C1008">
            <v>20171</v>
          </cell>
          <cell r="D1008">
            <v>20</v>
          </cell>
          <cell r="E1008">
            <v>2.23</v>
          </cell>
          <cell r="F1008">
            <v>20</v>
          </cell>
          <cell r="G1008">
            <v>2.23</v>
          </cell>
          <cell r="H1008" t="str">
            <v>A</v>
          </cell>
          <cell r="I1008">
            <v>20201</v>
          </cell>
        </row>
        <row r="1009">
          <cell r="A1009" t="str">
            <v>F1B017090</v>
          </cell>
          <cell r="B1009" t="str">
            <v>TRI NAFISAH HIDAYATI</v>
          </cell>
          <cell r="C1009">
            <v>20171</v>
          </cell>
          <cell r="D1009">
            <v>20</v>
          </cell>
          <cell r="E1009">
            <v>2.88</v>
          </cell>
          <cell r="F1009">
            <v>20</v>
          </cell>
          <cell r="G1009">
            <v>2.88</v>
          </cell>
          <cell r="H1009" t="str">
            <v>A</v>
          </cell>
          <cell r="I1009">
            <v>20201</v>
          </cell>
        </row>
        <row r="1010">
          <cell r="A1010" t="str">
            <v>F1B017091</v>
          </cell>
          <cell r="B1010" t="str">
            <v>VIRGIAN PUJI HADIANTO</v>
          </cell>
          <cell r="C1010">
            <v>20171</v>
          </cell>
          <cell r="D1010">
            <v>20</v>
          </cell>
          <cell r="E1010">
            <v>2.85</v>
          </cell>
          <cell r="F1010">
            <v>20</v>
          </cell>
          <cell r="G1010">
            <v>2.85</v>
          </cell>
          <cell r="H1010" t="str">
            <v>A</v>
          </cell>
          <cell r="I1010">
            <v>20201</v>
          </cell>
        </row>
        <row r="1011">
          <cell r="A1011" t="str">
            <v>F1B017092</v>
          </cell>
          <cell r="B1011" t="str">
            <v>WAHYATUL ZULKAIDAH</v>
          </cell>
          <cell r="C1011">
            <v>20171</v>
          </cell>
          <cell r="D1011">
            <v>20</v>
          </cell>
          <cell r="E1011">
            <v>2.08</v>
          </cell>
          <cell r="F1011">
            <v>20</v>
          </cell>
          <cell r="G1011">
            <v>2.08</v>
          </cell>
          <cell r="H1011" t="str">
            <v>A</v>
          </cell>
          <cell r="I1011">
            <v>20201</v>
          </cell>
        </row>
        <row r="1012">
          <cell r="A1012" t="str">
            <v>F1B017093</v>
          </cell>
          <cell r="B1012" t="str">
            <v>YANI YUSTIKA MARAWALI</v>
          </cell>
          <cell r="C1012">
            <v>20171</v>
          </cell>
          <cell r="D1012">
            <v>20</v>
          </cell>
          <cell r="E1012">
            <v>3.03</v>
          </cell>
          <cell r="F1012">
            <v>20</v>
          </cell>
          <cell r="G1012">
            <v>3.03</v>
          </cell>
          <cell r="H1012" t="str">
            <v>A</v>
          </cell>
          <cell r="I1012">
            <v>20201</v>
          </cell>
        </row>
        <row r="1013">
          <cell r="A1013" t="str">
            <v>F1B017094</v>
          </cell>
          <cell r="B1013" t="str">
            <v>YURANATA</v>
          </cell>
          <cell r="C1013">
            <v>20171</v>
          </cell>
          <cell r="D1013">
            <v>20</v>
          </cell>
          <cell r="E1013">
            <v>2.7</v>
          </cell>
          <cell r="F1013">
            <v>20</v>
          </cell>
          <cell r="G1013">
            <v>2.7</v>
          </cell>
          <cell r="H1013" t="str">
            <v>A</v>
          </cell>
          <cell r="I1013">
            <v>20201</v>
          </cell>
        </row>
        <row r="1014">
          <cell r="A1014" t="str">
            <v>F1B017095</v>
          </cell>
          <cell r="B1014" t="str">
            <v>YUSRIL IHZA MAHENDRA</v>
          </cell>
          <cell r="C1014">
            <v>20171</v>
          </cell>
          <cell r="D1014">
            <v>20</v>
          </cell>
          <cell r="E1014">
            <v>3.38</v>
          </cell>
          <cell r="F1014">
            <v>20</v>
          </cell>
          <cell r="G1014">
            <v>3.38</v>
          </cell>
          <cell r="H1014" t="str">
            <v>A</v>
          </cell>
          <cell r="I1014">
            <v>20201</v>
          </cell>
        </row>
        <row r="1015">
          <cell r="A1015" t="str">
            <v>F1B017096</v>
          </cell>
          <cell r="B1015" t="str">
            <v>YUSRIL SAEFURRASYID</v>
          </cell>
          <cell r="C1015">
            <v>20171</v>
          </cell>
          <cell r="D1015">
            <v>20</v>
          </cell>
          <cell r="E1015">
            <v>3.13</v>
          </cell>
          <cell r="F1015">
            <v>20</v>
          </cell>
          <cell r="G1015">
            <v>3.13</v>
          </cell>
          <cell r="H1015" t="str">
            <v>A</v>
          </cell>
          <cell r="I1015">
            <v>20201</v>
          </cell>
        </row>
        <row r="1016">
          <cell r="A1016" t="str">
            <v>F1B017097</v>
          </cell>
          <cell r="B1016" t="str">
            <v>ZIHAN RIZKY PARAWANSYAH</v>
          </cell>
          <cell r="C1016">
            <v>20171</v>
          </cell>
          <cell r="D1016">
            <v>20</v>
          </cell>
          <cell r="E1016">
            <v>2.85</v>
          </cell>
          <cell r="F1016">
            <v>20</v>
          </cell>
          <cell r="G1016">
            <v>2.85</v>
          </cell>
          <cell r="H1016" t="str">
            <v>A</v>
          </cell>
          <cell r="I1016">
            <v>20201</v>
          </cell>
        </row>
        <row r="1017">
          <cell r="A1017" t="str">
            <v>F1B017098</v>
          </cell>
          <cell r="B1017" t="str">
            <v>MUHAMMAD ALGHAZ NAWI</v>
          </cell>
          <cell r="C1017">
            <v>20171</v>
          </cell>
          <cell r="D1017">
            <v>20</v>
          </cell>
          <cell r="E1017">
            <v>2.98</v>
          </cell>
          <cell r="F1017">
            <v>20</v>
          </cell>
          <cell r="G1017">
            <v>2.98</v>
          </cell>
          <cell r="H1017" t="str">
            <v>A</v>
          </cell>
          <cell r="I1017">
            <v>20201</v>
          </cell>
        </row>
        <row r="1018">
          <cell r="A1018" t="str">
            <v>F1B211021</v>
          </cell>
          <cell r="B1018" t="str">
            <v>Edwin Saleh</v>
          </cell>
          <cell r="C1018">
            <v>20171</v>
          </cell>
          <cell r="D1018">
            <v>2</v>
          </cell>
          <cell r="E1018">
            <v>0</v>
          </cell>
          <cell r="F1018">
            <v>163</v>
          </cell>
          <cell r="G1018">
            <v>2.74</v>
          </cell>
          <cell r="H1018" t="str">
            <v>A</v>
          </cell>
          <cell r="I1018">
            <v>20201</v>
          </cell>
        </row>
        <row r="1019">
          <cell r="A1019" t="str">
            <v>F1B211024</v>
          </cell>
          <cell r="B1019" t="str">
            <v>Eskayanti Usi Awalia</v>
          </cell>
          <cell r="C1019">
            <v>20171</v>
          </cell>
          <cell r="D1019">
            <v>0</v>
          </cell>
          <cell r="E1019">
            <v>0</v>
          </cell>
          <cell r="F1019">
            <v>175</v>
          </cell>
          <cell r="G1019">
            <v>2.54</v>
          </cell>
          <cell r="H1019" t="str">
            <v>A</v>
          </cell>
          <cell r="I1019">
            <v>20201</v>
          </cell>
        </row>
        <row r="1020">
          <cell r="A1020" t="str">
            <v>F1B211029</v>
          </cell>
          <cell r="B1020" t="str">
            <v>Gessy Anggraeni</v>
          </cell>
          <cell r="C1020">
            <v>20171</v>
          </cell>
          <cell r="D1020">
            <v>0</v>
          </cell>
          <cell r="E1020">
            <v>0</v>
          </cell>
          <cell r="F1020">
            <v>131</v>
          </cell>
          <cell r="G1020">
            <v>1.95</v>
          </cell>
          <cell r="H1020" t="str">
            <v>A</v>
          </cell>
          <cell r="I1020">
            <v>20201</v>
          </cell>
        </row>
        <row r="1021">
          <cell r="A1021" t="str">
            <v>F1B211060</v>
          </cell>
          <cell r="B1021" t="str">
            <v>Muhammad Bilal Bin A.</v>
          </cell>
          <cell r="C1021">
            <v>20171</v>
          </cell>
          <cell r="D1021">
            <v>0</v>
          </cell>
          <cell r="E1021">
            <v>0</v>
          </cell>
          <cell r="F1021">
            <v>39</v>
          </cell>
          <cell r="G1021">
            <v>1.78</v>
          </cell>
          <cell r="H1021" t="str">
            <v>A</v>
          </cell>
          <cell r="I1021">
            <v>20201</v>
          </cell>
        </row>
        <row r="1022">
          <cell r="A1022" t="str">
            <v>F1B211065</v>
          </cell>
          <cell r="B1022" t="str">
            <v>Niswatun Hasanah</v>
          </cell>
          <cell r="C1022">
            <v>20171</v>
          </cell>
          <cell r="D1022">
            <v>0</v>
          </cell>
          <cell r="E1022">
            <v>0</v>
          </cell>
          <cell r="F1022">
            <v>149</v>
          </cell>
          <cell r="G1022">
            <v>3.34</v>
          </cell>
          <cell r="H1022" t="str">
            <v>A</v>
          </cell>
          <cell r="I1022">
            <v>20201</v>
          </cell>
        </row>
        <row r="1023">
          <cell r="A1023" t="str">
            <v>F1B211073</v>
          </cell>
          <cell r="B1023" t="str">
            <v>Rezky Gallant Charis</v>
          </cell>
          <cell r="C1023">
            <v>20171</v>
          </cell>
          <cell r="D1023">
            <v>0</v>
          </cell>
          <cell r="E1023">
            <v>0</v>
          </cell>
          <cell r="F1023">
            <v>37</v>
          </cell>
          <cell r="G1023">
            <v>0</v>
          </cell>
          <cell r="H1023" t="str">
            <v>A</v>
          </cell>
          <cell r="I1023">
            <v>20201</v>
          </cell>
        </row>
        <row r="1024">
          <cell r="A1024" t="str">
            <v>F1B211082</v>
          </cell>
          <cell r="B1024" t="str">
            <v>Yuli Hartini</v>
          </cell>
          <cell r="C1024">
            <v>20171</v>
          </cell>
          <cell r="D1024">
            <v>0</v>
          </cell>
          <cell r="E1024">
            <v>0</v>
          </cell>
          <cell r="F1024">
            <v>160</v>
          </cell>
          <cell r="G1024">
            <v>3.12</v>
          </cell>
          <cell r="H1024" t="str">
            <v>A</v>
          </cell>
          <cell r="I1024">
            <v>20201</v>
          </cell>
        </row>
        <row r="1025">
          <cell r="A1025" t="str">
            <v>F1B211083</v>
          </cell>
          <cell r="B1025" t="str">
            <v>Suliati Aini</v>
          </cell>
          <cell r="C1025">
            <v>20171</v>
          </cell>
          <cell r="D1025">
            <v>0</v>
          </cell>
          <cell r="E1025">
            <v>0</v>
          </cell>
          <cell r="F1025">
            <v>178</v>
          </cell>
          <cell r="G1025">
            <v>2.58</v>
          </cell>
          <cell r="H1025" t="str">
            <v>A</v>
          </cell>
          <cell r="I1025">
            <v>20201</v>
          </cell>
        </row>
        <row r="1026">
          <cell r="A1026" t="str">
            <v>F1B211094</v>
          </cell>
          <cell r="B1026" t="str">
            <v>Yusron Al Misri</v>
          </cell>
          <cell r="C1026">
            <v>20171</v>
          </cell>
          <cell r="D1026">
            <v>0</v>
          </cell>
          <cell r="E1026">
            <v>0</v>
          </cell>
          <cell r="F1026">
            <v>160</v>
          </cell>
          <cell r="G1026">
            <v>2.66</v>
          </cell>
          <cell r="H1026" t="str">
            <v>A</v>
          </cell>
          <cell r="I1026">
            <v>20201</v>
          </cell>
        </row>
        <row r="1027">
          <cell r="A1027" t="str">
            <v>F1B212008</v>
          </cell>
          <cell r="B1027" t="str">
            <v>Ali Farhan</v>
          </cell>
          <cell r="C1027">
            <v>20171</v>
          </cell>
          <cell r="D1027">
            <v>14</v>
          </cell>
          <cell r="E1027">
            <v>3.32</v>
          </cell>
          <cell r="F1027">
            <v>139</v>
          </cell>
          <cell r="G1027">
            <v>2.24</v>
          </cell>
          <cell r="H1027" t="str">
            <v>A</v>
          </cell>
          <cell r="I1027">
            <v>20201</v>
          </cell>
        </row>
        <row r="1028">
          <cell r="A1028" t="str">
            <v>F1B212015</v>
          </cell>
          <cell r="B1028" t="str">
            <v>Arif Tirtana Nirman</v>
          </cell>
          <cell r="C1028">
            <v>20171</v>
          </cell>
          <cell r="D1028">
            <v>0</v>
          </cell>
          <cell r="E1028">
            <v>0</v>
          </cell>
          <cell r="F1028">
            <v>20</v>
          </cell>
          <cell r="G1028">
            <v>0</v>
          </cell>
          <cell r="H1028" t="str">
            <v>A</v>
          </cell>
          <cell r="I1028">
            <v>20201</v>
          </cell>
        </row>
        <row r="1029">
          <cell r="A1029" t="str">
            <v>F1B212016</v>
          </cell>
          <cell r="B1029" t="str">
            <v>Arry Ardyawan</v>
          </cell>
          <cell r="C1029">
            <v>20171</v>
          </cell>
          <cell r="D1029">
            <v>0</v>
          </cell>
          <cell r="E1029">
            <v>0</v>
          </cell>
          <cell r="F1029">
            <v>20</v>
          </cell>
          <cell r="G1029">
            <v>0.15</v>
          </cell>
          <cell r="H1029" t="str">
            <v>A</v>
          </cell>
          <cell r="I1029">
            <v>20201</v>
          </cell>
        </row>
        <row r="1030">
          <cell r="A1030" t="str">
            <v>F1B212027</v>
          </cell>
          <cell r="B1030" t="str">
            <v>Erwinsyah</v>
          </cell>
          <cell r="C1030">
            <v>20171</v>
          </cell>
          <cell r="D1030">
            <v>5</v>
          </cell>
          <cell r="E1030">
            <v>1.8</v>
          </cell>
          <cell r="F1030">
            <v>172</v>
          </cell>
          <cell r="G1030">
            <v>2.65</v>
          </cell>
          <cell r="H1030" t="str">
            <v>A</v>
          </cell>
          <cell r="I1030">
            <v>20201</v>
          </cell>
        </row>
        <row r="1031">
          <cell r="A1031" t="str">
            <v>F1B212028</v>
          </cell>
          <cell r="B1031" t="str">
            <v>Eva Satriana Putra</v>
          </cell>
          <cell r="C1031">
            <v>20171</v>
          </cell>
          <cell r="D1031">
            <v>0</v>
          </cell>
          <cell r="E1031">
            <v>0</v>
          </cell>
          <cell r="F1031">
            <v>36</v>
          </cell>
          <cell r="G1031">
            <v>0.83</v>
          </cell>
          <cell r="H1031" t="str">
            <v>A</v>
          </cell>
          <cell r="I1031">
            <v>20201</v>
          </cell>
        </row>
        <row r="1032">
          <cell r="A1032" t="str">
            <v>F1B212029</v>
          </cell>
          <cell r="B1032" t="str">
            <v>Fadhli Indrawan</v>
          </cell>
          <cell r="C1032">
            <v>20171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 t="str">
            <v>A</v>
          </cell>
          <cell r="I1032">
            <v>20201</v>
          </cell>
        </row>
        <row r="1033">
          <cell r="A1033" t="str">
            <v>F1B212032</v>
          </cell>
          <cell r="B1033" t="str">
            <v>Firman Mulyawan</v>
          </cell>
          <cell r="C1033">
            <v>20171</v>
          </cell>
          <cell r="D1033">
            <v>0</v>
          </cell>
          <cell r="E1033">
            <v>0</v>
          </cell>
          <cell r="F1033">
            <v>30</v>
          </cell>
          <cell r="G1033">
            <v>0.17</v>
          </cell>
          <cell r="H1033" t="str">
            <v>A</v>
          </cell>
          <cell r="I1033">
            <v>20201</v>
          </cell>
        </row>
        <row r="1034">
          <cell r="A1034" t="str">
            <v>F1B212033</v>
          </cell>
          <cell r="B1034" t="str">
            <v>Gilang Ramadhan</v>
          </cell>
          <cell r="C1034">
            <v>20171</v>
          </cell>
          <cell r="D1034">
            <v>0</v>
          </cell>
          <cell r="E1034">
            <v>0</v>
          </cell>
          <cell r="F1034">
            <v>43</v>
          </cell>
          <cell r="G1034">
            <v>0.65</v>
          </cell>
          <cell r="H1034" t="str">
            <v>A</v>
          </cell>
          <cell r="I1034">
            <v>20201</v>
          </cell>
        </row>
        <row r="1035">
          <cell r="A1035" t="str">
            <v>F1B212034</v>
          </cell>
          <cell r="B1035" t="str">
            <v>Haerul Hidayat</v>
          </cell>
          <cell r="C1035">
            <v>20171</v>
          </cell>
          <cell r="D1035">
            <v>0</v>
          </cell>
          <cell r="E1035">
            <v>0</v>
          </cell>
          <cell r="F1035">
            <v>91</v>
          </cell>
          <cell r="G1035">
            <v>1.51</v>
          </cell>
          <cell r="H1035" t="str">
            <v>A</v>
          </cell>
          <cell r="I1035">
            <v>20201</v>
          </cell>
        </row>
        <row r="1036">
          <cell r="A1036" t="str">
            <v>F1B212038</v>
          </cell>
          <cell r="B1036" t="str">
            <v>Heni Edrianti</v>
          </cell>
          <cell r="C1036">
            <v>20171</v>
          </cell>
          <cell r="D1036">
            <v>13</v>
          </cell>
          <cell r="E1036">
            <v>1.23</v>
          </cell>
          <cell r="F1036">
            <v>197</v>
          </cell>
          <cell r="G1036">
            <v>2.32</v>
          </cell>
          <cell r="H1036" t="str">
            <v>A</v>
          </cell>
          <cell r="I1036">
            <v>20201</v>
          </cell>
        </row>
        <row r="1037">
          <cell r="A1037" t="str">
            <v>F1B212040</v>
          </cell>
          <cell r="B1037" t="str">
            <v>I Made Puja Artana</v>
          </cell>
          <cell r="C1037">
            <v>20171</v>
          </cell>
          <cell r="D1037">
            <v>0</v>
          </cell>
          <cell r="E1037">
            <v>0</v>
          </cell>
          <cell r="F1037">
            <v>148</v>
          </cell>
          <cell r="G1037">
            <v>2.89</v>
          </cell>
          <cell r="H1037" t="str">
            <v>A</v>
          </cell>
          <cell r="I1037">
            <v>20201</v>
          </cell>
        </row>
        <row r="1038">
          <cell r="A1038" t="str">
            <v>F1B212041</v>
          </cell>
          <cell r="B1038" t="str">
            <v>I Putu Andika P</v>
          </cell>
          <cell r="C1038">
            <v>20171</v>
          </cell>
          <cell r="D1038">
            <v>0</v>
          </cell>
          <cell r="E1038">
            <v>0</v>
          </cell>
          <cell r="F1038">
            <v>154</v>
          </cell>
          <cell r="G1038">
            <v>3.46</v>
          </cell>
          <cell r="H1038" t="str">
            <v>A</v>
          </cell>
          <cell r="I1038">
            <v>20201</v>
          </cell>
        </row>
        <row r="1039">
          <cell r="A1039" t="str">
            <v>F1B212052</v>
          </cell>
          <cell r="B1039" t="str">
            <v>Lalu Saukat Noorbani</v>
          </cell>
          <cell r="C1039">
            <v>20171</v>
          </cell>
          <cell r="D1039">
            <v>0</v>
          </cell>
          <cell r="E1039">
            <v>0</v>
          </cell>
          <cell r="F1039">
            <v>84</v>
          </cell>
          <cell r="G1039">
            <v>1.72</v>
          </cell>
          <cell r="H1039" t="str">
            <v>A</v>
          </cell>
          <cell r="I1039">
            <v>20201</v>
          </cell>
        </row>
        <row r="1040">
          <cell r="A1040" t="str">
            <v>F1B212053</v>
          </cell>
          <cell r="B1040" t="str">
            <v>Lia Puspitawati</v>
          </cell>
          <cell r="C1040">
            <v>20171</v>
          </cell>
          <cell r="D1040">
            <v>12</v>
          </cell>
          <cell r="E1040">
            <v>3.25</v>
          </cell>
          <cell r="F1040">
            <v>177</v>
          </cell>
          <cell r="G1040">
            <v>2.67</v>
          </cell>
          <cell r="H1040" t="str">
            <v>A</v>
          </cell>
          <cell r="I1040">
            <v>20201</v>
          </cell>
        </row>
        <row r="1041">
          <cell r="A1041" t="str">
            <v>F1B212054</v>
          </cell>
          <cell r="B1041" t="str">
            <v>M. Novan Subandi</v>
          </cell>
          <cell r="C1041">
            <v>20171</v>
          </cell>
          <cell r="D1041">
            <v>0</v>
          </cell>
          <cell r="E1041">
            <v>0</v>
          </cell>
          <cell r="F1041">
            <v>33</v>
          </cell>
          <cell r="G1041">
            <v>0.58</v>
          </cell>
          <cell r="H1041" t="str">
            <v>A</v>
          </cell>
          <cell r="I1041">
            <v>20201</v>
          </cell>
        </row>
        <row r="1042">
          <cell r="A1042" t="str">
            <v>F1B212059</v>
          </cell>
          <cell r="B1042" t="str">
            <v>Maseus Nabasa S</v>
          </cell>
          <cell r="C1042">
            <v>20171</v>
          </cell>
          <cell r="D1042">
            <v>0</v>
          </cell>
          <cell r="E1042">
            <v>0</v>
          </cell>
          <cell r="F1042">
            <v>152</v>
          </cell>
          <cell r="G1042">
            <v>2.92</v>
          </cell>
          <cell r="H1042" t="str">
            <v>A</v>
          </cell>
          <cell r="I1042">
            <v>20201</v>
          </cell>
        </row>
        <row r="1043">
          <cell r="A1043" t="str">
            <v>F1B212066</v>
          </cell>
          <cell r="B1043" t="str">
            <v>Muhammad Nauval</v>
          </cell>
          <cell r="C1043">
            <v>20171</v>
          </cell>
          <cell r="D1043">
            <v>8</v>
          </cell>
          <cell r="E1043">
            <v>1.31</v>
          </cell>
          <cell r="F1043">
            <v>168</v>
          </cell>
          <cell r="G1043">
            <v>2.54</v>
          </cell>
          <cell r="H1043" t="str">
            <v>A</v>
          </cell>
          <cell r="I1043">
            <v>20201</v>
          </cell>
        </row>
        <row r="1044">
          <cell r="A1044" t="str">
            <v>F1B212068</v>
          </cell>
          <cell r="B1044" t="str">
            <v>Muhammad Tabrani</v>
          </cell>
          <cell r="C1044">
            <v>20171</v>
          </cell>
          <cell r="D1044">
            <v>0</v>
          </cell>
          <cell r="E1044">
            <v>0</v>
          </cell>
          <cell r="F1044">
            <v>67</v>
          </cell>
          <cell r="G1044">
            <v>1.02</v>
          </cell>
          <cell r="H1044" t="str">
            <v>A</v>
          </cell>
          <cell r="I1044">
            <v>20201</v>
          </cell>
        </row>
        <row r="1045">
          <cell r="A1045" t="str">
            <v>F1B212073</v>
          </cell>
          <cell r="B1045" t="str">
            <v>Nurfazilah</v>
          </cell>
          <cell r="C1045">
            <v>20171</v>
          </cell>
          <cell r="D1045">
            <v>0</v>
          </cell>
          <cell r="E1045">
            <v>0</v>
          </cell>
          <cell r="F1045">
            <v>101</v>
          </cell>
          <cell r="G1045">
            <v>2.36</v>
          </cell>
          <cell r="H1045" t="str">
            <v>A</v>
          </cell>
          <cell r="I1045">
            <v>20201</v>
          </cell>
        </row>
        <row r="1046">
          <cell r="A1046" t="str">
            <v>F1B212080</v>
          </cell>
          <cell r="B1046" t="str">
            <v>Ratu Alfa Febriani</v>
          </cell>
          <cell r="C1046">
            <v>20171</v>
          </cell>
          <cell r="D1046">
            <v>14</v>
          </cell>
          <cell r="E1046">
            <v>0.43</v>
          </cell>
          <cell r="F1046">
            <v>133</v>
          </cell>
          <cell r="G1046">
            <v>1.54</v>
          </cell>
          <cell r="H1046" t="str">
            <v>A</v>
          </cell>
          <cell r="I1046">
            <v>20201</v>
          </cell>
        </row>
        <row r="1047">
          <cell r="A1047" t="str">
            <v>F1B212084</v>
          </cell>
          <cell r="B1047" t="str">
            <v>Rizal Satria Aryadi</v>
          </cell>
          <cell r="C1047">
            <v>20171</v>
          </cell>
          <cell r="D1047">
            <v>7</v>
          </cell>
          <cell r="E1047">
            <v>0</v>
          </cell>
          <cell r="F1047">
            <v>181</v>
          </cell>
          <cell r="G1047">
            <v>2.52</v>
          </cell>
          <cell r="H1047" t="str">
            <v>A</v>
          </cell>
          <cell r="I1047">
            <v>20201</v>
          </cell>
        </row>
        <row r="1048">
          <cell r="A1048" t="str">
            <v>F1B212090</v>
          </cell>
          <cell r="B1048" t="str">
            <v>Suhaili Rahman</v>
          </cell>
          <cell r="C1048">
            <v>20171</v>
          </cell>
          <cell r="D1048">
            <v>10</v>
          </cell>
          <cell r="E1048">
            <v>2.4</v>
          </cell>
          <cell r="F1048">
            <v>156</v>
          </cell>
          <cell r="G1048">
            <v>2.18</v>
          </cell>
          <cell r="H1048" t="str">
            <v>A</v>
          </cell>
          <cell r="I1048">
            <v>20201</v>
          </cell>
        </row>
        <row r="1049">
          <cell r="A1049" t="str">
            <v>F1B212099</v>
          </cell>
          <cell r="B1049" t="str">
            <v>Yuristira Furqon</v>
          </cell>
          <cell r="C1049">
            <v>20171</v>
          </cell>
          <cell r="D1049">
            <v>0</v>
          </cell>
          <cell r="E1049">
            <v>0</v>
          </cell>
          <cell r="F1049">
            <v>45</v>
          </cell>
          <cell r="G1049">
            <v>1.16</v>
          </cell>
          <cell r="H1049" t="str">
            <v>A</v>
          </cell>
          <cell r="I1049">
            <v>20201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 t="str">
            <v>ES1101</v>
          </cell>
          <cell r="D5" t="str">
            <v>AGAMA ISLAM</v>
          </cell>
          <cell r="E5">
            <v>2</v>
          </cell>
          <cell r="F5">
            <v>2</v>
          </cell>
        </row>
        <row r="5">
          <cell r="J5">
            <v>1</v>
          </cell>
          <cell r="K5">
            <v>1</v>
          </cell>
          <cell r="L5" t="str">
            <v>ES1101</v>
          </cell>
        </row>
        <row r="6">
          <cell r="C6" t="str">
            <v>ES1102</v>
          </cell>
          <cell r="D6" t="str">
            <v>BAHASA INGGRIS AKADEMIK</v>
          </cell>
          <cell r="E6">
            <v>2</v>
          </cell>
          <cell r="F6">
            <v>2</v>
          </cell>
        </row>
        <row r="6">
          <cell r="J6">
            <v>1</v>
          </cell>
          <cell r="K6">
            <v>1</v>
          </cell>
          <cell r="L6" t="str">
            <v>ES1102</v>
          </cell>
        </row>
        <row r="7">
          <cell r="C7" t="str">
            <v>ES1103</v>
          </cell>
          <cell r="D7" t="str">
            <v>FISIKA I</v>
          </cell>
          <cell r="E7">
            <v>3</v>
          </cell>
          <cell r="F7">
            <v>3</v>
          </cell>
        </row>
        <row r="7">
          <cell r="J7">
            <v>1</v>
          </cell>
          <cell r="K7">
            <v>1</v>
          </cell>
          <cell r="L7" t="str">
            <v>ES1103</v>
          </cell>
        </row>
        <row r="8">
          <cell r="C8" t="str">
            <v>ES1104</v>
          </cell>
          <cell r="D8" t="str">
            <v>KALKULUS I</v>
          </cell>
          <cell r="E8">
            <v>3</v>
          </cell>
          <cell r="F8">
            <v>3</v>
          </cell>
        </row>
        <row r="8">
          <cell r="J8">
            <v>1</v>
          </cell>
          <cell r="K8">
            <v>1</v>
          </cell>
          <cell r="L8" t="str">
            <v>ES1104</v>
          </cell>
        </row>
        <row r="9">
          <cell r="C9" t="str">
            <v>ES1105</v>
          </cell>
          <cell r="D9" t="str">
            <v>BAHAN LISTRIK</v>
          </cell>
          <cell r="E9">
            <v>2</v>
          </cell>
          <cell r="F9">
            <v>2</v>
          </cell>
        </row>
        <row r="9">
          <cell r="J9">
            <v>1</v>
          </cell>
          <cell r="K9">
            <v>1</v>
          </cell>
          <cell r="L9" t="str">
            <v>ES1105</v>
          </cell>
        </row>
        <row r="10">
          <cell r="C10" t="str">
            <v>ES1106</v>
          </cell>
          <cell r="D10" t="str">
            <v>KONSEP SAINS DAN TEKNOLOGI</v>
          </cell>
          <cell r="E10">
            <v>2</v>
          </cell>
          <cell r="F10">
            <v>2</v>
          </cell>
        </row>
        <row r="10">
          <cell r="J10">
            <v>1</v>
          </cell>
          <cell r="K10">
            <v>1</v>
          </cell>
          <cell r="L10" t="str">
            <v>ES1106</v>
          </cell>
        </row>
        <row r="11">
          <cell r="C11" t="str">
            <v>ES1107</v>
          </cell>
          <cell r="D11" t="str">
            <v>GAMBAR TEKNIK</v>
          </cell>
          <cell r="E11">
            <v>2</v>
          </cell>
          <cell r="F11">
            <v>2</v>
          </cell>
        </row>
        <row r="11">
          <cell r="J11">
            <v>1</v>
          </cell>
          <cell r="K11">
            <v>1</v>
          </cell>
          <cell r="L11" t="str">
            <v>ES1107</v>
          </cell>
        </row>
        <row r="12">
          <cell r="C12" t="str">
            <v>ES1108</v>
          </cell>
          <cell r="D12" t="str">
            <v>DASAR TEKNOLOGI INFORMASI</v>
          </cell>
          <cell r="E12">
            <v>3</v>
          </cell>
          <cell r="F12">
            <v>3</v>
          </cell>
        </row>
        <row r="12">
          <cell r="J12">
            <v>1</v>
          </cell>
          <cell r="K12">
            <v>1</v>
          </cell>
          <cell r="L12" t="str">
            <v>ES1108</v>
          </cell>
        </row>
        <row r="13">
          <cell r="C13" t="str">
            <v>ES1149</v>
          </cell>
          <cell r="D13" t="str">
            <v>AGAMA KRISTEN KATOLIK</v>
          </cell>
          <cell r="E13">
            <v>2</v>
          </cell>
          <cell r="F13">
            <v>2</v>
          </cell>
        </row>
        <row r="13">
          <cell r="J13">
            <v>1</v>
          </cell>
          <cell r="K13">
            <v>1</v>
          </cell>
          <cell r="L13" t="str">
            <v>ES1149</v>
          </cell>
        </row>
        <row r="14">
          <cell r="C14" t="str">
            <v>ES1150</v>
          </cell>
          <cell r="D14" t="str">
            <v>AGAMA KRISTEN PROTESTAN</v>
          </cell>
          <cell r="E14">
            <v>2</v>
          </cell>
          <cell r="F14">
            <v>2</v>
          </cell>
        </row>
        <row r="14">
          <cell r="J14">
            <v>1</v>
          </cell>
          <cell r="K14">
            <v>1</v>
          </cell>
          <cell r="L14" t="str">
            <v>ES1150</v>
          </cell>
        </row>
        <row r="15">
          <cell r="C15" t="str">
            <v>ES1151</v>
          </cell>
          <cell r="D15" t="str">
            <v>AGAMA HINDU</v>
          </cell>
          <cell r="E15">
            <v>2</v>
          </cell>
          <cell r="F15">
            <v>2</v>
          </cell>
        </row>
        <row r="15">
          <cell r="J15">
            <v>1</v>
          </cell>
          <cell r="K15">
            <v>1</v>
          </cell>
          <cell r="L15" t="str">
            <v>ES1151</v>
          </cell>
        </row>
        <row r="16">
          <cell r="C16" t="str">
            <v>ES1152</v>
          </cell>
          <cell r="D16" t="str">
            <v>AGAMA BUDHA</v>
          </cell>
          <cell r="E16">
            <v>2</v>
          </cell>
          <cell r="F16">
            <v>2</v>
          </cell>
        </row>
        <row r="16">
          <cell r="J16">
            <v>1</v>
          </cell>
          <cell r="K16">
            <v>1</v>
          </cell>
          <cell r="L16" t="str">
            <v>ES1152</v>
          </cell>
        </row>
        <row r="17">
          <cell r="C17" t="str">
            <v>TPB11211</v>
          </cell>
          <cell r="D17" t="str">
            <v>BIOLOGI DASAR</v>
          </cell>
          <cell r="E17">
            <v>3</v>
          </cell>
          <cell r="F17">
            <v>2</v>
          </cell>
          <cell r="G17">
            <v>1</v>
          </cell>
        </row>
        <row r="17">
          <cell r="J17">
            <v>1</v>
          </cell>
          <cell r="K17">
            <v>1</v>
          </cell>
          <cell r="L17" t="str">
            <v>TPB11211</v>
          </cell>
        </row>
        <row r="18">
          <cell r="C18" t="str">
            <v>TPB12301</v>
          </cell>
          <cell r="D18" t="str">
            <v>MATEMATIKA DASAR</v>
          </cell>
          <cell r="E18">
            <v>3</v>
          </cell>
          <cell r="F18">
            <v>3</v>
          </cell>
        </row>
        <row r="18">
          <cell r="J18">
            <v>1</v>
          </cell>
          <cell r="K18">
            <v>1</v>
          </cell>
          <cell r="L18" t="str">
            <v>TPB12301</v>
          </cell>
        </row>
        <row r="19">
          <cell r="C19" t="str">
            <v>ES1209</v>
          </cell>
          <cell r="D19" t="str">
            <v>PEMBANGUNAN KARAKTER</v>
          </cell>
          <cell r="E19">
            <v>2</v>
          </cell>
          <cell r="F19">
            <v>2</v>
          </cell>
        </row>
        <row r="19">
          <cell r="J19">
            <v>2</v>
          </cell>
          <cell r="K19">
            <v>1</v>
          </cell>
          <cell r="L19" t="str">
            <v>ES1209</v>
          </cell>
        </row>
        <row r="20">
          <cell r="C20" t="str">
            <v>ES1210</v>
          </cell>
          <cell r="D20" t="str">
            <v>FISIKA II</v>
          </cell>
          <cell r="E20">
            <v>3</v>
          </cell>
          <cell r="F20">
            <v>3</v>
          </cell>
        </row>
        <row r="20">
          <cell r="J20">
            <v>2</v>
          </cell>
          <cell r="K20">
            <v>1</v>
          </cell>
          <cell r="L20" t="str">
            <v>ES1210</v>
          </cell>
        </row>
        <row r="21">
          <cell r="C21" t="str">
            <v>ES1211</v>
          </cell>
          <cell r="D21" t="str">
            <v>KALKULUS II</v>
          </cell>
          <cell r="E21">
            <v>2</v>
          </cell>
          <cell r="F21">
            <v>2</v>
          </cell>
        </row>
        <row r="21">
          <cell r="J21">
            <v>2</v>
          </cell>
          <cell r="K21">
            <v>1</v>
          </cell>
          <cell r="L21" t="str">
            <v>ES1211</v>
          </cell>
        </row>
        <row r="22">
          <cell r="C22" t="str">
            <v>ES1212</v>
          </cell>
          <cell r="D22" t="str">
            <v>RANGKAIAN LISTRIK I</v>
          </cell>
          <cell r="E22">
            <v>3</v>
          </cell>
          <cell r="F22">
            <v>3</v>
          </cell>
        </row>
        <row r="22">
          <cell r="J22">
            <v>2</v>
          </cell>
          <cell r="K22">
            <v>1</v>
          </cell>
          <cell r="L22" t="str">
            <v>ES1212</v>
          </cell>
        </row>
        <row r="23">
          <cell r="C23" t="str">
            <v>ES1213</v>
          </cell>
          <cell r="D23" t="str">
            <v>RANGKAIAN LOGIKA</v>
          </cell>
          <cell r="E23">
            <v>2</v>
          </cell>
          <cell r="F23">
            <v>2</v>
          </cell>
        </row>
        <row r="23">
          <cell r="J23">
            <v>2</v>
          </cell>
          <cell r="K23">
            <v>1</v>
          </cell>
          <cell r="L23" t="str">
            <v>ES1213</v>
          </cell>
        </row>
        <row r="24">
          <cell r="C24" t="str">
            <v>ES1214</v>
          </cell>
          <cell r="D24" t="str">
            <v>PRAKTIKUM RANGKAIAN LOGIKA</v>
          </cell>
          <cell r="E24">
            <v>1</v>
          </cell>
        </row>
        <row r="24">
          <cell r="G24">
            <v>1</v>
          </cell>
        </row>
        <row r="24">
          <cell r="J24">
            <v>2</v>
          </cell>
          <cell r="K24">
            <v>1</v>
          </cell>
          <cell r="L24" t="str">
            <v>ES1214</v>
          </cell>
        </row>
        <row r="25">
          <cell r="C25" t="str">
            <v>ES1215</v>
          </cell>
          <cell r="D25" t="str">
            <v>ALGORITMA DAN PEMROGRAMAN</v>
          </cell>
          <cell r="E25">
            <v>2</v>
          </cell>
          <cell r="F25">
            <v>2</v>
          </cell>
        </row>
        <row r="25">
          <cell r="J25">
            <v>2</v>
          </cell>
          <cell r="K25">
            <v>1</v>
          </cell>
          <cell r="L25" t="str">
            <v>ES1215</v>
          </cell>
        </row>
        <row r="26">
          <cell r="C26" t="str">
            <v>ES1216</v>
          </cell>
          <cell r="D26" t="str">
            <v>PRAKTKUM ALGORITMA DAN PEMROGRAMAN</v>
          </cell>
          <cell r="E26">
            <v>1</v>
          </cell>
        </row>
        <row r="26">
          <cell r="G26">
            <v>1</v>
          </cell>
        </row>
        <row r="26">
          <cell r="J26">
            <v>2</v>
          </cell>
          <cell r="K26">
            <v>1</v>
          </cell>
          <cell r="L26" t="str">
            <v>ES1216</v>
          </cell>
        </row>
        <row r="27">
          <cell r="C27" t="str">
            <v>ES1217</v>
          </cell>
          <cell r="D27" t="str">
            <v>DASAR TELEKOMUNIKASI</v>
          </cell>
          <cell r="E27">
            <v>3</v>
          </cell>
          <cell r="F27">
            <v>3</v>
          </cell>
        </row>
        <row r="27">
          <cell r="J27">
            <v>2</v>
          </cell>
          <cell r="K27">
            <v>1</v>
          </cell>
          <cell r="L27" t="str">
            <v>ES1217</v>
          </cell>
        </row>
        <row r="28">
          <cell r="C28" t="str">
            <v>TPB13212</v>
          </cell>
          <cell r="D28" t="str">
            <v>KIMIA DASAR</v>
          </cell>
          <cell r="E28">
            <v>3</v>
          </cell>
          <cell r="F28">
            <v>2</v>
          </cell>
          <cell r="G28">
            <v>1</v>
          </cell>
        </row>
        <row r="28">
          <cell r="J28">
            <v>2</v>
          </cell>
          <cell r="K28">
            <v>1</v>
          </cell>
          <cell r="L28" t="str">
            <v>TPB13212</v>
          </cell>
        </row>
        <row r="29">
          <cell r="C29" t="str">
            <v>TPB14212</v>
          </cell>
          <cell r="D29" t="str">
            <v>FISIKA DASAR</v>
          </cell>
          <cell r="E29">
            <v>3</v>
          </cell>
          <cell r="F29">
            <v>2</v>
          </cell>
          <cell r="G29">
            <v>1</v>
          </cell>
        </row>
        <row r="29">
          <cell r="J29">
            <v>2</v>
          </cell>
          <cell r="K29">
            <v>1</v>
          </cell>
          <cell r="L29" t="str">
            <v>TPB14212</v>
          </cell>
        </row>
        <row r="30">
          <cell r="C30" t="str">
            <v>ES2118</v>
          </cell>
          <cell r="D30" t="str">
            <v>MATEMATIKA TEKNIK I</v>
          </cell>
          <cell r="E30">
            <v>3</v>
          </cell>
          <cell r="F30">
            <v>3</v>
          </cell>
        </row>
        <row r="30">
          <cell r="J30">
            <v>3</v>
          </cell>
          <cell r="K30">
            <v>1</v>
          </cell>
          <cell r="L30" t="str">
            <v>ES2118</v>
          </cell>
        </row>
        <row r="31">
          <cell r="C31" t="str">
            <v>ES2119</v>
          </cell>
          <cell r="D31" t="str">
            <v>PROBABILITAS DAN STATISTIK</v>
          </cell>
          <cell r="E31">
            <v>2</v>
          </cell>
          <cell r="F31">
            <v>2</v>
          </cell>
        </row>
        <row r="31">
          <cell r="J31">
            <v>3</v>
          </cell>
          <cell r="K31">
            <v>1</v>
          </cell>
          <cell r="L31" t="str">
            <v>ES2119</v>
          </cell>
        </row>
        <row r="32">
          <cell r="C32" t="str">
            <v>ES2120</v>
          </cell>
          <cell r="D32" t="str">
            <v>PRAKTIKUM FISIKA</v>
          </cell>
          <cell r="E32">
            <v>1</v>
          </cell>
        </row>
        <row r="32">
          <cell r="G32">
            <v>1</v>
          </cell>
        </row>
        <row r="32">
          <cell r="J32">
            <v>3</v>
          </cell>
          <cell r="K32">
            <v>1</v>
          </cell>
          <cell r="L32" t="str">
            <v>ES2120</v>
          </cell>
        </row>
        <row r="33">
          <cell r="C33" t="str">
            <v>ES2121</v>
          </cell>
          <cell r="D33" t="str">
            <v>RANGKAIAN LISTRIK II</v>
          </cell>
          <cell r="E33">
            <v>3</v>
          </cell>
          <cell r="F33">
            <v>3</v>
          </cell>
        </row>
        <row r="33">
          <cell r="J33">
            <v>3</v>
          </cell>
          <cell r="K33">
            <v>1</v>
          </cell>
          <cell r="L33" t="str">
            <v>ES2121</v>
          </cell>
        </row>
        <row r="34">
          <cell r="C34" t="str">
            <v>ES2122</v>
          </cell>
          <cell r="D34" t="str">
            <v>PENGUKURAN BESARAN LISTRIK</v>
          </cell>
          <cell r="E34">
            <v>2</v>
          </cell>
          <cell r="F34">
            <v>2</v>
          </cell>
        </row>
        <row r="34">
          <cell r="J34">
            <v>3</v>
          </cell>
          <cell r="K34">
            <v>1</v>
          </cell>
          <cell r="L34" t="str">
            <v>ES2122</v>
          </cell>
        </row>
        <row r="35">
          <cell r="C35" t="str">
            <v>ES2123</v>
          </cell>
          <cell r="D35" t="str">
            <v>PRAKTIKUM PENGUKURAN BESARAN LISTRIK</v>
          </cell>
          <cell r="E35">
            <v>1</v>
          </cell>
        </row>
        <row r="35">
          <cell r="G35">
            <v>1</v>
          </cell>
        </row>
        <row r="35">
          <cell r="J35">
            <v>3</v>
          </cell>
          <cell r="K35">
            <v>1</v>
          </cell>
          <cell r="L35" t="str">
            <v>ES2123</v>
          </cell>
        </row>
        <row r="36">
          <cell r="C36" t="str">
            <v>ES2124</v>
          </cell>
          <cell r="D36" t="str">
            <v>DASAR ELEKTRONIKA</v>
          </cell>
          <cell r="E36">
            <v>3</v>
          </cell>
          <cell r="F36">
            <v>3</v>
          </cell>
        </row>
        <row r="36">
          <cell r="J36">
            <v>3</v>
          </cell>
          <cell r="K36">
            <v>1</v>
          </cell>
          <cell r="L36" t="str">
            <v>ES2124</v>
          </cell>
        </row>
        <row r="37">
          <cell r="C37" t="str">
            <v>ES2125</v>
          </cell>
          <cell r="D37" t="str">
            <v>DASAR TENAGA LISTRIK</v>
          </cell>
          <cell r="E37">
            <v>3</v>
          </cell>
          <cell r="F37">
            <v>3</v>
          </cell>
        </row>
        <row r="37">
          <cell r="J37">
            <v>3</v>
          </cell>
          <cell r="K37">
            <v>1</v>
          </cell>
          <cell r="L37" t="str">
            <v>ES2125</v>
          </cell>
        </row>
        <row r="38">
          <cell r="C38" t="str">
            <v>ES2126</v>
          </cell>
          <cell r="D38" t="str">
            <v>PRAKTIKUM DASAR TELEKOMUNIKASI</v>
          </cell>
          <cell r="E38">
            <v>1</v>
          </cell>
        </row>
        <row r="38">
          <cell r="G38">
            <v>1</v>
          </cell>
        </row>
        <row r="38">
          <cell r="J38">
            <v>3</v>
          </cell>
          <cell r="K38">
            <v>1</v>
          </cell>
          <cell r="L38" t="str">
            <v>ES2126</v>
          </cell>
        </row>
        <row r="39">
          <cell r="C39" t="str">
            <v>ES2227</v>
          </cell>
          <cell r="D39" t="str">
            <v>BAHASA INDONESIA AKADEMIK</v>
          </cell>
          <cell r="E39">
            <v>2</v>
          </cell>
          <cell r="F39">
            <v>2</v>
          </cell>
        </row>
        <row r="39">
          <cell r="J39">
            <v>4</v>
          </cell>
          <cell r="K39">
            <v>1</v>
          </cell>
          <cell r="L39" t="str">
            <v>ES2227</v>
          </cell>
        </row>
        <row r="40">
          <cell r="C40" t="str">
            <v>ES2228</v>
          </cell>
          <cell r="D40" t="str">
            <v>MATEMATIKA TEKNIK II</v>
          </cell>
          <cell r="E40">
            <v>3</v>
          </cell>
          <cell r="F40">
            <v>3</v>
          </cell>
        </row>
        <row r="40">
          <cell r="J40">
            <v>4</v>
          </cell>
          <cell r="K40">
            <v>1</v>
          </cell>
          <cell r="L40" t="str">
            <v>ES2228</v>
          </cell>
        </row>
        <row r="41">
          <cell r="C41" t="str">
            <v>ES2229</v>
          </cell>
          <cell r="D41" t="str">
            <v>SINYAL DAN SISTEM</v>
          </cell>
          <cell r="E41">
            <v>3</v>
          </cell>
          <cell r="F41">
            <v>3</v>
          </cell>
        </row>
        <row r="41">
          <cell r="J41">
            <v>4</v>
          </cell>
          <cell r="K41">
            <v>1</v>
          </cell>
          <cell r="L41" t="str">
            <v>ES2229</v>
          </cell>
        </row>
        <row r="42">
          <cell r="C42" t="str">
            <v>ES2230</v>
          </cell>
          <cell r="D42" t="str">
            <v>PROSES STOKASTIK</v>
          </cell>
          <cell r="E42">
            <v>2</v>
          </cell>
          <cell r="F42">
            <v>2</v>
          </cell>
        </row>
        <row r="42">
          <cell r="J42">
            <v>4</v>
          </cell>
          <cell r="K42">
            <v>1</v>
          </cell>
          <cell r="L42" t="str">
            <v>ES2230</v>
          </cell>
        </row>
        <row r="43">
          <cell r="C43" t="str">
            <v>ES2231</v>
          </cell>
          <cell r="D43" t="str">
            <v>METODE NUMERIK</v>
          </cell>
          <cell r="E43">
            <v>2</v>
          </cell>
          <cell r="F43">
            <v>2</v>
          </cell>
        </row>
        <row r="43">
          <cell r="J43">
            <v>4</v>
          </cell>
          <cell r="K43">
            <v>1</v>
          </cell>
          <cell r="L43" t="str">
            <v>ES2231</v>
          </cell>
        </row>
        <row r="44">
          <cell r="C44" t="str">
            <v>ES2232</v>
          </cell>
          <cell r="D44" t="str">
            <v>PRAKTIKUM RANGKAIAN LISTRIK</v>
          </cell>
          <cell r="E44">
            <v>1</v>
          </cell>
        </row>
        <row r="44">
          <cell r="G44">
            <v>1</v>
          </cell>
        </row>
        <row r="44">
          <cell r="J44">
            <v>4</v>
          </cell>
          <cell r="K44">
            <v>1</v>
          </cell>
          <cell r="L44" t="str">
            <v>ES2232</v>
          </cell>
        </row>
        <row r="45">
          <cell r="C45" t="str">
            <v>ES2233</v>
          </cell>
          <cell r="D45" t="str">
            <v>EKONOMI TEKNIK</v>
          </cell>
          <cell r="E45">
            <v>2</v>
          </cell>
          <cell r="F45">
            <v>2</v>
          </cell>
        </row>
        <row r="45">
          <cell r="J45">
            <v>4</v>
          </cell>
          <cell r="K45">
            <v>1</v>
          </cell>
          <cell r="L45" t="str">
            <v>ES2233</v>
          </cell>
        </row>
        <row r="46">
          <cell r="C46" t="str">
            <v>ES2234</v>
          </cell>
          <cell r="D46" t="str">
            <v>ELEKTROMAGNETIK</v>
          </cell>
          <cell r="E46">
            <v>3</v>
          </cell>
          <cell r="F46">
            <v>3</v>
          </cell>
        </row>
        <row r="46">
          <cell r="J46">
            <v>4</v>
          </cell>
          <cell r="K46">
            <v>1</v>
          </cell>
          <cell r="L46" t="str">
            <v>ES2234</v>
          </cell>
        </row>
        <row r="47">
          <cell r="C47" t="str">
            <v>ES2235</v>
          </cell>
          <cell r="D47" t="str">
            <v>PRAKTIKUM DASAR ELEKTRONIKA</v>
          </cell>
          <cell r="E47">
            <v>1</v>
          </cell>
          <cell r="F47">
            <v>1</v>
          </cell>
        </row>
        <row r="47">
          <cell r="J47">
            <v>4</v>
          </cell>
          <cell r="K47">
            <v>1</v>
          </cell>
          <cell r="L47" t="str">
            <v>ES2235</v>
          </cell>
        </row>
        <row r="48">
          <cell r="C48" t="str">
            <v>ES2236</v>
          </cell>
          <cell r="D48" t="str">
            <v>PRAKTIKUM DASAR TENAGA LISTRIK</v>
          </cell>
          <cell r="E48">
            <v>1</v>
          </cell>
          <cell r="F48">
            <v>1</v>
          </cell>
        </row>
        <row r="48">
          <cell r="J48">
            <v>4</v>
          </cell>
          <cell r="K48">
            <v>1</v>
          </cell>
          <cell r="L48" t="str">
            <v>ES2236</v>
          </cell>
        </row>
        <row r="49">
          <cell r="C49" t="str">
            <v>EA3101</v>
          </cell>
          <cell r="D49" t="str">
            <v>ANALISA SISTEM TENAGA I</v>
          </cell>
          <cell r="E49">
            <v>3</v>
          </cell>
          <cell r="F49">
            <v>3</v>
          </cell>
        </row>
        <row r="49">
          <cell r="J49">
            <v>5</v>
          </cell>
          <cell r="K49">
            <v>1</v>
          </cell>
          <cell r="L49" t="str">
            <v>EA3101</v>
          </cell>
        </row>
        <row r="50">
          <cell r="C50" t="str">
            <v>EA3102</v>
          </cell>
          <cell r="D50" t="str">
            <v>MESIN LISTRIK I</v>
          </cell>
          <cell r="E50">
            <v>3</v>
          </cell>
          <cell r="F50">
            <v>3</v>
          </cell>
        </row>
        <row r="50">
          <cell r="J50">
            <v>5</v>
          </cell>
          <cell r="K50">
            <v>1</v>
          </cell>
          <cell r="L50" t="str">
            <v>EA3102</v>
          </cell>
        </row>
        <row r="51">
          <cell r="C51" t="str">
            <v>EA3103</v>
          </cell>
          <cell r="D51" t="str">
            <v>PEMBANGKIT TENAGA LISTRIK</v>
          </cell>
          <cell r="E51">
            <v>2</v>
          </cell>
          <cell r="F51">
            <v>2</v>
          </cell>
        </row>
        <row r="51">
          <cell r="J51">
            <v>5</v>
          </cell>
          <cell r="K51">
            <v>1</v>
          </cell>
          <cell r="L51" t="str">
            <v>EA3103</v>
          </cell>
        </row>
        <row r="52">
          <cell r="C52" t="str">
            <v>EA3104</v>
          </cell>
          <cell r="D52" t="str">
            <v>TRANSMISI TENAGA LISTRIK</v>
          </cell>
          <cell r="E52">
            <v>2</v>
          </cell>
          <cell r="F52">
            <v>2</v>
          </cell>
        </row>
        <row r="52">
          <cell r="J52">
            <v>5</v>
          </cell>
          <cell r="K52">
            <v>1</v>
          </cell>
          <cell r="L52" t="str">
            <v>EA3104</v>
          </cell>
        </row>
        <row r="53">
          <cell r="C53" t="str">
            <v>EB3101</v>
          </cell>
          <cell r="D53" t="str">
            <v>RANGKAIAN ELEKTRONIKA</v>
          </cell>
          <cell r="E53">
            <v>3</v>
          </cell>
          <cell r="F53">
            <v>3</v>
          </cell>
        </row>
        <row r="53">
          <cell r="J53">
            <v>5</v>
          </cell>
          <cell r="K53">
            <v>1</v>
          </cell>
          <cell r="L53" t="str">
            <v>EB3101</v>
          </cell>
        </row>
        <row r="54">
          <cell r="C54" t="str">
            <v>EB3102</v>
          </cell>
          <cell r="D54" t="str">
            <v>PRAKTIKUM RANGKAIAN ELEKTRONIKA</v>
          </cell>
          <cell r="E54">
            <v>1</v>
          </cell>
        </row>
        <row r="54">
          <cell r="G54">
            <v>1</v>
          </cell>
        </row>
        <row r="54">
          <cell r="J54">
            <v>5</v>
          </cell>
          <cell r="K54">
            <v>1</v>
          </cell>
          <cell r="L54" t="str">
            <v>EB3102</v>
          </cell>
        </row>
        <row r="55">
          <cell r="C55" t="str">
            <v>EB3103</v>
          </cell>
          <cell r="D55" t="str">
            <v>ELEKTRONIKA DIGITAL</v>
          </cell>
          <cell r="E55">
            <v>2</v>
          </cell>
          <cell r="F55">
            <v>2</v>
          </cell>
        </row>
        <row r="55">
          <cell r="J55">
            <v>5</v>
          </cell>
          <cell r="K55">
            <v>1</v>
          </cell>
          <cell r="L55" t="str">
            <v>EB3103</v>
          </cell>
        </row>
        <row r="56">
          <cell r="C56" t="str">
            <v>EB3104</v>
          </cell>
          <cell r="D56" t="str">
            <v>PRAKTIKUM ELEKTRONIKA DIGITAL</v>
          </cell>
          <cell r="E56">
            <v>1</v>
          </cell>
        </row>
        <row r="56">
          <cell r="G56">
            <v>1</v>
          </cell>
        </row>
        <row r="56">
          <cell r="J56">
            <v>5</v>
          </cell>
          <cell r="K56">
            <v>1</v>
          </cell>
          <cell r="L56" t="str">
            <v>EB3104</v>
          </cell>
        </row>
        <row r="57">
          <cell r="C57" t="str">
            <v>EB3105</v>
          </cell>
          <cell r="D57" t="str">
            <v>ELEKTRONIKA ANALOG</v>
          </cell>
          <cell r="E57">
            <v>2</v>
          </cell>
          <cell r="F57">
            <v>2</v>
          </cell>
        </row>
        <row r="57">
          <cell r="J57">
            <v>5</v>
          </cell>
          <cell r="K57">
            <v>1</v>
          </cell>
          <cell r="L57" t="str">
            <v>EB3105</v>
          </cell>
        </row>
        <row r="58">
          <cell r="C58" t="str">
            <v>EC3101</v>
          </cell>
          <cell r="D58" t="str">
            <v>ELEKTROMAGNETIK LANJUT</v>
          </cell>
          <cell r="E58">
            <v>2</v>
          </cell>
          <cell r="F58">
            <v>2</v>
          </cell>
        </row>
        <row r="58">
          <cell r="J58">
            <v>5</v>
          </cell>
          <cell r="K58">
            <v>1</v>
          </cell>
          <cell r="L58" t="str">
            <v>EC3101</v>
          </cell>
        </row>
        <row r="59">
          <cell r="C59" t="str">
            <v>EC3102</v>
          </cell>
          <cell r="D59" t="str">
            <v>SISTEM TELEKOMUNIKASI</v>
          </cell>
          <cell r="E59">
            <v>3</v>
          </cell>
          <cell r="F59">
            <v>3</v>
          </cell>
        </row>
        <row r="59">
          <cell r="J59">
            <v>5</v>
          </cell>
          <cell r="K59">
            <v>1</v>
          </cell>
          <cell r="L59" t="str">
            <v>EC3102</v>
          </cell>
        </row>
        <row r="60">
          <cell r="C60" t="str">
            <v>EC3103</v>
          </cell>
          <cell r="D60" t="str">
            <v>JARINGAN TELEKOMUNIKASI</v>
          </cell>
          <cell r="E60">
            <v>3</v>
          </cell>
          <cell r="F60">
            <v>3</v>
          </cell>
        </row>
        <row r="60">
          <cell r="J60">
            <v>5</v>
          </cell>
          <cell r="K60">
            <v>1</v>
          </cell>
          <cell r="L60" t="str">
            <v>EC3103</v>
          </cell>
        </row>
        <row r="61">
          <cell r="C61" t="str">
            <v>EC3104</v>
          </cell>
          <cell r="D61" t="str">
            <v>REKAYASA TRAFIK</v>
          </cell>
          <cell r="E61">
            <v>2</v>
          </cell>
          <cell r="F61">
            <v>2</v>
          </cell>
        </row>
        <row r="61">
          <cell r="J61">
            <v>5</v>
          </cell>
          <cell r="K61">
            <v>1</v>
          </cell>
          <cell r="L61" t="str">
            <v>EC3104</v>
          </cell>
        </row>
        <row r="62">
          <cell r="C62" t="str">
            <v>ED3101</v>
          </cell>
          <cell r="D62" t="str">
            <v>MATEMATIKA DISKRIT</v>
          </cell>
          <cell r="E62">
            <v>3</v>
          </cell>
          <cell r="F62">
            <v>3</v>
          </cell>
        </row>
        <row r="62">
          <cell r="J62">
            <v>5</v>
          </cell>
          <cell r="K62">
            <v>1</v>
          </cell>
          <cell r="L62" t="str">
            <v>ED3101</v>
          </cell>
        </row>
        <row r="63">
          <cell r="C63" t="str">
            <v>ED3102</v>
          </cell>
          <cell r="D63" t="str">
            <v>BASIS DATA</v>
          </cell>
          <cell r="E63">
            <v>3</v>
          </cell>
          <cell r="F63">
            <v>3</v>
          </cell>
        </row>
        <row r="63">
          <cell r="J63">
            <v>5</v>
          </cell>
          <cell r="K63">
            <v>1</v>
          </cell>
          <cell r="L63" t="str">
            <v>ED3102</v>
          </cell>
        </row>
        <row r="64">
          <cell r="C64" t="str">
            <v>ED3103</v>
          </cell>
          <cell r="D64" t="str">
            <v>REKAYASA PERANGKAT LUNAK</v>
          </cell>
          <cell r="E64">
            <v>2</v>
          </cell>
          <cell r="F64">
            <v>2</v>
          </cell>
        </row>
        <row r="64">
          <cell r="J64">
            <v>5</v>
          </cell>
          <cell r="K64">
            <v>1</v>
          </cell>
          <cell r="L64" t="str">
            <v>ED3103</v>
          </cell>
        </row>
        <row r="65">
          <cell r="C65" t="str">
            <v>ED3104</v>
          </cell>
          <cell r="D65" t="str">
            <v>PEMROGRAMAN BERORIENTASI OBYEK</v>
          </cell>
          <cell r="E65">
            <v>2</v>
          </cell>
          <cell r="F65">
            <v>2</v>
          </cell>
        </row>
        <row r="65">
          <cell r="J65">
            <v>5</v>
          </cell>
          <cell r="K65">
            <v>1</v>
          </cell>
          <cell r="L65" t="str">
            <v>ED3104</v>
          </cell>
        </row>
        <row r="66">
          <cell r="C66" t="str">
            <v>ES3137</v>
          </cell>
          <cell r="D66" t="str">
            <v>ILMU SOSIAL DAN BUDAYA DASAR</v>
          </cell>
          <cell r="E66">
            <v>2</v>
          </cell>
          <cell r="F66">
            <v>2</v>
          </cell>
        </row>
        <row r="66">
          <cell r="J66">
            <v>5</v>
          </cell>
          <cell r="K66">
            <v>1</v>
          </cell>
          <cell r="L66" t="str">
            <v>ES3137</v>
          </cell>
        </row>
        <row r="67">
          <cell r="C67" t="str">
            <v>ES3138</v>
          </cell>
          <cell r="D67" t="str">
            <v>SISTEM MIKROPROSESOR</v>
          </cell>
          <cell r="E67">
            <v>3</v>
          </cell>
          <cell r="F67">
            <v>3</v>
          </cell>
        </row>
        <row r="67">
          <cell r="J67">
            <v>5</v>
          </cell>
          <cell r="K67">
            <v>1</v>
          </cell>
          <cell r="L67" t="str">
            <v>ES3138</v>
          </cell>
        </row>
        <row r="68">
          <cell r="C68" t="str">
            <v>ES3139</v>
          </cell>
          <cell r="D68" t="str">
            <v>SISTEM KENDALI</v>
          </cell>
          <cell r="E68">
            <v>3</v>
          </cell>
          <cell r="F68">
            <v>3</v>
          </cell>
        </row>
        <row r="68">
          <cell r="J68">
            <v>5</v>
          </cell>
          <cell r="K68">
            <v>1</v>
          </cell>
          <cell r="L68" t="str">
            <v>ES3139</v>
          </cell>
        </row>
        <row r="69">
          <cell r="C69" t="str">
            <v>ES3140</v>
          </cell>
          <cell r="D69" t="str">
            <v>PRAKTIKUM SISTEM KENDALI</v>
          </cell>
          <cell r="E69">
            <v>1</v>
          </cell>
        </row>
        <row r="69">
          <cell r="G69">
            <v>1</v>
          </cell>
        </row>
        <row r="69">
          <cell r="J69">
            <v>5</v>
          </cell>
          <cell r="K69">
            <v>1</v>
          </cell>
          <cell r="L69" t="str">
            <v>ES3140</v>
          </cell>
        </row>
        <row r="70">
          <cell r="C70" t="str">
            <v>EA3205</v>
          </cell>
          <cell r="D70" t="str">
            <v>ANALISA SISTEM TENAGA II</v>
          </cell>
          <cell r="E70">
            <v>2</v>
          </cell>
          <cell r="F70">
            <v>2</v>
          </cell>
        </row>
        <row r="70">
          <cell r="J70">
            <v>6</v>
          </cell>
          <cell r="K70">
            <v>1</v>
          </cell>
          <cell r="L70" t="str">
            <v>EA3205</v>
          </cell>
        </row>
        <row r="71">
          <cell r="C71" t="str">
            <v>EA3206</v>
          </cell>
          <cell r="D71" t="str">
            <v>PRAKTIKUM ANALISA SISTEM TENAGA</v>
          </cell>
          <cell r="E71">
            <v>1</v>
          </cell>
        </row>
        <row r="71">
          <cell r="G71">
            <v>1</v>
          </cell>
        </row>
        <row r="71">
          <cell r="J71">
            <v>6</v>
          </cell>
          <cell r="K71">
            <v>1</v>
          </cell>
          <cell r="L71" t="str">
            <v>EA3206</v>
          </cell>
        </row>
        <row r="72">
          <cell r="C72" t="str">
            <v>EA3207</v>
          </cell>
          <cell r="D72" t="str">
            <v>MESIN LISTRIK II</v>
          </cell>
          <cell r="E72">
            <v>2</v>
          </cell>
          <cell r="F72">
            <v>2</v>
          </cell>
        </row>
        <row r="72">
          <cell r="J72">
            <v>6</v>
          </cell>
          <cell r="K72">
            <v>1</v>
          </cell>
          <cell r="L72" t="str">
            <v>EA3207</v>
          </cell>
        </row>
        <row r="73">
          <cell r="C73" t="str">
            <v>EA3208</v>
          </cell>
          <cell r="D73" t="str">
            <v>PRAKTIKUM MESIN LISTRIK</v>
          </cell>
          <cell r="E73">
            <v>1</v>
          </cell>
        </row>
        <row r="73">
          <cell r="G73">
            <v>1</v>
          </cell>
        </row>
        <row r="73">
          <cell r="J73">
            <v>6</v>
          </cell>
          <cell r="K73">
            <v>1</v>
          </cell>
          <cell r="L73" t="str">
            <v>EA3208</v>
          </cell>
        </row>
        <row r="74">
          <cell r="C74" t="str">
            <v>EA3209</v>
          </cell>
          <cell r="D74" t="str">
            <v>SISTEM DISTRIBUSI TENAGA LISTRIK</v>
          </cell>
          <cell r="E74">
            <v>3</v>
          </cell>
          <cell r="F74">
            <v>3</v>
          </cell>
        </row>
        <row r="74">
          <cell r="J74">
            <v>6</v>
          </cell>
          <cell r="K74">
            <v>1</v>
          </cell>
          <cell r="L74" t="str">
            <v>EA3209</v>
          </cell>
        </row>
        <row r="75">
          <cell r="C75" t="str">
            <v>EA3210</v>
          </cell>
          <cell r="D75" t="str">
            <v>PERENCANAAN INSTALASI TENAGA LISTRIK</v>
          </cell>
          <cell r="E75">
            <v>3</v>
          </cell>
          <cell r="F75">
            <v>3</v>
          </cell>
        </row>
        <row r="75">
          <cell r="J75">
            <v>6</v>
          </cell>
          <cell r="K75">
            <v>1</v>
          </cell>
          <cell r="L75" t="str">
            <v>EA3210</v>
          </cell>
        </row>
        <row r="76">
          <cell r="C76" t="str">
            <v>EA3211</v>
          </cell>
          <cell r="D76" t="str">
            <v>TEKNIK TEGANGAN TINGGI</v>
          </cell>
          <cell r="E76">
            <v>2</v>
          </cell>
          <cell r="F76">
            <v>2</v>
          </cell>
        </row>
        <row r="76">
          <cell r="J76">
            <v>6</v>
          </cell>
          <cell r="K76">
            <v>1</v>
          </cell>
          <cell r="L76" t="str">
            <v>EA3211</v>
          </cell>
        </row>
        <row r="77">
          <cell r="C77" t="str">
            <v>EA4001</v>
          </cell>
          <cell r="D77" t="str">
            <v>DINAMIKA DAN STABILITAS STL</v>
          </cell>
          <cell r="E77">
            <v>2</v>
          </cell>
          <cell r="F77">
            <v>2</v>
          </cell>
        </row>
        <row r="77">
          <cell r="J77">
            <v>6</v>
          </cell>
          <cell r="K77" t="str">
            <v>0</v>
          </cell>
          <cell r="L77" t="str">
            <v>EA4001</v>
          </cell>
        </row>
        <row r="78">
          <cell r="C78" t="str">
            <v>EA4006</v>
          </cell>
          <cell r="D78" t="str">
            <v>PERENCANAAN ENERGI</v>
          </cell>
          <cell r="E78">
            <v>2</v>
          </cell>
          <cell r="F78">
            <v>2</v>
          </cell>
        </row>
        <row r="78">
          <cell r="J78">
            <v>6</v>
          </cell>
          <cell r="K78" t="str">
            <v>0</v>
          </cell>
          <cell r="L78" t="str">
            <v>EA4006</v>
          </cell>
        </row>
        <row r="79">
          <cell r="C79" t="str">
            <v>EA4008</v>
          </cell>
          <cell r="D79" t="str">
            <v>PLC</v>
          </cell>
          <cell r="E79">
            <v>2</v>
          </cell>
          <cell r="F79">
            <v>2</v>
          </cell>
        </row>
        <row r="79">
          <cell r="J79">
            <v>6</v>
          </cell>
          <cell r="K79" t="str">
            <v>0</v>
          </cell>
          <cell r="L79" t="str">
            <v>EA4008</v>
          </cell>
        </row>
        <row r="80">
          <cell r="C80" t="str">
            <v>EA4009</v>
          </cell>
          <cell r="D80" t="str">
            <v>PPML</v>
          </cell>
          <cell r="E80">
            <v>2</v>
          </cell>
          <cell r="F80">
            <v>2</v>
          </cell>
        </row>
        <row r="80">
          <cell r="J80">
            <v>6</v>
          </cell>
          <cell r="K80" t="str">
            <v>0</v>
          </cell>
          <cell r="L80" t="str">
            <v>EA4009</v>
          </cell>
        </row>
        <row r="81">
          <cell r="C81" t="str">
            <v>EA4011</v>
          </cell>
          <cell r="D81" t="str">
            <v>TEKNIK ENERGI ALTERNATIF</v>
          </cell>
          <cell r="E81">
            <v>2</v>
          </cell>
          <cell r="F81">
            <v>2</v>
          </cell>
        </row>
        <row r="81">
          <cell r="J81">
            <v>6</v>
          </cell>
          <cell r="K81" t="str">
            <v>0</v>
          </cell>
          <cell r="L81" t="str">
            <v>EA4011</v>
          </cell>
        </row>
        <row r="82">
          <cell r="C82" t="str">
            <v>EA4012</v>
          </cell>
          <cell r="D82" t="str">
            <v>TEKNOLOGI GARDU INDUK DAN PENTANAHAN</v>
          </cell>
          <cell r="E82">
            <v>2</v>
          </cell>
          <cell r="F82">
            <v>2</v>
          </cell>
        </row>
        <row r="82">
          <cell r="J82">
            <v>6</v>
          </cell>
          <cell r="K82" t="str">
            <v>0</v>
          </cell>
          <cell r="L82" t="str">
            <v>EA4012</v>
          </cell>
        </row>
        <row r="83">
          <cell r="C83" t="str">
            <v>EA4013</v>
          </cell>
          <cell r="D83" t="str">
            <v>ELEKTRONIKA DAYA LANJUT</v>
          </cell>
          <cell r="E83">
            <v>2</v>
          </cell>
          <cell r="F83">
            <v>2</v>
          </cell>
        </row>
        <row r="83">
          <cell r="J83">
            <v>6</v>
          </cell>
          <cell r="K83" t="str">
            <v>0</v>
          </cell>
          <cell r="L83" t="str">
            <v>EA4013</v>
          </cell>
        </row>
        <row r="84">
          <cell r="C84" t="str">
            <v>EB3206</v>
          </cell>
          <cell r="D84" t="str">
            <v>MEKATRONIKA</v>
          </cell>
          <cell r="E84">
            <v>2</v>
          </cell>
          <cell r="F84">
            <v>2</v>
          </cell>
        </row>
        <row r="84">
          <cell r="J84">
            <v>6</v>
          </cell>
          <cell r="K84">
            <v>1</v>
          </cell>
          <cell r="L84" t="str">
            <v>EB3206</v>
          </cell>
        </row>
        <row r="85">
          <cell r="C85" t="str">
            <v>EB3207</v>
          </cell>
          <cell r="D85" t="str">
            <v>PRAKTIKUM ELEKTRONIKA LANJUT</v>
          </cell>
          <cell r="E85">
            <v>1</v>
          </cell>
        </row>
        <row r="85">
          <cell r="G85">
            <v>1</v>
          </cell>
        </row>
        <row r="85">
          <cell r="J85">
            <v>6</v>
          </cell>
          <cell r="K85">
            <v>1</v>
          </cell>
          <cell r="L85" t="str">
            <v>EB3207</v>
          </cell>
        </row>
        <row r="86">
          <cell r="C86" t="str">
            <v>EB3208</v>
          </cell>
          <cell r="D86" t="str">
            <v>PENGOLAHAN SINYAL DIGITAL</v>
          </cell>
          <cell r="E86">
            <v>3</v>
          </cell>
          <cell r="F86">
            <v>3</v>
          </cell>
        </row>
        <row r="86">
          <cell r="J86">
            <v>6</v>
          </cell>
          <cell r="K86">
            <v>1</v>
          </cell>
          <cell r="L86" t="str">
            <v>EB3208</v>
          </cell>
        </row>
        <row r="87">
          <cell r="C87" t="str">
            <v>EB3209</v>
          </cell>
          <cell r="D87" t="str">
            <v>SISTEM INSTRUMENTASI ELEKTRONIKA</v>
          </cell>
          <cell r="E87">
            <v>3</v>
          </cell>
          <cell r="F87">
            <v>3</v>
          </cell>
        </row>
        <row r="87">
          <cell r="J87">
            <v>6</v>
          </cell>
          <cell r="K87">
            <v>1</v>
          </cell>
          <cell r="L87" t="str">
            <v>EB3209</v>
          </cell>
        </row>
        <row r="88">
          <cell r="C88" t="str">
            <v>EB3210</v>
          </cell>
          <cell r="D88" t="str">
            <v>ELEKTRONIKA INDUSTRI</v>
          </cell>
          <cell r="E88">
            <v>3</v>
          </cell>
          <cell r="F88">
            <v>3</v>
          </cell>
        </row>
        <row r="88">
          <cell r="J88">
            <v>6</v>
          </cell>
          <cell r="K88">
            <v>1</v>
          </cell>
          <cell r="L88" t="str">
            <v>EB3210</v>
          </cell>
        </row>
        <row r="89">
          <cell r="C89" t="str">
            <v>EB4001</v>
          </cell>
          <cell r="D89" t="str">
            <v>ALGORITMA DAN STRUKTUR DATA</v>
          </cell>
          <cell r="E89">
            <v>2</v>
          </cell>
          <cell r="F89">
            <v>2</v>
          </cell>
        </row>
        <row r="89">
          <cell r="J89">
            <v>6</v>
          </cell>
          <cell r="K89" t="str">
            <v>0</v>
          </cell>
          <cell r="L89" t="str">
            <v>EB4001</v>
          </cell>
        </row>
        <row r="90">
          <cell r="C90" t="str">
            <v>EB4006</v>
          </cell>
          <cell r="D90" t="str">
            <v>OPTO ELEKTRONIKA</v>
          </cell>
          <cell r="E90">
            <v>2</v>
          </cell>
          <cell r="F90">
            <v>2</v>
          </cell>
        </row>
        <row r="90">
          <cell r="J90">
            <v>6</v>
          </cell>
          <cell r="K90" t="str">
            <v>0</v>
          </cell>
          <cell r="L90" t="str">
            <v>EB4006</v>
          </cell>
        </row>
        <row r="91">
          <cell r="C91" t="str">
            <v>EB4008</v>
          </cell>
          <cell r="D91" t="str">
            <v>PLC</v>
          </cell>
          <cell r="E91">
            <v>2</v>
          </cell>
          <cell r="F91">
            <v>2</v>
          </cell>
        </row>
        <row r="91">
          <cell r="J91">
            <v>6</v>
          </cell>
          <cell r="K91" t="str">
            <v>0</v>
          </cell>
          <cell r="L91" t="str">
            <v>EB4008</v>
          </cell>
        </row>
        <row r="92">
          <cell r="C92" t="str">
            <v>EB4009</v>
          </cell>
          <cell r="D92" t="str">
            <v>ROBOTIKA</v>
          </cell>
          <cell r="E92">
            <v>2</v>
          </cell>
          <cell r="F92">
            <v>2</v>
          </cell>
        </row>
        <row r="92">
          <cell r="J92">
            <v>6</v>
          </cell>
          <cell r="K92" t="str">
            <v>0</v>
          </cell>
          <cell r="L92" t="str">
            <v>EB4009</v>
          </cell>
        </row>
        <row r="93">
          <cell r="C93" t="str">
            <v>EB4010</v>
          </cell>
          <cell r="D93" t="str">
            <v>TEKNOLOGI RANGKAIAN TERINTEGRASI (VLSI)</v>
          </cell>
          <cell r="E93">
            <v>2</v>
          </cell>
          <cell r="F93">
            <v>2</v>
          </cell>
        </row>
        <row r="93">
          <cell r="J93">
            <v>6</v>
          </cell>
          <cell r="K93" t="str">
            <v>0</v>
          </cell>
          <cell r="L93" t="str">
            <v>EB4010</v>
          </cell>
        </row>
        <row r="94">
          <cell r="C94" t="str">
            <v>EC3205</v>
          </cell>
          <cell r="D94" t="str">
            <v>TRANSMISI GELOMBANG ELEKTROMANETIK I</v>
          </cell>
          <cell r="E94">
            <v>3</v>
          </cell>
          <cell r="F94">
            <v>3</v>
          </cell>
        </row>
        <row r="94">
          <cell r="J94">
            <v>6</v>
          </cell>
          <cell r="K94">
            <v>1</v>
          </cell>
          <cell r="L94" t="str">
            <v>EC3205</v>
          </cell>
        </row>
        <row r="95">
          <cell r="C95" t="str">
            <v>EC3206</v>
          </cell>
          <cell r="D95" t="str">
            <v>PENGOLAHAN SINYAL DIGITAL</v>
          </cell>
          <cell r="E95">
            <v>3</v>
          </cell>
          <cell r="F95">
            <v>3</v>
          </cell>
        </row>
        <row r="95">
          <cell r="J95">
            <v>6</v>
          </cell>
          <cell r="K95">
            <v>1</v>
          </cell>
          <cell r="L95" t="str">
            <v>EC3206</v>
          </cell>
        </row>
        <row r="96">
          <cell r="C96" t="str">
            <v>EC3207</v>
          </cell>
          <cell r="D96" t="str">
            <v>KOMUNIKASI DIGITAL</v>
          </cell>
          <cell r="E96">
            <v>2</v>
          </cell>
          <cell r="F96">
            <v>2</v>
          </cell>
        </row>
        <row r="96">
          <cell r="J96">
            <v>6</v>
          </cell>
          <cell r="K96">
            <v>1</v>
          </cell>
          <cell r="L96" t="str">
            <v>EC3207</v>
          </cell>
        </row>
        <row r="97">
          <cell r="C97" t="str">
            <v>EC3208</v>
          </cell>
          <cell r="D97" t="str">
            <v>ELEKTRONIKA TELEKOMUNIKASI</v>
          </cell>
          <cell r="E97">
            <v>3</v>
          </cell>
          <cell r="F97">
            <v>3</v>
          </cell>
        </row>
        <row r="97">
          <cell r="J97">
            <v>6</v>
          </cell>
          <cell r="K97">
            <v>1</v>
          </cell>
          <cell r="L97" t="str">
            <v>EC3208</v>
          </cell>
        </row>
        <row r="98">
          <cell r="C98" t="str">
            <v>EC3209</v>
          </cell>
          <cell r="D98" t="str">
            <v>PRAKTIKUM JARINGAN TELEKOMUNIKASI</v>
          </cell>
          <cell r="E98">
            <v>1</v>
          </cell>
        </row>
        <row r="98">
          <cell r="G98">
            <v>1</v>
          </cell>
        </row>
        <row r="98">
          <cell r="J98">
            <v>6</v>
          </cell>
          <cell r="K98">
            <v>1</v>
          </cell>
          <cell r="L98" t="str">
            <v>EC3209</v>
          </cell>
        </row>
        <row r="99">
          <cell r="C99" t="str">
            <v>EC3210</v>
          </cell>
          <cell r="D99" t="str">
            <v>KOMUNIKASI DATA DAN JARINGAN KOMPUTER</v>
          </cell>
          <cell r="E99">
            <v>3</v>
          </cell>
          <cell r="F99">
            <v>3</v>
          </cell>
        </row>
        <row r="99">
          <cell r="J99">
            <v>6</v>
          </cell>
          <cell r="K99">
            <v>1</v>
          </cell>
          <cell r="L99" t="str">
            <v>EC3210</v>
          </cell>
        </row>
        <row r="100">
          <cell r="C100" t="str">
            <v>EC4002</v>
          </cell>
          <cell r="D100" t="str">
            <v>KOMUNIKASI BERGERAK</v>
          </cell>
          <cell r="E100">
            <v>2</v>
          </cell>
          <cell r="F100">
            <v>2</v>
          </cell>
        </row>
        <row r="100">
          <cell r="J100">
            <v>6</v>
          </cell>
          <cell r="K100" t="str">
            <v>0</v>
          </cell>
          <cell r="L100" t="str">
            <v>EC4002</v>
          </cell>
        </row>
        <row r="101">
          <cell r="C101" t="str">
            <v>EC4004</v>
          </cell>
          <cell r="D101" t="str">
            <v>KOMUNIKASI SATELIT</v>
          </cell>
          <cell r="E101">
            <v>2</v>
          </cell>
          <cell r="F101">
            <v>2</v>
          </cell>
        </row>
        <row r="101">
          <cell r="J101">
            <v>6</v>
          </cell>
          <cell r="K101" t="str">
            <v>0</v>
          </cell>
          <cell r="L101" t="str">
            <v>EC4004</v>
          </cell>
        </row>
        <row r="102">
          <cell r="C102" t="str">
            <v>EC4007</v>
          </cell>
          <cell r="D102" t="str">
            <v>PLC</v>
          </cell>
          <cell r="E102">
            <v>2</v>
          </cell>
          <cell r="F102">
            <v>2</v>
          </cell>
        </row>
        <row r="102">
          <cell r="J102">
            <v>6</v>
          </cell>
          <cell r="K102" t="str">
            <v>0</v>
          </cell>
          <cell r="L102" t="str">
            <v>EC4007</v>
          </cell>
        </row>
        <row r="103">
          <cell r="C103" t="str">
            <v>EC4008</v>
          </cell>
          <cell r="D103" t="str">
            <v>RADAR DAN NAVIGASI</v>
          </cell>
          <cell r="E103">
            <v>2</v>
          </cell>
          <cell r="F103">
            <v>2</v>
          </cell>
        </row>
        <row r="103">
          <cell r="J103">
            <v>6</v>
          </cell>
          <cell r="K103" t="str">
            <v>0</v>
          </cell>
          <cell r="L103" t="str">
            <v>EC4008</v>
          </cell>
        </row>
        <row r="104">
          <cell r="C104" t="str">
            <v>EC4011</v>
          </cell>
          <cell r="D104" t="str">
            <v>TELEFONI DIGITAL</v>
          </cell>
          <cell r="E104">
            <v>2</v>
          </cell>
          <cell r="F104">
            <v>2</v>
          </cell>
        </row>
        <row r="104">
          <cell r="J104">
            <v>6</v>
          </cell>
          <cell r="K104" t="str">
            <v>0</v>
          </cell>
          <cell r="L104" t="str">
            <v>EC4011</v>
          </cell>
        </row>
        <row r="105">
          <cell r="C105" t="str">
            <v>EC4012</v>
          </cell>
          <cell r="D105" t="str">
            <v>TELEMETRI</v>
          </cell>
          <cell r="E105">
            <v>2</v>
          </cell>
          <cell r="F105">
            <v>2</v>
          </cell>
        </row>
        <row r="105">
          <cell r="J105">
            <v>6</v>
          </cell>
          <cell r="K105" t="str">
            <v>0</v>
          </cell>
          <cell r="L105" t="str">
            <v>EC4012</v>
          </cell>
        </row>
        <row r="106">
          <cell r="C106" t="str">
            <v>EC4013</v>
          </cell>
          <cell r="D106" t="str">
            <v>TOPIK KHUSUS TELEKOMUNIKASI</v>
          </cell>
          <cell r="E106">
            <v>2</v>
          </cell>
          <cell r="F106">
            <v>2</v>
          </cell>
        </row>
        <row r="106">
          <cell r="J106">
            <v>6</v>
          </cell>
          <cell r="K106" t="str">
            <v>0</v>
          </cell>
          <cell r="L106" t="str">
            <v>EC4013</v>
          </cell>
        </row>
        <row r="107">
          <cell r="C107" t="str">
            <v>ED3205</v>
          </cell>
          <cell r="D107" t="str">
            <v>ARSITEKTUR SISTEM KOMPUTER</v>
          </cell>
          <cell r="E107">
            <v>2</v>
          </cell>
          <cell r="F107">
            <v>2</v>
          </cell>
        </row>
        <row r="107">
          <cell r="J107">
            <v>6</v>
          </cell>
          <cell r="K107">
            <v>1</v>
          </cell>
          <cell r="L107" t="str">
            <v>ED3205</v>
          </cell>
        </row>
        <row r="108">
          <cell r="C108" t="str">
            <v>ED3206</v>
          </cell>
          <cell r="D108" t="str">
            <v>KOMUNIKASI DATA DAN JARINGAN KOMPUTER</v>
          </cell>
          <cell r="E108">
            <v>3</v>
          </cell>
          <cell r="F108">
            <v>3</v>
          </cell>
        </row>
        <row r="108">
          <cell r="J108">
            <v>6</v>
          </cell>
          <cell r="K108">
            <v>1</v>
          </cell>
          <cell r="L108" t="str">
            <v>ED3206</v>
          </cell>
        </row>
        <row r="109">
          <cell r="C109" t="str">
            <v>ED3207</v>
          </cell>
          <cell r="D109" t="str">
            <v>ALGORITMA DAN STRUKTUR DATA</v>
          </cell>
          <cell r="E109">
            <v>2</v>
          </cell>
          <cell r="F109">
            <v>2</v>
          </cell>
        </row>
        <row r="109">
          <cell r="J109">
            <v>6</v>
          </cell>
          <cell r="K109">
            <v>1</v>
          </cell>
          <cell r="L109" t="str">
            <v>ED3207</v>
          </cell>
        </row>
        <row r="110">
          <cell r="C110" t="str">
            <v>ED3208</v>
          </cell>
          <cell r="D110" t="str">
            <v>PRAKTIKUM PEMROGRAMAN BERBASIS OBYEK</v>
          </cell>
          <cell r="E110">
            <v>1</v>
          </cell>
          <cell r="F110">
            <v>1</v>
          </cell>
        </row>
        <row r="110">
          <cell r="J110">
            <v>6</v>
          </cell>
          <cell r="K110">
            <v>1</v>
          </cell>
          <cell r="L110" t="str">
            <v>ED3208</v>
          </cell>
        </row>
        <row r="111">
          <cell r="C111" t="str">
            <v>ED3209</v>
          </cell>
          <cell r="D111" t="str">
            <v>KECERDASAN BUATAN</v>
          </cell>
          <cell r="E111">
            <v>2</v>
          </cell>
          <cell r="F111">
            <v>2</v>
          </cell>
        </row>
        <row r="111">
          <cell r="J111">
            <v>6</v>
          </cell>
          <cell r="K111">
            <v>1</v>
          </cell>
          <cell r="L111" t="str">
            <v>ED3209</v>
          </cell>
        </row>
        <row r="112">
          <cell r="C112" t="str">
            <v>ED3210</v>
          </cell>
          <cell r="D112" t="str">
            <v>PENGOLAHAN SINYAL DIGITAL</v>
          </cell>
          <cell r="E112">
            <v>3</v>
          </cell>
          <cell r="F112">
            <v>3</v>
          </cell>
        </row>
        <row r="112">
          <cell r="J112">
            <v>6</v>
          </cell>
          <cell r="K112">
            <v>1</v>
          </cell>
          <cell r="L112" t="str">
            <v>ED3210</v>
          </cell>
        </row>
        <row r="113">
          <cell r="C113" t="str">
            <v>ED4002</v>
          </cell>
          <cell r="D113" t="str">
            <v>ANALISIS DAN DESAIN BERORIENTASI OBYEK</v>
          </cell>
          <cell r="E113">
            <v>2</v>
          </cell>
          <cell r="F113">
            <v>2</v>
          </cell>
        </row>
        <row r="113">
          <cell r="J113">
            <v>6</v>
          </cell>
          <cell r="K113" t="str">
            <v>0</v>
          </cell>
          <cell r="L113" t="str">
            <v>ED4002</v>
          </cell>
        </row>
        <row r="114">
          <cell r="C114" t="str">
            <v>ED4004</v>
          </cell>
          <cell r="D114" t="str">
            <v>AUTOMATA DAN PENGANTAR KOMPILASI</v>
          </cell>
          <cell r="E114">
            <v>2</v>
          </cell>
          <cell r="F114">
            <v>2</v>
          </cell>
        </row>
        <row r="114">
          <cell r="J114">
            <v>6</v>
          </cell>
          <cell r="K114" t="str">
            <v>0</v>
          </cell>
          <cell r="L114" t="str">
            <v>ED4004</v>
          </cell>
        </row>
        <row r="115">
          <cell r="C115" t="str">
            <v>ED4005</v>
          </cell>
          <cell r="D115" t="str">
            <v>KEAMANAN INFORMASI</v>
          </cell>
          <cell r="E115">
            <v>2</v>
          </cell>
          <cell r="F115">
            <v>2</v>
          </cell>
        </row>
        <row r="115">
          <cell r="J115">
            <v>6</v>
          </cell>
          <cell r="K115" t="str">
            <v>0</v>
          </cell>
          <cell r="L115" t="str">
            <v>ED4005</v>
          </cell>
        </row>
        <row r="116">
          <cell r="C116" t="str">
            <v>ED4007</v>
          </cell>
          <cell r="D116" t="str">
            <v>PENGENALAN POLA</v>
          </cell>
          <cell r="E116">
            <v>2</v>
          </cell>
          <cell r="F116">
            <v>2</v>
          </cell>
        </row>
        <row r="116">
          <cell r="J116">
            <v>6</v>
          </cell>
          <cell r="K116" t="str">
            <v>0</v>
          </cell>
          <cell r="L116" t="str">
            <v>ED4007</v>
          </cell>
        </row>
        <row r="117">
          <cell r="C117" t="str">
            <v>ED4009</v>
          </cell>
          <cell r="D117" t="str">
            <v>PLC</v>
          </cell>
          <cell r="E117">
            <v>2</v>
          </cell>
          <cell r="F117">
            <v>2</v>
          </cell>
        </row>
        <row r="117">
          <cell r="J117">
            <v>6</v>
          </cell>
          <cell r="K117" t="str">
            <v>0</v>
          </cell>
          <cell r="L117" t="str">
            <v>ED4009</v>
          </cell>
        </row>
        <row r="118">
          <cell r="C118" t="str">
            <v>ED4012</v>
          </cell>
          <cell r="D118" t="str">
            <v>SISTEM OPERASI</v>
          </cell>
          <cell r="E118">
            <v>2</v>
          </cell>
          <cell r="F118">
            <v>2</v>
          </cell>
        </row>
        <row r="118">
          <cell r="J118">
            <v>6</v>
          </cell>
          <cell r="K118" t="str">
            <v>0</v>
          </cell>
          <cell r="L118" t="str">
            <v>ED4012</v>
          </cell>
        </row>
        <row r="119">
          <cell r="C119" t="str">
            <v>ED4013</v>
          </cell>
          <cell r="D119" t="str">
            <v>TEKNIK NEURO FUZZY</v>
          </cell>
          <cell r="E119">
            <v>2</v>
          </cell>
          <cell r="F119">
            <v>2</v>
          </cell>
        </row>
        <row r="119">
          <cell r="J119">
            <v>6</v>
          </cell>
          <cell r="K119" t="str">
            <v>0</v>
          </cell>
          <cell r="L119" t="str">
            <v>ED4013</v>
          </cell>
        </row>
        <row r="120">
          <cell r="C120" t="str">
            <v>ED4015</v>
          </cell>
          <cell r="D120" t="str">
            <v>TEKNK KOMPRESI DATA</v>
          </cell>
          <cell r="E120">
            <v>2</v>
          </cell>
          <cell r="F120">
            <v>2</v>
          </cell>
        </row>
        <row r="120">
          <cell r="J120">
            <v>6</v>
          </cell>
          <cell r="K120" t="str">
            <v>0</v>
          </cell>
          <cell r="L120" t="str">
            <v>ED4015</v>
          </cell>
        </row>
        <row r="121">
          <cell r="C121" t="str">
            <v>ES3241</v>
          </cell>
          <cell r="D121" t="str">
            <v>PRAKTIKUM SISTEM MIKROPROSESOR</v>
          </cell>
          <cell r="E121">
            <v>1</v>
          </cell>
        </row>
        <row r="121">
          <cell r="G121">
            <v>1</v>
          </cell>
        </row>
        <row r="121">
          <cell r="J121">
            <v>6</v>
          </cell>
          <cell r="K121">
            <v>1</v>
          </cell>
          <cell r="L121" t="str">
            <v>ES3241</v>
          </cell>
        </row>
        <row r="122">
          <cell r="C122" t="str">
            <v>EA4002</v>
          </cell>
          <cell r="D122" t="str">
            <v>GEJALA MEDAN TINGGI</v>
          </cell>
          <cell r="E122">
            <v>2</v>
          </cell>
          <cell r="F122">
            <v>2</v>
          </cell>
        </row>
        <row r="122">
          <cell r="J122">
            <v>7</v>
          </cell>
          <cell r="K122" t="str">
            <v>0</v>
          </cell>
          <cell r="L122" t="str">
            <v>EA4002</v>
          </cell>
        </row>
        <row r="123">
          <cell r="C123" t="str">
            <v>EA4003</v>
          </cell>
          <cell r="D123" t="str">
            <v>HARMONISA DALAM STL</v>
          </cell>
          <cell r="E123">
            <v>2</v>
          </cell>
          <cell r="F123">
            <v>2</v>
          </cell>
        </row>
        <row r="123">
          <cell r="J123">
            <v>7</v>
          </cell>
          <cell r="K123" t="str">
            <v>0</v>
          </cell>
          <cell r="L123" t="str">
            <v>EA4003</v>
          </cell>
        </row>
        <row r="124">
          <cell r="C124" t="str">
            <v>EA4004</v>
          </cell>
          <cell r="D124" t="str">
            <v>KECERDASAN BUATAN DALAM STL</v>
          </cell>
          <cell r="E124">
            <v>2</v>
          </cell>
          <cell r="F124">
            <v>2</v>
          </cell>
        </row>
        <row r="124">
          <cell r="J124">
            <v>7</v>
          </cell>
          <cell r="K124" t="str">
            <v>0</v>
          </cell>
          <cell r="L124" t="str">
            <v>EA4004</v>
          </cell>
        </row>
        <row r="125">
          <cell r="C125" t="str">
            <v>EA4005</v>
          </cell>
          <cell r="D125" t="str">
            <v>PERANCANGAN MESIN-MESIN LISTRIK</v>
          </cell>
          <cell r="E125">
            <v>2</v>
          </cell>
          <cell r="F125">
            <v>2</v>
          </cell>
        </row>
        <row r="125">
          <cell r="J125">
            <v>7</v>
          </cell>
          <cell r="K125" t="str">
            <v>0</v>
          </cell>
          <cell r="L125" t="str">
            <v>EA4005</v>
          </cell>
        </row>
        <row r="126">
          <cell r="C126" t="str">
            <v>EA4007</v>
          </cell>
          <cell r="D126" t="str">
            <v>PERANCANGAN SISTEM TENAGA LISTRIK</v>
          </cell>
          <cell r="E126">
            <v>2</v>
          </cell>
          <cell r="F126">
            <v>2</v>
          </cell>
        </row>
        <row r="126">
          <cell r="J126">
            <v>7</v>
          </cell>
          <cell r="K126" t="str">
            <v>0</v>
          </cell>
          <cell r="L126" t="str">
            <v>EA4007</v>
          </cell>
        </row>
        <row r="127">
          <cell r="C127" t="str">
            <v>EA4010</v>
          </cell>
          <cell r="D127" t="str">
            <v>SISTEM SCADA</v>
          </cell>
          <cell r="E127">
            <v>2</v>
          </cell>
          <cell r="F127">
            <v>2</v>
          </cell>
        </row>
        <row r="127">
          <cell r="J127">
            <v>7</v>
          </cell>
          <cell r="K127" t="str">
            <v>0</v>
          </cell>
          <cell r="L127" t="str">
            <v>EA4010</v>
          </cell>
        </row>
        <row r="128">
          <cell r="C128" t="str">
            <v>EA4112</v>
          </cell>
          <cell r="D128" t="str">
            <v>MANAJEMEN OPERASI SISTEM TENAGA</v>
          </cell>
          <cell r="E128">
            <v>2</v>
          </cell>
          <cell r="F128">
            <v>2</v>
          </cell>
        </row>
        <row r="128">
          <cell r="J128">
            <v>7</v>
          </cell>
          <cell r="K128">
            <v>1</v>
          </cell>
          <cell r="L128" t="str">
            <v>EA4112</v>
          </cell>
        </row>
        <row r="129">
          <cell r="C129" t="str">
            <v>EA4113</v>
          </cell>
          <cell r="D129" t="str">
            <v>PROTEKSI SISTEM TENAGA</v>
          </cell>
          <cell r="E129">
            <v>2</v>
          </cell>
          <cell r="F129">
            <v>2</v>
          </cell>
        </row>
        <row r="129">
          <cell r="J129">
            <v>7</v>
          </cell>
          <cell r="K129">
            <v>1</v>
          </cell>
          <cell r="L129" t="str">
            <v>EA4113</v>
          </cell>
        </row>
        <row r="130">
          <cell r="C130" t="str">
            <v>EA4114</v>
          </cell>
          <cell r="D130" t="str">
            <v>PRAKTIKUM PROTEKSI SISTEM TENAGA</v>
          </cell>
          <cell r="E130">
            <v>1</v>
          </cell>
        </row>
        <row r="130">
          <cell r="G130">
            <v>1</v>
          </cell>
        </row>
        <row r="130">
          <cell r="J130">
            <v>7</v>
          </cell>
          <cell r="K130">
            <v>1</v>
          </cell>
          <cell r="L130" t="str">
            <v>EA4114</v>
          </cell>
        </row>
        <row r="131">
          <cell r="C131" t="str">
            <v>EA4115</v>
          </cell>
          <cell r="D131" t="str">
            <v>ELEKTRONIKA DAYA</v>
          </cell>
          <cell r="E131">
            <v>2</v>
          </cell>
          <cell r="F131">
            <v>2</v>
          </cell>
        </row>
        <row r="131">
          <cell r="J131">
            <v>7</v>
          </cell>
          <cell r="K131">
            <v>1</v>
          </cell>
          <cell r="L131" t="str">
            <v>EA4115</v>
          </cell>
        </row>
        <row r="132">
          <cell r="C132" t="str">
            <v>EA4116</v>
          </cell>
          <cell r="D132" t="str">
            <v>PRAKTIKUM ELEKTRONIKA DAYA</v>
          </cell>
          <cell r="E132">
            <v>1</v>
          </cell>
        </row>
        <row r="132">
          <cell r="G132">
            <v>1</v>
          </cell>
        </row>
        <row r="132">
          <cell r="J132">
            <v>7</v>
          </cell>
          <cell r="K132">
            <v>1</v>
          </cell>
          <cell r="L132" t="str">
            <v>EA4116</v>
          </cell>
        </row>
        <row r="133">
          <cell r="C133" t="str">
            <v>EA4117</v>
          </cell>
          <cell r="D133" t="str">
            <v>PRAKTIKUM TRANSMISI DAN DISTRIBUSI</v>
          </cell>
          <cell r="E133">
            <v>1</v>
          </cell>
        </row>
        <row r="133">
          <cell r="G133">
            <v>1</v>
          </cell>
        </row>
        <row r="133">
          <cell r="J133">
            <v>7</v>
          </cell>
          <cell r="K133">
            <v>1</v>
          </cell>
          <cell r="L133" t="str">
            <v>EA4117</v>
          </cell>
        </row>
        <row r="134">
          <cell r="C134" t="str">
            <v>EB4002</v>
          </cell>
          <cell r="D134" t="str">
            <v>INSTRUMENTASI BIOMEDIS</v>
          </cell>
          <cell r="E134">
            <v>2</v>
          </cell>
          <cell r="F134">
            <v>2</v>
          </cell>
        </row>
        <row r="134">
          <cell r="J134">
            <v>7</v>
          </cell>
          <cell r="K134" t="str">
            <v>0</v>
          </cell>
          <cell r="L134" t="str">
            <v>EB4002</v>
          </cell>
        </row>
        <row r="135">
          <cell r="C135" t="str">
            <v>EB4003</v>
          </cell>
          <cell r="D135" t="str">
            <v>JARINGAN SYARAF TIRUAN</v>
          </cell>
          <cell r="E135">
            <v>2</v>
          </cell>
          <cell r="F135">
            <v>2</v>
          </cell>
        </row>
        <row r="135">
          <cell r="J135">
            <v>7</v>
          </cell>
          <cell r="K135" t="str">
            <v>0</v>
          </cell>
          <cell r="L135" t="str">
            <v>EB4003</v>
          </cell>
        </row>
        <row r="136">
          <cell r="C136" t="str">
            <v>EB4004</v>
          </cell>
          <cell r="D136" t="str">
            <v>LOGIKA FUZZY</v>
          </cell>
          <cell r="E136">
            <v>2</v>
          </cell>
          <cell r="F136">
            <v>2</v>
          </cell>
        </row>
        <row r="136">
          <cell r="J136">
            <v>7</v>
          </cell>
          <cell r="K136" t="str">
            <v>0</v>
          </cell>
          <cell r="L136" t="str">
            <v>EB4004</v>
          </cell>
        </row>
        <row r="137">
          <cell r="C137" t="str">
            <v>EB4005</v>
          </cell>
          <cell r="D137" t="str">
            <v>MIKROPROSESOR LANJUT</v>
          </cell>
          <cell r="E137">
            <v>2</v>
          </cell>
          <cell r="F137">
            <v>2</v>
          </cell>
        </row>
        <row r="137">
          <cell r="J137">
            <v>7</v>
          </cell>
          <cell r="K137" t="str">
            <v>0</v>
          </cell>
          <cell r="L137" t="str">
            <v>EB4005</v>
          </cell>
        </row>
        <row r="138">
          <cell r="C138" t="str">
            <v>EB4007</v>
          </cell>
          <cell r="D138" t="str">
            <v>PENGOLAHAN CITRA DIGITAL</v>
          </cell>
          <cell r="E138">
            <v>2</v>
          </cell>
          <cell r="F138">
            <v>2</v>
          </cell>
        </row>
        <row r="138">
          <cell r="J138">
            <v>7</v>
          </cell>
          <cell r="K138" t="str">
            <v>0</v>
          </cell>
          <cell r="L138" t="str">
            <v>EB4007</v>
          </cell>
        </row>
        <row r="139">
          <cell r="C139" t="str">
            <v>EB4111</v>
          </cell>
          <cell r="D139" t="str">
            <v>TEKNIK INTERFACING DAN SISTEM EMBEDDED</v>
          </cell>
          <cell r="E139">
            <v>3</v>
          </cell>
          <cell r="F139">
            <v>3</v>
          </cell>
        </row>
        <row r="139">
          <cell r="J139">
            <v>7</v>
          </cell>
          <cell r="K139">
            <v>1</v>
          </cell>
          <cell r="L139" t="str">
            <v>EB4111</v>
          </cell>
        </row>
        <row r="140">
          <cell r="C140" t="str">
            <v>EB4112</v>
          </cell>
          <cell r="D140" t="str">
            <v>PERANCANGAN SISTEM ELEKTRONIKA</v>
          </cell>
          <cell r="E140">
            <v>2</v>
          </cell>
          <cell r="F140">
            <v>2</v>
          </cell>
        </row>
        <row r="140">
          <cell r="J140">
            <v>7</v>
          </cell>
          <cell r="K140">
            <v>1</v>
          </cell>
          <cell r="L140" t="str">
            <v>EB4112</v>
          </cell>
        </row>
        <row r="141">
          <cell r="C141" t="str">
            <v>EB4113</v>
          </cell>
          <cell r="D141" t="str">
            <v>PRAKTIKUM PENGOLAHAN SINYAL DIGITAL</v>
          </cell>
          <cell r="E141">
            <v>1</v>
          </cell>
        </row>
        <row r="141">
          <cell r="G141">
            <v>1</v>
          </cell>
        </row>
        <row r="141">
          <cell r="J141">
            <v>7</v>
          </cell>
          <cell r="K141">
            <v>1</v>
          </cell>
          <cell r="L141" t="str">
            <v>EB4113</v>
          </cell>
        </row>
        <row r="142">
          <cell r="C142" t="str">
            <v>EB4114</v>
          </cell>
          <cell r="D142" t="str">
            <v>PIRANTI MIKROELEKTRONIKA</v>
          </cell>
          <cell r="E142">
            <v>2</v>
          </cell>
          <cell r="F142">
            <v>2</v>
          </cell>
        </row>
        <row r="142">
          <cell r="J142">
            <v>7</v>
          </cell>
          <cell r="K142">
            <v>1</v>
          </cell>
          <cell r="L142" t="str">
            <v>EB4114</v>
          </cell>
        </row>
        <row r="143">
          <cell r="C143" t="str">
            <v>EB4115</v>
          </cell>
          <cell r="D143" t="str">
            <v>TEKNIK KENDALI DIGITAL</v>
          </cell>
          <cell r="E143">
            <v>2</v>
          </cell>
          <cell r="F143">
            <v>2</v>
          </cell>
        </row>
        <row r="143">
          <cell r="J143">
            <v>7</v>
          </cell>
          <cell r="K143">
            <v>1</v>
          </cell>
          <cell r="L143" t="str">
            <v>EB4115</v>
          </cell>
        </row>
        <row r="144">
          <cell r="C144" t="str">
            <v>EC4001</v>
          </cell>
          <cell r="D144" t="str">
            <v>JARINGAN SYARAF TIRUAN</v>
          </cell>
          <cell r="E144">
            <v>2</v>
          </cell>
          <cell r="F144">
            <v>2</v>
          </cell>
        </row>
        <row r="144">
          <cell r="J144">
            <v>7</v>
          </cell>
          <cell r="K144" t="str">
            <v>0</v>
          </cell>
          <cell r="L144" t="str">
            <v>EC4001</v>
          </cell>
        </row>
        <row r="145">
          <cell r="C145" t="str">
            <v>EC4003</v>
          </cell>
          <cell r="D145" t="str">
            <v>KOMUNIKASI GELOMBANG MIKRO</v>
          </cell>
          <cell r="E145">
            <v>2</v>
          </cell>
          <cell r="F145">
            <v>2</v>
          </cell>
        </row>
        <row r="145">
          <cell r="J145">
            <v>7</v>
          </cell>
          <cell r="K145" t="str">
            <v>0</v>
          </cell>
          <cell r="L145" t="str">
            <v>EC4003</v>
          </cell>
        </row>
        <row r="146">
          <cell r="C146" t="str">
            <v>EC4005</v>
          </cell>
          <cell r="D146" t="str">
            <v>MIKROPROSESOR LANJUT</v>
          </cell>
          <cell r="E146">
            <v>2</v>
          </cell>
          <cell r="F146">
            <v>2</v>
          </cell>
        </row>
        <row r="146">
          <cell r="J146">
            <v>7</v>
          </cell>
          <cell r="K146" t="str">
            <v>0</v>
          </cell>
          <cell r="L146" t="str">
            <v>EC4005</v>
          </cell>
        </row>
        <row r="147">
          <cell r="C147" t="str">
            <v>EC4006</v>
          </cell>
          <cell r="D147" t="str">
            <v>PENGOLAHAN CITRA DIGITAL</v>
          </cell>
          <cell r="E147">
            <v>2</v>
          </cell>
          <cell r="F147">
            <v>2</v>
          </cell>
        </row>
        <row r="147">
          <cell r="J147">
            <v>7</v>
          </cell>
          <cell r="K147" t="str">
            <v>0</v>
          </cell>
          <cell r="L147" t="str">
            <v>EC4006</v>
          </cell>
        </row>
        <row r="148">
          <cell r="C148" t="str">
            <v>EC4009</v>
          </cell>
          <cell r="D148" t="str">
            <v>SISTEM BROADCASTING</v>
          </cell>
          <cell r="E148">
            <v>2</v>
          </cell>
          <cell r="F148">
            <v>2</v>
          </cell>
        </row>
        <row r="148">
          <cell r="J148">
            <v>7</v>
          </cell>
          <cell r="K148" t="str">
            <v>0</v>
          </cell>
          <cell r="L148" t="str">
            <v>EC4009</v>
          </cell>
        </row>
        <row r="149">
          <cell r="C149" t="str">
            <v>EC4010</v>
          </cell>
          <cell r="D149" t="str">
            <v>SISTEM KOMUNIKASI FIBER OPTIK</v>
          </cell>
          <cell r="E149">
            <v>2</v>
          </cell>
          <cell r="F149">
            <v>2</v>
          </cell>
        </row>
        <row r="149">
          <cell r="J149">
            <v>7</v>
          </cell>
          <cell r="K149" t="str">
            <v>0</v>
          </cell>
          <cell r="L149" t="str">
            <v>EC4010</v>
          </cell>
        </row>
        <row r="150">
          <cell r="C150" t="str">
            <v>EC4111</v>
          </cell>
          <cell r="D150" t="str">
            <v>TRANSMISI GELOMBANG ELEKTROMANETIK II</v>
          </cell>
          <cell r="E150">
            <v>2</v>
          </cell>
          <cell r="F150">
            <v>2</v>
          </cell>
        </row>
        <row r="150">
          <cell r="J150">
            <v>7</v>
          </cell>
          <cell r="K150">
            <v>1</v>
          </cell>
          <cell r="L150" t="str">
            <v>EC4111</v>
          </cell>
        </row>
        <row r="151">
          <cell r="C151" t="str">
            <v>EC4112</v>
          </cell>
          <cell r="D151" t="str">
            <v>ANTENA DAN PROPAGASI</v>
          </cell>
          <cell r="E151">
            <v>2</v>
          </cell>
          <cell r="F151">
            <v>2</v>
          </cell>
        </row>
        <row r="151">
          <cell r="J151">
            <v>7</v>
          </cell>
          <cell r="K151">
            <v>1</v>
          </cell>
          <cell r="L151" t="str">
            <v>EC4112</v>
          </cell>
        </row>
        <row r="152">
          <cell r="C152" t="str">
            <v>EC4113</v>
          </cell>
          <cell r="D152" t="str">
            <v>PENGUKURAN SISTEM TELEKOMUNIKASI</v>
          </cell>
          <cell r="E152">
            <v>2</v>
          </cell>
          <cell r="F152">
            <v>2</v>
          </cell>
        </row>
        <row r="152">
          <cell r="J152">
            <v>7</v>
          </cell>
          <cell r="K152">
            <v>1</v>
          </cell>
          <cell r="L152" t="str">
            <v>EC4113</v>
          </cell>
        </row>
        <row r="153">
          <cell r="C153" t="str">
            <v>EC4114</v>
          </cell>
          <cell r="D153" t="str">
            <v>PRAKTIKUM SISTEM TELEKOMUNIKASI</v>
          </cell>
          <cell r="E153">
            <v>1</v>
          </cell>
        </row>
        <row r="153">
          <cell r="G153">
            <v>1</v>
          </cell>
        </row>
        <row r="153">
          <cell r="J153">
            <v>7</v>
          </cell>
          <cell r="K153">
            <v>1</v>
          </cell>
          <cell r="L153" t="str">
            <v>EC4114</v>
          </cell>
        </row>
        <row r="154">
          <cell r="C154" t="str">
            <v>ED4001</v>
          </cell>
          <cell r="D154" t="str">
            <v>ALGORITMA CEPAT</v>
          </cell>
          <cell r="E154">
            <v>2</v>
          </cell>
          <cell r="F154">
            <v>2</v>
          </cell>
        </row>
        <row r="154">
          <cell r="J154">
            <v>7</v>
          </cell>
          <cell r="K154" t="str">
            <v>0</v>
          </cell>
          <cell r="L154" t="str">
            <v>ED4001</v>
          </cell>
        </row>
        <row r="155">
          <cell r="C155" t="str">
            <v>ED4003</v>
          </cell>
          <cell r="D155" t="str">
            <v>APLIKASI KOMPUTER DALAM STL</v>
          </cell>
          <cell r="E155">
            <v>2</v>
          </cell>
          <cell r="F155">
            <v>2</v>
          </cell>
        </row>
        <row r="155">
          <cell r="J155">
            <v>7</v>
          </cell>
          <cell r="K155" t="str">
            <v>0</v>
          </cell>
          <cell r="L155" t="str">
            <v>ED4003</v>
          </cell>
        </row>
        <row r="156">
          <cell r="C156" t="str">
            <v>ED4006</v>
          </cell>
          <cell r="D156" t="str">
            <v>PEMROGRAMAN PLATFORM INDEPENDENT</v>
          </cell>
          <cell r="E156">
            <v>2</v>
          </cell>
          <cell r="F156">
            <v>2</v>
          </cell>
        </row>
        <row r="156">
          <cell r="J156">
            <v>7</v>
          </cell>
          <cell r="K156" t="str">
            <v>0</v>
          </cell>
          <cell r="L156" t="str">
            <v>ED4006</v>
          </cell>
        </row>
        <row r="157">
          <cell r="C157" t="str">
            <v>ED4008</v>
          </cell>
          <cell r="D157" t="str">
            <v>PENGOLAHAN CITRA DIGITAL</v>
          </cell>
          <cell r="E157">
            <v>2</v>
          </cell>
          <cell r="F157">
            <v>2</v>
          </cell>
        </row>
        <row r="157">
          <cell r="J157">
            <v>7</v>
          </cell>
          <cell r="K157" t="str">
            <v>0</v>
          </cell>
          <cell r="L157" t="str">
            <v>ED4008</v>
          </cell>
        </row>
        <row r="158">
          <cell r="C158" t="str">
            <v>ED4011</v>
          </cell>
          <cell r="D158" t="str">
            <v>RISET OPERASIONAL</v>
          </cell>
          <cell r="E158">
            <v>2</v>
          </cell>
          <cell r="F158">
            <v>2</v>
          </cell>
        </row>
        <row r="158">
          <cell r="J158">
            <v>7</v>
          </cell>
          <cell r="K158" t="str">
            <v>0</v>
          </cell>
          <cell r="L158" t="str">
            <v>ED4011</v>
          </cell>
        </row>
        <row r="159">
          <cell r="C159" t="str">
            <v>ED4014</v>
          </cell>
          <cell r="D159" t="str">
            <v>TEORI ANTRIAN DAN DAN KEANDALAN</v>
          </cell>
          <cell r="E159">
            <v>2</v>
          </cell>
          <cell r="F159">
            <v>2</v>
          </cell>
        </row>
        <row r="159">
          <cell r="J159">
            <v>7</v>
          </cell>
          <cell r="K159" t="str">
            <v>0</v>
          </cell>
          <cell r="L159" t="str">
            <v>ED4014</v>
          </cell>
        </row>
        <row r="160">
          <cell r="C160" t="str">
            <v>ED4010</v>
          </cell>
          <cell r="D160" t="str">
            <v>PROYEK PERANGKAT LUNAK</v>
          </cell>
          <cell r="E160">
            <v>2</v>
          </cell>
          <cell r="F160">
            <v>2</v>
          </cell>
        </row>
        <row r="160">
          <cell r="J160">
            <v>7</v>
          </cell>
          <cell r="K160" t="str">
            <v>0</v>
          </cell>
          <cell r="L160" t="str">
            <v>ED4010</v>
          </cell>
        </row>
        <row r="161">
          <cell r="C161" t="str">
            <v>ED4110</v>
          </cell>
          <cell r="D161" t="str">
            <v>TEKNIK INTERFACING DAN SISTEM EMBEDDED</v>
          </cell>
          <cell r="E161">
            <v>3</v>
          </cell>
          <cell r="F161">
            <v>3</v>
          </cell>
        </row>
        <row r="161">
          <cell r="J161">
            <v>7</v>
          </cell>
          <cell r="K161">
            <v>1</v>
          </cell>
          <cell r="L161" t="str">
            <v>ED4110</v>
          </cell>
        </row>
        <row r="162">
          <cell r="C162" t="str">
            <v>ED4111</v>
          </cell>
          <cell r="D162" t="str">
            <v>SISTEM INFORMASI MANAJEMEN</v>
          </cell>
          <cell r="E162">
            <v>2</v>
          </cell>
          <cell r="F162">
            <v>2</v>
          </cell>
        </row>
        <row r="162">
          <cell r="J162">
            <v>7</v>
          </cell>
          <cell r="K162">
            <v>1</v>
          </cell>
          <cell r="L162" t="str">
            <v>ED4111</v>
          </cell>
        </row>
        <row r="163">
          <cell r="C163" t="str">
            <v>ED4112</v>
          </cell>
          <cell r="D163" t="str">
            <v>PRAKTIKUM ALGORITMA DAN STRUKTUR DATA</v>
          </cell>
          <cell r="E163">
            <v>1</v>
          </cell>
        </row>
        <row r="163">
          <cell r="G163">
            <v>1</v>
          </cell>
        </row>
        <row r="163">
          <cell r="J163">
            <v>7</v>
          </cell>
          <cell r="K163">
            <v>1</v>
          </cell>
          <cell r="L163" t="str">
            <v>ED4112</v>
          </cell>
        </row>
        <row r="164">
          <cell r="C164" t="str">
            <v>ED4113</v>
          </cell>
          <cell r="D164" t="str">
            <v>PRAKTIKUM BASIS DATA</v>
          </cell>
          <cell r="E164">
            <v>1</v>
          </cell>
        </row>
        <row r="164">
          <cell r="G164">
            <v>1</v>
          </cell>
        </row>
        <row r="164">
          <cell r="J164">
            <v>7</v>
          </cell>
          <cell r="K164">
            <v>1</v>
          </cell>
          <cell r="L164" t="str">
            <v>ED4113</v>
          </cell>
        </row>
        <row r="165">
          <cell r="C165" t="str">
            <v>ED4114</v>
          </cell>
          <cell r="D165" t="str">
            <v>PRAKTIKUM JARINGAN KOMPUTER</v>
          </cell>
          <cell r="E165">
            <v>1</v>
          </cell>
        </row>
        <row r="165">
          <cell r="G165">
            <v>1</v>
          </cell>
        </row>
        <row r="165">
          <cell r="J165">
            <v>7</v>
          </cell>
          <cell r="K165">
            <v>1</v>
          </cell>
          <cell r="L165" t="str">
            <v>ED4114</v>
          </cell>
        </row>
        <row r="166">
          <cell r="C166" t="str">
            <v>ES4142</v>
          </cell>
          <cell r="D166" t="str">
            <v>PANCASILA DAN KEWARGANEGARAAN</v>
          </cell>
          <cell r="E166">
            <v>2</v>
          </cell>
          <cell r="F166">
            <v>2</v>
          </cell>
        </row>
        <row r="166">
          <cell r="J166">
            <v>7</v>
          </cell>
          <cell r="K166">
            <v>1</v>
          </cell>
          <cell r="L166" t="str">
            <v>ES4142</v>
          </cell>
        </row>
        <row r="167">
          <cell r="C167" t="str">
            <v>ES4143</v>
          </cell>
          <cell r="D167" t="str">
            <v>PRAKTEK KERJA LAPANGAN</v>
          </cell>
          <cell r="E167">
            <v>2</v>
          </cell>
        </row>
        <row r="167">
          <cell r="H167">
            <v>2</v>
          </cell>
        </row>
        <row r="167">
          <cell r="J167">
            <v>7</v>
          </cell>
          <cell r="K167">
            <v>1</v>
          </cell>
          <cell r="L167" t="str">
            <v>ES4143</v>
          </cell>
        </row>
        <row r="168">
          <cell r="C168" t="str">
            <v>ES4144</v>
          </cell>
          <cell r="D168" t="str">
            <v>PRA TUGAS AKHIR</v>
          </cell>
          <cell r="E168">
            <v>2</v>
          </cell>
          <cell r="F168">
            <v>2</v>
          </cell>
        </row>
        <row r="168">
          <cell r="J168">
            <v>7</v>
          </cell>
          <cell r="K168">
            <v>1</v>
          </cell>
          <cell r="L168" t="str">
            <v>ES4144</v>
          </cell>
        </row>
        <row r="169">
          <cell r="C169" t="str">
            <v>ES4245</v>
          </cell>
          <cell r="D169" t="str">
            <v>KULIAH KERJA NYATA (KKN)</v>
          </cell>
          <cell r="E169">
            <v>4</v>
          </cell>
        </row>
        <row r="169">
          <cell r="H169">
            <v>4</v>
          </cell>
        </row>
        <row r="169">
          <cell r="J169">
            <v>8</v>
          </cell>
          <cell r="K169">
            <v>1</v>
          </cell>
          <cell r="L169" t="str">
            <v>ES4245</v>
          </cell>
        </row>
        <row r="170">
          <cell r="C170" t="str">
            <v>ES4246</v>
          </cell>
          <cell r="D170" t="str">
            <v>TECHNOPRENEURSHIP</v>
          </cell>
          <cell r="E170">
            <v>2</v>
          </cell>
          <cell r="F170">
            <v>2</v>
          </cell>
        </row>
        <row r="170">
          <cell r="J170">
            <v>8</v>
          </cell>
          <cell r="K170">
            <v>1</v>
          </cell>
          <cell r="L170" t="str">
            <v>ES4246</v>
          </cell>
        </row>
        <row r="171">
          <cell r="C171" t="str">
            <v>ES4247</v>
          </cell>
          <cell r="D171" t="str">
            <v>LINGKUNGAN DAN ETIKA REKAYASA</v>
          </cell>
          <cell r="E171">
            <v>2</v>
          </cell>
          <cell r="F171">
            <v>2</v>
          </cell>
        </row>
        <row r="171">
          <cell r="J171">
            <v>8</v>
          </cell>
          <cell r="K171">
            <v>1</v>
          </cell>
          <cell r="L171" t="str">
            <v>ES4247</v>
          </cell>
        </row>
        <row r="172">
          <cell r="C172" t="str">
            <v>ES4248</v>
          </cell>
          <cell r="D172" t="str">
            <v>TUGAS AKHIR</v>
          </cell>
          <cell r="E172">
            <v>4</v>
          </cell>
          <cell r="F172">
            <v>4</v>
          </cell>
        </row>
        <row r="172">
          <cell r="J172">
            <v>8</v>
          </cell>
          <cell r="K172">
            <v>1</v>
          </cell>
          <cell r="L172" t="str">
            <v>ES4248</v>
          </cell>
        </row>
        <row r="173">
          <cell r="C173" t="str">
            <v>EU4245</v>
          </cell>
          <cell r="D173" t="str">
            <v>TUGAS AKHIR</v>
          </cell>
          <cell r="E173">
            <v>6</v>
          </cell>
          <cell r="F173">
            <v>6</v>
          </cell>
          <cell r="G173">
            <v>0</v>
          </cell>
          <cell r="H173">
            <v>0</v>
          </cell>
        </row>
        <row r="173">
          <cell r="J173">
            <v>8</v>
          </cell>
          <cell r="K173">
            <v>1</v>
          </cell>
          <cell r="L173" t="str">
            <v>EU4245</v>
          </cell>
        </row>
        <row r="174">
          <cell r="C174" t="str">
            <v>TPBU01203</v>
          </cell>
          <cell r="D174" t="str">
            <v>PENDIDIKAN AGAMA</v>
          </cell>
          <cell r="E174">
            <v>2</v>
          </cell>
          <cell r="F174">
            <v>2</v>
          </cell>
        </row>
        <row r="174">
          <cell r="K174">
            <v>1</v>
          </cell>
          <cell r="L174" t="str">
            <v>TPBU01203</v>
          </cell>
        </row>
        <row r="175">
          <cell r="C175" t="str">
            <v>TPBU02203</v>
          </cell>
          <cell r="D175" t="str">
            <v>PANCASILA</v>
          </cell>
          <cell r="E175">
            <v>2</v>
          </cell>
          <cell r="F175">
            <v>2</v>
          </cell>
        </row>
        <row r="175">
          <cell r="K175">
            <v>1</v>
          </cell>
          <cell r="L175" t="str">
            <v>TPBU02203</v>
          </cell>
        </row>
        <row r="176">
          <cell r="C176" t="str">
            <v>TPBU04203</v>
          </cell>
          <cell r="D176" t="str">
            <v>BAHASA INDONESIA</v>
          </cell>
          <cell r="E176">
            <v>2</v>
          </cell>
          <cell r="F176">
            <v>2</v>
          </cell>
        </row>
        <row r="176">
          <cell r="K176">
            <v>1</v>
          </cell>
          <cell r="L176" t="str">
            <v>TPBU04203</v>
          </cell>
        </row>
        <row r="177">
          <cell r="C177" t="str">
            <v>TPBU05201</v>
          </cell>
          <cell r="D177" t="str">
            <v>BAHASA INGGRIS I</v>
          </cell>
          <cell r="E177">
            <v>2</v>
          </cell>
          <cell r="F177">
            <v>2</v>
          </cell>
        </row>
        <row r="177">
          <cell r="K177">
            <v>1</v>
          </cell>
          <cell r="L177" t="str">
            <v>TPBU05201</v>
          </cell>
        </row>
        <row r="178">
          <cell r="C178" t="str">
            <v>TPB101301</v>
          </cell>
          <cell r="D178" t="str">
            <v>MATEMATIKA DASAR</v>
          </cell>
          <cell r="E178">
            <v>3</v>
          </cell>
          <cell r="F178">
            <v>2</v>
          </cell>
        </row>
        <row r="178">
          <cell r="K178">
            <v>1</v>
          </cell>
          <cell r="L178" t="str">
            <v>TPB101301</v>
          </cell>
        </row>
        <row r="179">
          <cell r="C179" t="str">
            <v>TPB102211</v>
          </cell>
          <cell r="D179" t="str">
            <v>FISIKA DASAR</v>
          </cell>
          <cell r="E179">
            <v>3</v>
          </cell>
          <cell r="F179">
            <v>2</v>
          </cell>
          <cell r="G179">
            <v>1</v>
          </cell>
        </row>
        <row r="179">
          <cell r="K179">
            <v>1</v>
          </cell>
          <cell r="L179" t="str">
            <v>TPB102211</v>
          </cell>
        </row>
        <row r="180">
          <cell r="C180" t="str">
            <v>TPB103211</v>
          </cell>
          <cell r="D180" t="str">
            <v>KIMIA DASAR</v>
          </cell>
          <cell r="E180">
            <v>3</v>
          </cell>
          <cell r="F180">
            <v>2</v>
          </cell>
          <cell r="G180">
            <v>1</v>
          </cell>
        </row>
        <row r="180">
          <cell r="K180">
            <v>1</v>
          </cell>
          <cell r="L180" t="str">
            <v>TPB103211</v>
          </cell>
        </row>
        <row r="181">
          <cell r="C181" t="str">
            <v>TPB104211</v>
          </cell>
          <cell r="D181" t="str">
            <v>BIOLOGI UMUM</v>
          </cell>
          <cell r="E181">
            <v>3</v>
          </cell>
          <cell r="F181">
            <v>2</v>
          </cell>
          <cell r="G181">
            <v>1</v>
          </cell>
        </row>
        <row r="181">
          <cell r="K181">
            <v>1</v>
          </cell>
          <cell r="L181" t="str">
            <v>TPB104211</v>
          </cell>
        </row>
        <row r="182">
          <cell r="C182" t="str">
            <v>TPBU03203</v>
          </cell>
          <cell r="D182" t="str">
            <v>KEWARGANEGARAAN</v>
          </cell>
          <cell r="E182">
            <v>2</v>
          </cell>
          <cell r="F182">
            <v>2</v>
          </cell>
        </row>
        <row r="182">
          <cell r="K182">
            <v>1</v>
          </cell>
          <cell r="L182" t="str">
            <v>TPBU03203</v>
          </cell>
        </row>
        <row r="183">
          <cell r="C183" t="str">
            <v>TPBU06202</v>
          </cell>
          <cell r="D183" t="str">
            <v>BAHASA INGGRIS II</v>
          </cell>
          <cell r="E183">
            <v>2</v>
          </cell>
          <cell r="F183">
            <v>2</v>
          </cell>
        </row>
        <row r="183">
          <cell r="K183">
            <v>1</v>
          </cell>
          <cell r="L183" t="str">
            <v>TPBU06202</v>
          </cell>
        </row>
        <row r="184">
          <cell r="C184" t="str">
            <v>TPBU07202</v>
          </cell>
          <cell r="D184" t="str">
            <v>KEWIRAUSAHAAN</v>
          </cell>
          <cell r="E184">
            <v>2</v>
          </cell>
          <cell r="F184">
            <v>2</v>
          </cell>
        </row>
        <row r="184">
          <cell r="K184">
            <v>1</v>
          </cell>
          <cell r="L184" t="str">
            <v>TPBU07202</v>
          </cell>
        </row>
        <row r="185">
          <cell r="C185" t="str">
            <v>TPBU08202</v>
          </cell>
          <cell r="D185" t="str">
            <v>ILMU SOSIAL DAN BUDAYA DASAR</v>
          </cell>
          <cell r="E185">
            <v>2</v>
          </cell>
          <cell r="F185">
            <v>2</v>
          </cell>
        </row>
        <row r="185">
          <cell r="K185">
            <v>1</v>
          </cell>
          <cell r="L185" t="str">
            <v>TPBU08202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2 (2)"/>
      <sheetName val="Sheet1"/>
    </sheetNames>
    <sheetDataSet>
      <sheetData sheetId="0">
        <row r="6">
          <cell r="A6">
            <v>1</v>
          </cell>
          <cell r="B6">
            <v>132162524</v>
          </cell>
          <cell r="C6" t="str">
            <v>19700320 199702 2 001</v>
          </cell>
          <cell r="D6" t="str">
            <v>0020037003</v>
          </cell>
          <cell r="E6" t="str">
            <v>"197003201997022001"</v>
          </cell>
          <cell r="F6" t="str">
            <v>Ni Made Seniari, ST., MT.</v>
          </cell>
        </row>
        <row r="7">
          <cell r="A7">
            <v>2</v>
          </cell>
          <cell r="B7">
            <v>132162525</v>
          </cell>
          <cell r="C7" t="str">
            <v>19710607 199702 1 002</v>
          </cell>
          <cell r="D7" t="str">
            <v>0007067105</v>
          </cell>
          <cell r="E7" t="str">
            <v>"197106071997021002"</v>
          </cell>
          <cell r="F7" t="str">
            <v>Supriyatna, ST., MT.</v>
          </cell>
        </row>
        <row r="8">
          <cell r="A8">
            <v>3</v>
          </cell>
          <cell r="B8">
            <v>132162526</v>
          </cell>
          <cell r="C8" t="str">
            <v>19660424 199702 1 001</v>
          </cell>
          <cell r="D8" t="str">
            <v>0024046605</v>
          </cell>
          <cell r="E8" t="str">
            <v>"196604241997021001"</v>
          </cell>
          <cell r="F8" t="str">
            <v>I Ketut Wiryajati, ST., MT.</v>
          </cell>
        </row>
        <row r="9">
          <cell r="A9">
            <v>4</v>
          </cell>
          <cell r="B9">
            <v>132162528</v>
          </cell>
          <cell r="C9" t="str">
            <v>19690612 199702 1 001</v>
          </cell>
          <cell r="D9" t="str">
            <v>0012066905</v>
          </cell>
          <cell r="E9" t="str">
            <v>"196906121997021001"</v>
          </cell>
          <cell r="F9" t="str">
            <v>Syafaruddin Ch., ST., MT.</v>
          </cell>
        </row>
        <row r="10">
          <cell r="A10">
            <v>5</v>
          </cell>
          <cell r="B10">
            <v>132163849</v>
          </cell>
          <cell r="C10" t="str">
            <v>19671231 199702 1 001</v>
          </cell>
          <cell r="D10" t="str">
            <v>0031126704</v>
          </cell>
          <cell r="E10" t="str">
            <v>"196712311997021001"</v>
          </cell>
          <cell r="F10" t="str">
            <v>Sultan, ST., MT.</v>
          </cell>
        </row>
        <row r="11">
          <cell r="A11">
            <v>6</v>
          </cell>
          <cell r="B11">
            <v>132175610</v>
          </cell>
          <cell r="C11" t="str">
            <v>19670526 199703 1 001</v>
          </cell>
          <cell r="D11" t="str">
            <v>0026056701</v>
          </cell>
          <cell r="E11" t="str">
            <v>"196705261997031001"</v>
          </cell>
          <cell r="F11" t="str">
            <v>Sudi M. Al Sasongko, ST., MT.</v>
          </cell>
        </row>
        <row r="12">
          <cell r="A12">
            <v>7</v>
          </cell>
          <cell r="B12">
            <v>132175615</v>
          </cell>
          <cell r="C12" t="str">
            <v>19681005 199703 1 001</v>
          </cell>
          <cell r="D12" t="str">
            <v>0005106805</v>
          </cell>
          <cell r="E12" t="str">
            <v>"196810051997031001"</v>
          </cell>
          <cell r="F12" t="str">
            <v>Misbahuddin, ST., MT.</v>
          </cell>
        </row>
        <row r="13">
          <cell r="A13">
            <v>8</v>
          </cell>
          <cell r="B13">
            <v>132205492</v>
          </cell>
          <cell r="C13" t="str">
            <v>19700908 199802 1 001</v>
          </cell>
          <cell r="D13" t="str">
            <v>0008097004</v>
          </cell>
          <cell r="E13" t="str">
            <v>"197009081998021001"</v>
          </cell>
          <cell r="F13" t="str">
            <v>I Nyoman Wahyu S., ST., M.Sc., Ph.D.</v>
          </cell>
        </row>
        <row r="14">
          <cell r="A14">
            <v>9</v>
          </cell>
          <cell r="B14">
            <v>132205502</v>
          </cell>
          <cell r="C14" t="str">
            <v>19691028 199802 1 001</v>
          </cell>
          <cell r="D14" t="str">
            <v>0028106901</v>
          </cell>
          <cell r="E14" t="str">
            <v>"196910281998021001"</v>
          </cell>
          <cell r="F14" t="str">
            <v>Cahyo Mustiko O.M., ST., M.Sc., Ph.D.</v>
          </cell>
        </row>
        <row r="15">
          <cell r="A15">
            <v>10</v>
          </cell>
          <cell r="B15">
            <v>132205503</v>
          </cell>
          <cell r="C15" t="str">
            <v>19700823 199802 2 001</v>
          </cell>
          <cell r="D15" t="str">
            <v>0023087003</v>
          </cell>
          <cell r="E15" t="str">
            <v>"197008231998022001"</v>
          </cell>
          <cell r="F15" t="str">
            <v>Dr. Ida Ayu Sri Adnyani, ST., MErg.</v>
          </cell>
        </row>
        <row r="16">
          <cell r="A16">
            <v>11</v>
          </cell>
          <cell r="B16">
            <v>132210692</v>
          </cell>
          <cell r="C16" t="str">
            <v>19701218 199803 1 003</v>
          </cell>
          <cell r="D16" t="str">
            <v>0018127007</v>
          </cell>
          <cell r="E16" t="str">
            <v>"197012181998031003"</v>
          </cell>
          <cell r="F16" t="str">
            <v>Muhammad Firad, ST.</v>
          </cell>
        </row>
        <row r="17">
          <cell r="A17">
            <v>12</v>
          </cell>
          <cell r="B17">
            <v>132210694</v>
          </cell>
          <cell r="C17" t="str">
            <v>19740226 199803 1 004</v>
          </cell>
          <cell r="D17" t="str">
            <v>0026027405</v>
          </cell>
          <cell r="E17" t="str">
            <v>"197402261998031004"</v>
          </cell>
          <cell r="F17" t="str">
            <v>Ida Bagus Fery Citarsa, ST., MT.</v>
          </cell>
        </row>
        <row r="18">
          <cell r="A18">
            <v>13</v>
          </cell>
          <cell r="B18">
            <v>132210775</v>
          </cell>
          <cell r="C18" t="str">
            <v>19710211 199803 1 002</v>
          </cell>
          <cell r="D18" t="str">
            <v>0011027105</v>
          </cell>
          <cell r="E18" t="str">
            <v>"197102111998031002"</v>
          </cell>
          <cell r="F18" t="str">
            <v>Agung Budi Muljono, ST., MT.</v>
          </cell>
        </row>
        <row r="19">
          <cell r="A19">
            <v>14</v>
          </cell>
          <cell r="B19">
            <v>132210777</v>
          </cell>
          <cell r="C19" t="str">
            <v>19720509 199803 1 002</v>
          </cell>
          <cell r="D19" t="str">
            <v>0009057201</v>
          </cell>
          <cell r="E19" t="str">
            <v>"197205091998031002"</v>
          </cell>
          <cell r="F19" t="str">
            <v>Abdul Natsir, ST., MT.</v>
          </cell>
        </row>
        <row r="20">
          <cell r="A20">
            <v>15</v>
          </cell>
          <cell r="B20">
            <v>132213850</v>
          </cell>
          <cell r="C20" t="str">
            <v>19721026 199803 1 002</v>
          </cell>
          <cell r="D20" t="str">
            <v>0026107201</v>
          </cell>
          <cell r="E20" t="str">
            <v>"197210261998031002"</v>
          </cell>
          <cell r="F20" t="str">
            <v>Abdullah Zainuddin, ST., MT.</v>
          </cell>
        </row>
        <row r="21">
          <cell r="A21">
            <v>16</v>
          </cell>
          <cell r="B21">
            <v>132213851</v>
          </cell>
          <cell r="C21" t="str">
            <v>19680717 199803 2 002</v>
          </cell>
          <cell r="D21" t="str">
            <v>0017076807</v>
          </cell>
          <cell r="E21" t="str">
            <v>"196807171998032002"</v>
          </cell>
          <cell r="F21" t="str">
            <v>Rosmaliati, ST., MT.</v>
          </cell>
        </row>
        <row r="22">
          <cell r="A22">
            <v>17</v>
          </cell>
          <cell r="B22">
            <v>132231578</v>
          </cell>
          <cell r="C22" t="str">
            <v>19711124 199903 1 004</v>
          </cell>
          <cell r="D22" t="str">
            <v>0024117102</v>
          </cell>
          <cell r="E22" t="str">
            <v>"197111241999031004"</v>
          </cell>
          <cell r="F22" t="str">
            <v>A. Sjamsjiar Rachman, ST., MT.</v>
          </cell>
        </row>
        <row r="23">
          <cell r="A23">
            <v>18</v>
          </cell>
          <cell r="B23">
            <v>132233157</v>
          </cell>
          <cell r="C23" t="str">
            <v>19720222 199903 1 002</v>
          </cell>
          <cell r="D23" t="str">
            <v>0022027205</v>
          </cell>
          <cell r="E23" t="str">
            <v>"197202221999031002"</v>
          </cell>
          <cell r="F23" t="str">
            <v>Muhamad Syamsu Iqbal, ST., MT.</v>
          </cell>
        </row>
        <row r="24">
          <cell r="A24">
            <v>19</v>
          </cell>
          <cell r="B24">
            <v>132233158</v>
          </cell>
          <cell r="C24" t="str">
            <v>19720117 199903 1 001</v>
          </cell>
          <cell r="D24" t="str">
            <v>0017017203</v>
          </cell>
          <cell r="E24" t="str">
            <v>"197201171999031001"</v>
          </cell>
          <cell r="F24" t="str">
            <v>Made Sutha Yadnya, ST., MT.</v>
          </cell>
        </row>
        <row r="25">
          <cell r="A25">
            <v>20</v>
          </cell>
          <cell r="B25">
            <v>132240252</v>
          </cell>
          <cell r="C25" t="str">
            <v>19730723 199903 2 001</v>
          </cell>
          <cell r="D25" t="str">
            <v>0023077310</v>
          </cell>
          <cell r="E25" t="str">
            <v>"197307231999032001"</v>
          </cell>
          <cell r="F25" t="str">
            <v>Bulkis Kanata, ST., MT.</v>
          </cell>
        </row>
        <row r="26">
          <cell r="A26">
            <v>21</v>
          </cell>
          <cell r="B26">
            <v>132240253</v>
          </cell>
          <cell r="C26" t="str">
            <v>19741119 199903 2 001</v>
          </cell>
          <cell r="D26" t="str">
            <v>0019117407</v>
          </cell>
          <cell r="E26" t="str">
            <v>"197411191999032001"</v>
          </cell>
          <cell r="F26" t="str">
            <v>Dr. rer.nat. Teti Zubaidah, ST., MT.</v>
          </cell>
        </row>
        <row r="27">
          <cell r="A27">
            <v>22</v>
          </cell>
          <cell r="B27">
            <v>132240257</v>
          </cell>
          <cell r="C27" t="str">
            <v>19730210 199903 1 001</v>
          </cell>
          <cell r="D27" t="str">
            <v>0010027301</v>
          </cell>
          <cell r="E27" t="str">
            <v>"197302101999031001"</v>
          </cell>
          <cell r="F27" t="str">
            <v>I Ketut Perdana Putra, ST., MT.</v>
          </cell>
        </row>
        <row r="28">
          <cell r="A28">
            <v>23</v>
          </cell>
          <cell r="B28">
            <v>132240259</v>
          </cell>
          <cell r="C28" t="str">
            <v>19710426 199903 1 002</v>
          </cell>
          <cell r="D28" t="str">
            <v>0026047105</v>
          </cell>
          <cell r="E28" t="str">
            <v>"197104261999031002"</v>
          </cell>
          <cell r="F28" t="str">
            <v>I Made Budi Suksmadana, ST., MT.</v>
          </cell>
        </row>
        <row r="29">
          <cell r="A29">
            <v>24</v>
          </cell>
          <cell r="B29">
            <v>132240264</v>
          </cell>
          <cell r="C29" t="str">
            <v>19730404 199903 1 003</v>
          </cell>
          <cell r="D29" t="str">
            <v>0004047303</v>
          </cell>
          <cell r="E29" t="str">
            <v>"197304041999031003"</v>
          </cell>
          <cell r="F29" t="str">
            <v>I Made Ari Nrartha, ST., MT.</v>
          </cell>
        </row>
        <row r="30">
          <cell r="A30">
            <v>25</v>
          </cell>
          <cell r="B30">
            <v>132240265</v>
          </cell>
          <cell r="C30" t="str">
            <v>19700325 199903 1 001</v>
          </cell>
          <cell r="D30" t="str">
            <v>0025037004</v>
          </cell>
          <cell r="E30" t="str">
            <v>"197003251999031001"</v>
          </cell>
          <cell r="F30" t="str">
            <v>Dr. I Made Ginarsa, ST., MT.</v>
          </cell>
        </row>
        <row r="31">
          <cell r="A31">
            <v>26</v>
          </cell>
          <cell r="B31">
            <v>132240267</v>
          </cell>
          <cell r="C31" t="str">
            <v>19710723 199903 1 001</v>
          </cell>
          <cell r="D31" t="str">
            <v>0023077104</v>
          </cell>
          <cell r="E31" t="str">
            <v>"197107231999031001"</v>
          </cell>
          <cell r="F31" t="str">
            <v>Paniran, ST., MT.</v>
          </cell>
        </row>
        <row r="32">
          <cell r="A32">
            <v>27</v>
          </cell>
          <cell r="B32">
            <v>132240268</v>
          </cell>
          <cell r="C32" t="str">
            <v>19711126 199903 1 004</v>
          </cell>
          <cell r="D32" t="str">
            <v>0026117102</v>
          </cell>
          <cell r="E32" t="str">
            <v>"197111261999031004"</v>
          </cell>
          <cell r="F32" t="str">
            <v>Supriono, ST., MT.</v>
          </cell>
        </row>
        <row r="33">
          <cell r="A33">
            <v>28</v>
          </cell>
          <cell r="B33">
            <v>132258121</v>
          </cell>
          <cell r="C33" t="str">
            <v>19710713 200003 1 001</v>
          </cell>
          <cell r="D33" t="str">
            <v>0013077104</v>
          </cell>
          <cell r="E33" t="str">
            <v>"197107132000031001"</v>
          </cell>
          <cell r="F33" t="str">
            <v>Sabar Nababan, ST., MT.</v>
          </cell>
        </row>
        <row r="34">
          <cell r="A34">
            <v>29</v>
          </cell>
          <cell r="B34">
            <v>132262162</v>
          </cell>
          <cell r="C34" t="str">
            <v>19770425 200003 1 002</v>
          </cell>
          <cell r="D34" t="str">
            <v>0025047703</v>
          </cell>
          <cell r="E34" t="str">
            <v>"197704252000031002"</v>
          </cell>
          <cell r="F34" t="str">
            <v>Dr. Rismon H. Sianipar, ST., M.Eng.</v>
          </cell>
        </row>
        <row r="35">
          <cell r="A35">
            <v>30</v>
          </cell>
          <cell r="B35">
            <v>132262164</v>
          </cell>
          <cell r="C35" t="str">
            <v>19730905 200003 1 002</v>
          </cell>
          <cell r="D35" t="str">
            <v>0005097305</v>
          </cell>
          <cell r="E35" t="str">
            <v>"197309052000031002"</v>
          </cell>
          <cell r="F35" t="str">
            <v>Sayidiman, ST., M.Eng</v>
          </cell>
        </row>
        <row r="36">
          <cell r="A36">
            <v>31</v>
          </cell>
          <cell r="B36">
            <v>132283012</v>
          </cell>
          <cell r="C36" t="str">
            <v>19720729 200012 1 001</v>
          </cell>
          <cell r="D36" t="str">
            <v>0029077204</v>
          </cell>
          <cell r="E36" t="str">
            <v>"197207262000121001"</v>
          </cell>
          <cell r="F36" t="str">
            <v>Djulfikry Budiman, ST.</v>
          </cell>
        </row>
        <row r="37">
          <cell r="A37">
            <v>32</v>
          </cell>
          <cell r="B37">
            <v>132296860</v>
          </cell>
          <cell r="C37" t="str">
            <v>19700428 200112 1 001</v>
          </cell>
          <cell r="D37" t="str">
            <v>0028047004</v>
          </cell>
          <cell r="E37" t="str">
            <v>"197004282001121001"</v>
          </cell>
          <cell r="F37" t="str">
            <v>Herry Sulendro Mangiri, ST.</v>
          </cell>
        </row>
        <row r="38">
          <cell r="A38">
            <v>33</v>
          </cell>
          <cell r="B38">
            <v>132297885</v>
          </cell>
          <cell r="C38" t="str">
            <v>19700202 200112 1 003</v>
          </cell>
          <cell r="D38" t="str">
            <v>0002027009</v>
          </cell>
          <cell r="E38" t="str">
            <v>"197002022001121003"</v>
          </cell>
          <cell r="F38" t="str">
            <v>Warindi, ST., M.Eng.</v>
          </cell>
        </row>
        <row r="39">
          <cell r="A39">
            <v>34</v>
          </cell>
          <cell r="B39">
            <v>1</v>
          </cell>
          <cell r="C39" t="str">
            <v>19810416 200812 1 003</v>
          </cell>
          <cell r="D39" t="str">
            <v>0016048107</v>
          </cell>
          <cell r="E39" t="str">
            <v>"198104162008121003"</v>
          </cell>
          <cell r="F39" t="str">
            <v>Muhamad Irwan. ST., MT.</v>
          </cell>
        </row>
        <row r="40">
          <cell r="A40">
            <v>35</v>
          </cell>
          <cell r="B40">
            <v>2</v>
          </cell>
          <cell r="C40" t="str">
            <v>19830310 200912 1 004</v>
          </cell>
          <cell r="D40" t="str">
            <v>0010038303</v>
          </cell>
          <cell r="E40" t="str">
            <v>"198303102009121004"</v>
          </cell>
          <cell r="F40" t="str">
            <v>L. A. Syamsul Irfan Akbar, ST., M.Eng.</v>
          </cell>
        </row>
        <row r="41">
          <cell r="A41">
            <v>36</v>
          </cell>
          <cell r="B41">
            <v>3</v>
          </cell>
          <cell r="C41" t="str">
            <v>19820904 201012 1 001</v>
          </cell>
          <cell r="D41" t="str">
            <v>0004098205</v>
          </cell>
          <cell r="E41" t="str">
            <v>"198209042010121001"</v>
          </cell>
          <cell r="F41" t="str">
            <v>Giri Wahyu Wiriasto, ST., MT.</v>
          </cell>
        </row>
        <row r="42">
          <cell r="A42">
            <v>37</v>
          </cell>
          <cell r="B42">
            <v>4</v>
          </cell>
          <cell r="C42" t="str">
            <v>19850327 201404 1 001</v>
          </cell>
          <cell r="D42" t="str">
            <v>0827038501</v>
          </cell>
          <cell r="E42" t="str">
            <v>"198503272014041001"</v>
          </cell>
          <cell r="F42" t="str">
            <v>Suthami Ariessaputra, ST., M.Eng.</v>
          </cell>
        </row>
        <row r="43">
          <cell r="A43">
            <v>38</v>
          </cell>
          <cell r="B43">
            <v>5</v>
          </cell>
          <cell r="C43" t="str">
            <v>19850526 201504 1 002</v>
          </cell>
          <cell r="D43" t="str">
            <v>0826058503</v>
          </cell>
          <cell r="E43" t="str">
            <v>"198505262015041002"</v>
          </cell>
          <cell r="F43" t="str">
            <v>Budi Darmawan, ST., M.Eng.</v>
          </cell>
        </row>
      </sheetData>
      <sheetData sheetId="1"/>
      <sheetData sheetId="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M3503"/>
  <sheetViews>
    <sheetView showFormulas="false" showGridLines="true" showRowColHeaders="true" showZeros="true" rightToLeft="false" tabSelected="true" showOutlineSymbols="true" defaultGridColor="true" view="normal" topLeftCell="A2144" colorId="64" zoomScale="100" zoomScaleNormal="100" zoomScalePageLayoutView="100" workbookViewId="0">
      <selection pane="topLeft" activeCell="B2148" activeCellId="0" sqref="1:1048576"/>
    </sheetView>
  </sheetViews>
  <sheetFormatPr defaultRowHeight="1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37.71"/>
    <col collapsed="false" customWidth="true" hidden="false" outlineLevel="0" max="3" min="3" style="1" width="13.12"/>
    <col collapsed="false" customWidth="true" hidden="false" outlineLevel="0" max="4" min="4" style="1" width="43.59"/>
    <col collapsed="false" customWidth="true" hidden="false" outlineLevel="0" max="5" min="5" style="1" width="10.58"/>
    <col collapsed="false" customWidth="true" hidden="false" outlineLevel="0" max="6" min="6" style="1" width="8.14"/>
    <col collapsed="false" customWidth="true" hidden="false" outlineLevel="0" max="7" min="7" style="1" width="14.01"/>
    <col collapsed="false" customWidth="true" hidden="false" outlineLevel="0" max="8" min="8" style="1" width="15.29"/>
    <col collapsed="false" customWidth="true" hidden="false" outlineLevel="0" max="9" min="9" style="1" width="14.01"/>
    <col collapsed="false" customWidth="true" hidden="false" outlineLevel="0" max="10" min="10" style="1" width="12.86"/>
    <col collapsed="false" customWidth="true" hidden="false" outlineLevel="0" max="11" min="11" style="1" width="8.57"/>
    <col collapsed="false" customWidth="true" hidden="false" outlineLevel="0" max="12" min="12" style="1" width="42.71"/>
    <col collapsed="false" customWidth="true" hidden="false" outlineLevel="0" max="1025" min="13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3" t="s">
        <v>11</v>
      </c>
      <c r="C2" s="1" t="s">
        <v>12</v>
      </c>
      <c r="D2" s="1" t="s">
        <v>13</v>
      </c>
      <c r="E2" s="1" t="n">
        <v>20171</v>
      </c>
      <c r="F2" s="1" t="s">
        <v>14</v>
      </c>
      <c r="G2" s="1" t="s">
        <v>15</v>
      </c>
      <c r="H2" s="1" t="n">
        <v>3.5</v>
      </c>
      <c r="I2" s="1" t="n">
        <v>0</v>
      </c>
      <c r="J2" s="1" t="n">
        <v>20201</v>
      </c>
      <c r="L2" s="1" t="str">
        <f aca="false">IF(D1&lt;&gt;D2,D2,"")</f>
        <v>ALGORITMA DAN PEMROGRAMAN</v>
      </c>
      <c r="M2" s="1" t="str">
        <f aca="false">IF(F1&lt;&gt;F2,F2,"")</f>
        <v>A</v>
      </c>
    </row>
    <row r="3" customFormat="false" ht="13.8" hidden="false" customHeight="false" outlineLevel="0" collapsed="false">
      <c r="A3" s="1" t="s">
        <v>16</v>
      </c>
      <c r="B3" s="1" t="s">
        <v>17</v>
      </c>
      <c r="C3" s="1" t="s">
        <v>12</v>
      </c>
      <c r="D3" s="1" t="s">
        <v>13</v>
      </c>
      <c r="E3" s="1" t="n">
        <v>20171</v>
      </c>
      <c r="F3" s="1" t="s">
        <v>14</v>
      </c>
      <c r="G3" s="1" t="s">
        <v>18</v>
      </c>
      <c r="H3" s="1" t="n">
        <v>3</v>
      </c>
      <c r="I3" s="1" t="n">
        <v>0</v>
      </c>
      <c r="J3" s="1" t="n">
        <v>20201</v>
      </c>
      <c r="L3" s="1" t="str">
        <f aca="false">IF(D2&lt;&gt;D3,D3,"")</f>
        <v/>
      </c>
      <c r="M3" s="1" t="str">
        <f aca="false">IF(F2&lt;&gt;F3,F3,"")</f>
        <v/>
      </c>
    </row>
    <row r="4" customFormat="false" ht="13.8" hidden="false" customHeight="false" outlineLevel="0" collapsed="false">
      <c r="A4" s="1" t="s">
        <v>19</v>
      </c>
      <c r="B4" s="1" t="s">
        <v>20</v>
      </c>
      <c r="C4" s="1" t="s">
        <v>12</v>
      </c>
      <c r="D4" s="1" t="s">
        <v>13</v>
      </c>
      <c r="E4" s="1" t="n">
        <v>20171</v>
      </c>
      <c r="F4" s="1" t="s">
        <v>14</v>
      </c>
      <c r="G4" s="1" t="s">
        <v>18</v>
      </c>
      <c r="H4" s="1" t="n">
        <v>3</v>
      </c>
      <c r="I4" s="1" t="n">
        <v>0</v>
      </c>
      <c r="J4" s="1" t="n">
        <v>20201</v>
      </c>
      <c r="L4" s="1" t="str">
        <f aca="false">IF(D3&lt;&gt;D4,D4,"")</f>
        <v/>
      </c>
      <c r="M4" s="1" t="str">
        <f aca="false">IF(F3&lt;&gt;F4,F4,"")</f>
        <v/>
      </c>
    </row>
    <row r="5" customFormat="false" ht="13.8" hidden="false" customHeight="false" outlineLevel="0" collapsed="false">
      <c r="A5" s="1" t="s">
        <v>21</v>
      </c>
      <c r="B5" s="1" t="s">
        <v>22</v>
      </c>
      <c r="C5" s="1" t="s">
        <v>12</v>
      </c>
      <c r="D5" s="1" t="s">
        <v>13</v>
      </c>
      <c r="E5" s="1" t="n">
        <v>20171</v>
      </c>
      <c r="F5" s="1" t="s">
        <v>14</v>
      </c>
      <c r="G5" s="1" t="s">
        <v>23</v>
      </c>
      <c r="H5" s="1" t="n">
        <v>0</v>
      </c>
      <c r="I5" s="1" t="n">
        <v>0</v>
      </c>
      <c r="J5" s="1" t="n">
        <v>20201</v>
      </c>
      <c r="L5" s="1" t="str">
        <f aca="false">IF(D4&lt;&gt;D5,D5,"")</f>
        <v/>
      </c>
      <c r="M5" s="1" t="str">
        <f aca="false">IF(F4&lt;&gt;F5,F5,"")</f>
        <v/>
      </c>
    </row>
    <row r="6" customFormat="false" ht="13.8" hidden="false" customHeight="false" outlineLevel="0" collapsed="false">
      <c r="A6" s="3" t="s">
        <v>24</v>
      </c>
      <c r="B6" s="3" t="s">
        <v>25</v>
      </c>
      <c r="C6" s="3" t="s">
        <v>12</v>
      </c>
      <c r="D6" s="3" t="s">
        <v>13</v>
      </c>
      <c r="E6" s="3" t="n">
        <v>20171</v>
      </c>
      <c r="F6" s="3" t="s">
        <v>14</v>
      </c>
      <c r="G6" s="3" t="s">
        <v>15</v>
      </c>
      <c r="H6" s="1" t="n">
        <v>3.5</v>
      </c>
      <c r="I6" s="1" t="n">
        <v>0</v>
      </c>
      <c r="J6" s="1" t="n">
        <v>20201</v>
      </c>
      <c r="L6" s="1" t="str">
        <f aca="false">IF(D5&lt;&gt;D6,D6,"")</f>
        <v/>
      </c>
      <c r="M6" s="1" t="str">
        <f aca="false">IF(F5&lt;&gt;F6,F6,"")</f>
        <v/>
      </c>
    </row>
    <row r="7" customFormat="false" ht="13.8" hidden="false" customHeight="false" outlineLevel="0" collapsed="false">
      <c r="A7" s="3" t="s">
        <v>26</v>
      </c>
      <c r="B7" s="3" t="s">
        <v>27</v>
      </c>
      <c r="C7" s="3" t="s">
        <v>12</v>
      </c>
      <c r="D7" s="3" t="s">
        <v>13</v>
      </c>
      <c r="E7" s="3" t="n">
        <v>20171</v>
      </c>
      <c r="F7" s="3" t="s">
        <v>14</v>
      </c>
      <c r="G7" s="3" t="s">
        <v>18</v>
      </c>
      <c r="H7" s="1" t="n">
        <v>3</v>
      </c>
      <c r="I7" s="1" t="n">
        <v>0</v>
      </c>
      <c r="J7" s="1" t="n">
        <v>20201</v>
      </c>
      <c r="L7" s="1" t="str">
        <f aca="false">IF(D6&lt;&gt;D7,D7,"")</f>
        <v/>
      </c>
      <c r="M7" s="1" t="str">
        <f aca="false">IF(F6&lt;&gt;F7,F7,"")</f>
        <v/>
      </c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12</v>
      </c>
      <c r="D8" s="3" t="s">
        <v>13</v>
      </c>
      <c r="E8" s="3" t="n">
        <v>20171</v>
      </c>
      <c r="F8" s="3" t="s">
        <v>14</v>
      </c>
      <c r="G8" s="3" t="s">
        <v>30</v>
      </c>
      <c r="H8" s="1" t="n">
        <v>1.5</v>
      </c>
      <c r="I8" s="1" t="n">
        <v>0</v>
      </c>
      <c r="J8" s="1" t="n">
        <v>20201</v>
      </c>
      <c r="L8" s="1" t="str">
        <f aca="false">IF(D7&lt;&gt;D8,D8,"")</f>
        <v/>
      </c>
      <c r="M8" s="1" t="str">
        <f aca="false">IF(F7&lt;&gt;F8,F8,"")</f>
        <v/>
      </c>
    </row>
    <row r="9" customFormat="false" ht="13.8" hidden="false" customHeight="false" outlineLevel="0" collapsed="false">
      <c r="A9" s="3" t="s">
        <v>31</v>
      </c>
      <c r="B9" s="3" t="s">
        <v>32</v>
      </c>
      <c r="C9" s="3" t="s">
        <v>12</v>
      </c>
      <c r="D9" s="3" t="s">
        <v>13</v>
      </c>
      <c r="E9" s="3" t="n">
        <v>20171</v>
      </c>
      <c r="F9" s="3" t="s">
        <v>14</v>
      </c>
      <c r="G9" s="3" t="s">
        <v>18</v>
      </c>
      <c r="H9" s="1" t="n">
        <v>3</v>
      </c>
      <c r="I9" s="1" t="n">
        <v>0</v>
      </c>
      <c r="J9" s="1" t="n">
        <v>20201</v>
      </c>
      <c r="L9" s="1" t="str">
        <f aca="false">IF(D8&lt;&gt;D9,D9,"")</f>
        <v/>
      </c>
      <c r="M9" s="1" t="str">
        <f aca="false">IF(F8&lt;&gt;F9,F9,"")</f>
        <v/>
      </c>
    </row>
    <row r="10" customFormat="false" ht="13.8" hidden="false" customHeight="false" outlineLevel="0" collapsed="false">
      <c r="A10" s="3" t="s">
        <v>33</v>
      </c>
      <c r="B10" s="3" t="s">
        <v>34</v>
      </c>
      <c r="C10" s="3" t="s">
        <v>12</v>
      </c>
      <c r="D10" s="3" t="s">
        <v>13</v>
      </c>
      <c r="E10" s="3" t="n">
        <v>20171</v>
      </c>
      <c r="F10" s="3" t="s">
        <v>14</v>
      </c>
      <c r="G10" s="3" t="s">
        <v>18</v>
      </c>
      <c r="H10" s="1" t="n">
        <v>3</v>
      </c>
      <c r="I10" s="1" t="n">
        <v>0</v>
      </c>
      <c r="J10" s="1" t="n">
        <v>20201</v>
      </c>
      <c r="L10" s="1" t="str">
        <f aca="false">IF(D9&lt;&gt;D10,D10,"")</f>
        <v/>
      </c>
      <c r="M10" s="1" t="str">
        <f aca="false">IF(F9&lt;&gt;F10,F10,"")</f>
        <v/>
      </c>
    </row>
    <row r="11" customFormat="false" ht="13.8" hidden="false" customHeight="false" outlineLevel="0" collapsed="false">
      <c r="A11" s="3" t="s">
        <v>35</v>
      </c>
      <c r="B11" s="3" t="s">
        <v>36</v>
      </c>
      <c r="C11" s="3" t="s">
        <v>12</v>
      </c>
      <c r="D11" s="3" t="s">
        <v>13</v>
      </c>
      <c r="E11" s="3" t="n">
        <v>20171</v>
      </c>
      <c r="F11" s="3" t="s">
        <v>14</v>
      </c>
      <c r="G11" s="3" t="s">
        <v>18</v>
      </c>
      <c r="H11" s="1" t="n">
        <v>3</v>
      </c>
      <c r="I11" s="1" t="n">
        <v>0</v>
      </c>
      <c r="J11" s="1" t="n">
        <v>20201</v>
      </c>
      <c r="L11" s="1" t="str">
        <f aca="false">IF(D10&lt;&gt;D11,D11,"")</f>
        <v/>
      </c>
      <c r="M11" s="1" t="str">
        <f aca="false">IF(F10&lt;&gt;F11,F11,"")</f>
        <v/>
      </c>
    </row>
    <row r="12" customFormat="false" ht="13.8" hidden="false" customHeight="false" outlineLevel="0" collapsed="false">
      <c r="A12" s="3" t="s">
        <v>37</v>
      </c>
      <c r="B12" s="3" t="s">
        <v>38</v>
      </c>
      <c r="C12" s="3" t="s">
        <v>12</v>
      </c>
      <c r="D12" s="3" t="s">
        <v>13</v>
      </c>
      <c r="E12" s="3" t="n">
        <v>20171</v>
      </c>
      <c r="F12" s="3" t="s">
        <v>14</v>
      </c>
      <c r="G12" s="3" t="s">
        <v>18</v>
      </c>
      <c r="H12" s="1" t="n">
        <v>3</v>
      </c>
      <c r="I12" s="1" t="n">
        <v>0</v>
      </c>
      <c r="J12" s="1" t="n">
        <v>20201</v>
      </c>
      <c r="L12" s="1" t="str">
        <f aca="false">IF(D11&lt;&gt;D12,D12,"")</f>
        <v/>
      </c>
      <c r="M12" s="1" t="str">
        <f aca="false">IF(F11&lt;&gt;F12,F12,"")</f>
        <v/>
      </c>
    </row>
    <row r="13" customFormat="false" ht="13.8" hidden="false" customHeight="false" outlineLevel="0" collapsed="false">
      <c r="A13" s="3" t="s">
        <v>39</v>
      </c>
      <c r="B13" s="3" t="s">
        <v>40</v>
      </c>
      <c r="C13" s="3" t="s">
        <v>12</v>
      </c>
      <c r="D13" s="3" t="s">
        <v>13</v>
      </c>
      <c r="E13" s="3" t="n">
        <v>20171</v>
      </c>
      <c r="F13" s="3" t="s">
        <v>14</v>
      </c>
      <c r="G13" s="3" t="s">
        <v>18</v>
      </c>
      <c r="H13" s="1" t="n">
        <v>3</v>
      </c>
      <c r="I13" s="1" t="n">
        <v>0</v>
      </c>
      <c r="J13" s="1" t="n">
        <v>20201</v>
      </c>
      <c r="L13" s="1" t="str">
        <f aca="false">IF(D12&lt;&gt;D13,D13,"")</f>
        <v/>
      </c>
      <c r="M13" s="1" t="str">
        <f aca="false">IF(F12&lt;&gt;F13,F13,"")</f>
        <v/>
      </c>
    </row>
    <row r="14" customFormat="false" ht="13.8" hidden="false" customHeight="false" outlineLevel="0" collapsed="false">
      <c r="A14" s="3" t="s">
        <v>41</v>
      </c>
      <c r="B14" s="3" t="s">
        <v>42</v>
      </c>
      <c r="C14" s="3" t="s">
        <v>12</v>
      </c>
      <c r="D14" s="3" t="s">
        <v>13</v>
      </c>
      <c r="E14" s="3" t="n">
        <v>20171</v>
      </c>
      <c r="F14" s="3" t="s">
        <v>14</v>
      </c>
      <c r="G14" s="3" t="s">
        <v>15</v>
      </c>
      <c r="H14" s="1" t="n">
        <v>3.5</v>
      </c>
      <c r="I14" s="1" t="n">
        <v>0</v>
      </c>
      <c r="J14" s="1" t="n">
        <v>20201</v>
      </c>
      <c r="L14" s="1" t="str">
        <f aca="false">IF(D13&lt;&gt;D14,D14,"")</f>
        <v/>
      </c>
      <c r="M14" s="1" t="str">
        <f aca="false">IF(F13&lt;&gt;F14,F14,"")</f>
        <v/>
      </c>
    </row>
    <row r="15" customFormat="false" ht="13.8" hidden="false" customHeight="false" outlineLevel="0" collapsed="false">
      <c r="A15" s="3" t="s">
        <v>43</v>
      </c>
      <c r="B15" s="3" t="s">
        <v>44</v>
      </c>
      <c r="C15" s="3" t="s">
        <v>12</v>
      </c>
      <c r="D15" s="3" t="s">
        <v>13</v>
      </c>
      <c r="E15" s="3" t="n">
        <v>20171</v>
      </c>
      <c r="F15" s="3" t="s">
        <v>14</v>
      </c>
      <c r="G15" s="3" t="s">
        <v>15</v>
      </c>
      <c r="H15" s="1" t="n">
        <v>3.5</v>
      </c>
      <c r="I15" s="1" t="n">
        <v>0</v>
      </c>
      <c r="J15" s="1" t="n">
        <v>20201</v>
      </c>
      <c r="L15" s="1" t="str">
        <f aca="false">IF(D14&lt;&gt;D15,D15,"")</f>
        <v/>
      </c>
      <c r="M15" s="1" t="str">
        <f aca="false">IF(F14&lt;&gt;F15,F15,"")</f>
        <v/>
      </c>
    </row>
    <row r="16" customFormat="false" ht="13.8" hidden="false" customHeight="false" outlineLevel="0" collapsed="false">
      <c r="A16" s="3" t="s">
        <v>45</v>
      </c>
      <c r="B16" s="3" t="s">
        <v>46</v>
      </c>
      <c r="C16" s="3" t="s">
        <v>12</v>
      </c>
      <c r="D16" s="3" t="s">
        <v>13</v>
      </c>
      <c r="E16" s="3" t="n">
        <v>20171</v>
      </c>
      <c r="F16" s="3" t="s">
        <v>14</v>
      </c>
      <c r="G16" s="3" t="s">
        <v>15</v>
      </c>
      <c r="H16" s="1" t="n">
        <v>3.5</v>
      </c>
      <c r="I16" s="1" t="n">
        <v>0</v>
      </c>
      <c r="J16" s="1" t="n">
        <v>20201</v>
      </c>
      <c r="L16" s="1" t="str">
        <f aca="false">IF(D15&lt;&gt;D16,D16,"")</f>
        <v/>
      </c>
      <c r="M16" s="1" t="str">
        <f aca="false">IF(F15&lt;&gt;F16,F16,"")</f>
        <v/>
      </c>
    </row>
    <row r="17" customFormat="false" ht="13.8" hidden="false" customHeight="false" outlineLevel="0" collapsed="false">
      <c r="A17" s="3" t="s">
        <v>47</v>
      </c>
      <c r="B17" s="3" t="s">
        <v>48</v>
      </c>
      <c r="C17" s="3" t="s">
        <v>12</v>
      </c>
      <c r="D17" s="3" t="s">
        <v>13</v>
      </c>
      <c r="E17" s="3" t="n">
        <v>20171</v>
      </c>
      <c r="F17" s="3" t="s">
        <v>14</v>
      </c>
      <c r="G17" s="3" t="s">
        <v>23</v>
      </c>
      <c r="H17" s="1" t="n">
        <v>0</v>
      </c>
      <c r="I17" s="1" t="n">
        <v>0</v>
      </c>
      <c r="J17" s="1" t="n">
        <v>20201</v>
      </c>
      <c r="L17" s="1" t="str">
        <f aca="false">IF(D16&lt;&gt;D17,D17,"")</f>
        <v/>
      </c>
      <c r="M17" s="1" t="str">
        <f aca="false">IF(F16&lt;&gt;F17,F17,"")</f>
        <v/>
      </c>
    </row>
    <row r="18" customFormat="false" ht="13.8" hidden="false" customHeight="false" outlineLevel="0" collapsed="false">
      <c r="A18" s="3" t="s">
        <v>49</v>
      </c>
      <c r="B18" s="3" t="s">
        <v>50</v>
      </c>
      <c r="C18" s="3" t="s">
        <v>12</v>
      </c>
      <c r="D18" s="3" t="s">
        <v>13</v>
      </c>
      <c r="E18" s="3" t="n">
        <v>20171</v>
      </c>
      <c r="F18" s="3" t="s">
        <v>14</v>
      </c>
      <c r="G18" s="3" t="s">
        <v>18</v>
      </c>
      <c r="H18" s="1" t="n">
        <v>3</v>
      </c>
      <c r="I18" s="1" t="n">
        <v>0</v>
      </c>
      <c r="J18" s="1" t="n">
        <v>20201</v>
      </c>
      <c r="L18" s="1" t="str">
        <f aca="false">IF(D17&lt;&gt;D18,D18,"")</f>
        <v/>
      </c>
      <c r="M18" s="1" t="str">
        <f aca="false">IF(F17&lt;&gt;F18,F18,"")</f>
        <v/>
      </c>
    </row>
    <row r="19" customFormat="false" ht="13.8" hidden="false" customHeight="false" outlineLevel="0" collapsed="false">
      <c r="A19" s="3" t="s">
        <v>51</v>
      </c>
      <c r="B19" s="3" t="s">
        <v>52</v>
      </c>
      <c r="C19" s="3" t="s">
        <v>12</v>
      </c>
      <c r="D19" s="3" t="s">
        <v>13</v>
      </c>
      <c r="E19" s="3" t="n">
        <v>20171</v>
      </c>
      <c r="F19" s="3" t="s">
        <v>14</v>
      </c>
      <c r="G19" s="3" t="s">
        <v>18</v>
      </c>
      <c r="H19" s="1" t="n">
        <v>3</v>
      </c>
      <c r="I19" s="1" t="n">
        <v>0</v>
      </c>
      <c r="J19" s="1" t="n">
        <v>20201</v>
      </c>
      <c r="L19" s="1" t="str">
        <f aca="false">IF(D18&lt;&gt;D19,D19,"")</f>
        <v/>
      </c>
      <c r="M19" s="1" t="str">
        <f aca="false">IF(F18&lt;&gt;F19,F19,"")</f>
        <v/>
      </c>
    </row>
    <row r="20" customFormat="false" ht="13.8" hidden="false" customHeight="false" outlineLevel="0" collapsed="false">
      <c r="A20" s="3" t="s">
        <v>53</v>
      </c>
      <c r="B20" s="3" t="s">
        <v>54</v>
      </c>
      <c r="C20" s="3" t="s">
        <v>12</v>
      </c>
      <c r="D20" s="3" t="s">
        <v>13</v>
      </c>
      <c r="E20" s="3" t="n">
        <v>20171</v>
      </c>
      <c r="F20" s="3" t="s">
        <v>14</v>
      </c>
      <c r="G20" s="3" t="s">
        <v>15</v>
      </c>
      <c r="H20" s="1" t="n">
        <v>3.5</v>
      </c>
      <c r="I20" s="1" t="n">
        <v>0</v>
      </c>
      <c r="J20" s="1" t="n">
        <v>20201</v>
      </c>
      <c r="L20" s="1" t="str">
        <f aca="false">IF(D19&lt;&gt;D20,D20,"")</f>
        <v/>
      </c>
      <c r="M20" s="1" t="str">
        <f aca="false">IF(F19&lt;&gt;F20,F20,"")</f>
        <v/>
      </c>
    </row>
    <row r="21" customFormat="false" ht="13.8" hidden="false" customHeight="false" outlineLevel="0" collapsed="false">
      <c r="A21" s="3" t="s">
        <v>55</v>
      </c>
      <c r="B21" s="3" t="s">
        <v>56</v>
      </c>
      <c r="C21" s="3" t="s">
        <v>12</v>
      </c>
      <c r="D21" s="3" t="s">
        <v>13</v>
      </c>
      <c r="E21" s="3" t="n">
        <v>20171</v>
      </c>
      <c r="F21" s="3" t="s">
        <v>14</v>
      </c>
      <c r="G21" s="3" t="s">
        <v>18</v>
      </c>
      <c r="H21" s="1" t="n">
        <v>3</v>
      </c>
      <c r="I21" s="1" t="n">
        <v>0</v>
      </c>
      <c r="J21" s="1" t="n">
        <v>20201</v>
      </c>
      <c r="L21" s="1" t="str">
        <f aca="false">IF(D20&lt;&gt;D21,D21,"")</f>
        <v/>
      </c>
      <c r="M21" s="1" t="str">
        <f aca="false">IF(F20&lt;&gt;F21,F21,"")</f>
        <v/>
      </c>
    </row>
    <row r="22" customFormat="false" ht="13.8" hidden="false" customHeight="false" outlineLevel="0" collapsed="false">
      <c r="A22" s="3" t="s">
        <v>57</v>
      </c>
      <c r="B22" s="3" t="s">
        <v>58</v>
      </c>
      <c r="C22" s="3" t="s">
        <v>12</v>
      </c>
      <c r="D22" s="3" t="s">
        <v>13</v>
      </c>
      <c r="E22" s="3" t="n">
        <v>20171</v>
      </c>
      <c r="F22" s="3" t="s">
        <v>14</v>
      </c>
      <c r="G22" s="3" t="s">
        <v>18</v>
      </c>
      <c r="H22" s="1" t="n">
        <v>3</v>
      </c>
      <c r="I22" s="1" t="n">
        <v>0</v>
      </c>
      <c r="J22" s="1" t="n">
        <v>20201</v>
      </c>
      <c r="L22" s="1" t="str">
        <f aca="false">IF(D21&lt;&gt;D22,D22,"")</f>
        <v/>
      </c>
      <c r="M22" s="1" t="str">
        <f aca="false">IF(F21&lt;&gt;F22,F22,"")</f>
        <v/>
      </c>
    </row>
    <row r="23" customFormat="false" ht="13.8" hidden="false" customHeight="false" outlineLevel="0" collapsed="false">
      <c r="A23" s="3" t="s">
        <v>59</v>
      </c>
      <c r="B23" s="3" t="s">
        <v>60</v>
      </c>
      <c r="C23" s="3" t="s">
        <v>12</v>
      </c>
      <c r="D23" s="3" t="s">
        <v>13</v>
      </c>
      <c r="E23" s="3" t="n">
        <v>20171</v>
      </c>
      <c r="F23" s="3" t="s">
        <v>14</v>
      </c>
      <c r="G23" s="3" t="s">
        <v>18</v>
      </c>
      <c r="H23" s="1" t="n">
        <v>3</v>
      </c>
      <c r="I23" s="1" t="n">
        <v>0</v>
      </c>
      <c r="J23" s="1" t="n">
        <v>20201</v>
      </c>
      <c r="L23" s="1" t="str">
        <f aca="false">IF(D22&lt;&gt;D23,D23,"")</f>
        <v/>
      </c>
      <c r="M23" s="1" t="str">
        <f aca="false">IF(F22&lt;&gt;F23,F23,"")</f>
        <v/>
      </c>
    </row>
    <row r="24" customFormat="false" ht="13.8" hidden="false" customHeight="false" outlineLevel="0" collapsed="false">
      <c r="A24" s="3" t="s">
        <v>61</v>
      </c>
      <c r="B24" s="3" t="s">
        <v>62</v>
      </c>
      <c r="C24" s="3" t="s">
        <v>12</v>
      </c>
      <c r="D24" s="3" t="s">
        <v>13</v>
      </c>
      <c r="E24" s="3" t="n">
        <v>20171</v>
      </c>
      <c r="F24" s="3" t="s">
        <v>14</v>
      </c>
      <c r="G24" s="3" t="s">
        <v>18</v>
      </c>
      <c r="H24" s="1" t="n">
        <v>3</v>
      </c>
      <c r="I24" s="1" t="n">
        <v>0</v>
      </c>
      <c r="J24" s="1" t="n">
        <v>20201</v>
      </c>
      <c r="L24" s="1" t="str">
        <f aca="false">IF(D23&lt;&gt;D24,D24,"")</f>
        <v/>
      </c>
      <c r="M24" s="1" t="str">
        <f aca="false">IF(F23&lt;&gt;F24,F24,"")</f>
        <v/>
      </c>
    </row>
    <row r="25" customFormat="false" ht="13.8" hidden="false" customHeight="false" outlineLevel="0" collapsed="false">
      <c r="A25" s="3" t="s">
        <v>63</v>
      </c>
      <c r="B25" s="3" t="s">
        <v>64</v>
      </c>
      <c r="C25" s="3" t="s">
        <v>12</v>
      </c>
      <c r="D25" s="3" t="s">
        <v>13</v>
      </c>
      <c r="E25" s="3" t="n">
        <v>20171</v>
      </c>
      <c r="F25" s="3" t="s">
        <v>14</v>
      </c>
      <c r="G25" s="3" t="s">
        <v>23</v>
      </c>
      <c r="H25" s="1" t="n">
        <v>0</v>
      </c>
      <c r="I25" s="1" t="n">
        <v>0</v>
      </c>
      <c r="J25" s="1" t="n">
        <v>20201</v>
      </c>
      <c r="L25" s="1" t="str">
        <f aca="false">IF(D24&lt;&gt;D25,D25,"")</f>
        <v/>
      </c>
      <c r="M25" s="1" t="str">
        <f aca="false">IF(F24&lt;&gt;F25,F25,"")</f>
        <v/>
      </c>
    </row>
    <row r="26" customFormat="false" ht="13.8" hidden="false" customHeight="false" outlineLevel="0" collapsed="false">
      <c r="A26" s="3" t="s">
        <v>65</v>
      </c>
      <c r="B26" s="3" t="s">
        <v>66</v>
      </c>
      <c r="C26" s="3" t="s">
        <v>12</v>
      </c>
      <c r="D26" s="3" t="s">
        <v>13</v>
      </c>
      <c r="E26" s="3" t="n">
        <v>20171</v>
      </c>
      <c r="F26" s="3" t="s">
        <v>14</v>
      </c>
      <c r="G26" s="3" t="s">
        <v>15</v>
      </c>
      <c r="H26" s="1" t="n">
        <v>3.5</v>
      </c>
      <c r="I26" s="1" t="n">
        <v>0</v>
      </c>
      <c r="J26" s="1" t="n">
        <v>20201</v>
      </c>
      <c r="L26" s="1" t="str">
        <f aca="false">IF(D25&lt;&gt;D26,D26,"")</f>
        <v/>
      </c>
      <c r="M26" s="1" t="str">
        <f aca="false">IF(F25&lt;&gt;F26,F26,"")</f>
        <v/>
      </c>
    </row>
    <row r="27" customFormat="false" ht="13.8" hidden="false" customHeight="false" outlineLevel="0" collapsed="false">
      <c r="A27" s="3" t="s">
        <v>67</v>
      </c>
      <c r="B27" s="3" t="s">
        <v>68</v>
      </c>
      <c r="C27" s="3" t="s">
        <v>12</v>
      </c>
      <c r="D27" s="3" t="s">
        <v>13</v>
      </c>
      <c r="E27" s="3" t="n">
        <v>20171</v>
      </c>
      <c r="F27" s="3" t="s">
        <v>14</v>
      </c>
      <c r="G27" s="3" t="s">
        <v>18</v>
      </c>
      <c r="H27" s="1" t="n">
        <v>3</v>
      </c>
      <c r="I27" s="1" t="n">
        <v>0</v>
      </c>
      <c r="J27" s="1" t="n">
        <v>20201</v>
      </c>
      <c r="L27" s="1" t="str">
        <f aca="false">IF(D26&lt;&gt;D27,D27,"")</f>
        <v/>
      </c>
      <c r="M27" s="1" t="str">
        <f aca="false">IF(F26&lt;&gt;F27,F27,"")</f>
        <v/>
      </c>
    </row>
    <row r="28" customFormat="false" ht="13.8" hidden="false" customHeight="false" outlineLevel="0" collapsed="false">
      <c r="A28" s="3" t="s">
        <v>69</v>
      </c>
      <c r="B28" s="3" t="s">
        <v>70</v>
      </c>
      <c r="C28" s="3" t="s">
        <v>12</v>
      </c>
      <c r="D28" s="3" t="s">
        <v>13</v>
      </c>
      <c r="E28" s="3" t="n">
        <v>20171</v>
      </c>
      <c r="F28" s="3" t="s">
        <v>14</v>
      </c>
      <c r="G28" s="3" t="s">
        <v>18</v>
      </c>
      <c r="H28" s="1" t="n">
        <v>3</v>
      </c>
      <c r="I28" s="1" t="n">
        <v>0</v>
      </c>
      <c r="J28" s="1" t="n">
        <v>20201</v>
      </c>
      <c r="L28" s="1" t="str">
        <f aca="false">IF(D27&lt;&gt;D28,D28,"")</f>
        <v/>
      </c>
      <c r="M28" s="1" t="str">
        <f aca="false">IF(F27&lt;&gt;F28,F28,"")</f>
        <v/>
      </c>
    </row>
    <row r="29" customFormat="false" ht="13.8" hidden="false" customHeight="false" outlineLevel="0" collapsed="false">
      <c r="A29" s="3" t="s">
        <v>71</v>
      </c>
      <c r="B29" s="3" t="s">
        <v>72</v>
      </c>
      <c r="C29" s="3" t="s">
        <v>12</v>
      </c>
      <c r="D29" s="3" t="s">
        <v>13</v>
      </c>
      <c r="E29" s="3" t="n">
        <v>20171</v>
      </c>
      <c r="F29" s="3" t="s">
        <v>14</v>
      </c>
      <c r="G29" s="3" t="s">
        <v>15</v>
      </c>
      <c r="H29" s="1" t="n">
        <v>3.5</v>
      </c>
      <c r="I29" s="1" t="n">
        <v>0</v>
      </c>
      <c r="J29" s="1" t="n">
        <v>20201</v>
      </c>
      <c r="L29" s="1" t="str">
        <f aca="false">IF(D28&lt;&gt;D29,D29,"")</f>
        <v/>
      </c>
      <c r="M29" s="1" t="str">
        <f aca="false">IF(F28&lt;&gt;F29,F29,"")</f>
        <v/>
      </c>
    </row>
    <row r="30" customFormat="false" ht="13.8" hidden="false" customHeight="false" outlineLevel="0" collapsed="false">
      <c r="A30" s="3" t="s">
        <v>73</v>
      </c>
      <c r="B30" s="3" t="s">
        <v>74</v>
      </c>
      <c r="C30" s="3" t="s">
        <v>12</v>
      </c>
      <c r="D30" s="3" t="s">
        <v>13</v>
      </c>
      <c r="E30" s="3" t="n">
        <v>20171</v>
      </c>
      <c r="F30" s="3" t="s">
        <v>14</v>
      </c>
      <c r="G30" s="3" t="s">
        <v>18</v>
      </c>
      <c r="H30" s="1" t="n">
        <v>3</v>
      </c>
      <c r="I30" s="1" t="n">
        <v>0</v>
      </c>
      <c r="J30" s="1" t="n">
        <v>20201</v>
      </c>
      <c r="L30" s="1" t="str">
        <f aca="false">IF(D29&lt;&gt;D30,D30,"")</f>
        <v/>
      </c>
      <c r="M30" s="1" t="str">
        <f aca="false">IF(F29&lt;&gt;F30,F30,"")</f>
        <v/>
      </c>
    </row>
    <row r="31" customFormat="false" ht="13.8" hidden="false" customHeight="false" outlineLevel="0" collapsed="false">
      <c r="A31" s="3" t="s">
        <v>75</v>
      </c>
      <c r="B31" s="3" t="s">
        <v>76</v>
      </c>
      <c r="C31" s="3" t="s">
        <v>12</v>
      </c>
      <c r="D31" s="3" t="s">
        <v>13</v>
      </c>
      <c r="E31" s="3" t="n">
        <v>20171</v>
      </c>
      <c r="F31" s="3" t="s">
        <v>14</v>
      </c>
      <c r="G31" s="3" t="s">
        <v>18</v>
      </c>
      <c r="H31" s="1" t="n">
        <v>3</v>
      </c>
      <c r="I31" s="1" t="n">
        <v>0</v>
      </c>
      <c r="J31" s="1" t="n">
        <v>20201</v>
      </c>
      <c r="L31" s="1" t="str">
        <f aca="false">IF(D30&lt;&gt;D31,D31,"")</f>
        <v/>
      </c>
      <c r="M31" s="1" t="str">
        <f aca="false">IF(F30&lt;&gt;F31,F31,"")</f>
        <v/>
      </c>
    </row>
    <row r="32" customFormat="false" ht="13.8" hidden="false" customHeight="false" outlineLevel="0" collapsed="false">
      <c r="A32" s="3" t="s">
        <v>77</v>
      </c>
      <c r="B32" s="3" t="s">
        <v>78</v>
      </c>
      <c r="C32" s="3" t="s">
        <v>12</v>
      </c>
      <c r="D32" s="3" t="s">
        <v>13</v>
      </c>
      <c r="E32" s="3" t="n">
        <v>20171</v>
      </c>
      <c r="F32" s="3" t="s">
        <v>14</v>
      </c>
      <c r="G32" s="3" t="s">
        <v>15</v>
      </c>
      <c r="H32" s="1" t="n">
        <v>3.5</v>
      </c>
      <c r="I32" s="1" t="n">
        <v>0</v>
      </c>
      <c r="J32" s="1" t="n">
        <v>20201</v>
      </c>
      <c r="L32" s="1" t="str">
        <f aca="false">IF(D31&lt;&gt;D32,D32,"")</f>
        <v/>
      </c>
      <c r="M32" s="1" t="str">
        <f aca="false">IF(F31&lt;&gt;F32,F32,"")</f>
        <v/>
      </c>
    </row>
    <row r="33" customFormat="false" ht="13.8" hidden="false" customHeight="false" outlineLevel="0" collapsed="false">
      <c r="A33" s="3" t="s">
        <v>79</v>
      </c>
      <c r="B33" s="3" t="s">
        <v>80</v>
      </c>
      <c r="C33" s="3" t="s">
        <v>12</v>
      </c>
      <c r="D33" s="3" t="s">
        <v>13</v>
      </c>
      <c r="E33" s="3" t="n">
        <v>20171</v>
      </c>
      <c r="F33" s="3" t="s">
        <v>14</v>
      </c>
      <c r="G33" s="3" t="s">
        <v>18</v>
      </c>
      <c r="H33" s="1" t="n">
        <v>3</v>
      </c>
      <c r="I33" s="1" t="n">
        <v>0</v>
      </c>
      <c r="J33" s="1" t="n">
        <v>20201</v>
      </c>
      <c r="L33" s="1" t="str">
        <f aca="false">IF(D32&lt;&gt;D33,D33,"")</f>
        <v/>
      </c>
      <c r="M33" s="1" t="str">
        <f aca="false">IF(F32&lt;&gt;F33,F33,"")</f>
        <v/>
      </c>
    </row>
    <row r="34" customFormat="false" ht="13.8" hidden="false" customHeight="false" outlineLevel="0" collapsed="false">
      <c r="A34" s="3" t="s">
        <v>81</v>
      </c>
      <c r="B34" s="3" t="s">
        <v>82</v>
      </c>
      <c r="C34" s="3" t="s">
        <v>12</v>
      </c>
      <c r="D34" s="3" t="s">
        <v>13</v>
      </c>
      <c r="E34" s="3" t="n">
        <v>20171</v>
      </c>
      <c r="F34" s="3" t="s">
        <v>14</v>
      </c>
      <c r="G34" s="3" t="s">
        <v>18</v>
      </c>
      <c r="H34" s="1" t="n">
        <v>3</v>
      </c>
      <c r="I34" s="1" t="n">
        <v>0</v>
      </c>
      <c r="J34" s="1" t="n">
        <v>20201</v>
      </c>
      <c r="L34" s="1" t="str">
        <f aca="false">IF(D33&lt;&gt;D34,D34,"")</f>
        <v/>
      </c>
      <c r="M34" s="1" t="str">
        <f aca="false">IF(F33&lt;&gt;F34,F34,"")</f>
        <v/>
      </c>
    </row>
    <row r="35" customFormat="false" ht="13.8" hidden="false" customHeight="false" outlineLevel="0" collapsed="false">
      <c r="A35" s="3" t="s">
        <v>83</v>
      </c>
      <c r="B35" s="3" t="s">
        <v>84</v>
      </c>
      <c r="C35" s="3" t="s">
        <v>12</v>
      </c>
      <c r="D35" s="3" t="s">
        <v>13</v>
      </c>
      <c r="E35" s="3" t="n">
        <v>20171</v>
      </c>
      <c r="F35" s="3" t="s">
        <v>14</v>
      </c>
      <c r="G35" s="3" t="s">
        <v>18</v>
      </c>
      <c r="H35" s="1" t="n">
        <v>3</v>
      </c>
      <c r="I35" s="1" t="n">
        <v>0</v>
      </c>
      <c r="J35" s="1" t="n">
        <v>20201</v>
      </c>
      <c r="L35" s="1" t="str">
        <f aca="false">IF(D34&lt;&gt;D35,D35,"")</f>
        <v/>
      </c>
      <c r="M35" s="1" t="str">
        <f aca="false">IF(F34&lt;&gt;F35,F35,"")</f>
        <v/>
      </c>
    </row>
    <row r="36" customFormat="false" ht="13.8" hidden="false" customHeight="false" outlineLevel="0" collapsed="false">
      <c r="A36" s="3" t="s">
        <v>85</v>
      </c>
      <c r="B36" s="3" t="s">
        <v>86</v>
      </c>
      <c r="C36" s="3" t="s">
        <v>12</v>
      </c>
      <c r="D36" s="3" t="s">
        <v>13</v>
      </c>
      <c r="E36" s="3" t="n">
        <v>20171</v>
      </c>
      <c r="F36" s="3" t="s">
        <v>14</v>
      </c>
      <c r="G36" s="3" t="s">
        <v>18</v>
      </c>
      <c r="H36" s="1" t="n">
        <v>3</v>
      </c>
      <c r="I36" s="1" t="n">
        <v>0</v>
      </c>
      <c r="J36" s="1" t="n">
        <v>20201</v>
      </c>
      <c r="L36" s="1" t="str">
        <f aca="false">IF(D35&lt;&gt;D36,D36,"")</f>
        <v/>
      </c>
      <c r="M36" s="1" t="str">
        <f aca="false">IF(F35&lt;&gt;F36,F36,"")</f>
        <v/>
      </c>
    </row>
    <row r="37" customFormat="false" ht="13.8" hidden="false" customHeight="false" outlineLevel="0" collapsed="false">
      <c r="A37" s="3" t="s">
        <v>87</v>
      </c>
      <c r="B37" s="3" t="s">
        <v>88</v>
      </c>
      <c r="C37" s="3" t="s">
        <v>12</v>
      </c>
      <c r="D37" s="3" t="s">
        <v>13</v>
      </c>
      <c r="E37" s="3" t="n">
        <v>20171</v>
      </c>
      <c r="F37" s="3" t="s">
        <v>14</v>
      </c>
      <c r="G37" s="3" t="s">
        <v>15</v>
      </c>
      <c r="H37" s="1" t="n">
        <v>3.5</v>
      </c>
      <c r="I37" s="1" t="n">
        <v>0</v>
      </c>
      <c r="J37" s="1" t="n">
        <v>20201</v>
      </c>
      <c r="L37" s="1" t="str">
        <f aca="false">IF(D36&lt;&gt;D37,D37,"")</f>
        <v/>
      </c>
      <c r="M37" s="1" t="str">
        <f aca="false">IF(F36&lt;&gt;F37,F37,"")</f>
        <v/>
      </c>
    </row>
    <row r="38" customFormat="false" ht="13.8" hidden="false" customHeight="false" outlineLevel="0" collapsed="false">
      <c r="A38" s="3" t="s">
        <v>89</v>
      </c>
      <c r="B38" s="3" t="s">
        <v>90</v>
      </c>
      <c r="C38" s="3" t="s">
        <v>12</v>
      </c>
      <c r="D38" s="3" t="s">
        <v>13</v>
      </c>
      <c r="E38" s="3" t="n">
        <v>20171</v>
      </c>
      <c r="F38" s="3" t="s">
        <v>14</v>
      </c>
      <c r="G38" s="3" t="s">
        <v>15</v>
      </c>
      <c r="H38" s="1" t="n">
        <v>3.5</v>
      </c>
      <c r="I38" s="1" t="n">
        <v>0</v>
      </c>
      <c r="J38" s="1" t="n">
        <v>20201</v>
      </c>
      <c r="L38" s="1" t="str">
        <f aca="false">IF(D37&lt;&gt;D38,D38,"")</f>
        <v/>
      </c>
      <c r="M38" s="1" t="str">
        <f aca="false">IF(F37&lt;&gt;F38,F38,"")</f>
        <v/>
      </c>
    </row>
    <row r="39" customFormat="false" ht="13.8" hidden="false" customHeight="false" outlineLevel="0" collapsed="false">
      <c r="A39" s="3" t="s">
        <v>91</v>
      </c>
      <c r="B39" s="3" t="s">
        <v>92</v>
      </c>
      <c r="C39" s="3" t="s">
        <v>12</v>
      </c>
      <c r="D39" s="3" t="s">
        <v>13</v>
      </c>
      <c r="E39" s="3" t="n">
        <v>20171</v>
      </c>
      <c r="F39" s="3" t="s">
        <v>14</v>
      </c>
      <c r="G39" s="3" t="s">
        <v>18</v>
      </c>
      <c r="H39" s="1" t="n">
        <v>3</v>
      </c>
      <c r="I39" s="1" t="n">
        <v>0</v>
      </c>
      <c r="J39" s="1" t="n">
        <v>20201</v>
      </c>
      <c r="L39" s="1" t="str">
        <f aca="false">IF(D38&lt;&gt;D39,D39,"")</f>
        <v/>
      </c>
      <c r="M39" s="1" t="str">
        <f aca="false">IF(F38&lt;&gt;F39,F39,"")</f>
        <v/>
      </c>
    </row>
    <row r="40" customFormat="false" ht="13.8" hidden="false" customHeight="false" outlineLevel="0" collapsed="false">
      <c r="A40" s="3" t="s">
        <v>93</v>
      </c>
      <c r="B40" s="3" t="s">
        <v>94</v>
      </c>
      <c r="C40" s="3" t="s">
        <v>12</v>
      </c>
      <c r="D40" s="3" t="s">
        <v>13</v>
      </c>
      <c r="E40" s="3" t="n">
        <v>20171</v>
      </c>
      <c r="F40" s="3" t="s">
        <v>14</v>
      </c>
      <c r="G40" s="3" t="s">
        <v>14</v>
      </c>
      <c r="H40" s="1" t="n">
        <v>4</v>
      </c>
      <c r="I40" s="1" t="n">
        <v>0</v>
      </c>
      <c r="J40" s="1" t="n">
        <v>20201</v>
      </c>
      <c r="L40" s="1" t="str">
        <f aca="false">IF(D39&lt;&gt;D40,D40,"")</f>
        <v/>
      </c>
      <c r="M40" s="1" t="str">
        <f aca="false">IF(F39&lt;&gt;F40,F40,"")</f>
        <v/>
      </c>
    </row>
    <row r="41" customFormat="false" ht="13.8" hidden="false" customHeight="false" outlineLevel="0" collapsed="false">
      <c r="A41" s="3" t="s">
        <v>95</v>
      </c>
      <c r="B41" s="3" t="s">
        <v>96</v>
      </c>
      <c r="C41" s="3" t="s">
        <v>12</v>
      </c>
      <c r="D41" s="3" t="s">
        <v>13</v>
      </c>
      <c r="E41" s="3" t="n">
        <v>20171</v>
      </c>
      <c r="F41" s="3" t="s">
        <v>14</v>
      </c>
      <c r="G41" s="3" t="s">
        <v>15</v>
      </c>
      <c r="H41" s="1" t="n">
        <v>3.5</v>
      </c>
      <c r="I41" s="1" t="n">
        <v>0</v>
      </c>
      <c r="J41" s="1" t="n">
        <v>20201</v>
      </c>
      <c r="L41" s="1" t="str">
        <f aca="false">IF(D40&lt;&gt;D41,D41,"")</f>
        <v/>
      </c>
      <c r="M41" s="1" t="str">
        <f aca="false">IF(F40&lt;&gt;F41,F41,"")</f>
        <v/>
      </c>
    </row>
    <row r="42" customFormat="false" ht="13.8" hidden="false" customHeight="false" outlineLevel="0" collapsed="false">
      <c r="A42" s="3" t="s">
        <v>97</v>
      </c>
      <c r="B42" s="3" t="s">
        <v>98</v>
      </c>
      <c r="C42" s="3" t="s">
        <v>12</v>
      </c>
      <c r="D42" s="3" t="s">
        <v>13</v>
      </c>
      <c r="E42" s="3" t="n">
        <v>20171</v>
      </c>
      <c r="F42" s="3" t="s">
        <v>14</v>
      </c>
      <c r="G42" s="3" t="s">
        <v>15</v>
      </c>
      <c r="H42" s="1" t="n">
        <v>3.5</v>
      </c>
      <c r="I42" s="1" t="n">
        <v>0</v>
      </c>
      <c r="J42" s="1" t="n">
        <v>20201</v>
      </c>
      <c r="L42" s="1" t="str">
        <f aca="false">IF(D41&lt;&gt;D42,D42,"")</f>
        <v/>
      </c>
      <c r="M42" s="1" t="str">
        <f aca="false">IF(F41&lt;&gt;F42,F42,"")</f>
        <v/>
      </c>
    </row>
    <row r="43" customFormat="false" ht="13.8" hidden="false" customHeight="false" outlineLevel="0" collapsed="false">
      <c r="A43" s="3" t="s">
        <v>99</v>
      </c>
      <c r="B43" s="3" t="s">
        <v>100</v>
      </c>
      <c r="C43" s="3" t="s">
        <v>12</v>
      </c>
      <c r="D43" s="3" t="s">
        <v>13</v>
      </c>
      <c r="E43" s="3" t="n">
        <v>20171</v>
      </c>
      <c r="F43" s="3" t="s">
        <v>14</v>
      </c>
      <c r="G43" s="3" t="s">
        <v>101</v>
      </c>
      <c r="H43" s="1" t="n">
        <v>2.5</v>
      </c>
      <c r="I43" s="1" t="n">
        <v>0</v>
      </c>
      <c r="J43" s="1" t="n">
        <v>20201</v>
      </c>
      <c r="L43" s="1" t="str">
        <f aca="false">IF(D42&lt;&gt;D43,D43,"")</f>
        <v/>
      </c>
      <c r="M43" s="1" t="str">
        <f aca="false">IF(F42&lt;&gt;F43,F43,"")</f>
        <v/>
      </c>
    </row>
    <row r="44" customFormat="false" ht="13.8" hidden="false" customHeight="false" outlineLevel="0" collapsed="false">
      <c r="A44" s="3" t="s">
        <v>102</v>
      </c>
      <c r="B44" s="3" t="s">
        <v>103</v>
      </c>
      <c r="C44" s="3" t="s">
        <v>12</v>
      </c>
      <c r="D44" s="3" t="s">
        <v>13</v>
      </c>
      <c r="E44" s="3" t="n">
        <v>20171</v>
      </c>
      <c r="F44" s="3" t="s">
        <v>14</v>
      </c>
      <c r="G44" s="3" t="s">
        <v>30</v>
      </c>
      <c r="H44" s="1" t="n">
        <v>1.5</v>
      </c>
      <c r="I44" s="1" t="n">
        <v>0</v>
      </c>
      <c r="J44" s="1" t="n">
        <v>20201</v>
      </c>
      <c r="L44" s="1" t="str">
        <f aca="false">IF(D43&lt;&gt;D44,D44,"")</f>
        <v/>
      </c>
      <c r="M44" s="1" t="str">
        <f aca="false">IF(F43&lt;&gt;F44,F44,"")</f>
        <v/>
      </c>
    </row>
    <row r="45" customFormat="false" ht="13.8" hidden="false" customHeight="false" outlineLevel="0" collapsed="false">
      <c r="A45" s="3" t="s">
        <v>104</v>
      </c>
      <c r="B45" s="3" t="s">
        <v>105</v>
      </c>
      <c r="C45" s="3" t="s">
        <v>12</v>
      </c>
      <c r="D45" s="3" t="s">
        <v>13</v>
      </c>
      <c r="E45" s="3" t="n">
        <v>20171</v>
      </c>
      <c r="F45" s="3" t="s">
        <v>14</v>
      </c>
      <c r="G45" s="3" t="s">
        <v>23</v>
      </c>
      <c r="H45" s="1" t="n">
        <v>0</v>
      </c>
      <c r="I45" s="1" t="n">
        <v>0</v>
      </c>
      <c r="J45" s="1" t="n">
        <v>20201</v>
      </c>
      <c r="L45" s="1" t="str">
        <f aca="false">IF(D44&lt;&gt;D45,D45,"")</f>
        <v/>
      </c>
      <c r="M45" s="1" t="str">
        <f aca="false">IF(F44&lt;&gt;F45,F45,"")</f>
        <v/>
      </c>
    </row>
    <row r="46" customFormat="false" ht="13.8" hidden="false" customHeight="false" outlineLevel="0" collapsed="false">
      <c r="A46" s="3" t="s">
        <v>106</v>
      </c>
      <c r="B46" s="3" t="s">
        <v>107</v>
      </c>
      <c r="C46" s="3" t="s">
        <v>12</v>
      </c>
      <c r="D46" s="3" t="s">
        <v>13</v>
      </c>
      <c r="E46" s="3" t="n">
        <v>20171</v>
      </c>
      <c r="F46" s="3" t="s">
        <v>14</v>
      </c>
      <c r="G46" s="3" t="s">
        <v>18</v>
      </c>
      <c r="H46" s="1" t="n">
        <v>3</v>
      </c>
      <c r="I46" s="1" t="n">
        <v>0</v>
      </c>
      <c r="J46" s="1" t="n">
        <v>20201</v>
      </c>
      <c r="L46" s="1" t="str">
        <f aca="false">IF(D45&lt;&gt;D46,D46,"")</f>
        <v/>
      </c>
      <c r="M46" s="1" t="str">
        <f aca="false">IF(F45&lt;&gt;F46,F46,"")</f>
        <v/>
      </c>
    </row>
    <row r="47" s="3" customFormat="true" ht="13.8" hidden="false" customHeight="false" outlineLevel="0" collapsed="false">
      <c r="A47" s="3" t="s">
        <v>108</v>
      </c>
      <c r="B47" s="3" t="s">
        <v>109</v>
      </c>
      <c r="C47" s="3" t="s">
        <v>12</v>
      </c>
      <c r="D47" s="3" t="s">
        <v>13</v>
      </c>
      <c r="E47" s="3" t="n">
        <v>20171</v>
      </c>
      <c r="F47" s="3" t="s">
        <v>14</v>
      </c>
      <c r="G47" s="3" t="s">
        <v>23</v>
      </c>
      <c r="H47" s="3" t="n">
        <v>0</v>
      </c>
      <c r="I47" s="3" t="n">
        <v>0</v>
      </c>
      <c r="J47" s="3" t="n">
        <v>20201</v>
      </c>
      <c r="L47" s="3" t="str">
        <f aca="false">IF(D46&lt;&gt;D47,D47,"")</f>
        <v/>
      </c>
      <c r="M47" s="3" t="str">
        <f aca="false">IF(F46&lt;&gt;F47,F47,"")</f>
        <v/>
      </c>
    </row>
    <row r="48" s="3" customFormat="true" ht="15" hidden="false" customHeight="false" outlineLevel="0" collapsed="false">
      <c r="A48" s="3" t="s">
        <v>110</v>
      </c>
      <c r="B48" s="3" t="s">
        <v>111</v>
      </c>
      <c r="C48" s="3" t="s">
        <v>12</v>
      </c>
      <c r="D48" s="3" t="s">
        <v>13</v>
      </c>
      <c r="E48" s="3" t="n">
        <v>20171</v>
      </c>
      <c r="F48" s="3" t="s">
        <v>18</v>
      </c>
      <c r="G48" s="3" t="s">
        <v>18</v>
      </c>
      <c r="H48" s="3" t="n">
        <v>3</v>
      </c>
      <c r="I48" s="3" t="n">
        <v>0</v>
      </c>
      <c r="J48" s="3" t="n">
        <v>20201</v>
      </c>
      <c r="L48" s="3" t="str">
        <f aca="false">IF(D47&lt;&gt;D48,D48,"")</f>
        <v/>
      </c>
      <c r="M48" s="3" t="str">
        <f aca="false">IF(F47&lt;&gt;F48,F48,"")</f>
        <v>B</v>
      </c>
    </row>
    <row r="49" customFormat="false" ht="15" hidden="false" customHeight="false" outlineLevel="0" collapsed="false">
      <c r="A49" s="3" t="s">
        <v>112</v>
      </c>
      <c r="B49" s="3" t="s">
        <v>113</v>
      </c>
      <c r="C49" s="3" t="s">
        <v>12</v>
      </c>
      <c r="D49" s="3" t="s">
        <v>13</v>
      </c>
      <c r="E49" s="3" t="n">
        <v>20171</v>
      </c>
      <c r="F49" s="3" t="s">
        <v>18</v>
      </c>
      <c r="G49" s="3" t="s">
        <v>30</v>
      </c>
      <c r="H49" s="1" t="n">
        <v>1.5</v>
      </c>
      <c r="I49" s="1" t="n">
        <v>0</v>
      </c>
      <c r="J49" s="1" t="n">
        <v>20201</v>
      </c>
      <c r="L49" s="1" t="str">
        <f aca="false">IF(D48&lt;&gt;D49,D49,"")</f>
        <v/>
      </c>
      <c r="M49" s="1" t="str">
        <f aca="false">IF(F48&lt;&gt;F49,F49,"")</f>
        <v/>
      </c>
    </row>
    <row r="50" customFormat="false" ht="15" hidden="false" customHeight="false" outlineLevel="0" collapsed="false">
      <c r="A50" s="3" t="s">
        <v>114</v>
      </c>
      <c r="B50" s="3" t="s">
        <v>115</v>
      </c>
      <c r="C50" s="3" t="s">
        <v>12</v>
      </c>
      <c r="D50" s="3" t="s">
        <v>13</v>
      </c>
      <c r="E50" s="3" t="n">
        <v>20171</v>
      </c>
      <c r="F50" s="3" t="s">
        <v>18</v>
      </c>
      <c r="G50" s="3" t="s">
        <v>18</v>
      </c>
      <c r="H50" s="1" t="n">
        <v>3</v>
      </c>
      <c r="I50" s="1" t="n">
        <v>0</v>
      </c>
      <c r="J50" s="1" t="n">
        <v>20201</v>
      </c>
      <c r="L50" s="1" t="str">
        <f aca="false">IF(D49&lt;&gt;D50,D50,"")</f>
        <v/>
      </c>
      <c r="M50" s="1" t="str">
        <f aca="false">IF(F49&lt;&gt;F50,F50,"")</f>
        <v/>
      </c>
    </row>
    <row r="51" customFormat="false" ht="15" hidden="false" customHeight="false" outlineLevel="0" collapsed="false">
      <c r="A51" s="3" t="s">
        <v>116</v>
      </c>
      <c r="B51" s="3" t="s">
        <v>117</v>
      </c>
      <c r="C51" s="3" t="s">
        <v>12</v>
      </c>
      <c r="D51" s="3" t="s">
        <v>13</v>
      </c>
      <c r="E51" s="3" t="n">
        <v>20171</v>
      </c>
      <c r="F51" s="3" t="s">
        <v>18</v>
      </c>
      <c r="G51" s="3" t="s">
        <v>18</v>
      </c>
      <c r="H51" s="1" t="n">
        <v>3</v>
      </c>
      <c r="I51" s="1" t="n">
        <v>0</v>
      </c>
      <c r="J51" s="1" t="n">
        <v>20201</v>
      </c>
      <c r="L51" s="1" t="str">
        <f aca="false">IF(D50&lt;&gt;D51,D51,"")</f>
        <v/>
      </c>
      <c r="M51" s="1" t="str">
        <f aca="false">IF(F50&lt;&gt;F51,F51,"")</f>
        <v/>
      </c>
    </row>
    <row r="52" customFormat="false" ht="15" hidden="false" customHeight="false" outlineLevel="0" collapsed="false">
      <c r="A52" s="3" t="s">
        <v>118</v>
      </c>
      <c r="B52" s="3" t="s">
        <v>119</v>
      </c>
      <c r="C52" s="3" t="s">
        <v>12</v>
      </c>
      <c r="D52" s="3" t="s">
        <v>13</v>
      </c>
      <c r="E52" s="3" t="n">
        <v>20171</v>
      </c>
      <c r="F52" s="3" t="s">
        <v>18</v>
      </c>
      <c r="G52" s="3" t="s">
        <v>101</v>
      </c>
      <c r="H52" s="1" t="n">
        <v>2.5</v>
      </c>
      <c r="I52" s="1" t="n">
        <v>0</v>
      </c>
      <c r="J52" s="1" t="n">
        <v>20201</v>
      </c>
      <c r="L52" s="1" t="str">
        <f aca="false">IF(D51&lt;&gt;D52,D52,"")</f>
        <v/>
      </c>
      <c r="M52" s="1" t="str">
        <f aca="false">IF(F51&lt;&gt;F52,F52,"")</f>
        <v/>
      </c>
    </row>
    <row r="53" customFormat="false" ht="15" hidden="false" customHeight="false" outlineLevel="0" collapsed="false">
      <c r="A53" s="3" t="s">
        <v>120</v>
      </c>
      <c r="B53" s="3" t="s">
        <v>121</v>
      </c>
      <c r="C53" s="3" t="s">
        <v>12</v>
      </c>
      <c r="D53" s="3" t="s">
        <v>13</v>
      </c>
      <c r="E53" s="3" t="n">
        <v>20171</v>
      </c>
      <c r="F53" s="3" t="s">
        <v>18</v>
      </c>
      <c r="G53" s="3" t="s">
        <v>18</v>
      </c>
      <c r="H53" s="1" t="n">
        <v>3</v>
      </c>
      <c r="I53" s="1" t="n">
        <v>0</v>
      </c>
      <c r="J53" s="1" t="n">
        <v>20201</v>
      </c>
      <c r="L53" s="1" t="str">
        <f aca="false">IF(D52&lt;&gt;D53,D53,"")</f>
        <v/>
      </c>
      <c r="M53" s="1" t="str">
        <f aca="false">IF(F52&lt;&gt;F53,F53,"")</f>
        <v/>
      </c>
    </row>
    <row r="54" customFormat="false" ht="15" hidden="false" customHeight="false" outlineLevel="0" collapsed="false">
      <c r="A54" s="3" t="s">
        <v>122</v>
      </c>
      <c r="B54" s="3" t="s">
        <v>123</v>
      </c>
      <c r="C54" s="3" t="s">
        <v>12</v>
      </c>
      <c r="D54" s="3" t="s">
        <v>13</v>
      </c>
      <c r="E54" s="3" t="n">
        <v>20171</v>
      </c>
      <c r="F54" s="3" t="s">
        <v>18</v>
      </c>
      <c r="G54" s="3" t="s">
        <v>124</v>
      </c>
      <c r="H54" s="1" t="n">
        <v>0</v>
      </c>
      <c r="I54" s="1" t="n">
        <v>0</v>
      </c>
      <c r="J54" s="1" t="n">
        <v>20201</v>
      </c>
      <c r="L54" s="1" t="str">
        <f aca="false">IF(D53&lt;&gt;D54,D54,"")</f>
        <v/>
      </c>
      <c r="M54" s="1" t="str">
        <f aca="false">IF(F53&lt;&gt;F54,F54,"")</f>
        <v/>
      </c>
    </row>
    <row r="55" customFormat="false" ht="15" hidden="false" customHeight="false" outlineLevel="0" collapsed="false">
      <c r="A55" s="3" t="s">
        <v>125</v>
      </c>
      <c r="B55" s="3" t="s">
        <v>126</v>
      </c>
      <c r="C55" s="3" t="s">
        <v>12</v>
      </c>
      <c r="D55" s="3" t="s">
        <v>13</v>
      </c>
      <c r="E55" s="3" t="n">
        <v>20171</v>
      </c>
      <c r="F55" s="3" t="s">
        <v>18</v>
      </c>
      <c r="G55" s="3" t="s">
        <v>127</v>
      </c>
      <c r="H55" s="1" t="n">
        <v>2</v>
      </c>
      <c r="I55" s="1" t="n">
        <v>0</v>
      </c>
      <c r="J55" s="1" t="n">
        <v>20201</v>
      </c>
      <c r="L55" s="1" t="str">
        <f aca="false">IF(D54&lt;&gt;D55,D55,"")</f>
        <v/>
      </c>
      <c r="M55" s="1" t="str">
        <f aca="false">IF(F54&lt;&gt;F55,F55,"")</f>
        <v/>
      </c>
    </row>
    <row r="56" customFormat="false" ht="15" hidden="false" customHeight="false" outlineLevel="0" collapsed="false">
      <c r="A56" s="3" t="s">
        <v>128</v>
      </c>
      <c r="B56" s="3" t="s">
        <v>129</v>
      </c>
      <c r="C56" s="3" t="s">
        <v>12</v>
      </c>
      <c r="D56" s="3" t="s">
        <v>13</v>
      </c>
      <c r="E56" s="3" t="n">
        <v>20171</v>
      </c>
      <c r="F56" s="3" t="s">
        <v>18</v>
      </c>
      <c r="G56" s="3" t="s">
        <v>18</v>
      </c>
      <c r="H56" s="1" t="n">
        <v>3</v>
      </c>
      <c r="I56" s="1" t="n">
        <v>0</v>
      </c>
      <c r="J56" s="1" t="n">
        <v>20201</v>
      </c>
      <c r="L56" s="1" t="str">
        <f aca="false">IF(D55&lt;&gt;D56,D56,"")</f>
        <v/>
      </c>
      <c r="M56" s="1" t="str">
        <f aca="false">IF(F55&lt;&gt;F56,F56,"")</f>
        <v/>
      </c>
    </row>
    <row r="57" customFormat="false" ht="15" hidden="false" customHeight="false" outlineLevel="0" collapsed="false">
      <c r="A57" s="3" t="s">
        <v>130</v>
      </c>
      <c r="B57" s="3" t="s">
        <v>131</v>
      </c>
      <c r="C57" s="3" t="s">
        <v>12</v>
      </c>
      <c r="D57" s="3" t="s">
        <v>13</v>
      </c>
      <c r="E57" s="3" t="n">
        <v>20171</v>
      </c>
      <c r="F57" s="3" t="s">
        <v>18</v>
      </c>
      <c r="G57" s="3" t="s">
        <v>127</v>
      </c>
      <c r="H57" s="1" t="n">
        <v>2</v>
      </c>
      <c r="I57" s="1" t="n">
        <v>0</v>
      </c>
      <c r="J57" s="1" t="n">
        <v>20201</v>
      </c>
      <c r="L57" s="1" t="str">
        <f aca="false">IF(D56&lt;&gt;D57,D57,"")</f>
        <v/>
      </c>
      <c r="M57" s="1" t="str">
        <f aca="false">IF(F56&lt;&gt;F57,F57,"")</f>
        <v/>
      </c>
    </row>
    <row r="58" customFormat="false" ht="15" hidden="false" customHeight="false" outlineLevel="0" collapsed="false">
      <c r="A58" s="3" t="s">
        <v>132</v>
      </c>
      <c r="B58" s="3" t="s">
        <v>133</v>
      </c>
      <c r="C58" s="3" t="s">
        <v>12</v>
      </c>
      <c r="D58" s="3" t="s">
        <v>13</v>
      </c>
      <c r="E58" s="3" t="n">
        <v>20171</v>
      </c>
      <c r="F58" s="3" t="s">
        <v>18</v>
      </c>
      <c r="G58" s="3" t="s">
        <v>101</v>
      </c>
      <c r="H58" s="1" t="n">
        <v>2.5</v>
      </c>
      <c r="I58" s="1" t="n">
        <v>0</v>
      </c>
      <c r="J58" s="1" t="n">
        <v>20201</v>
      </c>
      <c r="L58" s="1" t="str">
        <f aca="false">IF(D57&lt;&gt;D58,D58,"")</f>
        <v/>
      </c>
      <c r="M58" s="1" t="str">
        <f aca="false">IF(F57&lt;&gt;F58,F58,"")</f>
        <v/>
      </c>
    </row>
    <row r="59" customFormat="false" ht="15" hidden="false" customHeight="false" outlineLevel="0" collapsed="false">
      <c r="A59" s="3" t="s">
        <v>134</v>
      </c>
      <c r="B59" s="3" t="s">
        <v>135</v>
      </c>
      <c r="C59" s="3" t="s">
        <v>12</v>
      </c>
      <c r="D59" s="3" t="s">
        <v>13</v>
      </c>
      <c r="E59" s="3" t="n">
        <v>20171</v>
      </c>
      <c r="F59" s="3" t="s">
        <v>18</v>
      </c>
      <c r="G59" s="3" t="s">
        <v>30</v>
      </c>
      <c r="H59" s="1" t="n">
        <v>1.5</v>
      </c>
      <c r="I59" s="1" t="n">
        <v>0</v>
      </c>
      <c r="J59" s="1" t="n">
        <v>20201</v>
      </c>
      <c r="L59" s="1" t="str">
        <f aca="false">IF(D58&lt;&gt;D59,D59,"")</f>
        <v/>
      </c>
      <c r="M59" s="1" t="str">
        <f aca="false">IF(F58&lt;&gt;F59,F59,"")</f>
        <v/>
      </c>
    </row>
    <row r="60" customFormat="false" ht="15" hidden="false" customHeight="false" outlineLevel="0" collapsed="false">
      <c r="A60" s="3" t="s">
        <v>136</v>
      </c>
      <c r="B60" s="3" t="s">
        <v>137</v>
      </c>
      <c r="C60" s="3" t="s">
        <v>12</v>
      </c>
      <c r="D60" s="3" t="s">
        <v>13</v>
      </c>
      <c r="E60" s="3" t="n">
        <v>20171</v>
      </c>
      <c r="F60" s="3" t="s">
        <v>18</v>
      </c>
      <c r="G60" s="3" t="s">
        <v>124</v>
      </c>
      <c r="H60" s="1" t="n">
        <v>0</v>
      </c>
      <c r="I60" s="1" t="n">
        <v>0</v>
      </c>
      <c r="J60" s="1" t="n">
        <v>20201</v>
      </c>
      <c r="L60" s="1" t="str">
        <f aca="false">IF(D59&lt;&gt;D60,D60,"")</f>
        <v/>
      </c>
      <c r="M60" s="1" t="str">
        <f aca="false">IF(F59&lt;&gt;F60,F60,"")</f>
        <v/>
      </c>
    </row>
    <row r="61" customFormat="false" ht="15" hidden="false" customHeight="false" outlineLevel="0" collapsed="false">
      <c r="A61" s="3" t="s">
        <v>138</v>
      </c>
      <c r="B61" s="3" t="s">
        <v>139</v>
      </c>
      <c r="C61" s="3" t="s">
        <v>12</v>
      </c>
      <c r="D61" s="3" t="s">
        <v>13</v>
      </c>
      <c r="E61" s="3" t="n">
        <v>20171</v>
      </c>
      <c r="F61" s="3" t="s">
        <v>18</v>
      </c>
      <c r="G61" s="3" t="s">
        <v>124</v>
      </c>
      <c r="H61" s="1" t="n">
        <v>0</v>
      </c>
      <c r="I61" s="1" t="n">
        <v>0</v>
      </c>
      <c r="J61" s="1" t="n">
        <v>20201</v>
      </c>
      <c r="L61" s="1" t="str">
        <f aca="false">IF(D60&lt;&gt;D61,D61,"")</f>
        <v/>
      </c>
      <c r="M61" s="1" t="str">
        <f aca="false">IF(F60&lt;&gt;F61,F61,"")</f>
        <v/>
      </c>
    </row>
    <row r="62" customFormat="false" ht="15" hidden="false" customHeight="false" outlineLevel="0" collapsed="false">
      <c r="A62" s="3" t="s">
        <v>140</v>
      </c>
      <c r="B62" s="3" t="s">
        <v>141</v>
      </c>
      <c r="C62" s="3" t="s">
        <v>12</v>
      </c>
      <c r="D62" s="3" t="s">
        <v>13</v>
      </c>
      <c r="E62" s="3" t="n">
        <v>20171</v>
      </c>
      <c r="F62" s="3" t="s">
        <v>18</v>
      </c>
      <c r="G62" s="3" t="s">
        <v>101</v>
      </c>
      <c r="H62" s="1" t="n">
        <v>2.5</v>
      </c>
      <c r="I62" s="1" t="n">
        <v>0</v>
      </c>
      <c r="J62" s="1" t="n">
        <v>20201</v>
      </c>
      <c r="L62" s="1" t="str">
        <f aca="false">IF(D61&lt;&gt;D62,D62,"")</f>
        <v/>
      </c>
      <c r="M62" s="1" t="str">
        <f aca="false">IF(F61&lt;&gt;F62,F62,"")</f>
        <v/>
      </c>
    </row>
    <row r="63" customFormat="false" ht="15" hidden="false" customHeight="false" outlineLevel="0" collapsed="false">
      <c r="A63" s="3" t="s">
        <v>142</v>
      </c>
      <c r="B63" s="3" t="s">
        <v>143</v>
      </c>
      <c r="C63" s="3" t="s">
        <v>12</v>
      </c>
      <c r="D63" s="3" t="s">
        <v>13</v>
      </c>
      <c r="E63" s="3" t="n">
        <v>20171</v>
      </c>
      <c r="F63" s="3" t="s">
        <v>18</v>
      </c>
      <c r="G63" s="3" t="s">
        <v>15</v>
      </c>
      <c r="H63" s="1" t="n">
        <v>3.5</v>
      </c>
      <c r="I63" s="1" t="n">
        <v>0</v>
      </c>
      <c r="J63" s="1" t="n">
        <v>20201</v>
      </c>
      <c r="L63" s="1" t="str">
        <f aca="false">IF(D62&lt;&gt;D63,D63,"")</f>
        <v/>
      </c>
      <c r="M63" s="1" t="str">
        <f aca="false">IF(F62&lt;&gt;F63,F63,"")</f>
        <v/>
      </c>
    </row>
    <row r="64" customFormat="false" ht="15" hidden="false" customHeight="false" outlineLevel="0" collapsed="false">
      <c r="A64" s="3" t="s">
        <v>144</v>
      </c>
      <c r="B64" s="3" t="s">
        <v>145</v>
      </c>
      <c r="C64" s="3" t="s">
        <v>12</v>
      </c>
      <c r="D64" s="3" t="s">
        <v>13</v>
      </c>
      <c r="E64" s="3" t="n">
        <v>20171</v>
      </c>
      <c r="F64" s="3" t="s">
        <v>18</v>
      </c>
      <c r="G64" s="3" t="s">
        <v>124</v>
      </c>
      <c r="H64" s="1" t="n">
        <v>0</v>
      </c>
      <c r="I64" s="1" t="n">
        <v>0</v>
      </c>
      <c r="J64" s="1" t="n">
        <v>20201</v>
      </c>
      <c r="L64" s="1" t="str">
        <f aca="false">IF(D63&lt;&gt;D64,D64,"")</f>
        <v/>
      </c>
      <c r="M64" s="1" t="str">
        <f aca="false">IF(F63&lt;&gt;F64,F64,"")</f>
        <v/>
      </c>
    </row>
    <row r="65" customFormat="false" ht="15" hidden="false" customHeight="false" outlineLevel="0" collapsed="false">
      <c r="A65" s="3" t="s">
        <v>146</v>
      </c>
      <c r="B65" s="3" t="s">
        <v>147</v>
      </c>
      <c r="C65" s="3" t="s">
        <v>12</v>
      </c>
      <c r="D65" s="3" t="s">
        <v>13</v>
      </c>
      <c r="E65" s="3" t="n">
        <v>20171</v>
      </c>
      <c r="F65" s="3" t="s">
        <v>18</v>
      </c>
      <c r="G65" s="3" t="s">
        <v>15</v>
      </c>
      <c r="H65" s="1" t="n">
        <v>3.5</v>
      </c>
      <c r="I65" s="1" t="n">
        <v>0</v>
      </c>
      <c r="J65" s="1" t="n">
        <v>20201</v>
      </c>
      <c r="L65" s="1" t="str">
        <f aca="false">IF(D64&lt;&gt;D65,D65,"")</f>
        <v/>
      </c>
      <c r="M65" s="1" t="str">
        <f aca="false">IF(F64&lt;&gt;F65,F65,"")</f>
        <v/>
      </c>
    </row>
    <row r="66" customFormat="false" ht="15" hidden="false" customHeight="false" outlineLevel="0" collapsed="false">
      <c r="A66" s="3" t="s">
        <v>148</v>
      </c>
      <c r="B66" s="3" t="s">
        <v>149</v>
      </c>
      <c r="C66" s="3" t="s">
        <v>12</v>
      </c>
      <c r="D66" s="3" t="s">
        <v>13</v>
      </c>
      <c r="E66" s="3" t="n">
        <v>20171</v>
      </c>
      <c r="F66" s="3" t="s">
        <v>18</v>
      </c>
      <c r="G66" s="3" t="s">
        <v>101</v>
      </c>
      <c r="H66" s="1" t="n">
        <v>2.5</v>
      </c>
      <c r="I66" s="1" t="n">
        <v>0</v>
      </c>
      <c r="J66" s="1" t="n">
        <v>20201</v>
      </c>
      <c r="L66" s="1" t="str">
        <f aca="false">IF(D65&lt;&gt;D66,D66,"")</f>
        <v/>
      </c>
      <c r="M66" s="1" t="str">
        <f aca="false">IF(F65&lt;&gt;F66,F66,"")</f>
        <v/>
      </c>
    </row>
    <row r="67" customFormat="false" ht="15" hidden="false" customHeight="false" outlineLevel="0" collapsed="false">
      <c r="A67" s="3" t="s">
        <v>150</v>
      </c>
      <c r="B67" s="3" t="s">
        <v>151</v>
      </c>
      <c r="C67" s="3" t="s">
        <v>12</v>
      </c>
      <c r="D67" s="3" t="s">
        <v>13</v>
      </c>
      <c r="E67" s="3" t="n">
        <v>20171</v>
      </c>
      <c r="F67" s="3" t="s">
        <v>18</v>
      </c>
      <c r="G67" s="3" t="s">
        <v>18</v>
      </c>
      <c r="H67" s="1" t="n">
        <v>3</v>
      </c>
      <c r="I67" s="1" t="n">
        <v>0</v>
      </c>
      <c r="J67" s="1" t="n">
        <v>20201</v>
      </c>
      <c r="L67" s="1" t="str">
        <f aca="false">IF(D66&lt;&gt;D67,D67,"")</f>
        <v/>
      </c>
      <c r="M67" s="1" t="str">
        <f aca="false">IF(F66&lt;&gt;F67,F67,"")</f>
        <v/>
      </c>
    </row>
    <row r="68" customFormat="false" ht="15" hidden="false" customHeight="false" outlineLevel="0" collapsed="false">
      <c r="A68" s="3" t="s">
        <v>152</v>
      </c>
      <c r="B68" s="3" t="s">
        <v>153</v>
      </c>
      <c r="C68" s="3" t="s">
        <v>12</v>
      </c>
      <c r="D68" s="3" t="s">
        <v>13</v>
      </c>
      <c r="E68" s="3" t="n">
        <v>20171</v>
      </c>
      <c r="F68" s="3" t="s">
        <v>18</v>
      </c>
      <c r="G68" s="3" t="s">
        <v>15</v>
      </c>
      <c r="H68" s="1" t="n">
        <v>3.5</v>
      </c>
      <c r="I68" s="1" t="n">
        <v>0</v>
      </c>
      <c r="J68" s="1" t="n">
        <v>20201</v>
      </c>
      <c r="L68" s="1" t="str">
        <f aca="false">IF(D67&lt;&gt;D68,D68,"")</f>
        <v/>
      </c>
      <c r="M68" s="1" t="str">
        <f aca="false">IF(F67&lt;&gt;F68,F68,"")</f>
        <v/>
      </c>
    </row>
    <row r="69" customFormat="false" ht="15" hidden="false" customHeight="false" outlineLevel="0" collapsed="false">
      <c r="A69" s="3" t="s">
        <v>154</v>
      </c>
      <c r="B69" s="3" t="s">
        <v>155</v>
      </c>
      <c r="C69" s="3" t="s">
        <v>12</v>
      </c>
      <c r="D69" s="3" t="s">
        <v>13</v>
      </c>
      <c r="E69" s="3" t="n">
        <v>20171</v>
      </c>
      <c r="F69" s="3" t="s">
        <v>18</v>
      </c>
      <c r="G69" s="3" t="s">
        <v>124</v>
      </c>
      <c r="H69" s="1" t="n">
        <v>0</v>
      </c>
      <c r="I69" s="1" t="n">
        <v>0</v>
      </c>
      <c r="J69" s="1" t="n">
        <v>20201</v>
      </c>
      <c r="L69" s="1" t="str">
        <f aca="false">IF(D68&lt;&gt;D69,D69,"")</f>
        <v/>
      </c>
      <c r="M69" s="1" t="str">
        <f aca="false">IF(F68&lt;&gt;F69,F69,"")</f>
        <v/>
      </c>
    </row>
    <row r="70" customFormat="false" ht="15" hidden="false" customHeight="false" outlineLevel="0" collapsed="false">
      <c r="A70" s="3" t="s">
        <v>156</v>
      </c>
      <c r="B70" s="3" t="s">
        <v>157</v>
      </c>
      <c r="C70" s="3" t="s">
        <v>12</v>
      </c>
      <c r="D70" s="3" t="s">
        <v>13</v>
      </c>
      <c r="E70" s="3" t="n">
        <v>20171</v>
      </c>
      <c r="F70" s="3" t="s">
        <v>18</v>
      </c>
      <c r="G70" s="3" t="s">
        <v>101</v>
      </c>
      <c r="H70" s="1" t="n">
        <v>2.5</v>
      </c>
      <c r="I70" s="1" t="n">
        <v>0</v>
      </c>
      <c r="J70" s="1" t="n">
        <v>20201</v>
      </c>
      <c r="L70" s="1" t="str">
        <f aca="false">IF(D69&lt;&gt;D70,D70,"")</f>
        <v/>
      </c>
      <c r="M70" s="1" t="str">
        <f aca="false">IF(F69&lt;&gt;F70,F70,"")</f>
        <v/>
      </c>
    </row>
    <row r="71" customFormat="false" ht="15" hidden="false" customHeight="false" outlineLevel="0" collapsed="false">
      <c r="A71" s="3" t="s">
        <v>158</v>
      </c>
      <c r="B71" s="3" t="s">
        <v>159</v>
      </c>
      <c r="C71" s="3" t="s">
        <v>12</v>
      </c>
      <c r="D71" s="3" t="s">
        <v>13</v>
      </c>
      <c r="E71" s="3" t="n">
        <v>20171</v>
      </c>
      <c r="F71" s="3" t="s">
        <v>18</v>
      </c>
      <c r="G71" s="3" t="s">
        <v>101</v>
      </c>
      <c r="H71" s="1" t="n">
        <v>2.5</v>
      </c>
      <c r="I71" s="1" t="n">
        <v>0</v>
      </c>
      <c r="J71" s="1" t="n">
        <v>20201</v>
      </c>
      <c r="L71" s="1" t="str">
        <f aca="false">IF(D70&lt;&gt;D71,D71,"")</f>
        <v/>
      </c>
      <c r="M71" s="1" t="str">
        <f aca="false">IF(F70&lt;&gt;F71,F71,"")</f>
        <v/>
      </c>
    </row>
    <row r="72" customFormat="false" ht="15" hidden="false" customHeight="false" outlineLevel="0" collapsed="false">
      <c r="A72" s="3" t="s">
        <v>160</v>
      </c>
      <c r="B72" s="3" t="s">
        <v>161</v>
      </c>
      <c r="C72" s="3" t="s">
        <v>12</v>
      </c>
      <c r="D72" s="3" t="s">
        <v>13</v>
      </c>
      <c r="E72" s="3" t="n">
        <v>20171</v>
      </c>
      <c r="F72" s="3" t="s">
        <v>18</v>
      </c>
      <c r="G72" s="3" t="s">
        <v>15</v>
      </c>
      <c r="H72" s="1" t="n">
        <v>3.5</v>
      </c>
      <c r="I72" s="1" t="n">
        <v>0</v>
      </c>
      <c r="J72" s="1" t="n">
        <v>20201</v>
      </c>
      <c r="L72" s="1" t="str">
        <f aca="false">IF(D71&lt;&gt;D72,D72,"")</f>
        <v/>
      </c>
      <c r="M72" s="1" t="str">
        <f aca="false">IF(F71&lt;&gt;F72,F72,"")</f>
        <v/>
      </c>
    </row>
    <row r="73" customFormat="false" ht="15" hidden="false" customHeight="false" outlineLevel="0" collapsed="false">
      <c r="A73" s="3" t="s">
        <v>162</v>
      </c>
      <c r="B73" s="3" t="s">
        <v>163</v>
      </c>
      <c r="C73" s="3" t="s">
        <v>12</v>
      </c>
      <c r="D73" s="3" t="s">
        <v>13</v>
      </c>
      <c r="E73" s="3" t="n">
        <v>20171</v>
      </c>
      <c r="F73" s="3" t="s">
        <v>18</v>
      </c>
      <c r="G73" s="3" t="s">
        <v>14</v>
      </c>
      <c r="H73" s="1" t="n">
        <v>4</v>
      </c>
      <c r="I73" s="1" t="n">
        <v>0</v>
      </c>
      <c r="J73" s="1" t="n">
        <v>20201</v>
      </c>
      <c r="L73" s="1" t="str">
        <f aca="false">IF(D72&lt;&gt;D73,D73,"")</f>
        <v/>
      </c>
      <c r="M73" s="1" t="str">
        <f aca="false">IF(F72&lt;&gt;F73,F73,"")</f>
        <v/>
      </c>
    </row>
    <row r="74" customFormat="false" ht="15" hidden="false" customHeight="false" outlineLevel="0" collapsed="false">
      <c r="A74" s="3" t="s">
        <v>164</v>
      </c>
      <c r="B74" s="3" t="s">
        <v>165</v>
      </c>
      <c r="C74" s="3" t="s">
        <v>12</v>
      </c>
      <c r="D74" s="3" t="s">
        <v>13</v>
      </c>
      <c r="E74" s="3" t="n">
        <v>20171</v>
      </c>
      <c r="F74" s="3" t="s">
        <v>18</v>
      </c>
      <c r="G74" s="3" t="s">
        <v>23</v>
      </c>
      <c r="H74" s="1" t="n">
        <v>0</v>
      </c>
      <c r="I74" s="1" t="n">
        <v>0</v>
      </c>
      <c r="J74" s="1" t="n">
        <v>20201</v>
      </c>
      <c r="L74" s="1" t="str">
        <f aca="false">IF(D73&lt;&gt;D74,D74,"")</f>
        <v/>
      </c>
      <c r="M74" s="1" t="str">
        <f aca="false">IF(F73&lt;&gt;F74,F74,"")</f>
        <v/>
      </c>
    </row>
    <row r="75" customFormat="false" ht="15" hidden="false" customHeight="false" outlineLevel="0" collapsed="false">
      <c r="A75" s="3" t="s">
        <v>166</v>
      </c>
      <c r="B75" s="3" t="s">
        <v>167</v>
      </c>
      <c r="C75" s="3" t="s">
        <v>12</v>
      </c>
      <c r="D75" s="3" t="s">
        <v>13</v>
      </c>
      <c r="E75" s="3" t="n">
        <v>20171</v>
      </c>
      <c r="F75" s="3" t="s">
        <v>18</v>
      </c>
      <c r="G75" s="3" t="s">
        <v>101</v>
      </c>
      <c r="H75" s="1" t="n">
        <v>2.5</v>
      </c>
      <c r="I75" s="1" t="n">
        <v>0</v>
      </c>
      <c r="J75" s="1" t="n">
        <v>20201</v>
      </c>
      <c r="L75" s="1" t="str">
        <f aca="false">IF(D74&lt;&gt;D75,D75,"")</f>
        <v/>
      </c>
      <c r="M75" s="1" t="str">
        <f aca="false">IF(F74&lt;&gt;F75,F75,"")</f>
        <v/>
      </c>
    </row>
    <row r="76" customFormat="false" ht="15" hidden="false" customHeight="false" outlineLevel="0" collapsed="false">
      <c r="A76" s="3" t="s">
        <v>168</v>
      </c>
      <c r="B76" s="3" t="s">
        <v>169</v>
      </c>
      <c r="C76" s="3" t="s">
        <v>12</v>
      </c>
      <c r="D76" s="3" t="s">
        <v>13</v>
      </c>
      <c r="E76" s="3" t="n">
        <v>20171</v>
      </c>
      <c r="F76" s="3" t="s">
        <v>18</v>
      </c>
      <c r="G76" s="3" t="s">
        <v>124</v>
      </c>
      <c r="H76" s="1" t="n">
        <v>0</v>
      </c>
      <c r="I76" s="1" t="n">
        <v>0</v>
      </c>
      <c r="J76" s="1" t="n">
        <v>20201</v>
      </c>
      <c r="L76" s="1" t="str">
        <f aca="false">IF(D75&lt;&gt;D76,D76,"")</f>
        <v/>
      </c>
      <c r="M76" s="1" t="str">
        <f aca="false">IF(F75&lt;&gt;F76,F76,"")</f>
        <v/>
      </c>
    </row>
    <row r="77" customFormat="false" ht="15" hidden="false" customHeight="false" outlineLevel="0" collapsed="false">
      <c r="A77" s="3" t="s">
        <v>170</v>
      </c>
      <c r="B77" s="3" t="s">
        <v>171</v>
      </c>
      <c r="C77" s="3" t="s">
        <v>12</v>
      </c>
      <c r="D77" s="3" t="s">
        <v>13</v>
      </c>
      <c r="E77" s="3" t="n">
        <v>20171</v>
      </c>
      <c r="F77" s="3" t="s">
        <v>18</v>
      </c>
      <c r="G77" s="3" t="s">
        <v>101</v>
      </c>
      <c r="H77" s="1" t="n">
        <v>2.5</v>
      </c>
      <c r="I77" s="1" t="n">
        <v>0</v>
      </c>
      <c r="J77" s="1" t="n">
        <v>20201</v>
      </c>
      <c r="L77" s="1" t="str">
        <f aca="false">IF(D76&lt;&gt;D77,D77,"")</f>
        <v/>
      </c>
      <c r="M77" s="1" t="str">
        <f aca="false">IF(F76&lt;&gt;F77,F77,"")</f>
        <v/>
      </c>
    </row>
    <row r="78" customFormat="false" ht="15" hidden="false" customHeight="false" outlineLevel="0" collapsed="false">
      <c r="A78" s="3" t="s">
        <v>172</v>
      </c>
      <c r="B78" s="3" t="s">
        <v>173</v>
      </c>
      <c r="C78" s="3" t="s">
        <v>12</v>
      </c>
      <c r="D78" s="3" t="s">
        <v>13</v>
      </c>
      <c r="E78" s="3" t="n">
        <v>20171</v>
      </c>
      <c r="F78" s="3" t="s">
        <v>18</v>
      </c>
      <c r="G78" s="3" t="s">
        <v>30</v>
      </c>
      <c r="H78" s="1" t="n">
        <v>1.5</v>
      </c>
      <c r="I78" s="1" t="n">
        <v>0</v>
      </c>
      <c r="J78" s="1" t="n">
        <v>20201</v>
      </c>
      <c r="L78" s="1" t="str">
        <f aca="false">IF(D77&lt;&gt;D78,D78,"")</f>
        <v/>
      </c>
      <c r="M78" s="1" t="str">
        <f aca="false">IF(F77&lt;&gt;F78,F78,"")</f>
        <v/>
      </c>
    </row>
    <row r="79" customFormat="false" ht="15" hidden="false" customHeight="false" outlineLevel="0" collapsed="false">
      <c r="A79" s="3" t="s">
        <v>174</v>
      </c>
      <c r="B79" s="3" t="s">
        <v>175</v>
      </c>
      <c r="C79" s="3" t="s">
        <v>12</v>
      </c>
      <c r="D79" s="3" t="s">
        <v>13</v>
      </c>
      <c r="E79" s="3" t="n">
        <v>20171</v>
      </c>
      <c r="F79" s="3" t="s">
        <v>18</v>
      </c>
      <c r="G79" s="3" t="s">
        <v>124</v>
      </c>
      <c r="H79" s="1" t="n">
        <v>0</v>
      </c>
      <c r="I79" s="1" t="n">
        <v>0</v>
      </c>
      <c r="J79" s="1" t="n">
        <v>20201</v>
      </c>
      <c r="L79" s="1" t="str">
        <f aca="false">IF(D78&lt;&gt;D79,D79,"")</f>
        <v/>
      </c>
      <c r="M79" s="1" t="str">
        <f aca="false">IF(F78&lt;&gt;F79,F79,"")</f>
        <v/>
      </c>
    </row>
    <row r="80" customFormat="false" ht="15" hidden="false" customHeight="false" outlineLevel="0" collapsed="false">
      <c r="A80" s="3" t="s">
        <v>176</v>
      </c>
      <c r="B80" s="3" t="s">
        <v>177</v>
      </c>
      <c r="C80" s="3" t="s">
        <v>12</v>
      </c>
      <c r="D80" s="3" t="s">
        <v>13</v>
      </c>
      <c r="E80" s="3" t="n">
        <v>20171</v>
      </c>
      <c r="F80" s="3" t="s">
        <v>18</v>
      </c>
      <c r="G80" s="3" t="s">
        <v>15</v>
      </c>
      <c r="H80" s="1" t="n">
        <v>3.5</v>
      </c>
      <c r="I80" s="1" t="n">
        <v>0</v>
      </c>
      <c r="J80" s="1" t="n">
        <v>20201</v>
      </c>
      <c r="L80" s="1" t="str">
        <f aca="false">IF(D79&lt;&gt;D80,D80,"")</f>
        <v/>
      </c>
      <c r="M80" s="1" t="str">
        <f aca="false">IF(F79&lt;&gt;F80,F80,"")</f>
        <v/>
      </c>
    </row>
    <row r="81" customFormat="false" ht="15" hidden="false" customHeight="false" outlineLevel="0" collapsed="false">
      <c r="A81" s="3" t="s">
        <v>178</v>
      </c>
      <c r="B81" s="3" t="s">
        <v>179</v>
      </c>
      <c r="C81" s="3" t="s">
        <v>12</v>
      </c>
      <c r="D81" s="3" t="s">
        <v>13</v>
      </c>
      <c r="E81" s="3" t="n">
        <v>20171</v>
      </c>
      <c r="F81" s="3" t="s">
        <v>18</v>
      </c>
      <c r="G81" s="3" t="s">
        <v>18</v>
      </c>
      <c r="H81" s="1" t="n">
        <v>3</v>
      </c>
      <c r="I81" s="1" t="n">
        <v>0</v>
      </c>
      <c r="J81" s="1" t="n">
        <v>20201</v>
      </c>
      <c r="L81" s="1" t="str">
        <f aca="false">IF(D80&lt;&gt;D81,D81,"")</f>
        <v/>
      </c>
      <c r="M81" s="1" t="str">
        <f aca="false">IF(F80&lt;&gt;F81,F81,"")</f>
        <v/>
      </c>
    </row>
    <row r="82" customFormat="false" ht="15" hidden="false" customHeight="false" outlineLevel="0" collapsed="false">
      <c r="A82" s="3" t="s">
        <v>180</v>
      </c>
      <c r="B82" s="3" t="s">
        <v>181</v>
      </c>
      <c r="C82" s="3" t="s">
        <v>12</v>
      </c>
      <c r="D82" s="3" t="s">
        <v>13</v>
      </c>
      <c r="E82" s="3" t="n">
        <v>20171</v>
      </c>
      <c r="F82" s="3" t="s">
        <v>18</v>
      </c>
      <c r="G82" s="3" t="s">
        <v>23</v>
      </c>
      <c r="H82" s="1" t="n">
        <v>0</v>
      </c>
      <c r="I82" s="1" t="n">
        <v>0</v>
      </c>
      <c r="J82" s="1" t="n">
        <v>20201</v>
      </c>
      <c r="L82" s="1" t="str">
        <f aca="false">IF(D81&lt;&gt;D82,D82,"")</f>
        <v/>
      </c>
      <c r="M82" s="1" t="str">
        <f aca="false">IF(F81&lt;&gt;F82,F82,"")</f>
        <v/>
      </c>
    </row>
    <row r="83" customFormat="false" ht="15" hidden="false" customHeight="false" outlineLevel="0" collapsed="false">
      <c r="A83" s="3" t="s">
        <v>182</v>
      </c>
      <c r="B83" s="3" t="s">
        <v>183</v>
      </c>
      <c r="C83" s="3" t="s">
        <v>12</v>
      </c>
      <c r="D83" s="3" t="s">
        <v>13</v>
      </c>
      <c r="E83" s="3" t="n">
        <v>20171</v>
      </c>
      <c r="F83" s="3" t="s">
        <v>18</v>
      </c>
      <c r="G83" s="3" t="s">
        <v>15</v>
      </c>
      <c r="H83" s="1" t="n">
        <v>3.5</v>
      </c>
      <c r="I83" s="1" t="n">
        <v>0</v>
      </c>
      <c r="J83" s="1" t="n">
        <v>20201</v>
      </c>
      <c r="L83" s="1" t="str">
        <f aca="false">IF(D82&lt;&gt;D83,D83,"")</f>
        <v/>
      </c>
      <c r="M83" s="1" t="str">
        <f aca="false">IF(F82&lt;&gt;F83,F83,"")</f>
        <v/>
      </c>
    </row>
    <row r="84" customFormat="false" ht="15" hidden="false" customHeight="false" outlineLevel="0" collapsed="false">
      <c r="A84" s="3" t="s">
        <v>184</v>
      </c>
      <c r="B84" s="3" t="s">
        <v>185</v>
      </c>
      <c r="C84" s="3" t="s">
        <v>12</v>
      </c>
      <c r="D84" s="3" t="s">
        <v>13</v>
      </c>
      <c r="E84" s="3" t="n">
        <v>20171</v>
      </c>
      <c r="F84" s="3" t="s">
        <v>18</v>
      </c>
      <c r="G84" s="3" t="s">
        <v>127</v>
      </c>
      <c r="H84" s="1" t="n">
        <v>2</v>
      </c>
      <c r="I84" s="1" t="n">
        <v>0</v>
      </c>
      <c r="J84" s="1" t="n">
        <v>20201</v>
      </c>
      <c r="L84" s="1" t="str">
        <f aca="false">IF(D83&lt;&gt;D84,D84,"")</f>
        <v/>
      </c>
      <c r="M84" s="1" t="str">
        <f aca="false">IF(F83&lt;&gt;F84,F84,"")</f>
        <v/>
      </c>
    </row>
    <row r="85" customFormat="false" ht="15" hidden="false" customHeight="false" outlineLevel="0" collapsed="false">
      <c r="A85" s="3" t="s">
        <v>186</v>
      </c>
      <c r="B85" s="3" t="s">
        <v>187</v>
      </c>
      <c r="C85" s="3" t="s">
        <v>12</v>
      </c>
      <c r="D85" s="3" t="s">
        <v>13</v>
      </c>
      <c r="E85" s="3" t="n">
        <v>20171</v>
      </c>
      <c r="F85" s="3" t="s">
        <v>18</v>
      </c>
      <c r="G85" s="3" t="s">
        <v>15</v>
      </c>
      <c r="H85" s="1" t="n">
        <v>3.5</v>
      </c>
      <c r="I85" s="1" t="n">
        <v>0</v>
      </c>
      <c r="J85" s="1" t="n">
        <v>20201</v>
      </c>
      <c r="L85" s="1" t="str">
        <f aca="false">IF(D84&lt;&gt;D85,D85,"")</f>
        <v/>
      </c>
      <c r="M85" s="1" t="str">
        <f aca="false">IF(F84&lt;&gt;F85,F85,"")</f>
        <v/>
      </c>
    </row>
    <row r="86" customFormat="false" ht="15" hidden="false" customHeight="false" outlineLevel="0" collapsed="false">
      <c r="A86" s="3" t="s">
        <v>188</v>
      </c>
      <c r="B86" s="3" t="s">
        <v>189</v>
      </c>
      <c r="C86" s="3" t="s">
        <v>12</v>
      </c>
      <c r="D86" s="3" t="s">
        <v>13</v>
      </c>
      <c r="E86" s="3" t="n">
        <v>20171</v>
      </c>
      <c r="F86" s="3" t="s">
        <v>18</v>
      </c>
      <c r="G86" s="3" t="s">
        <v>127</v>
      </c>
      <c r="H86" s="1" t="n">
        <v>2</v>
      </c>
      <c r="I86" s="1" t="n">
        <v>0</v>
      </c>
      <c r="J86" s="1" t="n">
        <v>20201</v>
      </c>
      <c r="L86" s="1" t="str">
        <f aca="false">IF(D85&lt;&gt;D86,D86,"")</f>
        <v/>
      </c>
      <c r="M86" s="1" t="str">
        <f aca="false">IF(F85&lt;&gt;F86,F86,"")</f>
        <v/>
      </c>
    </row>
    <row r="87" customFormat="false" ht="15" hidden="false" customHeight="false" outlineLevel="0" collapsed="false">
      <c r="A87" s="3" t="s">
        <v>190</v>
      </c>
      <c r="B87" s="3" t="s">
        <v>191</v>
      </c>
      <c r="C87" s="3" t="s">
        <v>12</v>
      </c>
      <c r="D87" s="3" t="s">
        <v>13</v>
      </c>
      <c r="E87" s="3" t="n">
        <v>20171</v>
      </c>
      <c r="F87" s="3" t="s">
        <v>18</v>
      </c>
      <c r="G87" s="3" t="s">
        <v>15</v>
      </c>
      <c r="H87" s="1" t="n">
        <v>3.5</v>
      </c>
      <c r="I87" s="1" t="n">
        <v>0</v>
      </c>
      <c r="J87" s="1" t="n">
        <v>20201</v>
      </c>
      <c r="L87" s="1" t="str">
        <f aca="false">IF(D86&lt;&gt;D87,D87,"")</f>
        <v/>
      </c>
      <c r="M87" s="1" t="str">
        <f aca="false">IF(F86&lt;&gt;F87,F87,"")</f>
        <v/>
      </c>
    </row>
    <row r="88" customFormat="false" ht="15" hidden="false" customHeight="false" outlineLevel="0" collapsed="false">
      <c r="A88" s="3" t="s">
        <v>192</v>
      </c>
      <c r="B88" s="3" t="s">
        <v>193</v>
      </c>
      <c r="C88" s="3" t="s">
        <v>12</v>
      </c>
      <c r="D88" s="3" t="s">
        <v>13</v>
      </c>
      <c r="E88" s="3" t="n">
        <v>20171</v>
      </c>
      <c r="F88" s="3" t="s">
        <v>18</v>
      </c>
      <c r="G88" s="3" t="s">
        <v>18</v>
      </c>
      <c r="H88" s="1" t="n">
        <v>3</v>
      </c>
      <c r="I88" s="1" t="n">
        <v>0</v>
      </c>
      <c r="J88" s="1" t="n">
        <v>20201</v>
      </c>
      <c r="L88" s="1" t="str">
        <f aca="false">IF(D87&lt;&gt;D88,D88,"")</f>
        <v/>
      </c>
      <c r="M88" s="1" t="str">
        <f aca="false">IF(F87&lt;&gt;F88,F88,"")</f>
        <v/>
      </c>
    </row>
    <row r="89" customFormat="false" ht="15" hidden="false" customHeight="false" outlineLevel="0" collapsed="false">
      <c r="A89" s="3" t="s">
        <v>194</v>
      </c>
      <c r="B89" s="3" t="s">
        <v>195</v>
      </c>
      <c r="C89" s="3" t="s">
        <v>12</v>
      </c>
      <c r="D89" s="3" t="s">
        <v>13</v>
      </c>
      <c r="E89" s="3" t="n">
        <v>20171</v>
      </c>
      <c r="F89" s="3" t="s">
        <v>18</v>
      </c>
      <c r="G89" s="3" t="s">
        <v>101</v>
      </c>
      <c r="H89" s="1" t="n">
        <v>2.5</v>
      </c>
      <c r="I89" s="1" t="n">
        <v>0</v>
      </c>
      <c r="J89" s="1" t="n">
        <v>20201</v>
      </c>
      <c r="L89" s="1" t="str">
        <f aca="false">IF(D88&lt;&gt;D89,D89,"")</f>
        <v/>
      </c>
      <c r="M89" s="1" t="str">
        <f aca="false">IF(F88&lt;&gt;F89,F89,"")</f>
        <v/>
      </c>
    </row>
    <row r="90" customFormat="false" ht="15" hidden="false" customHeight="false" outlineLevel="0" collapsed="false">
      <c r="A90" s="3" t="s">
        <v>196</v>
      </c>
      <c r="B90" s="3" t="s">
        <v>197</v>
      </c>
      <c r="C90" s="3" t="s">
        <v>12</v>
      </c>
      <c r="D90" s="3" t="s">
        <v>13</v>
      </c>
      <c r="E90" s="3" t="n">
        <v>20171</v>
      </c>
      <c r="F90" s="3" t="s">
        <v>18</v>
      </c>
      <c r="G90" s="3" t="s">
        <v>124</v>
      </c>
      <c r="H90" s="1" t="n">
        <v>0</v>
      </c>
      <c r="I90" s="1" t="n">
        <v>0</v>
      </c>
      <c r="J90" s="1" t="n">
        <v>20201</v>
      </c>
      <c r="L90" s="1" t="str">
        <f aca="false">IF(D89&lt;&gt;D90,D90,"")</f>
        <v/>
      </c>
      <c r="M90" s="1" t="str">
        <f aca="false">IF(F89&lt;&gt;F90,F90,"")</f>
        <v/>
      </c>
    </row>
    <row r="91" customFormat="false" ht="15" hidden="false" customHeight="false" outlineLevel="0" collapsed="false">
      <c r="A91" s="3" t="s">
        <v>198</v>
      </c>
      <c r="B91" s="3" t="s">
        <v>199</v>
      </c>
      <c r="C91" s="3" t="s">
        <v>12</v>
      </c>
      <c r="D91" s="3" t="s">
        <v>13</v>
      </c>
      <c r="E91" s="3" t="n">
        <v>20171</v>
      </c>
      <c r="F91" s="3" t="s">
        <v>18</v>
      </c>
      <c r="G91" s="3" t="s">
        <v>124</v>
      </c>
      <c r="H91" s="1" t="n">
        <v>0</v>
      </c>
      <c r="I91" s="1" t="n">
        <v>0</v>
      </c>
      <c r="J91" s="1" t="n">
        <v>20201</v>
      </c>
      <c r="L91" s="1" t="str">
        <f aca="false">IF(D90&lt;&gt;D91,D91,"")</f>
        <v/>
      </c>
      <c r="M91" s="1" t="str">
        <f aca="false">IF(F90&lt;&gt;F91,F91,"")</f>
        <v/>
      </c>
    </row>
    <row r="92" customFormat="false" ht="15" hidden="false" customHeight="false" outlineLevel="0" collapsed="false">
      <c r="A92" s="3" t="s">
        <v>200</v>
      </c>
      <c r="B92" s="3" t="s">
        <v>201</v>
      </c>
      <c r="C92" s="3" t="s">
        <v>12</v>
      </c>
      <c r="D92" s="3" t="s">
        <v>13</v>
      </c>
      <c r="E92" s="3" t="n">
        <v>20171</v>
      </c>
      <c r="F92" s="3" t="s">
        <v>18</v>
      </c>
      <c r="G92" s="3" t="s">
        <v>124</v>
      </c>
      <c r="H92" s="1" t="n">
        <v>0</v>
      </c>
      <c r="I92" s="1" t="n">
        <v>0</v>
      </c>
      <c r="J92" s="1" t="n">
        <v>20201</v>
      </c>
      <c r="L92" s="1" t="str">
        <f aca="false">IF(D91&lt;&gt;D92,D92,"")</f>
        <v/>
      </c>
      <c r="M92" s="1" t="str">
        <f aca="false">IF(F91&lt;&gt;F92,F92,"")</f>
        <v/>
      </c>
    </row>
    <row r="93" customFormat="false" ht="15" hidden="false" customHeight="false" outlineLevel="0" collapsed="false">
      <c r="A93" s="3" t="s">
        <v>202</v>
      </c>
      <c r="B93" s="3" t="s">
        <v>203</v>
      </c>
      <c r="C93" s="3" t="s">
        <v>12</v>
      </c>
      <c r="D93" s="3" t="s">
        <v>13</v>
      </c>
      <c r="E93" s="3" t="n">
        <v>20171</v>
      </c>
      <c r="F93" s="3" t="s">
        <v>14</v>
      </c>
      <c r="G93" s="1" t="s">
        <v>14</v>
      </c>
      <c r="H93" s="1" t="n">
        <v>4</v>
      </c>
      <c r="I93" s="1" t="n">
        <v>0</v>
      </c>
      <c r="J93" s="1" t="n">
        <v>20201</v>
      </c>
      <c r="L93" s="1" t="str">
        <f aca="false">IF(D92&lt;&gt;D93,D93,"")</f>
        <v/>
      </c>
      <c r="M93" s="1" t="str">
        <f aca="false">IF(F92&lt;&gt;F93,F93,"")</f>
        <v>A</v>
      </c>
    </row>
    <row r="94" customFormat="false" ht="15" hidden="false" customHeight="false" outlineLevel="0" collapsed="false">
      <c r="A94" s="3" t="s">
        <v>204</v>
      </c>
      <c r="B94" s="3" t="s">
        <v>205</v>
      </c>
      <c r="C94" s="3" t="s">
        <v>206</v>
      </c>
      <c r="D94" s="3" t="s">
        <v>207</v>
      </c>
      <c r="E94" s="3" t="n">
        <v>20171</v>
      </c>
      <c r="F94" s="3" t="s">
        <v>208</v>
      </c>
      <c r="G94" s="3" t="s">
        <v>15</v>
      </c>
      <c r="H94" s="1" t="n">
        <v>3.5</v>
      </c>
      <c r="I94" s="1" t="n">
        <v>0</v>
      </c>
      <c r="J94" s="1" t="n">
        <v>20201</v>
      </c>
      <c r="L94" s="1" t="str">
        <f aca="false">IF(D93&lt;&gt;D94,D94,"")</f>
        <v>ANALISA SISTEM TENAGA I</v>
      </c>
      <c r="M94" s="1" t="str">
        <f aca="false">IF(F93&lt;&gt;F94,F94,"")</f>
        <v>P</v>
      </c>
    </row>
    <row r="95" customFormat="false" ht="15" hidden="false" customHeight="false" outlineLevel="0" collapsed="false">
      <c r="A95" s="3" t="s">
        <v>209</v>
      </c>
      <c r="B95" s="3" t="s">
        <v>210</v>
      </c>
      <c r="C95" s="3" t="s">
        <v>206</v>
      </c>
      <c r="D95" s="3" t="s">
        <v>207</v>
      </c>
      <c r="E95" s="3" t="n">
        <v>20171</v>
      </c>
      <c r="F95" s="3" t="s">
        <v>208</v>
      </c>
      <c r="G95" s="3" t="s">
        <v>101</v>
      </c>
      <c r="H95" s="1" t="n">
        <v>2.5</v>
      </c>
      <c r="I95" s="1" t="n">
        <v>0</v>
      </c>
      <c r="J95" s="1" t="n">
        <v>20201</v>
      </c>
      <c r="L95" s="1" t="str">
        <f aca="false">IF(D94&lt;&gt;D95,D95,"")</f>
        <v/>
      </c>
      <c r="M95" s="1" t="str">
        <f aca="false">IF(F94&lt;&gt;F95,F95,"")</f>
        <v/>
      </c>
    </row>
    <row r="96" customFormat="false" ht="15" hidden="false" customHeight="false" outlineLevel="0" collapsed="false">
      <c r="A96" s="3" t="s">
        <v>211</v>
      </c>
      <c r="B96" s="3" t="s">
        <v>212</v>
      </c>
      <c r="C96" s="3" t="s">
        <v>206</v>
      </c>
      <c r="D96" s="3" t="s">
        <v>207</v>
      </c>
      <c r="E96" s="3" t="n">
        <v>20171</v>
      </c>
      <c r="F96" s="3" t="s">
        <v>208</v>
      </c>
      <c r="G96" s="3" t="s">
        <v>101</v>
      </c>
      <c r="H96" s="1" t="n">
        <v>2.5</v>
      </c>
      <c r="I96" s="1" t="n">
        <v>0</v>
      </c>
      <c r="J96" s="1" t="n">
        <v>20201</v>
      </c>
      <c r="L96" s="1" t="str">
        <f aca="false">IF(D95&lt;&gt;D96,D96,"")</f>
        <v/>
      </c>
      <c r="M96" s="1" t="str">
        <f aca="false">IF(F95&lt;&gt;F96,F96,"")</f>
        <v/>
      </c>
    </row>
    <row r="97" customFormat="false" ht="15" hidden="false" customHeight="false" outlineLevel="0" collapsed="false">
      <c r="A97" s="3" t="s">
        <v>213</v>
      </c>
      <c r="B97" s="3" t="s">
        <v>214</v>
      </c>
      <c r="C97" s="3" t="s">
        <v>206</v>
      </c>
      <c r="D97" s="3" t="s">
        <v>207</v>
      </c>
      <c r="E97" s="3" t="n">
        <v>20171</v>
      </c>
      <c r="F97" s="3" t="s">
        <v>208</v>
      </c>
      <c r="G97" s="3" t="s">
        <v>101</v>
      </c>
      <c r="H97" s="1" t="n">
        <v>2.5</v>
      </c>
      <c r="I97" s="1" t="n">
        <v>0</v>
      </c>
      <c r="J97" s="1" t="n">
        <v>20201</v>
      </c>
      <c r="L97" s="1" t="str">
        <f aca="false">IF(D96&lt;&gt;D97,D97,"")</f>
        <v/>
      </c>
      <c r="M97" s="1" t="str">
        <f aca="false">IF(F96&lt;&gt;F97,F97,"")</f>
        <v/>
      </c>
    </row>
    <row r="98" customFormat="false" ht="15" hidden="false" customHeight="false" outlineLevel="0" collapsed="false">
      <c r="A98" s="3" t="s">
        <v>215</v>
      </c>
      <c r="B98" s="3" t="s">
        <v>216</v>
      </c>
      <c r="C98" s="3" t="s">
        <v>206</v>
      </c>
      <c r="D98" s="3" t="s">
        <v>207</v>
      </c>
      <c r="E98" s="3" t="n">
        <v>20171</v>
      </c>
      <c r="F98" s="3" t="s">
        <v>208</v>
      </c>
      <c r="G98" s="3" t="s">
        <v>101</v>
      </c>
      <c r="H98" s="1" t="n">
        <v>2.5</v>
      </c>
      <c r="I98" s="1" t="n">
        <v>0</v>
      </c>
      <c r="J98" s="1" t="n">
        <v>20201</v>
      </c>
      <c r="L98" s="1" t="str">
        <f aca="false">IF(D97&lt;&gt;D98,D98,"")</f>
        <v/>
      </c>
      <c r="M98" s="1" t="str">
        <f aca="false">IF(F97&lt;&gt;F98,F98,"")</f>
        <v/>
      </c>
    </row>
    <row r="99" customFormat="false" ht="15" hidden="false" customHeight="false" outlineLevel="0" collapsed="false">
      <c r="A99" s="3" t="s">
        <v>217</v>
      </c>
      <c r="B99" s="3" t="s">
        <v>218</v>
      </c>
      <c r="C99" s="3" t="s">
        <v>206</v>
      </c>
      <c r="D99" s="3" t="s">
        <v>207</v>
      </c>
      <c r="E99" s="3" t="n">
        <v>20171</v>
      </c>
      <c r="F99" s="3" t="s">
        <v>208</v>
      </c>
      <c r="G99" s="3" t="s">
        <v>127</v>
      </c>
      <c r="H99" s="1" t="n">
        <v>2</v>
      </c>
      <c r="I99" s="1" t="n">
        <v>0</v>
      </c>
      <c r="J99" s="1" t="n">
        <v>20201</v>
      </c>
      <c r="L99" s="1" t="str">
        <f aca="false">IF(D98&lt;&gt;D99,D99,"")</f>
        <v/>
      </c>
      <c r="M99" s="1" t="str">
        <f aca="false">IF(F98&lt;&gt;F99,F99,"")</f>
        <v/>
      </c>
    </row>
    <row r="100" customFormat="false" ht="15" hidden="false" customHeight="false" outlineLevel="0" collapsed="false">
      <c r="A100" s="3" t="s">
        <v>219</v>
      </c>
      <c r="B100" s="3" t="s">
        <v>220</v>
      </c>
      <c r="C100" s="3" t="s">
        <v>206</v>
      </c>
      <c r="D100" s="3" t="s">
        <v>207</v>
      </c>
      <c r="E100" s="3" t="n">
        <v>20171</v>
      </c>
      <c r="F100" s="3" t="s">
        <v>208</v>
      </c>
      <c r="G100" s="3" t="s">
        <v>30</v>
      </c>
      <c r="H100" s="1" t="n">
        <v>1.5</v>
      </c>
      <c r="I100" s="1" t="n">
        <v>0</v>
      </c>
      <c r="J100" s="1" t="n">
        <v>20201</v>
      </c>
      <c r="L100" s="1" t="str">
        <f aca="false">IF(D99&lt;&gt;D100,D100,"")</f>
        <v/>
      </c>
      <c r="M100" s="1" t="str">
        <f aca="false">IF(F99&lt;&gt;F100,F100,"")</f>
        <v/>
      </c>
    </row>
    <row r="101" customFormat="false" ht="15" hidden="false" customHeight="false" outlineLevel="0" collapsed="false">
      <c r="A101" s="3" t="s">
        <v>221</v>
      </c>
      <c r="B101" s="3" t="s">
        <v>222</v>
      </c>
      <c r="C101" s="3" t="s">
        <v>206</v>
      </c>
      <c r="D101" s="3" t="s">
        <v>207</v>
      </c>
      <c r="E101" s="3" t="n">
        <v>20171</v>
      </c>
      <c r="F101" s="3" t="s">
        <v>208</v>
      </c>
      <c r="G101" s="3" t="s">
        <v>18</v>
      </c>
      <c r="H101" s="1" t="n">
        <v>3</v>
      </c>
      <c r="I101" s="1" t="n">
        <v>0</v>
      </c>
      <c r="J101" s="1" t="n">
        <v>20201</v>
      </c>
      <c r="L101" s="1" t="str">
        <f aca="false">IF(D100&lt;&gt;D101,D101,"")</f>
        <v/>
      </c>
      <c r="M101" s="1" t="str">
        <f aca="false">IF(F100&lt;&gt;F101,F101,"")</f>
        <v/>
      </c>
    </row>
    <row r="102" customFormat="false" ht="15" hidden="false" customHeight="false" outlineLevel="0" collapsed="false">
      <c r="A102" s="3" t="s">
        <v>223</v>
      </c>
      <c r="B102" s="3" t="s">
        <v>224</v>
      </c>
      <c r="C102" s="3" t="s">
        <v>206</v>
      </c>
      <c r="D102" s="3" t="s">
        <v>207</v>
      </c>
      <c r="E102" s="3" t="n">
        <v>20171</v>
      </c>
      <c r="F102" s="3" t="s">
        <v>208</v>
      </c>
      <c r="G102" s="3" t="s">
        <v>18</v>
      </c>
      <c r="H102" s="1" t="n">
        <v>3</v>
      </c>
      <c r="I102" s="1" t="n">
        <v>0</v>
      </c>
      <c r="J102" s="1" t="n">
        <v>20201</v>
      </c>
      <c r="L102" s="1" t="str">
        <f aca="false">IF(D101&lt;&gt;D102,D102,"")</f>
        <v/>
      </c>
      <c r="M102" s="1" t="str">
        <f aca="false">IF(F101&lt;&gt;F102,F102,"")</f>
        <v/>
      </c>
    </row>
    <row r="103" customFormat="false" ht="15" hidden="false" customHeight="false" outlineLevel="0" collapsed="false">
      <c r="A103" s="3" t="s">
        <v>225</v>
      </c>
      <c r="B103" s="3" t="s">
        <v>226</v>
      </c>
      <c r="C103" s="3" t="s">
        <v>206</v>
      </c>
      <c r="D103" s="3" t="s">
        <v>207</v>
      </c>
      <c r="E103" s="3" t="n">
        <v>20171</v>
      </c>
      <c r="F103" s="3" t="s">
        <v>208</v>
      </c>
      <c r="G103" s="3" t="s">
        <v>23</v>
      </c>
      <c r="H103" s="1" t="n">
        <v>0</v>
      </c>
      <c r="I103" s="1" t="n">
        <v>0</v>
      </c>
      <c r="J103" s="1" t="n">
        <v>20201</v>
      </c>
      <c r="L103" s="1" t="str">
        <f aca="false">IF(D102&lt;&gt;D103,D103,"")</f>
        <v/>
      </c>
      <c r="M103" s="1" t="str">
        <f aca="false">IF(F102&lt;&gt;F103,F103,"")</f>
        <v/>
      </c>
    </row>
    <row r="104" customFormat="false" ht="15" hidden="false" customHeight="false" outlineLevel="0" collapsed="false">
      <c r="A104" s="3" t="s">
        <v>227</v>
      </c>
      <c r="B104" s="3" t="s">
        <v>228</v>
      </c>
      <c r="C104" s="3" t="s">
        <v>206</v>
      </c>
      <c r="D104" s="3" t="s">
        <v>207</v>
      </c>
      <c r="E104" s="3" t="n">
        <v>20171</v>
      </c>
      <c r="F104" s="3" t="s">
        <v>208</v>
      </c>
      <c r="G104" s="3" t="s">
        <v>101</v>
      </c>
      <c r="H104" s="1" t="n">
        <v>2.5</v>
      </c>
      <c r="I104" s="1" t="n">
        <v>0</v>
      </c>
      <c r="J104" s="1" t="n">
        <v>20201</v>
      </c>
      <c r="L104" s="1" t="str">
        <f aca="false">IF(D103&lt;&gt;D104,D104,"")</f>
        <v/>
      </c>
      <c r="M104" s="1" t="str">
        <f aca="false">IF(F103&lt;&gt;F104,F104,"")</f>
        <v/>
      </c>
    </row>
    <row r="105" customFormat="false" ht="15" hidden="false" customHeight="false" outlineLevel="0" collapsed="false">
      <c r="A105" s="3" t="s">
        <v>229</v>
      </c>
      <c r="B105" s="3" t="s">
        <v>230</v>
      </c>
      <c r="C105" s="3" t="s">
        <v>206</v>
      </c>
      <c r="D105" s="3" t="s">
        <v>207</v>
      </c>
      <c r="E105" s="3" t="n">
        <v>20171</v>
      </c>
      <c r="F105" s="3" t="s">
        <v>208</v>
      </c>
      <c r="G105" s="3" t="s">
        <v>18</v>
      </c>
      <c r="H105" s="1" t="n">
        <v>3</v>
      </c>
      <c r="I105" s="1" t="n">
        <v>0</v>
      </c>
      <c r="J105" s="1" t="n">
        <v>20201</v>
      </c>
      <c r="L105" s="1" t="str">
        <f aca="false">IF(D104&lt;&gt;D105,D105,"")</f>
        <v/>
      </c>
      <c r="M105" s="1" t="str">
        <f aca="false">IF(F104&lt;&gt;F105,F105,"")</f>
        <v/>
      </c>
    </row>
    <row r="106" customFormat="false" ht="15" hidden="false" customHeight="false" outlineLevel="0" collapsed="false">
      <c r="A106" s="3" t="s">
        <v>231</v>
      </c>
      <c r="B106" s="3" t="s">
        <v>232</v>
      </c>
      <c r="C106" s="3" t="s">
        <v>206</v>
      </c>
      <c r="D106" s="3" t="s">
        <v>207</v>
      </c>
      <c r="E106" s="3" t="n">
        <v>20171</v>
      </c>
      <c r="F106" s="3" t="s">
        <v>208</v>
      </c>
      <c r="G106" s="3" t="s">
        <v>18</v>
      </c>
      <c r="H106" s="1" t="n">
        <v>3</v>
      </c>
      <c r="I106" s="1" t="n">
        <v>0</v>
      </c>
      <c r="J106" s="1" t="n">
        <v>20201</v>
      </c>
      <c r="L106" s="1" t="str">
        <f aca="false">IF(D105&lt;&gt;D106,D106,"")</f>
        <v/>
      </c>
      <c r="M106" s="1" t="str">
        <f aca="false">IF(F105&lt;&gt;F106,F106,"")</f>
        <v/>
      </c>
    </row>
    <row r="107" customFormat="false" ht="15" hidden="false" customHeight="false" outlineLevel="0" collapsed="false">
      <c r="A107" s="3" t="s">
        <v>233</v>
      </c>
      <c r="B107" s="3" t="s">
        <v>234</v>
      </c>
      <c r="C107" s="3" t="s">
        <v>206</v>
      </c>
      <c r="D107" s="3" t="s">
        <v>207</v>
      </c>
      <c r="E107" s="3" t="n">
        <v>20171</v>
      </c>
      <c r="F107" s="3" t="s">
        <v>208</v>
      </c>
      <c r="G107" s="3" t="s">
        <v>15</v>
      </c>
      <c r="H107" s="1" t="n">
        <v>3.5</v>
      </c>
      <c r="I107" s="1" t="n">
        <v>0</v>
      </c>
      <c r="J107" s="1" t="n">
        <v>20201</v>
      </c>
      <c r="L107" s="1" t="str">
        <f aca="false">IF(D106&lt;&gt;D107,D107,"")</f>
        <v/>
      </c>
      <c r="M107" s="1" t="str">
        <f aca="false">IF(F106&lt;&gt;F107,F107,"")</f>
        <v/>
      </c>
    </row>
    <row r="108" customFormat="false" ht="15" hidden="false" customHeight="false" outlineLevel="0" collapsed="false">
      <c r="A108" s="3" t="s">
        <v>235</v>
      </c>
      <c r="B108" s="3" t="s">
        <v>236</v>
      </c>
      <c r="C108" s="3" t="s">
        <v>206</v>
      </c>
      <c r="D108" s="3" t="s">
        <v>207</v>
      </c>
      <c r="E108" s="3" t="n">
        <v>20171</v>
      </c>
      <c r="F108" s="3" t="s">
        <v>208</v>
      </c>
      <c r="G108" s="3" t="s">
        <v>18</v>
      </c>
      <c r="H108" s="1" t="n">
        <v>3</v>
      </c>
      <c r="I108" s="1" t="n">
        <v>0</v>
      </c>
      <c r="J108" s="1" t="n">
        <v>20201</v>
      </c>
      <c r="L108" s="1" t="str">
        <f aca="false">IF(D107&lt;&gt;D108,D108,"")</f>
        <v/>
      </c>
      <c r="M108" s="1" t="str">
        <f aca="false">IF(F107&lt;&gt;F108,F108,"")</f>
        <v/>
      </c>
    </row>
    <row r="109" customFormat="false" ht="15" hidden="false" customHeight="false" outlineLevel="0" collapsed="false">
      <c r="A109" s="3" t="s">
        <v>237</v>
      </c>
      <c r="B109" s="3" t="s">
        <v>238</v>
      </c>
      <c r="C109" s="3" t="s">
        <v>206</v>
      </c>
      <c r="D109" s="3" t="s">
        <v>207</v>
      </c>
      <c r="E109" s="3" t="n">
        <v>20171</v>
      </c>
      <c r="F109" s="3" t="s">
        <v>208</v>
      </c>
      <c r="G109" s="3" t="s">
        <v>18</v>
      </c>
      <c r="H109" s="1" t="n">
        <v>3</v>
      </c>
      <c r="I109" s="1" t="n">
        <v>0</v>
      </c>
      <c r="J109" s="1" t="n">
        <v>20201</v>
      </c>
      <c r="L109" s="1" t="str">
        <f aca="false">IF(D108&lt;&gt;D109,D109,"")</f>
        <v/>
      </c>
      <c r="M109" s="1" t="str">
        <f aca="false">IF(F108&lt;&gt;F109,F109,"")</f>
        <v/>
      </c>
    </row>
    <row r="110" customFormat="false" ht="15" hidden="false" customHeight="false" outlineLevel="0" collapsed="false">
      <c r="A110" s="3" t="s">
        <v>239</v>
      </c>
      <c r="B110" s="3" t="s">
        <v>240</v>
      </c>
      <c r="C110" s="3" t="s">
        <v>206</v>
      </c>
      <c r="D110" s="3" t="s">
        <v>207</v>
      </c>
      <c r="E110" s="3" t="n">
        <v>20171</v>
      </c>
      <c r="F110" s="3" t="s">
        <v>208</v>
      </c>
      <c r="G110" s="3" t="s">
        <v>23</v>
      </c>
      <c r="H110" s="1" t="n">
        <v>0</v>
      </c>
      <c r="I110" s="1" t="n">
        <v>0</v>
      </c>
      <c r="J110" s="1" t="n">
        <v>20201</v>
      </c>
      <c r="L110" s="1" t="str">
        <f aca="false">IF(D109&lt;&gt;D110,D110,"")</f>
        <v/>
      </c>
      <c r="M110" s="1" t="str">
        <f aca="false">IF(F109&lt;&gt;F110,F110,"")</f>
        <v/>
      </c>
    </row>
    <row r="111" customFormat="false" ht="15" hidden="false" customHeight="false" outlineLevel="0" collapsed="false">
      <c r="A111" s="3" t="s">
        <v>241</v>
      </c>
      <c r="B111" s="3" t="s">
        <v>242</v>
      </c>
      <c r="C111" s="3" t="s">
        <v>206</v>
      </c>
      <c r="D111" s="3" t="s">
        <v>207</v>
      </c>
      <c r="E111" s="3" t="n">
        <v>20171</v>
      </c>
      <c r="F111" s="3" t="s">
        <v>208</v>
      </c>
      <c r="G111" s="3" t="s">
        <v>18</v>
      </c>
      <c r="H111" s="1" t="n">
        <v>3</v>
      </c>
      <c r="I111" s="1" t="n">
        <v>0</v>
      </c>
      <c r="J111" s="1" t="n">
        <v>20201</v>
      </c>
      <c r="L111" s="1" t="str">
        <f aca="false">IF(D110&lt;&gt;D111,D111,"")</f>
        <v/>
      </c>
      <c r="M111" s="1" t="str">
        <f aca="false">IF(F110&lt;&gt;F111,F111,"")</f>
        <v/>
      </c>
    </row>
    <row r="112" customFormat="false" ht="15" hidden="false" customHeight="false" outlineLevel="0" collapsed="false">
      <c r="A112" s="3" t="s">
        <v>243</v>
      </c>
      <c r="B112" s="3" t="s">
        <v>244</v>
      </c>
      <c r="C112" s="3" t="s">
        <v>206</v>
      </c>
      <c r="D112" s="3" t="s">
        <v>207</v>
      </c>
      <c r="E112" s="3" t="n">
        <v>20171</v>
      </c>
      <c r="F112" s="3" t="s">
        <v>208</v>
      </c>
      <c r="G112" s="3" t="s">
        <v>18</v>
      </c>
      <c r="H112" s="1" t="n">
        <v>3</v>
      </c>
      <c r="I112" s="1" t="n">
        <v>0</v>
      </c>
      <c r="J112" s="1" t="n">
        <v>20201</v>
      </c>
      <c r="L112" s="1" t="str">
        <f aca="false">IF(D111&lt;&gt;D112,D112,"")</f>
        <v/>
      </c>
      <c r="M112" s="1" t="str">
        <f aca="false">IF(F111&lt;&gt;F112,F112,"")</f>
        <v/>
      </c>
    </row>
    <row r="113" customFormat="false" ht="15" hidden="false" customHeight="false" outlineLevel="0" collapsed="false">
      <c r="A113" s="3" t="s">
        <v>245</v>
      </c>
      <c r="B113" s="3" t="s">
        <v>246</v>
      </c>
      <c r="C113" s="3" t="s">
        <v>206</v>
      </c>
      <c r="D113" s="3" t="s">
        <v>207</v>
      </c>
      <c r="E113" s="3" t="n">
        <v>20171</v>
      </c>
      <c r="F113" s="3" t="s">
        <v>208</v>
      </c>
      <c r="G113" s="3" t="s">
        <v>18</v>
      </c>
      <c r="H113" s="1" t="n">
        <v>3</v>
      </c>
      <c r="I113" s="1" t="n">
        <v>0</v>
      </c>
      <c r="J113" s="1" t="n">
        <v>20201</v>
      </c>
      <c r="L113" s="1" t="str">
        <f aca="false">IF(D112&lt;&gt;D113,D113,"")</f>
        <v/>
      </c>
      <c r="M113" s="1" t="str">
        <f aca="false">IF(F112&lt;&gt;F113,F113,"")</f>
        <v/>
      </c>
    </row>
    <row r="114" customFormat="false" ht="15" hidden="false" customHeight="false" outlineLevel="0" collapsed="false">
      <c r="A114" s="3" t="s">
        <v>247</v>
      </c>
      <c r="B114" s="3" t="s">
        <v>248</v>
      </c>
      <c r="C114" s="3" t="s">
        <v>206</v>
      </c>
      <c r="D114" s="3" t="s">
        <v>207</v>
      </c>
      <c r="E114" s="3" t="n">
        <v>20171</v>
      </c>
      <c r="F114" s="3" t="s">
        <v>208</v>
      </c>
      <c r="G114" s="3" t="s">
        <v>30</v>
      </c>
      <c r="H114" s="1" t="n">
        <v>1.5</v>
      </c>
      <c r="I114" s="1" t="n">
        <v>0</v>
      </c>
      <c r="J114" s="1" t="n">
        <v>20201</v>
      </c>
      <c r="L114" s="1" t="str">
        <f aca="false">IF(D113&lt;&gt;D114,D114,"")</f>
        <v/>
      </c>
      <c r="M114" s="1" t="str">
        <f aca="false">IF(F113&lt;&gt;F114,F114,"")</f>
        <v/>
      </c>
    </row>
    <row r="115" customFormat="false" ht="15" hidden="false" customHeight="false" outlineLevel="0" collapsed="false">
      <c r="A115" s="3" t="s">
        <v>249</v>
      </c>
      <c r="B115" s="3" t="s">
        <v>250</v>
      </c>
      <c r="C115" s="3" t="s">
        <v>206</v>
      </c>
      <c r="D115" s="3" t="s">
        <v>207</v>
      </c>
      <c r="E115" s="3" t="n">
        <v>20171</v>
      </c>
      <c r="F115" s="3" t="s">
        <v>208</v>
      </c>
      <c r="G115" s="3" t="s">
        <v>18</v>
      </c>
      <c r="H115" s="1" t="n">
        <v>3</v>
      </c>
      <c r="I115" s="1" t="n">
        <v>0</v>
      </c>
      <c r="J115" s="1" t="n">
        <v>20201</v>
      </c>
      <c r="L115" s="1" t="str">
        <f aca="false">IF(D114&lt;&gt;D115,D115,"")</f>
        <v/>
      </c>
      <c r="M115" s="1" t="str">
        <f aca="false">IF(F114&lt;&gt;F115,F115,"")</f>
        <v/>
      </c>
    </row>
    <row r="116" customFormat="false" ht="15" hidden="false" customHeight="false" outlineLevel="0" collapsed="false">
      <c r="A116" s="3" t="s">
        <v>251</v>
      </c>
      <c r="B116" s="3" t="s">
        <v>252</v>
      </c>
      <c r="C116" s="3" t="s">
        <v>206</v>
      </c>
      <c r="D116" s="3" t="s">
        <v>207</v>
      </c>
      <c r="E116" s="3" t="n">
        <v>20171</v>
      </c>
      <c r="F116" s="3" t="s">
        <v>208</v>
      </c>
      <c r="G116" s="3" t="s">
        <v>15</v>
      </c>
      <c r="H116" s="1" t="n">
        <v>3.5</v>
      </c>
      <c r="I116" s="1" t="n">
        <v>0</v>
      </c>
      <c r="J116" s="1" t="n">
        <v>20201</v>
      </c>
      <c r="L116" s="1" t="str">
        <f aca="false">IF(D115&lt;&gt;D116,D116,"")</f>
        <v/>
      </c>
      <c r="M116" s="1" t="str">
        <f aca="false">IF(F115&lt;&gt;F116,F116,"")</f>
        <v/>
      </c>
    </row>
    <row r="117" customFormat="false" ht="15" hidden="false" customHeight="false" outlineLevel="0" collapsed="false">
      <c r="A117" s="3" t="s">
        <v>253</v>
      </c>
      <c r="B117" s="3" t="s">
        <v>254</v>
      </c>
      <c r="C117" s="3" t="s">
        <v>206</v>
      </c>
      <c r="D117" s="3" t="s">
        <v>207</v>
      </c>
      <c r="E117" s="3" t="n">
        <v>20171</v>
      </c>
      <c r="F117" s="3" t="s">
        <v>208</v>
      </c>
      <c r="G117" s="3" t="s">
        <v>15</v>
      </c>
      <c r="H117" s="1" t="n">
        <v>3.5</v>
      </c>
      <c r="I117" s="1" t="n">
        <v>0</v>
      </c>
      <c r="J117" s="1" t="n">
        <v>20201</v>
      </c>
      <c r="L117" s="1" t="str">
        <f aca="false">IF(D116&lt;&gt;D117,D117,"")</f>
        <v/>
      </c>
      <c r="M117" s="1" t="str">
        <f aca="false">IF(F116&lt;&gt;F117,F117,"")</f>
        <v/>
      </c>
    </row>
    <row r="118" customFormat="false" ht="15" hidden="false" customHeight="false" outlineLevel="0" collapsed="false">
      <c r="A118" s="3" t="s">
        <v>255</v>
      </c>
      <c r="B118" s="3" t="s">
        <v>256</v>
      </c>
      <c r="C118" s="3" t="s">
        <v>206</v>
      </c>
      <c r="D118" s="3" t="s">
        <v>207</v>
      </c>
      <c r="E118" s="3" t="n">
        <v>20171</v>
      </c>
      <c r="F118" s="3" t="s">
        <v>208</v>
      </c>
      <c r="G118" s="3" t="s">
        <v>18</v>
      </c>
      <c r="H118" s="1" t="n">
        <v>3</v>
      </c>
      <c r="I118" s="1" t="n">
        <v>0</v>
      </c>
      <c r="J118" s="1" t="n">
        <v>20201</v>
      </c>
      <c r="L118" s="1" t="str">
        <f aca="false">IF(D117&lt;&gt;D118,D118,"")</f>
        <v/>
      </c>
      <c r="M118" s="1" t="str">
        <f aca="false">IF(F117&lt;&gt;F118,F118,"")</f>
        <v/>
      </c>
    </row>
    <row r="119" customFormat="false" ht="15" hidden="false" customHeight="false" outlineLevel="0" collapsed="false">
      <c r="A119" s="3" t="s">
        <v>257</v>
      </c>
      <c r="B119" s="3" t="s">
        <v>258</v>
      </c>
      <c r="C119" s="3" t="s">
        <v>206</v>
      </c>
      <c r="D119" s="3" t="s">
        <v>207</v>
      </c>
      <c r="E119" s="3" t="n">
        <v>20171</v>
      </c>
      <c r="F119" s="3" t="s">
        <v>208</v>
      </c>
      <c r="G119" s="3" t="s">
        <v>18</v>
      </c>
      <c r="H119" s="1" t="n">
        <v>3</v>
      </c>
      <c r="I119" s="1" t="n">
        <v>0</v>
      </c>
      <c r="J119" s="1" t="n">
        <v>20201</v>
      </c>
      <c r="L119" s="1" t="str">
        <f aca="false">IF(D118&lt;&gt;D119,D119,"")</f>
        <v/>
      </c>
      <c r="M119" s="1" t="str">
        <f aca="false">IF(F118&lt;&gt;F119,F119,"")</f>
        <v/>
      </c>
    </row>
    <row r="120" customFormat="false" ht="15" hidden="false" customHeight="false" outlineLevel="0" collapsed="false">
      <c r="A120" s="3" t="s">
        <v>259</v>
      </c>
      <c r="B120" s="3" t="s">
        <v>260</v>
      </c>
      <c r="C120" s="3" t="s">
        <v>261</v>
      </c>
      <c r="D120" s="3" t="s">
        <v>262</v>
      </c>
      <c r="E120" s="3" t="n">
        <v>20171</v>
      </c>
      <c r="F120" s="3" t="s">
        <v>208</v>
      </c>
      <c r="G120" s="3" t="s">
        <v>101</v>
      </c>
      <c r="H120" s="1" t="n">
        <v>2.5</v>
      </c>
      <c r="I120" s="1" t="n">
        <v>0</v>
      </c>
      <c r="J120" s="1" t="n">
        <v>20201</v>
      </c>
      <c r="L120" s="1" t="str">
        <f aca="false">IF(D119&lt;&gt;D120,D120,"")</f>
        <v>ANTENA DAN PROPAGASI</v>
      </c>
      <c r="M120" s="1" t="str">
        <f aca="false">IF(F119&lt;&gt;F120,F120,"")</f>
        <v/>
      </c>
    </row>
    <row r="121" customFormat="false" ht="15" hidden="false" customHeight="false" outlineLevel="0" collapsed="false">
      <c r="A121" s="3" t="s">
        <v>21</v>
      </c>
      <c r="B121" s="3" t="s">
        <v>22</v>
      </c>
      <c r="C121" s="3" t="s">
        <v>261</v>
      </c>
      <c r="D121" s="3" t="s">
        <v>262</v>
      </c>
      <c r="E121" s="3" t="n">
        <v>20171</v>
      </c>
      <c r="F121" s="3" t="s">
        <v>208</v>
      </c>
      <c r="G121" s="3" t="s">
        <v>101</v>
      </c>
      <c r="H121" s="1" t="n">
        <v>2.5</v>
      </c>
      <c r="I121" s="1" t="n">
        <v>0</v>
      </c>
      <c r="J121" s="1" t="n">
        <v>20201</v>
      </c>
      <c r="L121" s="1" t="str">
        <f aca="false">IF(D120&lt;&gt;D121,D121,"")</f>
        <v/>
      </c>
      <c r="M121" s="1" t="str">
        <f aca="false">IF(F120&lt;&gt;F121,F121,"")</f>
        <v/>
      </c>
    </row>
    <row r="122" customFormat="false" ht="15" hidden="false" customHeight="false" outlineLevel="0" collapsed="false">
      <c r="A122" s="3" t="s">
        <v>263</v>
      </c>
      <c r="B122" s="3" t="s">
        <v>264</v>
      </c>
      <c r="C122" s="3" t="s">
        <v>261</v>
      </c>
      <c r="D122" s="3" t="s">
        <v>262</v>
      </c>
      <c r="E122" s="3" t="n">
        <v>20171</v>
      </c>
      <c r="F122" s="3" t="s">
        <v>208</v>
      </c>
      <c r="G122" s="3" t="s">
        <v>127</v>
      </c>
      <c r="H122" s="1" t="n">
        <v>2</v>
      </c>
      <c r="I122" s="1" t="n">
        <v>0</v>
      </c>
      <c r="J122" s="1" t="n">
        <v>20201</v>
      </c>
      <c r="L122" s="1" t="str">
        <f aca="false">IF(D121&lt;&gt;D122,D122,"")</f>
        <v/>
      </c>
      <c r="M122" s="1" t="str">
        <f aca="false">IF(F121&lt;&gt;F122,F122,"")</f>
        <v/>
      </c>
    </row>
    <row r="123" customFormat="false" ht="15" hidden="false" customHeight="false" outlineLevel="0" collapsed="false">
      <c r="A123" s="3" t="s">
        <v>265</v>
      </c>
      <c r="B123" s="3" t="s">
        <v>266</v>
      </c>
      <c r="C123" s="3" t="s">
        <v>261</v>
      </c>
      <c r="D123" s="3" t="s">
        <v>262</v>
      </c>
      <c r="E123" s="3" t="n">
        <v>20171</v>
      </c>
      <c r="F123" s="3" t="s">
        <v>208</v>
      </c>
      <c r="G123" s="3" t="s">
        <v>101</v>
      </c>
      <c r="H123" s="1" t="n">
        <v>2.5</v>
      </c>
      <c r="I123" s="1" t="n">
        <v>0</v>
      </c>
      <c r="J123" s="1" t="n">
        <v>20201</v>
      </c>
      <c r="L123" s="1" t="str">
        <f aca="false">IF(D122&lt;&gt;D123,D123,"")</f>
        <v/>
      </c>
      <c r="M123" s="1" t="str">
        <f aca="false">IF(F122&lt;&gt;F123,F123,"")</f>
        <v/>
      </c>
    </row>
    <row r="124" customFormat="false" ht="15" hidden="false" customHeight="false" outlineLevel="0" collapsed="false">
      <c r="A124" s="3" t="s">
        <v>267</v>
      </c>
      <c r="B124" s="3" t="s">
        <v>268</v>
      </c>
      <c r="C124" s="3" t="s">
        <v>261</v>
      </c>
      <c r="D124" s="3" t="s">
        <v>262</v>
      </c>
      <c r="E124" s="3" t="n">
        <v>20171</v>
      </c>
      <c r="F124" s="3" t="s">
        <v>208</v>
      </c>
      <c r="G124" s="3" t="s">
        <v>18</v>
      </c>
      <c r="H124" s="1" t="n">
        <v>3</v>
      </c>
      <c r="I124" s="1" t="n">
        <v>0</v>
      </c>
      <c r="J124" s="1" t="n">
        <v>20201</v>
      </c>
      <c r="L124" s="1" t="str">
        <f aca="false">IF(D123&lt;&gt;D124,D124,"")</f>
        <v/>
      </c>
      <c r="M124" s="1" t="str">
        <f aca="false">IF(F123&lt;&gt;F124,F124,"")</f>
        <v/>
      </c>
    </row>
    <row r="125" customFormat="false" ht="15" hidden="false" customHeight="false" outlineLevel="0" collapsed="false">
      <c r="A125" s="3" t="s">
        <v>269</v>
      </c>
      <c r="B125" s="3" t="s">
        <v>270</v>
      </c>
      <c r="C125" s="3" t="s">
        <v>261</v>
      </c>
      <c r="D125" s="3" t="s">
        <v>262</v>
      </c>
      <c r="E125" s="3" t="n">
        <v>20171</v>
      </c>
      <c r="F125" s="3" t="s">
        <v>208</v>
      </c>
      <c r="G125" s="3" t="s">
        <v>18</v>
      </c>
      <c r="H125" s="1" t="n">
        <v>3</v>
      </c>
      <c r="I125" s="1" t="n">
        <v>0</v>
      </c>
      <c r="J125" s="1" t="n">
        <v>20201</v>
      </c>
      <c r="L125" s="1" t="str">
        <f aca="false">IF(D124&lt;&gt;D125,D125,"")</f>
        <v/>
      </c>
      <c r="M125" s="1" t="str">
        <f aca="false">IF(F124&lt;&gt;F125,F125,"")</f>
        <v/>
      </c>
    </row>
    <row r="126" customFormat="false" ht="15" hidden="false" customHeight="false" outlineLevel="0" collapsed="false">
      <c r="A126" s="3" t="s">
        <v>271</v>
      </c>
      <c r="B126" s="3" t="s">
        <v>272</v>
      </c>
      <c r="C126" s="3" t="s">
        <v>261</v>
      </c>
      <c r="D126" s="3" t="s">
        <v>262</v>
      </c>
      <c r="E126" s="3" t="n">
        <v>20171</v>
      </c>
      <c r="F126" s="3" t="s">
        <v>208</v>
      </c>
      <c r="G126" s="3" t="s">
        <v>18</v>
      </c>
      <c r="H126" s="1" t="n">
        <v>3</v>
      </c>
      <c r="I126" s="1" t="n">
        <v>0</v>
      </c>
      <c r="J126" s="1" t="n">
        <v>20201</v>
      </c>
      <c r="L126" s="1" t="str">
        <f aca="false">IF(D125&lt;&gt;D126,D126,"")</f>
        <v/>
      </c>
      <c r="M126" s="1" t="str">
        <f aca="false">IF(F125&lt;&gt;F126,F126,"")</f>
        <v/>
      </c>
    </row>
    <row r="127" customFormat="false" ht="15" hidden="false" customHeight="false" outlineLevel="0" collapsed="false">
      <c r="A127" s="3" t="s">
        <v>273</v>
      </c>
      <c r="B127" s="3" t="s">
        <v>274</v>
      </c>
      <c r="C127" s="3" t="s">
        <v>261</v>
      </c>
      <c r="D127" s="3" t="s">
        <v>262</v>
      </c>
      <c r="E127" s="3" t="n">
        <v>20171</v>
      </c>
      <c r="F127" s="3" t="s">
        <v>208</v>
      </c>
      <c r="G127" s="3" t="s">
        <v>101</v>
      </c>
      <c r="H127" s="1" t="n">
        <v>2.5</v>
      </c>
      <c r="I127" s="1" t="n">
        <v>0</v>
      </c>
      <c r="J127" s="1" t="n">
        <v>20201</v>
      </c>
      <c r="L127" s="1" t="str">
        <f aca="false">IF(D126&lt;&gt;D127,D127,"")</f>
        <v/>
      </c>
      <c r="M127" s="1" t="str">
        <f aca="false">IF(F126&lt;&gt;F127,F127,"")</f>
        <v/>
      </c>
    </row>
    <row r="128" customFormat="false" ht="15" hidden="false" customHeight="false" outlineLevel="0" collapsed="false">
      <c r="A128" s="3" t="s">
        <v>275</v>
      </c>
      <c r="B128" s="3" t="s">
        <v>276</v>
      </c>
      <c r="C128" s="3" t="s">
        <v>261</v>
      </c>
      <c r="D128" s="3" t="s">
        <v>262</v>
      </c>
      <c r="E128" s="3" t="n">
        <v>20171</v>
      </c>
      <c r="F128" s="3" t="s">
        <v>208</v>
      </c>
      <c r="G128" s="3" t="s">
        <v>15</v>
      </c>
      <c r="H128" s="1" t="n">
        <v>3.5</v>
      </c>
      <c r="I128" s="1" t="n">
        <v>0</v>
      </c>
      <c r="J128" s="1" t="n">
        <v>20201</v>
      </c>
      <c r="L128" s="1" t="str">
        <f aca="false">IF(D127&lt;&gt;D128,D128,"")</f>
        <v/>
      </c>
      <c r="M128" s="1" t="str">
        <f aca="false">IF(F127&lt;&gt;F128,F128,"")</f>
        <v/>
      </c>
    </row>
    <row r="129" customFormat="false" ht="15" hidden="false" customHeight="false" outlineLevel="0" collapsed="false">
      <c r="A129" s="3" t="s">
        <v>277</v>
      </c>
      <c r="B129" s="3" t="s">
        <v>278</v>
      </c>
      <c r="C129" s="3" t="s">
        <v>261</v>
      </c>
      <c r="D129" s="3" t="s">
        <v>262</v>
      </c>
      <c r="E129" s="3" t="n">
        <v>20171</v>
      </c>
      <c r="F129" s="3" t="s">
        <v>208</v>
      </c>
      <c r="G129" s="3" t="s">
        <v>101</v>
      </c>
      <c r="H129" s="1" t="n">
        <v>2.5</v>
      </c>
      <c r="I129" s="1" t="n">
        <v>0</v>
      </c>
      <c r="J129" s="1" t="n">
        <v>20201</v>
      </c>
      <c r="L129" s="1" t="str">
        <f aca="false">IF(D128&lt;&gt;D129,D129,"")</f>
        <v/>
      </c>
      <c r="M129" s="1" t="str">
        <f aca="false">IF(F128&lt;&gt;F129,F129,"")</f>
        <v/>
      </c>
    </row>
    <row r="130" customFormat="false" ht="15" hidden="false" customHeight="false" outlineLevel="0" collapsed="false">
      <c r="A130" s="3" t="s">
        <v>279</v>
      </c>
      <c r="B130" s="3" t="s">
        <v>280</v>
      </c>
      <c r="C130" s="3" t="s">
        <v>261</v>
      </c>
      <c r="D130" s="3" t="s">
        <v>262</v>
      </c>
      <c r="E130" s="3" t="n">
        <v>20171</v>
      </c>
      <c r="F130" s="3" t="s">
        <v>208</v>
      </c>
      <c r="G130" s="3" t="s">
        <v>14</v>
      </c>
      <c r="H130" s="1" t="n">
        <v>4</v>
      </c>
      <c r="I130" s="1" t="n">
        <v>0</v>
      </c>
      <c r="J130" s="1" t="n">
        <v>20201</v>
      </c>
      <c r="L130" s="1" t="str">
        <f aca="false">IF(D129&lt;&gt;D130,D130,"")</f>
        <v/>
      </c>
      <c r="M130" s="1" t="str">
        <f aca="false">IF(F129&lt;&gt;F130,F130,"")</f>
        <v/>
      </c>
    </row>
    <row r="131" customFormat="false" ht="15" hidden="false" customHeight="false" outlineLevel="0" collapsed="false">
      <c r="A131" s="3" t="s">
        <v>281</v>
      </c>
      <c r="B131" s="3" t="s">
        <v>282</v>
      </c>
      <c r="C131" s="3" t="s">
        <v>261</v>
      </c>
      <c r="D131" s="3" t="s">
        <v>262</v>
      </c>
      <c r="E131" s="3" t="n">
        <v>20171</v>
      </c>
      <c r="F131" s="3" t="s">
        <v>208</v>
      </c>
      <c r="G131" s="3" t="s">
        <v>14</v>
      </c>
      <c r="H131" s="1" t="n">
        <v>4</v>
      </c>
      <c r="I131" s="1" t="n">
        <v>0</v>
      </c>
      <c r="J131" s="1" t="n">
        <v>20201</v>
      </c>
      <c r="L131" s="1" t="str">
        <f aca="false">IF(D130&lt;&gt;D131,D131,"")</f>
        <v/>
      </c>
      <c r="M131" s="1" t="str">
        <f aca="false">IF(F130&lt;&gt;F131,F131,"")</f>
        <v/>
      </c>
    </row>
    <row r="132" customFormat="false" ht="15" hidden="false" customHeight="false" outlineLevel="0" collapsed="false">
      <c r="A132" s="3" t="s">
        <v>283</v>
      </c>
      <c r="B132" s="3" t="s">
        <v>284</v>
      </c>
      <c r="C132" s="3" t="s">
        <v>261</v>
      </c>
      <c r="D132" s="3" t="s">
        <v>262</v>
      </c>
      <c r="E132" s="3" t="n">
        <v>20171</v>
      </c>
      <c r="F132" s="3" t="s">
        <v>208</v>
      </c>
      <c r="G132" s="3" t="s">
        <v>101</v>
      </c>
      <c r="H132" s="1" t="n">
        <v>2.5</v>
      </c>
      <c r="I132" s="1" t="n">
        <v>0</v>
      </c>
      <c r="J132" s="1" t="n">
        <v>20201</v>
      </c>
      <c r="L132" s="1" t="str">
        <f aca="false">IF(D131&lt;&gt;D132,D132,"")</f>
        <v/>
      </c>
      <c r="M132" s="1" t="str">
        <f aca="false">IF(F131&lt;&gt;F132,F132,"")</f>
        <v/>
      </c>
    </row>
    <row r="133" customFormat="false" ht="15" hidden="false" customHeight="false" outlineLevel="0" collapsed="false">
      <c r="A133" s="3" t="s">
        <v>285</v>
      </c>
      <c r="B133" s="3" t="s">
        <v>286</v>
      </c>
      <c r="C133" s="3" t="s">
        <v>261</v>
      </c>
      <c r="D133" s="3" t="s">
        <v>262</v>
      </c>
      <c r="E133" s="3" t="n">
        <v>20171</v>
      </c>
      <c r="F133" s="3" t="s">
        <v>208</v>
      </c>
      <c r="G133" s="3" t="s">
        <v>127</v>
      </c>
      <c r="H133" s="1" t="n">
        <v>2</v>
      </c>
      <c r="I133" s="1" t="n">
        <v>0</v>
      </c>
      <c r="J133" s="1" t="n">
        <v>20201</v>
      </c>
      <c r="L133" s="1" t="str">
        <f aca="false">IF(D132&lt;&gt;D133,D133,"")</f>
        <v/>
      </c>
      <c r="M133" s="1" t="str">
        <f aca="false">IF(F132&lt;&gt;F133,F133,"")</f>
        <v/>
      </c>
    </row>
    <row r="134" customFormat="false" ht="15" hidden="false" customHeight="false" outlineLevel="0" collapsed="false">
      <c r="A134" s="3" t="s">
        <v>287</v>
      </c>
      <c r="B134" s="3" t="s">
        <v>288</v>
      </c>
      <c r="C134" s="3" t="s">
        <v>261</v>
      </c>
      <c r="D134" s="3" t="s">
        <v>262</v>
      </c>
      <c r="E134" s="3" t="n">
        <v>20171</v>
      </c>
      <c r="F134" s="3" t="s">
        <v>208</v>
      </c>
      <c r="G134" s="3" t="s">
        <v>14</v>
      </c>
      <c r="H134" s="1" t="n">
        <v>4</v>
      </c>
      <c r="I134" s="1" t="n">
        <v>0</v>
      </c>
      <c r="J134" s="1" t="n">
        <v>20201</v>
      </c>
      <c r="L134" s="1" t="str">
        <f aca="false">IF(D133&lt;&gt;D134,D134,"")</f>
        <v/>
      </c>
      <c r="M134" s="1" t="str">
        <f aca="false">IF(F133&lt;&gt;F134,F134,"")</f>
        <v/>
      </c>
    </row>
    <row r="135" customFormat="false" ht="15" hidden="false" customHeight="false" outlineLevel="0" collapsed="false">
      <c r="A135" s="3" t="s">
        <v>289</v>
      </c>
      <c r="B135" s="3" t="s">
        <v>290</v>
      </c>
      <c r="C135" s="3" t="s">
        <v>261</v>
      </c>
      <c r="D135" s="3" t="s">
        <v>262</v>
      </c>
      <c r="E135" s="3" t="n">
        <v>20171</v>
      </c>
      <c r="F135" s="3" t="s">
        <v>208</v>
      </c>
      <c r="G135" s="3" t="s">
        <v>18</v>
      </c>
      <c r="H135" s="1" t="n">
        <v>3</v>
      </c>
      <c r="I135" s="1" t="n">
        <v>0</v>
      </c>
      <c r="J135" s="1" t="n">
        <v>20201</v>
      </c>
      <c r="L135" s="1" t="str">
        <f aca="false">IF(D134&lt;&gt;D135,D135,"")</f>
        <v/>
      </c>
      <c r="M135" s="1" t="str">
        <f aca="false">IF(F134&lt;&gt;F135,F135,"")</f>
        <v/>
      </c>
    </row>
    <row r="136" customFormat="false" ht="15" hidden="false" customHeight="false" outlineLevel="0" collapsed="false">
      <c r="A136" s="3" t="s">
        <v>291</v>
      </c>
      <c r="B136" s="3" t="s">
        <v>292</v>
      </c>
      <c r="C136" s="3" t="s">
        <v>261</v>
      </c>
      <c r="D136" s="3" t="s">
        <v>262</v>
      </c>
      <c r="E136" s="3" t="n">
        <v>20171</v>
      </c>
      <c r="F136" s="3" t="s">
        <v>208</v>
      </c>
      <c r="G136" s="3" t="s">
        <v>18</v>
      </c>
      <c r="H136" s="1" t="n">
        <v>3</v>
      </c>
      <c r="I136" s="1" t="n">
        <v>0</v>
      </c>
      <c r="J136" s="1" t="n">
        <v>20201</v>
      </c>
      <c r="L136" s="1" t="str">
        <f aca="false">IF(D135&lt;&gt;D136,D136,"")</f>
        <v/>
      </c>
      <c r="M136" s="1" t="str">
        <f aca="false">IF(F135&lt;&gt;F136,F136,"")</f>
        <v/>
      </c>
    </row>
    <row r="137" customFormat="false" ht="15" hidden="false" customHeight="false" outlineLevel="0" collapsed="false">
      <c r="A137" s="3" t="s">
        <v>293</v>
      </c>
      <c r="B137" s="3" t="s">
        <v>294</v>
      </c>
      <c r="C137" s="3" t="s">
        <v>261</v>
      </c>
      <c r="D137" s="3" t="s">
        <v>262</v>
      </c>
      <c r="E137" s="3" t="n">
        <v>20171</v>
      </c>
      <c r="F137" s="3" t="s">
        <v>208</v>
      </c>
      <c r="G137" s="3" t="s">
        <v>18</v>
      </c>
      <c r="H137" s="1" t="n">
        <v>3</v>
      </c>
      <c r="I137" s="1" t="n">
        <v>0</v>
      </c>
      <c r="J137" s="1" t="n">
        <v>20201</v>
      </c>
      <c r="L137" s="1" t="str">
        <f aca="false">IF(D136&lt;&gt;D137,D137,"")</f>
        <v/>
      </c>
      <c r="M137" s="1" t="str">
        <f aca="false">IF(F136&lt;&gt;F137,F137,"")</f>
        <v/>
      </c>
    </row>
    <row r="138" customFormat="false" ht="15" hidden="false" customHeight="false" outlineLevel="0" collapsed="false">
      <c r="A138" s="3" t="s">
        <v>295</v>
      </c>
      <c r="B138" s="3" t="s">
        <v>296</v>
      </c>
      <c r="C138" s="3" t="s">
        <v>261</v>
      </c>
      <c r="D138" s="3" t="s">
        <v>262</v>
      </c>
      <c r="E138" s="3" t="n">
        <v>20171</v>
      </c>
      <c r="F138" s="3" t="s">
        <v>208</v>
      </c>
      <c r="G138" s="3" t="s">
        <v>101</v>
      </c>
      <c r="H138" s="1" t="n">
        <v>2.5</v>
      </c>
      <c r="I138" s="1" t="n">
        <v>0</v>
      </c>
      <c r="J138" s="1" t="n">
        <v>20201</v>
      </c>
      <c r="L138" s="1" t="str">
        <f aca="false">IF(D137&lt;&gt;D138,D138,"")</f>
        <v/>
      </c>
      <c r="M138" s="1" t="str">
        <f aca="false">IF(F137&lt;&gt;F138,F138,"")</f>
        <v/>
      </c>
    </row>
    <row r="139" customFormat="false" ht="15" hidden="false" customHeight="false" outlineLevel="0" collapsed="false">
      <c r="A139" s="3" t="s">
        <v>297</v>
      </c>
      <c r="B139" s="3" t="s">
        <v>298</v>
      </c>
      <c r="C139" s="3" t="s">
        <v>261</v>
      </c>
      <c r="D139" s="3" t="s">
        <v>262</v>
      </c>
      <c r="E139" s="3" t="n">
        <v>20171</v>
      </c>
      <c r="F139" s="3" t="s">
        <v>208</v>
      </c>
      <c r="G139" s="3" t="s">
        <v>14</v>
      </c>
      <c r="H139" s="1" t="n">
        <v>4</v>
      </c>
      <c r="I139" s="1" t="n">
        <v>0</v>
      </c>
      <c r="J139" s="1" t="n">
        <v>20201</v>
      </c>
      <c r="L139" s="1" t="str">
        <f aca="false">IF(D138&lt;&gt;D139,D139,"")</f>
        <v/>
      </c>
      <c r="M139" s="1" t="str">
        <f aca="false">IF(F138&lt;&gt;F139,F139,"")</f>
        <v/>
      </c>
    </row>
    <row r="140" customFormat="false" ht="15" hidden="false" customHeight="false" outlineLevel="0" collapsed="false">
      <c r="A140" s="1" t="s">
        <v>299</v>
      </c>
      <c r="B140" s="1" t="s">
        <v>300</v>
      </c>
      <c r="C140" s="1" t="s">
        <v>301</v>
      </c>
      <c r="D140" s="1" t="s">
        <v>302</v>
      </c>
      <c r="E140" s="1" t="n">
        <v>20171</v>
      </c>
      <c r="F140" s="1" t="s">
        <v>303</v>
      </c>
      <c r="G140" s="1" t="s">
        <v>124</v>
      </c>
      <c r="H140" s="1" t="n">
        <v>0</v>
      </c>
      <c r="I140" s="1" t="n">
        <v>0</v>
      </c>
      <c r="J140" s="1" t="n">
        <v>20201</v>
      </c>
      <c r="L140" s="1" t="str">
        <f aca="false">IF(D139&lt;&gt;D140,D140,"")</f>
        <v>BAHASA INDONESIA</v>
      </c>
      <c r="M140" s="1" t="str">
        <f aca="false">IF(F139&lt;&gt;F140,F140,"")</f>
        <v>TPB</v>
      </c>
    </row>
    <row r="141" customFormat="false" ht="15" hidden="false" customHeight="false" outlineLevel="0" collapsed="false">
      <c r="A141" s="1" t="s">
        <v>304</v>
      </c>
      <c r="B141" s="1" t="s">
        <v>305</v>
      </c>
      <c r="C141" s="1" t="s">
        <v>301</v>
      </c>
      <c r="D141" s="1" t="s">
        <v>302</v>
      </c>
      <c r="E141" s="1" t="n">
        <v>20171</v>
      </c>
      <c r="F141" s="1" t="s">
        <v>303</v>
      </c>
      <c r="G141" s="1" t="s">
        <v>101</v>
      </c>
      <c r="H141" s="1" t="n">
        <v>2.5</v>
      </c>
      <c r="I141" s="1" t="n">
        <v>0</v>
      </c>
      <c r="J141" s="1" t="n">
        <v>20201</v>
      </c>
      <c r="L141" s="1" t="str">
        <f aca="false">IF(D140&lt;&gt;D141,D141,"")</f>
        <v/>
      </c>
      <c r="M141" s="1" t="str">
        <f aca="false">IF(F140&lt;&gt;F141,F141,"")</f>
        <v/>
      </c>
    </row>
    <row r="142" customFormat="false" ht="15" hidden="false" customHeight="false" outlineLevel="0" collapsed="false">
      <c r="A142" s="1" t="s">
        <v>306</v>
      </c>
      <c r="B142" s="1" t="s">
        <v>307</v>
      </c>
      <c r="C142" s="1" t="s">
        <v>301</v>
      </c>
      <c r="D142" s="1" t="s">
        <v>302</v>
      </c>
      <c r="E142" s="1" t="n">
        <v>20171</v>
      </c>
      <c r="F142" s="1" t="s">
        <v>303</v>
      </c>
      <c r="G142" s="1" t="s">
        <v>124</v>
      </c>
      <c r="H142" s="1" t="n">
        <v>0</v>
      </c>
      <c r="I142" s="1" t="n">
        <v>0</v>
      </c>
      <c r="J142" s="1" t="n">
        <v>20201</v>
      </c>
      <c r="L142" s="1" t="str">
        <f aca="false">IF(D141&lt;&gt;D142,D142,"")</f>
        <v/>
      </c>
      <c r="M142" s="1" t="str">
        <f aca="false">IF(F141&lt;&gt;F142,F142,"")</f>
        <v/>
      </c>
    </row>
    <row r="143" customFormat="false" ht="15" hidden="false" customHeight="false" outlineLevel="0" collapsed="false">
      <c r="A143" s="1" t="s">
        <v>308</v>
      </c>
      <c r="B143" s="1" t="s">
        <v>309</v>
      </c>
      <c r="C143" s="1" t="s">
        <v>301</v>
      </c>
      <c r="D143" s="1" t="s">
        <v>302</v>
      </c>
      <c r="E143" s="1" t="n">
        <v>20171</v>
      </c>
      <c r="F143" s="1" t="s">
        <v>303</v>
      </c>
      <c r="G143" s="1" t="s">
        <v>124</v>
      </c>
      <c r="H143" s="1" t="n">
        <v>0</v>
      </c>
      <c r="I143" s="1" t="n">
        <v>0</v>
      </c>
      <c r="J143" s="1" t="n">
        <v>20201</v>
      </c>
      <c r="L143" s="1" t="str">
        <f aca="false">IF(D142&lt;&gt;D143,D143,"")</f>
        <v/>
      </c>
      <c r="M143" s="1" t="str">
        <f aca="false">IF(F142&lt;&gt;F143,F143,"")</f>
        <v/>
      </c>
    </row>
    <row r="144" customFormat="false" ht="15" hidden="false" customHeight="false" outlineLevel="0" collapsed="false">
      <c r="A144" s="1" t="s">
        <v>110</v>
      </c>
      <c r="B144" s="1" t="s">
        <v>111</v>
      </c>
      <c r="C144" s="1" t="s">
        <v>301</v>
      </c>
      <c r="D144" s="1" t="s">
        <v>302</v>
      </c>
      <c r="E144" s="1" t="n">
        <v>20171</v>
      </c>
      <c r="F144" s="1" t="s">
        <v>303</v>
      </c>
      <c r="G144" s="1" t="s">
        <v>18</v>
      </c>
      <c r="H144" s="1" t="n">
        <v>3</v>
      </c>
      <c r="I144" s="1" t="n">
        <v>0</v>
      </c>
      <c r="J144" s="1" t="n">
        <v>20201</v>
      </c>
      <c r="L144" s="1" t="str">
        <f aca="false">IF(D143&lt;&gt;D144,D144,"")</f>
        <v/>
      </c>
      <c r="M144" s="1" t="str">
        <f aca="false">IF(F143&lt;&gt;F144,F144,"")</f>
        <v/>
      </c>
    </row>
    <row r="145" customFormat="false" ht="15" hidden="false" customHeight="false" outlineLevel="0" collapsed="false">
      <c r="A145" s="1" t="s">
        <v>310</v>
      </c>
      <c r="B145" s="1" t="s">
        <v>311</v>
      </c>
      <c r="C145" s="1" t="s">
        <v>301</v>
      </c>
      <c r="D145" s="1" t="s">
        <v>302</v>
      </c>
      <c r="E145" s="1" t="n">
        <v>20171</v>
      </c>
      <c r="F145" s="1" t="s">
        <v>303</v>
      </c>
      <c r="G145" s="1" t="s">
        <v>124</v>
      </c>
      <c r="H145" s="1" t="n">
        <v>0</v>
      </c>
      <c r="I145" s="1" t="n">
        <v>0</v>
      </c>
      <c r="J145" s="1" t="n">
        <v>20201</v>
      </c>
      <c r="L145" s="1" t="str">
        <f aca="false">IF(D144&lt;&gt;D145,D145,"")</f>
        <v/>
      </c>
      <c r="M145" s="1" t="str">
        <f aca="false">IF(F144&lt;&gt;F145,F145,"")</f>
        <v/>
      </c>
    </row>
    <row r="146" customFormat="false" ht="15" hidden="false" customHeight="false" outlineLevel="0" collapsed="false">
      <c r="A146" s="1" t="s">
        <v>312</v>
      </c>
      <c r="B146" s="1" t="s">
        <v>313</v>
      </c>
      <c r="C146" s="1" t="s">
        <v>301</v>
      </c>
      <c r="D146" s="1" t="s">
        <v>302</v>
      </c>
      <c r="E146" s="1" t="n">
        <v>20171</v>
      </c>
      <c r="F146" s="1" t="s">
        <v>303</v>
      </c>
      <c r="G146" s="1" t="s">
        <v>18</v>
      </c>
      <c r="H146" s="1" t="n">
        <v>3</v>
      </c>
      <c r="I146" s="1" t="n">
        <v>0</v>
      </c>
      <c r="J146" s="1" t="n">
        <v>20201</v>
      </c>
      <c r="L146" s="1" t="str">
        <f aca="false">IF(D145&lt;&gt;D146,D146,"")</f>
        <v/>
      </c>
      <c r="M146" s="1" t="str">
        <f aca="false">IF(F145&lt;&gt;F146,F146,"")</f>
        <v/>
      </c>
    </row>
    <row r="147" customFormat="false" ht="15" hidden="false" customHeight="false" outlineLevel="0" collapsed="false">
      <c r="A147" s="1" t="s">
        <v>314</v>
      </c>
      <c r="B147" s="1" t="s">
        <v>315</v>
      </c>
      <c r="C147" s="1" t="s">
        <v>301</v>
      </c>
      <c r="D147" s="1" t="s">
        <v>302</v>
      </c>
      <c r="E147" s="1" t="n">
        <v>20171</v>
      </c>
      <c r="F147" s="1" t="s">
        <v>303</v>
      </c>
      <c r="G147" s="1" t="s">
        <v>15</v>
      </c>
      <c r="H147" s="1" t="n">
        <v>3.5</v>
      </c>
      <c r="I147" s="1" t="n">
        <v>0</v>
      </c>
      <c r="J147" s="1" t="n">
        <v>20201</v>
      </c>
      <c r="L147" s="1" t="str">
        <f aca="false">IF(D146&lt;&gt;D147,D147,"")</f>
        <v/>
      </c>
      <c r="M147" s="1" t="str">
        <f aca="false">IF(F146&lt;&gt;F147,F147,"")</f>
        <v/>
      </c>
    </row>
    <row r="148" customFormat="false" ht="15" hidden="false" customHeight="false" outlineLevel="0" collapsed="false">
      <c r="A148" s="1" t="s">
        <v>316</v>
      </c>
      <c r="B148" s="1" t="s">
        <v>317</v>
      </c>
      <c r="C148" s="1" t="s">
        <v>301</v>
      </c>
      <c r="D148" s="1" t="s">
        <v>302</v>
      </c>
      <c r="E148" s="1" t="n">
        <v>20171</v>
      </c>
      <c r="F148" s="1" t="s">
        <v>303</v>
      </c>
      <c r="G148" s="1" t="s">
        <v>15</v>
      </c>
      <c r="H148" s="1" t="n">
        <v>3.5</v>
      </c>
      <c r="I148" s="1" t="n">
        <v>0</v>
      </c>
      <c r="J148" s="1" t="n">
        <v>20201</v>
      </c>
      <c r="L148" s="1" t="str">
        <f aca="false">IF(D147&lt;&gt;D148,D148,"")</f>
        <v/>
      </c>
      <c r="M148" s="1" t="str">
        <f aca="false">IF(F147&lt;&gt;F148,F148,"")</f>
        <v/>
      </c>
    </row>
    <row r="149" customFormat="false" ht="15" hidden="false" customHeight="false" outlineLevel="0" collapsed="false">
      <c r="A149" s="1" t="s">
        <v>318</v>
      </c>
      <c r="B149" s="1" t="s">
        <v>319</v>
      </c>
      <c r="C149" s="1" t="s">
        <v>301</v>
      </c>
      <c r="D149" s="1" t="s">
        <v>302</v>
      </c>
      <c r="E149" s="1" t="n">
        <v>20171</v>
      </c>
      <c r="F149" s="1" t="s">
        <v>303</v>
      </c>
      <c r="G149" s="1" t="s">
        <v>18</v>
      </c>
      <c r="H149" s="1" t="n">
        <v>3</v>
      </c>
      <c r="I149" s="1" t="n">
        <v>0</v>
      </c>
      <c r="J149" s="1" t="n">
        <v>20201</v>
      </c>
      <c r="L149" s="1" t="str">
        <f aca="false">IF(D148&lt;&gt;D149,D149,"")</f>
        <v/>
      </c>
      <c r="M149" s="1" t="str">
        <f aca="false">IF(F148&lt;&gt;F149,F149,"")</f>
        <v/>
      </c>
    </row>
    <row r="150" customFormat="false" ht="15" hidden="false" customHeight="false" outlineLevel="0" collapsed="false">
      <c r="A150" s="1" t="s">
        <v>320</v>
      </c>
      <c r="B150" s="1" t="s">
        <v>321</v>
      </c>
      <c r="C150" s="1" t="s">
        <v>301</v>
      </c>
      <c r="D150" s="1" t="s">
        <v>302</v>
      </c>
      <c r="E150" s="1" t="n">
        <v>20171</v>
      </c>
      <c r="F150" s="1" t="s">
        <v>303</v>
      </c>
      <c r="G150" s="1" t="s">
        <v>101</v>
      </c>
      <c r="H150" s="1" t="n">
        <v>2.5</v>
      </c>
      <c r="I150" s="1" t="n">
        <v>0</v>
      </c>
      <c r="J150" s="1" t="n">
        <v>20201</v>
      </c>
      <c r="L150" s="1" t="str">
        <f aca="false">IF(D149&lt;&gt;D150,D150,"")</f>
        <v/>
      </c>
      <c r="M150" s="1" t="str">
        <f aca="false">IF(F149&lt;&gt;F150,F150,"")</f>
        <v/>
      </c>
    </row>
    <row r="151" customFormat="false" ht="15" hidden="false" customHeight="false" outlineLevel="0" collapsed="false">
      <c r="A151" s="1" t="s">
        <v>322</v>
      </c>
      <c r="B151" s="1" t="s">
        <v>323</v>
      </c>
      <c r="C151" s="1" t="s">
        <v>301</v>
      </c>
      <c r="D151" s="1" t="s">
        <v>302</v>
      </c>
      <c r="E151" s="1" t="n">
        <v>20171</v>
      </c>
      <c r="F151" s="1" t="s">
        <v>303</v>
      </c>
      <c r="G151" s="1" t="s">
        <v>18</v>
      </c>
      <c r="H151" s="1" t="n">
        <v>3</v>
      </c>
      <c r="I151" s="1" t="n">
        <v>0</v>
      </c>
      <c r="J151" s="1" t="n">
        <v>20201</v>
      </c>
      <c r="L151" s="1" t="str">
        <f aca="false">IF(D150&lt;&gt;D151,D151,"")</f>
        <v/>
      </c>
      <c r="M151" s="1" t="str">
        <f aca="false">IF(F150&lt;&gt;F151,F151,"")</f>
        <v/>
      </c>
    </row>
    <row r="152" customFormat="false" ht="15" hidden="false" customHeight="false" outlineLevel="0" collapsed="false">
      <c r="A152" s="1" t="s">
        <v>324</v>
      </c>
      <c r="B152" s="1" t="s">
        <v>325</v>
      </c>
      <c r="C152" s="1" t="s">
        <v>301</v>
      </c>
      <c r="D152" s="1" t="s">
        <v>302</v>
      </c>
      <c r="E152" s="1" t="n">
        <v>20171</v>
      </c>
      <c r="F152" s="1" t="s">
        <v>303</v>
      </c>
      <c r="G152" s="1" t="s">
        <v>15</v>
      </c>
      <c r="H152" s="1" t="n">
        <v>3.5</v>
      </c>
      <c r="I152" s="1" t="n">
        <v>0</v>
      </c>
      <c r="J152" s="1" t="n">
        <v>20201</v>
      </c>
      <c r="L152" s="1" t="str">
        <f aca="false">IF(D151&lt;&gt;D152,D152,"")</f>
        <v/>
      </c>
      <c r="M152" s="1" t="str">
        <f aca="false">IF(F151&lt;&gt;F152,F152,"")</f>
        <v/>
      </c>
    </row>
    <row r="153" customFormat="false" ht="15" hidden="false" customHeight="false" outlineLevel="0" collapsed="false">
      <c r="A153" s="1" t="s">
        <v>326</v>
      </c>
      <c r="B153" s="1" t="s">
        <v>327</v>
      </c>
      <c r="C153" s="1" t="s">
        <v>301</v>
      </c>
      <c r="D153" s="1" t="s">
        <v>302</v>
      </c>
      <c r="E153" s="1" t="n">
        <v>20171</v>
      </c>
      <c r="F153" s="1" t="s">
        <v>303</v>
      </c>
      <c r="G153" s="1" t="s">
        <v>101</v>
      </c>
      <c r="H153" s="1" t="n">
        <v>2.5</v>
      </c>
      <c r="I153" s="1" t="n">
        <v>0</v>
      </c>
      <c r="J153" s="1" t="n">
        <v>20201</v>
      </c>
      <c r="L153" s="1" t="str">
        <f aca="false">IF(D152&lt;&gt;D153,D153,"")</f>
        <v/>
      </c>
      <c r="M153" s="1" t="str">
        <f aca="false">IF(F152&lt;&gt;F153,F153,"")</f>
        <v/>
      </c>
    </row>
    <row r="154" customFormat="false" ht="15" hidden="false" customHeight="false" outlineLevel="0" collapsed="false">
      <c r="A154" s="1" t="s">
        <v>328</v>
      </c>
      <c r="B154" s="1" t="s">
        <v>329</v>
      </c>
      <c r="C154" s="1" t="s">
        <v>301</v>
      </c>
      <c r="D154" s="1" t="s">
        <v>302</v>
      </c>
      <c r="E154" s="1" t="n">
        <v>20171</v>
      </c>
      <c r="F154" s="1" t="s">
        <v>303</v>
      </c>
      <c r="G154" s="1" t="s">
        <v>15</v>
      </c>
      <c r="H154" s="1" t="n">
        <v>3.5</v>
      </c>
      <c r="I154" s="1" t="n">
        <v>0</v>
      </c>
      <c r="J154" s="1" t="n">
        <v>20201</v>
      </c>
      <c r="L154" s="1" t="str">
        <f aca="false">IF(D153&lt;&gt;D154,D154,"")</f>
        <v/>
      </c>
      <c r="M154" s="1" t="str">
        <f aca="false">IF(F153&lt;&gt;F154,F154,"")</f>
        <v/>
      </c>
    </row>
    <row r="155" customFormat="false" ht="15" hidden="false" customHeight="false" outlineLevel="0" collapsed="false">
      <c r="A155" s="1" t="s">
        <v>330</v>
      </c>
      <c r="B155" s="1" t="s">
        <v>331</v>
      </c>
      <c r="C155" s="1" t="s">
        <v>301</v>
      </c>
      <c r="D155" s="1" t="s">
        <v>302</v>
      </c>
      <c r="E155" s="1" t="n">
        <v>20171</v>
      </c>
      <c r="F155" s="1" t="s">
        <v>303</v>
      </c>
      <c r="G155" s="1" t="s">
        <v>18</v>
      </c>
      <c r="H155" s="1" t="n">
        <v>3</v>
      </c>
      <c r="I155" s="1" t="n">
        <v>0</v>
      </c>
      <c r="J155" s="1" t="n">
        <v>20201</v>
      </c>
      <c r="L155" s="1" t="str">
        <f aca="false">IF(D154&lt;&gt;D155,D155,"")</f>
        <v/>
      </c>
      <c r="M155" s="1" t="str">
        <f aca="false">IF(F154&lt;&gt;F155,F155,"")</f>
        <v/>
      </c>
    </row>
    <row r="156" customFormat="false" ht="15" hidden="false" customHeight="false" outlineLevel="0" collapsed="false">
      <c r="A156" s="1" t="s">
        <v>332</v>
      </c>
      <c r="B156" s="1" t="s">
        <v>333</v>
      </c>
      <c r="C156" s="1" t="s">
        <v>301</v>
      </c>
      <c r="D156" s="1" t="s">
        <v>302</v>
      </c>
      <c r="E156" s="1" t="n">
        <v>20171</v>
      </c>
      <c r="F156" s="1" t="s">
        <v>303</v>
      </c>
      <c r="G156" s="1" t="s">
        <v>127</v>
      </c>
      <c r="H156" s="1" t="n">
        <v>2</v>
      </c>
      <c r="I156" s="1" t="n">
        <v>0</v>
      </c>
      <c r="J156" s="1" t="n">
        <v>20201</v>
      </c>
      <c r="L156" s="1" t="str">
        <f aca="false">IF(D155&lt;&gt;D156,D156,"")</f>
        <v/>
      </c>
      <c r="M156" s="1" t="str">
        <f aca="false">IF(F155&lt;&gt;F156,F156,"")</f>
        <v/>
      </c>
    </row>
    <row r="157" customFormat="false" ht="15" hidden="false" customHeight="false" outlineLevel="0" collapsed="false">
      <c r="A157" s="1" t="s">
        <v>334</v>
      </c>
      <c r="B157" s="1" t="s">
        <v>335</v>
      </c>
      <c r="C157" s="1" t="s">
        <v>301</v>
      </c>
      <c r="D157" s="1" t="s">
        <v>302</v>
      </c>
      <c r="E157" s="1" t="n">
        <v>20171</v>
      </c>
      <c r="F157" s="1" t="s">
        <v>303</v>
      </c>
      <c r="G157" s="1" t="s">
        <v>15</v>
      </c>
      <c r="H157" s="1" t="n">
        <v>3.5</v>
      </c>
      <c r="I157" s="1" t="n">
        <v>0</v>
      </c>
      <c r="J157" s="1" t="n">
        <v>20201</v>
      </c>
      <c r="L157" s="1" t="str">
        <f aca="false">IF(D156&lt;&gt;D157,D157,"")</f>
        <v/>
      </c>
      <c r="M157" s="1" t="str">
        <f aca="false">IF(F156&lt;&gt;F157,F157,"")</f>
        <v/>
      </c>
    </row>
    <row r="158" customFormat="false" ht="15" hidden="false" customHeight="false" outlineLevel="0" collapsed="false">
      <c r="A158" s="1" t="s">
        <v>336</v>
      </c>
      <c r="B158" s="1" t="s">
        <v>337</v>
      </c>
      <c r="C158" s="1" t="s">
        <v>301</v>
      </c>
      <c r="D158" s="1" t="s">
        <v>302</v>
      </c>
      <c r="E158" s="1" t="n">
        <v>20171</v>
      </c>
      <c r="F158" s="1" t="s">
        <v>303</v>
      </c>
      <c r="G158" s="1" t="s">
        <v>18</v>
      </c>
      <c r="H158" s="1" t="n">
        <v>3</v>
      </c>
      <c r="I158" s="1" t="n">
        <v>0</v>
      </c>
      <c r="J158" s="1" t="n">
        <v>20201</v>
      </c>
      <c r="L158" s="1" t="str">
        <f aca="false">IF(D157&lt;&gt;D158,D158,"")</f>
        <v/>
      </c>
      <c r="M158" s="1" t="str">
        <f aca="false">IF(F157&lt;&gt;F158,F158,"")</f>
        <v/>
      </c>
    </row>
    <row r="159" customFormat="false" ht="15" hidden="false" customHeight="false" outlineLevel="0" collapsed="false">
      <c r="A159" s="1" t="s">
        <v>338</v>
      </c>
      <c r="B159" s="1" t="s">
        <v>339</v>
      </c>
      <c r="C159" s="1" t="s">
        <v>301</v>
      </c>
      <c r="D159" s="1" t="s">
        <v>302</v>
      </c>
      <c r="E159" s="1" t="n">
        <v>20171</v>
      </c>
      <c r="F159" s="1" t="s">
        <v>303</v>
      </c>
      <c r="G159" s="1" t="s">
        <v>14</v>
      </c>
      <c r="H159" s="1" t="n">
        <v>4</v>
      </c>
      <c r="I159" s="1" t="n">
        <v>0</v>
      </c>
      <c r="J159" s="1" t="n">
        <v>20201</v>
      </c>
      <c r="L159" s="1" t="str">
        <f aca="false">IF(D158&lt;&gt;D159,D159,"")</f>
        <v/>
      </c>
      <c r="M159" s="1" t="str">
        <f aca="false">IF(F158&lt;&gt;F159,F159,"")</f>
        <v/>
      </c>
    </row>
    <row r="160" customFormat="false" ht="15" hidden="false" customHeight="false" outlineLevel="0" collapsed="false">
      <c r="A160" s="1" t="s">
        <v>340</v>
      </c>
      <c r="B160" s="1" t="s">
        <v>341</v>
      </c>
      <c r="C160" s="1" t="s">
        <v>301</v>
      </c>
      <c r="D160" s="1" t="s">
        <v>302</v>
      </c>
      <c r="E160" s="1" t="n">
        <v>20171</v>
      </c>
      <c r="F160" s="1" t="s">
        <v>303</v>
      </c>
      <c r="G160" s="1" t="s">
        <v>18</v>
      </c>
      <c r="H160" s="1" t="n">
        <v>3</v>
      </c>
      <c r="I160" s="1" t="n">
        <v>0</v>
      </c>
      <c r="J160" s="1" t="n">
        <v>20201</v>
      </c>
      <c r="L160" s="1" t="str">
        <f aca="false">IF(D159&lt;&gt;D160,D160,"")</f>
        <v/>
      </c>
      <c r="M160" s="1" t="str">
        <f aca="false">IF(F159&lt;&gt;F160,F160,"")</f>
        <v/>
      </c>
    </row>
    <row r="161" customFormat="false" ht="15" hidden="false" customHeight="false" outlineLevel="0" collapsed="false">
      <c r="A161" s="1" t="s">
        <v>342</v>
      </c>
      <c r="B161" s="1" t="s">
        <v>343</v>
      </c>
      <c r="C161" s="1" t="s">
        <v>301</v>
      </c>
      <c r="D161" s="1" t="s">
        <v>302</v>
      </c>
      <c r="E161" s="1" t="n">
        <v>20171</v>
      </c>
      <c r="F161" s="1" t="s">
        <v>303</v>
      </c>
      <c r="G161" s="1" t="s">
        <v>15</v>
      </c>
      <c r="H161" s="1" t="n">
        <v>3.5</v>
      </c>
      <c r="I161" s="1" t="n">
        <v>0</v>
      </c>
      <c r="J161" s="1" t="n">
        <v>20201</v>
      </c>
      <c r="L161" s="1" t="str">
        <f aca="false">IF(D160&lt;&gt;D161,D161,"")</f>
        <v/>
      </c>
      <c r="M161" s="1" t="str">
        <f aca="false">IF(F160&lt;&gt;F161,F161,"")</f>
        <v/>
      </c>
    </row>
    <row r="162" customFormat="false" ht="15" hidden="false" customHeight="false" outlineLevel="0" collapsed="false">
      <c r="A162" s="1" t="s">
        <v>344</v>
      </c>
      <c r="B162" s="1" t="s">
        <v>345</v>
      </c>
      <c r="C162" s="1" t="s">
        <v>301</v>
      </c>
      <c r="D162" s="1" t="s">
        <v>302</v>
      </c>
      <c r="E162" s="1" t="n">
        <v>20171</v>
      </c>
      <c r="F162" s="1" t="s">
        <v>303</v>
      </c>
      <c r="G162" s="1" t="s">
        <v>14</v>
      </c>
      <c r="H162" s="1" t="n">
        <v>4</v>
      </c>
      <c r="I162" s="1" t="n">
        <v>0</v>
      </c>
      <c r="J162" s="1" t="n">
        <v>20201</v>
      </c>
      <c r="L162" s="1" t="str">
        <f aca="false">IF(D161&lt;&gt;D162,D162,"")</f>
        <v/>
      </c>
      <c r="M162" s="1" t="str">
        <f aca="false">IF(F161&lt;&gt;F162,F162,"")</f>
        <v/>
      </c>
    </row>
    <row r="163" customFormat="false" ht="15" hidden="false" customHeight="false" outlineLevel="0" collapsed="false">
      <c r="A163" s="1" t="s">
        <v>346</v>
      </c>
      <c r="B163" s="1" t="s">
        <v>347</v>
      </c>
      <c r="C163" s="1" t="s">
        <v>301</v>
      </c>
      <c r="D163" s="1" t="s">
        <v>302</v>
      </c>
      <c r="E163" s="1" t="n">
        <v>20171</v>
      </c>
      <c r="F163" s="1" t="s">
        <v>303</v>
      </c>
      <c r="G163" s="1" t="s">
        <v>127</v>
      </c>
      <c r="H163" s="1" t="n">
        <v>2</v>
      </c>
      <c r="I163" s="1" t="n">
        <v>0</v>
      </c>
      <c r="J163" s="1" t="n">
        <v>20201</v>
      </c>
      <c r="L163" s="1" t="str">
        <f aca="false">IF(D162&lt;&gt;D163,D163,"")</f>
        <v/>
      </c>
      <c r="M163" s="1" t="str">
        <f aca="false">IF(F162&lt;&gt;F163,F163,"")</f>
        <v/>
      </c>
    </row>
    <row r="164" customFormat="false" ht="15" hidden="false" customHeight="false" outlineLevel="0" collapsed="false">
      <c r="A164" s="1" t="s">
        <v>348</v>
      </c>
      <c r="B164" s="1" t="s">
        <v>349</v>
      </c>
      <c r="C164" s="1" t="s">
        <v>301</v>
      </c>
      <c r="D164" s="1" t="s">
        <v>302</v>
      </c>
      <c r="E164" s="1" t="n">
        <v>20171</v>
      </c>
      <c r="F164" s="1" t="s">
        <v>303</v>
      </c>
      <c r="G164" s="1" t="s">
        <v>18</v>
      </c>
      <c r="H164" s="1" t="n">
        <v>3</v>
      </c>
      <c r="I164" s="1" t="n">
        <v>0</v>
      </c>
      <c r="J164" s="1" t="n">
        <v>20201</v>
      </c>
      <c r="L164" s="1" t="str">
        <f aca="false">IF(D163&lt;&gt;D164,D164,"")</f>
        <v/>
      </c>
      <c r="M164" s="1" t="str">
        <f aca="false">IF(F163&lt;&gt;F164,F164,"")</f>
        <v/>
      </c>
    </row>
    <row r="165" customFormat="false" ht="15" hidden="false" customHeight="false" outlineLevel="0" collapsed="false">
      <c r="A165" s="1" t="s">
        <v>350</v>
      </c>
      <c r="B165" s="1" t="s">
        <v>351</v>
      </c>
      <c r="C165" s="1" t="s">
        <v>301</v>
      </c>
      <c r="D165" s="1" t="s">
        <v>302</v>
      </c>
      <c r="E165" s="1" t="n">
        <v>20171</v>
      </c>
      <c r="F165" s="1" t="s">
        <v>303</v>
      </c>
      <c r="G165" s="1" t="s">
        <v>18</v>
      </c>
      <c r="H165" s="1" t="n">
        <v>3</v>
      </c>
      <c r="I165" s="1" t="n">
        <v>0</v>
      </c>
      <c r="J165" s="1" t="n">
        <v>20201</v>
      </c>
      <c r="L165" s="1" t="str">
        <f aca="false">IF(D164&lt;&gt;D165,D165,"")</f>
        <v/>
      </c>
      <c r="M165" s="1" t="str">
        <f aca="false">IF(F164&lt;&gt;F165,F165,"")</f>
        <v/>
      </c>
    </row>
    <row r="166" customFormat="false" ht="15" hidden="false" customHeight="false" outlineLevel="0" collapsed="false">
      <c r="A166" s="1" t="s">
        <v>352</v>
      </c>
      <c r="B166" s="1" t="s">
        <v>353</v>
      </c>
      <c r="C166" s="1" t="s">
        <v>301</v>
      </c>
      <c r="D166" s="1" t="s">
        <v>302</v>
      </c>
      <c r="E166" s="1" t="n">
        <v>20171</v>
      </c>
      <c r="F166" s="1" t="s">
        <v>303</v>
      </c>
      <c r="G166" s="1" t="s">
        <v>18</v>
      </c>
      <c r="H166" s="1" t="n">
        <v>3</v>
      </c>
      <c r="I166" s="1" t="n">
        <v>0</v>
      </c>
      <c r="J166" s="1" t="n">
        <v>20201</v>
      </c>
      <c r="L166" s="1" t="str">
        <f aca="false">IF(D165&lt;&gt;D166,D166,"")</f>
        <v/>
      </c>
      <c r="M166" s="1" t="str">
        <f aca="false">IF(F165&lt;&gt;F166,F166,"")</f>
        <v/>
      </c>
    </row>
    <row r="167" customFormat="false" ht="15" hidden="false" customHeight="false" outlineLevel="0" collapsed="false">
      <c r="A167" s="1" t="s">
        <v>354</v>
      </c>
      <c r="B167" s="1" t="s">
        <v>355</v>
      </c>
      <c r="C167" s="1" t="s">
        <v>301</v>
      </c>
      <c r="D167" s="1" t="s">
        <v>302</v>
      </c>
      <c r="E167" s="1" t="n">
        <v>20171</v>
      </c>
      <c r="F167" s="1" t="s">
        <v>303</v>
      </c>
      <c r="G167" s="1" t="s">
        <v>18</v>
      </c>
      <c r="H167" s="1" t="n">
        <v>3</v>
      </c>
      <c r="I167" s="1" t="n">
        <v>0</v>
      </c>
      <c r="J167" s="1" t="n">
        <v>20201</v>
      </c>
      <c r="L167" s="1" t="str">
        <f aca="false">IF(D166&lt;&gt;D167,D167,"")</f>
        <v/>
      </c>
      <c r="M167" s="1" t="str">
        <f aca="false">IF(F166&lt;&gt;F167,F167,"")</f>
        <v/>
      </c>
    </row>
    <row r="168" customFormat="false" ht="15" hidden="false" customHeight="false" outlineLevel="0" collapsed="false">
      <c r="A168" s="1" t="s">
        <v>356</v>
      </c>
      <c r="B168" s="1" t="s">
        <v>357</v>
      </c>
      <c r="C168" s="1" t="s">
        <v>301</v>
      </c>
      <c r="D168" s="1" t="s">
        <v>302</v>
      </c>
      <c r="E168" s="1" t="n">
        <v>20171</v>
      </c>
      <c r="F168" s="1" t="s">
        <v>303</v>
      </c>
      <c r="G168" s="1" t="s">
        <v>18</v>
      </c>
      <c r="H168" s="1" t="n">
        <v>3</v>
      </c>
      <c r="I168" s="1" t="n">
        <v>0</v>
      </c>
      <c r="J168" s="1" t="n">
        <v>20201</v>
      </c>
      <c r="L168" s="1" t="str">
        <f aca="false">IF(D167&lt;&gt;D168,D168,"")</f>
        <v/>
      </c>
      <c r="M168" s="1" t="str">
        <f aca="false">IF(F167&lt;&gt;F168,F168,"")</f>
        <v/>
      </c>
    </row>
    <row r="169" customFormat="false" ht="15" hidden="false" customHeight="false" outlineLevel="0" collapsed="false">
      <c r="A169" s="1" t="s">
        <v>358</v>
      </c>
      <c r="B169" s="1" t="s">
        <v>359</v>
      </c>
      <c r="C169" s="1" t="s">
        <v>301</v>
      </c>
      <c r="D169" s="1" t="s">
        <v>302</v>
      </c>
      <c r="E169" s="1" t="n">
        <v>20171</v>
      </c>
      <c r="F169" s="1" t="s">
        <v>303</v>
      </c>
      <c r="G169" s="1" t="s">
        <v>18</v>
      </c>
      <c r="H169" s="1" t="n">
        <v>3</v>
      </c>
      <c r="I169" s="1" t="n">
        <v>0</v>
      </c>
      <c r="J169" s="1" t="n">
        <v>20201</v>
      </c>
      <c r="L169" s="1" t="str">
        <f aca="false">IF(D168&lt;&gt;D169,D169,"")</f>
        <v/>
      </c>
      <c r="M169" s="1" t="str">
        <f aca="false">IF(F168&lt;&gt;F169,F169,"")</f>
        <v/>
      </c>
    </row>
    <row r="170" customFormat="false" ht="15" hidden="false" customHeight="false" outlineLevel="0" collapsed="false">
      <c r="A170" s="1" t="s">
        <v>360</v>
      </c>
      <c r="B170" s="1" t="s">
        <v>361</v>
      </c>
      <c r="C170" s="1" t="s">
        <v>301</v>
      </c>
      <c r="D170" s="1" t="s">
        <v>302</v>
      </c>
      <c r="E170" s="1" t="n">
        <v>20171</v>
      </c>
      <c r="F170" s="1" t="s">
        <v>303</v>
      </c>
      <c r="G170" s="1" t="s">
        <v>18</v>
      </c>
      <c r="H170" s="1" t="n">
        <v>3</v>
      </c>
      <c r="I170" s="1" t="n">
        <v>0</v>
      </c>
      <c r="J170" s="1" t="n">
        <v>20201</v>
      </c>
      <c r="L170" s="1" t="str">
        <f aca="false">IF(D169&lt;&gt;D170,D170,"")</f>
        <v/>
      </c>
      <c r="M170" s="1" t="str">
        <f aca="false">IF(F169&lt;&gt;F170,F170,"")</f>
        <v/>
      </c>
    </row>
    <row r="171" customFormat="false" ht="15" hidden="false" customHeight="false" outlineLevel="0" collapsed="false">
      <c r="A171" s="1" t="s">
        <v>362</v>
      </c>
      <c r="B171" s="1" t="s">
        <v>363</v>
      </c>
      <c r="C171" s="1" t="s">
        <v>301</v>
      </c>
      <c r="D171" s="1" t="s">
        <v>302</v>
      </c>
      <c r="E171" s="1" t="n">
        <v>20171</v>
      </c>
      <c r="F171" s="1" t="s">
        <v>303</v>
      </c>
      <c r="G171" s="1" t="s">
        <v>18</v>
      </c>
      <c r="H171" s="1" t="n">
        <v>3</v>
      </c>
      <c r="I171" s="1" t="n">
        <v>0</v>
      </c>
      <c r="J171" s="1" t="n">
        <v>20201</v>
      </c>
      <c r="L171" s="1" t="str">
        <f aca="false">IF(D170&lt;&gt;D171,D171,"")</f>
        <v/>
      </c>
      <c r="M171" s="1" t="str">
        <f aca="false">IF(F170&lt;&gt;F171,F171,"")</f>
        <v/>
      </c>
    </row>
    <row r="172" customFormat="false" ht="15" hidden="false" customHeight="false" outlineLevel="0" collapsed="false">
      <c r="A172" s="1" t="s">
        <v>364</v>
      </c>
      <c r="B172" s="1" t="s">
        <v>365</v>
      </c>
      <c r="C172" s="1" t="s">
        <v>301</v>
      </c>
      <c r="D172" s="1" t="s">
        <v>302</v>
      </c>
      <c r="E172" s="1" t="n">
        <v>20171</v>
      </c>
      <c r="F172" s="1" t="s">
        <v>303</v>
      </c>
      <c r="G172" s="1" t="s">
        <v>18</v>
      </c>
      <c r="H172" s="1" t="n">
        <v>3</v>
      </c>
      <c r="I172" s="1" t="n">
        <v>0</v>
      </c>
      <c r="J172" s="1" t="n">
        <v>20201</v>
      </c>
      <c r="L172" s="1" t="str">
        <f aca="false">IF(D171&lt;&gt;D172,D172,"")</f>
        <v/>
      </c>
      <c r="M172" s="1" t="str">
        <f aca="false">IF(F171&lt;&gt;F172,F172,"")</f>
        <v/>
      </c>
    </row>
    <row r="173" customFormat="false" ht="15" hidden="false" customHeight="false" outlineLevel="0" collapsed="false">
      <c r="A173" s="1" t="s">
        <v>366</v>
      </c>
      <c r="B173" s="1" t="s">
        <v>367</v>
      </c>
      <c r="C173" s="1" t="s">
        <v>301</v>
      </c>
      <c r="D173" s="1" t="s">
        <v>302</v>
      </c>
      <c r="E173" s="1" t="n">
        <v>20171</v>
      </c>
      <c r="F173" s="1" t="s">
        <v>303</v>
      </c>
      <c r="G173" s="1" t="s">
        <v>18</v>
      </c>
      <c r="H173" s="1" t="n">
        <v>3</v>
      </c>
      <c r="I173" s="1" t="n">
        <v>0</v>
      </c>
      <c r="J173" s="1" t="n">
        <v>20201</v>
      </c>
      <c r="L173" s="1" t="str">
        <f aca="false">IF(D172&lt;&gt;D173,D173,"")</f>
        <v/>
      </c>
      <c r="M173" s="1" t="str">
        <f aca="false">IF(F172&lt;&gt;F173,F173,"")</f>
        <v/>
      </c>
    </row>
    <row r="174" customFormat="false" ht="15" hidden="false" customHeight="false" outlineLevel="0" collapsed="false">
      <c r="A174" s="1" t="s">
        <v>368</v>
      </c>
      <c r="B174" s="1" t="s">
        <v>369</v>
      </c>
      <c r="C174" s="1" t="s">
        <v>301</v>
      </c>
      <c r="D174" s="1" t="s">
        <v>302</v>
      </c>
      <c r="E174" s="1" t="n">
        <v>20171</v>
      </c>
      <c r="F174" s="1" t="s">
        <v>303</v>
      </c>
      <c r="G174" s="1" t="s">
        <v>18</v>
      </c>
      <c r="H174" s="1" t="n">
        <v>3</v>
      </c>
      <c r="I174" s="1" t="n">
        <v>0</v>
      </c>
      <c r="J174" s="1" t="n">
        <v>20201</v>
      </c>
      <c r="L174" s="1" t="str">
        <f aca="false">IF(D173&lt;&gt;D174,D174,"")</f>
        <v/>
      </c>
      <c r="M174" s="1" t="str">
        <f aca="false">IF(F173&lt;&gt;F174,F174,"")</f>
        <v/>
      </c>
    </row>
    <row r="175" customFormat="false" ht="15" hidden="false" customHeight="false" outlineLevel="0" collapsed="false">
      <c r="A175" s="1" t="s">
        <v>370</v>
      </c>
      <c r="B175" s="1" t="s">
        <v>371</v>
      </c>
      <c r="C175" s="1" t="s">
        <v>301</v>
      </c>
      <c r="D175" s="1" t="s">
        <v>302</v>
      </c>
      <c r="E175" s="1" t="n">
        <v>20171</v>
      </c>
      <c r="F175" s="1" t="s">
        <v>303</v>
      </c>
      <c r="G175" s="1" t="s">
        <v>18</v>
      </c>
      <c r="H175" s="1" t="n">
        <v>3</v>
      </c>
      <c r="I175" s="1" t="n">
        <v>0</v>
      </c>
      <c r="J175" s="1" t="n">
        <v>20201</v>
      </c>
      <c r="L175" s="1" t="str">
        <f aca="false">IF(D174&lt;&gt;D175,D175,"")</f>
        <v/>
      </c>
      <c r="M175" s="1" t="str">
        <f aca="false">IF(F174&lt;&gt;F175,F175,"")</f>
        <v/>
      </c>
    </row>
    <row r="176" customFormat="false" ht="15" hidden="false" customHeight="false" outlineLevel="0" collapsed="false">
      <c r="A176" s="1" t="s">
        <v>372</v>
      </c>
      <c r="B176" s="1" t="s">
        <v>373</v>
      </c>
      <c r="C176" s="1" t="s">
        <v>301</v>
      </c>
      <c r="D176" s="1" t="s">
        <v>302</v>
      </c>
      <c r="E176" s="1" t="n">
        <v>20171</v>
      </c>
      <c r="F176" s="1" t="s">
        <v>303</v>
      </c>
      <c r="G176" s="1" t="s">
        <v>15</v>
      </c>
      <c r="H176" s="1" t="n">
        <v>3.5</v>
      </c>
      <c r="I176" s="1" t="n">
        <v>0</v>
      </c>
      <c r="J176" s="1" t="n">
        <v>20201</v>
      </c>
      <c r="L176" s="1" t="str">
        <f aca="false">IF(D175&lt;&gt;D176,D176,"")</f>
        <v/>
      </c>
      <c r="M176" s="1" t="str">
        <f aca="false">IF(F175&lt;&gt;F176,F176,"")</f>
        <v/>
      </c>
    </row>
    <row r="177" customFormat="false" ht="15" hidden="false" customHeight="false" outlineLevel="0" collapsed="false">
      <c r="A177" s="1" t="s">
        <v>374</v>
      </c>
      <c r="B177" s="1" t="s">
        <v>375</v>
      </c>
      <c r="C177" s="1" t="s">
        <v>301</v>
      </c>
      <c r="D177" s="1" t="s">
        <v>302</v>
      </c>
      <c r="E177" s="1" t="n">
        <v>20171</v>
      </c>
      <c r="F177" s="1" t="s">
        <v>303</v>
      </c>
      <c r="G177" s="1" t="s">
        <v>14</v>
      </c>
      <c r="H177" s="1" t="n">
        <v>4</v>
      </c>
      <c r="I177" s="1" t="n">
        <v>0</v>
      </c>
      <c r="J177" s="1" t="n">
        <v>20201</v>
      </c>
      <c r="L177" s="1" t="str">
        <f aca="false">IF(D176&lt;&gt;D177,D177,"")</f>
        <v/>
      </c>
      <c r="M177" s="1" t="str">
        <f aca="false">IF(F176&lt;&gt;F177,F177,"")</f>
        <v/>
      </c>
    </row>
    <row r="178" customFormat="false" ht="15" hidden="false" customHeight="false" outlineLevel="0" collapsed="false">
      <c r="A178" s="1" t="s">
        <v>376</v>
      </c>
      <c r="B178" s="1" t="s">
        <v>377</v>
      </c>
      <c r="C178" s="1" t="s">
        <v>301</v>
      </c>
      <c r="D178" s="1" t="s">
        <v>302</v>
      </c>
      <c r="E178" s="1" t="n">
        <v>20171</v>
      </c>
      <c r="F178" s="1" t="s">
        <v>303</v>
      </c>
      <c r="G178" s="1" t="s">
        <v>18</v>
      </c>
      <c r="H178" s="1" t="n">
        <v>3</v>
      </c>
      <c r="I178" s="1" t="n">
        <v>0</v>
      </c>
      <c r="J178" s="1" t="n">
        <v>20201</v>
      </c>
      <c r="L178" s="1" t="str">
        <f aca="false">IF(D177&lt;&gt;D178,D178,"")</f>
        <v/>
      </c>
      <c r="M178" s="1" t="str">
        <f aca="false">IF(F177&lt;&gt;F178,F178,"")</f>
        <v/>
      </c>
    </row>
    <row r="179" customFormat="false" ht="15" hidden="false" customHeight="false" outlineLevel="0" collapsed="false">
      <c r="A179" s="1" t="s">
        <v>378</v>
      </c>
      <c r="B179" s="1" t="s">
        <v>379</v>
      </c>
      <c r="C179" s="1" t="s">
        <v>301</v>
      </c>
      <c r="D179" s="1" t="s">
        <v>302</v>
      </c>
      <c r="E179" s="1" t="n">
        <v>20171</v>
      </c>
      <c r="F179" s="1" t="s">
        <v>303</v>
      </c>
      <c r="G179" s="1" t="s">
        <v>14</v>
      </c>
      <c r="H179" s="1" t="n">
        <v>4</v>
      </c>
      <c r="I179" s="1" t="n">
        <v>0</v>
      </c>
      <c r="J179" s="1" t="n">
        <v>20201</v>
      </c>
      <c r="L179" s="1" t="str">
        <f aca="false">IF(D178&lt;&gt;D179,D179,"")</f>
        <v/>
      </c>
      <c r="M179" s="1" t="str">
        <f aca="false">IF(F178&lt;&gt;F179,F179,"")</f>
        <v/>
      </c>
    </row>
    <row r="180" customFormat="false" ht="15" hidden="false" customHeight="false" outlineLevel="0" collapsed="false">
      <c r="A180" s="1" t="s">
        <v>380</v>
      </c>
      <c r="B180" s="1" t="s">
        <v>381</v>
      </c>
      <c r="C180" s="1" t="s">
        <v>301</v>
      </c>
      <c r="D180" s="1" t="s">
        <v>302</v>
      </c>
      <c r="E180" s="1" t="n">
        <v>20171</v>
      </c>
      <c r="F180" s="1" t="s">
        <v>303</v>
      </c>
      <c r="G180" s="1" t="s">
        <v>14</v>
      </c>
      <c r="H180" s="1" t="n">
        <v>4</v>
      </c>
      <c r="I180" s="1" t="n">
        <v>0</v>
      </c>
      <c r="J180" s="1" t="n">
        <v>20201</v>
      </c>
      <c r="L180" s="1" t="str">
        <f aca="false">IF(D179&lt;&gt;D180,D180,"")</f>
        <v/>
      </c>
      <c r="M180" s="1" t="str">
        <f aca="false">IF(F179&lt;&gt;F180,F180,"")</f>
        <v/>
      </c>
    </row>
    <row r="181" customFormat="false" ht="15" hidden="false" customHeight="false" outlineLevel="0" collapsed="false">
      <c r="A181" s="1" t="s">
        <v>382</v>
      </c>
      <c r="B181" s="1" t="s">
        <v>383</v>
      </c>
      <c r="C181" s="1" t="s">
        <v>301</v>
      </c>
      <c r="D181" s="1" t="s">
        <v>302</v>
      </c>
      <c r="E181" s="1" t="n">
        <v>20171</v>
      </c>
      <c r="F181" s="1" t="s">
        <v>303</v>
      </c>
      <c r="G181" s="1" t="s">
        <v>15</v>
      </c>
      <c r="H181" s="1" t="n">
        <v>3.5</v>
      </c>
      <c r="I181" s="1" t="n">
        <v>0</v>
      </c>
      <c r="J181" s="1" t="n">
        <v>20201</v>
      </c>
      <c r="L181" s="1" t="str">
        <f aca="false">IF(D180&lt;&gt;D181,D181,"")</f>
        <v/>
      </c>
      <c r="M181" s="1" t="str">
        <f aca="false">IF(F180&lt;&gt;F181,F181,"")</f>
        <v/>
      </c>
    </row>
    <row r="182" customFormat="false" ht="15" hidden="false" customHeight="false" outlineLevel="0" collapsed="false">
      <c r="A182" s="1" t="s">
        <v>384</v>
      </c>
      <c r="B182" s="1" t="s">
        <v>385</v>
      </c>
      <c r="C182" s="1" t="s">
        <v>301</v>
      </c>
      <c r="D182" s="1" t="s">
        <v>302</v>
      </c>
      <c r="E182" s="1" t="n">
        <v>20171</v>
      </c>
      <c r="F182" s="1" t="s">
        <v>303</v>
      </c>
      <c r="G182" s="1" t="s">
        <v>14</v>
      </c>
      <c r="H182" s="1" t="n">
        <v>4</v>
      </c>
      <c r="I182" s="1" t="n">
        <v>0</v>
      </c>
      <c r="J182" s="1" t="n">
        <v>20201</v>
      </c>
      <c r="L182" s="1" t="str">
        <f aca="false">IF(D181&lt;&gt;D182,D182,"")</f>
        <v/>
      </c>
      <c r="M182" s="1" t="str">
        <f aca="false">IF(F181&lt;&gt;F182,F182,"")</f>
        <v/>
      </c>
    </row>
    <row r="183" customFormat="false" ht="15" hidden="false" customHeight="false" outlineLevel="0" collapsed="false">
      <c r="A183" s="1" t="s">
        <v>386</v>
      </c>
      <c r="B183" s="1" t="s">
        <v>387</v>
      </c>
      <c r="C183" s="1" t="s">
        <v>301</v>
      </c>
      <c r="D183" s="1" t="s">
        <v>302</v>
      </c>
      <c r="E183" s="1" t="n">
        <v>20171</v>
      </c>
      <c r="F183" s="1" t="s">
        <v>303</v>
      </c>
      <c r="G183" s="1" t="s">
        <v>14</v>
      </c>
      <c r="H183" s="1" t="n">
        <v>4</v>
      </c>
      <c r="I183" s="1" t="n">
        <v>0</v>
      </c>
      <c r="J183" s="1" t="n">
        <v>20201</v>
      </c>
      <c r="L183" s="1" t="str">
        <f aca="false">IF(D182&lt;&gt;D183,D183,"")</f>
        <v/>
      </c>
      <c r="M183" s="1" t="str">
        <f aca="false">IF(F182&lt;&gt;F183,F183,"")</f>
        <v/>
      </c>
    </row>
    <row r="184" customFormat="false" ht="15" hidden="false" customHeight="false" outlineLevel="0" collapsed="false">
      <c r="A184" s="1" t="s">
        <v>388</v>
      </c>
      <c r="B184" s="1" t="s">
        <v>389</v>
      </c>
      <c r="C184" s="1" t="s">
        <v>301</v>
      </c>
      <c r="D184" s="1" t="s">
        <v>302</v>
      </c>
      <c r="E184" s="1" t="n">
        <v>20171</v>
      </c>
      <c r="F184" s="1" t="s">
        <v>303</v>
      </c>
      <c r="G184" s="1" t="s">
        <v>15</v>
      </c>
      <c r="H184" s="1" t="n">
        <v>3.5</v>
      </c>
      <c r="I184" s="1" t="n">
        <v>0</v>
      </c>
      <c r="J184" s="1" t="n">
        <v>20201</v>
      </c>
      <c r="L184" s="1" t="str">
        <f aca="false">IF(D183&lt;&gt;D184,D184,"")</f>
        <v/>
      </c>
      <c r="M184" s="1" t="str">
        <f aca="false">IF(F183&lt;&gt;F184,F184,"")</f>
        <v/>
      </c>
    </row>
    <row r="185" customFormat="false" ht="15" hidden="false" customHeight="false" outlineLevel="0" collapsed="false">
      <c r="A185" s="1" t="s">
        <v>390</v>
      </c>
      <c r="B185" s="1" t="s">
        <v>391</v>
      </c>
      <c r="C185" s="1" t="s">
        <v>301</v>
      </c>
      <c r="D185" s="1" t="s">
        <v>302</v>
      </c>
      <c r="E185" s="1" t="n">
        <v>20171</v>
      </c>
      <c r="F185" s="1" t="s">
        <v>303</v>
      </c>
      <c r="G185" s="1" t="s">
        <v>14</v>
      </c>
      <c r="H185" s="1" t="n">
        <v>4</v>
      </c>
      <c r="I185" s="1" t="n">
        <v>0</v>
      </c>
      <c r="J185" s="1" t="n">
        <v>20201</v>
      </c>
      <c r="L185" s="1" t="str">
        <f aca="false">IF(D184&lt;&gt;D185,D185,"")</f>
        <v/>
      </c>
      <c r="M185" s="1" t="str">
        <f aca="false">IF(F184&lt;&gt;F185,F185,"")</f>
        <v/>
      </c>
    </row>
    <row r="186" customFormat="false" ht="15" hidden="false" customHeight="false" outlineLevel="0" collapsed="false">
      <c r="A186" s="1" t="s">
        <v>392</v>
      </c>
      <c r="B186" s="1" t="s">
        <v>393</v>
      </c>
      <c r="C186" s="1" t="s">
        <v>301</v>
      </c>
      <c r="D186" s="1" t="s">
        <v>302</v>
      </c>
      <c r="E186" s="1" t="n">
        <v>20171</v>
      </c>
      <c r="F186" s="1" t="s">
        <v>303</v>
      </c>
      <c r="G186" s="1" t="s">
        <v>15</v>
      </c>
      <c r="H186" s="1" t="n">
        <v>3.5</v>
      </c>
      <c r="I186" s="1" t="n">
        <v>0</v>
      </c>
      <c r="J186" s="1" t="n">
        <v>20201</v>
      </c>
      <c r="L186" s="1" t="str">
        <f aca="false">IF(D185&lt;&gt;D186,D186,"")</f>
        <v/>
      </c>
      <c r="M186" s="1" t="str">
        <f aca="false">IF(F185&lt;&gt;F186,F186,"")</f>
        <v/>
      </c>
    </row>
    <row r="187" customFormat="false" ht="15" hidden="false" customHeight="false" outlineLevel="0" collapsed="false">
      <c r="A187" s="1" t="s">
        <v>394</v>
      </c>
      <c r="B187" s="1" t="s">
        <v>395</v>
      </c>
      <c r="C187" s="1" t="s">
        <v>301</v>
      </c>
      <c r="D187" s="1" t="s">
        <v>302</v>
      </c>
      <c r="E187" s="1" t="n">
        <v>20171</v>
      </c>
      <c r="F187" s="1" t="s">
        <v>303</v>
      </c>
      <c r="G187" s="1" t="s">
        <v>15</v>
      </c>
      <c r="H187" s="1" t="n">
        <v>3.5</v>
      </c>
      <c r="I187" s="1" t="n">
        <v>0</v>
      </c>
      <c r="J187" s="1" t="n">
        <v>20201</v>
      </c>
      <c r="L187" s="1" t="str">
        <f aca="false">IF(D186&lt;&gt;D187,D187,"")</f>
        <v/>
      </c>
      <c r="M187" s="1" t="str">
        <f aca="false">IF(F186&lt;&gt;F187,F187,"")</f>
        <v/>
      </c>
    </row>
    <row r="188" customFormat="false" ht="15" hidden="false" customHeight="false" outlineLevel="0" collapsed="false">
      <c r="A188" s="1" t="s">
        <v>396</v>
      </c>
      <c r="B188" s="1" t="s">
        <v>397</v>
      </c>
      <c r="C188" s="1" t="s">
        <v>301</v>
      </c>
      <c r="D188" s="1" t="s">
        <v>302</v>
      </c>
      <c r="E188" s="1" t="n">
        <v>20171</v>
      </c>
      <c r="F188" s="1" t="s">
        <v>303</v>
      </c>
      <c r="G188" s="1" t="s">
        <v>15</v>
      </c>
      <c r="H188" s="1" t="n">
        <v>3.5</v>
      </c>
      <c r="I188" s="1" t="n">
        <v>0</v>
      </c>
      <c r="J188" s="1" t="n">
        <v>20201</v>
      </c>
      <c r="L188" s="1" t="str">
        <f aca="false">IF(D187&lt;&gt;D188,D188,"")</f>
        <v/>
      </c>
      <c r="M188" s="1" t="str">
        <f aca="false">IF(F187&lt;&gt;F188,F188,"")</f>
        <v/>
      </c>
    </row>
    <row r="189" customFormat="false" ht="15" hidden="false" customHeight="false" outlineLevel="0" collapsed="false">
      <c r="A189" s="1" t="s">
        <v>398</v>
      </c>
      <c r="B189" s="1" t="s">
        <v>399</v>
      </c>
      <c r="C189" s="1" t="s">
        <v>301</v>
      </c>
      <c r="D189" s="1" t="s">
        <v>302</v>
      </c>
      <c r="E189" s="1" t="n">
        <v>20171</v>
      </c>
      <c r="F189" s="1" t="s">
        <v>303</v>
      </c>
      <c r="G189" s="1" t="s">
        <v>14</v>
      </c>
      <c r="H189" s="1" t="n">
        <v>4</v>
      </c>
      <c r="I189" s="1" t="n">
        <v>0</v>
      </c>
      <c r="J189" s="1" t="n">
        <v>20201</v>
      </c>
      <c r="L189" s="1" t="str">
        <f aca="false">IF(D188&lt;&gt;D189,D189,"")</f>
        <v/>
      </c>
      <c r="M189" s="1" t="str">
        <f aca="false">IF(F188&lt;&gt;F189,F189,"")</f>
        <v/>
      </c>
    </row>
    <row r="190" customFormat="false" ht="15" hidden="false" customHeight="false" outlineLevel="0" collapsed="false">
      <c r="A190" s="1" t="s">
        <v>400</v>
      </c>
      <c r="B190" s="1" t="s">
        <v>401</v>
      </c>
      <c r="C190" s="1" t="s">
        <v>301</v>
      </c>
      <c r="D190" s="1" t="s">
        <v>302</v>
      </c>
      <c r="E190" s="1" t="n">
        <v>20171</v>
      </c>
      <c r="F190" s="1" t="s">
        <v>303</v>
      </c>
      <c r="G190" s="1" t="s">
        <v>14</v>
      </c>
      <c r="H190" s="1" t="n">
        <v>4</v>
      </c>
      <c r="I190" s="1" t="n">
        <v>0</v>
      </c>
      <c r="J190" s="1" t="n">
        <v>20201</v>
      </c>
      <c r="L190" s="1" t="str">
        <f aca="false">IF(D189&lt;&gt;D190,D190,"")</f>
        <v/>
      </c>
      <c r="M190" s="1" t="str">
        <f aca="false">IF(F189&lt;&gt;F190,F190,"")</f>
        <v/>
      </c>
    </row>
    <row r="191" customFormat="false" ht="15" hidden="false" customHeight="false" outlineLevel="0" collapsed="false">
      <c r="A191" s="1" t="s">
        <v>402</v>
      </c>
      <c r="B191" s="1" t="s">
        <v>403</v>
      </c>
      <c r="C191" s="1" t="s">
        <v>301</v>
      </c>
      <c r="D191" s="1" t="s">
        <v>302</v>
      </c>
      <c r="E191" s="1" t="n">
        <v>20171</v>
      </c>
      <c r="F191" s="1" t="s">
        <v>303</v>
      </c>
      <c r="G191" s="1" t="s">
        <v>124</v>
      </c>
      <c r="H191" s="1" t="n">
        <v>0</v>
      </c>
      <c r="I191" s="1" t="n">
        <v>0</v>
      </c>
      <c r="J191" s="1" t="n">
        <v>20201</v>
      </c>
      <c r="L191" s="1" t="str">
        <f aca="false">IF(D190&lt;&gt;D191,D191,"")</f>
        <v/>
      </c>
      <c r="M191" s="1" t="str">
        <f aca="false">IF(F190&lt;&gt;F191,F191,"")</f>
        <v/>
      </c>
    </row>
    <row r="192" customFormat="false" ht="15" hidden="false" customHeight="false" outlineLevel="0" collapsed="false">
      <c r="A192" s="1" t="s">
        <v>404</v>
      </c>
      <c r="B192" s="1" t="s">
        <v>405</v>
      </c>
      <c r="C192" s="1" t="s">
        <v>301</v>
      </c>
      <c r="D192" s="1" t="s">
        <v>302</v>
      </c>
      <c r="E192" s="1" t="n">
        <v>20171</v>
      </c>
      <c r="F192" s="1" t="s">
        <v>303</v>
      </c>
      <c r="G192" s="1" t="s">
        <v>14</v>
      </c>
      <c r="H192" s="1" t="n">
        <v>4</v>
      </c>
      <c r="I192" s="1" t="n">
        <v>0</v>
      </c>
      <c r="J192" s="1" t="n">
        <v>20201</v>
      </c>
      <c r="L192" s="1" t="str">
        <f aca="false">IF(D191&lt;&gt;D192,D192,"")</f>
        <v/>
      </c>
      <c r="M192" s="1" t="str">
        <f aca="false">IF(F191&lt;&gt;F192,F192,"")</f>
        <v/>
      </c>
    </row>
    <row r="193" customFormat="false" ht="15" hidden="false" customHeight="false" outlineLevel="0" collapsed="false">
      <c r="A193" s="1" t="s">
        <v>406</v>
      </c>
      <c r="B193" s="1" t="s">
        <v>407</v>
      </c>
      <c r="C193" s="1" t="s">
        <v>301</v>
      </c>
      <c r="D193" s="1" t="s">
        <v>302</v>
      </c>
      <c r="E193" s="1" t="n">
        <v>20171</v>
      </c>
      <c r="F193" s="1" t="s">
        <v>303</v>
      </c>
      <c r="G193" s="1" t="s">
        <v>14</v>
      </c>
      <c r="H193" s="1" t="n">
        <v>4</v>
      </c>
      <c r="I193" s="1" t="n">
        <v>0</v>
      </c>
      <c r="J193" s="1" t="n">
        <v>20201</v>
      </c>
      <c r="L193" s="1" t="str">
        <f aca="false">IF(D192&lt;&gt;D193,D193,"")</f>
        <v/>
      </c>
      <c r="M193" s="1" t="str">
        <f aca="false">IF(F192&lt;&gt;F193,F193,"")</f>
        <v/>
      </c>
    </row>
    <row r="194" customFormat="false" ht="15" hidden="false" customHeight="false" outlineLevel="0" collapsed="false">
      <c r="A194" s="1" t="s">
        <v>408</v>
      </c>
      <c r="B194" s="1" t="s">
        <v>409</v>
      </c>
      <c r="C194" s="1" t="s">
        <v>301</v>
      </c>
      <c r="D194" s="1" t="s">
        <v>302</v>
      </c>
      <c r="E194" s="1" t="n">
        <v>20171</v>
      </c>
      <c r="F194" s="1" t="s">
        <v>303</v>
      </c>
      <c r="G194" s="1" t="s">
        <v>14</v>
      </c>
      <c r="H194" s="1" t="n">
        <v>4</v>
      </c>
      <c r="I194" s="1" t="n">
        <v>0</v>
      </c>
      <c r="J194" s="1" t="n">
        <v>20201</v>
      </c>
      <c r="L194" s="1" t="str">
        <f aca="false">IF(D193&lt;&gt;D194,D194,"")</f>
        <v/>
      </c>
      <c r="M194" s="1" t="str">
        <f aca="false">IF(F193&lt;&gt;F194,F194,"")</f>
        <v/>
      </c>
    </row>
    <row r="195" customFormat="false" ht="15" hidden="false" customHeight="false" outlineLevel="0" collapsed="false">
      <c r="A195" s="1" t="s">
        <v>410</v>
      </c>
      <c r="B195" s="1" t="s">
        <v>411</v>
      </c>
      <c r="C195" s="1" t="s">
        <v>301</v>
      </c>
      <c r="D195" s="1" t="s">
        <v>302</v>
      </c>
      <c r="E195" s="1" t="n">
        <v>20171</v>
      </c>
      <c r="F195" s="1" t="s">
        <v>303</v>
      </c>
      <c r="G195" s="1" t="s">
        <v>14</v>
      </c>
      <c r="H195" s="1" t="n">
        <v>4</v>
      </c>
      <c r="I195" s="1" t="n">
        <v>0</v>
      </c>
      <c r="J195" s="1" t="n">
        <v>20201</v>
      </c>
      <c r="L195" s="1" t="str">
        <f aca="false">IF(D194&lt;&gt;D195,D195,"")</f>
        <v/>
      </c>
      <c r="M195" s="1" t="str">
        <f aca="false">IF(F194&lt;&gt;F195,F195,"")</f>
        <v/>
      </c>
    </row>
    <row r="196" customFormat="false" ht="15" hidden="false" customHeight="false" outlineLevel="0" collapsed="false">
      <c r="A196" s="1" t="s">
        <v>412</v>
      </c>
      <c r="B196" s="1" t="s">
        <v>413</v>
      </c>
      <c r="C196" s="1" t="s">
        <v>301</v>
      </c>
      <c r="D196" s="1" t="s">
        <v>302</v>
      </c>
      <c r="E196" s="1" t="n">
        <v>20171</v>
      </c>
      <c r="F196" s="1" t="s">
        <v>303</v>
      </c>
      <c r="G196" s="1" t="s">
        <v>18</v>
      </c>
      <c r="H196" s="1" t="n">
        <v>3</v>
      </c>
      <c r="I196" s="1" t="n">
        <v>0</v>
      </c>
      <c r="J196" s="1" t="n">
        <v>20201</v>
      </c>
      <c r="L196" s="1" t="str">
        <f aca="false">IF(D195&lt;&gt;D196,D196,"")</f>
        <v/>
      </c>
      <c r="M196" s="1" t="str">
        <f aca="false">IF(F195&lt;&gt;F196,F196,"")</f>
        <v/>
      </c>
    </row>
    <row r="197" customFormat="false" ht="15" hidden="false" customHeight="false" outlineLevel="0" collapsed="false">
      <c r="A197" s="1" t="s">
        <v>414</v>
      </c>
      <c r="B197" s="1" t="s">
        <v>415</v>
      </c>
      <c r="C197" s="1" t="s">
        <v>301</v>
      </c>
      <c r="D197" s="1" t="s">
        <v>302</v>
      </c>
      <c r="E197" s="1" t="n">
        <v>20171</v>
      </c>
      <c r="F197" s="1" t="s">
        <v>303</v>
      </c>
      <c r="G197" s="1" t="s">
        <v>18</v>
      </c>
      <c r="H197" s="1" t="n">
        <v>3</v>
      </c>
      <c r="I197" s="1" t="n">
        <v>0</v>
      </c>
      <c r="J197" s="1" t="n">
        <v>20201</v>
      </c>
      <c r="L197" s="1" t="str">
        <f aca="false">IF(D196&lt;&gt;D197,D197,"")</f>
        <v/>
      </c>
      <c r="M197" s="1" t="str">
        <f aca="false">IF(F196&lt;&gt;F197,F197,"")</f>
        <v/>
      </c>
    </row>
    <row r="198" customFormat="false" ht="15" hidden="false" customHeight="false" outlineLevel="0" collapsed="false">
      <c r="A198" s="1" t="s">
        <v>416</v>
      </c>
      <c r="B198" s="1" t="s">
        <v>417</v>
      </c>
      <c r="C198" s="1" t="s">
        <v>301</v>
      </c>
      <c r="D198" s="1" t="s">
        <v>302</v>
      </c>
      <c r="E198" s="1" t="n">
        <v>20171</v>
      </c>
      <c r="F198" s="1" t="s">
        <v>303</v>
      </c>
      <c r="G198" s="1" t="s">
        <v>14</v>
      </c>
      <c r="H198" s="1" t="n">
        <v>4</v>
      </c>
      <c r="I198" s="1" t="n">
        <v>0</v>
      </c>
      <c r="J198" s="1" t="n">
        <v>20201</v>
      </c>
      <c r="L198" s="1" t="str">
        <f aca="false">IF(D197&lt;&gt;D198,D198,"")</f>
        <v/>
      </c>
      <c r="M198" s="1" t="str">
        <f aca="false">IF(F197&lt;&gt;F198,F198,"")</f>
        <v/>
      </c>
    </row>
    <row r="199" customFormat="false" ht="15" hidden="false" customHeight="false" outlineLevel="0" collapsed="false">
      <c r="A199" s="1" t="s">
        <v>418</v>
      </c>
      <c r="B199" s="1" t="s">
        <v>419</v>
      </c>
      <c r="C199" s="1" t="s">
        <v>301</v>
      </c>
      <c r="D199" s="1" t="s">
        <v>302</v>
      </c>
      <c r="E199" s="1" t="n">
        <v>20171</v>
      </c>
      <c r="F199" s="1" t="s">
        <v>303</v>
      </c>
      <c r="G199" s="1" t="s">
        <v>15</v>
      </c>
      <c r="H199" s="1" t="n">
        <v>3.5</v>
      </c>
      <c r="I199" s="1" t="n">
        <v>0</v>
      </c>
      <c r="J199" s="1" t="n">
        <v>20201</v>
      </c>
      <c r="L199" s="1" t="str">
        <f aca="false">IF(D198&lt;&gt;D199,D199,"")</f>
        <v/>
      </c>
      <c r="M199" s="1" t="str">
        <f aca="false">IF(F198&lt;&gt;F199,F199,"")</f>
        <v/>
      </c>
    </row>
    <row r="200" customFormat="false" ht="15" hidden="false" customHeight="false" outlineLevel="0" collapsed="false">
      <c r="A200" s="1" t="s">
        <v>420</v>
      </c>
      <c r="B200" s="1" t="s">
        <v>421</v>
      </c>
      <c r="C200" s="1" t="s">
        <v>301</v>
      </c>
      <c r="D200" s="1" t="s">
        <v>302</v>
      </c>
      <c r="E200" s="1" t="n">
        <v>20171</v>
      </c>
      <c r="F200" s="1" t="s">
        <v>303</v>
      </c>
      <c r="G200" s="1" t="s">
        <v>124</v>
      </c>
      <c r="H200" s="1" t="n">
        <v>0</v>
      </c>
      <c r="I200" s="1" t="n">
        <v>0</v>
      </c>
      <c r="J200" s="1" t="n">
        <v>20201</v>
      </c>
      <c r="L200" s="1" t="str">
        <f aca="false">IF(D199&lt;&gt;D200,D200,"")</f>
        <v/>
      </c>
      <c r="M200" s="1" t="str">
        <f aca="false">IF(F199&lt;&gt;F200,F200,"")</f>
        <v/>
      </c>
    </row>
    <row r="201" customFormat="false" ht="15" hidden="false" customHeight="false" outlineLevel="0" collapsed="false">
      <c r="A201" s="1" t="s">
        <v>422</v>
      </c>
      <c r="B201" s="1" t="s">
        <v>423</v>
      </c>
      <c r="C201" s="1" t="s">
        <v>301</v>
      </c>
      <c r="D201" s="1" t="s">
        <v>302</v>
      </c>
      <c r="E201" s="1" t="n">
        <v>20171</v>
      </c>
      <c r="F201" s="1" t="s">
        <v>303</v>
      </c>
      <c r="G201" s="1" t="s">
        <v>15</v>
      </c>
      <c r="H201" s="1" t="n">
        <v>3.5</v>
      </c>
      <c r="I201" s="1" t="n">
        <v>0</v>
      </c>
      <c r="J201" s="1" t="n">
        <v>20201</v>
      </c>
      <c r="L201" s="1" t="str">
        <f aca="false">IF(D200&lt;&gt;D201,D201,"")</f>
        <v/>
      </c>
      <c r="M201" s="1" t="str">
        <f aca="false">IF(F200&lt;&gt;F201,F201,"")</f>
        <v/>
      </c>
    </row>
    <row r="202" customFormat="false" ht="15" hidden="false" customHeight="false" outlineLevel="0" collapsed="false">
      <c r="A202" s="1" t="s">
        <v>424</v>
      </c>
      <c r="B202" s="1" t="s">
        <v>425</v>
      </c>
      <c r="C202" s="1" t="s">
        <v>301</v>
      </c>
      <c r="D202" s="1" t="s">
        <v>302</v>
      </c>
      <c r="E202" s="1" t="n">
        <v>20171</v>
      </c>
      <c r="F202" s="1" t="s">
        <v>303</v>
      </c>
      <c r="G202" s="1" t="s">
        <v>15</v>
      </c>
      <c r="H202" s="1" t="n">
        <v>3.5</v>
      </c>
      <c r="I202" s="1" t="n">
        <v>0</v>
      </c>
      <c r="J202" s="1" t="n">
        <v>20201</v>
      </c>
      <c r="L202" s="1" t="str">
        <f aca="false">IF(D201&lt;&gt;D202,D202,"")</f>
        <v/>
      </c>
      <c r="M202" s="1" t="str">
        <f aca="false">IF(F201&lt;&gt;F202,F202,"")</f>
        <v/>
      </c>
    </row>
    <row r="203" customFormat="false" ht="15" hidden="false" customHeight="false" outlineLevel="0" collapsed="false">
      <c r="A203" s="1" t="s">
        <v>426</v>
      </c>
      <c r="B203" s="1" t="s">
        <v>427</v>
      </c>
      <c r="C203" s="1" t="s">
        <v>301</v>
      </c>
      <c r="D203" s="1" t="s">
        <v>302</v>
      </c>
      <c r="E203" s="1" t="n">
        <v>20171</v>
      </c>
      <c r="F203" s="1" t="s">
        <v>303</v>
      </c>
      <c r="G203" s="1" t="s">
        <v>15</v>
      </c>
      <c r="H203" s="1" t="n">
        <v>3.5</v>
      </c>
      <c r="I203" s="1" t="n">
        <v>0</v>
      </c>
      <c r="J203" s="1" t="n">
        <v>20201</v>
      </c>
      <c r="L203" s="1" t="str">
        <f aca="false">IF(D202&lt;&gt;D203,D203,"")</f>
        <v/>
      </c>
      <c r="M203" s="1" t="str">
        <f aca="false">IF(F202&lt;&gt;F203,F203,"")</f>
        <v/>
      </c>
    </row>
    <row r="204" customFormat="false" ht="15" hidden="false" customHeight="false" outlineLevel="0" collapsed="false">
      <c r="A204" s="1" t="s">
        <v>428</v>
      </c>
      <c r="B204" s="1" t="s">
        <v>429</v>
      </c>
      <c r="C204" s="1" t="s">
        <v>301</v>
      </c>
      <c r="D204" s="1" t="s">
        <v>302</v>
      </c>
      <c r="E204" s="1" t="n">
        <v>20171</v>
      </c>
      <c r="F204" s="1" t="s">
        <v>303</v>
      </c>
      <c r="G204" s="1" t="s">
        <v>15</v>
      </c>
      <c r="H204" s="1" t="n">
        <v>3.5</v>
      </c>
      <c r="I204" s="1" t="n">
        <v>0</v>
      </c>
      <c r="J204" s="1" t="n">
        <v>20201</v>
      </c>
      <c r="L204" s="1" t="str">
        <f aca="false">IF(D203&lt;&gt;D204,D204,"")</f>
        <v/>
      </c>
      <c r="M204" s="1" t="str">
        <f aca="false">IF(F203&lt;&gt;F204,F204,"")</f>
        <v/>
      </c>
    </row>
    <row r="205" customFormat="false" ht="15" hidden="false" customHeight="false" outlineLevel="0" collapsed="false">
      <c r="A205" s="1" t="s">
        <v>430</v>
      </c>
      <c r="B205" s="1" t="s">
        <v>431</v>
      </c>
      <c r="C205" s="1" t="s">
        <v>301</v>
      </c>
      <c r="D205" s="1" t="s">
        <v>302</v>
      </c>
      <c r="E205" s="1" t="n">
        <v>20171</v>
      </c>
      <c r="F205" s="1" t="s">
        <v>303</v>
      </c>
      <c r="G205" s="1" t="s">
        <v>15</v>
      </c>
      <c r="H205" s="1" t="n">
        <v>3.5</v>
      </c>
      <c r="I205" s="1" t="n">
        <v>0</v>
      </c>
      <c r="J205" s="1" t="n">
        <v>20201</v>
      </c>
      <c r="L205" s="1" t="str">
        <f aca="false">IF(D204&lt;&gt;D205,D205,"")</f>
        <v/>
      </c>
      <c r="M205" s="1" t="str">
        <f aca="false">IF(F204&lt;&gt;F205,F205,"")</f>
        <v/>
      </c>
    </row>
    <row r="206" customFormat="false" ht="15" hidden="false" customHeight="false" outlineLevel="0" collapsed="false">
      <c r="A206" s="1" t="s">
        <v>432</v>
      </c>
      <c r="B206" s="1" t="s">
        <v>433</v>
      </c>
      <c r="C206" s="1" t="s">
        <v>301</v>
      </c>
      <c r="D206" s="1" t="s">
        <v>302</v>
      </c>
      <c r="E206" s="1" t="n">
        <v>20171</v>
      </c>
      <c r="F206" s="1" t="s">
        <v>303</v>
      </c>
      <c r="G206" s="1" t="s">
        <v>15</v>
      </c>
      <c r="H206" s="1" t="n">
        <v>3.5</v>
      </c>
      <c r="I206" s="1" t="n">
        <v>0</v>
      </c>
      <c r="J206" s="1" t="n">
        <v>20201</v>
      </c>
      <c r="L206" s="1" t="str">
        <f aca="false">IF(D205&lt;&gt;D206,D206,"")</f>
        <v/>
      </c>
      <c r="M206" s="1" t="str">
        <f aca="false">IF(F205&lt;&gt;F206,F206,"")</f>
        <v/>
      </c>
    </row>
    <row r="207" customFormat="false" ht="15" hidden="false" customHeight="false" outlineLevel="0" collapsed="false">
      <c r="A207" s="1" t="s">
        <v>434</v>
      </c>
      <c r="B207" s="1" t="s">
        <v>435</v>
      </c>
      <c r="C207" s="1" t="s">
        <v>301</v>
      </c>
      <c r="D207" s="1" t="s">
        <v>302</v>
      </c>
      <c r="E207" s="1" t="n">
        <v>20171</v>
      </c>
      <c r="F207" s="1" t="s">
        <v>303</v>
      </c>
      <c r="G207" s="1" t="s">
        <v>14</v>
      </c>
      <c r="H207" s="1" t="n">
        <v>4</v>
      </c>
      <c r="I207" s="1" t="n">
        <v>0</v>
      </c>
      <c r="J207" s="1" t="n">
        <v>20201</v>
      </c>
      <c r="L207" s="1" t="str">
        <f aca="false">IF(D206&lt;&gt;D207,D207,"")</f>
        <v/>
      </c>
      <c r="M207" s="1" t="str">
        <f aca="false">IF(F206&lt;&gt;F207,F207,"")</f>
        <v/>
      </c>
    </row>
    <row r="208" customFormat="false" ht="15" hidden="false" customHeight="false" outlineLevel="0" collapsed="false">
      <c r="A208" s="1" t="s">
        <v>436</v>
      </c>
      <c r="B208" s="1" t="s">
        <v>437</v>
      </c>
      <c r="C208" s="1" t="s">
        <v>301</v>
      </c>
      <c r="D208" s="1" t="s">
        <v>302</v>
      </c>
      <c r="E208" s="1" t="n">
        <v>20171</v>
      </c>
      <c r="F208" s="1" t="s">
        <v>303</v>
      </c>
      <c r="G208" s="1" t="s">
        <v>15</v>
      </c>
      <c r="H208" s="1" t="n">
        <v>3.5</v>
      </c>
      <c r="I208" s="1" t="n">
        <v>0</v>
      </c>
      <c r="J208" s="1" t="n">
        <v>20201</v>
      </c>
      <c r="L208" s="1" t="str">
        <f aca="false">IF(D207&lt;&gt;D208,D208,"")</f>
        <v/>
      </c>
      <c r="M208" s="1" t="str">
        <f aca="false">IF(F207&lt;&gt;F208,F208,"")</f>
        <v/>
      </c>
    </row>
    <row r="209" customFormat="false" ht="15" hidden="false" customHeight="false" outlineLevel="0" collapsed="false">
      <c r="A209" s="1" t="s">
        <v>438</v>
      </c>
      <c r="B209" s="1" t="s">
        <v>439</v>
      </c>
      <c r="C209" s="1" t="s">
        <v>301</v>
      </c>
      <c r="D209" s="1" t="s">
        <v>302</v>
      </c>
      <c r="E209" s="1" t="n">
        <v>20171</v>
      </c>
      <c r="F209" s="1" t="s">
        <v>303</v>
      </c>
      <c r="G209" s="1" t="s">
        <v>15</v>
      </c>
      <c r="H209" s="1" t="n">
        <v>3.5</v>
      </c>
      <c r="I209" s="1" t="n">
        <v>0</v>
      </c>
      <c r="J209" s="1" t="n">
        <v>20201</v>
      </c>
      <c r="L209" s="1" t="str">
        <f aca="false">IF(D208&lt;&gt;D209,D209,"")</f>
        <v/>
      </c>
      <c r="M209" s="1" t="str">
        <f aca="false">IF(F208&lt;&gt;F209,F209,"")</f>
        <v/>
      </c>
    </row>
    <row r="210" customFormat="false" ht="15" hidden="false" customHeight="false" outlineLevel="0" collapsed="false">
      <c r="A210" s="1" t="s">
        <v>440</v>
      </c>
      <c r="B210" s="1" t="s">
        <v>441</v>
      </c>
      <c r="C210" s="1" t="s">
        <v>301</v>
      </c>
      <c r="D210" s="1" t="s">
        <v>302</v>
      </c>
      <c r="E210" s="1" t="n">
        <v>20171</v>
      </c>
      <c r="F210" s="1" t="s">
        <v>303</v>
      </c>
      <c r="G210" s="1" t="s">
        <v>15</v>
      </c>
      <c r="H210" s="1" t="n">
        <v>3.5</v>
      </c>
      <c r="I210" s="1" t="n">
        <v>0</v>
      </c>
      <c r="J210" s="1" t="n">
        <v>20201</v>
      </c>
      <c r="L210" s="1" t="str">
        <f aca="false">IF(D209&lt;&gt;D210,D210,"")</f>
        <v/>
      </c>
      <c r="M210" s="1" t="str">
        <f aca="false">IF(F209&lt;&gt;F210,F210,"")</f>
        <v/>
      </c>
    </row>
    <row r="211" customFormat="false" ht="15" hidden="false" customHeight="false" outlineLevel="0" collapsed="false">
      <c r="A211" s="1" t="s">
        <v>442</v>
      </c>
      <c r="B211" s="1" t="s">
        <v>443</v>
      </c>
      <c r="C211" s="1" t="s">
        <v>301</v>
      </c>
      <c r="D211" s="1" t="s">
        <v>302</v>
      </c>
      <c r="E211" s="1" t="n">
        <v>20171</v>
      </c>
      <c r="F211" s="1" t="s">
        <v>303</v>
      </c>
      <c r="G211" s="1" t="s">
        <v>15</v>
      </c>
      <c r="H211" s="1" t="n">
        <v>3.5</v>
      </c>
      <c r="I211" s="1" t="n">
        <v>0</v>
      </c>
      <c r="J211" s="1" t="n">
        <v>20201</v>
      </c>
      <c r="L211" s="1" t="str">
        <f aca="false">IF(D210&lt;&gt;D211,D211,"")</f>
        <v/>
      </c>
      <c r="M211" s="1" t="str">
        <f aca="false">IF(F210&lt;&gt;F211,F211,"")</f>
        <v/>
      </c>
    </row>
    <row r="212" customFormat="false" ht="15" hidden="false" customHeight="false" outlineLevel="0" collapsed="false">
      <c r="A212" s="1" t="s">
        <v>444</v>
      </c>
      <c r="B212" s="1" t="s">
        <v>445</v>
      </c>
      <c r="C212" s="1" t="s">
        <v>301</v>
      </c>
      <c r="D212" s="1" t="s">
        <v>302</v>
      </c>
      <c r="E212" s="1" t="n">
        <v>20171</v>
      </c>
      <c r="F212" s="1" t="s">
        <v>303</v>
      </c>
      <c r="G212" s="1" t="s">
        <v>15</v>
      </c>
      <c r="H212" s="1" t="n">
        <v>3.5</v>
      </c>
      <c r="I212" s="1" t="n">
        <v>0</v>
      </c>
      <c r="J212" s="1" t="n">
        <v>20201</v>
      </c>
      <c r="L212" s="1" t="str">
        <f aca="false">IF(D211&lt;&gt;D212,D212,"")</f>
        <v/>
      </c>
      <c r="M212" s="1" t="str">
        <f aca="false">IF(F211&lt;&gt;F212,F212,"")</f>
        <v/>
      </c>
    </row>
    <row r="213" customFormat="false" ht="15" hidden="false" customHeight="false" outlineLevel="0" collapsed="false">
      <c r="A213" s="1" t="s">
        <v>446</v>
      </c>
      <c r="B213" s="1" t="s">
        <v>447</v>
      </c>
      <c r="C213" s="1" t="s">
        <v>301</v>
      </c>
      <c r="D213" s="1" t="s">
        <v>302</v>
      </c>
      <c r="E213" s="1" t="n">
        <v>20171</v>
      </c>
      <c r="F213" s="1" t="s">
        <v>303</v>
      </c>
      <c r="G213" s="1" t="s">
        <v>18</v>
      </c>
      <c r="H213" s="1" t="n">
        <v>3</v>
      </c>
      <c r="I213" s="1" t="n">
        <v>0</v>
      </c>
      <c r="J213" s="1" t="n">
        <v>20201</v>
      </c>
      <c r="L213" s="1" t="str">
        <f aca="false">IF(D212&lt;&gt;D213,D213,"")</f>
        <v/>
      </c>
      <c r="M213" s="1" t="str">
        <f aca="false">IF(F212&lt;&gt;F213,F213,"")</f>
        <v/>
      </c>
    </row>
    <row r="214" customFormat="false" ht="15" hidden="false" customHeight="false" outlineLevel="0" collapsed="false">
      <c r="A214" s="1" t="s">
        <v>448</v>
      </c>
      <c r="B214" s="1" t="s">
        <v>449</v>
      </c>
      <c r="C214" s="1" t="s">
        <v>301</v>
      </c>
      <c r="D214" s="1" t="s">
        <v>302</v>
      </c>
      <c r="E214" s="1" t="n">
        <v>20171</v>
      </c>
      <c r="F214" s="1" t="s">
        <v>303</v>
      </c>
      <c r="G214" s="1" t="s">
        <v>18</v>
      </c>
      <c r="H214" s="1" t="n">
        <v>3</v>
      </c>
      <c r="I214" s="1" t="n">
        <v>0</v>
      </c>
      <c r="J214" s="1" t="n">
        <v>20201</v>
      </c>
      <c r="L214" s="1" t="str">
        <f aca="false">IF(D213&lt;&gt;D214,D214,"")</f>
        <v/>
      </c>
      <c r="M214" s="1" t="str">
        <f aca="false">IF(F213&lt;&gt;F214,F214,"")</f>
        <v/>
      </c>
    </row>
    <row r="215" customFormat="false" ht="15" hidden="false" customHeight="false" outlineLevel="0" collapsed="false">
      <c r="A215" s="1" t="s">
        <v>450</v>
      </c>
      <c r="B215" s="1" t="s">
        <v>451</v>
      </c>
      <c r="C215" s="1" t="s">
        <v>301</v>
      </c>
      <c r="D215" s="1" t="s">
        <v>302</v>
      </c>
      <c r="E215" s="1" t="n">
        <v>20171</v>
      </c>
      <c r="F215" s="1" t="s">
        <v>303</v>
      </c>
      <c r="G215" s="1" t="s">
        <v>124</v>
      </c>
      <c r="H215" s="1" t="n">
        <v>0</v>
      </c>
      <c r="I215" s="1" t="n">
        <v>0</v>
      </c>
      <c r="J215" s="1" t="n">
        <v>20201</v>
      </c>
      <c r="L215" s="1" t="str">
        <f aca="false">IF(D214&lt;&gt;D215,D215,"")</f>
        <v/>
      </c>
      <c r="M215" s="1" t="str">
        <f aca="false">IF(F214&lt;&gt;F215,F215,"")</f>
        <v/>
      </c>
    </row>
    <row r="216" customFormat="false" ht="15" hidden="false" customHeight="false" outlineLevel="0" collapsed="false">
      <c r="A216" s="1" t="s">
        <v>452</v>
      </c>
      <c r="B216" s="1" t="s">
        <v>453</v>
      </c>
      <c r="C216" s="1" t="s">
        <v>301</v>
      </c>
      <c r="D216" s="1" t="s">
        <v>302</v>
      </c>
      <c r="E216" s="1" t="n">
        <v>20171</v>
      </c>
      <c r="F216" s="1" t="s">
        <v>303</v>
      </c>
      <c r="G216" s="1" t="s">
        <v>18</v>
      </c>
      <c r="H216" s="1" t="n">
        <v>3</v>
      </c>
      <c r="I216" s="1" t="n">
        <v>0</v>
      </c>
      <c r="J216" s="1" t="n">
        <v>20201</v>
      </c>
      <c r="L216" s="1" t="str">
        <f aca="false">IF(D215&lt;&gt;D216,D216,"")</f>
        <v/>
      </c>
      <c r="M216" s="1" t="str">
        <f aca="false">IF(F215&lt;&gt;F216,F216,"")</f>
        <v/>
      </c>
    </row>
    <row r="217" customFormat="false" ht="15" hidden="false" customHeight="false" outlineLevel="0" collapsed="false">
      <c r="A217" s="1" t="s">
        <v>454</v>
      </c>
      <c r="B217" s="1" t="s">
        <v>455</v>
      </c>
      <c r="C217" s="1" t="s">
        <v>301</v>
      </c>
      <c r="D217" s="1" t="s">
        <v>302</v>
      </c>
      <c r="E217" s="1" t="n">
        <v>20171</v>
      </c>
      <c r="F217" s="1" t="s">
        <v>303</v>
      </c>
      <c r="G217" s="1" t="s">
        <v>18</v>
      </c>
      <c r="H217" s="1" t="n">
        <v>3</v>
      </c>
      <c r="I217" s="1" t="n">
        <v>0</v>
      </c>
      <c r="J217" s="1" t="n">
        <v>20201</v>
      </c>
      <c r="L217" s="1" t="str">
        <f aca="false">IF(D216&lt;&gt;D217,D217,"")</f>
        <v/>
      </c>
      <c r="M217" s="1" t="str">
        <f aca="false">IF(F216&lt;&gt;F217,F217,"")</f>
        <v/>
      </c>
    </row>
    <row r="218" customFormat="false" ht="15" hidden="false" customHeight="false" outlineLevel="0" collapsed="false">
      <c r="A218" s="1" t="s">
        <v>456</v>
      </c>
      <c r="B218" s="1" t="s">
        <v>457</v>
      </c>
      <c r="C218" s="1" t="s">
        <v>301</v>
      </c>
      <c r="D218" s="1" t="s">
        <v>302</v>
      </c>
      <c r="E218" s="1" t="n">
        <v>20171</v>
      </c>
      <c r="F218" s="1" t="s">
        <v>303</v>
      </c>
      <c r="G218" s="1" t="s">
        <v>18</v>
      </c>
      <c r="H218" s="1" t="n">
        <v>3</v>
      </c>
      <c r="I218" s="1" t="n">
        <v>0</v>
      </c>
      <c r="J218" s="1" t="n">
        <v>20201</v>
      </c>
      <c r="L218" s="1" t="str">
        <f aca="false">IF(D217&lt;&gt;D218,D218,"")</f>
        <v/>
      </c>
      <c r="M218" s="1" t="str">
        <f aca="false">IF(F217&lt;&gt;F218,F218,"")</f>
        <v/>
      </c>
    </row>
    <row r="219" customFormat="false" ht="15" hidden="false" customHeight="false" outlineLevel="0" collapsed="false">
      <c r="A219" s="1" t="s">
        <v>458</v>
      </c>
      <c r="B219" s="1" t="s">
        <v>459</v>
      </c>
      <c r="C219" s="1" t="s">
        <v>301</v>
      </c>
      <c r="D219" s="1" t="s">
        <v>302</v>
      </c>
      <c r="E219" s="1" t="n">
        <v>20171</v>
      </c>
      <c r="F219" s="1" t="s">
        <v>303</v>
      </c>
      <c r="G219" s="1" t="s">
        <v>18</v>
      </c>
      <c r="H219" s="1" t="n">
        <v>3</v>
      </c>
      <c r="I219" s="1" t="n">
        <v>0</v>
      </c>
      <c r="J219" s="1" t="n">
        <v>20201</v>
      </c>
      <c r="L219" s="1" t="str">
        <f aca="false">IF(D218&lt;&gt;D219,D219,"")</f>
        <v/>
      </c>
      <c r="M219" s="1" t="str">
        <f aca="false">IF(F218&lt;&gt;F219,F219,"")</f>
        <v/>
      </c>
    </row>
    <row r="220" customFormat="false" ht="15" hidden="false" customHeight="false" outlineLevel="0" collapsed="false">
      <c r="A220" s="1" t="s">
        <v>460</v>
      </c>
      <c r="B220" s="1" t="s">
        <v>461</v>
      </c>
      <c r="C220" s="1" t="s">
        <v>301</v>
      </c>
      <c r="D220" s="1" t="s">
        <v>302</v>
      </c>
      <c r="E220" s="1" t="n">
        <v>20171</v>
      </c>
      <c r="F220" s="1" t="s">
        <v>303</v>
      </c>
      <c r="G220" s="1" t="s">
        <v>15</v>
      </c>
      <c r="H220" s="1" t="n">
        <v>3.5</v>
      </c>
      <c r="I220" s="1" t="n">
        <v>0</v>
      </c>
      <c r="J220" s="1" t="n">
        <v>20201</v>
      </c>
      <c r="L220" s="1" t="str">
        <f aca="false">IF(D219&lt;&gt;D220,D220,"")</f>
        <v/>
      </c>
      <c r="M220" s="1" t="str">
        <f aca="false">IF(F219&lt;&gt;F220,F220,"")</f>
        <v/>
      </c>
    </row>
    <row r="221" customFormat="false" ht="15" hidden="false" customHeight="false" outlineLevel="0" collapsed="false">
      <c r="A221" s="1" t="s">
        <v>462</v>
      </c>
      <c r="B221" s="1" t="s">
        <v>463</v>
      </c>
      <c r="C221" s="1" t="s">
        <v>301</v>
      </c>
      <c r="D221" s="1" t="s">
        <v>302</v>
      </c>
      <c r="E221" s="1" t="n">
        <v>20171</v>
      </c>
      <c r="F221" s="1" t="s">
        <v>303</v>
      </c>
      <c r="G221" s="1" t="s">
        <v>15</v>
      </c>
      <c r="H221" s="1" t="n">
        <v>3.5</v>
      </c>
      <c r="I221" s="1" t="n">
        <v>0</v>
      </c>
      <c r="J221" s="1" t="n">
        <v>20201</v>
      </c>
      <c r="L221" s="1" t="str">
        <f aca="false">IF(D220&lt;&gt;D221,D221,"")</f>
        <v/>
      </c>
      <c r="M221" s="1" t="str">
        <f aca="false">IF(F220&lt;&gt;F221,F221,"")</f>
        <v/>
      </c>
    </row>
    <row r="222" customFormat="false" ht="15" hidden="false" customHeight="false" outlineLevel="0" collapsed="false">
      <c r="A222" s="1" t="s">
        <v>464</v>
      </c>
      <c r="B222" s="1" t="s">
        <v>465</v>
      </c>
      <c r="C222" s="1" t="s">
        <v>301</v>
      </c>
      <c r="D222" s="1" t="s">
        <v>302</v>
      </c>
      <c r="E222" s="1" t="n">
        <v>20171</v>
      </c>
      <c r="F222" s="1" t="s">
        <v>303</v>
      </c>
      <c r="G222" s="1" t="s">
        <v>15</v>
      </c>
      <c r="H222" s="1" t="n">
        <v>3.5</v>
      </c>
      <c r="I222" s="1" t="n">
        <v>0</v>
      </c>
      <c r="J222" s="1" t="n">
        <v>20201</v>
      </c>
      <c r="L222" s="1" t="str">
        <f aca="false">IF(D221&lt;&gt;D222,D222,"")</f>
        <v/>
      </c>
      <c r="M222" s="1" t="str">
        <f aca="false">IF(F221&lt;&gt;F222,F222,"")</f>
        <v/>
      </c>
    </row>
    <row r="223" customFormat="false" ht="15" hidden="false" customHeight="false" outlineLevel="0" collapsed="false">
      <c r="A223" s="1" t="s">
        <v>466</v>
      </c>
      <c r="B223" s="1" t="s">
        <v>467</v>
      </c>
      <c r="C223" s="1" t="s">
        <v>301</v>
      </c>
      <c r="D223" s="1" t="s">
        <v>302</v>
      </c>
      <c r="E223" s="1" t="n">
        <v>20171</v>
      </c>
      <c r="F223" s="1" t="s">
        <v>303</v>
      </c>
      <c r="G223" s="1" t="s">
        <v>15</v>
      </c>
      <c r="H223" s="1" t="n">
        <v>3.5</v>
      </c>
      <c r="I223" s="1" t="n">
        <v>0</v>
      </c>
      <c r="J223" s="1" t="n">
        <v>20201</v>
      </c>
      <c r="L223" s="1" t="str">
        <f aca="false">IF(D222&lt;&gt;D223,D223,"")</f>
        <v/>
      </c>
      <c r="M223" s="1" t="str">
        <f aca="false">IF(F222&lt;&gt;F223,F223,"")</f>
        <v/>
      </c>
    </row>
    <row r="224" customFormat="false" ht="15" hidden="false" customHeight="false" outlineLevel="0" collapsed="false">
      <c r="A224" s="1" t="s">
        <v>468</v>
      </c>
      <c r="B224" s="1" t="s">
        <v>469</v>
      </c>
      <c r="C224" s="1" t="s">
        <v>301</v>
      </c>
      <c r="D224" s="1" t="s">
        <v>302</v>
      </c>
      <c r="E224" s="1" t="n">
        <v>20171</v>
      </c>
      <c r="F224" s="1" t="s">
        <v>303</v>
      </c>
      <c r="G224" s="1" t="s">
        <v>18</v>
      </c>
      <c r="H224" s="1" t="n">
        <v>3</v>
      </c>
      <c r="I224" s="1" t="n">
        <v>0</v>
      </c>
      <c r="J224" s="1" t="n">
        <v>20201</v>
      </c>
      <c r="L224" s="1" t="str">
        <f aca="false">IF(D223&lt;&gt;D224,D224,"")</f>
        <v/>
      </c>
      <c r="M224" s="1" t="str">
        <f aca="false">IF(F223&lt;&gt;F224,F224,"")</f>
        <v/>
      </c>
    </row>
    <row r="225" customFormat="false" ht="15" hidden="false" customHeight="false" outlineLevel="0" collapsed="false">
      <c r="A225" s="1" t="s">
        <v>470</v>
      </c>
      <c r="B225" s="1" t="s">
        <v>471</v>
      </c>
      <c r="C225" s="1" t="s">
        <v>301</v>
      </c>
      <c r="D225" s="1" t="s">
        <v>302</v>
      </c>
      <c r="E225" s="1" t="n">
        <v>20171</v>
      </c>
      <c r="F225" s="1" t="s">
        <v>303</v>
      </c>
      <c r="G225" s="1" t="s">
        <v>15</v>
      </c>
      <c r="H225" s="1" t="n">
        <v>3.5</v>
      </c>
      <c r="I225" s="1" t="n">
        <v>0</v>
      </c>
      <c r="J225" s="1" t="n">
        <v>20201</v>
      </c>
      <c r="L225" s="1" t="str">
        <f aca="false">IF(D224&lt;&gt;D225,D225,"")</f>
        <v/>
      </c>
      <c r="M225" s="1" t="str">
        <f aca="false">IF(F224&lt;&gt;F225,F225,"")</f>
        <v/>
      </c>
    </row>
    <row r="226" customFormat="false" ht="15" hidden="false" customHeight="false" outlineLevel="0" collapsed="false">
      <c r="A226" s="1" t="s">
        <v>472</v>
      </c>
      <c r="B226" s="1" t="s">
        <v>473</v>
      </c>
      <c r="C226" s="1" t="s">
        <v>301</v>
      </c>
      <c r="D226" s="1" t="s">
        <v>302</v>
      </c>
      <c r="E226" s="1" t="n">
        <v>20171</v>
      </c>
      <c r="F226" s="1" t="s">
        <v>303</v>
      </c>
      <c r="G226" s="1" t="s">
        <v>15</v>
      </c>
      <c r="H226" s="1" t="n">
        <v>3.5</v>
      </c>
      <c r="I226" s="1" t="n">
        <v>0</v>
      </c>
      <c r="J226" s="1" t="n">
        <v>20201</v>
      </c>
      <c r="L226" s="1" t="str">
        <f aca="false">IF(D225&lt;&gt;D226,D226,"")</f>
        <v/>
      </c>
      <c r="M226" s="1" t="str">
        <f aca="false">IF(F225&lt;&gt;F226,F226,"")</f>
        <v/>
      </c>
    </row>
    <row r="227" customFormat="false" ht="15" hidden="false" customHeight="false" outlineLevel="0" collapsed="false">
      <c r="A227" s="1" t="s">
        <v>474</v>
      </c>
      <c r="B227" s="1" t="s">
        <v>475</v>
      </c>
      <c r="C227" s="1" t="s">
        <v>301</v>
      </c>
      <c r="D227" s="1" t="s">
        <v>302</v>
      </c>
      <c r="E227" s="1" t="n">
        <v>20171</v>
      </c>
      <c r="F227" s="1" t="s">
        <v>303</v>
      </c>
      <c r="G227" s="1" t="s">
        <v>15</v>
      </c>
      <c r="H227" s="1" t="n">
        <v>3.5</v>
      </c>
      <c r="I227" s="1" t="n">
        <v>0</v>
      </c>
      <c r="J227" s="1" t="n">
        <v>20201</v>
      </c>
      <c r="L227" s="1" t="str">
        <f aca="false">IF(D226&lt;&gt;D227,D227,"")</f>
        <v/>
      </c>
      <c r="M227" s="1" t="str">
        <f aca="false">IF(F226&lt;&gt;F227,F227,"")</f>
        <v/>
      </c>
    </row>
    <row r="228" customFormat="false" ht="15" hidden="false" customHeight="false" outlineLevel="0" collapsed="false">
      <c r="A228" s="1" t="s">
        <v>476</v>
      </c>
      <c r="B228" s="1" t="s">
        <v>477</v>
      </c>
      <c r="C228" s="1" t="s">
        <v>301</v>
      </c>
      <c r="D228" s="1" t="s">
        <v>302</v>
      </c>
      <c r="E228" s="1" t="n">
        <v>20171</v>
      </c>
      <c r="F228" s="1" t="s">
        <v>303</v>
      </c>
      <c r="G228" s="1" t="s">
        <v>15</v>
      </c>
      <c r="H228" s="1" t="n">
        <v>3.5</v>
      </c>
      <c r="I228" s="1" t="n">
        <v>0</v>
      </c>
      <c r="J228" s="1" t="n">
        <v>20201</v>
      </c>
      <c r="L228" s="1" t="str">
        <f aca="false">IF(D227&lt;&gt;D228,D228,"")</f>
        <v/>
      </c>
      <c r="M228" s="1" t="str">
        <f aca="false">IF(F227&lt;&gt;F228,F228,"")</f>
        <v/>
      </c>
    </row>
    <row r="229" customFormat="false" ht="15" hidden="false" customHeight="false" outlineLevel="0" collapsed="false">
      <c r="A229" s="1" t="s">
        <v>478</v>
      </c>
      <c r="B229" s="1" t="s">
        <v>479</v>
      </c>
      <c r="C229" s="1" t="s">
        <v>301</v>
      </c>
      <c r="D229" s="1" t="s">
        <v>302</v>
      </c>
      <c r="E229" s="1" t="n">
        <v>20171</v>
      </c>
      <c r="F229" s="1" t="s">
        <v>303</v>
      </c>
      <c r="G229" s="1" t="s">
        <v>18</v>
      </c>
      <c r="H229" s="1" t="n">
        <v>3</v>
      </c>
      <c r="I229" s="1" t="n">
        <v>0</v>
      </c>
      <c r="J229" s="1" t="n">
        <v>20201</v>
      </c>
      <c r="L229" s="1" t="str">
        <f aca="false">IF(D228&lt;&gt;D229,D229,"")</f>
        <v/>
      </c>
      <c r="M229" s="1" t="str">
        <f aca="false">IF(F228&lt;&gt;F229,F229,"")</f>
        <v/>
      </c>
    </row>
    <row r="230" customFormat="false" ht="15" hidden="false" customHeight="false" outlineLevel="0" collapsed="false">
      <c r="A230" s="1" t="s">
        <v>480</v>
      </c>
      <c r="B230" s="1" t="s">
        <v>481</v>
      </c>
      <c r="C230" s="1" t="s">
        <v>301</v>
      </c>
      <c r="D230" s="1" t="s">
        <v>302</v>
      </c>
      <c r="E230" s="1" t="n">
        <v>20171</v>
      </c>
      <c r="F230" s="1" t="s">
        <v>303</v>
      </c>
      <c r="G230" s="1" t="s">
        <v>18</v>
      </c>
      <c r="H230" s="1" t="n">
        <v>3</v>
      </c>
      <c r="I230" s="1" t="n">
        <v>0</v>
      </c>
      <c r="J230" s="1" t="n">
        <v>20201</v>
      </c>
      <c r="L230" s="1" t="str">
        <f aca="false">IF(D229&lt;&gt;D230,D230,"")</f>
        <v/>
      </c>
      <c r="M230" s="1" t="str">
        <f aca="false">IF(F229&lt;&gt;F230,F230,"")</f>
        <v/>
      </c>
    </row>
    <row r="231" customFormat="false" ht="15" hidden="false" customHeight="false" outlineLevel="0" collapsed="false">
      <c r="A231" s="1" t="s">
        <v>482</v>
      </c>
      <c r="B231" s="1" t="s">
        <v>483</v>
      </c>
      <c r="C231" s="1" t="s">
        <v>301</v>
      </c>
      <c r="D231" s="1" t="s">
        <v>302</v>
      </c>
      <c r="E231" s="1" t="n">
        <v>20171</v>
      </c>
      <c r="F231" s="1" t="s">
        <v>303</v>
      </c>
      <c r="G231" s="1" t="s">
        <v>18</v>
      </c>
      <c r="H231" s="1" t="n">
        <v>3</v>
      </c>
      <c r="I231" s="1" t="n">
        <v>0</v>
      </c>
      <c r="J231" s="1" t="n">
        <v>20201</v>
      </c>
      <c r="L231" s="1" t="str">
        <f aca="false">IF(D230&lt;&gt;D231,D231,"")</f>
        <v/>
      </c>
      <c r="M231" s="1" t="str">
        <f aca="false">IF(F230&lt;&gt;F231,F231,"")</f>
        <v/>
      </c>
    </row>
    <row r="232" customFormat="false" ht="15" hidden="false" customHeight="false" outlineLevel="0" collapsed="false">
      <c r="A232" s="1" t="s">
        <v>484</v>
      </c>
      <c r="B232" s="1" t="s">
        <v>485</v>
      </c>
      <c r="C232" s="1" t="s">
        <v>301</v>
      </c>
      <c r="D232" s="1" t="s">
        <v>302</v>
      </c>
      <c r="E232" s="1" t="n">
        <v>20171</v>
      </c>
      <c r="F232" s="1" t="s">
        <v>303</v>
      </c>
      <c r="G232" s="1" t="s">
        <v>101</v>
      </c>
      <c r="H232" s="1" t="n">
        <v>2.5</v>
      </c>
      <c r="I232" s="1" t="n">
        <v>0</v>
      </c>
      <c r="J232" s="1" t="n">
        <v>20201</v>
      </c>
      <c r="L232" s="1" t="str">
        <f aca="false">IF(D231&lt;&gt;D232,D232,"")</f>
        <v/>
      </c>
      <c r="M232" s="1" t="str">
        <f aca="false">IF(F231&lt;&gt;F232,F232,"")</f>
        <v/>
      </c>
    </row>
    <row r="233" customFormat="false" ht="15" hidden="false" customHeight="false" outlineLevel="0" collapsed="false">
      <c r="A233" s="1" t="s">
        <v>486</v>
      </c>
      <c r="B233" s="1" t="s">
        <v>487</v>
      </c>
      <c r="C233" s="1" t="s">
        <v>301</v>
      </c>
      <c r="D233" s="1" t="s">
        <v>302</v>
      </c>
      <c r="E233" s="1" t="n">
        <v>20171</v>
      </c>
      <c r="F233" s="1" t="s">
        <v>303</v>
      </c>
      <c r="G233" s="1" t="s">
        <v>18</v>
      </c>
      <c r="H233" s="1" t="n">
        <v>3</v>
      </c>
      <c r="I233" s="1" t="n">
        <v>0</v>
      </c>
      <c r="J233" s="1" t="n">
        <v>20201</v>
      </c>
      <c r="L233" s="1" t="str">
        <f aca="false">IF(D232&lt;&gt;D233,D233,"")</f>
        <v/>
      </c>
      <c r="M233" s="1" t="str">
        <f aca="false">IF(F232&lt;&gt;F233,F233,"")</f>
        <v/>
      </c>
    </row>
    <row r="234" customFormat="false" ht="15" hidden="false" customHeight="false" outlineLevel="0" collapsed="false">
      <c r="A234" s="1" t="s">
        <v>488</v>
      </c>
      <c r="B234" s="1" t="s">
        <v>489</v>
      </c>
      <c r="C234" s="1" t="s">
        <v>301</v>
      </c>
      <c r="D234" s="1" t="s">
        <v>302</v>
      </c>
      <c r="E234" s="1" t="n">
        <v>20171</v>
      </c>
      <c r="F234" s="1" t="s">
        <v>303</v>
      </c>
      <c r="G234" s="1" t="s">
        <v>18</v>
      </c>
      <c r="H234" s="1" t="n">
        <v>3</v>
      </c>
      <c r="I234" s="1" t="n">
        <v>0</v>
      </c>
      <c r="J234" s="1" t="n">
        <v>20201</v>
      </c>
      <c r="L234" s="1" t="str">
        <f aca="false">IF(D233&lt;&gt;D234,D234,"")</f>
        <v/>
      </c>
      <c r="M234" s="1" t="str">
        <f aca="false">IF(F233&lt;&gt;F234,F234,"")</f>
        <v/>
      </c>
    </row>
    <row r="235" customFormat="false" ht="15" hidden="false" customHeight="false" outlineLevel="0" collapsed="false">
      <c r="A235" s="1" t="s">
        <v>490</v>
      </c>
      <c r="B235" s="1" t="s">
        <v>491</v>
      </c>
      <c r="C235" s="1" t="s">
        <v>301</v>
      </c>
      <c r="D235" s="1" t="s">
        <v>302</v>
      </c>
      <c r="E235" s="1" t="n">
        <v>20171</v>
      </c>
      <c r="F235" s="1" t="s">
        <v>303</v>
      </c>
      <c r="G235" s="1" t="s">
        <v>18</v>
      </c>
      <c r="H235" s="1" t="n">
        <v>3</v>
      </c>
      <c r="I235" s="1" t="n">
        <v>0</v>
      </c>
      <c r="J235" s="1" t="n">
        <v>20201</v>
      </c>
      <c r="L235" s="1" t="str">
        <f aca="false">IF(D234&lt;&gt;D235,D235,"")</f>
        <v/>
      </c>
      <c r="M235" s="1" t="str">
        <f aca="false">IF(F234&lt;&gt;F235,F235,"")</f>
        <v/>
      </c>
    </row>
    <row r="236" customFormat="false" ht="15" hidden="false" customHeight="false" outlineLevel="0" collapsed="false">
      <c r="A236" s="1" t="s">
        <v>492</v>
      </c>
      <c r="B236" s="1" t="s">
        <v>493</v>
      </c>
      <c r="C236" s="1" t="s">
        <v>301</v>
      </c>
      <c r="D236" s="1" t="s">
        <v>302</v>
      </c>
      <c r="E236" s="1" t="n">
        <v>20171</v>
      </c>
      <c r="F236" s="1" t="s">
        <v>303</v>
      </c>
      <c r="G236" s="1" t="s">
        <v>15</v>
      </c>
      <c r="H236" s="1" t="n">
        <v>3.5</v>
      </c>
      <c r="I236" s="1" t="n">
        <v>0</v>
      </c>
      <c r="J236" s="1" t="n">
        <v>20201</v>
      </c>
      <c r="L236" s="1" t="str">
        <f aca="false">IF(D235&lt;&gt;D236,D236,"")</f>
        <v/>
      </c>
      <c r="M236" s="1" t="str">
        <f aca="false">IF(F235&lt;&gt;F236,F236,"")</f>
        <v/>
      </c>
    </row>
    <row r="237" customFormat="false" ht="15" hidden="false" customHeight="false" outlineLevel="0" collapsed="false">
      <c r="A237" s="1" t="s">
        <v>494</v>
      </c>
      <c r="B237" s="1" t="s">
        <v>495</v>
      </c>
      <c r="C237" s="1" t="s">
        <v>301</v>
      </c>
      <c r="D237" s="1" t="s">
        <v>302</v>
      </c>
      <c r="E237" s="1" t="n">
        <v>20171</v>
      </c>
      <c r="F237" s="1" t="s">
        <v>303</v>
      </c>
      <c r="G237" s="1" t="s">
        <v>18</v>
      </c>
      <c r="H237" s="1" t="n">
        <v>3</v>
      </c>
      <c r="I237" s="1" t="n">
        <v>0</v>
      </c>
      <c r="J237" s="1" t="n">
        <v>20201</v>
      </c>
      <c r="L237" s="1" t="str">
        <f aca="false">IF(D236&lt;&gt;D237,D237,"")</f>
        <v/>
      </c>
      <c r="M237" s="1" t="str">
        <f aca="false">IF(F236&lt;&gt;F237,F237,"")</f>
        <v/>
      </c>
    </row>
    <row r="238" customFormat="false" ht="15" hidden="false" customHeight="false" outlineLevel="0" collapsed="false">
      <c r="A238" s="1" t="s">
        <v>496</v>
      </c>
      <c r="B238" s="1" t="s">
        <v>497</v>
      </c>
      <c r="C238" s="1" t="s">
        <v>301</v>
      </c>
      <c r="D238" s="1" t="s">
        <v>302</v>
      </c>
      <c r="E238" s="1" t="n">
        <v>20171</v>
      </c>
      <c r="F238" s="1" t="s">
        <v>303</v>
      </c>
      <c r="G238" s="1" t="s">
        <v>101</v>
      </c>
      <c r="H238" s="1" t="n">
        <v>2.5</v>
      </c>
      <c r="I238" s="1" t="n">
        <v>0</v>
      </c>
      <c r="J238" s="1" t="n">
        <v>20201</v>
      </c>
      <c r="L238" s="1" t="str">
        <f aca="false">IF(D237&lt;&gt;D238,D238,"")</f>
        <v/>
      </c>
      <c r="M238" s="1" t="str">
        <f aca="false">IF(F237&lt;&gt;F238,F238,"")</f>
        <v/>
      </c>
    </row>
    <row r="239" customFormat="false" ht="15" hidden="false" customHeight="false" outlineLevel="0" collapsed="false">
      <c r="A239" s="1" t="s">
        <v>498</v>
      </c>
      <c r="B239" s="1" t="s">
        <v>499</v>
      </c>
      <c r="C239" s="1" t="s">
        <v>301</v>
      </c>
      <c r="D239" s="1" t="s">
        <v>302</v>
      </c>
      <c r="E239" s="1" t="n">
        <v>20171</v>
      </c>
      <c r="F239" s="1" t="s">
        <v>303</v>
      </c>
      <c r="G239" s="1" t="s">
        <v>15</v>
      </c>
      <c r="H239" s="1" t="n">
        <v>3.5</v>
      </c>
      <c r="I239" s="1" t="n">
        <v>0</v>
      </c>
      <c r="J239" s="1" t="n">
        <v>20201</v>
      </c>
      <c r="L239" s="1" t="str">
        <f aca="false">IF(D238&lt;&gt;D239,D239,"")</f>
        <v/>
      </c>
      <c r="M239" s="1" t="str">
        <f aca="false">IF(F238&lt;&gt;F239,F239,"")</f>
        <v/>
      </c>
    </row>
    <row r="240" customFormat="false" ht="15" hidden="false" customHeight="false" outlineLevel="0" collapsed="false">
      <c r="A240" s="1" t="s">
        <v>500</v>
      </c>
      <c r="B240" s="1" t="s">
        <v>501</v>
      </c>
      <c r="C240" s="1" t="s">
        <v>301</v>
      </c>
      <c r="D240" s="1" t="s">
        <v>302</v>
      </c>
      <c r="E240" s="1" t="n">
        <v>20171</v>
      </c>
      <c r="F240" s="1" t="s">
        <v>303</v>
      </c>
      <c r="G240" s="1" t="s">
        <v>15</v>
      </c>
      <c r="H240" s="1" t="n">
        <v>3.5</v>
      </c>
      <c r="I240" s="1" t="n">
        <v>0</v>
      </c>
      <c r="J240" s="1" t="n">
        <v>20201</v>
      </c>
      <c r="L240" s="1" t="str">
        <f aca="false">IF(D239&lt;&gt;D240,D240,"")</f>
        <v/>
      </c>
      <c r="M240" s="1" t="str">
        <f aca="false">IF(F239&lt;&gt;F240,F240,"")</f>
        <v/>
      </c>
    </row>
    <row r="241" customFormat="false" ht="15" hidden="false" customHeight="false" outlineLevel="0" collapsed="false">
      <c r="A241" s="1" t="s">
        <v>502</v>
      </c>
      <c r="B241" s="1" t="s">
        <v>503</v>
      </c>
      <c r="C241" s="1" t="s">
        <v>301</v>
      </c>
      <c r="D241" s="1" t="s">
        <v>302</v>
      </c>
      <c r="E241" s="1" t="n">
        <v>20171</v>
      </c>
      <c r="F241" s="1" t="s">
        <v>303</v>
      </c>
      <c r="G241" s="1" t="s">
        <v>14</v>
      </c>
      <c r="H241" s="1" t="n">
        <v>4</v>
      </c>
      <c r="I241" s="1" t="n">
        <v>0</v>
      </c>
      <c r="J241" s="1" t="n">
        <v>20201</v>
      </c>
      <c r="L241" s="1" t="str">
        <f aca="false">IF(D240&lt;&gt;D241,D241,"")</f>
        <v/>
      </c>
      <c r="M241" s="1" t="str">
        <f aca="false">IF(F240&lt;&gt;F241,F241,"")</f>
        <v/>
      </c>
    </row>
    <row r="242" customFormat="false" ht="15" hidden="false" customHeight="false" outlineLevel="0" collapsed="false">
      <c r="A242" s="1" t="s">
        <v>504</v>
      </c>
      <c r="B242" s="1" t="s">
        <v>505</v>
      </c>
      <c r="C242" s="1" t="s">
        <v>301</v>
      </c>
      <c r="D242" s="1" t="s">
        <v>302</v>
      </c>
      <c r="E242" s="1" t="n">
        <v>20171</v>
      </c>
      <c r="F242" s="1" t="s">
        <v>303</v>
      </c>
      <c r="G242" s="1" t="s">
        <v>14</v>
      </c>
      <c r="H242" s="1" t="n">
        <v>4</v>
      </c>
      <c r="I242" s="1" t="n">
        <v>0</v>
      </c>
      <c r="J242" s="1" t="n">
        <v>20201</v>
      </c>
      <c r="L242" s="1" t="str">
        <f aca="false">IF(D241&lt;&gt;D242,D242,"")</f>
        <v/>
      </c>
      <c r="M242" s="1" t="str">
        <f aca="false">IF(F241&lt;&gt;F242,F242,"")</f>
        <v/>
      </c>
    </row>
    <row r="243" customFormat="false" ht="15" hidden="false" customHeight="false" outlineLevel="0" collapsed="false">
      <c r="A243" s="1" t="s">
        <v>506</v>
      </c>
      <c r="B243" s="1" t="s">
        <v>507</v>
      </c>
      <c r="C243" s="1" t="s">
        <v>301</v>
      </c>
      <c r="D243" s="1" t="s">
        <v>302</v>
      </c>
      <c r="E243" s="1" t="n">
        <v>20171</v>
      </c>
      <c r="F243" s="1" t="s">
        <v>303</v>
      </c>
      <c r="G243" s="1" t="s">
        <v>15</v>
      </c>
      <c r="H243" s="1" t="n">
        <v>3.5</v>
      </c>
      <c r="I243" s="1" t="n">
        <v>0</v>
      </c>
      <c r="J243" s="1" t="n">
        <v>20201</v>
      </c>
      <c r="L243" s="1" t="str">
        <f aca="false">IF(D242&lt;&gt;D243,D243,"")</f>
        <v/>
      </c>
      <c r="M243" s="1" t="str">
        <f aca="false">IF(F242&lt;&gt;F243,F243,"")</f>
        <v/>
      </c>
    </row>
    <row r="244" customFormat="false" ht="15" hidden="false" customHeight="false" outlineLevel="0" collapsed="false">
      <c r="A244" s="1" t="s">
        <v>508</v>
      </c>
      <c r="B244" s="1" t="s">
        <v>509</v>
      </c>
      <c r="C244" s="1" t="s">
        <v>301</v>
      </c>
      <c r="D244" s="1" t="s">
        <v>302</v>
      </c>
      <c r="E244" s="1" t="n">
        <v>20171</v>
      </c>
      <c r="F244" s="1" t="s">
        <v>303</v>
      </c>
      <c r="G244" s="1" t="s">
        <v>15</v>
      </c>
      <c r="H244" s="1" t="n">
        <v>3.5</v>
      </c>
      <c r="I244" s="1" t="n">
        <v>0</v>
      </c>
      <c r="J244" s="1" t="n">
        <v>20201</v>
      </c>
      <c r="L244" s="1" t="str">
        <f aca="false">IF(D243&lt;&gt;D244,D244,"")</f>
        <v/>
      </c>
      <c r="M244" s="1" t="str">
        <f aca="false">IF(F243&lt;&gt;F244,F244,"")</f>
        <v/>
      </c>
    </row>
    <row r="245" customFormat="false" ht="15" hidden="false" customHeight="false" outlineLevel="0" collapsed="false">
      <c r="A245" s="1" t="s">
        <v>198</v>
      </c>
      <c r="B245" s="1" t="s">
        <v>199</v>
      </c>
      <c r="C245" s="1" t="s">
        <v>301</v>
      </c>
      <c r="D245" s="1" t="s">
        <v>302</v>
      </c>
      <c r="E245" s="1" t="n">
        <v>20171</v>
      </c>
      <c r="F245" s="1" t="s">
        <v>303</v>
      </c>
      <c r="G245" s="1" t="s">
        <v>124</v>
      </c>
      <c r="H245" s="1" t="n">
        <v>0</v>
      </c>
      <c r="I245" s="1" t="n">
        <v>0</v>
      </c>
      <c r="J245" s="1" t="n">
        <v>20201</v>
      </c>
      <c r="L245" s="1" t="str">
        <f aca="false">IF(D244&lt;&gt;D245,D245,"")</f>
        <v/>
      </c>
      <c r="M245" s="1" t="str">
        <f aca="false">IF(F244&lt;&gt;F245,F245,"")</f>
        <v/>
      </c>
    </row>
    <row r="246" customFormat="false" ht="15" hidden="false" customHeight="false" outlineLevel="0" collapsed="false">
      <c r="A246" s="1" t="s">
        <v>304</v>
      </c>
      <c r="B246" s="1" t="s">
        <v>305</v>
      </c>
      <c r="C246" s="1" t="s">
        <v>510</v>
      </c>
      <c r="D246" s="1" t="s">
        <v>511</v>
      </c>
      <c r="E246" s="1" t="n">
        <v>20171</v>
      </c>
      <c r="F246" s="1" t="s">
        <v>303</v>
      </c>
      <c r="G246" s="1" t="s">
        <v>101</v>
      </c>
      <c r="H246" s="1" t="n">
        <v>2.5</v>
      </c>
      <c r="I246" s="1" t="n">
        <v>0</v>
      </c>
      <c r="J246" s="1" t="n">
        <v>20201</v>
      </c>
      <c r="L246" s="1" t="str">
        <f aca="false">IF(D245&lt;&gt;D246,D246,"")</f>
        <v>BAHASA INGGRIS I</v>
      </c>
      <c r="M246" s="1" t="str">
        <f aca="false">IF(F245&lt;&gt;F246,F246,"")</f>
        <v/>
      </c>
    </row>
    <row r="247" customFormat="false" ht="15" hidden="false" customHeight="false" outlineLevel="0" collapsed="false">
      <c r="A247" s="1" t="s">
        <v>16</v>
      </c>
      <c r="B247" s="1" t="s">
        <v>17</v>
      </c>
      <c r="C247" s="1" t="s">
        <v>510</v>
      </c>
      <c r="D247" s="1" t="s">
        <v>511</v>
      </c>
      <c r="E247" s="1" t="n">
        <v>20171</v>
      </c>
      <c r="F247" s="1" t="s">
        <v>303</v>
      </c>
      <c r="G247" s="1" t="s">
        <v>101</v>
      </c>
      <c r="H247" s="1" t="n">
        <v>2.5</v>
      </c>
      <c r="I247" s="1" t="n">
        <v>0</v>
      </c>
      <c r="J247" s="1" t="n">
        <v>20201</v>
      </c>
      <c r="L247" s="1" t="str">
        <f aca="false">IF(D246&lt;&gt;D247,D247,"")</f>
        <v/>
      </c>
      <c r="M247" s="1" t="str">
        <f aca="false">IF(F246&lt;&gt;F247,F247,"")</f>
        <v/>
      </c>
    </row>
    <row r="248" customFormat="false" ht="15" hidden="false" customHeight="false" outlineLevel="0" collapsed="false">
      <c r="A248" s="1" t="s">
        <v>512</v>
      </c>
      <c r="B248" s="1" t="s">
        <v>513</v>
      </c>
      <c r="C248" s="1" t="s">
        <v>510</v>
      </c>
      <c r="D248" s="1" t="s">
        <v>511</v>
      </c>
      <c r="E248" s="1" t="n">
        <v>20171</v>
      </c>
      <c r="F248" s="1" t="s">
        <v>303</v>
      </c>
      <c r="G248" s="1" t="s">
        <v>14</v>
      </c>
      <c r="H248" s="1" t="n">
        <v>4</v>
      </c>
      <c r="I248" s="1" t="n">
        <v>0</v>
      </c>
      <c r="J248" s="1" t="n">
        <v>20201</v>
      </c>
      <c r="L248" s="1" t="str">
        <f aca="false">IF(D247&lt;&gt;D248,D248,"")</f>
        <v/>
      </c>
      <c r="M248" s="1" t="str">
        <f aca="false">IF(F247&lt;&gt;F248,F248,"")</f>
        <v/>
      </c>
    </row>
    <row r="249" customFormat="false" ht="15" hidden="false" customHeight="false" outlineLevel="0" collapsed="false">
      <c r="A249" s="1" t="s">
        <v>314</v>
      </c>
      <c r="B249" s="1" t="s">
        <v>315</v>
      </c>
      <c r="C249" s="1" t="s">
        <v>510</v>
      </c>
      <c r="D249" s="1" t="s">
        <v>511</v>
      </c>
      <c r="E249" s="1" t="n">
        <v>20171</v>
      </c>
      <c r="F249" s="1" t="s">
        <v>303</v>
      </c>
      <c r="G249" s="1" t="s">
        <v>14</v>
      </c>
      <c r="H249" s="1" t="n">
        <v>4</v>
      </c>
      <c r="I249" s="1" t="n">
        <v>0</v>
      </c>
      <c r="J249" s="1" t="n">
        <v>20201</v>
      </c>
      <c r="L249" s="1" t="str">
        <f aca="false">IF(D248&lt;&gt;D249,D249,"")</f>
        <v/>
      </c>
      <c r="M249" s="1" t="str">
        <f aca="false">IF(F248&lt;&gt;F249,F249,"")</f>
        <v/>
      </c>
    </row>
    <row r="250" customFormat="false" ht="15" hidden="false" customHeight="false" outlineLevel="0" collapsed="false">
      <c r="A250" s="1" t="s">
        <v>316</v>
      </c>
      <c r="B250" s="1" t="s">
        <v>317</v>
      </c>
      <c r="C250" s="1" t="s">
        <v>510</v>
      </c>
      <c r="D250" s="1" t="s">
        <v>511</v>
      </c>
      <c r="E250" s="1" t="n">
        <v>20171</v>
      </c>
      <c r="F250" s="1" t="s">
        <v>303</v>
      </c>
      <c r="G250" s="1" t="s">
        <v>14</v>
      </c>
      <c r="H250" s="1" t="n">
        <v>4</v>
      </c>
      <c r="I250" s="1" t="n">
        <v>0</v>
      </c>
      <c r="J250" s="1" t="n">
        <v>20201</v>
      </c>
      <c r="L250" s="1" t="str">
        <f aca="false">IF(D249&lt;&gt;D250,D250,"")</f>
        <v/>
      </c>
      <c r="M250" s="1" t="str">
        <f aca="false">IF(F249&lt;&gt;F250,F250,"")</f>
        <v/>
      </c>
    </row>
    <row r="251" customFormat="false" ht="15" hidden="false" customHeight="false" outlineLevel="0" collapsed="false">
      <c r="A251" s="1" t="s">
        <v>318</v>
      </c>
      <c r="B251" s="1" t="s">
        <v>319</v>
      </c>
      <c r="C251" s="1" t="s">
        <v>510</v>
      </c>
      <c r="D251" s="1" t="s">
        <v>511</v>
      </c>
      <c r="E251" s="1" t="n">
        <v>20171</v>
      </c>
      <c r="F251" s="1" t="s">
        <v>303</v>
      </c>
      <c r="G251" s="1" t="s">
        <v>18</v>
      </c>
      <c r="H251" s="1" t="n">
        <v>3</v>
      </c>
      <c r="I251" s="1" t="n">
        <v>0</v>
      </c>
      <c r="J251" s="1" t="n">
        <v>20201</v>
      </c>
      <c r="L251" s="1" t="str">
        <f aca="false">IF(D250&lt;&gt;D251,D251,"")</f>
        <v/>
      </c>
      <c r="M251" s="1" t="str">
        <f aca="false">IF(F250&lt;&gt;F251,F251,"")</f>
        <v/>
      </c>
    </row>
    <row r="252" customFormat="false" ht="15" hidden="false" customHeight="false" outlineLevel="0" collapsed="false">
      <c r="A252" s="1" t="s">
        <v>320</v>
      </c>
      <c r="B252" s="1" t="s">
        <v>321</v>
      </c>
      <c r="C252" s="1" t="s">
        <v>510</v>
      </c>
      <c r="D252" s="1" t="s">
        <v>511</v>
      </c>
      <c r="E252" s="1" t="n">
        <v>20171</v>
      </c>
      <c r="F252" s="1" t="s">
        <v>303</v>
      </c>
      <c r="G252" s="1" t="s">
        <v>18</v>
      </c>
      <c r="H252" s="1" t="n">
        <v>3</v>
      </c>
      <c r="I252" s="1" t="n">
        <v>0</v>
      </c>
      <c r="J252" s="1" t="n">
        <v>20201</v>
      </c>
      <c r="L252" s="1" t="str">
        <f aca="false">IF(D251&lt;&gt;D252,D252,"")</f>
        <v/>
      </c>
      <c r="M252" s="1" t="str">
        <f aca="false">IF(F251&lt;&gt;F252,F252,"")</f>
        <v/>
      </c>
    </row>
    <row r="253" customFormat="false" ht="15" hidden="false" customHeight="false" outlineLevel="0" collapsed="false">
      <c r="A253" s="1" t="s">
        <v>322</v>
      </c>
      <c r="B253" s="1" t="s">
        <v>323</v>
      </c>
      <c r="C253" s="1" t="s">
        <v>510</v>
      </c>
      <c r="D253" s="1" t="s">
        <v>511</v>
      </c>
      <c r="E253" s="1" t="n">
        <v>20171</v>
      </c>
      <c r="F253" s="1" t="s">
        <v>303</v>
      </c>
      <c r="G253" s="1" t="s">
        <v>18</v>
      </c>
      <c r="H253" s="1" t="n">
        <v>3</v>
      </c>
      <c r="I253" s="1" t="n">
        <v>0</v>
      </c>
      <c r="J253" s="1" t="n">
        <v>20201</v>
      </c>
      <c r="L253" s="1" t="str">
        <f aca="false">IF(D252&lt;&gt;D253,D253,"")</f>
        <v/>
      </c>
      <c r="M253" s="1" t="str">
        <f aca="false">IF(F252&lt;&gt;F253,F253,"")</f>
        <v/>
      </c>
    </row>
    <row r="254" customFormat="false" ht="15" hidden="false" customHeight="false" outlineLevel="0" collapsed="false">
      <c r="A254" s="1" t="s">
        <v>324</v>
      </c>
      <c r="B254" s="1" t="s">
        <v>325</v>
      </c>
      <c r="C254" s="1" t="s">
        <v>510</v>
      </c>
      <c r="D254" s="1" t="s">
        <v>511</v>
      </c>
      <c r="E254" s="1" t="n">
        <v>20171</v>
      </c>
      <c r="F254" s="1" t="s">
        <v>303</v>
      </c>
      <c r="G254" s="1" t="s">
        <v>18</v>
      </c>
      <c r="H254" s="1" t="n">
        <v>3</v>
      </c>
      <c r="I254" s="1" t="n">
        <v>0</v>
      </c>
      <c r="J254" s="1" t="n">
        <v>20201</v>
      </c>
      <c r="L254" s="1" t="str">
        <f aca="false">IF(D253&lt;&gt;D254,D254,"")</f>
        <v/>
      </c>
      <c r="M254" s="1" t="str">
        <f aca="false">IF(F253&lt;&gt;F254,F254,"")</f>
        <v/>
      </c>
    </row>
    <row r="255" customFormat="false" ht="15" hidden="false" customHeight="false" outlineLevel="0" collapsed="false">
      <c r="A255" s="1" t="s">
        <v>326</v>
      </c>
      <c r="B255" s="1" t="s">
        <v>327</v>
      </c>
      <c r="C255" s="1" t="s">
        <v>510</v>
      </c>
      <c r="D255" s="1" t="s">
        <v>511</v>
      </c>
      <c r="E255" s="1" t="n">
        <v>20171</v>
      </c>
      <c r="F255" s="1" t="s">
        <v>303</v>
      </c>
      <c r="G255" s="1" t="s">
        <v>18</v>
      </c>
      <c r="H255" s="1" t="n">
        <v>3</v>
      </c>
      <c r="I255" s="1" t="n">
        <v>0</v>
      </c>
      <c r="J255" s="1" t="n">
        <v>20201</v>
      </c>
      <c r="L255" s="1" t="str">
        <f aca="false">IF(D254&lt;&gt;D255,D255,"")</f>
        <v/>
      </c>
      <c r="M255" s="1" t="str">
        <f aca="false">IF(F254&lt;&gt;F255,F255,"")</f>
        <v/>
      </c>
    </row>
    <row r="256" customFormat="false" ht="15" hidden="false" customHeight="false" outlineLevel="0" collapsed="false">
      <c r="A256" s="1" t="s">
        <v>328</v>
      </c>
      <c r="B256" s="1" t="s">
        <v>329</v>
      </c>
      <c r="C256" s="1" t="s">
        <v>510</v>
      </c>
      <c r="D256" s="1" t="s">
        <v>511</v>
      </c>
      <c r="E256" s="1" t="n">
        <v>20171</v>
      </c>
      <c r="F256" s="1" t="s">
        <v>303</v>
      </c>
      <c r="G256" s="1" t="s">
        <v>18</v>
      </c>
      <c r="H256" s="1" t="n">
        <v>3</v>
      </c>
      <c r="I256" s="1" t="n">
        <v>0</v>
      </c>
      <c r="J256" s="1" t="n">
        <v>20201</v>
      </c>
      <c r="L256" s="1" t="str">
        <f aca="false">IF(D255&lt;&gt;D256,D256,"")</f>
        <v/>
      </c>
      <c r="M256" s="1" t="str">
        <f aca="false">IF(F255&lt;&gt;F256,F256,"")</f>
        <v/>
      </c>
    </row>
    <row r="257" customFormat="false" ht="15" hidden="false" customHeight="false" outlineLevel="0" collapsed="false">
      <c r="A257" s="1" t="s">
        <v>330</v>
      </c>
      <c r="B257" s="1" t="s">
        <v>331</v>
      </c>
      <c r="C257" s="1" t="s">
        <v>510</v>
      </c>
      <c r="D257" s="1" t="s">
        <v>511</v>
      </c>
      <c r="E257" s="1" t="n">
        <v>20171</v>
      </c>
      <c r="F257" s="1" t="s">
        <v>303</v>
      </c>
      <c r="G257" s="1" t="s">
        <v>18</v>
      </c>
      <c r="H257" s="1" t="n">
        <v>3</v>
      </c>
      <c r="I257" s="1" t="n">
        <v>0</v>
      </c>
      <c r="J257" s="1" t="n">
        <v>20201</v>
      </c>
      <c r="L257" s="1" t="str">
        <f aca="false">IF(D256&lt;&gt;D257,D257,"")</f>
        <v/>
      </c>
      <c r="M257" s="1" t="str">
        <f aca="false">IF(F256&lt;&gt;F257,F257,"")</f>
        <v/>
      </c>
    </row>
    <row r="258" customFormat="false" ht="15" hidden="false" customHeight="false" outlineLevel="0" collapsed="false">
      <c r="A258" s="1" t="s">
        <v>332</v>
      </c>
      <c r="B258" s="1" t="s">
        <v>333</v>
      </c>
      <c r="C258" s="1" t="s">
        <v>510</v>
      </c>
      <c r="D258" s="1" t="s">
        <v>511</v>
      </c>
      <c r="E258" s="1" t="n">
        <v>20171</v>
      </c>
      <c r="F258" s="1" t="s">
        <v>303</v>
      </c>
      <c r="G258" s="1" t="s">
        <v>18</v>
      </c>
      <c r="H258" s="1" t="n">
        <v>3</v>
      </c>
      <c r="I258" s="1" t="n">
        <v>0</v>
      </c>
      <c r="J258" s="1" t="n">
        <v>20201</v>
      </c>
      <c r="L258" s="1" t="str">
        <f aca="false">IF(D257&lt;&gt;D258,D258,"")</f>
        <v/>
      </c>
      <c r="M258" s="1" t="str">
        <f aca="false">IF(F257&lt;&gt;F258,F258,"")</f>
        <v/>
      </c>
    </row>
    <row r="259" customFormat="false" ht="15" hidden="false" customHeight="false" outlineLevel="0" collapsed="false">
      <c r="A259" s="1" t="s">
        <v>334</v>
      </c>
      <c r="B259" s="1" t="s">
        <v>335</v>
      </c>
      <c r="C259" s="1" t="s">
        <v>510</v>
      </c>
      <c r="D259" s="1" t="s">
        <v>511</v>
      </c>
      <c r="E259" s="1" t="n">
        <v>20171</v>
      </c>
      <c r="F259" s="1" t="s">
        <v>303</v>
      </c>
      <c r="G259" s="1" t="s">
        <v>18</v>
      </c>
      <c r="H259" s="1" t="n">
        <v>3</v>
      </c>
      <c r="I259" s="1" t="n">
        <v>0</v>
      </c>
      <c r="J259" s="1" t="n">
        <v>20201</v>
      </c>
      <c r="L259" s="1" t="str">
        <f aca="false">IF(D258&lt;&gt;D259,D259,"")</f>
        <v/>
      </c>
      <c r="M259" s="1" t="str">
        <f aca="false">IF(F258&lt;&gt;F259,F259,"")</f>
        <v/>
      </c>
    </row>
    <row r="260" customFormat="false" ht="15" hidden="false" customHeight="false" outlineLevel="0" collapsed="false">
      <c r="A260" s="1" t="s">
        <v>336</v>
      </c>
      <c r="B260" s="1" t="s">
        <v>337</v>
      </c>
      <c r="C260" s="1" t="s">
        <v>510</v>
      </c>
      <c r="D260" s="1" t="s">
        <v>511</v>
      </c>
      <c r="E260" s="1" t="n">
        <v>20171</v>
      </c>
      <c r="F260" s="1" t="s">
        <v>303</v>
      </c>
      <c r="G260" s="1" t="s">
        <v>18</v>
      </c>
      <c r="H260" s="1" t="n">
        <v>3</v>
      </c>
      <c r="I260" s="1" t="n">
        <v>0</v>
      </c>
      <c r="J260" s="1" t="n">
        <v>20201</v>
      </c>
      <c r="L260" s="1" t="str">
        <f aca="false">IF(D259&lt;&gt;D260,D260,"")</f>
        <v/>
      </c>
      <c r="M260" s="1" t="str">
        <f aca="false">IF(F259&lt;&gt;F260,F260,"")</f>
        <v/>
      </c>
    </row>
    <row r="261" customFormat="false" ht="15" hidden="false" customHeight="false" outlineLevel="0" collapsed="false">
      <c r="A261" s="1" t="s">
        <v>338</v>
      </c>
      <c r="B261" s="1" t="s">
        <v>339</v>
      </c>
      <c r="C261" s="1" t="s">
        <v>510</v>
      </c>
      <c r="D261" s="1" t="s">
        <v>511</v>
      </c>
      <c r="E261" s="1" t="n">
        <v>20171</v>
      </c>
      <c r="F261" s="1" t="s">
        <v>303</v>
      </c>
      <c r="G261" s="1" t="s">
        <v>18</v>
      </c>
      <c r="H261" s="1" t="n">
        <v>3</v>
      </c>
      <c r="I261" s="1" t="n">
        <v>0</v>
      </c>
      <c r="J261" s="1" t="n">
        <v>20201</v>
      </c>
      <c r="L261" s="1" t="str">
        <f aca="false">IF(D260&lt;&gt;D261,D261,"")</f>
        <v/>
      </c>
      <c r="M261" s="1" t="str">
        <f aca="false">IF(F260&lt;&gt;F261,F261,"")</f>
        <v/>
      </c>
    </row>
    <row r="262" customFormat="false" ht="15" hidden="false" customHeight="false" outlineLevel="0" collapsed="false">
      <c r="A262" s="1" t="s">
        <v>340</v>
      </c>
      <c r="B262" s="1" t="s">
        <v>341</v>
      </c>
      <c r="C262" s="1" t="s">
        <v>510</v>
      </c>
      <c r="D262" s="1" t="s">
        <v>511</v>
      </c>
      <c r="E262" s="1" t="n">
        <v>20171</v>
      </c>
      <c r="F262" s="1" t="s">
        <v>303</v>
      </c>
      <c r="G262" s="1" t="s">
        <v>18</v>
      </c>
      <c r="H262" s="1" t="n">
        <v>3</v>
      </c>
      <c r="I262" s="1" t="n">
        <v>0</v>
      </c>
      <c r="J262" s="1" t="n">
        <v>20201</v>
      </c>
      <c r="L262" s="1" t="str">
        <f aca="false">IF(D261&lt;&gt;D262,D262,"")</f>
        <v/>
      </c>
      <c r="M262" s="1" t="str">
        <f aca="false">IF(F261&lt;&gt;F262,F262,"")</f>
        <v/>
      </c>
    </row>
    <row r="263" customFormat="false" ht="15" hidden="false" customHeight="false" outlineLevel="0" collapsed="false">
      <c r="A263" s="1" t="s">
        <v>342</v>
      </c>
      <c r="B263" s="1" t="s">
        <v>343</v>
      </c>
      <c r="C263" s="1" t="s">
        <v>510</v>
      </c>
      <c r="D263" s="1" t="s">
        <v>511</v>
      </c>
      <c r="E263" s="1" t="n">
        <v>20171</v>
      </c>
      <c r="F263" s="1" t="s">
        <v>303</v>
      </c>
      <c r="G263" s="1" t="s">
        <v>18</v>
      </c>
      <c r="H263" s="1" t="n">
        <v>3</v>
      </c>
      <c r="I263" s="1" t="n">
        <v>0</v>
      </c>
      <c r="J263" s="1" t="n">
        <v>20201</v>
      </c>
      <c r="L263" s="1" t="str">
        <f aca="false">IF(D262&lt;&gt;D263,D263,"")</f>
        <v/>
      </c>
      <c r="M263" s="1" t="str">
        <f aca="false">IF(F262&lt;&gt;F263,F263,"")</f>
        <v/>
      </c>
    </row>
    <row r="264" customFormat="false" ht="15" hidden="false" customHeight="false" outlineLevel="0" collapsed="false">
      <c r="A264" s="1" t="s">
        <v>344</v>
      </c>
      <c r="B264" s="1" t="s">
        <v>345</v>
      </c>
      <c r="C264" s="1" t="s">
        <v>510</v>
      </c>
      <c r="D264" s="1" t="s">
        <v>511</v>
      </c>
      <c r="E264" s="1" t="n">
        <v>20171</v>
      </c>
      <c r="F264" s="1" t="s">
        <v>303</v>
      </c>
      <c r="G264" s="1" t="s">
        <v>18</v>
      </c>
      <c r="H264" s="1" t="n">
        <v>3</v>
      </c>
      <c r="I264" s="1" t="n">
        <v>0</v>
      </c>
      <c r="J264" s="1" t="n">
        <v>20201</v>
      </c>
      <c r="L264" s="1" t="str">
        <f aca="false">IF(D263&lt;&gt;D264,D264,"")</f>
        <v/>
      </c>
      <c r="M264" s="1" t="str">
        <f aca="false">IF(F263&lt;&gt;F264,F264,"")</f>
        <v/>
      </c>
    </row>
    <row r="265" customFormat="false" ht="15" hidden="false" customHeight="false" outlineLevel="0" collapsed="false">
      <c r="A265" s="1" t="s">
        <v>346</v>
      </c>
      <c r="B265" s="1" t="s">
        <v>347</v>
      </c>
      <c r="C265" s="1" t="s">
        <v>510</v>
      </c>
      <c r="D265" s="1" t="s">
        <v>511</v>
      </c>
      <c r="E265" s="1" t="n">
        <v>20171</v>
      </c>
      <c r="F265" s="1" t="s">
        <v>303</v>
      </c>
      <c r="G265" s="1" t="s">
        <v>18</v>
      </c>
      <c r="H265" s="1" t="n">
        <v>3</v>
      </c>
      <c r="I265" s="1" t="n">
        <v>0</v>
      </c>
      <c r="J265" s="1" t="n">
        <v>20201</v>
      </c>
      <c r="L265" s="1" t="str">
        <f aca="false">IF(D264&lt;&gt;D265,D265,"")</f>
        <v/>
      </c>
      <c r="M265" s="1" t="str">
        <f aca="false">IF(F264&lt;&gt;F265,F265,"")</f>
        <v/>
      </c>
    </row>
    <row r="266" customFormat="false" ht="15" hidden="false" customHeight="false" outlineLevel="0" collapsed="false">
      <c r="A266" s="1" t="s">
        <v>348</v>
      </c>
      <c r="B266" s="1" t="s">
        <v>349</v>
      </c>
      <c r="C266" s="1" t="s">
        <v>510</v>
      </c>
      <c r="D266" s="1" t="s">
        <v>511</v>
      </c>
      <c r="E266" s="1" t="n">
        <v>20171</v>
      </c>
      <c r="F266" s="1" t="s">
        <v>303</v>
      </c>
      <c r="G266" s="1" t="s">
        <v>18</v>
      </c>
      <c r="H266" s="1" t="n">
        <v>3</v>
      </c>
      <c r="I266" s="1" t="n">
        <v>0</v>
      </c>
      <c r="J266" s="1" t="n">
        <v>20201</v>
      </c>
      <c r="L266" s="1" t="str">
        <f aca="false">IF(D265&lt;&gt;D266,D266,"")</f>
        <v/>
      </c>
      <c r="M266" s="1" t="str">
        <f aca="false">IF(F265&lt;&gt;F266,F266,"")</f>
        <v/>
      </c>
    </row>
    <row r="267" customFormat="false" ht="15" hidden="false" customHeight="false" outlineLevel="0" collapsed="false">
      <c r="A267" s="1" t="s">
        <v>350</v>
      </c>
      <c r="B267" s="1" t="s">
        <v>351</v>
      </c>
      <c r="C267" s="1" t="s">
        <v>510</v>
      </c>
      <c r="D267" s="1" t="s">
        <v>511</v>
      </c>
      <c r="E267" s="1" t="n">
        <v>20171</v>
      </c>
      <c r="F267" s="1" t="s">
        <v>303</v>
      </c>
      <c r="G267" s="1" t="s">
        <v>18</v>
      </c>
      <c r="H267" s="1" t="n">
        <v>3</v>
      </c>
      <c r="I267" s="1" t="n">
        <v>0</v>
      </c>
      <c r="J267" s="1" t="n">
        <v>20201</v>
      </c>
      <c r="L267" s="1" t="str">
        <f aca="false">IF(D266&lt;&gt;D267,D267,"")</f>
        <v/>
      </c>
      <c r="M267" s="1" t="str">
        <f aca="false">IF(F266&lt;&gt;F267,F267,"")</f>
        <v/>
      </c>
    </row>
    <row r="268" customFormat="false" ht="15" hidden="false" customHeight="false" outlineLevel="0" collapsed="false">
      <c r="A268" s="1" t="s">
        <v>352</v>
      </c>
      <c r="B268" s="1" t="s">
        <v>353</v>
      </c>
      <c r="C268" s="1" t="s">
        <v>510</v>
      </c>
      <c r="D268" s="1" t="s">
        <v>511</v>
      </c>
      <c r="E268" s="1" t="n">
        <v>20171</v>
      </c>
      <c r="F268" s="1" t="s">
        <v>303</v>
      </c>
      <c r="G268" s="1" t="s">
        <v>18</v>
      </c>
      <c r="H268" s="1" t="n">
        <v>3</v>
      </c>
      <c r="I268" s="1" t="n">
        <v>0</v>
      </c>
      <c r="J268" s="1" t="n">
        <v>20201</v>
      </c>
      <c r="L268" s="1" t="str">
        <f aca="false">IF(D267&lt;&gt;D268,D268,"")</f>
        <v/>
      </c>
      <c r="M268" s="1" t="str">
        <f aca="false">IF(F267&lt;&gt;F268,F268,"")</f>
        <v/>
      </c>
    </row>
    <row r="269" customFormat="false" ht="15" hidden="false" customHeight="false" outlineLevel="0" collapsed="false">
      <c r="A269" s="1" t="s">
        <v>354</v>
      </c>
      <c r="B269" s="1" t="s">
        <v>355</v>
      </c>
      <c r="C269" s="1" t="s">
        <v>510</v>
      </c>
      <c r="D269" s="1" t="s">
        <v>511</v>
      </c>
      <c r="E269" s="1" t="n">
        <v>20171</v>
      </c>
      <c r="F269" s="1" t="s">
        <v>303</v>
      </c>
      <c r="G269" s="1" t="s">
        <v>124</v>
      </c>
      <c r="H269" s="1" t="n">
        <v>0</v>
      </c>
      <c r="I269" s="1" t="n">
        <v>0</v>
      </c>
      <c r="J269" s="1" t="n">
        <v>20201</v>
      </c>
      <c r="L269" s="1" t="str">
        <f aca="false">IF(D268&lt;&gt;D269,D269,"")</f>
        <v/>
      </c>
      <c r="M269" s="1" t="str">
        <f aca="false">IF(F268&lt;&gt;F269,F269,"")</f>
        <v/>
      </c>
    </row>
    <row r="270" customFormat="false" ht="15" hidden="false" customHeight="false" outlineLevel="0" collapsed="false">
      <c r="A270" s="1" t="s">
        <v>356</v>
      </c>
      <c r="B270" s="1" t="s">
        <v>357</v>
      </c>
      <c r="C270" s="1" t="s">
        <v>510</v>
      </c>
      <c r="D270" s="1" t="s">
        <v>511</v>
      </c>
      <c r="E270" s="1" t="n">
        <v>20171</v>
      </c>
      <c r="F270" s="1" t="s">
        <v>303</v>
      </c>
      <c r="G270" s="1" t="s">
        <v>18</v>
      </c>
      <c r="H270" s="1" t="n">
        <v>3</v>
      </c>
      <c r="I270" s="1" t="n">
        <v>0</v>
      </c>
      <c r="J270" s="1" t="n">
        <v>20201</v>
      </c>
      <c r="L270" s="1" t="str">
        <f aca="false">IF(D269&lt;&gt;D270,D270,"")</f>
        <v/>
      </c>
      <c r="M270" s="1" t="str">
        <f aca="false">IF(F269&lt;&gt;F270,F270,"")</f>
        <v/>
      </c>
    </row>
    <row r="271" customFormat="false" ht="15" hidden="false" customHeight="false" outlineLevel="0" collapsed="false">
      <c r="A271" s="1" t="s">
        <v>358</v>
      </c>
      <c r="B271" s="1" t="s">
        <v>359</v>
      </c>
      <c r="C271" s="1" t="s">
        <v>510</v>
      </c>
      <c r="D271" s="1" t="s">
        <v>511</v>
      </c>
      <c r="E271" s="1" t="n">
        <v>20171</v>
      </c>
      <c r="F271" s="1" t="s">
        <v>303</v>
      </c>
      <c r="G271" s="1" t="s">
        <v>127</v>
      </c>
      <c r="H271" s="1" t="n">
        <v>2</v>
      </c>
      <c r="I271" s="1" t="n">
        <v>0</v>
      </c>
      <c r="J271" s="1" t="n">
        <v>20201</v>
      </c>
      <c r="L271" s="1" t="str">
        <f aca="false">IF(D270&lt;&gt;D271,D271,"")</f>
        <v/>
      </c>
      <c r="M271" s="1" t="str">
        <f aca="false">IF(F270&lt;&gt;F271,F271,"")</f>
        <v/>
      </c>
    </row>
    <row r="272" customFormat="false" ht="15" hidden="false" customHeight="false" outlineLevel="0" collapsed="false">
      <c r="A272" s="1" t="s">
        <v>360</v>
      </c>
      <c r="B272" s="1" t="s">
        <v>361</v>
      </c>
      <c r="C272" s="1" t="s">
        <v>510</v>
      </c>
      <c r="D272" s="1" t="s">
        <v>511</v>
      </c>
      <c r="E272" s="1" t="n">
        <v>20171</v>
      </c>
      <c r="F272" s="1" t="s">
        <v>303</v>
      </c>
      <c r="G272" s="1" t="s">
        <v>14</v>
      </c>
      <c r="H272" s="1" t="n">
        <v>4</v>
      </c>
      <c r="I272" s="1" t="n">
        <v>0</v>
      </c>
      <c r="J272" s="1" t="n">
        <v>20201</v>
      </c>
      <c r="L272" s="1" t="str">
        <f aca="false">IF(D271&lt;&gt;D272,D272,"")</f>
        <v/>
      </c>
      <c r="M272" s="1" t="str">
        <f aca="false">IF(F271&lt;&gt;F272,F272,"")</f>
        <v/>
      </c>
    </row>
    <row r="273" customFormat="false" ht="15" hidden="false" customHeight="false" outlineLevel="0" collapsed="false">
      <c r="A273" s="1" t="s">
        <v>362</v>
      </c>
      <c r="B273" s="1" t="s">
        <v>363</v>
      </c>
      <c r="C273" s="1" t="s">
        <v>510</v>
      </c>
      <c r="D273" s="1" t="s">
        <v>511</v>
      </c>
      <c r="E273" s="1" t="n">
        <v>20171</v>
      </c>
      <c r="F273" s="1" t="s">
        <v>303</v>
      </c>
      <c r="G273" s="1" t="s">
        <v>18</v>
      </c>
      <c r="H273" s="1" t="n">
        <v>3</v>
      </c>
      <c r="I273" s="1" t="n">
        <v>0</v>
      </c>
      <c r="J273" s="1" t="n">
        <v>20201</v>
      </c>
      <c r="L273" s="1" t="str">
        <f aca="false">IF(D272&lt;&gt;D273,D273,"")</f>
        <v/>
      </c>
      <c r="M273" s="1" t="str">
        <f aca="false">IF(F272&lt;&gt;F273,F273,"")</f>
        <v/>
      </c>
    </row>
    <row r="274" customFormat="false" ht="15" hidden="false" customHeight="false" outlineLevel="0" collapsed="false">
      <c r="A274" s="1" t="s">
        <v>364</v>
      </c>
      <c r="B274" s="1" t="s">
        <v>365</v>
      </c>
      <c r="C274" s="1" t="s">
        <v>510</v>
      </c>
      <c r="D274" s="1" t="s">
        <v>511</v>
      </c>
      <c r="E274" s="1" t="n">
        <v>20171</v>
      </c>
      <c r="F274" s="1" t="s">
        <v>303</v>
      </c>
      <c r="G274" s="1" t="s">
        <v>14</v>
      </c>
      <c r="H274" s="1" t="n">
        <v>4</v>
      </c>
      <c r="I274" s="1" t="n">
        <v>0</v>
      </c>
      <c r="J274" s="1" t="n">
        <v>20201</v>
      </c>
      <c r="L274" s="1" t="str">
        <f aca="false">IF(D273&lt;&gt;D274,D274,"")</f>
        <v/>
      </c>
      <c r="M274" s="1" t="str">
        <f aca="false">IF(F273&lt;&gt;F274,F274,"")</f>
        <v/>
      </c>
    </row>
    <row r="275" customFormat="false" ht="15" hidden="false" customHeight="false" outlineLevel="0" collapsed="false">
      <c r="A275" s="1" t="s">
        <v>366</v>
      </c>
      <c r="B275" s="1" t="s">
        <v>367</v>
      </c>
      <c r="C275" s="1" t="s">
        <v>510</v>
      </c>
      <c r="D275" s="1" t="s">
        <v>511</v>
      </c>
      <c r="E275" s="1" t="n">
        <v>20171</v>
      </c>
      <c r="F275" s="1" t="s">
        <v>303</v>
      </c>
      <c r="G275" s="1" t="s">
        <v>14</v>
      </c>
      <c r="H275" s="1" t="n">
        <v>4</v>
      </c>
      <c r="I275" s="1" t="n">
        <v>0</v>
      </c>
      <c r="J275" s="1" t="n">
        <v>20201</v>
      </c>
      <c r="L275" s="1" t="str">
        <f aca="false">IF(D274&lt;&gt;D275,D275,"")</f>
        <v/>
      </c>
      <c r="M275" s="1" t="str">
        <f aca="false">IF(F274&lt;&gt;F275,F275,"")</f>
        <v/>
      </c>
    </row>
    <row r="276" customFormat="false" ht="15" hidden="false" customHeight="false" outlineLevel="0" collapsed="false">
      <c r="A276" s="1" t="s">
        <v>368</v>
      </c>
      <c r="B276" s="1" t="s">
        <v>369</v>
      </c>
      <c r="C276" s="1" t="s">
        <v>510</v>
      </c>
      <c r="D276" s="1" t="s">
        <v>511</v>
      </c>
      <c r="E276" s="1" t="n">
        <v>20171</v>
      </c>
      <c r="F276" s="1" t="s">
        <v>303</v>
      </c>
      <c r="G276" s="1" t="s">
        <v>18</v>
      </c>
      <c r="H276" s="1" t="n">
        <v>3</v>
      </c>
      <c r="I276" s="1" t="n">
        <v>0</v>
      </c>
      <c r="J276" s="1" t="n">
        <v>20201</v>
      </c>
      <c r="L276" s="1" t="str">
        <f aca="false">IF(D275&lt;&gt;D276,D276,"")</f>
        <v/>
      </c>
      <c r="M276" s="1" t="str">
        <f aca="false">IF(F275&lt;&gt;F276,F276,"")</f>
        <v/>
      </c>
    </row>
    <row r="277" customFormat="false" ht="15" hidden="false" customHeight="false" outlineLevel="0" collapsed="false">
      <c r="A277" s="1" t="s">
        <v>370</v>
      </c>
      <c r="B277" s="1" t="s">
        <v>371</v>
      </c>
      <c r="C277" s="1" t="s">
        <v>510</v>
      </c>
      <c r="D277" s="1" t="s">
        <v>511</v>
      </c>
      <c r="E277" s="1" t="n">
        <v>20171</v>
      </c>
      <c r="F277" s="1" t="s">
        <v>303</v>
      </c>
      <c r="G277" s="1" t="s">
        <v>18</v>
      </c>
      <c r="H277" s="1" t="n">
        <v>3</v>
      </c>
      <c r="I277" s="1" t="n">
        <v>0</v>
      </c>
      <c r="J277" s="1" t="n">
        <v>20201</v>
      </c>
      <c r="L277" s="1" t="str">
        <f aca="false">IF(D276&lt;&gt;D277,D277,"")</f>
        <v/>
      </c>
      <c r="M277" s="1" t="str">
        <f aca="false">IF(F276&lt;&gt;F277,F277,"")</f>
        <v/>
      </c>
    </row>
    <row r="278" customFormat="false" ht="15" hidden="false" customHeight="false" outlineLevel="0" collapsed="false">
      <c r="A278" s="1" t="s">
        <v>372</v>
      </c>
      <c r="B278" s="1" t="s">
        <v>373</v>
      </c>
      <c r="C278" s="1" t="s">
        <v>510</v>
      </c>
      <c r="D278" s="1" t="s">
        <v>511</v>
      </c>
      <c r="E278" s="1" t="n">
        <v>20171</v>
      </c>
      <c r="F278" s="1" t="s">
        <v>303</v>
      </c>
      <c r="G278" s="1" t="s">
        <v>14</v>
      </c>
      <c r="H278" s="1" t="n">
        <v>4</v>
      </c>
      <c r="I278" s="1" t="n">
        <v>0</v>
      </c>
      <c r="J278" s="1" t="n">
        <v>20201</v>
      </c>
      <c r="L278" s="1" t="str">
        <f aca="false">IF(D277&lt;&gt;D278,D278,"")</f>
        <v/>
      </c>
      <c r="M278" s="1" t="str">
        <f aca="false">IF(F277&lt;&gt;F278,F278,"")</f>
        <v/>
      </c>
    </row>
    <row r="279" customFormat="false" ht="15" hidden="false" customHeight="false" outlineLevel="0" collapsed="false">
      <c r="A279" s="1" t="s">
        <v>374</v>
      </c>
      <c r="B279" s="1" t="s">
        <v>375</v>
      </c>
      <c r="C279" s="1" t="s">
        <v>510</v>
      </c>
      <c r="D279" s="1" t="s">
        <v>511</v>
      </c>
      <c r="E279" s="1" t="n">
        <v>20171</v>
      </c>
      <c r="F279" s="1" t="s">
        <v>303</v>
      </c>
      <c r="G279" s="1" t="s">
        <v>14</v>
      </c>
      <c r="H279" s="1" t="n">
        <v>4</v>
      </c>
      <c r="I279" s="1" t="n">
        <v>0</v>
      </c>
      <c r="J279" s="1" t="n">
        <v>20201</v>
      </c>
      <c r="L279" s="1" t="str">
        <f aca="false">IF(D278&lt;&gt;D279,D279,"")</f>
        <v/>
      </c>
      <c r="M279" s="1" t="str">
        <f aca="false">IF(F278&lt;&gt;F279,F279,"")</f>
        <v/>
      </c>
    </row>
    <row r="280" customFormat="false" ht="15" hidden="false" customHeight="false" outlineLevel="0" collapsed="false">
      <c r="A280" s="1" t="s">
        <v>376</v>
      </c>
      <c r="B280" s="1" t="s">
        <v>377</v>
      </c>
      <c r="C280" s="1" t="s">
        <v>510</v>
      </c>
      <c r="D280" s="1" t="s">
        <v>511</v>
      </c>
      <c r="E280" s="1" t="n">
        <v>20171</v>
      </c>
      <c r="F280" s="1" t="s">
        <v>303</v>
      </c>
      <c r="G280" s="1" t="s">
        <v>15</v>
      </c>
      <c r="H280" s="1" t="n">
        <v>3.5</v>
      </c>
      <c r="I280" s="1" t="n">
        <v>0</v>
      </c>
      <c r="J280" s="1" t="n">
        <v>20201</v>
      </c>
      <c r="L280" s="1" t="str">
        <f aca="false">IF(D279&lt;&gt;D280,D280,"")</f>
        <v/>
      </c>
      <c r="M280" s="1" t="str">
        <f aca="false">IF(F279&lt;&gt;F280,F280,"")</f>
        <v/>
      </c>
    </row>
    <row r="281" customFormat="false" ht="15" hidden="false" customHeight="false" outlineLevel="0" collapsed="false">
      <c r="A281" s="1" t="s">
        <v>378</v>
      </c>
      <c r="B281" s="1" t="s">
        <v>379</v>
      </c>
      <c r="C281" s="1" t="s">
        <v>510</v>
      </c>
      <c r="D281" s="1" t="s">
        <v>511</v>
      </c>
      <c r="E281" s="1" t="n">
        <v>20171</v>
      </c>
      <c r="F281" s="1" t="s">
        <v>303</v>
      </c>
      <c r="G281" s="1" t="s">
        <v>15</v>
      </c>
      <c r="H281" s="1" t="n">
        <v>3.5</v>
      </c>
      <c r="I281" s="1" t="n">
        <v>0</v>
      </c>
      <c r="J281" s="1" t="n">
        <v>20201</v>
      </c>
      <c r="L281" s="1" t="str">
        <f aca="false">IF(D280&lt;&gt;D281,D281,"")</f>
        <v/>
      </c>
      <c r="M281" s="1" t="str">
        <f aca="false">IF(F280&lt;&gt;F281,F281,"")</f>
        <v/>
      </c>
    </row>
    <row r="282" customFormat="false" ht="15" hidden="false" customHeight="false" outlineLevel="0" collapsed="false">
      <c r="A282" s="1" t="s">
        <v>380</v>
      </c>
      <c r="B282" s="1" t="s">
        <v>381</v>
      </c>
      <c r="C282" s="1" t="s">
        <v>510</v>
      </c>
      <c r="D282" s="1" t="s">
        <v>511</v>
      </c>
      <c r="E282" s="1" t="n">
        <v>20171</v>
      </c>
      <c r="F282" s="1" t="s">
        <v>303</v>
      </c>
      <c r="G282" s="1" t="s">
        <v>14</v>
      </c>
      <c r="H282" s="1" t="n">
        <v>4</v>
      </c>
      <c r="I282" s="1" t="n">
        <v>0</v>
      </c>
      <c r="J282" s="1" t="n">
        <v>20201</v>
      </c>
      <c r="L282" s="1" t="str">
        <f aca="false">IF(D281&lt;&gt;D282,D282,"")</f>
        <v/>
      </c>
      <c r="M282" s="1" t="str">
        <f aca="false">IF(F281&lt;&gt;F282,F282,"")</f>
        <v/>
      </c>
    </row>
    <row r="283" customFormat="false" ht="15" hidden="false" customHeight="false" outlineLevel="0" collapsed="false">
      <c r="A283" s="1" t="s">
        <v>382</v>
      </c>
      <c r="B283" s="1" t="s">
        <v>383</v>
      </c>
      <c r="C283" s="1" t="s">
        <v>510</v>
      </c>
      <c r="D283" s="1" t="s">
        <v>511</v>
      </c>
      <c r="E283" s="1" t="n">
        <v>20171</v>
      </c>
      <c r="F283" s="1" t="s">
        <v>303</v>
      </c>
      <c r="G283" s="1" t="s">
        <v>14</v>
      </c>
      <c r="H283" s="1" t="n">
        <v>4</v>
      </c>
      <c r="I283" s="1" t="n">
        <v>0</v>
      </c>
      <c r="J283" s="1" t="n">
        <v>20201</v>
      </c>
      <c r="L283" s="1" t="str">
        <f aca="false">IF(D282&lt;&gt;D283,D283,"")</f>
        <v/>
      </c>
      <c r="M283" s="1" t="str">
        <f aca="false">IF(F282&lt;&gt;F283,F283,"")</f>
        <v/>
      </c>
    </row>
    <row r="284" customFormat="false" ht="15" hidden="false" customHeight="false" outlineLevel="0" collapsed="false">
      <c r="A284" s="1" t="s">
        <v>384</v>
      </c>
      <c r="B284" s="1" t="s">
        <v>385</v>
      </c>
      <c r="C284" s="1" t="s">
        <v>510</v>
      </c>
      <c r="D284" s="1" t="s">
        <v>511</v>
      </c>
      <c r="E284" s="1" t="n">
        <v>20171</v>
      </c>
      <c r="F284" s="1" t="s">
        <v>303</v>
      </c>
      <c r="G284" s="1" t="s">
        <v>14</v>
      </c>
      <c r="H284" s="1" t="n">
        <v>4</v>
      </c>
      <c r="I284" s="1" t="n">
        <v>0</v>
      </c>
      <c r="J284" s="1" t="n">
        <v>20201</v>
      </c>
      <c r="L284" s="1" t="str">
        <f aca="false">IF(D283&lt;&gt;D284,D284,"")</f>
        <v/>
      </c>
      <c r="M284" s="1" t="str">
        <f aca="false">IF(F283&lt;&gt;F284,F284,"")</f>
        <v/>
      </c>
    </row>
    <row r="285" customFormat="false" ht="15" hidden="false" customHeight="false" outlineLevel="0" collapsed="false">
      <c r="A285" s="1" t="s">
        <v>386</v>
      </c>
      <c r="B285" s="1" t="s">
        <v>387</v>
      </c>
      <c r="C285" s="1" t="s">
        <v>510</v>
      </c>
      <c r="D285" s="1" t="s">
        <v>511</v>
      </c>
      <c r="E285" s="1" t="n">
        <v>20171</v>
      </c>
      <c r="F285" s="1" t="s">
        <v>303</v>
      </c>
      <c r="G285" s="1" t="s">
        <v>14</v>
      </c>
      <c r="H285" s="1" t="n">
        <v>4</v>
      </c>
      <c r="I285" s="1" t="n">
        <v>0</v>
      </c>
      <c r="J285" s="1" t="n">
        <v>20201</v>
      </c>
      <c r="L285" s="1" t="str">
        <f aca="false">IF(D284&lt;&gt;D285,D285,"")</f>
        <v/>
      </c>
      <c r="M285" s="1" t="str">
        <f aca="false">IF(F284&lt;&gt;F285,F285,"")</f>
        <v/>
      </c>
    </row>
    <row r="286" customFormat="false" ht="15" hidden="false" customHeight="false" outlineLevel="0" collapsed="false">
      <c r="A286" s="1" t="s">
        <v>388</v>
      </c>
      <c r="B286" s="1" t="s">
        <v>389</v>
      </c>
      <c r="C286" s="1" t="s">
        <v>510</v>
      </c>
      <c r="D286" s="1" t="s">
        <v>511</v>
      </c>
      <c r="E286" s="1" t="n">
        <v>20171</v>
      </c>
      <c r="F286" s="1" t="s">
        <v>303</v>
      </c>
      <c r="G286" s="1" t="s">
        <v>14</v>
      </c>
      <c r="H286" s="1" t="n">
        <v>4</v>
      </c>
      <c r="I286" s="1" t="n">
        <v>0</v>
      </c>
      <c r="J286" s="1" t="n">
        <v>20201</v>
      </c>
      <c r="L286" s="1" t="str">
        <f aca="false">IF(D285&lt;&gt;D286,D286,"")</f>
        <v/>
      </c>
      <c r="M286" s="1" t="str">
        <f aca="false">IF(F285&lt;&gt;F286,F286,"")</f>
        <v/>
      </c>
    </row>
    <row r="287" customFormat="false" ht="15" hidden="false" customHeight="false" outlineLevel="0" collapsed="false">
      <c r="A287" s="1" t="s">
        <v>390</v>
      </c>
      <c r="B287" s="1" t="s">
        <v>391</v>
      </c>
      <c r="C287" s="1" t="s">
        <v>510</v>
      </c>
      <c r="D287" s="1" t="s">
        <v>511</v>
      </c>
      <c r="E287" s="1" t="n">
        <v>20171</v>
      </c>
      <c r="F287" s="1" t="s">
        <v>303</v>
      </c>
      <c r="G287" s="1" t="s">
        <v>14</v>
      </c>
      <c r="H287" s="1" t="n">
        <v>4</v>
      </c>
      <c r="I287" s="1" t="n">
        <v>0</v>
      </c>
      <c r="J287" s="1" t="n">
        <v>20201</v>
      </c>
      <c r="L287" s="1" t="str">
        <f aca="false">IF(D286&lt;&gt;D287,D287,"")</f>
        <v/>
      </c>
      <c r="M287" s="1" t="str">
        <f aca="false">IF(F286&lt;&gt;F287,F287,"")</f>
        <v/>
      </c>
    </row>
    <row r="288" customFormat="false" ht="15" hidden="false" customHeight="false" outlineLevel="0" collapsed="false">
      <c r="A288" s="1" t="s">
        <v>392</v>
      </c>
      <c r="B288" s="1" t="s">
        <v>393</v>
      </c>
      <c r="C288" s="1" t="s">
        <v>510</v>
      </c>
      <c r="D288" s="1" t="s">
        <v>511</v>
      </c>
      <c r="E288" s="1" t="n">
        <v>20171</v>
      </c>
      <c r="F288" s="1" t="s">
        <v>303</v>
      </c>
      <c r="G288" s="1" t="s">
        <v>101</v>
      </c>
      <c r="H288" s="1" t="n">
        <v>2.5</v>
      </c>
      <c r="I288" s="1" t="n">
        <v>0</v>
      </c>
      <c r="J288" s="1" t="n">
        <v>20201</v>
      </c>
      <c r="L288" s="1" t="str">
        <f aca="false">IF(D287&lt;&gt;D288,D288,"")</f>
        <v/>
      </c>
      <c r="M288" s="1" t="str">
        <f aca="false">IF(F287&lt;&gt;F288,F288,"")</f>
        <v/>
      </c>
    </row>
    <row r="289" customFormat="false" ht="15" hidden="false" customHeight="false" outlineLevel="0" collapsed="false">
      <c r="A289" s="1" t="s">
        <v>394</v>
      </c>
      <c r="B289" s="1" t="s">
        <v>395</v>
      </c>
      <c r="C289" s="1" t="s">
        <v>510</v>
      </c>
      <c r="D289" s="1" t="s">
        <v>511</v>
      </c>
      <c r="E289" s="1" t="n">
        <v>20171</v>
      </c>
      <c r="F289" s="1" t="s">
        <v>303</v>
      </c>
      <c r="G289" s="1" t="s">
        <v>127</v>
      </c>
      <c r="H289" s="1" t="n">
        <v>2</v>
      </c>
      <c r="I289" s="1" t="n">
        <v>0</v>
      </c>
      <c r="J289" s="1" t="n">
        <v>20201</v>
      </c>
      <c r="L289" s="1" t="str">
        <f aca="false">IF(D288&lt;&gt;D289,D289,"")</f>
        <v/>
      </c>
      <c r="M289" s="1" t="str">
        <f aca="false">IF(F288&lt;&gt;F289,F289,"")</f>
        <v/>
      </c>
    </row>
    <row r="290" customFormat="false" ht="15" hidden="false" customHeight="false" outlineLevel="0" collapsed="false">
      <c r="A290" s="1" t="s">
        <v>396</v>
      </c>
      <c r="B290" s="1" t="s">
        <v>397</v>
      </c>
      <c r="C290" s="1" t="s">
        <v>510</v>
      </c>
      <c r="D290" s="1" t="s">
        <v>511</v>
      </c>
      <c r="E290" s="1" t="n">
        <v>20171</v>
      </c>
      <c r="F290" s="1" t="s">
        <v>303</v>
      </c>
      <c r="G290" s="1" t="s">
        <v>18</v>
      </c>
      <c r="H290" s="1" t="n">
        <v>3</v>
      </c>
      <c r="I290" s="1" t="n">
        <v>0</v>
      </c>
      <c r="J290" s="1" t="n">
        <v>20201</v>
      </c>
      <c r="L290" s="1" t="str">
        <f aca="false">IF(D289&lt;&gt;D290,D290,"")</f>
        <v/>
      </c>
      <c r="M290" s="1" t="str">
        <f aca="false">IF(F289&lt;&gt;F290,F290,"")</f>
        <v/>
      </c>
    </row>
    <row r="291" customFormat="false" ht="15" hidden="false" customHeight="false" outlineLevel="0" collapsed="false">
      <c r="A291" s="1" t="s">
        <v>398</v>
      </c>
      <c r="B291" s="1" t="s">
        <v>399</v>
      </c>
      <c r="C291" s="1" t="s">
        <v>510</v>
      </c>
      <c r="D291" s="1" t="s">
        <v>511</v>
      </c>
      <c r="E291" s="1" t="n">
        <v>20171</v>
      </c>
      <c r="F291" s="1" t="s">
        <v>303</v>
      </c>
      <c r="G291" s="1" t="s">
        <v>14</v>
      </c>
      <c r="H291" s="1" t="n">
        <v>4</v>
      </c>
      <c r="I291" s="1" t="n">
        <v>0</v>
      </c>
      <c r="J291" s="1" t="n">
        <v>20201</v>
      </c>
      <c r="L291" s="1" t="str">
        <f aca="false">IF(D290&lt;&gt;D291,D291,"")</f>
        <v/>
      </c>
      <c r="M291" s="1" t="str">
        <f aca="false">IF(F290&lt;&gt;F291,F291,"")</f>
        <v/>
      </c>
    </row>
    <row r="292" customFormat="false" ht="15" hidden="false" customHeight="false" outlineLevel="0" collapsed="false">
      <c r="A292" s="1" t="s">
        <v>400</v>
      </c>
      <c r="B292" s="1" t="s">
        <v>401</v>
      </c>
      <c r="C292" s="1" t="s">
        <v>510</v>
      </c>
      <c r="D292" s="1" t="s">
        <v>511</v>
      </c>
      <c r="E292" s="1" t="n">
        <v>20171</v>
      </c>
      <c r="F292" s="1" t="s">
        <v>303</v>
      </c>
      <c r="G292" s="1" t="s">
        <v>14</v>
      </c>
      <c r="H292" s="1" t="n">
        <v>4</v>
      </c>
      <c r="I292" s="1" t="n">
        <v>0</v>
      </c>
      <c r="J292" s="1" t="n">
        <v>20201</v>
      </c>
      <c r="L292" s="1" t="str">
        <f aca="false">IF(D291&lt;&gt;D292,D292,"")</f>
        <v/>
      </c>
      <c r="M292" s="1" t="str">
        <f aca="false">IF(F291&lt;&gt;F292,F292,"")</f>
        <v/>
      </c>
    </row>
    <row r="293" customFormat="false" ht="15" hidden="false" customHeight="false" outlineLevel="0" collapsed="false">
      <c r="A293" s="1" t="s">
        <v>402</v>
      </c>
      <c r="B293" s="1" t="s">
        <v>403</v>
      </c>
      <c r="C293" s="1" t="s">
        <v>510</v>
      </c>
      <c r="D293" s="1" t="s">
        <v>511</v>
      </c>
      <c r="E293" s="1" t="n">
        <v>20171</v>
      </c>
      <c r="F293" s="1" t="s">
        <v>303</v>
      </c>
      <c r="G293" s="1" t="s">
        <v>14</v>
      </c>
      <c r="H293" s="1" t="n">
        <v>4</v>
      </c>
      <c r="I293" s="1" t="n">
        <v>0</v>
      </c>
      <c r="J293" s="1" t="n">
        <v>20201</v>
      </c>
      <c r="L293" s="1" t="str">
        <f aca="false">IF(D292&lt;&gt;D293,D293,"")</f>
        <v/>
      </c>
      <c r="M293" s="1" t="str">
        <f aca="false">IF(F292&lt;&gt;F293,F293,"")</f>
        <v/>
      </c>
    </row>
    <row r="294" customFormat="false" ht="15" hidden="false" customHeight="false" outlineLevel="0" collapsed="false">
      <c r="A294" s="1" t="s">
        <v>404</v>
      </c>
      <c r="B294" s="1" t="s">
        <v>405</v>
      </c>
      <c r="C294" s="1" t="s">
        <v>510</v>
      </c>
      <c r="D294" s="1" t="s">
        <v>511</v>
      </c>
      <c r="E294" s="1" t="n">
        <v>20171</v>
      </c>
      <c r="F294" s="1" t="s">
        <v>303</v>
      </c>
      <c r="G294" s="1" t="s">
        <v>14</v>
      </c>
      <c r="H294" s="1" t="n">
        <v>4</v>
      </c>
      <c r="I294" s="1" t="n">
        <v>0</v>
      </c>
      <c r="J294" s="1" t="n">
        <v>20201</v>
      </c>
      <c r="L294" s="1" t="str">
        <f aca="false">IF(D293&lt;&gt;D294,D294,"")</f>
        <v/>
      </c>
      <c r="M294" s="1" t="str">
        <f aca="false">IF(F293&lt;&gt;F294,F294,"")</f>
        <v/>
      </c>
    </row>
    <row r="295" customFormat="false" ht="15" hidden="false" customHeight="false" outlineLevel="0" collapsed="false">
      <c r="A295" s="1" t="s">
        <v>406</v>
      </c>
      <c r="B295" s="1" t="s">
        <v>407</v>
      </c>
      <c r="C295" s="1" t="s">
        <v>510</v>
      </c>
      <c r="D295" s="1" t="s">
        <v>511</v>
      </c>
      <c r="E295" s="1" t="n">
        <v>20171</v>
      </c>
      <c r="F295" s="1" t="s">
        <v>303</v>
      </c>
      <c r="G295" s="1" t="s">
        <v>14</v>
      </c>
      <c r="H295" s="1" t="n">
        <v>4</v>
      </c>
      <c r="I295" s="1" t="n">
        <v>0</v>
      </c>
      <c r="J295" s="1" t="n">
        <v>20201</v>
      </c>
      <c r="L295" s="1" t="str">
        <f aca="false">IF(D294&lt;&gt;D295,D295,"")</f>
        <v/>
      </c>
      <c r="M295" s="1" t="str">
        <f aca="false">IF(F294&lt;&gt;F295,F295,"")</f>
        <v/>
      </c>
    </row>
    <row r="296" customFormat="false" ht="15" hidden="false" customHeight="false" outlineLevel="0" collapsed="false">
      <c r="A296" s="1" t="s">
        <v>408</v>
      </c>
      <c r="B296" s="1" t="s">
        <v>409</v>
      </c>
      <c r="C296" s="1" t="s">
        <v>510</v>
      </c>
      <c r="D296" s="1" t="s">
        <v>511</v>
      </c>
      <c r="E296" s="1" t="n">
        <v>20171</v>
      </c>
      <c r="F296" s="1" t="s">
        <v>303</v>
      </c>
      <c r="G296" s="1" t="s">
        <v>15</v>
      </c>
      <c r="H296" s="1" t="n">
        <v>3.5</v>
      </c>
      <c r="I296" s="1" t="n">
        <v>0</v>
      </c>
      <c r="J296" s="1" t="n">
        <v>20201</v>
      </c>
      <c r="L296" s="1" t="str">
        <f aca="false">IF(D295&lt;&gt;D296,D296,"")</f>
        <v/>
      </c>
      <c r="M296" s="1" t="str">
        <f aca="false">IF(F295&lt;&gt;F296,F296,"")</f>
        <v/>
      </c>
    </row>
    <row r="297" customFormat="false" ht="15" hidden="false" customHeight="false" outlineLevel="0" collapsed="false">
      <c r="A297" s="1" t="s">
        <v>410</v>
      </c>
      <c r="B297" s="1" t="s">
        <v>411</v>
      </c>
      <c r="C297" s="1" t="s">
        <v>510</v>
      </c>
      <c r="D297" s="1" t="s">
        <v>511</v>
      </c>
      <c r="E297" s="1" t="n">
        <v>20171</v>
      </c>
      <c r="F297" s="1" t="s">
        <v>303</v>
      </c>
      <c r="G297" s="1" t="s">
        <v>14</v>
      </c>
      <c r="H297" s="1" t="n">
        <v>4</v>
      </c>
      <c r="I297" s="1" t="n">
        <v>0</v>
      </c>
      <c r="J297" s="1" t="n">
        <v>20201</v>
      </c>
      <c r="L297" s="1" t="str">
        <f aca="false">IF(D296&lt;&gt;D297,D297,"")</f>
        <v/>
      </c>
      <c r="M297" s="1" t="str">
        <f aca="false">IF(F296&lt;&gt;F297,F297,"")</f>
        <v/>
      </c>
    </row>
    <row r="298" customFormat="false" ht="15" hidden="false" customHeight="false" outlineLevel="0" collapsed="false">
      <c r="A298" s="1" t="s">
        <v>412</v>
      </c>
      <c r="B298" s="1" t="s">
        <v>413</v>
      </c>
      <c r="C298" s="1" t="s">
        <v>510</v>
      </c>
      <c r="D298" s="1" t="s">
        <v>511</v>
      </c>
      <c r="E298" s="1" t="n">
        <v>20171</v>
      </c>
      <c r="F298" s="1" t="s">
        <v>303</v>
      </c>
      <c r="G298" s="1" t="s">
        <v>127</v>
      </c>
      <c r="H298" s="1" t="n">
        <v>2</v>
      </c>
      <c r="I298" s="1" t="n">
        <v>0</v>
      </c>
      <c r="J298" s="1" t="n">
        <v>20201</v>
      </c>
      <c r="L298" s="1" t="str">
        <f aca="false">IF(D297&lt;&gt;D298,D298,"")</f>
        <v/>
      </c>
      <c r="M298" s="1" t="str">
        <f aca="false">IF(F297&lt;&gt;F298,F298,"")</f>
        <v/>
      </c>
    </row>
    <row r="299" customFormat="false" ht="15" hidden="false" customHeight="false" outlineLevel="0" collapsed="false">
      <c r="A299" s="1" t="s">
        <v>414</v>
      </c>
      <c r="B299" s="1" t="s">
        <v>415</v>
      </c>
      <c r="C299" s="1" t="s">
        <v>510</v>
      </c>
      <c r="D299" s="1" t="s">
        <v>511</v>
      </c>
      <c r="E299" s="1" t="n">
        <v>20171</v>
      </c>
      <c r="F299" s="1" t="s">
        <v>303</v>
      </c>
      <c r="G299" s="1" t="s">
        <v>101</v>
      </c>
      <c r="H299" s="1" t="n">
        <v>2.5</v>
      </c>
      <c r="I299" s="1" t="n">
        <v>0</v>
      </c>
      <c r="J299" s="1" t="n">
        <v>20201</v>
      </c>
      <c r="L299" s="1" t="str">
        <f aca="false">IF(D298&lt;&gt;D299,D299,"")</f>
        <v/>
      </c>
      <c r="M299" s="1" t="str">
        <f aca="false">IF(F298&lt;&gt;F299,F299,"")</f>
        <v/>
      </c>
    </row>
    <row r="300" customFormat="false" ht="15" hidden="false" customHeight="false" outlineLevel="0" collapsed="false">
      <c r="A300" s="1" t="s">
        <v>416</v>
      </c>
      <c r="B300" s="1" t="s">
        <v>417</v>
      </c>
      <c r="C300" s="1" t="s">
        <v>510</v>
      </c>
      <c r="D300" s="1" t="s">
        <v>511</v>
      </c>
      <c r="E300" s="1" t="n">
        <v>20171</v>
      </c>
      <c r="F300" s="1" t="s">
        <v>303</v>
      </c>
      <c r="G300" s="1" t="s">
        <v>15</v>
      </c>
      <c r="H300" s="1" t="n">
        <v>3.5</v>
      </c>
      <c r="I300" s="1" t="n">
        <v>0</v>
      </c>
      <c r="J300" s="1" t="n">
        <v>20201</v>
      </c>
      <c r="L300" s="1" t="str">
        <f aca="false">IF(D299&lt;&gt;D300,D300,"")</f>
        <v/>
      </c>
      <c r="M300" s="1" t="str">
        <f aca="false">IF(F299&lt;&gt;F300,F300,"")</f>
        <v/>
      </c>
    </row>
    <row r="301" customFormat="false" ht="15" hidden="false" customHeight="false" outlineLevel="0" collapsed="false">
      <c r="A301" s="1" t="s">
        <v>418</v>
      </c>
      <c r="B301" s="1" t="s">
        <v>419</v>
      </c>
      <c r="C301" s="1" t="s">
        <v>510</v>
      </c>
      <c r="D301" s="1" t="s">
        <v>511</v>
      </c>
      <c r="E301" s="1" t="n">
        <v>20171</v>
      </c>
      <c r="F301" s="1" t="s">
        <v>303</v>
      </c>
      <c r="G301" s="1" t="s">
        <v>101</v>
      </c>
      <c r="H301" s="1" t="n">
        <v>2.5</v>
      </c>
      <c r="I301" s="1" t="n">
        <v>0</v>
      </c>
      <c r="J301" s="1" t="n">
        <v>20201</v>
      </c>
      <c r="L301" s="1" t="str">
        <f aca="false">IF(D300&lt;&gt;D301,D301,"")</f>
        <v/>
      </c>
      <c r="M301" s="1" t="str">
        <f aca="false">IF(F300&lt;&gt;F301,F301,"")</f>
        <v/>
      </c>
    </row>
    <row r="302" customFormat="false" ht="15" hidden="false" customHeight="false" outlineLevel="0" collapsed="false">
      <c r="A302" s="1" t="s">
        <v>420</v>
      </c>
      <c r="B302" s="1" t="s">
        <v>421</v>
      </c>
      <c r="C302" s="1" t="s">
        <v>510</v>
      </c>
      <c r="D302" s="1" t="s">
        <v>511</v>
      </c>
      <c r="E302" s="1" t="n">
        <v>20171</v>
      </c>
      <c r="F302" s="1" t="s">
        <v>303</v>
      </c>
      <c r="G302" s="1" t="s">
        <v>124</v>
      </c>
      <c r="H302" s="1" t="n">
        <v>0</v>
      </c>
      <c r="I302" s="1" t="n">
        <v>0</v>
      </c>
      <c r="J302" s="1" t="n">
        <v>20201</v>
      </c>
      <c r="L302" s="1" t="str">
        <f aca="false">IF(D301&lt;&gt;D302,D302,"")</f>
        <v/>
      </c>
      <c r="M302" s="1" t="str">
        <f aca="false">IF(F301&lt;&gt;F302,F302,"")</f>
        <v/>
      </c>
    </row>
    <row r="303" customFormat="false" ht="15" hidden="false" customHeight="false" outlineLevel="0" collapsed="false">
      <c r="A303" s="1" t="s">
        <v>422</v>
      </c>
      <c r="B303" s="1" t="s">
        <v>423</v>
      </c>
      <c r="C303" s="1" t="s">
        <v>510</v>
      </c>
      <c r="D303" s="1" t="s">
        <v>511</v>
      </c>
      <c r="E303" s="1" t="n">
        <v>20171</v>
      </c>
      <c r="F303" s="1" t="s">
        <v>303</v>
      </c>
      <c r="G303" s="1" t="s">
        <v>101</v>
      </c>
      <c r="H303" s="1" t="n">
        <v>2.5</v>
      </c>
      <c r="I303" s="1" t="n">
        <v>0</v>
      </c>
      <c r="J303" s="1" t="n">
        <v>20201</v>
      </c>
      <c r="L303" s="1" t="str">
        <f aca="false">IF(D302&lt;&gt;D303,D303,"")</f>
        <v/>
      </c>
      <c r="M303" s="1" t="str">
        <f aca="false">IF(F302&lt;&gt;F303,F303,"")</f>
        <v/>
      </c>
    </row>
    <row r="304" customFormat="false" ht="15" hidden="false" customHeight="false" outlineLevel="0" collapsed="false">
      <c r="A304" s="1" t="s">
        <v>424</v>
      </c>
      <c r="B304" s="1" t="s">
        <v>425</v>
      </c>
      <c r="C304" s="1" t="s">
        <v>510</v>
      </c>
      <c r="D304" s="1" t="s">
        <v>511</v>
      </c>
      <c r="E304" s="1" t="n">
        <v>20171</v>
      </c>
      <c r="F304" s="1" t="s">
        <v>303</v>
      </c>
      <c r="G304" s="1" t="s">
        <v>101</v>
      </c>
      <c r="H304" s="1" t="n">
        <v>2.5</v>
      </c>
      <c r="I304" s="1" t="n">
        <v>0</v>
      </c>
      <c r="J304" s="1" t="n">
        <v>20201</v>
      </c>
      <c r="L304" s="1" t="str">
        <f aca="false">IF(D303&lt;&gt;D304,D304,"")</f>
        <v/>
      </c>
      <c r="M304" s="1" t="str">
        <f aca="false">IF(F303&lt;&gt;F304,F304,"")</f>
        <v/>
      </c>
    </row>
    <row r="305" customFormat="false" ht="15" hidden="false" customHeight="false" outlineLevel="0" collapsed="false">
      <c r="A305" s="1" t="s">
        <v>426</v>
      </c>
      <c r="B305" s="1" t="s">
        <v>427</v>
      </c>
      <c r="C305" s="1" t="s">
        <v>510</v>
      </c>
      <c r="D305" s="1" t="s">
        <v>511</v>
      </c>
      <c r="E305" s="1" t="n">
        <v>20171</v>
      </c>
      <c r="F305" s="1" t="s">
        <v>303</v>
      </c>
      <c r="G305" s="1" t="s">
        <v>18</v>
      </c>
      <c r="H305" s="1" t="n">
        <v>3</v>
      </c>
      <c r="I305" s="1" t="n">
        <v>0</v>
      </c>
      <c r="J305" s="1" t="n">
        <v>20201</v>
      </c>
      <c r="L305" s="1" t="str">
        <f aca="false">IF(D304&lt;&gt;D305,D305,"")</f>
        <v/>
      </c>
      <c r="M305" s="1" t="str">
        <f aca="false">IF(F304&lt;&gt;F305,F305,"")</f>
        <v/>
      </c>
    </row>
    <row r="306" customFormat="false" ht="15" hidden="false" customHeight="false" outlineLevel="0" collapsed="false">
      <c r="A306" s="1" t="s">
        <v>428</v>
      </c>
      <c r="B306" s="1" t="s">
        <v>429</v>
      </c>
      <c r="C306" s="1" t="s">
        <v>510</v>
      </c>
      <c r="D306" s="1" t="s">
        <v>511</v>
      </c>
      <c r="E306" s="1" t="n">
        <v>20171</v>
      </c>
      <c r="F306" s="1" t="s">
        <v>303</v>
      </c>
      <c r="G306" s="1" t="s">
        <v>514</v>
      </c>
      <c r="H306" s="1" t="n">
        <v>1</v>
      </c>
      <c r="I306" s="1" t="n">
        <v>0</v>
      </c>
      <c r="J306" s="1" t="n">
        <v>20201</v>
      </c>
      <c r="L306" s="1" t="str">
        <f aca="false">IF(D305&lt;&gt;D306,D306,"")</f>
        <v/>
      </c>
      <c r="M306" s="1" t="str">
        <f aca="false">IF(F305&lt;&gt;F306,F306,"")</f>
        <v/>
      </c>
    </row>
    <row r="307" customFormat="false" ht="15" hidden="false" customHeight="false" outlineLevel="0" collapsed="false">
      <c r="A307" s="1" t="s">
        <v>430</v>
      </c>
      <c r="B307" s="1" t="s">
        <v>431</v>
      </c>
      <c r="C307" s="1" t="s">
        <v>510</v>
      </c>
      <c r="D307" s="1" t="s">
        <v>511</v>
      </c>
      <c r="E307" s="1" t="n">
        <v>20171</v>
      </c>
      <c r="F307" s="1" t="s">
        <v>303</v>
      </c>
      <c r="G307" s="1" t="s">
        <v>18</v>
      </c>
      <c r="H307" s="1" t="n">
        <v>3</v>
      </c>
      <c r="I307" s="1" t="n">
        <v>0</v>
      </c>
      <c r="J307" s="1" t="n">
        <v>20201</v>
      </c>
      <c r="L307" s="1" t="str">
        <f aca="false">IF(D306&lt;&gt;D307,D307,"")</f>
        <v/>
      </c>
      <c r="M307" s="1" t="str">
        <f aca="false">IF(F306&lt;&gt;F307,F307,"")</f>
        <v/>
      </c>
    </row>
    <row r="308" customFormat="false" ht="15" hidden="false" customHeight="false" outlineLevel="0" collapsed="false">
      <c r="A308" s="1" t="s">
        <v>432</v>
      </c>
      <c r="B308" s="1" t="s">
        <v>433</v>
      </c>
      <c r="C308" s="1" t="s">
        <v>510</v>
      </c>
      <c r="D308" s="1" t="s">
        <v>511</v>
      </c>
      <c r="E308" s="1" t="n">
        <v>20171</v>
      </c>
      <c r="F308" s="1" t="s">
        <v>303</v>
      </c>
      <c r="G308" s="1" t="s">
        <v>127</v>
      </c>
      <c r="H308" s="1" t="n">
        <v>2</v>
      </c>
      <c r="I308" s="1" t="n">
        <v>0</v>
      </c>
      <c r="J308" s="1" t="n">
        <v>20201</v>
      </c>
      <c r="L308" s="1" t="str">
        <f aca="false">IF(D307&lt;&gt;D308,D308,"")</f>
        <v/>
      </c>
      <c r="M308" s="1" t="str">
        <f aca="false">IF(F307&lt;&gt;F308,F308,"")</f>
        <v/>
      </c>
    </row>
    <row r="309" customFormat="false" ht="15" hidden="false" customHeight="false" outlineLevel="0" collapsed="false">
      <c r="A309" s="1" t="s">
        <v>434</v>
      </c>
      <c r="B309" s="1" t="s">
        <v>435</v>
      </c>
      <c r="C309" s="1" t="s">
        <v>510</v>
      </c>
      <c r="D309" s="1" t="s">
        <v>511</v>
      </c>
      <c r="E309" s="1" t="n">
        <v>20171</v>
      </c>
      <c r="F309" s="1" t="s">
        <v>303</v>
      </c>
      <c r="G309" s="1" t="s">
        <v>15</v>
      </c>
      <c r="H309" s="1" t="n">
        <v>3.5</v>
      </c>
      <c r="I309" s="1" t="n">
        <v>0</v>
      </c>
      <c r="J309" s="1" t="n">
        <v>20201</v>
      </c>
      <c r="L309" s="1" t="str">
        <f aca="false">IF(D308&lt;&gt;D309,D309,"")</f>
        <v/>
      </c>
      <c r="M309" s="1" t="str">
        <f aca="false">IF(F308&lt;&gt;F309,F309,"")</f>
        <v/>
      </c>
    </row>
    <row r="310" customFormat="false" ht="15" hidden="false" customHeight="false" outlineLevel="0" collapsed="false">
      <c r="A310" s="1" t="s">
        <v>436</v>
      </c>
      <c r="B310" s="1" t="s">
        <v>437</v>
      </c>
      <c r="C310" s="1" t="s">
        <v>510</v>
      </c>
      <c r="D310" s="1" t="s">
        <v>511</v>
      </c>
      <c r="E310" s="1" t="n">
        <v>20171</v>
      </c>
      <c r="F310" s="1" t="s">
        <v>303</v>
      </c>
      <c r="G310" s="1" t="s">
        <v>101</v>
      </c>
      <c r="H310" s="1" t="n">
        <v>2.5</v>
      </c>
      <c r="I310" s="1" t="n">
        <v>0</v>
      </c>
      <c r="J310" s="1" t="n">
        <v>20201</v>
      </c>
      <c r="L310" s="1" t="str">
        <f aca="false">IF(D309&lt;&gt;D310,D310,"")</f>
        <v/>
      </c>
      <c r="M310" s="1" t="str">
        <f aca="false">IF(F309&lt;&gt;F310,F310,"")</f>
        <v/>
      </c>
    </row>
    <row r="311" customFormat="false" ht="15" hidden="false" customHeight="false" outlineLevel="0" collapsed="false">
      <c r="A311" s="1" t="s">
        <v>438</v>
      </c>
      <c r="B311" s="1" t="s">
        <v>439</v>
      </c>
      <c r="C311" s="1" t="s">
        <v>510</v>
      </c>
      <c r="D311" s="1" t="s">
        <v>511</v>
      </c>
      <c r="E311" s="1" t="n">
        <v>20171</v>
      </c>
      <c r="F311" s="1" t="s">
        <v>303</v>
      </c>
      <c r="G311" s="1" t="s">
        <v>127</v>
      </c>
      <c r="H311" s="1" t="n">
        <v>2</v>
      </c>
      <c r="I311" s="1" t="n">
        <v>0</v>
      </c>
      <c r="J311" s="1" t="n">
        <v>20201</v>
      </c>
      <c r="L311" s="1" t="str">
        <f aca="false">IF(D310&lt;&gt;D311,D311,"")</f>
        <v/>
      </c>
      <c r="M311" s="1" t="str">
        <f aca="false">IF(F310&lt;&gt;F311,F311,"")</f>
        <v/>
      </c>
    </row>
    <row r="312" customFormat="false" ht="15" hidden="false" customHeight="false" outlineLevel="0" collapsed="false">
      <c r="A312" s="1" t="s">
        <v>440</v>
      </c>
      <c r="B312" s="1" t="s">
        <v>441</v>
      </c>
      <c r="C312" s="1" t="s">
        <v>510</v>
      </c>
      <c r="D312" s="1" t="s">
        <v>511</v>
      </c>
      <c r="E312" s="1" t="n">
        <v>20171</v>
      </c>
      <c r="F312" s="1" t="s">
        <v>303</v>
      </c>
      <c r="G312" s="1" t="s">
        <v>15</v>
      </c>
      <c r="H312" s="1" t="n">
        <v>3.5</v>
      </c>
      <c r="I312" s="1" t="n">
        <v>0</v>
      </c>
      <c r="J312" s="1" t="n">
        <v>20201</v>
      </c>
      <c r="L312" s="1" t="str">
        <f aca="false">IF(D311&lt;&gt;D312,D312,"")</f>
        <v/>
      </c>
      <c r="M312" s="1" t="str">
        <f aca="false">IF(F311&lt;&gt;F312,F312,"")</f>
        <v/>
      </c>
    </row>
    <row r="313" customFormat="false" ht="15" hidden="false" customHeight="false" outlineLevel="0" collapsed="false">
      <c r="A313" s="1" t="s">
        <v>442</v>
      </c>
      <c r="B313" s="1" t="s">
        <v>443</v>
      </c>
      <c r="C313" s="1" t="s">
        <v>510</v>
      </c>
      <c r="D313" s="1" t="s">
        <v>511</v>
      </c>
      <c r="E313" s="1" t="n">
        <v>20171</v>
      </c>
      <c r="F313" s="1" t="s">
        <v>303</v>
      </c>
      <c r="G313" s="1" t="s">
        <v>127</v>
      </c>
      <c r="H313" s="1" t="n">
        <v>2</v>
      </c>
      <c r="I313" s="1" t="n">
        <v>0</v>
      </c>
      <c r="J313" s="1" t="n">
        <v>20201</v>
      </c>
      <c r="L313" s="1" t="str">
        <f aca="false">IF(D312&lt;&gt;D313,D313,"")</f>
        <v/>
      </c>
      <c r="M313" s="1" t="str">
        <f aca="false">IF(F312&lt;&gt;F313,F313,"")</f>
        <v/>
      </c>
    </row>
    <row r="314" customFormat="false" ht="15" hidden="false" customHeight="false" outlineLevel="0" collapsed="false">
      <c r="A314" s="1" t="s">
        <v>444</v>
      </c>
      <c r="B314" s="1" t="s">
        <v>445</v>
      </c>
      <c r="C314" s="1" t="s">
        <v>510</v>
      </c>
      <c r="D314" s="1" t="s">
        <v>511</v>
      </c>
      <c r="E314" s="1" t="n">
        <v>20171</v>
      </c>
      <c r="F314" s="1" t="s">
        <v>303</v>
      </c>
      <c r="G314" s="1" t="s">
        <v>14</v>
      </c>
      <c r="H314" s="1" t="n">
        <v>4</v>
      </c>
      <c r="I314" s="1" t="n">
        <v>0</v>
      </c>
      <c r="J314" s="1" t="n">
        <v>20201</v>
      </c>
      <c r="L314" s="1" t="str">
        <f aca="false">IF(D313&lt;&gt;D314,D314,"")</f>
        <v/>
      </c>
      <c r="M314" s="1" t="str">
        <f aca="false">IF(F313&lt;&gt;F314,F314,"")</f>
        <v/>
      </c>
    </row>
    <row r="315" customFormat="false" ht="15" hidden="false" customHeight="false" outlineLevel="0" collapsed="false">
      <c r="A315" s="1" t="s">
        <v>446</v>
      </c>
      <c r="B315" s="1" t="s">
        <v>447</v>
      </c>
      <c r="C315" s="1" t="s">
        <v>510</v>
      </c>
      <c r="D315" s="1" t="s">
        <v>511</v>
      </c>
      <c r="E315" s="1" t="n">
        <v>20171</v>
      </c>
      <c r="F315" s="1" t="s">
        <v>303</v>
      </c>
      <c r="G315" s="1" t="s">
        <v>14</v>
      </c>
      <c r="H315" s="1" t="n">
        <v>4</v>
      </c>
      <c r="I315" s="1" t="n">
        <v>0</v>
      </c>
      <c r="J315" s="1" t="n">
        <v>20201</v>
      </c>
      <c r="L315" s="1" t="str">
        <f aca="false">IF(D314&lt;&gt;D315,D315,"")</f>
        <v/>
      </c>
      <c r="M315" s="1" t="str">
        <f aca="false">IF(F314&lt;&gt;F315,F315,"")</f>
        <v/>
      </c>
    </row>
    <row r="316" customFormat="false" ht="15" hidden="false" customHeight="false" outlineLevel="0" collapsed="false">
      <c r="A316" s="1" t="s">
        <v>448</v>
      </c>
      <c r="B316" s="1" t="s">
        <v>449</v>
      </c>
      <c r="C316" s="1" t="s">
        <v>510</v>
      </c>
      <c r="D316" s="1" t="s">
        <v>511</v>
      </c>
      <c r="E316" s="1" t="n">
        <v>20171</v>
      </c>
      <c r="F316" s="1" t="s">
        <v>303</v>
      </c>
      <c r="G316" s="1" t="s">
        <v>14</v>
      </c>
      <c r="H316" s="1" t="n">
        <v>4</v>
      </c>
      <c r="I316" s="1" t="n">
        <v>0</v>
      </c>
      <c r="J316" s="1" t="n">
        <v>20201</v>
      </c>
      <c r="L316" s="1" t="str">
        <f aca="false">IF(D315&lt;&gt;D316,D316,"")</f>
        <v/>
      </c>
      <c r="M316" s="1" t="str">
        <f aca="false">IF(F315&lt;&gt;F316,F316,"")</f>
        <v/>
      </c>
    </row>
    <row r="317" customFormat="false" ht="15" hidden="false" customHeight="false" outlineLevel="0" collapsed="false">
      <c r="A317" s="1" t="s">
        <v>450</v>
      </c>
      <c r="B317" s="1" t="s">
        <v>451</v>
      </c>
      <c r="C317" s="1" t="s">
        <v>510</v>
      </c>
      <c r="D317" s="1" t="s">
        <v>511</v>
      </c>
      <c r="E317" s="1" t="n">
        <v>20171</v>
      </c>
      <c r="F317" s="1" t="s">
        <v>303</v>
      </c>
      <c r="G317" s="1" t="s">
        <v>124</v>
      </c>
      <c r="H317" s="1" t="n">
        <v>0</v>
      </c>
      <c r="I317" s="1" t="n">
        <v>0</v>
      </c>
      <c r="J317" s="1" t="n">
        <v>20201</v>
      </c>
      <c r="L317" s="1" t="str">
        <f aca="false">IF(D316&lt;&gt;D317,D317,"")</f>
        <v/>
      </c>
      <c r="M317" s="1" t="str">
        <f aca="false">IF(F316&lt;&gt;F317,F317,"")</f>
        <v/>
      </c>
    </row>
    <row r="318" customFormat="false" ht="15" hidden="false" customHeight="false" outlineLevel="0" collapsed="false">
      <c r="A318" s="1" t="s">
        <v>452</v>
      </c>
      <c r="B318" s="1" t="s">
        <v>453</v>
      </c>
      <c r="C318" s="1" t="s">
        <v>510</v>
      </c>
      <c r="D318" s="1" t="s">
        <v>511</v>
      </c>
      <c r="E318" s="1" t="n">
        <v>20171</v>
      </c>
      <c r="F318" s="1" t="s">
        <v>303</v>
      </c>
      <c r="G318" s="1" t="s">
        <v>14</v>
      </c>
      <c r="H318" s="1" t="n">
        <v>4</v>
      </c>
      <c r="I318" s="1" t="n">
        <v>0</v>
      </c>
      <c r="J318" s="1" t="n">
        <v>20201</v>
      </c>
      <c r="L318" s="1" t="str">
        <f aca="false">IF(D317&lt;&gt;D318,D318,"")</f>
        <v/>
      </c>
      <c r="M318" s="1" t="str">
        <f aca="false">IF(F317&lt;&gt;F318,F318,"")</f>
        <v/>
      </c>
    </row>
    <row r="319" customFormat="false" ht="15" hidden="false" customHeight="false" outlineLevel="0" collapsed="false">
      <c r="A319" s="1" t="s">
        <v>454</v>
      </c>
      <c r="B319" s="1" t="s">
        <v>455</v>
      </c>
      <c r="C319" s="1" t="s">
        <v>510</v>
      </c>
      <c r="D319" s="1" t="s">
        <v>511</v>
      </c>
      <c r="E319" s="1" t="n">
        <v>20171</v>
      </c>
      <c r="F319" s="1" t="s">
        <v>303</v>
      </c>
      <c r="G319" s="1" t="s">
        <v>14</v>
      </c>
      <c r="H319" s="1" t="n">
        <v>4</v>
      </c>
      <c r="I319" s="1" t="n">
        <v>0</v>
      </c>
      <c r="J319" s="1" t="n">
        <v>20201</v>
      </c>
      <c r="L319" s="1" t="str">
        <f aca="false">IF(D318&lt;&gt;D319,D319,"")</f>
        <v/>
      </c>
      <c r="M319" s="1" t="str">
        <f aca="false">IF(F318&lt;&gt;F319,F319,"")</f>
        <v/>
      </c>
    </row>
    <row r="320" customFormat="false" ht="15" hidden="false" customHeight="false" outlineLevel="0" collapsed="false">
      <c r="A320" s="1" t="s">
        <v>456</v>
      </c>
      <c r="B320" s="1" t="s">
        <v>457</v>
      </c>
      <c r="C320" s="1" t="s">
        <v>510</v>
      </c>
      <c r="D320" s="1" t="s">
        <v>511</v>
      </c>
      <c r="E320" s="1" t="n">
        <v>20171</v>
      </c>
      <c r="F320" s="1" t="s">
        <v>303</v>
      </c>
      <c r="G320" s="1" t="s">
        <v>15</v>
      </c>
      <c r="H320" s="1" t="n">
        <v>3.5</v>
      </c>
      <c r="I320" s="1" t="n">
        <v>0</v>
      </c>
      <c r="J320" s="1" t="n">
        <v>20201</v>
      </c>
      <c r="L320" s="1" t="str">
        <f aca="false">IF(D319&lt;&gt;D320,D320,"")</f>
        <v/>
      </c>
      <c r="M320" s="1" t="str">
        <f aca="false">IF(F319&lt;&gt;F320,F320,"")</f>
        <v/>
      </c>
    </row>
    <row r="321" customFormat="false" ht="15" hidden="false" customHeight="false" outlineLevel="0" collapsed="false">
      <c r="A321" s="1" t="s">
        <v>458</v>
      </c>
      <c r="B321" s="1" t="s">
        <v>459</v>
      </c>
      <c r="C321" s="1" t="s">
        <v>510</v>
      </c>
      <c r="D321" s="1" t="s">
        <v>511</v>
      </c>
      <c r="E321" s="1" t="n">
        <v>20171</v>
      </c>
      <c r="F321" s="1" t="s">
        <v>303</v>
      </c>
      <c r="G321" s="1" t="s">
        <v>14</v>
      </c>
      <c r="H321" s="1" t="n">
        <v>4</v>
      </c>
      <c r="I321" s="1" t="n">
        <v>0</v>
      </c>
      <c r="J321" s="1" t="n">
        <v>20201</v>
      </c>
      <c r="L321" s="1" t="str">
        <f aca="false">IF(D320&lt;&gt;D321,D321,"")</f>
        <v/>
      </c>
      <c r="M321" s="1" t="str">
        <f aca="false">IF(F320&lt;&gt;F321,F321,"")</f>
        <v/>
      </c>
    </row>
    <row r="322" customFormat="false" ht="15" hidden="false" customHeight="false" outlineLevel="0" collapsed="false">
      <c r="A322" s="1" t="s">
        <v>460</v>
      </c>
      <c r="B322" s="1" t="s">
        <v>461</v>
      </c>
      <c r="C322" s="1" t="s">
        <v>510</v>
      </c>
      <c r="D322" s="1" t="s">
        <v>511</v>
      </c>
      <c r="E322" s="1" t="n">
        <v>20171</v>
      </c>
      <c r="F322" s="1" t="s">
        <v>303</v>
      </c>
      <c r="G322" s="1" t="s">
        <v>18</v>
      </c>
      <c r="H322" s="1" t="n">
        <v>3</v>
      </c>
      <c r="I322" s="1" t="n">
        <v>0</v>
      </c>
      <c r="J322" s="1" t="n">
        <v>20201</v>
      </c>
      <c r="L322" s="1" t="str">
        <f aca="false">IF(D321&lt;&gt;D322,D322,"")</f>
        <v/>
      </c>
      <c r="M322" s="1" t="str">
        <f aca="false">IF(F321&lt;&gt;F322,F322,"")</f>
        <v/>
      </c>
    </row>
    <row r="323" customFormat="false" ht="15" hidden="false" customHeight="false" outlineLevel="0" collapsed="false">
      <c r="A323" s="1" t="s">
        <v>462</v>
      </c>
      <c r="B323" s="1" t="s">
        <v>463</v>
      </c>
      <c r="C323" s="1" t="s">
        <v>510</v>
      </c>
      <c r="D323" s="1" t="s">
        <v>511</v>
      </c>
      <c r="E323" s="1" t="n">
        <v>20171</v>
      </c>
      <c r="F323" s="1" t="s">
        <v>303</v>
      </c>
      <c r="G323" s="1" t="s">
        <v>15</v>
      </c>
      <c r="H323" s="1" t="n">
        <v>3.5</v>
      </c>
      <c r="I323" s="1" t="n">
        <v>0</v>
      </c>
      <c r="J323" s="1" t="n">
        <v>20201</v>
      </c>
      <c r="L323" s="1" t="str">
        <f aca="false">IF(D322&lt;&gt;D323,D323,"")</f>
        <v/>
      </c>
      <c r="M323" s="1" t="str">
        <f aca="false">IF(F322&lt;&gt;F323,F323,"")</f>
        <v/>
      </c>
    </row>
    <row r="324" customFormat="false" ht="15" hidden="false" customHeight="false" outlineLevel="0" collapsed="false">
      <c r="A324" s="1" t="s">
        <v>464</v>
      </c>
      <c r="B324" s="1" t="s">
        <v>465</v>
      </c>
      <c r="C324" s="1" t="s">
        <v>510</v>
      </c>
      <c r="D324" s="1" t="s">
        <v>511</v>
      </c>
      <c r="E324" s="1" t="n">
        <v>20171</v>
      </c>
      <c r="F324" s="1" t="s">
        <v>303</v>
      </c>
      <c r="G324" s="1" t="s">
        <v>15</v>
      </c>
      <c r="H324" s="1" t="n">
        <v>3.5</v>
      </c>
      <c r="I324" s="1" t="n">
        <v>0</v>
      </c>
      <c r="J324" s="1" t="n">
        <v>20201</v>
      </c>
      <c r="L324" s="1" t="str">
        <f aca="false">IF(D323&lt;&gt;D324,D324,"")</f>
        <v/>
      </c>
      <c r="M324" s="1" t="str">
        <f aca="false">IF(F323&lt;&gt;F324,F324,"")</f>
        <v/>
      </c>
    </row>
    <row r="325" customFormat="false" ht="15" hidden="false" customHeight="false" outlineLevel="0" collapsed="false">
      <c r="A325" s="1" t="s">
        <v>466</v>
      </c>
      <c r="B325" s="1" t="s">
        <v>467</v>
      </c>
      <c r="C325" s="1" t="s">
        <v>510</v>
      </c>
      <c r="D325" s="1" t="s">
        <v>511</v>
      </c>
      <c r="E325" s="1" t="n">
        <v>20171</v>
      </c>
      <c r="F325" s="1" t="s">
        <v>303</v>
      </c>
      <c r="G325" s="1" t="s">
        <v>15</v>
      </c>
      <c r="H325" s="1" t="n">
        <v>3.5</v>
      </c>
      <c r="I325" s="1" t="n">
        <v>0</v>
      </c>
      <c r="J325" s="1" t="n">
        <v>20201</v>
      </c>
      <c r="L325" s="1" t="str">
        <f aca="false">IF(D324&lt;&gt;D325,D325,"")</f>
        <v/>
      </c>
      <c r="M325" s="1" t="str">
        <f aca="false">IF(F324&lt;&gt;F325,F325,"")</f>
        <v/>
      </c>
    </row>
    <row r="326" customFormat="false" ht="15" hidden="false" customHeight="false" outlineLevel="0" collapsed="false">
      <c r="A326" s="1" t="s">
        <v>468</v>
      </c>
      <c r="B326" s="1" t="s">
        <v>469</v>
      </c>
      <c r="C326" s="1" t="s">
        <v>510</v>
      </c>
      <c r="D326" s="1" t="s">
        <v>511</v>
      </c>
      <c r="E326" s="1" t="n">
        <v>20171</v>
      </c>
      <c r="F326" s="1" t="s">
        <v>303</v>
      </c>
      <c r="G326" s="1" t="s">
        <v>14</v>
      </c>
      <c r="H326" s="1" t="n">
        <v>4</v>
      </c>
      <c r="I326" s="1" t="n">
        <v>0</v>
      </c>
      <c r="J326" s="1" t="n">
        <v>20201</v>
      </c>
      <c r="L326" s="1" t="str">
        <f aca="false">IF(D325&lt;&gt;D326,D326,"")</f>
        <v/>
      </c>
      <c r="M326" s="1" t="str">
        <f aca="false">IF(F325&lt;&gt;F326,F326,"")</f>
        <v/>
      </c>
    </row>
    <row r="327" customFormat="false" ht="15" hidden="false" customHeight="false" outlineLevel="0" collapsed="false">
      <c r="A327" s="1" t="s">
        <v>470</v>
      </c>
      <c r="B327" s="1" t="s">
        <v>471</v>
      </c>
      <c r="C327" s="1" t="s">
        <v>510</v>
      </c>
      <c r="D327" s="1" t="s">
        <v>511</v>
      </c>
      <c r="E327" s="1" t="n">
        <v>20171</v>
      </c>
      <c r="F327" s="1" t="s">
        <v>303</v>
      </c>
      <c r="G327" s="1" t="s">
        <v>14</v>
      </c>
      <c r="H327" s="1" t="n">
        <v>4</v>
      </c>
      <c r="I327" s="1" t="n">
        <v>0</v>
      </c>
      <c r="J327" s="1" t="n">
        <v>20201</v>
      </c>
      <c r="L327" s="1" t="str">
        <f aca="false">IF(D326&lt;&gt;D327,D327,"")</f>
        <v/>
      </c>
      <c r="M327" s="1" t="str">
        <f aca="false">IF(F326&lt;&gt;F327,F327,"")</f>
        <v/>
      </c>
    </row>
    <row r="328" customFormat="false" ht="15" hidden="false" customHeight="false" outlineLevel="0" collapsed="false">
      <c r="A328" s="1" t="s">
        <v>472</v>
      </c>
      <c r="B328" s="1" t="s">
        <v>473</v>
      </c>
      <c r="C328" s="1" t="s">
        <v>510</v>
      </c>
      <c r="D328" s="1" t="s">
        <v>511</v>
      </c>
      <c r="E328" s="1" t="n">
        <v>20171</v>
      </c>
      <c r="F328" s="1" t="s">
        <v>303</v>
      </c>
      <c r="G328" s="1" t="s">
        <v>15</v>
      </c>
      <c r="H328" s="1" t="n">
        <v>3.5</v>
      </c>
      <c r="I328" s="1" t="n">
        <v>0</v>
      </c>
      <c r="J328" s="1" t="n">
        <v>20201</v>
      </c>
      <c r="L328" s="1" t="str">
        <f aca="false">IF(D327&lt;&gt;D328,D328,"")</f>
        <v/>
      </c>
      <c r="M328" s="1" t="str">
        <f aca="false">IF(F327&lt;&gt;F328,F328,"")</f>
        <v/>
      </c>
    </row>
    <row r="329" customFormat="false" ht="15" hidden="false" customHeight="false" outlineLevel="0" collapsed="false">
      <c r="A329" s="1" t="s">
        <v>474</v>
      </c>
      <c r="B329" s="1" t="s">
        <v>475</v>
      </c>
      <c r="C329" s="1" t="s">
        <v>510</v>
      </c>
      <c r="D329" s="1" t="s">
        <v>511</v>
      </c>
      <c r="E329" s="1" t="n">
        <v>20171</v>
      </c>
      <c r="F329" s="1" t="s">
        <v>303</v>
      </c>
      <c r="G329" s="1" t="s">
        <v>15</v>
      </c>
      <c r="H329" s="1" t="n">
        <v>3.5</v>
      </c>
      <c r="I329" s="1" t="n">
        <v>0</v>
      </c>
      <c r="J329" s="1" t="n">
        <v>20201</v>
      </c>
      <c r="L329" s="1" t="str">
        <f aca="false">IF(D328&lt;&gt;D329,D329,"")</f>
        <v/>
      </c>
      <c r="M329" s="1" t="str">
        <f aca="false">IF(F328&lt;&gt;F329,F329,"")</f>
        <v/>
      </c>
    </row>
    <row r="330" customFormat="false" ht="15" hidden="false" customHeight="false" outlineLevel="0" collapsed="false">
      <c r="A330" s="1" t="s">
        <v>476</v>
      </c>
      <c r="B330" s="1" t="s">
        <v>477</v>
      </c>
      <c r="C330" s="1" t="s">
        <v>510</v>
      </c>
      <c r="D330" s="1" t="s">
        <v>511</v>
      </c>
      <c r="E330" s="1" t="n">
        <v>20171</v>
      </c>
      <c r="F330" s="1" t="s">
        <v>303</v>
      </c>
      <c r="G330" s="1" t="s">
        <v>15</v>
      </c>
      <c r="H330" s="1" t="n">
        <v>3.5</v>
      </c>
      <c r="I330" s="1" t="n">
        <v>0</v>
      </c>
      <c r="J330" s="1" t="n">
        <v>20201</v>
      </c>
      <c r="L330" s="1" t="str">
        <f aca="false">IF(D329&lt;&gt;D330,D330,"")</f>
        <v/>
      </c>
      <c r="M330" s="1" t="str">
        <f aca="false">IF(F329&lt;&gt;F330,F330,"")</f>
        <v/>
      </c>
    </row>
    <row r="331" customFormat="false" ht="15" hidden="false" customHeight="false" outlineLevel="0" collapsed="false">
      <c r="A331" s="1" t="s">
        <v>478</v>
      </c>
      <c r="B331" s="1" t="s">
        <v>479</v>
      </c>
      <c r="C331" s="1" t="s">
        <v>510</v>
      </c>
      <c r="D331" s="1" t="s">
        <v>511</v>
      </c>
      <c r="E331" s="1" t="n">
        <v>20171</v>
      </c>
      <c r="F331" s="1" t="s">
        <v>303</v>
      </c>
      <c r="G331" s="1" t="s">
        <v>14</v>
      </c>
      <c r="H331" s="1" t="n">
        <v>4</v>
      </c>
      <c r="I331" s="1" t="n">
        <v>0</v>
      </c>
      <c r="J331" s="1" t="n">
        <v>20201</v>
      </c>
      <c r="L331" s="1" t="str">
        <f aca="false">IF(D330&lt;&gt;D331,D331,"")</f>
        <v/>
      </c>
      <c r="M331" s="1" t="str">
        <f aca="false">IF(F330&lt;&gt;F331,F331,"")</f>
        <v/>
      </c>
    </row>
    <row r="332" customFormat="false" ht="15" hidden="false" customHeight="false" outlineLevel="0" collapsed="false">
      <c r="A332" s="1" t="s">
        <v>480</v>
      </c>
      <c r="B332" s="1" t="s">
        <v>481</v>
      </c>
      <c r="C332" s="1" t="s">
        <v>510</v>
      </c>
      <c r="D332" s="1" t="s">
        <v>511</v>
      </c>
      <c r="E332" s="1" t="n">
        <v>20171</v>
      </c>
      <c r="F332" s="1" t="s">
        <v>303</v>
      </c>
      <c r="G332" s="1" t="s">
        <v>15</v>
      </c>
      <c r="H332" s="1" t="n">
        <v>3.5</v>
      </c>
      <c r="I332" s="1" t="n">
        <v>0</v>
      </c>
      <c r="J332" s="1" t="n">
        <v>20201</v>
      </c>
      <c r="L332" s="1" t="str">
        <f aca="false">IF(D331&lt;&gt;D332,D332,"")</f>
        <v/>
      </c>
      <c r="M332" s="1" t="str">
        <f aca="false">IF(F331&lt;&gt;F332,F332,"")</f>
        <v/>
      </c>
    </row>
    <row r="333" customFormat="false" ht="15" hidden="false" customHeight="false" outlineLevel="0" collapsed="false">
      <c r="A333" s="1" t="s">
        <v>482</v>
      </c>
      <c r="B333" s="1" t="s">
        <v>483</v>
      </c>
      <c r="C333" s="1" t="s">
        <v>510</v>
      </c>
      <c r="D333" s="1" t="s">
        <v>511</v>
      </c>
      <c r="E333" s="1" t="n">
        <v>20171</v>
      </c>
      <c r="F333" s="1" t="s">
        <v>303</v>
      </c>
      <c r="G333" s="1" t="s">
        <v>18</v>
      </c>
      <c r="H333" s="1" t="n">
        <v>3</v>
      </c>
      <c r="I333" s="1" t="n">
        <v>0</v>
      </c>
      <c r="J333" s="1" t="n">
        <v>20201</v>
      </c>
      <c r="L333" s="1" t="str">
        <f aca="false">IF(D332&lt;&gt;D333,D333,"")</f>
        <v/>
      </c>
      <c r="M333" s="1" t="str">
        <f aca="false">IF(F332&lt;&gt;F333,F333,"")</f>
        <v/>
      </c>
    </row>
    <row r="334" customFormat="false" ht="15" hidden="false" customHeight="false" outlineLevel="0" collapsed="false">
      <c r="A334" s="1" t="s">
        <v>484</v>
      </c>
      <c r="B334" s="1" t="s">
        <v>485</v>
      </c>
      <c r="C334" s="1" t="s">
        <v>510</v>
      </c>
      <c r="D334" s="1" t="s">
        <v>511</v>
      </c>
      <c r="E334" s="1" t="n">
        <v>20171</v>
      </c>
      <c r="F334" s="1" t="s">
        <v>303</v>
      </c>
      <c r="G334" s="1" t="s">
        <v>15</v>
      </c>
      <c r="H334" s="1" t="n">
        <v>3.5</v>
      </c>
      <c r="I334" s="1" t="n">
        <v>0</v>
      </c>
      <c r="J334" s="1" t="n">
        <v>20201</v>
      </c>
      <c r="L334" s="1" t="str">
        <f aca="false">IF(D333&lt;&gt;D334,D334,"")</f>
        <v/>
      </c>
      <c r="M334" s="1" t="str">
        <f aca="false">IF(F333&lt;&gt;F334,F334,"")</f>
        <v/>
      </c>
    </row>
    <row r="335" customFormat="false" ht="15" hidden="false" customHeight="false" outlineLevel="0" collapsed="false">
      <c r="A335" s="1" t="s">
        <v>486</v>
      </c>
      <c r="B335" s="1" t="s">
        <v>487</v>
      </c>
      <c r="C335" s="1" t="s">
        <v>510</v>
      </c>
      <c r="D335" s="1" t="s">
        <v>511</v>
      </c>
      <c r="E335" s="1" t="n">
        <v>20171</v>
      </c>
      <c r="F335" s="1" t="s">
        <v>303</v>
      </c>
      <c r="G335" s="1" t="s">
        <v>15</v>
      </c>
      <c r="H335" s="1" t="n">
        <v>3.5</v>
      </c>
      <c r="I335" s="1" t="n">
        <v>0</v>
      </c>
      <c r="J335" s="1" t="n">
        <v>20201</v>
      </c>
      <c r="L335" s="1" t="str">
        <f aca="false">IF(D334&lt;&gt;D335,D335,"")</f>
        <v/>
      </c>
      <c r="M335" s="1" t="str">
        <f aca="false">IF(F334&lt;&gt;F335,F335,"")</f>
        <v/>
      </c>
    </row>
    <row r="336" customFormat="false" ht="15" hidden="false" customHeight="false" outlineLevel="0" collapsed="false">
      <c r="A336" s="1" t="s">
        <v>488</v>
      </c>
      <c r="B336" s="1" t="s">
        <v>489</v>
      </c>
      <c r="C336" s="1" t="s">
        <v>510</v>
      </c>
      <c r="D336" s="1" t="s">
        <v>511</v>
      </c>
      <c r="E336" s="1" t="n">
        <v>20171</v>
      </c>
      <c r="F336" s="1" t="s">
        <v>303</v>
      </c>
      <c r="G336" s="1" t="s">
        <v>18</v>
      </c>
      <c r="H336" s="1" t="n">
        <v>3</v>
      </c>
      <c r="I336" s="1" t="n">
        <v>0</v>
      </c>
      <c r="J336" s="1" t="n">
        <v>20201</v>
      </c>
      <c r="L336" s="1" t="str">
        <f aca="false">IF(D335&lt;&gt;D336,D336,"")</f>
        <v/>
      </c>
      <c r="M336" s="1" t="str">
        <f aca="false">IF(F335&lt;&gt;F336,F336,"")</f>
        <v/>
      </c>
    </row>
    <row r="337" customFormat="false" ht="15" hidden="false" customHeight="false" outlineLevel="0" collapsed="false">
      <c r="A337" s="1" t="s">
        <v>490</v>
      </c>
      <c r="B337" s="1" t="s">
        <v>491</v>
      </c>
      <c r="C337" s="1" t="s">
        <v>510</v>
      </c>
      <c r="D337" s="1" t="s">
        <v>511</v>
      </c>
      <c r="E337" s="1" t="n">
        <v>20171</v>
      </c>
      <c r="F337" s="1" t="s">
        <v>303</v>
      </c>
      <c r="G337" s="1" t="s">
        <v>18</v>
      </c>
      <c r="H337" s="1" t="n">
        <v>3</v>
      </c>
      <c r="I337" s="1" t="n">
        <v>0</v>
      </c>
      <c r="J337" s="1" t="n">
        <v>20201</v>
      </c>
      <c r="L337" s="1" t="str">
        <f aca="false">IF(D336&lt;&gt;D337,D337,"")</f>
        <v/>
      </c>
      <c r="M337" s="1" t="str">
        <f aca="false">IF(F336&lt;&gt;F337,F337,"")</f>
        <v/>
      </c>
    </row>
    <row r="338" customFormat="false" ht="15" hidden="false" customHeight="false" outlineLevel="0" collapsed="false">
      <c r="A338" s="1" t="s">
        <v>492</v>
      </c>
      <c r="B338" s="1" t="s">
        <v>493</v>
      </c>
      <c r="C338" s="1" t="s">
        <v>510</v>
      </c>
      <c r="D338" s="1" t="s">
        <v>511</v>
      </c>
      <c r="E338" s="1" t="n">
        <v>20171</v>
      </c>
      <c r="F338" s="1" t="s">
        <v>303</v>
      </c>
      <c r="G338" s="1" t="s">
        <v>18</v>
      </c>
      <c r="H338" s="1" t="n">
        <v>3</v>
      </c>
      <c r="I338" s="1" t="n">
        <v>0</v>
      </c>
      <c r="J338" s="1" t="n">
        <v>20201</v>
      </c>
      <c r="L338" s="1" t="str">
        <f aca="false">IF(D337&lt;&gt;D338,D338,"")</f>
        <v/>
      </c>
      <c r="M338" s="1" t="str">
        <f aca="false">IF(F337&lt;&gt;F338,F338,"")</f>
        <v/>
      </c>
    </row>
    <row r="339" customFormat="false" ht="15" hidden="false" customHeight="false" outlineLevel="0" collapsed="false">
      <c r="A339" s="1" t="s">
        <v>494</v>
      </c>
      <c r="B339" s="1" t="s">
        <v>495</v>
      </c>
      <c r="C339" s="1" t="s">
        <v>510</v>
      </c>
      <c r="D339" s="1" t="s">
        <v>511</v>
      </c>
      <c r="E339" s="1" t="n">
        <v>20171</v>
      </c>
      <c r="F339" s="1" t="s">
        <v>303</v>
      </c>
      <c r="G339" s="1" t="s">
        <v>15</v>
      </c>
      <c r="H339" s="1" t="n">
        <v>3.5</v>
      </c>
      <c r="I339" s="1" t="n">
        <v>0</v>
      </c>
      <c r="J339" s="1" t="n">
        <v>20201</v>
      </c>
      <c r="L339" s="1" t="str">
        <f aca="false">IF(D338&lt;&gt;D339,D339,"")</f>
        <v/>
      </c>
      <c r="M339" s="1" t="str">
        <f aca="false">IF(F338&lt;&gt;F339,F339,"")</f>
        <v/>
      </c>
    </row>
    <row r="340" customFormat="false" ht="15" hidden="false" customHeight="false" outlineLevel="0" collapsed="false">
      <c r="A340" s="1" t="s">
        <v>496</v>
      </c>
      <c r="B340" s="1" t="s">
        <v>497</v>
      </c>
      <c r="C340" s="1" t="s">
        <v>510</v>
      </c>
      <c r="D340" s="1" t="s">
        <v>511</v>
      </c>
      <c r="E340" s="1" t="n">
        <v>20171</v>
      </c>
      <c r="F340" s="1" t="s">
        <v>303</v>
      </c>
      <c r="G340" s="1" t="s">
        <v>15</v>
      </c>
      <c r="H340" s="1" t="n">
        <v>3.5</v>
      </c>
      <c r="I340" s="1" t="n">
        <v>0</v>
      </c>
      <c r="J340" s="1" t="n">
        <v>20201</v>
      </c>
      <c r="L340" s="1" t="str">
        <f aca="false">IF(D339&lt;&gt;D340,D340,"")</f>
        <v/>
      </c>
      <c r="M340" s="1" t="str">
        <f aca="false">IF(F339&lt;&gt;F340,F340,"")</f>
        <v/>
      </c>
    </row>
    <row r="341" customFormat="false" ht="15" hidden="false" customHeight="false" outlineLevel="0" collapsed="false">
      <c r="A341" s="1" t="s">
        <v>498</v>
      </c>
      <c r="B341" s="1" t="s">
        <v>499</v>
      </c>
      <c r="C341" s="1" t="s">
        <v>510</v>
      </c>
      <c r="D341" s="1" t="s">
        <v>511</v>
      </c>
      <c r="E341" s="1" t="n">
        <v>20171</v>
      </c>
      <c r="F341" s="1" t="s">
        <v>303</v>
      </c>
      <c r="G341" s="1" t="s">
        <v>14</v>
      </c>
      <c r="H341" s="1" t="n">
        <v>4</v>
      </c>
      <c r="I341" s="1" t="n">
        <v>0</v>
      </c>
      <c r="J341" s="1" t="n">
        <v>20201</v>
      </c>
      <c r="L341" s="1" t="str">
        <f aca="false">IF(D340&lt;&gt;D341,D341,"")</f>
        <v/>
      </c>
      <c r="M341" s="1" t="str">
        <f aca="false">IF(F340&lt;&gt;F341,F341,"")</f>
        <v/>
      </c>
    </row>
    <row r="342" customFormat="false" ht="15" hidden="false" customHeight="false" outlineLevel="0" collapsed="false">
      <c r="A342" s="1" t="s">
        <v>500</v>
      </c>
      <c r="B342" s="1" t="s">
        <v>501</v>
      </c>
      <c r="C342" s="1" t="s">
        <v>510</v>
      </c>
      <c r="D342" s="1" t="s">
        <v>511</v>
      </c>
      <c r="E342" s="1" t="n">
        <v>20171</v>
      </c>
      <c r="F342" s="1" t="s">
        <v>303</v>
      </c>
      <c r="G342" s="1" t="s">
        <v>18</v>
      </c>
      <c r="H342" s="1" t="n">
        <v>3</v>
      </c>
      <c r="I342" s="1" t="n">
        <v>0</v>
      </c>
      <c r="J342" s="1" t="n">
        <v>20201</v>
      </c>
      <c r="L342" s="1" t="str">
        <f aca="false">IF(D341&lt;&gt;D342,D342,"")</f>
        <v/>
      </c>
      <c r="M342" s="1" t="str">
        <f aca="false">IF(F341&lt;&gt;F342,F342,"")</f>
        <v/>
      </c>
    </row>
    <row r="343" customFormat="false" ht="15" hidden="false" customHeight="false" outlineLevel="0" collapsed="false">
      <c r="A343" s="1" t="s">
        <v>502</v>
      </c>
      <c r="B343" s="1" t="s">
        <v>503</v>
      </c>
      <c r="C343" s="1" t="s">
        <v>510</v>
      </c>
      <c r="D343" s="1" t="s">
        <v>511</v>
      </c>
      <c r="E343" s="1" t="n">
        <v>20171</v>
      </c>
      <c r="F343" s="1" t="s">
        <v>303</v>
      </c>
      <c r="G343" s="1" t="s">
        <v>18</v>
      </c>
      <c r="H343" s="1" t="n">
        <v>3</v>
      </c>
      <c r="I343" s="1" t="n">
        <v>0</v>
      </c>
      <c r="J343" s="1" t="n">
        <v>20201</v>
      </c>
      <c r="L343" s="1" t="str">
        <f aca="false">IF(D342&lt;&gt;D343,D343,"")</f>
        <v/>
      </c>
      <c r="M343" s="1" t="str">
        <f aca="false">IF(F342&lt;&gt;F343,F343,"")</f>
        <v/>
      </c>
    </row>
    <row r="344" customFormat="false" ht="15" hidden="false" customHeight="false" outlineLevel="0" collapsed="false">
      <c r="A344" s="1" t="s">
        <v>504</v>
      </c>
      <c r="B344" s="1" t="s">
        <v>505</v>
      </c>
      <c r="C344" s="1" t="s">
        <v>510</v>
      </c>
      <c r="D344" s="1" t="s">
        <v>511</v>
      </c>
      <c r="E344" s="1" t="n">
        <v>20171</v>
      </c>
      <c r="F344" s="1" t="s">
        <v>303</v>
      </c>
      <c r="G344" s="1" t="s">
        <v>18</v>
      </c>
      <c r="H344" s="1" t="n">
        <v>3</v>
      </c>
      <c r="I344" s="1" t="n">
        <v>0</v>
      </c>
      <c r="J344" s="1" t="n">
        <v>20201</v>
      </c>
      <c r="L344" s="1" t="str">
        <f aca="false">IF(D343&lt;&gt;D344,D344,"")</f>
        <v/>
      </c>
      <c r="M344" s="1" t="str">
        <f aca="false">IF(F343&lt;&gt;F344,F344,"")</f>
        <v/>
      </c>
    </row>
    <row r="345" customFormat="false" ht="15" hidden="false" customHeight="false" outlineLevel="0" collapsed="false">
      <c r="A345" s="1" t="s">
        <v>506</v>
      </c>
      <c r="B345" s="1" t="s">
        <v>507</v>
      </c>
      <c r="C345" s="1" t="s">
        <v>510</v>
      </c>
      <c r="D345" s="1" t="s">
        <v>511</v>
      </c>
      <c r="E345" s="1" t="n">
        <v>20171</v>
      </c>
      <c r="F345" s="1" t="s">
        <v>303</v>
      </c>
      <c r="G345" s="1" t="s">
        <v>14</v>
      </c>
      <c r="H345" s="1" t="n">
        <v>4</v>
      </c>
      <c r="I345" s="1" t="n">
        <v>0</v>
      </c>
      <c r="J345" s="1" t="n">
        <v>20201</v>
      </c>
      <c r="L345" s="1" t="str">
        <f aca="false">IF(D344&lt;&gt;D345,D345,"")</f>
        <v/>
      </c>
      <c r="M345" s="1" t="str">
        <f aca="false">IF(F344&lt;&gt;F345,F345,"")</f>
        <v/>
      </c>
    </row>
    <row r="346" customFormat="false" ht="15" hidden="false" customHeight="false" outlineLevel="0" collapsed="false">
      <c r="A346" s="1" t="s">
        <v>508</v>
      </c>
      <c r="B346" s="1" t="s">
        <v>509</v>
      </c>
      <c r="C346" s="1" t="s">
        <v>510</v>
      </c>
      <c r="D346" s="1" t="s">
        <v>511</v>
      </c>
      <c r="E346" s="1" t="n">
        <v>20171</v>
      </c>
      <c r="F346" s="1" t="s">
        <v>303</v>
      </c>
      <c r="G346" s="1" t="s">
        <v>14</v>
      </c>
      <c r="H346" s="1" t="n">
        <v>4</v>
      </c>
      <c r="I346" s="1" t="n">
        <v>0</v>
      </c>
      <c r="J346" s="1" t="n">
        <v>20201</v>
      </c>
      <c r="L346" s="1" t="str">
        <f aca="false">IF(D345&lt;&gt;D346,D346,"")</f>
        <v/>
      </c>
      <c r="M346" s="1" t="str">
        <f aca="false">IF(F345&lt;&gt;F346,F346,"")</f>
        <v/>
      </c>
    </row>
    <row r="347" customFormat="false" ht="15" hidden="false" customHeight="false" outlineLevel="0" collapsed="false">
      <c r="A347" s="1" t="s">
        <v>515</v>
      </c>
      <c r="B347" s="1" t="s">
        <v>516</v>
      </c>
      <c r="C347" s="1" t="s">
        <v>517</v>
      </c>
      <c r="D347" s="1" t="s">
        <v>518</v>
      </c>
      <c r="E347" s="1" t="n">
        <v>20171</v>
      </c>
      <c r="F347" s="1" t="s">
        <v>208</v>
      </c>
      <c r="G347" s="1" t="s">
        <v>124</v>
      </c>
      <c r="H347" s="1" t="n">
        <v>0</v>
      </c>
      <c r="I347" s="1" t="n">
        <v>0</v>
      </c>
      <c r="J347" s="1" t="n">
        <v>20201</v>
      </c>
      <c r="L347" s="1" t="str">
        <f aca="false">IF(D346&lt;&gt;D347,D347,"")</f>
        <v>BASIS DATA</v>
      </c>
      <c r="M347" s="1" t="str">
        <f aca="false">IF(F346&lt;&gt;F347,F347,"")</f>
        <v>P</v>
      </c>
    </row>
    <row r="348" customFormat="false" ht="15" hidden="false" customHeight="false" outlineLevel="0" collapsed="false">
      <c r="A348" s="3" t="s">
        <v>519</v>
      </c>
      <c r="B348" s="3" t="s">
        <v>520</v>
      </c>
      <c r="C348" s="3" t="s">
        <v>517</v>
      </c>
      <c r="D348" s="3" t="s">
        <v>518</v>
      </c>
      <c r="E348" s="3" t="n">
        <v>20171</v>
      </c>
      <c r="F348" s="3" t="s">
        <v>208</v>
      </c>
      <c r="G348" s="3" t="s">
        <v>18</v>
      </c>
      <c r="H348" s="1" t="n">
        <v>3</v>
      </c>
      <c r="I348" s="1" t="n">
        <v>0</v>
      </c>
      <c r="J348" s="1" t="n">
        <v>20201</v>
      </c>
      <c r="L348" s="1" t="str">
        <f aca="false">IF(D347&lt;&gt;D348,D348,"")</f>
        <v/>
      </c>
      <c r="M348" s="1" t="str">
        <f aca="false">IF(F347&lt;&gt;F348,F348,"")</f>
        <v/>
      </c>
    </row>
    <row r="349" customFormat="false" ht="15" hidden="false" customHeight="false" outlineLevel="0" collapsed="false">
      <c r="A349" s="3" t="s">
        <v>521</v>
      </c>
      <c r="B349" s="3" t="s">
        <v>522</v>
      </c>
      <c r="C349" s="3" t="s">
        <v>517</v>
      </c>
      <c r="D349" s="3" t="s">
        <v>518</v>
      </c>
      <c r="E349" s="3" t="n">
        <v>20171</v>
      </c>
      <c r="F349" s="3" t="s">
        <v>208</v>
      </c>
      <c r="G349" s="3" t="s">
        <v>18</v>
      </c>
      <c r="H349" s="1" t="n">
        <v>3</v>
      </c>
      <c r="I349" s="1" t="n">
        <v>0</v>
      </c>
      <c r="J349" s="1" t="n">
        <v>20201</v>
      </c>
      <c r="L349" s="1" t="str">
        <f aca="false">IF(D348&lt;&gt;D349,D349,"")</f>
        <v/>
      </c>
      <c r="M349" s="1" t="str">
        <f aca="false">IF(F348&lt;&gt;F349,F349,"")</f>
        <v/>
      </c>
    </row>
    <row r="350" customFormat="false" ht="15" hidden="false" customHeight="false" outlineLevel="0" collapsed="false">
      <c r="A350" s="3" t="s">
        <v>523</v>
      </c>
      <c r="B350" s="3" t="s">
        <v>524</v>
      </c>
      <c r="C350" s="3" t="s">
        <v>517</v>
      </c>
      <c r="D350" s="3" t="s">
        <v>518</v>
      </c>
      <c r="E350" s="3" t="n">
        <v>20171</v>
      </c>
      <c r="F350" s="3" t="s">
        <v>208</v>
      </c>
      <c r="G350" s="3" t="s">
        <v>15</v>
      </c>
      <c r="H350" s="1" t="n">
        <v>3.5</v>
      </c>
      <c r="I350" s="1" t="n">
        <v>0</v>
      </c>
      <c r="J350" s="1" t="n">
        <v>20201</v>
      </c>
      <c r="L350" s="1" t="str">
        <f aca="false">IF(D349&lt;&gt;D350,D350,"")</f>
        <v/>
      </c>
      <c r="M350" s="1" t="str">
        <f aca="false">IF(F349&lt;&gt;F350,F350,"")</f>
        <v/>
      </c>
    </row>
    <row r="351" customFormat="false" ht="15" hidden="false" customHeight="false" outlineLevel="0" collapsed="false">
      <c r="A351" s="3" t="s">
        <v>525</v>
      </c>
      <c r="B351" s="3" t="s">
        <v>526</v>
      </c>
      <c r="C351" s="3" t="s">
        <v>517</v>
      </c>
      <c r="D351" s="3" t="s">
        <v>518</v>
      </c>
      <c r="E351" s="3" t="n">
        <v>20171</v>
      </c>
      <c r="F351" s="3" t="s">
        <v>208</v>
      </c>
      <c r="G351" s="3" t="s">
        <v>18</v>
      </c>
      <c r="H351" s="1" t="n">
        <v>3</v>
      </c>
      <c r="I351" s="1" t="n">
        <v>0</v>
      </c>
      <c r="J351" s="1" t="n">
        <v>20201</v>
      </c>
      <c r="L351" s="1" t="str">
        <f aca="false">IF(D350&lt;&gt;D351,D351,"")</f>
        <v/>
      </c>
      <c r="M351" s="1" t="str">
        <f aca="false">IF(F350&lt;&gt;F351,F351,"")</f>
        <v/>
      </c>
    </row>
    <row r="352" customFormat="false" ht="15" hidden="false" customHeight="false" outlineLevel="0" collapsed="false">
      <c r="A352" s="3" t="s">
        <v>527</v>
      </c>
      <c r="B352" s="3" t="s">
        <v>528</v>
      </c>
      <c r="C352" s="3" t="s">
        <v>517</v>
      </c>
      <c r="D352" s="3" t="s">
        <v>518</v>
      </c>
      <c r="E352" s="3" t="n">
        <v>20171</v>
      </c>
      <c r="F352" s="3" t="s">
        <v>208</v>
      </c>
      <c r="G352" s="3" t="s">
        <v>18</v>
      </c>
      <c r="H352" s="1" t="n">
        <v>3</v>
      </c>
      <c r="I352" s="1" t="n">
        <v>0</v>
      </c>
      <c r="J352" s="1" t="n">
        <v>20201</v>
      </c>
      <c r="L352" s="1" t="str">
        <f aca="false">IF(D351&lt;&gt;D352,D352,"")</f>
        <v/>
      </c>
      <c r="M352" s="1" t="str">
        <f aca="false">IF(F351&lt;&gt;F352,F352,"")</f>
        <v/>
      </c>
    </row>
    <row r="353" customFormat="false" ht="15" hidden="false" customHeight="false" outlineLevel="0" collapsed="false">
      <c r="A353" s="3" t="s">
        <v>529</v>
      </c>
      <c r="B353" s="3" t="s">
        <v>530</v>
      </c>
      <c r="C353" s="3" t="s">
        <v>517</v>
      </c>
      <c r="D353" s="3" t="s">
        <v>518</v>
      </c>
      <c r="E353" s="3" t="n">
        <v>20171</v>
      </c>
      <c r="F353" s="3" t="s">
        <v>208</v>
      </c>
      <c r="G353" s="3" t="s">
        <v>18</v>
      </c>
      <c r="H353" s="1" t="n">
        <v>3</v>
      </c>
      <c r="I353" s="1" t="n">
        <v>0</v>
      </c>
      <c r="J353" s="1" t="n">
        <v>20201</v>
      </c>
      <c r="L353" s="1" t="str">
        <f aca="false">IF(D352&lt;&gt;D353,D353,"")</f>
        <v/>
      </c>
      <c r="M353" s="1" t="str">
        <f aca="false">IF(F352&lt;&gt;F353,F353,"")</f>
        <v/>
      </c>
    </row>
    <row r="354" customFormat="false" ht="15" hidden="false" customHeight="false" outlineLevel="0" collapsed="false">
      <c r="A354" s="3" t="s">
        <v>531</v>
      </c>
      <c r="B354" s="3" t="s">
        <v>532</v>
      </c>
      <c r="C354" s="3" t="s">
        <v>517</v>
      </c>
      <c r="D354" s="3" t="s">
        <v>518</v>
      </c>
      <c r="E354" s="3" t="n">
        <v>20171</v>
      </c>
      <c r="F354" s="3" t="s">
        <v>208</v>
      </c>
      <c r="G354" s="3" t="s">
        <v>14</v>
      </c>
      <c r="H354" s="1" t="n">
        <v>4</v>
      </c>
      <c r="I354" s="1" t="n">
        <v>0</v>
      </c>
      <c r="J354" s="1" t="n">
        <v>20201</v>
      </c>
      <c r="L354" s="1" t="str">
        <f aca="false">IF(D353&lt;&gt;D354,D354,"")</f>
        <v/>
      </c>
      <c r="M354" s="1" t="str">
        <f aca="false">IF(F353&lt;&gt;F354,F354,"")</f>
        <v/>
      </c>
    </row>
    <row r="355" customFormat="false" ht="15" hidden="false" customHeight="false" outlineLevel="0" collapsed="false">
      <c r="A355" s="3" t="s">
        <v>533</v>
      </c>
      <c r="B355" s="3" t="s">
        <v>534</v>
      </c>
      <c r="C355" s="3" t="s">
        <v>517</v>
      </c>
      <c r="D355" s="3" t="s">
        <v>518</v>
      </c>
      <c r="E355" s="3" t="n">
        <v>20171</v>
      </c>
      <c r="F355" s="3" t="s">
        <v>208</v>
      </c>
      <c r="G355" s="3" t="s">
        <v>18</v>
      </c>
      <c r="H355" s="1" t="n">
        <v>3</v>
      </c>
      <c r="I355" s="1" t="n">
        <v>0</v>
      </c>
      <c r="J355" s="1" t="n">
        <v>20201</v>
      </c>
      <c r="L355" s="1" t="str">
        <f aca="false">IF(D354&lt;&gt;D355,D355,"")</f>
        <v/>
      </c>
      <c r="M355" s="1" t="str">
        <f aca="false">IF(F354&lt;&gt;F355,F355,"")</f>
        <v/>
      </c>
    </row>
    <row r="356" customFormat="false" ht="15" hidden="false" customHeight="false" outlineLevel="0" collapsed="false">
      <c r="A356" s="3" t="s">
        <v>535</v>
      </c>
      <c r="B356" s="3" t="s">
        <v>536</v>
      </c>
      <c r="C356" s="3" t="s">
        <v>517</v>
      </c>
      <c r="D356" s="3" t="s">
        <v>518</v>
      </c>
      <c r="E356" s="3" t="n">
        <v>20171</v>
      </c>
      <c r="F356" s="3" t="s">
        <v>208</v>
      </c>
      <c r="G356" s="3" t="s">
        <v>18</v>
      </c>
      <c r="H356" s="1" t="n">
        <v>3</v>
      </c>
      <c r="I356" s="1" t="n">
        <v>0</v>
      </c>
      <c r="J356" s="1" t="n">
        <v>20201</v>
      </c>
      <c r="L356" s="1" t="str">
        <f aca="false">IF(D355&lt;&gt;D356,D356,"")</f>
        <v/>
      </c>
      <c r="M356" s="1" t="str">
        <f aca="false">IF(F355&lt;&gt;F356,F356,"")</f>
        <v/>
      </c>
    </row>
    <row r="357" customFormat="false" ht="15" hidden="false" customHeight="false" outlineLevel="0" collapsed="false">
      <c r="A357" s="3" t="s">
        <v>537</v>
      </c>
      <c r="B357" s="3" t="s">
        <v>538</v>
      </c>
      <c r="C357" s="3" t="s">
        <v>517</v>
      </c>
      <c r="D357" s="3" t="s">
        <v>518</v>
      </c>
      <c r="E357" s="3" t="n">
        <v>20171</v>
      </c>
      <c r="F357" s="3" t="s">
        <v>208</v>
      </c>
      <c r="G357" s="3" t="s">
        <v>18</v>
      </c>
      <c r="H357" s="1" t="n">
        <v>3</v>
      </c>
      <c r="I357" s="1" t="n">
        <v>0</v>
      </c>
      <c r="J357" s="1" t="n">
        <v>20201</v>
      </c>
      <c r="L357" s="1" t="str">
        <f aca="false">IF(D356&lt;&gt;D357,D357,"")</f>
        <v/>
      </c>
      <c r="M357" s="1" t="str">
        <f aca="false">IF(F356&lt;&gt;F357,F357,"")</f>
        <v/>
      </c>
    </row>
    <row r="358" customFormat="false" ht="15" hidden="false" customHeight="false" outlineLevel="0" collapsed="false">
      <c r="A358" s="3" t="s">
        <v>312</v>
      </c>
      <c r="B358" s="3" t="s">
        <v>313</v>
      </c>
      <c r="C358" s="3" t="s">
        <v>517</v>
      </c>
      <c r="D358" s="3" t="s">
        <v>518</v>
      </c>
      <c r="E358" s="3" t="n">
        <v>20171</v>
      </c>
      <c r="F358" s="3" t="s">
        <v>208</v>
      </c>
      <c r="G358" s="3" t="s">
        <v>15</v>
      </c>
      <c r="H358" s="1" t="n">
        <v>3.5</v>
      </c>
      <c r="I358" s="1" t="n">
        <v>0</v>
      </c>
      <c r="J358" s="1" t="n">
        <v>20201</v>
      </c>
      <c r="L358" s="1" t="str">
        <f aca="false">IF(D357&lt;&gt;D358,D358,"")</f>
        <v/>
      </c>
      <c r="M358" s="1" t="str">
        <f aca="false">IF(F357&lt;&gt;F358,F358,"")</f>
        <v/>
      </c>
    </row>
    <row r="359" customFormat="false" ht="15" hidden="false" customHeight="false" outlineLevel="0" collapsed="false">
      <c r="A359" s="3" t="s">
        <v>539</v>
      </c>
      <c r="B359" s="3" t="s">
        <v>540</v>
      </c>
      <c r="C359" s="3" t="s">
        <v>517</v>
      </c>
      <c r="D359" s="3" t="s">
        <v>518</v>
      </c>
      <c r="E359" s="3" t="n">
        <v>20171</v>
      </c>
      <c r="F359" s="3" t="s">
        <v>208</v>
      </c>
      <c r="G359" s="3" t="s">
        <v>15</v>
      </c>
      <c r="H359" s="1" t="n">
        <v>3.5</v>
      </c>
      <c r="I359" s="1" t="n">
        <v>0</v>
      </c>
      <c r="J359" s="1" t="n">
        <v>20201</v>
      </c>
      <c r="L359" s="1" t="str">
        <f aca="false">IF(D358&lt;&gt;D359,D359,"")</f>
        <v/>
      </c>
      <c r="M359" s="1" t="str">
        <f aca="false">IF(F358&lt;&gt;F359,F359,"")</f>
        <v/>
      </c>
    </row>
    <row r="360" customFormat="false" ht="15" hidden="false" customHeight="false" outlineLevel="0" collapsed="false">
      <c r="A360" s="3" t="s">
        <v>541</v>
      </c>
      <c r="B360" s="3" t="s">
        <v>542</v>
      </c>
      <c r="C360" s="3" t="s">
        <v>517</v>
      </c>
      <c r="D360" s="3" t="s">
        <v>518</v>
      </c>
      <c r="E360" s="3" t="n">
        <v>20171</v>
      </c>
      <c r="F360" s="3" t="s">
        <v>208</v>
      </c>
      <c r="G360" s="3" t="s">
        <v>18</v>
      </c>
      <c r="H360" s="1" t="n">
        <v>3</v>
      </c>
      <c r="I360" s="1" t="n">
        <v>0</v>
      </c>
      <c r="J360" s="1" t="n">
        <v>20201</v>
      </c>
      <c r="L360" s="1" t="str">
        <f aca="false">IF(D359&lt;&gt;D360,D360,"")</f>
        <v/>
      </c>
      <c r="M360" s="1" t="str">
        <f aca="false">IF(F359&lt;&gt;F360,F360,"")</f>
        <v/>
      </c>
    </row>
    <row r="361" customFormat="false" ht="15" hidden="false" customHeight="false" outlineLevel="0" collapsed="false">
      <c r="A361" s="3" t="s">
        <v>543</v>
      </c>
      <c r="B361" s="3" t="s">
        <v>544</v>
      </c>
      <c r="C361" s="3" t="s">
        <v>517</v>
      </c>
      <c r="D361" s="3" t="s">
        <v>518</v>
      </c>
      <c r="E361" s="3" t="n">
        <v>20171</v>
      </c>
      <c r="F361" s="3" t="s">
        <v>208</v>
      </c>
      <c r="G361" s="3" t="s">
        <v>18</v>
      </c>
      <c r="H361" s="1" t="n">
        <v>3</v>
      </c>
      <c r="I361" s="1" t="n">
        <v>0</v>
      </c>
      <c r="J361" s="1" t="n">
        <v>20201</v>
      </c>
      <c r="L361" s="1" t="str">
        <f aca="false">IF(D360&lt;&gt;D361,D361,"")</f>
        <v/>
      </c>
      <c r="M361" s="1" t="str">
        <f aca="false">IF(F360&lt;&gt;F361,F361,"")</f>
        <v/>
      </c>
    </row>
    <row r="362" customFormat="false" ht="15" hidden="false" customHeight="false" outlineLevel="0" collapsed="false">
      <c r="A362" s="3" t="s">
        <v>545</v>
      </c>
      <c r="B362" s="3" t="s">
        <v>546</v>
      </c>
      <c r="C362" s="3" t="s">
        <v>517</v>
      </c>
      <c r="D362" s="3" t="s">
        <v>518</v>
      </c>
      <c r="E362" s="3" t="n">
        <v>20171</v>
      </c>
      <c r="F362" s="3" t="s">
        <v>208</v>
      </c>
      <c r="G362" s="3" t="s">
        <v>18</v>
      </c>
      <c r="H362" s="1" t="n">
        <v>3</v>
      </c>
      <c r="I362" s="1" t="n">
        <v>0</v>
      </c>
      <c r="J362" s="1" t="n">
        <v>20201</v>
      </c>
      <c r="L362" s="1" t="str">
        <f aca="false">IF(D361&lt;&gt;D362,D362,"")</f>
        <v/>
      </c>
      <c r="M362" s="1" t="str">
        <f aca="false">IF(F361&lt;&gt;F362,F362,"")</f>
        <v/>
      </c>
    </row>
    <row r="363" customFormat="false" ht="15" hidden="false" customHeight="false" outlineLevel="0" collapsed="false">
      <c r="A363" s="3" t="s">
        <v>547</v>
      </c>
      <c r="B363" s="3" t="s">
        <v>548</v>
      </c>
      <c r="C363" s="3" t="s">
        <v>517</v>
      </c>
      <c r="D363" s="3" t="s">
        <v>518</v>
      </c>
      <c r="E363" s="3" t="n">
        <v>20171</v>
      </c>
      <c r="F363" s="3" t="s">
        <v>208</v>
      </c>
      <c r="G363" s="3" t="s">
        <v>14</v>
      </c>
      <c r="H363" s="1" t="n">
        <v>4</v>
      </c>
      <c r="I363" s="1" t="n">
        <v>0</v>
      </c>
      <c r="J363" s="1" t="n">
        <v>20201</v>
      </c>
      <c r="L363" s="1" t="str">
        <f aca="false">IF(D362&lt;&gt;D363,D363,"")</f>
        <v/>
      </c>
      <c r="M363" s="1" t="str">
        <f aca="false">IF(F362&lt;&gt;F363,F363,"")</f>
        <v/>
      </c>
    </row>
    <row r="364" customFormat="false" ht="15" hidden="false" customHeight="false" outlineLevel="0" collapsed="false">
      <c r="A364" s="3" t="s">
        <v>549</v>
      </c>
      <c r="B364" s="3" t="s">
        <v>550</v>
      </c>
      <c r="C364" s="3" t="s">
        <v>517</v>
      </c>
      <c r="D364" s="3" t="s">
        <v>518</v>
      </c>
      <c r="E364" s="3" t="n">
        <v>20171</v>
      </c>
      <c r="F364" s="3" t="s">
        <v>208</v>
      </c>
      <c r="G364" s="3" t="s">
        <v>15</v>
      </c>
      <c r="H364" s="1" t="n">
        <v>3.5</v>
      </c>
      <c r="I364" s="1" t="n">
        <v>0</v>
      </c>
      <c r="J364" s="1" t="n">
        <v>20201</v>
      </c>
      <c r="L364" s="1" t="str">
        <f aca="false">IF(D363&lt;&gt;D364,D364,"")</f>
        <v/>
      </c>
      <c r="M364" s="1" t="str">
        <f aca="false">IF(F363&lt;&gt;F364,F364,"")</f>
        <v/>
      </c>
    </row>
    <row r="365" customFormat="false" ht="15" hidden="false" customHeight="false" outlineLevel="0" collapsed="false">
      <c r="A365" s="3" t="s">
        <v>198</v>
      </c>
      <c r="B365" s="3" t="s">
        <v>199</v>
      </c>
      <c r="C365" s="3" t="s">
        <v>517</v>
      </c>
      <c r="D365" s="3" t="s">
        <v>518</v>
      </c>
      <c r="E365" s="3" t="n">
        <v>20171</v>
      </c>
      <c r="F365" s="3" t="s">
        <v>208</v>
      </c>
      <c r="G365" s="3" t="s">
        <v>18</v>
      </c>
      <c r="H365" s="1" t="n">
        <v>3</v>
      </c>
      <c r="I365" s="1" t="n">
        <v>0</v>
      </c>
      <c r="J365" s="1" t="n">
        <v>20201</v>
      </c>
      <c r="L365" s="1" t="str">
        <f aca="false">IF(D364&lt;&gt;D365,D365,"")</f>
        <v/>
      </c>
      <c r="M365" s="1" t="str">
        <f aca="false">IF(F364&lt;&gt;F365,F365,"")</f>
        <v/>
      </c>
    </row>
    <row r="366" customFormat="false" ht="15" hidden="false" customHeight="false" outlineLevel="0" collapsed="false">
      <c r="A366" s="3" t="s">
        <v>551</v>
      </c>
      <c r="B366" s="3" t="s">
        <v>552</v>
      </c>
      <c r="C366" s="3" t="s">
        <v>517</v>
      </c>
      <c r="D366" s="3" t="s">
        <v>518</v>
      </c>
      <c r="E366" s="3" t="n">
        <v>20171</v>
      </c>
      <c r="F366" s="3" t="s">
        <v>208</v>
      </c>
      <c r="G366" s="3" t="s">
        <v>15</v>
      </c>
      <c r="H366" s="1" t="n">
        <v>3.5</v>
      </c>
      <c r="I366" s="1" t="n">
        <v>0</v>
      </c>
      <c r="J366" s="1" t="n">
        <v>20201</v>
      </c>
      <c r="L366" s="1" t="str">
        <f aca="false">IF(D365&lt;&gt;D366,D366,"")</f>
        <v/>
      </c>
      <c r="M366" s="1" t="str">
        <f aca="false">IF(F365&lt;&gt;F366,F366,"")</f>
        <v/>
      </c>
    </row>
    <row r="367" customFormat="false" ht="15" hidden="false" customHeight="false" outlineLevel="0" collapsed="false">
      <c r="A367" s="1" t="s">
        <v>16</v>
      </c>
      <c r="B367" s="1" t="s">
        <v>17</v>
      </c>
      <c r="C367" s="1" t="s">
        <v>553</v>
      </c>
      <c r="D367" s="1" t="s">
        <v>554</v>
      </c>
      <c r="E367" s="1" t="n">
        <v>20171</v>
      </c>
      <c r="F367" s="1" t="s">
        <v>303</v>
      </c>
      <c r="G367" s="1" t="s">
        <v>15</v>
      </c>
      <c r="H367" s="1" t="n">
        <v>3.5</v>
      </c>
      <c r="I367" s="1" t="n">
        <v>0</v>
      </c>
      <c r="J367" s="1" t="n">
        <v>20201</v>
      </c>
      <c r="L367" s="1" t="str">
        <f aca="false">IF(D366&lt;&gt;D367,D367,"")</f>
        <v>BIOLOGI UMUM</v>
      </c>
      <c r="M367" s="1" t="str">
        <f aca="false">IF(F366&lt;&gt;F367,F367,"")</f>
        <v>TPB</v>
      </c>
    </row>
    <row r="368" customFormat="false" ht="15" hidden="false" customHeight="false" outlineLevel="0" collapsed="false">
      <c r="A368" s="1" t="s">
        <v>314</v>
      </c>
      <c r="B368" s="1" t="s">
        <v>315</v>
      </c>
      <c r="C368" s="1" t="s">
        <v>553</v>
      </c>
      <c r="D368" s="1" t="s">
        <v>554</v>
      </c>
      <c r="E368" s="1" t="n">
        <v>20171</v>
      </c>
      <c r="F368" s="1" t="s">
        <v>303</v>
      </c>
      <c r="G368" s="1" t="s">
        <v>18</v>
      </c>
      <c r="H368" s="1" t="n">
        <v>3</v>
      </c>
      <c r="I368" s="1" t="n">
        <v>0</v>
      </c>
      <c r="J368" s="1" t="n">
        <v>20201</v>
      </c>
      <c r="L368" s="1" t="str">
        <f aca="false">IF(D367&lt;&gt;D368,D368,"")</f>
        <v/>
      </c>
      <c r="M368" s="1" t="str">
        <f aca="false">IF(F367&lt;&gt;F368,F368,"")</f>
        <v/>
      </c>
    </row>
    <row r="369" customFormat="false" ht="15" hidden="false" customHeight="false" outlineLevel="0" collapsed="false">
      <c r="A369" s="1" t="s">
        <v>316</v>
      </c>
      <c r="B369" s="1" t="s">
        <v>317</v>
      </c>
      <c r="C369" s="1" t="s">
        <v>553</v>
      </c>
      <c r="D369" s="1" t="s">
        <v>554</v>
      </c>
      <c r="E369" s="1" t="n">
        <v>20171</v>
      </c>
      <c r="F369" s="1" t="s">
        <v>303</v>
      </c>
      <c r="G369" s="1" t="s">
        <v>18</v>
      </c>
      <c r="H369" s="1" t="n">
        <v>3</v>
      </c>
      <c r="I369" s="1" t="n">
        <v>0</v>
      </c>
      <c r="J369" s="1" t="n">
        <v>20201</v>
      </c>
      <c r="L369" s="1" t="str">
        <f aca="false">IF(D368&lt;&gt;D369,D369,"")</f>
        <v/>
      </c>
      <c r="M369" s="1" t="str">
        <f aca="false">IF(F368&lt;&gt;F369,F369,"")</f>
        <v/>
      </c>
    </row>
    <row r="370" customFormat="false" ht="15" hidden="false" customHeight="false" outlineLevel="0" collapsed="false">
      <c r="A370" s="1" t="s">
        <v>318</v>
      </c>
      <c r="B370" s="1" t="s">
        <v>319</v>
      </c>
      <c r="C370" s="1" t="s">
        <v>553</v>
      </c>
      <c r="D370" s="1" t="s">
        <v>554</v>
      </c>
      <c r="E370" s="1" t="n">
        <v>20171</v>
      </c>
      <c r="F370" s="1" t="s">
        <v>303</v>
      </c>
      <c r="G370" s="1" t="s">
        <v>15</v>
      </c>
      <c r="H370" s="1" t="n">
        <v>3.5</v>
      </c>
      <c r="I370" s="1" t="n">
        <v>0</v>
      </c>
      <c r="J370" s="1" t="n">
        <v>20201</v>
      </c>
      <c r="L370" s="1" t="str">
        <f aca="false">IF(D369&lt;&gt;D370,D370,"")</f>
        <v/>
      </c>
      <c r="M370" s="1" t="str">
        <f aca="false">IF(F369&lt;&gt;F370,F370,"")</f>
        <v/>
      </c>
    </row>
    <row r="371" customFormat="false" ht="15" hidden="false" customHeight="false" outlineLevel="0" collapsed="false">
      <c r="A371" s="1" t="s">
        <v>320</v>
      </c>
      <c r="B371" s="1" t="s">
        <v>321</v>
      </c>
      <c r="C371" s="1" t="s">
        <v>553</v>
      </c>
      <c r="D371" s="1" t="s">
        <v>554</v>
      </c>
      <c r="E371" s="1" t="n">
        <v>20171</v>
      </c>
      <c r="F371" s="1" t="s">
        <v>303</v>
      </c>
      <c r="G371" s="1" t="s">
        <v>15</v>
      </c>
      <c r="H371" s="1" t="n">
        <v>3.5</v>
      </c>
      <c r="I371" s="1" t="n">
        <v>0</v>
      </c>
      <c r="J371" s="1" t="n">
        <v>20201</v>
      </c>
      <c r="L371" s="1" t="str">
        <f aca="false">IF(D370&lt;&gt;D371,D371,"")</f>
        <v/>
      </c>
      <c r="M371" s="1" t="str">
        <f aca="false">IF(F370&lt;&gt;F371,F371,"")</f>
        <v/>
      </c>
    </row>
    <row r="372" customFormat="false" ht="15" hidden="false" customHeight="false" outlineLevel="0" collapsed="false">
      <c r="A372" s="1" t="s">
        <v>322</v>
      </c>
      <c r="B372" s="1" t="s">
        <v>323</v>
      </c>
      <c r="C372" s="1" t="s">
        <v>553</v>
      </c>
      <c r="D372" s="1" t="s">
        <v>554</v>
      </c>
      <c r="E372" s="1" t="n">
        <v>20171</v>
      </c>
      <c r="F372" s="1" t="s">
        <v>303</v>
      </c>
      <c r="G372" s="1" t="s">
        <v>101</v>
      </c>
      <c r="H372" s="1" t="n">
        <v>2.5</v>
      </c>
      <c r="I372" s="1" t="n">
        <v>0</v>
      </c>
      <c r="J372" s="1" t="n">
        <v>20201</v>
      </c>
      <c r="L372" s="1" t="str">
        <f aca="false">IF(D371&lt;&gt;D372,D372,"")</f>
        <v/>
      </c>
      <c r="M372" s="1" t="str">
        <f aca="false">IF(F371&lt;&gt;F372,F372,"")</f>
        <v/>
      </c>
    </row>
    <row r="373" customFormat="false" ht="15" hidden="false" customHeight="false" outlineLevel="0" collapsed="false">
      <c r="A373" s="1" t="s">
        <v>324</v>
      </c>
      <c r="B373" s="1" t="s">
        <v>325</v>
      </c>
      <c r="C373" s="1" t="s">
        <v>553</v>
      </c>
      <c r="D373" s="1" t="s">
        <v>554</v>
      </c>
      <c r="E373" s="1" t="n">
        <v>20171</v>
      </c>
      <c r="F373" s="1" t="s">
        <v>303</v>
      </c>
      <c r="G373" s="1" t="s">
        <v>101</v>
      </c>
      <c r="H373" s="1" t="n">
        <v>2.5</v>
      </c>
      <c r="I373" s="1" t="n">
        <v>0</v>
      </c>
      <c r="J373" s="1" t="n">
        <v>20201</v>
      </c>
      <c r="L373" s="1" t="str">
        <f aca="false">IF(D372&lt;&gt;D373,D373,"")</f>
        <v/>
      </c>
      <c r="M373" s="1" t="str">
        <f aca="false">IF(F372&lt;&gt;F373,F373,"")</f>
        <v/>
      </c>
    </row>
    <row r="374" customFormat="false" ht="15" hidden="false" customHeight="false" outlineLevel="0" collapsed="false">
      <c r="A374" s="1" t="s">
        <v>326</v>
      </c>
      <c r="B374" s="1" t="s">
        <v>327</v>
      </c>
      <c r="C374" s="1" t="s">
        <v>553</v>
      </c>
      <c r="D374" s="1" t="s">
        <v>554</v>
      </c>
      <c r="E374" s="1" t="n">
        <v>20171</v>
      </c>
      <c r="F374" s="1" t="s">
        <v>303</v>
      </c>
      <c r="G374" s="1" t="s">
        <v>101</v>
      </c>
      <c r="H374" s="1" t="n">
        <v>2.5</v>
      </c>
      <c r="I374" s="1" t="n">
        <v>0</v>
      </c>
      <c r="J374" s="1" t="n">
        <v>20201</v>
      </c>
      <c r="L374" s="1" t="str">
        <f aca="false">IF(D373&lt;&gt;D374,D374,"")</f>
        <v/>
      </c>
      <c r="M374" s="1" t="str">
        <f aca="false">IF(F373&lt;&gt;F374,F374,"")</f>
        <v/>
      </c>
    </row>
    <row r="375" customFormat="false" ht="15" hidden="false" customHeight="false" outlineLevel="0" collapsed="false">
      <c r="A375" s="1" t="s">
        <v>328</v>
      </c>
      <c r="B375" s="1" t="s">
        <v>329</v>
      </c>
      <c r="C375" s="1" t="s">
        <v>553</v>
      </c>
      <c r="D375" s="1" t="s">
        <v>554</v>
      </c>
      <c r="E375" s="1" t="n">
        <v>20171</v>
      </c>
      <c r="F375" s="1" t="s">
        <v>303</v>
      </c>
      <c r="G375" s="1" t="s">
        <v>101</v>
      </c>
      <c r="H375" s="1" t="n">
        <v>2.5</v>
      </c>
      <c r="I375" s="1" t="n">
        <v>0</v>
      </c>
      <c r="J375" s="1" t="n">
        <v>20201</v>
      </c>
      <c r="L375" s="1" t="str">
        <f aca="false">IF(D374&lt;&gt;D375,D375,"")</f>
        <v/>
      </c>
      <c r="M375" s="1" t="str">
        <f aca="false">IF(F374&lt;&gt;F375,F375,"")</f>
        <v/>
      </c>
    </row>
    <row r="376" customFormat="false" ht="15" hidden="false" customHeight="false" outlineLevel="0" collapsed="false">
      <c r="A376" s="1" t="s">
        <v>330</v>
      </c>
      <c r="B376" s="1" t="s">
        <v>331</v>
      </c>
      <c r="C376" s="1" t="s">
        <v>553</v>
      </c>
      <c r="D376" s="1" t="s">
        <v>554</v>
      </c>
      <c r="E376" s="1" t="n">
        <v>20171</v>
      </c>
      <c r="F376" s="1" t="s">
        <v>303</v>
      </c>
      <c r="G376" s="1" t="s">
        <v>15</v>
      </c>
      <c r="H376" s="1" t="n">
        <v>3.5</v>
      </c>
      <c r="I376" s="1" t="n">
        <v>0</v>
      </c>
      <c r="J376" s="1" t="n">
        <v>20201</v>
      </c>
      <c r="L376" s="1" t="str">
        <f aca="false">IF(D375&lt;&gt;D376,D376,"")</f>
        <v/>
      </c>
      <c r="M376" s="1" t="str">
        <f aca="false">IF(F375&lt;&gt;F376,F376,"")</f>
        <v/>
      </c>
    </row>
    <row r="377" customFormat="false" ht="15" hidden="false" customHeight="false" outlineLevel="0" collapsed="false">
      <c r="A377" s="1" t="s">
        <v>332</v>
      </c>
      <c r="B377" s="1" t="s">
        <v>333</v>
      </c>
      <c r="C377" s="1" t="s">
        <v>553</v>
      </c>
      <c r="D377" s="1" t="s">
        <v>554</v>
      </c>
      <c r="E377" s="1" t="n">
        <v>20171</v>
      </c>
      <c r="F377" s="1" t="s">
        <v>303</v>
      </c>
      <c r="G377" s="1" t="s">
        <v>127</v>
      </c>
      <c r="H377" s="1" t="n">
        <v>2</v>
      </c>
      <c r="I377" s="1" t="n">
        <v>0</v>
      </c>
      <c r="J377" s="1" t="n">
        <v>20201</v>
      </c>
      <c r="L377" s="1" t="str">
        <f aca="false">IF(D376&lt;&gt;D377,D377,"")</f>
        <v/>
      </c>
      <c r="M377" s="1" t="str">
        <f aca="false">IF(F376&lt;&gt;F377,F377,"")</f>
        <v/>
      </c>
    </row>
    <row r="378" customFormat="false" ht="15" hidden="false" customHeight="false" outlineLevel="0" collapsed="false">
      <c r="A378" s="1" t="s">
        <v>334</v>
      </c>
      <c r="B378" s="1" t="s">
        <v>335</v>
      </c>
      <c r="C378" s="1" t="s">
        <v>553</v>
      </c>
      <c r="D378" s="1" t="s">
        <v>554</v>
      </c>
      <c r="E378" s="1" t="n">
        <v>20171</v>
      </c>
      <c r="F378" s="1" t="s">
        <v>303</v>
      </c>
      <c r="G378" s="1" t="s">
        <v>18</v>
      </c>
      <c r="H378" s="1" t="n">
        <v>3</v>
      </c>
      <c r="I378" s="1" t="n">
        <v>0</v>
      </c>
      <c r="J378" s="1" t="n">
        <v>20201</v>
      </c>
      <c r="L378" s="1" t="str">
        <f aca="false">IF(D377&lt;&gt;D378,D378,"")</f>
        <v/>
      </c>
      <c r="M378" s="1" t="str">
        <f aca="false">IF(F377&lt;&gt;F378,F378,"")</f>
        <v/>
      </c>
    </row>
    <row r="379" customFormat="false" ht="15" hidden="false" customHeight="false" outlineLevel="0" collapsed="false">
      <c r="A379" s="1" t="s">
        <v>336</v>
      </c>
      <c r="B379" s="1" t="s">
        <v>337</v>
      </c>
      <c r="C379" s="1" t="s">
        <v>553</v>
      </c>
      <c r="D379" s="1" t="s">
        <v>554</v>
      </c>
      <c r="E379" s="1" t="n">
        <v>20171</v>
      </c>
      <c r="F379" s="1" t="s">
        <v>303</v>
      </c>
      <c r="G379" s="1" t="s">
        <v>18</v>
      </c>
      <c r="H379" s="1" t="n">
        <v>3</v>
      </c>
      <c r="I379" s="1" t="n">
        <v>0</v>
      </c>
      <c r="J379" s="1" t="n">
        <v>20201</v>
      </c>
      <c r="L379" s="1" t="str">
        <f aca="false">IF(D378&lt;&gt;D379,D379,"")</f>
        <v/>
      </c>
      <c r="M379" s="1" t="str">
        <f aca="false">IF(F378&lt;&gt;F379,F379,"")</f>
        <v/>
      </c>
    </row>
    <row r="380" customFormat="false" ht="15" hidden="false" customHeight="false" outlineLevel="0" collapsed="false">
      <c r="A380" s="1" t="s">
        <v>338</v>
      </c>
      <c r="B380" s="1" t="s">
        <v>339</v>
      </c>
      <c r="C380" s="1" t="s">
        <v>553</v>
      </c>
      <c r="D380" s="1" t="s">
        <v>554</v>
      </c>
      <c r="E380" s="1" t="n">
        <v>20171</v>
      </c>
      <c r="F380" s="1" t="s">
        <v>303</v>
      </c>
      <c r="G380" s="1" t="s">
        <v>101</v>
      </c>
      <c r="H380" s="1" t="n">
        <v>2.5</v>
      </c>
      <c r="I380" s="1" t="n">
        <v>0</v>
      </c>
      <c r="J380" s="1" t="n">
        <v>20201</v>
      </c>
      <c r="L380" s="1" t="str">
        <f aca="false">IF(D379&lt;&gt;D380,D380,"")</f>
        <v/>
      </c>
      <c r="M380" s="1" t="str">
        <f aca="false">IF(F379&lt;&gt;F380,F380,"")</f>
        <v/>
      </c>
    </row>
    <row r="381" customFormat="false" ht="15" hidden="false" customHeight="false" outlineLevel="0" collapsed="false">
      <c r="A381" s="1" t="s">
        <v>340</v>
      </c>
      <c r="B381" s="1" t="s">
        <v>341</v>
      </c>
      <c r="C381" s="1" t="s">
        <v>553</v>
      </c>
      <c r="D381" s="1" t="s">
        <v>554</v>
      </c>
      <c r="E381" s="1" t="n">
        <v>20171</v>
      </c>
      <c r="F381" s="1" t="s">
        <v>303</v>
      </c>
      <c r="G381" s="1" t="s">
        <v>18</v>
      </c>
      <c r="H381" s="1" t="n">
        <v>3</v>
      </c>
      <c r="I381" s="1" t="n">
        <v>0</v>
      </c>
      <c r="J381" s="1" t="n">
        <v>20201</v>
      </c>
      <c r="L381" s="1" t="str">
        <f aca="false">IF(D380&lt;&gt;D381,D381,"")</f>
        <v/>
      </c>
      <c r="M381" s="1" t="str">
        <f aca="false">IF(F380&lt;&gt;F381,F381,"")</f>
        <v/>
      </c>
    </row>
    <row r="382" customFormat="false" ht="15" hidden="false" customHeight="false" outlineLevel="0" collapsed="false">
      <c r="A382" s="1" t="s">
        <v>342</v>
      </c>
      <c r="B382" s="1" t="s">
        <v>343</v>
      </c>
      <c r="C382" s="1" t="s">
        <v>553</v>
      </c>
      <c r="D382" s="1" t="s">
        <v>554</v>
      </c>
      <c r="E382" s="1" t="n">
        <v>20171</v>
      </c>
      <c r="F382" s="1" t="s">
        <v>303</v>
      </c>
      <c r="G382" s="1" t="s">
        <v>14</v>
      </c>
      <c r="H382" s="1" t="n">
        <v>4</v>
      </c>
      <c r="I382" s="1" t="n">
        <v>0</v>
      </c>
      <c r="J382" s="1" t="n">
        <v>20201</v>
      </c>
      <c r="L382" s="1" t="str">
        <f aca="false">IF(D381&lt;&gt;D382,D382,"")</f>
        <v/>
      </c>
      <c r="M382" s="1" t="str">
        <f aca="false">IF(F381&lt;&gt;F382,F382,"")</f>
        <v/>
      </c>
    </row>
    <row r="383" customFormat="false" ht="15" hidden="false" customHeight="false" outlineLevel="0" collapsed="false">
      <c r="A383" s="1" t="s">
        <v>344</v>
      </c>
      <c r="B383" s="1" t="s">
        <v>345</v>
      </c>
      <c r="C383" s="1" t="s">
        <v>553</v>
      </c>
      <c r="D383" s="1" t="s">
        <v>554</v>
      </c>
      <c r="E383" s="1" t="n">
        <v>20171</v>
      </c>
      <c r="F383" s="1" t="s">
        <v>303</v>
      </c>
      <c r="G383" s="1" t="s">
        <v>127</v>
      </c>
      <c r="H383" s="1" t="n">
        <v>2</v>
      </c>
      <c r="I383" s="1" t="n">
        <v>0</v>
      </c>
      <c r="J383" s="1" t="n">
        <v>20201</v>
      </c>
      <c r="L383" s="1" t="str">
        <f aca="false">IF(D382&lt;&gt;D383,D383,"")</f>
        <v/>
      </c>
      <c r="M383" s="1" t="str">
        <f aca="false">IF(F382&lt;&gt;F383,F383,"")</f>
        <v/>
      </c>
    </row>
    <row r="384" customFormat="false" ht="15" hidden="false" customHeight="false" outlineLevel="0" collapsed="false">
      <c r="A384" s="1" t="s">
        <v>346</v>
      </c>
      <c r="B384" s="1" t="s">
        <v>347</v>
      </c>
      <c r="C384" s="1" t="s">
        <v>553</v>
      </c>
      <c r="D384" s="1" t="s">
        <v>554</v>
      </c>
      <c r="E384" s="1" t="n">
        <v>20171</v>
      </c>
      <c r="F384" s="1" t="s">
        <v>303</v>
      </c>
      <c r="G384" s="1" t="s">
        <v>127</v>
      </c>
      <c r="H384" s="1" t="n">
        <v>2</v>
      </c>
      <c r="I384" s="1" t="n">
        <v>0</v>
      </c>
      <c r="J384" s="1" t="n">
        <v>20201</v>
      </c>
      <c r="L384" s="1" t="str">
        <f aca="false">IF(D383&lt;&gt;D384,D384,"")</f>
        <v/>
      </c>
      <c r="M384" s="1" t="str">
        <f aca="false">IF(F383&lt;&gt;F384,F384,"")</f>
        <v/>
      </c>
    </row>
    <row r="385" customFormat="false" ht="15" hidden="false" customHeight="false" outlineLevel="0" collapsed="false">
      <c r="A385" s="1" t="s">
        <v>348</v>
      </c>
      <c r="B385" s="1" t="s">
        <v>349</v>
      </c>
      <c r="C385" s="1" t="s">
        <v>553</v>
      </c>
      <c r="D385" s="1" t="s">
        <v>554</v>
      </c>
      <c r="E385" s="1" t="n">
        <v>20171</v>
      </c>
      <c r="F385" s="1" t="s">
        <v>303</v>
      </c>
      <c r="G385" s="1" t="s">
        <v>127</v>
      </c>
      <c r="H385" s="1" t="n">
        <v>2</v>
      </c>
      <c r="I385" s="1" t="n">
        <v>0</v>
      </c>
      <c r="J385" s="1" t="n">
        <v>20201</v>
      </c>
      <c r="L385" s="1" t="str">
        <f aca="false">IF(D384&lt;&gt;D385,D385,"")</f>
        <v/>
      </c>
      <c r="M385" s="1" t="str">
        <f aca="false">IF(F384&lt;&gt;F385,F385,"")</f>
        <v/>
      </c>
    </row>
    <row r="386" customFormat="false" ht="15" hidden="false" customHeight="false" outlineLevel="0" collapsed="false">
      <c r="A386" s="1" t="s">
        <v>350</v>
      </c>
      <c r="B386" s="1" t="s">
        <v>351</v>
      </c>
      <c r="C386" s="1" t="s">
        <v>553</v>
      </c>
      <c r="D386" s="1" t="s">
        <v>554</v>
      </c>
      <c r="E386" s="1" t="n">
        <v>20171</v>
      </c>
      <c r="F386" s="1" t="s">
        <v>303</v>
      </c>
      <c r="G386" s="1" t="s">
        <v>18</v>
      </c>
      <c r="H386" s="1" t="n">
        <v>3</v>
      </c>
      <c r="I386" s="1" t="n">
        <v>0</v>
      </c>
      <c r="J386" s="1" t="n">
        <v>20201</v>
      </c>
      <c r="L386" s="1" t="str">
        <f aca="false">IF(D385&lt;&gt;D386,D386,"")</f>
        <v/>
      </c>
      <c r="M386" s="1" t="str">
        <f aca="false">IF(F385&lt;&gt;F386,F386,"")</f>
        <v/>
      </c>
    </row>
    <row r="387" customFormat="false" ht="15" hidden="false" customHeight="false" outlineLevel="0" collapsed="false">
      <c r="A387" s="1" t="s">
        <v>352</v>
      </c>
      <c r="B387" s="1" t="s">
        <v>353</v>
      </c>
      <c r="C387" s="1" t="s">
        <v>553</v>
      </c>
      <c r="D387" s="1" t="s">
        <v>554</v>
      </c>
      <c r="E387" s="1" t="n">
        <v>20171</v>
      </c>
      <c r="F387" s="1" t="s">
        <v>303</v>
      </c>
      <c r="G387" s="1" t="s">
        <v>15</v>
      </c>
      <c r="H387" s="1" t="n">
        <v>3.5</v>
      </c>
      <c r="I387" s="1" t="n">
        <v>0</v>
      </c>
      <c r="J387" s="1" t="n">
        <v>20201</v>
      </c>
      <c r="L387" s="1" t="str">
        <f aca="false">IF(D386&lt;&gt;D387,D387,"")</f>
        <v/>
      </c>
      <c r="M387" s="1" t="str">
        <f aca="false">IF(F386&lt;&gt;F387,F387,"")</f>
        <v/>
      </c>
    </row>
    <row r="388" customFormat="false" ht="15" hidden="false" customHeight="false" outlineLevel="0" collapsed="false">
      <c r="A388" s="1" t="s">
        <v>354</v>
      </c>
      <c r="B388" s="1" t="s">
        <v>355</v>
      </c>
      <c r="C388" s="1" t="s">
        <v>553</v>
      </c>
      <c r="D388" s="1" t="s">
        <v>554</v>
      </c>
      <c r="E388" s="1" t="n">
        <v>20171</v>
      </c>
      <c r="F388" s="1" t="s">
        <v>303</v>
      </c>
      <c r="G388" s="1" t="s">
        <v>23</v>
      </c>
      <c r="H388" s="1" t="n">
        <v>0</v>
      </c>
      <c r="I388" s="1" t="n">
        <v>0</v>
      </c>
      <c r="J388" s="1" t="n">
        <v>20201</v>
      </c>
      <c r="L388" s="1" t="str">
        <f aca="false">IF(D387&lt;&gt;D388,D388,"")</f>
        <v/>
      </c>
      <c r="M388" s="1" t="str">
        <f aca="false">IF(F387&lt;&gt;F388,F388,"")</f>
        <v/>
      </c>
    </row>
    <row r="389" customFormat="false" ht="15" hidden="false" customHeight="false" outlineLevel="0" collapsed="false">
      <c r="A389" s="1" t="s">
        <v>356</v>
      </c>
      <c r="B389" s="1" t="s">
        <v>357</v>
      </c>
      <c r="C389" s="1" t="s">
        <v>553</v>
      </c>
      <c r="D389" s="1" t="s">
        <v>554</v>
      </c>
      <c r="E389" s="1" t="n">
        <v>20171</v>
      </c>
      <c r="F389" s="1" t="s">
        <v>303</v>
      </c>
      <c r="G389" s="1" t="s">
        <v>101</v>
      </c>
      <c r="H389" s="1" t="n">
        <v>2.5</v>
      </c>
      <c r="I389" s="1" t="n">
        <v>0</v>
      </c>
      <c r="J389" s="1" t="n">
        <v>20201</v>
      </c>
      <c r="L389" s="1" t="str">
        <f aca="false">IF(D388&lt;&gt;D389,D389,"")</f>
        <v/>
      </c>
      <c r="M389" s="1" t="str">
        <f aca="false">IF(F388&lt;&gt;F389,F389,"")</f>
        <v/>
      </c>
    </row>
    <row r="390" customFormat="false" ht="15" hidden="false" customHeight="false" outlineLevel="0" collapsed="false">
      <c r="A390" s="1" t="s">
        <v>358</v>
      </c>
      <c r="B390" s="1" t="s">
        <v>359</v>
      </c>
      <c r="C390" s="1" t="s">
        <v>553</v>
      </c>
      <c r="D390" s="1" t="s">
        <v>554</v>
      </c>
      <c r="E390" s="1" t="n">
        <v>20171</v>
      </c>
      <c r="F390" s="1" t="s">
        <v>303</v>
      </c>
      <c r="G390" s="1" t="s">
        <v>23</v>
      </c>
      <c r="H390" s="1" t="n">
        <v>0</v>
      </c>
      <c r="I390" s="1" t="n">
        <v>0</v>
      </c>
      <c r="J390" s="1" t="n">
        <v>20201</v>
      </c>
      <c r="L390" s="1" t="str">
        <f aca="false">IF(D389&lt;&gt;D390,D390,"")</f>
        <v/>
      </c>
      <c r="M390" s="1" t="str">
        <f aca="false">IF(F389&lt;&gt;F390,F390,"")</f>
        <v/>
      </c>
    </row>
    <row r="391" customFormat="false" ht="15" hidden="false" customHeight="false" outlineLevel="0" collapsed="false">
      <c r="A391" s="1" t="s">
        <v>360</v>
      </c>
      <c r="B391" s="1" t="s">
        <v>361</v>
      </c>
      <c r="C391" s="1" t="s">
        <v>553</v>
      </c>
      <c r="D391" s="1" t="s">
        <v>554</v>
      </c>
      <c r="E391" s="1" t="n">
        <v>20171</v>
      </c>
      <c r="F391" s="1" t="s">
        <v>303</v>
      </c>
      <c r="G391" s="1" t="s">
        <v>18</v>
      </c>
      <c r="H391" s="1" t="n">
        <v>3</v>
      </c>
      <c r="I391" s="1" t="n">
        <v>0</v>
      </c>
      <c r="J391" s="1" t="n">
        <v>20201</v>
      </c>
      <c r="L391" s="1" t="str">
        <f aca="false">IF(D390&lt;&gt;D391,D391,"")</f>
        <v/>
      </c>
      <c r="M391" s="1" t="str">
        <f aca="false">IF(F390&lt;&gt;F391,F391,"")</f>
        <v/>
      </c>
    </row>
    <row r="392" customFormat="false" ht="15" hidden="false" customHeight="false" outlineLevel="0" collapsed="false">
      <c r="A392" s="1" t="s">
        <v>362</v>
      </c>
      <c r="B392" s="1" t="s">
        <v>363</v>
      </c>
      <c r="C392" s="1" t="s">
        <v>553</v>
      </c>
      <c r="D392" s="1" t="s">
        <v>554</v>
      </c>
      <c r="E392" s="1" t="n">
        <v>20171</v>
      </c>
      <c r="F392" s="1" t="s">
        <v>303</v>
      </c>
      <c r="G392" s="1" t="s">
        <v>127</v>
      </c>
      <c r="H392" s="1" t="n">
        <v>2</v>
      </c>
      <c r="I392" s="1" t="n">
        <v>0</v>
      </c>
      <c r="J392" s="1" t="n">
        <v>20201</v>
      </c>
      <c r="L392" s="1" t="str">
        <f aca="false">IF(D391&lt;&gt;D392,D392,"")</f>
        <v/>
      </c>
      <c r="M392" s="1" t="str">
        <f aca="false">IF(F391&lt;&gt;F392,F392,"")</f>
        <v/>
      </c>
    </row>
    <row r="393" customFormat="false" ht="15" hidden="false" customHeight="false" outlineLevel="0" collapsed="false">
      <c r="A393" s="1" t="s">
        <v>364</v>
      </c>
      <c r="B393" s="1" t="s">
        <v>365</v>
      </c>
      <c r="C393" s="1" t="s">
        <v>553</v>
      </c>
      <c r="D393" s="1" t="s">
        <v>554</v>
      </c>
      <c r="E393" s="1" t="n">
        <v>20171</v>
      </c>
      <c r="F393" s="1" t="s">
        <v>303</v>
      </c>
      <c r="G393" s="1" t="s">
        <v>18</v>
      </c>
      <c r="H393" s="1" t="n">
        <v>3</v>
      </c>
      <c r="I393" s="1" t="n">
        <v>0</v>
      </c>
      <c r="J393" s="1" t="n">
        <v>20201</v>
      </c>
      <c r="L393" s="1" t="str">
        <f aca="false">IF(D392&lt;&gt;D393,D393,"")</f>
        <v/>
      </c>
      <c r="M393" s="1" t="str">
        <f aca="false">IF(F392&lt;&gt;F393,F393,"")</f>
        <v/>
      </c>
    </row>
    <row r="394" customFormat="false" ht="15" hidden="false" customHeight="false" outlineLevel="0" collapsed="false">
      <c r="A394" s="1" t="s">
        <v>366</v>
      </c>
      <c r="B394" s="1" t="s">
        <v>367</v>
      </c>
      <c r="C394" s="1" t="s">
        <v>553</v>
      </c>
      <c r="D394" s="1" t="s">
        <v>554</v>
      </c>
      <c r="E394" s="1" t="n">
        <v>20171</v>
      </c>
      <c r="F394" s="1" t="s">
        <v>303</v>
      </c>
      <c r="G394" s="1" t="s">
        <v>15</v>
      </c>
      <c r="H394" s="1" t="n">
        <v>3.5</v>
      </c>
      <c r="I394" s="1" t="n">
        <v>0</v>
      </c>
      <c r="J394" s="1" t="n">
        <v>20201</v>
      </c>
      <c r="L394" s="1" t="str">
        <f aca="false">IF(D393&lt;&gt;D394,D394,"")</f>
        <v/>
      </c>
      <c r="M394" s="1" t="str">
        <f aca="false">IF(F393&lt;&gt;F394,F394,"")</f>
        <v/>
      </c>
    </row>
    <row r="395" customFormat="false" ht="15" hidden="false" customHeight="false" outlineLevel="0" collapsed="false">
      <c r="A395" s="1" t="s">
        <v>368</v>
      </c>
      <c r="B395" s="1" t="s">
        <v>369</v>
      </c>
      <c r="C395" s="1" t="s">
        <v>553</v>
      </c>
      <c r="D395" s="1" t="s">
        <v>554</v>
      </c>
      <c r="E395" s="1" t="n">
        <v>20171</v>
      </c>
      <c r="F395" s="1" t="s">
        <v>303</v>
      </c>
      <c r="G395" s="1" t="s">
        <v>101</v>
      </c>
      <c r="H395" s="1" t="n">
        <v>2.5</v>
      </c>
      <c r="I395" s="1" t="n">
        <v>0</v>
      </c>
      <c r="J395" s="1" t="n">
        <v>20201</v>
      </c>
      <c r="L395" s="1" t="str">
        <f aca="false">IF(D394&lt;&gt;D395,D395,"")</f>
        <v/>
      </c>
      <c r="M395" s="1" t="str">
        <f aca="false">IF(F394&lt;&gt;F395,F395,"")</f>
        <v/>
      </c>
    </row>
    <row r="396" customFormat="false" ht="15" hidden="false" customHeight="false" outlineLevel="0" collapsed="false">
      <c r="A396" s="1" t="s">
        <v>370</v>
      </c>
      <c r="B396" s="1" t="s">
        <v>371</v>
      </c>
      <c r="C396" s="1" t="s">
        <v>553</v>
      </c>
      <c r="D396" s="1" t="s">
        <v>554</v>
      </c>
      <c r="E396" s="1" t="n">
        <v>20171</v>
      </c>
      <c r="F396" s="1" t="s">
        <v>303</v>
      </c>
      <c r="G396" s="1" t="s">
        <v>18</v>
      </c>
      <c r="H396" s="1" t="n">
        <v>3</v>
      </c>
      <c r="I396" s="1" t="n">
        <v>0</v>
      </c>
      <c r="J396" s="1" t="n">
        <v>20201</v>
      </c>
      <c r="L396" s="1" t="str">
        <f aca="false">IF(D395&lt;&gt;D396,D396,"")</f>
        <v/>
      </c>
      <c r="M396" s="1" t="str">
        <f aca="false">IF(F395&lt;&gt;F396,F396,"")</f>
        <v/>
      </c>
    </row>
    <row r="397" customFormat="false" ht="15" hidden="false" customHeight="false" outlineLevel="0" collapsed="false">
      <c r="A397" s="1" t="s">
        <v>372</v>
      </c>
      <c r="B397" s="1" t="s">
        <v>373</v>
      </c>
      <c r="C397" s="1" t="s">
        <v>553</v>
      </c>
      <c r="D397" s="1" t="s">
        <v>554</v>
      </c>
      <c r="E397" s="1" t="n">
        <v>20171</v>
      </c>
      <c r="F397" s="1" t="s">
        <v>303</v>
      </c>
      <c r="G397" s="1" t="s">
        <v>14</v>
      </c>
      <c r="H397" s="1" t="n">
        <v>4</v>
      </c>
      <c r="I397" s="1" t="n">
        <v>0</v>
      </c>
      <c r="J397" s="1" t="n">
        <v>20201</v>
      </c>
      <c r="L397" s="1" t="str">
        <f aca="false">IF(D396&lt;&gt;D397,D397,"")</f>
        <v/>
      </c>
      <c r="M397" s="1" t="str">
        <f aca="false">IF(F396&lt;&gt;F397,F397,"")</f>
        <v/>
      </c>
    </row>
    <row r="398" customFormat="false" ht="15" hidden="false" customHeight="false" outlineLevel="0" collapsed="false">
      <c r="A398" s="1" t="s">
        <v>374</v>
      </c>
      <c r="B398" s="1" t="s">
        <v>375</v>
      </c>
      <c r="C398" s="1" t="s">
        <v>553</v>
      </c>
      <c r="D398" s="1" t="s">
        <v>554</v>
      </c>
      <c r="E398" s="1" t="n">
        <v>20171</v>
      </c>
      <c r="F398" s="1" t="s">
        <v>303</v>
      </c>
      <c r="G398" s="1" t="s">
        <v>14</v>
      </c>
      <c r="H398" s="1" t="n">
        <v>4</v>
      </c>
      <c r="I398" s="1" t="n">
        <v>0</v>
      </c>
      <c r="J398" s="1" t="n">
        <v>20201</v>
      </c>
      <c r="L398" s="1" t="str">
        <f aca="false">IF(D397&lt;&gt;D398,D398,"")</f>
        <v/>
      </c>
      <c r="M398" s="1" t="str">
        <f aca="false">IF(F397&lt;&gt;F398,F398,"")</f>
        <v/>
      </c>
    </row>
    <row r="399" customFormat="false" ht="15" hidden="false" customHeight="false" outlineLevel="0" collapsed="false">
      <c r="A399" s="1" t="s">
        <v>376</v>
      </c>
      <c r="B399" s="1" t="s">
        <v>377</v>
      </c>
      <c r="C399" s="1" t="s">
        <v>553</v>
      </c>
      <c r="D399" s="1" t="s">
        <v>554</v>
      </c>
      <c r="E399" s="1" t="n">
        <v>20171</v>
      </c>
      <c r="F399" s="1" t="s">
        <v>303</v>
      </c>
      <c r="G399" s="1" t="s">
        <v>14</v>
      </c>
      <c r="H399" s="1" t="n">
        <v>4</v>
      </c>
      <c r="I399" s="1" t="n">
        <v>0</v>
      </c>
      <c r="J399" s="1" t="n">
        <v>20201</v>
      </c>
      <c r="L399" s="1" t="str">
        <f aca="false">IF(D398&lt;&gt;D399,D399,"")</f>
        <v/>
      </c>
      <c r="M399" s="1" t="str">
        <f aca="false">IF(F398&lt;&gt;F399,F399,"")</f>
        <v/>
      </c>
    </row>
    <row r="400" customFormat="false" ht="15" hidden="false" customHeight="false" outlineLevel="0" collapsed="false">
      <c r="A400" s="1" t="s">
        <v>378</v>
      </c>
      <c r="B400" s="1" t="s">
        <v>379</v>
      </c>
      <c r="C400" s="1" t="s">
        <v>553</v>
      </c>
      <c r="D400" s="1" t="s">
        <v>554</v>
      </c>
      <c r="E400" s="1" t="n">
        <v>20171</v>
      </c>
      <c r="F400" s="1" t="s">
        <v>303</v>
      </c>
      <c r="G400" s="1" t="s">
        <v>14</v>
      </c>
      <c r="H400" s="1" t="n">
        <v>4</v>
      </c>
      <c r="I400" s="1" t="n">
        <v>0</v>
      </c>
      <c r="J400" s="1" t="n">
        <v>20201</v>
      </c>
      <c r="L400" s="1" t="str">
        <f aca="false">IF(D399&lt;&gt;D400,D400,"")</f>
        <v/>
      </c>
      <c r="M400" s="1" t="str">
        <f aca="false">IF(F399&lt;&gt;F400,F400,"")</f>
        <v/>
      </c>
    </row>
    <row r="401" customFormat="false" ht="15" hidden="false" customHeight="false" outlineLevel="0" collapsed="false">
      <c r="A401" s="1" t="s">
        <v>380</v>
      </c>
      <c r="B401" s="1" t="s">
        <v>381</v>
      </c>
      <c r="C401" s="1" t="s">
        <v>553</v>
      </c>
      <c r="D401" s="1" t="s">
        <v>554</v>
      </c>
      <c r="E401" s="1" t="n">
        <v>20171</v>
      </c>
      <c r="F401" s="1" t="s">
        <v>303</v>
      </c>
      <c r="G401" s="1" t="s">
        <v>14</v>
      </c>
      <c r="H401" s="1" t="n">
        <v>4</v>
      </c>
      <c r="I401" s="1" t="n">
        <v>0</v>
      </c>
      <c r="J401" s="1" t="n">
        <v>20201</v>
      </c>
      <c r="L401" s="1" t="str">
        <f aca="false">IF(D400&lt;&gt;D401,D401,"")</f>
        <v/>
      </c>
      <c r="M401" s="1" t="str">
        <f aca="false">IF(F400&lt;&gt;F401,F401,"")</f>
        <v/>
      </c>
    </row>
    <row r="402" customFormat="false" ht="15" hidden="false" customHeight="false" outlineLevel="0" collapsed="false">
      <c r="A402" s="1" t="s">
        <v>382</v>
      </c>
      <c r="B402" s="1" t="s">
        <v>383</v>
      </c>
      <c r="C402" s="1" t="s">
        <v>553</v>
      </c>
      <c r="D402" s="1" t="s">
        <v>554</v>
      </c>
      <c r="E402" s="1" t="n">
        <v>20171</v>
      </c>
      <c r="F402" s="1" t="s">
        <v>303</v>
      </c>
      <c r="G402" s="1" t="s">
        <v>14</v>
      </c>
      <c r="H402" s="1" t="n">
        <v>4</v>
      </c>
      <c r="I402" s="1" t="n">
        <v>0</v>
      </c>
      <c r="J402" s="1" t="n">
        <v>20201</v>
      </c>
      <c r="L402" s="1" t="str">
        <f aca="false">IF(D401&lt;&gt;D402,D402,"")</f>
        <v/>
      </c>
      <c r="M402" s="1" t="str">
        <f aca="false">IF(F401&lt;&gt;F402,F402,"")</f>
        <v/>
      </c>
    </row>
    <row r="403" customFormat="false" ht="15" hidden="false" customHeight="false" outlineLevel="0" collapsed="false">
      <c r="A403" s="1" t="s">
        <v>384</v>
      </c>
      <c r="B403" s="1" t="s">
        <v>385</v>
      </c>
      <c r="C403" s="1" t="s">
        <v>553</v>
      </c>
      <c r="D403" s="1" t="s">
        <v>554</v>
      </c>
      <c r="E403" s="1" t="n">
        <v>20171</v>
      </c>
      <c r="F403" s="1" t="s">
        <v>303</v>
      </c>
      <c r="G403" s="1" t="s">
        <v>14</v>
      </c>
      <c r="H403" s="1" t="n">
        <v>4</v>
      </c>
      <c r="I403" s="1" t="n">
        <v>0</v>
      </c>
      <c r="J403" s="1" t="n">
        <v>20201</v>
      </c>
      <c r="L403" s="1" t="str">
        <f aca="false">IF(D402&lt;&gt;D403,D403,"")</f>
        <v/>
      </c>
      <c r="M403" s="1" t="str">
        <f aca="false">IF(F402&lt;&gt;F403,F403,"")</f>
        <v/>
      </c>
    </row>
    <row r="404" customFormat="false" ht="15" hidden="false" customHeight="false" outlineLevel="0" collapsed="false">
      <c r="A404" s="1" t="s">
        <v>386</v>
      </c>
      <c r="B404" s="1" t="s">
        <v>387</v>
      </c>
      <c r="C404" s="1" t="s">
        <v>553</v>
      </c>
      <c r="D404" s="1" t="s">
        <v>554</v>
      </c>
      <c r="E404" s="1" t="n">
        <v>20171</v>
      </c>
      <c r="F404" s="1" t="s">
        <v>303</v>
      </c>
      <c r="G404" s="1" t="s">
        <v>15</v>
      </c>
      <c r="H404" s="1" t="n">
        <v>3.5</v>
      </c>
      <c r="I404" s="1" t="n">
        <v>0</v>
      </c>
      <c r="J404" s="1" t="n">
        <v>20201</v>
      </c>
      <c r="L404" s="1" t="str">
        <f aca="false">IF(D403&lt;&gt;D404,D404,"")</f>
        <v/>
      </c>
      <c r="M404" s="1" t="str">
        <f aca="false">IF(F403&lt;&gt;F404,F404,"")</f>
        <v/>
      </c>
    </row>
    <row r="405" customFormat="false" ht="15" hidden="false" customHeight="false" outlineLevel="0" collapsed="false">
      <c r="A405" s="1" t="s">
        <v>388</v>
      </c>
      <c r="B405" s="1" t="s">
        <v>389</v>
      </c>
      <c r="C405" s="1" t="s">
        <v>553</v>
      </c>
      <c r="D405" s="1" t="s">
        <v>554</v>
      </c>
      <c r="E405" s="1" t="n">
        <v>20171</v>
      </c>
      <c r="F405" s="1" t="s">
        <v>303</v>
      </c>
      <c r="G405" s="1" t="s">
        <v>15</v>
      </c>
      <c r="H405" s="1" t="n">
        <v>3.5</v>
      </c>
      <c r="I405" s="1" t="n">
        <v>0</v>
      </c>
      <c r="J405" s="1" t="n">
        <v>20201</v>
      </c>
      <c r="L405" s="1" t="str">
        <f aca="false">IF(D404&lt;&gt;D405,D405,"")</f>
        <v/>
      </c>
      <c r="M405" s="1" t="str">
        <f aca="false">IF(F404&lt;&gt;F405,F405,"")</f>
        <v/>
      </c>
    </row>
    <row r="406" customFormat="false" ht="15" hidden="false" customHeight="false" outlineLevel="0" collapsed="false">
      <c r="A406" s="1" t="s">
        <v>390</v>
      </c>
      <c r="B406" s="1" t="s">
        <v>391</v>
      </c>
      <c r="C406" s="1" t="s">
        <v>553</v>
      </c>
      <c r="D406" s="1" t="s">
        <v>554</v>
      </c>
      <c r="E406" s="1" t="n">
        <v>20171</v>
      </c>
      <c r="F406" s="1" t="s">
        <v>303</v>
      </c>
      <c r="G406" s="1" t="s">
        <v>101</v>
      </c>
      <c r="H406" s="1" t="n">
        <v>2.5</v>
      </c>
      <c r="I406" s="1" t="n">
        <v>0</v>
      </c>
      <c r="J406" s="1" t="n">
        <v>20201</v>
      </c>
      <c r="L406" s="1" t="str">
        <f aca="false">IF(D405&lt;&gt;D406,D406,"")</f>
        <v/>
      </c>
      <c r="M406" s="1" t="str">
        <f aca="false">IF(F405&lt;&gt;F406,F406,"")</f>
        <v/>
      </c>
    </row>
    <row r="407" customFormat="false" ht="15" hidden="false" customHeight="false" outlineLevel="0" collapsed="false">
      <c r="A407" s="1" t="s">
        <v>392</v>
      </c>
      <c r="B407" s="1" t="s">
        <v>393</v>
      </c>
      <c r="C407" s="1" t="s">
        <v>553</v>
      </c>
      <c r="D407" s="1" t="s">
        <v>554</v>
      </c>
      <c r="E407" s="1" t="n">
        <v>20171</v>
      </c>
      <c r="F407" s="1" t="s">
        <v>303</v>
      </c>
      <c r="G407" s="1" t="s">
        <v>30</v>
      </c>
      <c r="H407" s="1" t="n">
        <v>1.5</v>
      </c>
      <c r="I407" s="1" t="n">
        <v>0</v>
      </c>
      <c r="J407" s="1" t="n">
        <v>20201</v>
      </c>
      <c r="L407" s="1" t="str">
        <f aca="false">IF(D406&lt;&gt;D407,D407,"")</f>
        <v/>
      </c>
      <c r="M407" s="1" t="str">
        <f aca="false">IF(F406&lt;&gt;F407,F407,"")</f>
        <v/>
      </c>
    </row>
    <row r="408" customFormat="false" ht="15" hidden="false" customHeight="false" outlineLevel="0" collapsed="false">
      <c r="A408" s="1" t="s">
        <v>394</v>
      </c>
      <c r="B408" s="1" t="s">
        <v>395</v>
      </c>
      <c r="C408" s="1" t="s">
        <v>553</v>
      </c>
      <c r="D408" s="1" t="s">
        <v>554</v>
      </c>
      <c r="E408" s="1" t="n">
        <v>20171</v>
      </c>
      <c r="F408" s="1" t="s">
        <v>303</v>
      </c>
      <c r="G408" s="1" t="s">
        <v>514</v>
      </c>
      <c r="H408" s="1" t="n">
        <v>1</v>
      </c>
      <c r="I408" s="1" t="n">
        <v>0</v>
      </c>
      <c r="J408" s="1" t="n">
        <v>20201</v>
      </c>
      <c r="L408" s="1" t="str">
        <f aca="false">IF(D407&lt;&gt;D408,D408,"")</f>
        <v/>
      </c>
      <c r="M408" s="1" t="str">
        <f aca="false">IF(F407&lt;&gt;F408,F408,"")</f>
        <v/>
      </c>
    </row>
    <row r="409" customFormat="false" ht="15" hidden="false" customHeight="false" outlineLevel="0" collapsed="false">
      <c r="A409" s="1" t="s">
        <v>396</v>
      </c>
      <c r="B409" s="1" t="s">
        <v>397</v>
      </c>
      <c r="C409" s="1" t="s">
        <v>553</v>
      </c>
      <c r="D409" s="1" t="s">
        <v>554</v>
      </c>
      <c r="E409" s="1" t="n">
        <v>20171</v>
      </c>
      <c r="F409" s="1" t="s">
        <v>303</v>
      </c>
      <c r="G409" s="1" t="s">
        <v>15</v>
      </c>
      <c r="H409" s="1" t="n">
        <v>3.5</v>
      </c>
      <c r="I409" s="1" t="n">
        <v>0</v>
      </c>
      <c r="J409" s="1" t="n">
        <v>20201</v>
      </c>
      <c r="L409" s="1" t="str">
        <f aca="false">IF(D408&lt;&gt;D409,D409,"")</f>
        <v/>
      </c>
      <c r="M409" s="1" t="str">
        <f aca="false">IF(F408&lt;&gt;F409,F409,"")</f>
        <v/>
      </c>
    </row>
    <row r="410" customFormat="false" ht="15" hidden="false" customHeight="false" outlineLevel="0" collapsed="false">
      <c r="A410" s="1" t="s">
        <v>398</v>
      </c>
      <c r="B410" s="1" t="s">
        <v>399</v>
      </c>
      <c r="C410" s="1" t="s">
        <v>553</v>
      </c>
      <c r="D410" s="1" t="s">
        <v>554</v>
      </c>
      <c r="E410" s="1" t="n">
        <v>20171</v>
      </c>
      <c r="F410" s="1" t="s">
        <v>303</v>
      </c>
      <c r="G410" s="1" t="s">
        <v>18</v>
      </c>
      <c r="H410" s="1" t="n">
        <v>3</v>
      </c>
      <c r="I410" s="1" t="n">
        <v>0</v>
      </c>
      <c r="J410" s="1" t="n">
        <v>20201</v>
      </c>
      <c r="L410" s="1" t="str">
        <f aca="false">IF(D409&lt;&gt;D410,D410,"")</f>
        <v/>
      </c>
      <c r="M410" s="1" t="str">
        <f aca="false">IF(F409&lt;&gt;F410,F410,"")</f>
        <v/>
      </c>
    </row>
    <row r="411" customFormat="false" ht="15" hidden="false" customHeight="false" outlineLevel="0" collapsed="false">
      <c r="A411" s="1" t="s">
        <v>400</v>
      </c>
      <c r="B411" s="1" t="s">
        <v>401</v>
      </c>
      <c r="C411" s="1" t="s">
        <v>553</v>
      </c>
      <c r="D411" s="1" t="s">
        <v>554</v>
      </c>
      <c r="E411" s="1" t="n">
        <v>20171</v>
      </c>
      <c r="F411" s="1" t="s">
        <v>303</v>
      </c>
      <c r="G411" s="1" t="s">
        <v>15</v>
      </c>
      <c r="H411" s="1" t="n">
        <v>3.5</v>
      </c>
      <c r="I411" s="1" t="n">
        <v>0</v>
      </c>
      <c r="J411" s="1" t="n">
        <v>20201</v>
      </c>
      <c r="L411" s="1" t="str">
        <f aca="false">IF(D410&lt;&gt;D411,D411,"")</f>
        <v/>
      </c>
      <c r="M411" s="1" t="str">
        <f aca="false">IF(F410&lt;&gt;F411,F411,"")</f>
        <v/>
      </c>
    </row>
    <row r="412" customFormat="false" ht="15" hidden="false" customHeight="false" outlineLevel="0" collapsed="false">
      <c r="A412" s="1" t="s">
        <v>402</v>
      </c>
      <c r="B412" s="1" t="s">
        <v>403</v>
      </c>
      <c r="C412" s="1" t="s">
        <v>553</v>
      </c>
      <c r="D412" s="1" t="s">
        <v>554</v>
      </c>
      <c r="E412" s="1" t="n">
        <v>20171</v>
      </c>
      <c r="F412" s="1" t="s">
        <v>303</v>
      </c>
      <c r="G412" s="1" t="s">
        <v>124</v>
      </c>
      <c r="H412" s="1" t="n">
        <v>0</v>
      </c>
      <c r="I412" s="1" t="n">
        <v>0</v>
      </c>
      <c r="J412" s="1" t="n">
        <v>20201</v>
      </c>
      <c r="L412" s="1" t="str">
        <f aca="false">IF(D411&lt;&gt;D412,D412,"")</f>
        <v/>
      </c>
      <c r="M412" s="1" t="str">
        <f aca="false">IF(F411&lt;&gt;F412,F412,"")</f>
        <v/>
      </c>
    </row>
    <row r="413" customFormat="false" ht="15" hidden="false" customHeight="false" outlineLevel="0" collapsed="false">
      <c r="A413" s="1" t="s">
        <v>404</v>
      </c>
      <c r="B413" s="1" t="s">
        <v>405</v>
      </c>
      <c r="C413" s="1" t="s">
        <v>553</v>
      </c>
      <c r="D413" s="1" t="s">
        <v>554</v>
      </c>
      <c r="E413" s="1" t="n">
        <v>20171</v>
      </c>
      <c r="F413" s="1" t="s">
        <v>303</v>
      </c>
      <c r="G413" s="1" t="s">
        <v>101</v>
      </c>
      <c r="H413" s="1" t="n">
        <v>2.5</v>
      </c>
      <c r="I413" s="1" t="n">
        <v>0</v>
      </c>
      <c r="J413" s="1" t="n">
        <v>20201</v>
      </c>
      <c r="L413" s="1" t="str">
        <f aca="false">IF(D412&lt;&gt;D413,D413,"")</f>
        <v/>
      </c>
      <c r="M413" s="1" t="str">
        <f aca="false">IF(F412&lt;&gt;F413,F413,"")</f>
        <v/>
      </c>
    </row>
    <row r="414" customFormat="false" ht="15" hidden="false" customHeight="false" outlineLevel="0" collapsed="false">
      <c r="A414" s="1" t="s">
        <v>406</v>
      </c>
      <c r="B414" s="1" t="s">
        <v>407</v>
      </c>
      <c r="C414" s="1" t="s">
        <v>553</v>
      </c>
      <c r="D414" s="1" t="s">
        <v>554</v>
      </c>
      <c r="E414" s="1" t="n">
        <v>20171</v>
      </c>
      <c r="F414" s="1" t="s">
        <v>303</v>
      </c>
      <c r="G414" s="1" t="s">
        <v>18</v>
      </c>
      <c r="H414" s="1" t="n">
        <v>3</v>
      </c>
      <c r="I414" s="1" t="n">
        <v>0</v>
      </c>
      <c r="J414" s="1" t="n">
        <v>20201</v>
      </c>
      <c r="L414" s="1" t="str">
        <f aca="false">IF(D413&lt;&gt;D414,D414,"")</f>
        <v/>
      </c>
      <c r="M414" s="1" t="str">
        <f aca="false">IF(F413&lt;&gt;F414,F414,"")</f>
        <v/>
      </c>
    </row>
    <row r="415" customFormat="false" ht="15" hidden="false" customHeight="false" outlineLevel="0" collapsed="false">
      <c r="A415" s="1" t="s">
        <v>408</v>
      </c>
      <c r="B415" s="1" t="s">
        <v>409</v>
      </c>
      <c r="C415" s="1" t="s">
        <v>553</v>
      </c>
      <c r="D415" s="1" t="s">
        <v>554</v>
      </c>
      <c r="E415" s="1" t="n">
        <v>20171</v>
      </c>
      <c r="F415" s="1" t="s">
        <v>303</v>
      </c>
      <c r="G415" s="1" t="s">
        <v>15</v>
      </c>
      <c r="H415" s="1" t="n">
        <v>3.5</v>
      </c>
      <c r="I415" s="1" t="n">
        <v>0</v>
      </c>
      <c r="J415" s="1" t="n">
        <v>20201</v>
      </c>
      <c r="L415" s="1" t="str">
        <f aca="false">IF(D414&lt;&gt;D415,D415,"")</f>
        <v/>
      </c>
      <c r="M415" s="1" t="str">
        <f aca="false">IF(F414&lt;&gt;F415,F415,"")</f>
        <v/>
      </c>
    </row>
    <row r="416" customFormat="false" ht="15" hidden="false" customHeight="false" outlineLevel="0" collapsed="false">
      <c r="A416" s="1" t="s">
        <v>410</v>
      </c>
      <c r="B416" s="1" t="s">
        <v>411</v>
      </c>
      <c r="C416" s="1" t="s">
        <v>553</v>
      </c>
      <c r="D416" s="1" t="s">
        <v>554</v>
      </c>
      <c r="E416" s="1" t="n">
        <v>20171</v>
      </c>
      <c r="F416" s="1" t="s">
        <v>303</v>
      </c>
      <c r="G416" s="1" t="s">
        <v>14</v>
      </c>
      <c r="H416" s="1" t="n">
        <v>4</v>
      </c>
      <c r="I416" s="1" t="n">
        <v>0</v>
      </c>
      <c r="J416" s="1" t="n">
        <v>20201</v>
      </c>
      <c r="L416" s="1" t="str">
        <f aca="false">IF(D415&lt;&gt;D416,D416,"")</f>
        <v/>
      </c>
      <c r="M416" s="1" t="str">
        <f aca="false">IF(F415&lt;&gt;F416,F416,"")</f>
        <v/>
      </c>
    </row>
    <row r="417" customFormat="false" ht="15" hidden="false" customHeight="false" outlineLevel="0" collapsed="false">
      <c r="A417" s="1" t="s">
        <v>412</v>
      </c>
      <c r="B417" s="1" t="s">
        <v>413</v>
      </c>
      <c r="C417" s="1" t="s">
        <v>553</v>
      </c>
      <c r="D417" s="1" t="s">
        <v>554</v>
      </c>
      <c r="E417" s="1" t="n">
        <v>20171</v>
      </c>
      <c r="F417" s="1" t="s">
        <v>303</v>
      </c>
      <c r="G417" s="1" t="s">
        <v>101</v>
      </c>
      <c r="H417" s="1" t="n">
        <v>2.5</v>
      </c>
      <c r="I417" s="1" t="n">
        <v>0</v>
      </c>
      <c r="J417" s="1" t="n">
        <v>20201</v>
      </c>
      <c r="L417" s="1" t="str">
        <f aca="false">IF(D416&lt;&gt;D417,D417,"")</f>
        <v/>
      </c>
      <c r="M417" s="1" t="str">
        <f aca="false">IF(F416&lt;&gt;F417,F417,"")</f>
        <v/>
      </c>
    </row>
    <row r="418" customFormat="false" ht="15" hidden="false" customHeight="false" outlineLevel="0" collapsed="false">
      <c r="A418" s="1" t="s">
        <v>414</v>
      </c>
      <c r="B418" s="1" t="s">
        <v>415</v>
      </c>
      <c r="C418" s="1" t="s">
        <v>553</v>
      </c>
      <c r="D418" s="1" t="s">
        <v>554</v>
      </c>
      <c r="E418" s="1" t="n">
        <v>20171</v>
      </c>
      <c r="F418" s="1" t="s">
        <v>303</v>
      </c>
      <c r="G418" s="1" t="s">
        <v>18</v>
      </c>
      <c r="H418" s="1" t="n">
        <v>3</v>
      </c>
      <c r="I418" s="1" t="n">
        <v>0</v>
      </c>
      <c r="J418" s="1" t="n">
        <v>20201</v>
      </c>
      <c r="L418" s="1" t="str">
        <f aca="false">IF(D417&lt;&gt;D418,D418,"")</f>
        <v/>
      </c>
      <c r="M418" s="1" t="str">
        <f aca="false">IF(F417&lt;&gt;F418,F418,"")</f>
        <v/>
      </c>
    </row>
    <row r="419" customFormat="false" ht="15" hidden="false" customHeight="false" outlineLevel="0" collapsed="false">
      <c r="A419" s="1" t="s">
        <v>416</v>
      </c>
      <c r="B419" s="1" t="s">
        <v>417</v>
      </c>
      <c r="C419" s="1" t="s">
        <v>553</v>
      </c>
      <c r="D419" s="1" t="s">
        <v>554</v>
      </c>
      <c r="E419" s="1" t="n">
        <v>20171</v>
      </c>
      <c r="F419" s="1" t="s">
        <v>303</v>
      </c>
      <c r="G419" s="1" t="s">
        <v>15</v>
      </c>
      <c r="H419" s="1" t="n">
        <v>3.5</v>
      </c>
      <c r="I419" s="1" t="n">
        <v>0</v>
      </c>
      <c r="J419" s="1" t="n">
        <v>20201</v>
      </c>
      <c r="L419" s="1" t="str">
        <f aca="false">IF(D418&lt;&gt;D419,D419,"")</f>
        <v/>
      </c>
      <c r="M419" s="1" t="str">
        <f aca="false">IF(F418&lt;&gt;F419,F419,"")</f>
        <v/>
      </c>
    </row>
    <row r="420" customFormat="false" ht="15" hidden="false" customHeight="false" outlineLevel="0" collapsed="false">
      <c r="A420" s="1" t="s">
        <v>418</v>
      </c>
      <c r="B420" s="1" t="s">
        <v>419</v>
      </c>
      <c r="C420" s="1" t="s">
        <v>553</v>
      </c>
      <c r="D420" s="1" t="s">
        <v>554</v>
      </c>
      <c r="E420" s="1" t="n">
        <v>20171</v>
      </c>
      <c r="F420" s="1" t="s">
        <v>303</v>
      </c>
      <c r="G420" s="1" t="s">
        <v>15</v>
      </c>
      <c r="H420" s="1" t="n">
        <v>3.5</v>
      </c>
      <c r="I420" s="1" t="n">
        <v>0</v>
      </c>
      <c r="J420" s="1" t="n">
        <v>20201</v>
      </c>
      <c r="L420" s="1" t="str">
        <f aca="false">IF(D419&lt;&gt;D420,D420,"")</f>
        <v/>
      </c>
      <c r="M420" s="1" t="str">
        <f aca="false">IF(F419&lt;&gt;F420,F420,"")</f>
        <v/>
      </c>
    </row>
    <row r="421" customFormat="false" ht="15" hidden="false" customHeight="false" outlineLevel="0" collapsed="false">
      <c r="A421" s="1" t="s">
        <v>420</v>
      </c>
      <c r="B421" s="1" t="s">
        <v>421</v>
      </c>
      <c r="C421" s="1" t="s">
        <v>553</v>
      </c>
      <c r="D421" s="1" t="s">
        <v>554</v>
      </c>
      <c r="E421" s="1" t="n">
        <v>20171</v>
      </c>
      <c r="F421" s="1" t="s">
        <v>303</v>
      </c>
      <c r="G421" s="1" t="s">
        <v>124</v>
      </c>
      <c r="H421" s="1" t="n">
        <v>0</v>
      </c>
      <c r="I421" s="1" t="n">
        <v>0</v>
      </c>
      <c r="J421" s="1" t="n">
        <v>20201</v>
      </c>
      <c r="L421" s="1" t="str">
        <f aca="false">IF(D420&lt;&gt;D421,D421,"")</f>
        <v/>
      </c>
      <c r="M421" s="1" t="str">
        <f aca="false">IF(F420&lt;&gt;F421,F421,"")</f>
        <v/>
      </c>
    </row>
    <row r="422" customFormat="false" ht="15" hidden="false" customHeight="false" outlineLevel="0" collapsed="false">
      <c r="A422" s="1" t="s">
        <v>422</v>
      </c>
      <c r="B422" s="1" t="s">
        <v>423</v>
      </c>
      <c r="C422" s="1" t="s">
        <v>553</v>
      </c>
      <c r="D422" s="1" t="s">
        <v>554</v>
      </c>
      <c r="E422" s="1" t="n">
        <v>20171</v>
      </c>
      <c r="F422" s="1" t="s">
        <v>303</v>
      </c>
      <c r="G422" s="1" t="s">
        <v>18</v>
      </c>
      <c r="H422" s="1" t="n">
        <v>3</v>
      </c>
      <c r="I422" s="1" t="n">
        <v>0</v>
      </c>
      <c r="J422" s="1" t="n">
        <v>20201</v>
      </c>
      <c r="L422" s="1" t="str">
        <f aca="false">IF(D421&lt;&gt;D422,D422,"")</f>
        <v/>
      </c>
      <c r="M422" s="1" t="str">
        <f aca="false">IF(F421&lt;&gt;F422,F422,"")</f>
        <v/>
      </c>
    </row>
    <row r="423" customFormat="false" ht="15" hidden="false" customHeight="false" outlineLevel="0" collapsed="false">
      <c r="A423" s="1" t="s">
        <v>424</v>
      </c>
      <c r="B423" s="1" t="s">
        <v>425</v>
      </c>
      <c r="C423" s="1" t="s">
        <v>553</v>
      </c>
      <c r="D423" s="1" t="s">
        <v>554</v>
      </c>
      <c r="E423" s="1" t="n">
        <v>20171</v>
      </c>
      <c r="F423" s="1" t="s">
        <v>303</v>
      </c>
      <c r="G423" s="1" t="s">
        <v>18</v>
      </c>
      <c r="H423" s="1" t="n">
        <v>3</v>
      </c>
      <c r="I423" s="1" t="n">
        <v>0</v>
      </c>
      <c r="J423" s="1" t="n">
        <v>20201</v>
      </c>
      <c r="L423" s="1" t="str">
        <f aca="false">IF(D422&lt;&gt;D423,D423,"")</f>
        <v/>
      </c>
      <c r="M423" s="1" t="str">
        <f aca="false">IF(F422&lt;&gt;F423,F423,"")</f>
        <v/>
      </c>
    </row>
    <row r="424" customFormat="false" ht="15" hidden="false" customHeight="false" outlineLevel="0" collapsed="false">
      <c r="A424" s="1" t="s">
        <v>426</v>
      </c>
      <c r="B424" s="1" t="s">
        <v>427</v>
      </c>
      <c r="C424" s="1" t="s">
        <v>553</v>
      </c>
      <c r="D424" s="1" t="s">
        <v>554</v>
      </c>
      <c r="E424" s="1" t="n">
        <v>20171</v>
      </c>
      <c r="F424" s="1" t="s">
        <v>303</v>
      </c>
      <c r="G424" s="1" t="s">
        <v>18</v>
      </c>
      <c r="H424" s="1" t="n">
        <v>3</v>
      </c>
      <c r="I424" s="1" t="n">
        <v>0</v>
      </c>
      <c r="J424" s="1" t="n">
        <v>20201</v>
      </c>
      <c r="L424" s="1" t="str">
        <f aca="false">IF(D423&lt;&gt;D424,D424,"")</f>
        <v/>
      </c>
      <c r="M424" s="1" t="str">
        <f aca="false">IF(F423&lt;&gt;F424,F424,"")</f>
        <v/>
      </c>
    </row>
    <row r="425" customFormat="false" ht="15" hidden="false" customHeight="false" outlineLevel="0" collapsed="false">
      <c r="A425" s="1" t="s">
        <v>428</v>
      </c>
      <c r="B425" s="1" t="s">
        <v>429</v>
      </c>
      <c r="C425" s="1" t="s">
        <v>553</v>
      </c>
      <c r="D425" s="1" t="s">
        <v>554</v>
      </c>
      <c r="E425" s="1" t="n">
        <v>20171</v>
      </c>
      <c r="F425" s="1" t="s">
        <v>303</v>
      </c>
      <c r="G425" s="1" t="s">
        <v>101</v>
      </c>
      <c r="H425" s="1" t="n">
        <v>2.5</v>
      </c>
      <c r="I425" s="1" t="n">
        <v>0</v>
      </c>
      <c r="J425" s="1" t="n">
        <v>20201</v>
      </c>
      <c r="L425" s="1" t="str">
        <f aca="false">IF(D424&lt;&gt;D425,D425,"")</f>
        <v/>
      </c>
      <c r="M425" s="1" t="str">
        <f aca="false">IF(F424&lt;&gt;F425,F425,"")</f>
        <v/>
      </c>
    </row>
    <row r="426" customFormat="false" ht="15" hidden="false" customHeight="false" outlineLevel="0" collapsed="false">
      <c r="A426" s="1" t="s">
        <v>430</v>
      </c>
      <c r="B426" s="1" t="s">
        <v>431</v>
      </c>
      <c r="C426" s="1" t="s">
        <v>553</v>
      </c>
      <c r="D426" s="1" t="s">
        <v>554</v>
      </c>
      <c r="E426" s="1" t="n">
        <v>20171</v>
      </c>
      <c r="F426" s="1" t="s">
        <v>303</v>
      </c>
      <c r="G426" s="1" t="s">
        <v>18</v>
      </c>
      <c r="H426" s="1" t="n">
        <v>3</v>
      </c>
      <c r="I426" s="1" t="n">
        <v>0</v>
      </c>
      <c r="J426" s="1" t="n">
        <v>20201</v>
      </c>
      <c r="L426" s="1" t="str">
        <f aca="false">IF(D425&lt;&gt;D426,D426,"")</f>
        <v/>
      </c>
      <c r="M426" s="1" t="str">
        <f aca="false">IF(F425&lt;&gt;F426,F426,"")</f>
        <v/>
      </c>
    </row>
    <row r="427" customFormat="false" ht="15" hidden="false" customHeight="false" outlineLevel="0" collapsed="false">
      <c r="A427" s="1" t="s">
        <v>432</v>
      </c>
      <c r="B427" s="1" t="s">
        <v>433</v>
      </c>
      <c r="C427" s="1" t="s">
        <v>553</v>
      </c>
      <c r="D427" s="1" t="s">
        <v>554</v>
      </c>
      <c r="E427" s="1" t="n">
        <v>20171</v>
      </c>
      <c r="F427" s="1" t="s">
        <v>303</v>
      </c>
      <c r="G427" s="1" t="s">
        <v>101</v>
      </c>
      <c r="H427" s="1" t="n">
        <v>2.5</v>
      </c>
      <c r="I427" s="1" t="n">
        <v>0</v>
      </c>
      <c r="J427" s="1" t="n">
        <v>20201</v>
      </c>
      <c r="L427" s="1" t="str">
        <f aca="false">IF(D426&lt;&gt;D427,D427,"")</f>
        <v/>
      </c>
      <c r="M427" s="1" t="str">
        <f aca="false">IF(F426&lt;&gt;F427,F427,"")</f>
        <v/>
      </c>
    </row>
    <row r="428" customFormat="false" ht="15" hidden="false" customHeight="false" outlineLevel="0" collapsed="false">
      <c r="A428" s="1" t="s">
        <v>434</v>
      </c>
      <c r="B428" s="1" t="s">
        <v>435</v>
      </c>
      <c r="C428" s="1" t="s">
        <v>553</v>
      </c>
      <c r="D428" s="1" t="s">
        <v>554</v>
      </c>
      <c r="E428" s="1" t="n">
        <v>20171</v>
      </c>
      <c r="F428" s="1" t="s">
        <v>303</v>
      </c>
      <c r="G428" s="1" t="s">
        <v>14</v>
      </c>
      <c r="H428" s="1" t="n">
        <v>4</v>
      </c>
      <c r="I428" s="1" t="n">
        <v>0</v>
      </c>
      <c r="J428" s="1" t="n">
        <v>20201</v>
      </c>
      <c r="L428" s="1" t="str">
        <f aca="false">IF(D427&lt;&gt;D428,D428,"")</f>
        <v/>
      </c>
      <c r="M428" s="1" t="str">
        <f aca="false">IF(F427&lt;&gt;F428,F428,"")</f>
        <v/>
      </c>
    </row>
    <row r="429" customFormat="false" ht="15" hidden="false" customHeight="false" outlineLevel="0" collapsed="false">
      <c r="A429" s="1" t="s">
        <v>436</v>
      </c>
      <c r="B429" s="1" t="s">
        <v>437</v>
      </c>
      <c r="C429" s="1" t="s">
        <v>553</v>
      </c>
      <c r="D429" s="1" t="s">
        <v>554</v>
      </c>
      <c r="E429" s="1" t="n">
        <v>20171</v>
      </c>
      <c r="F429" s="1" t="s">
        <v>303</v>
      </c>
      <c r="G429" s="1" t="s">
        <v>15</v>
      </c>
      <c r="H429" s="1" t="n">
        <v>3.5</v>
      </c>
      <c r="I429" s="1" t="n">
        <v>0</v>
      </c>
      <c r="J429" s="1" t="n">
        <v>20201</v>
      </c>
      <c r="L429" s="1" t="str">
        <f aca="false">IF(D428&lt;&gt;D429,D429,"")</f>
        <v/>
      </c>
      <c r="M429" s="1" t="str">
        <f aca="false">IF(F428&lt;&gt;F429,F429,"")</f>
        <v/>
      </c>
    </row>
    <row r="430" customFormat="false" ht="15" hidden="false" customHeight="false" outlineLevel="0" collapsed="false">
      <c r="A430" s="1" t="s">
        <v>438</v>
      </c>
      <c r="B430" s="1" t="s">
        <v>439</v>
      </c>
      <c r="C430" s="1" t="s">
        <v>553</v>
      </c>
      <c r="D430" s="1" t="s">
        <v>554</v>
      </c>
      <c r="E430" s="1" t="n">
        <v>20171</v>
      </c>
      <c r="F430" s="1" t="s">
        <v>303</v>
      </c>
      <c r="G430" s="1" t="s">
        <v>18</v>
      </c>
      <c r="H430" s="1" t="n">
        <v>3</v>
      </c>
      <c r="I430" s="1" t="n">
        <v>0</v>
      </c>
      <c r="J430" s="1" t="n">
        <v>20201</v>
      </c>
      <c r="L430" s="1" t="str">
        <f aca="false">IF(D429&lt;&gt;D430,D430,"")</f>
        <v/>
      </c>
      <c r="M430" s="1" t="str">
        <f aca="false">IF(F429&lt;&gt;F430,F430,"")</f>
        <v/>
      </c>
    </row>
    <row r="431" customFormat="false" ht="15" hidden="false" customHeight="false" outlineLevel="0" collapsed="false">
      <c r="A431" s="1" t="s">
        <v>440</v>
      </c>
      <c r="B431" s="1" t="s">
        <v>441</v>
      </c>
      <c r="C431" s="1" t="s">
        <v>553</v>
      </c>
      <c r="D431" s="1" t="s">
        <v>554</v>
      </c>
      <c r="E431" s="1" t="n">
        <v>20171</v>
      </c>
      <c r="F431" s="1" t="s">
        <v>303</v>
      </c>
      <c r="G431" s="1" t="s">
        <v>18</v>
      </c>
      <c r="H431" s="1" t="n">
        <v>3</v>
      </c>
      <c r="I431" s="1" t="n">
        <v>0</v>
      </c>
      <c r="J431" s="1" t="n">
        <v>20201</v>
      </c>
      <c r="L431" s="1" t="str">
        <f aca="false">IF(D430&lt;&gt;D431,D431,"")</f>
        <v/>
      </c>
      <c r="M431" s="1" t="str">
        <f aca="false">IF(F430&lt;&gt;F431,F431,"")</f>
        <v/>
      </c>
    </row>
    <row r="432" customFormat="false" ht="15" hidden="false" customHeight="false" outlineLevel="0" collapsed="false">
      <c r="A432" s="1" t="s">
        <v>442</v>
      </c>
      <c r="B432" s="1" t="s">
        <v>443</v>
      </c>
      <c r="C432" s="1" t="s">
        <v>553</v>
      </c>
      <c r="D432" s="1" t="s">
        <v>554</v>
      </c>
      <c r="E432" s="1" t="n">
        <v>20171</v>
      </c>
      <c r="F432" s="1" t="s">
        <v>303</v>
      </c>
      <c r="G432" s="1" t="s">
        <v>18</v>
      </c>
      <c r="H432" s="1" t="n">
        <v>3</v>
      </c>
      <c r="I432" s="1" t="n">
        <v>0</v>
      </c>
      <c r="J432" s="1" t="n">
        <v>20201</v>
      </c>
      <c r="L432" s="1" t="str">
        <f aca="false">IF(D431&lt;&gt;D432,D432,"")</f>
        <v/>
      </c>
      <c r="M432" s="1" t="str">
        <f aca="false">IF(F431&lt;&gt;F432,F432,"")</f>
        <v/>
      </c>
    </row>
    <row r="433" customFormat="false" ht="15" hidden="false" customHeight="false" outlineLevel="0" collapsed="false">
      <c r="A433" s="1" t="s">
        <v>444</v>
      </c>
      <c r="B433" s="1" t="s">
        <v>445</v>
      </c>
      <c r="C433" s="1" t="s">
        <v>553</v>
      </c>
      <c r="D433" s="1" t="s">
        <v>554</v>
      </c>
      <c r="E433" s="1" t="n">
        <v>20171</v>
      </c>
      <c r="F433" s="1" t="s">
        <v>303</v>
      </c>
      <c r="G433" s="1" t="s">
        <v>18</v>
      </c>
      <c r="H433" s="1" t="n">
        <v>3</v>
      </c>
      <c r="I433" s="1" t="n">
        <v>0</v>
      </c>
      <c r="J433" s="1" t="n">
        <v>20201</v>
      </c>
      <c r="L433" s="1" t="str">
        <f aca="false">IF(D432&lt;&gt;D433,D433,"")</f>
        <v/>
      </c>
      <c r="M433" s="1" t="str">
        <f aca="false">IF(F432&lt;&gt;F433,F433,"")</f>
        <v/>
      </c>
    </row>
    <row r="434" customFormat="false" ht="15" hidden="false" customHeight="false" outlineLevel="0" collapsed="false">
      <c r="A434" s="1" t="s">
        <v>446</v>
      </c>
      <c r="B434" s="1" t="s">
        <v>447</v>
      </c>
      <c r="C434" s="1" t="s">
        <v>553</v>
      </c>
      <c r="D434" s="1" t="s">
        <v>554</v>
      </c>
      <c r="E434" s="1" t="n">
        <v>20171</v>
      </c>
      <c r="F434" s="1" t="s">
        <v>303</v>
      </c>
      <c r="G434" s="1" t="s">
        <v>101</v>
      </c>
      <c r="H434" s="1" t="n">
        <v>2.5</v>
      </c>
      <c r="I434" s="1" t="n">
        <v>0</v>
      </c>
      <c r="J434" s="1" t="n">
        <v>20201</v>
      </c>
      <c r="L434" s="1" t="str">
        <f aca="false">IF(D433&lt;&gt;D434,D434,"")</f>
        <v/>
      </c>
      <c r="M434" s="1" t="str">
        <f aca="false">IF(F433&lt;&gt;F434,F434,"")</f>
        <v/>
      </c>
    </row>
    <row r="435" customFormat="false" ht="15" hidden="false" customHeight="false" outlineLevel="0" collapsed="false">
      <c r="A435" s="1" t="s">
        <v>448</v>
      </c>
      <c r="B435" s="1" t="s">
        <v>449</v>
      </c>
      <c r="C435" s="1" t="s">
        <v>553</v>
      </c>
      <c r="D435" s="1" t="s">
        <v>554</v>
      </c>
      <c r="E435" s="1" t="n">
        <v>20171</v>
      </c>
      <c r="F435" s="1" t="s">
        <v>303</v>
      </c>
      <c r="G435" s="1" t="s">
        <v>18</v>
      </c>
      <c r="H435" s="1" t="n">
        <v>3</v>
      </c>
      <c r="I435" s="1" t="n">
        <v>0</v>
      </c>
      <c r="J435" s="1" t="n">
        <v>20201</v>
      </c>
      <c r="L435" s="1" t="str">
        <f aca="false">IF(D434&lt;&gt;D435,D435,"")</f>
        <v/>
      </c>
      <c r="M435" s="1" t="str">
        <f aca="false">IF(F434&lt;&gt;F435,F435,"")</f>
        <v/>
      </c>
    </row>
    <row r="436" customFormat="false" ht="15" hidden="false" customHeight="false" outlineLevel="0" collapsed="false">
      <c r="A436" s="1" t="s">
        <v>450</v>
      </c>
      <c r="B436" s="1" t="s">
        <v>451</v>
      </c>
      <c r="C436" s="1" t="s">
        <v>553</v>
      </c>
      <c r="D436" s="1" t="s">
        <v>554</v>
      </c>
      <c r="E436" s="1" t="n">
        <v>20171</v>
      </c>
      <c r="F436" s="1" t="s">
        <v>303</v>
      </c>
      <c r="G436" s="1" t="s">
        <v>23</v>
      </c>
      <c r="H436" s="1" t="n">
        <v>0</v>
      </c>
      <c r="I436" s="1" t="n">
        <v>0</v>
      </c>
      <c r="J436" s="1" t="n">
        <v>20201</v>
      </c>
      <c r="L436" s="1" t="str">
        <f aca="false">IF(D435&lt;&gt;D436,D436,"")</f>
        <v/>
      </c>
      <c r="M436" s="1" t="str">
        <f aca="false">IF(F435&lt;&gt;F436,F436,"")</f>
        <v/>
      </c>
    </row>
    <row r="437" customFormat="false" ht="15" hidden="false" customHeight="false" outlineLevel="0" collapsed="false">
      <c r="A437" s="1" t="s">
        <v>452</v>
      </c>
      <c r="B437" s="1" t="s">
        <v>453</v>
      </c>
      <c r="C437" s="1" t="s">
        <v>553</v>
      </c>
      <c r="D437" s="1" t="s">
        <v>554</v>
      </c>
      <c r="E437" s="1" t="n">
        <v>20171</v>
      </c>
      <c r="F437" s="1" t="s">
        <v>303</v>
      </c>
      <c r="G437" s="1" t="s">
        <v>15</v>
      </c>
      <c r="H437" s="1" t="n">
        <v>3.5</v>
      </c>
      <c r="I437" s="1" t="n">
        <v>0</v>
      </c>
      <c r="J437" s="1" t="n">
        <v>20201</v>
      </c>
      <c r="L437" s="1" t="str">
        <f aca="false">IF(D436&lt;&gt;D437,D437,"")</f>
        <v/>
      </c>
      <c r="M437" s="1" t="str">
        <f aca="false">IF(F436&lt;&gt;F437,F437,"")</f>
        <v/>
      </c>
    </row>
    <row r="438" customFormat="false" ht="15" hidden="false" customHeight="false" outlineLevel="0" collapsed="false">
      <c r="A438" s="1" t="s">
        <v>454</v>
      </c>
      <c r="B438" s="1" t="s">
        <v>455</v>
      </c>
      <c r="C438" s="1" t="s">
        <v>553</v>
      </c>
      <c r="D438" s="1" t="s">
        <v>554</v>
      </c>
      <c r="E438" s="1" t="n">
        <v>20171</v>
      </c>
      <c r="F438" s="1" t="s">
        <v>303</v>
      </c>
      <c r="G438" s="1" t="s">
        <v>18</v>
      </c>
      <c r="H438" s="1" t="n">
        <v>3</v>
      </c>
      <c r="I438" s="1" t="n">
        <v>0</v>
      </c>
      <c r="J438" s="1" t="n">
        <v>20201</v>
      </c>
      <c r="L438" s="1" t="str">
        <f aca="false">IF(D437&lt;&gt;D438,D438,"")</f>
        <v/>
      </c>
      <c r="M438" s="1" t="str">
        <f aca="false">IF(F437&lt;&gt;F438,F438,"")</f>
        <v/>
      </c>
    </row>
    <row r="439" customFormat="false" ht="15" hidden="false" customHeight="false" outlineLevel="0" collapsed="false">
      <c r="A439" s="1" t="s">
        <v>456</v>
      </c>
      <c r="B439" s="1" t="s">
        <v>457</v>
      </c>
      <c r="C439" s="1" t="s">
        <v>553</v>
      </c>
      <c r="D439" s="1" t="s">
        <v>554</v>
      </c>
      <c r="E439" s="1" t="n">
        <v>20171</v>
      </c>
      <c r="F439" s="1" t="s">
        <v>303</v>
      </c>
      <c r="G439" s="1" t="s">
        <v>127</v>
      </c>
      <c r="H439" s="1" t="n">
        <v>2</v>
      </c>
      <c r="I439" s="1" t="n">
        <v>0</v>
      </c>
      <c r="J439" s="1" t="n">
        <v>20201</v>
      </c>
      <c r="L439" s="1" t="str">
        <f aca="false">IF(D438&lt;&gt;D439,D439,"")</f>
        <v/>
      </c>
      <c r="M439" s="1" t="str">
        <f aca="false">IF(F438&lt;&gt;F439,F439,"")</f>
        <v/>
      </c>
    </row>
    <row r="440" customFormat="false" ht="15" hidden="false" customHeight="false" outlineLevel="0" collapsed="false">
      <c r="A440" s="1" t="s">
        <v>458</v>
      </c>
      <c r="B440" s="1" t="s">
        <v>459</v>
      </c>
      <c r="C440" s="1" t="s">
        <v>553</v>
      </c>
      <c r="D440" s="1" t="s">
        <v>554</v>
      </c>
      <c r="E440" s="1" t="n">
        <v>20171</v>
      </c>
      <c r="F440" s="1" t="s">
        <v>303</v>
      </c>
      <c r="G440" s="1" t="s">
        <v>23</v>
      </c>
      <c r="H440" s="1" t="n">
        <v>0</v>
      </c>
      <c r="I440" s="1" t="n">
        <v>0</v>
      </c>
      <c r="J440" s="1" t="n">
        <v>20201</v>
      </c>
      <c r="L440" s="1" t="str">
        <f aca="false">IF(D439&lt;&gt;D440,D440,"")</f>
        <v/>
      </c>
      <c r="M440" s="1" t="str">
        <f aca="false">IF(F439&lt;&gt;F440,F440,"")</f>
        <v/>
      </c>
    </row>
    <row r="441" customFormat="false" ht="15" hidden="false" customHeight="false" outlineLevel="0" collapsed="false">
      <c r="A441" s="1" t="s">
        <v>460</v>
      </c>
      <c r="B441" s="1" t="s">
        <v>461</v>
      </c>
      <c r="C441" s="1" t="s">
        <v>553</v>
      </c>
      <c r="D441" s="1" t="s">
        <v>554</v>
      </c>
      <c r="E441" s="1" t="n">
        <v>20171</v>
      </c>
      <c r="F441" s="1" t="s">
        <v>303</v>
      </c>
      <c r="G441" s="1" t="s">
        <v>101</v>
      </c>
      <c r="H441" s="1" t="n">
        <v>2.5</v>
      </c>
      <c r="I441" s="1" t="n">
        <v>0</v>
      </c>
      <c r="J441" s="1" t="n">
        <v>20201</v>
      </c>
      <c r="L441" s="1" t="str">
        <f aca="false">IF(D440&lt;&gt;D441,D441,"")</f>
        <v/>
      </c>
      <c r="M441" s="1" t="str">
        <f aca="false">IF(F440&lt;&gt;F441,F441,"")</f>
        <v/>
      </c>
    </row>
    <row r="442" customFormat="false" ht="15" hidden="false" customHeight="false" outlineLevel="0" collapsed="false">
      <c r="A442" s="1" t="s">
        <v>462</v>
      </c>
      <c r="B442" s="1" t="s">
        <v>463</v>
      </c>
      <c r="C442" s="1" t="s">
        <v>553</v>
      </c>
      <c r="D442" s="1" t="s">
        <v>554</v>
      </c>
      <c r="E442" s="1" t="n">
        <v>20171</v>
      </c>
      <c r="F442" s="1" t="s">
        <v>303</v>
      </c>
      <c r="G442" s="1" t="s">
        <v>18</v>
      </c>
      <c r="H442" s="1" t="n">
        <v>3</v>
      </c>
      <c r="I442" s="1" t="n">
        <v>0</v>
      </c>
      <c r="J442" s="1" t="n">
        <v>20201</v>
      </c>
      <c r="L442" s="1" t="str">
        <f aca="false">IF(D441&lt;&gt;D442,D442,"")</f>
        <v/>
      </c>
      <c r="M442" s="1" t="str">
        <f aca="false">IF(F441&lt;&gt;F442,F442,"")</f>
        <v/>
      </c>
    </row>
    <row r="443" customFormat="false" ht="15" hidden="false" customHeight="false" outlineLevel="0" collapsed="false">
      <c r="A443" s="1" t="s">
        <v>464</v>
      </c>
      <c r="B443" s="1" t="s">
        <v>465</v>
      </c>
      <c r="C443" s="1" t="s">
        <v>553</v>
      </c>
      <c r="D443" s="1" t="s">
        <v>554</v>
      </c>
      <c r="E443" s="1" t="n">
        <v>20171</v>
      </c>
      <c r="F443" s="1" t="s">
        <v>303</v>
      </c>
      <c r="G443" s="1" t="s">
        <v>18</v>
      </c>
      <c r="H443" s="1" t="n">
        <v>3</v>
      </c>
      <c r="I443" s="1" t="n">
        <v>0</v>
      </c>
      <c r="J443" s="1" t="n">
        <v>20201</v>
      </c>
      <c r="L443" s="1" t="str">
        <f aca="false">IF(D442&lt;&gt;D443,D443,"")</f>
        <v/>
      </c>
      <c r="M443" s="1" t="str">
        <f aca="false">IF(F442&lt;&gt;F443,F443,"")</f>
        <v/>
      </c>
    </row>
    <row r="444" customFormat="false" ht="15" hidden="false" customHeight="false" outlineLevel="0" collapsed="false">
      <c r="A444" s="1" t="s">
        <v>466</v>
      </c>
      <c r="B444" s="1" t="s">
        <v>467</v>
      </c>
      <c r="C444" s="1" t="s">
        <v>553</v>
      </c>
      <c r="D444" s="1" t="s">
        <v>554</v>
      </c>
      <c r="E444" s="1" t="n">
        <v>20171</v>
      </c>
      <c r="F444" s="1" t="s">
        <v>303</v>
      </c>
      <c r="G444" s="1" t="s">
        <v>18</v>
      </c>
      <c r="H444" s="1" t="n">
        <v>3</v>
      </c>
      <c r="I444" s="1" t="n">
        <v>0</v>
      </c>
      <c r="J444" s="1" t="n">
        <v>20201</v>
      </c>
      <c r="L444" s="1" t="str">
        <f aca="false">IF(D443&lt;&gt;D444,D444,"")</f>
        <v/>
      </c>
      <c r="M444" s="1" t="str">
        <f aca="false">IF(F443&lt;&gt;F444,F444,"")</f>
        <v/>
      </c>
    </row>
    <row r="445" customFormat="false" ht="15" hidden="false" customHeight="false" outlineLevel="0" collapsed="false">
      <c r="A445" s="1" t="s">
        <v>468</v>
      </c>
      <c r="B445" s="1" t="s">
        <v>469</v>
      </c>
      <c r="C445" s="1" t="s">
        <v>553</v>
      </c>
      <c r="D445" s="1" t="s">
        <v>554</v>
      </c>
      <c r="E445" s="1" t="n">
        <v>20171</v>
      </c>
      <c r="F445" s="1" t="s">
        <v>303</v>
      </c>
      <c r="G445" s="1" t="s">
        <v>18</v>
      </c>
      <c r="H445" s="1" t="n">
        <v>3</v>
      </c>
      <c r="I445" s="1" t="n">
        <v>0</v>
      </c>
      <c r="J445" s="1" t="n">
        <v>20201</v>
      </c>
      <c r="L445" s="1" t="str">
        <f aca="false">IF(D444&lt;&gt;D445,D445,"")</f>
        <v/>
      </c>
      <c r="M445" s="1" t="str">
        <f aca="false">IF(F444&lt;&gt;F445,F445,"")</f>
        <v/>
      </c>
    </row>
    <row r="446" customFormat="false" ht="15" hidden="false" customHeight="false" outlineLevel="0" collapsed="false">
      <c r="A446" s="1" t="s">
        <v>470</v>
      </c>
      <c r="B446" s="1" t="s">
        <v>471</v>
      </c>
      <c r="C446" s="1" t="s">
        <v>553</v>
      </c>
      <c r="D446" s="1" t="s">
        <v>554</v>
      </c>
      <c r="E446" s="1" t="n">
        <v>20171</v>
      </c>
      <c r="F446" s="1" t="s">
        <v>303</v>
      </c>
      <c r="G446" s="1" t="s">
        <v>18</v>
      </c>
      <c r="H446" s="1" t="n">
        <v>3</v>
      </c>
      <c r="I446" s="1" t="n">
        <v>0</v>
      </c>
      <c r="J446" s="1" t="n">
        <v>20201</v>
      </c>
      <c r="L446" s="1" t="str">
        <f aca="false">IF(D445&lt;&gt;D446,D446,"")</f>
        <v/>
      </c>
      <c r="M446" s="1" t="str">
        <f aca="false">IF(F445&lt;&gt;F446,F446,"")</f>
        <v/>
      </c>
    </row>
    <row r="447" customFormat="false" ht="15" hidden="false" customHeight="false" outlineLevel="0" collapsed="false">
      <c r="A447" s="1" t="s">
        <v>472</v>
      </c>
      <c r="B447" s="1" t="s">
        <v>473</v>
      </c>
      <c r="C447" s="1" t="s">
        <v>553</v>
      </c>
      <c r="D447" s="1" t="s">
        <v>554</v>
      </c>
      <c r="E447" s="1" t="n">
        <v>20171</v>
      </c>
      <c r="F447" s="1" t="s">
        <v>303</v>
      </c>
      <c r="G447" s="1" t="s">
        <v>101</v>
      </c>
      <c r="H447" s="1" t="n">
        <v>2.5</v>
      </c>
      <c r="I447" s="1" t="n">
        <v>0</v>
      </c>
      <c r="J447" s="1" t="n">
        <v>20201</v>
      </c>
      <c r="L447" s="1" t="str">
        <f aca="false">IF(D446&lt;&gt;D447,D447,"")</f>
        <v/>
      </c>
      <c r="M447" s="1" t="str">
        <f aca="false">IF(F446&lt;&gt;F447,F447,"")</f>
        <v/>
      </c>
    </row>
    <row r="448" customFormat="false" ht="15" hidden="false" customHeight="false" outlineLevel="0" collapsed="false">
      <c r="A448" s="1" t="s">
        <v>474</v>
      </c>
      <c r="B448" s="1" t="s">
        <v>475</v>
      </c>
      <c r="C448" s="1" t="s">
        <v>553</v>
      </c>
      <c r="D448" s="1" t="s">
        <v>554</v>
      </c>
      <c r="E448" s="1" t="n">
        <v>20171</v>
      </c>
      <c r="F448" s="1" t="s">
        <v>303</v>
      </c>
      <c r="G448" s="1" t="s">
        <v>127</v>
      </c>
      <c r="H448" s="1" t="n">
        <v>2</v>
      </c>
      <c r="I448" s="1" t="n">
        <v>0</v>
      </c>
      <c r="J448" s="1" t="n">
        <v>20201</v>
      </c>
      <c r="L448" s="1" t="str">
        <f aca="false">IF(D447&lt;&gt;D448,D448,"")</f>
        <v/>
      </c>
      <c r="M448" s="1" t="str">
        <f aca="false">IF(F447&lt;&gt;F448,F448,"")</f>
        <v/>
      </c>
    </row>
    <row r="449" customFormat="false" ht="15" hidden="false" customHeight="false" outlineLevel="0" collapsed="false">
      <c r="A449" s="1" t="s">
        <v>476</v>
      </c>
      <c r="B449" s="1" t="s">
        <v>477</v>
      </c>
      <c r="C449" s="1" t="s">
        <v>553</v>
      </c>
      <c r="D449" s="1" t="s">
        <v>554</v>
      </c>
      <c r="E449" s="1" t="n">
        <v>20171</v>
      </c>
      <c r="F449" s="1" t="s">
        <v>303</v>
      </c>
      <c r="G449" s="1" t="s">
        <v>15</v>
      </c>
      <c r="H449" s="1" t="n">
        <v>3.5</v>
      </c>
      <c r="I449" s="1" t="n">
        <v>0</v>
      </c>
      <c r="J449" s="1" t="n">
        <v>20201</v>
      </c>
      <c r="L449" s="1" t="str">
        <f aca="false">IF(D448&lt;&gt;D449,D449,"")</f>
        <v/>
      </c>
      <c r="M449" s="1" t="str">
        <f aca="false">IF(F448&lt;&gt;F449,F449,"")</f>
        <v/>
      </c>
    </row>
    <row r="450" customFormat="false" ht="15" hidden="false" customHeight="false" outlineLevel="0" collapsed="false">
      <c r="A450" s="1" t="s">
        <v>478</v>
      </c>
      <c r="B450" s="1" t="s">
        <v>479</v>
      </c>
      <c r="C450" s="1" t="s">
        <v>553</v>
      </c>
      <c r="D450" s="1" t="s">
        <v>554</v>
      </c>
      <c r="E450" s="1" t="n">
        <v>20171</v>
      </c>
      <c r="F450" s="1" t="s">
        <v>303</v>
      </c>
      <c r="G450" s="1" t="s">
        <v>18</v>
      </c>
      <c r="H450" s="1" t="n">
        <v>3</v>
      </c>
      <c r="I450" s="1" t="n">
        <v>0</v>
      </c>
      <c r="J450" s="1" t="n">
        <v>20201</v>
      </c>
      <c r="L450" s="1" t="str">
        <f aca="false">IF(D449&lt;&gt;D450,D450,"")</f>
        <v/>
      </c>
      <c r="M450" s="1" t="str">
        <f aca="false">IF(F449&lt;&gt;F450,F450,"")</f>
        <v/>
      </c>
    </row>
    <row r="451" customFormat="false" ht="15" hidden="false" customHeight="false" outlineLevel="0" collapsed="false">
      <c r="A451" s="1" t="s">
        <v>480</v>
      </c>
      <c r="B451" s="1" t="s">
        <v>481</v>
      </c>
      <c r="C451" s="1" t="s">
        <v>553</v>
      </c>
      <c r="D451" s="1" t="s">
        <v>554</v>
      </c>
      <c r="E451" s="1" t="n">
        <v>20171</v>
      </c>
      <c r="F451" s="1" t="s">
        <v>303</v>
      </c>
      <c r="G451" s="1" t="s">
        <v>514</v>
      </c>
      <c r="H451" s="1" t="n">
        <v>1</v>
      </c>
      <c r="I451" s="1" t="n">
        <v>0</v>
      </c>
      <c r="J451" s="1" t="n">
        <v>20201</v>
      </c>
      <c r="L451" s="1" t="str">
        <f aca="false">IF(D450&lt;&gt;D451,D451,"")</f>
        <v/>
      </c>
      <c r="M451" s="1" t="str">
        <f aca="false">IF(F450&lt;&gt;F451,F451,"")</f>
        <v/>
      </c>
    </row>
    <row r="452" customFormat="false" ht="15" hidden="false" customHeight="false" outlineLevel="0" collapsed="false">
      <c r="A452" s="1" t="s">
        <v>482</v>
      </c>
      <c r="B452" s="1" t="s">
        <v>483</v>
      </c>
      <c r="C452" s="1" t="s">
        <v>553</v>
      </c>
      <c r="D452" s="1" t="s">
        <v>554</v>
      </c>
      <c r="E452" s="1" t="n">
        <v>20171</v>
      </c>
      <c r="F452" s="1" t="s">
        <v>303</v>
      </c>
      <c r="G452" s="1" t="s">
        <v>101</v>
      </c>
      <c r="H452" s="1" t="n">
        <v>2.5</v>
      </c>
      <c r="I452" s="1" t="n">
        <v>0</v>
      </c>
      <c r="J452" s="1" t="n">
        <v>20201</v>
      </c>
      <c r="L452" s="1" t="str">
        <f aca="false">IF(D451&lt;&gt;D452,D452,"")</f>
        <v/>
      </c>
      <c r="M452" s="1" t="str">
        <f aca="false">IF(F451&lt;&gt;F452,F452,"")</f>
        <v/>
      </c>
    </row>
    <row r="453" customFormat="false" ht="15" hidden="false" customHeight="false" outlineLevel="0" collapsed="false">
      <c r="A453" s="1" t="s">
        <v>484</v>
      </c>
      <c r="B453" s="1" t="s">
        <v>485</v>
      </c>
      <c r="C453" s="1" t="s">
        <v>553</v>
      </c>
      <c r="D453" s="1" t="s">
        <v>554</v>
      </c>
      <c r="E453" s="1" t="n">
        <v>20171</v>
      </c>
      <c r="F453" s="1" t="s">
        <v>303</v>
      </c>
      <c r="G453" s="1" t="s">
        <v>127</v>
      </c>
      <c r="H453" s="1" t="n">
        <v>2</v>
      </c>
      <c r="I453" s="1" t="n">
        <v>0</v>
      </c>
      <c r="J453" s="1" t="n">
        <v>20201</v>
      </c>
      <c r="L453" s="1" t="str">
        <f aca="false">IF(D452&lt;&gt;D453,D453,"")</f>
        <v/>
      </c>
      <c r="M453" s="1" t="str">
        <f aca="false">IF(F452&lt;&gt;F453,F453,"")</f>
        <v/>
      </c>
    </row>
    <row r="454" customFormat="false" ht="15" hidden="false" customHeight="false" outlineLevel="0" collapsed="false">
      <c r="A454" s="1" t="s">
        <v>486</v>
      </c>
      <c r="B454" s="1" t="s">
        <v>487</v>
      </c>
      <c r="C454" s="1" t="s">
        <v>553</v>
      </c>
      <c r="D454" s="1" t="s">
        <v>554</v>
      </c>
      <c r="E454" s="1" t="n">
        <v>20171</v>
      </c>
      <c r="F454" s="1" t="s">
        <v>303</v>
      </c>
      <c r="G454" s="1" t="s">
        <v>127</v>
      </c>
      <c r="H454" s="1" t="n">
        <v>2</v>
      </c>
      <c r="I454" s="1" t="n">
        <v>0</v>
      </c>
      <c r="J454" s="1" t="n">
        <v>20201</v>
      </c>
      <c r="L454" s="1" t="str">
        <f aca="false">IF(D453&lt;&gt;D454,D454,"")</f>
        <v/>
      </c>
      <c r="M454" s="1" t="str">
        <f aca="false">IF(F453&lt;&gt;F454,F454,"")</f>
        <v/>
      </c>
    </row>
    <row r="455" customFormat="false" ht="15" hidden="false" customHeight="false" outlineLevel="0" collapsed="false">
      <c r="A455" s="1" t="s">
        <v>488</v>
      </c>
      <c r="B455" s="1" t="s">
        <v>489</v>
      </c>
      <c r="C455" s="1" t="s">
        <v>553</v>
      </c>
      <c r="D455" s="1" t="s">
        <v>554</v>
      </c>
      <c r="E455" s="1" t="n">
        <v>20171</v>
      </c>
      <c r="F455" s="1" t="s">
        <v>303</v>
      </c>
      <c r="G455" s="1" t="s">
        <v>18</v>
      </c>
      <c r="H455" s="1" t="n">
        <v>3</v>
      </c>
      <c r="I455" s="1" t="n">
        <v>0</v>
      </c>
      <c r="J455" s="1" t="n">
        <v>20201</v>
      </c>
      <c r="L455" s="1" t="str">
        <f aca="false">IF(D454&lt;&gt;D455,D455,"")</f>
        <v/>
      </c>
      <c r="M455" s="1" t="str">
        <f aca="false">IF(F454&lt;&gt;F455,F455,"")</f>
        <v/>
      </c>
    </row>
    <row r="456" customFormat="false" ht="15" hidden="false" customHeight="false" outlineLevel="0" collapsed="false">
      <c r="A456" s="1" t="s">
        <v>490</v>
      </c>
      <c r="B456" s="1" t="s">
        <v>491</v>
      </c>
      <c r="C456" s="1" t="s">
        <v>553</v>
      </c>
      <c r="D456" s="1" t="s">
        <v>554</v>
      </c>
      <c r="E456" s="1" t="n">
        <v>20171</v>
      </c>
      <c r="F456" s="1" t="s">
        <v>303</v>
      </c>
      <c r="G456" s="1" t="s">
        <v>30</v>
      </c>
      <c r="H456" s="1" t="n">
        <v>1.5</v>
      </c>
      <c r="I456" s="1" t="n">
        <v>0</v>
      </c>
      <c r="J456" s="1" t="n">
        <v>20201</v>
      </c>
      <c r="L456" s="1" t="str">
        <f aca="false">IF(D455&lt;&gt;D456,D456,"")</f>
        <v/>
      </c>
      <c r="M456" s="1" t="str">
        <f aca="false">IF(F455&lt;&gt;F456,F456,"")</f>
        <v/>
      </c>
    </row>
    <row r="457" customFormat="false" ht="15" hidden="false" customHeight="false" outlineLevel="0" collapsed="false">
      <c r="A457" s="1" t="s">
        <v>492</v>
      </c>
      <c r="B457" s="1" t="s">
        <v>493</v>
      </c>
      <c r="C457" s="1" t="s">
        <v>553</v>
      </c>
      <c r="D457" s="1" t="s">
        <v>554</v>
      </c>
      <c r="E457" s="1" t="n">
        <v>20171</v>
      </c>
      <c r="F457" s="1" t="s">
        <v>303</v>
      </c>
      <c r="G457" s="1" t="s">
        <v>127</v>
      </c>
      <c r="H457" s="1" t="n">
        <v>2</v>
      </c>
      <c r="I457" s="1" t="n">
        <v>0</v>
      </c>
      <c r="J457" s="1" t="n">
        <v>20201</v>
      </c>
      <c r="L457" s="1" t="str">
        <f aca="false">IF(D456&lt;&gt;D457,D457,"")</f>
        <v/>
      </c>
      <c r="M457" s="1" t="str">
        <f aca="false">IF(F456&lt;&gt;F457,F457,"")</f>
        <v/>
      </c>
    </row>
    <row r="458" customFormat="false" ht="15" hidden="false" customHeight="false" outlineLevel="0" collapsed="false">
      <c r="A458" s="1" t="s">
        <v>494</v>
      </c>
      <c r="B458" s="1" t="s">
        <v>495</v>
      </c>
      <c r="C458" s="1" t="s">
        <v>553</v>
      </c>
      <c r="D458" s="1" t="s">
        <v>554</v>
      </c>
      <c r="E458" s="1" t="n">
        <v>20171</v>
      </c>
      <c r="F458" s="1" t="s">
        <v>303</v>
      </c>
      <c r="G458" s="1" t="s">
        <v>101</v>
      </c>
      <c r="H458" s="1" t="n">
        <v>2.5</v>
      </c>
      <c r="I458" s="1" t="n">
        <v>0</v>
      </c>
      <c r="J458" s="1" t="n">
        <v>20201</v>
      </c>
      <c r="L458" s="1" t="str">
        <f aca="false">IF(D457&lt;&gt;D458,D458,"")</f>
        <v/>
      </c>
      <c r="M458" s="1" t="str">
        <f aca="false">IF(F457&lt;&gt;F458,F458,"")</f>
        <v/>
      </c>
    </row>
    <row r="459" customFormat="false" ht="15" hidden="false" customHeight="false" outlineLevel="0" collapsed="false">
      <c r="A459" s="1" t="s">
        <v>496</v>
      </c>
      <c r="B459" s="1" t="s">
        <v>497</v>
      </c>
      <c r="C459" s="1" t="s">
        <v>553</v>
      </c>
      <c r="D459" s="1" t="s">
        <v>554</v>
      </c>
      <c r="E459" s="1" t="n">
        <v>20171</v>
      </c>
      <c r="F459" s="1" t="s">
        <v>303</v>
      </c>
      <c r="G459" s="1" t="s">
        <v>514</v>
      </c>
      <c r="H459" s="1" t="n">
        <v>1</v>
      </c>
      <c r="I459" s="1" t="n">
        <v>0</v>
      </c>
      <c r="J459" s="1" t="n">
        <v>20201</v>
      </c>
      <c r="L459" s="1" t="str">
        <f aca="false">IF(D458&lt;&gt;D459,D459,"")</f>
        <v/>
      </c>
      <c r="M459" s="1" t="str">
        <f aca="false">IF(F458&lt;&gt;F459,F459,"")</f>
        <v/>
      </c>
    </row>
    <row r="460" customFormat="false" ht="15" hidden="false" customHeight="false" outlineLevel="0" collapsed="false">
      <c r="A460" s="1" t="s">
        <v>498</v>
      </c>
      <c r="B460" s="1" t="s">
        <v>499</v>
      </c>
      <c r="C460" s="1" t="s">
        <v>553</v>
      </c>
      <c r="D460" s="1" t="s">
        <v>554</v>
      </c>
      <c r="E460" s="1" t="n">
        <v>20171</v>
      </c>
      <c r="F460" s="1" t="s">
        <v>303</v>
      </c>
      <c r="G460" s="1" t="s">
        <v>18</v>
      </c>
      <c r="H460" s="1" t="n">
        <v>3</v>
      </c>
      <c r="I460" s="1" t="n">
        <v>0</v>
      </c>
      <c r="J460" s="1" t="n">
        <v>20201</v>
      </c>
      <c r="L460" s="1" t="str">
        <f aca="false">IF(D459&lt;&gt;D460,D460,"")</f>
        <v/>
      </c>
      <c r="M460" s="1" t="str">
        <f aca="false">IF(F459&lt;&gt;F460,F460,"")</f>
        <v/>
      </c>
    </row>
    <row r="461" customFormat="false" ht="15" hidden="false" customHeight="false" outlineLevel="0" collapsed="false">
      <c r="A461" s="1" t="s">
        <v>500</v>
      </c>
      <c r="B461" s="1" t="s">
        <v>501</v>
      </c>
      <c r="C461" s="1" t="s">
        <v>553</v>
      </c>
      <c r="D461" s="1" t="s">
        <v>554</v>
      </c>
      <c r="E461" s="1" t="n">
        <v>20171</v>
      </c>
      <c r="F461" s="1" t="s">
        <v>303</v>
      </c>
      <c r="G461" s="1" t="s">
        <v>101</v>
      </c>
      <c r="H461" s="1" t="n">
        <v>2.5</v>
      </c>
      <c r="I461" s="1" t="n">
        <v>0</v>
      </c>
      <c r="J461" s="1" t="n">
        <v>20201</v>
      </c>
      <c r="L461" s="1" t="str">
        <f aca="false">IF(D460&lt;&gt;D461,D461,"")</f>
        <v/>
      </c>
      <c r="M461" s="1" t="str">
        <f aca="false">IF(F460&lt;&gt;F461,F461,"")</f>
        <v/>
      </c>
    </row>
    <row r="462" customFormat="false" ht="15" hidden="false" customHeight="false" outlineLevel="0" collapsed="false">
      <c r="A462" s="1" t="s">
        <v>502</v>
      </c>
      <c r="B462" s="1" t="s">
        <v>503</v>
      </c>
      <c r="C462" s="1" t="s">
        <v>553</v>
      </c>
      <c r="D462" s="1" t="s">
        <v>554</v>
      </c>
      <c r="E462" s="1" t="n">
        <v>20171</v>
      </c>
      <c r="F462" s="1" t="s">
        <v>303</v>
      </c>
      <c r="G462" s="1" t="s">
        <v>18</v>
      </c>
      <c r="H462" s="1" t="n">
        <v>3</v>
      </c>
      <c r="I462" s="1" t="n">
        <v>0</v>
      </c>
      <c r="J462" s="1" t="n">
        <v>20201</v>
      </c>
      <c r="L462" s="1" t="str">
        <f aca="false">IF(D461&lt;&gt;D462,D462,"")</f>
        <v/>
      </c>
      <c r="M462" s="1" t="str">
        <f aca="false">IF(F461&lt;&gt;F462,F462,"")</f>
        <v/>
      </c>
    </row>
    <row r="463" customFormat="false" ht="15" hidden="false" customHeight="false" outlineLevel="0" collapsed="false">
      <c r="A463" s="1" t="s">
        <v>504</v>
      </c>
      <c r="B463" s="1" t="s">
        <v>505</v>
      </c>
      <c r="C463" s="1" t="s">
        <v>553</v>
      </c>
      <c r="D463" s="1" t="s">
        <v>554</v>
      </c>
      <c r="E463" s="1" t="n">
        <v>20171</v>
      </c>
      <c r="F463" s="1" t="s">
        <v>303</v>
      </c>
      <c r="G463" s="1" t="s">
        <v>18</v>
      </c>
      <c r="H463" s="1" t="n">
        <v>3</v>
      </c>
      <c r="I463" s="1" t="n">
        <v>0</v>
      </c>
      <c r="J463" s="1" t="n">
        <v>20201</v>
      </c>
      <c r="L463" s="1" t="str">
        <f aca="false">IF(D462&lt;&gt;D463,D463,"")</f>
        <v/>
      </c>
      <c r="M463" s="1" t="str">
        <f aca="false">IF(F462&lt;&gt;F463,F463,"")</f>
        <v/>
      </c>
    </row>
    <row r="464" customFormat="false" ht="15" hidden="false" customHeight="false" outlineLevel="0" collapsed="false">
      <c r="A464" s="1" t="s">
        <v>506</v>
      </c>
      <c r="B464" s="1" t="s">
        <v>507</v>
      </c>
      <c r="C464" s="1" t="s">
        <v>553</v>
      </c>
      <c r="D464" s="1" t="s">
        <v>554</v>
      </c>
      <c r="E464" s="1" t="n">
        <v>20171</v>
      </c>
      <c r="F464" s="1" t="s">
        <v>303</v>
      </c>
      <c r="G464" s="1" t="s">
        <v>101</v>
      </c>
      <c r="H464" s="1" t="n">
        <v>2.5</v>
      </c>
      <c r="I464" s="1" t="n">
        <v>0</v>
      </c>
      <c r="J464" s="1" t="n">
        <v>20201</v>
      </c>
      <c r="L464" s="1" t="str">
        <f aca="false">IF(D463&lt;&gt;D464,D464,"")</f>
        <v/>
      </c>
      <c r="M464" s="1" t="str">
        <f aca="false">IF(F463&lt;&gt;F464,F464,"")</f>
        <v/>
      </c>
    </row>
    <row r="465" customFormat="false" ht="15" hidden="false" customHeight="false" outlineLevel="0" collapsed="false">
      <c r="A465" s="1" t="s">
        <v>508</v>
      </c>
      <c r="B465" s="1" t="s">
        <v>509</v>
      </c>
      <c r="C465" s="1" t="s">
        <v>553</v>
      </c>
      <c r="D465" s="1" t="s">
        <v>554</v>
      </c>
      <c r="E465" s="1" t="n">
        <v>20171</v>
      </c>
      <c r="F465" s="1" t="s">
        <v>303</v>
      </c>
      <c r="G465" s="1" t="s">
        <v>15</v>
      </c>
      <c r="H465" s="1" t="n">
        <v>3.5</v>
      </c>
      <c r="I465" s="1" t="n">
        <v>0</v>
      </c>
      <c r="J465" s="1" t="n">
        <v>20201</v>
      </c>
      <c r="L465" s="1" t="str">
        <f aca="false">IF(D464&lt;&gt;D465,D465,"")</f>
        <v/>
      </c>
      <c r="M465" s="1" t="str">
        <f aca="false">IF(F464&lt;&gt;F465,F465,"")</f>
        <v/>
      </c>
    </row>
    <row r="466" customFormat="false" ht="15" hidden="false" customHeight="false" outlineLevel="0" collapsed="false">
      <c r="A466" s="3" t="s">
        <v>555</v>
      </c>
      <c r="B466" s="3" t="s">
        <v>556</v>
      </c>
      <c r="C466" s="3" t="s">
        <v>557</v>
      </c>
      <c r="D466" s="3" t="s">
        <v>558</v>
      </c>
      <c r="E466" s="3" t="n">
        <v>20171</v>
      </c>
      <c r="F466" s="3" t="s">
        <v>14</v>
      </c>
      <c r="G466" s="3" t="s">
        <v>18</v>
      </c>
      <c r="H466" s="1" t="n">
        <v>3</v>
      </c>
      <c r="I466" s="1" t="n">
        <v>0</v>
      </c>
      <c r="J466" s="1" t="n">
        <v>20201</v>
      </c>
      <c r="L466" s="1" t="str">
        <f aca="false">IF(D465&lt;&gt;D466,D466,"")</f>
        <v>DASAR ELEKTRONIKA</v>
      </c>
      <c r="M466" s="1" t="str">
        <f aca="false">IF(F465&lt;&gt;F466,F466,"")</f>
        <v>A</v>
      </c>
    </row>
    <row r="467" customFormat="false" ht="15" hidden="false" customHeight="false" outlineLevel="0" collapsed="false">
      <c r="A467" s="3" t="s">
        <v>521</v>
      </c>
      <c r="B467" s="3" t="s">
        <v>522</v>
      </c>
      <c r="C467" s="3" t="s">
        <v>557</v>
      </c>
      <c r="D467" s="3" t="s">
        <v>558</v>
      </c>
      <c r="E467" s="3" t="n">
        <v>20171</v>
      </c>
      <c r="F467" s="3" t="s">
        <v>14</v>
      </c>
      <c r="G467" s="3" t="s">
        <v>15</v>
      </c>
      <c r="H467" s="1" t="n">
        <v>3.5</v>
      </c>
      <c r="I467" s="1" t="n">
        <v>0</v>
      </c>
      <c r="J467" s="1" t="n">
        <v>20201</v>
      </c>
      <c r="L467" s="1" t="str">
        <f aca="false">IF(D466&lt;&gt;D467,D467,"")</f>
        <v/>
      </c>
      <c r="M467" s="1" t="str">
        <f aca="false">IF(F466&lt;&gt;F467,F467,"")</f>
        <v/>
      </c>
    </row>
    <row r="468" customFormat="false" ht="15" hidden="false" customHeight="false" outlineLevel="0" collapsed="false">
      <c r="A468" s="3" t="s">
        <v>559</v>
      </c>
      <c r="B468" s="3" t="s">
        <v>560</v>
      </c>
      <c r="C468" s="3" t="s">
        <v>557</v>
      </c>
      <c r="D468" s="3" t="s">
        <v>558</v>
      </c>
      <c r="E468" s="3" t="n">
        <v>20171</v>
      </c>
      <c r="F468" s="3" t="s">
        <v>14</v>
      </c>
      <c r="G468" s="3" t="s">
        <v>18</v>
      </c>
      <c r="H468" s="1" t="n">
        <v>3</v>
      </c>
      <c r="I468" s="1" t="n">
        <v>0</v>
      </c>
      <c r="J468" s="1" t="n">
        <v>20201</v>
      </c>
      <c r="L468" s="1" t="str">
        <f aca="false">IF(D467&lt;&gt;D468,D468,"")</f>
        <v/>
      </c>
      <c r="M468" s="1" t="str">
        <f aca="false">IF(F467&lt;&gt;F468,F468,"")</f>
        <v/>
      </c>
    </row>
    <row r="469" customFormat="false" ht="15" hidden="false" customHeight="false" outlineLevel="0" collapsed="false">
      <c r="A469" s="3" t="s">
        <v>561</v>
      </c>
      <c r="B469" s="3" t="s">
        <v>562</v>
      </c>
      <c r="C469" s="3" t="s">
        <v>557</v>
      </c>
      <c r="D469" s="3" t="s">
        <v>558</v>
      </c>
      <c r="E469" s="3" t="n">
        <v>20171</v>
      </c>
      <c r="F469" s="3" t="s">
        <v>14</v>
      </c>
      <c r="G469" s="3" t="s">
        <v>15</v>
      </c>
      <c r="H469" s="1" t="n">
        <v>3.5</v>
      </c>
      <c r="I469" s="1" t="n">
        <v>0</v>
      </c>
      <c r="J469" s="1" t="n">
        <v>20201</v>
      </c>
      <c r="L469" s="1" t="str">
        <f aca="false">IF(D468&lt;&gt;D469,D469,"")</f>
        <v/>
      </c>
      <c r="M469" s="1" t="str">
        <f aca="false">IF(F468&lt;&gt;F469,F469,"")</f>
        <v/>
      </c>
    </row>
    <row r="470" customFormat="false" ht="15" hidden="false" customHeight="false" outlineLevel="0" collapsed="false">
      <c r="A470" s="3" t="s">
        <v>563</v>
      </c>
      <c r="B470" s="3" t="s">
        <v>564</v>
      </c>
      <c r="C470" s="3" t="s">
        <v>557</v>
      </c>
      <c r="D470" s="3" t="s">
        <v>558</v>
      </c>
      <c r="E470" s="3" t="n">
        <v>20171</v>
      </c>
      <c r="F470" s="3" t="s">
        <v>14</v>
      </c>
      <c r="G470" s="3" t="s">
        <v>101</v>
      </c>
      <c r="H470" s="1" t="n">
        <v>2.5</v>
      </c>
      <c r="I470" s="1" t="n">
        <v>0</v>
      </c>
      <c r="J470" s="1" t="n">
        <v>20201</v>
      </c>
      <c r="L470" s="1" t="str">
        <f aca="false">IF(D469&lt;&gt;D470,D470,"")</f>
        <v/>
      </c>
      <c r="M470" s="1" t="str">
        <f aca="false">IF(F469&lt;&gt;F470,F470,"")</f>
        <v/>
      </c>
    </row>
    <row r="471" customFormat="false" ht="15" hidden="false" customHeight="false" outlineLevel="0" collapsed="false">
      <c r="A471" s="3" t="s">
        <v>565</v>
      </c>
      <c r="B471" s="3" t="s">
        <v>566</v>
      </c>
      <c r="C471" s="3" t="s">
        <v>557</v>
      </c>
      <c r="D471" s="3" t="s">
        <v>558</v>
      </c>
      <c r="E471" s="3" t="n">
        <v>20171</v>
      </c>
      <c r="F471" s="3" t="s">
        <v>14</v>
      </c>
      <c r="G471" s="3" t="s">
        <v>18</v>
      </c>
      <c r="H471" s="1" t="n">
        <v>3</v>
      </c>
      <c r="I471" s="1" t="n">
        <v>0</v>
      </c>
      <c r="J471" s="1" t="n">
        <v>20201</v>
      </c>
      <c r="L471" s="1" t="str">
        <f aca="false">IF(D470&lt;&gt;D471,D471,"")</f>
        <v/>
      </c>
      <c r="M471" s="1" t="str">
        <f aca="false">IF(F470&lt;&gt;F471,F471,"")</f>
        <v/>
      </c>
    </row>
    <row r="472" customFormat="false" ht="15" hidden="false" customHeight="false" outlineLevel="0" collapsed="false">
      <c r="A472" s="3" t="s">
        <v>310</v>
      </c>
      <c r="B472" s="3" t="s">
        <v>311</v>
      </c>
      <c r="C472" s="3" t="s">
        <v>557</v>
      </c>
      <c r="D472" s="3" t="s">
        <v>558</v>
      </c>
      <c r="E472" s="3" t="n">
        <v>20171</v>
      </c>
      <c r="F472" s="3" t="s">
        <v>14</v>
      </c>
      <c r="G472" s="3" t="s">
        <v>124</v>
      </c>
      <c r="H472" s="1" t="n">
        <v>0</v>
      </c>
      <c r="I472" s="1" t="n">
        <v>0</v>
      </c>
      <c r="J472" s="1" t="n">
        <v>20201</v>
      </c>
      <c r="L472" s="1" t="str">
        <f aca="false">IF(D471&lt;&gt;D472,D472,"")</f>
        <v/>
      </c>
      <c r="M472" s="1" t="str">
        <f aca="false">IF(F471&lt;&gt;F472,F472,"")</f>
        <v/>
      </c>
    </row>
    <row r="473" customFormat="false" ht="15" hidden="false" customHeight="false" outlineLevel="0" collapsed="false">
      <c r="A473" s="3" t="s">
        <v>24</v>
      </c>
      <c r="B473" s="3" t="s">
        <v>25</v>
      </c>
      <c r="C473" s="3" t="s">
        <v>557</v>
      </c>
      <c r="D473" s="3" t="s">
        <v>558</v>
      </c>
      <c r="E473" s="3" t="n">
        <v>20171</v>
      </c>
      <c r="F473" s="3" t="s">
        <v>14</v>
      </c>
      <c r="G473" s="3" t="s">
        <v>18</v>
      </c>
      <c r="H473" s="1" t="n">
        <v>3</v>
      </c>
      <c r="I473" s="1" t="n">
        <v>0</v>
      </c>
      <c r="J473" s="1" t="n">
        <v>20201</v>
      </c>
      <c r="L473" s="1" t="str">
        <f aca="false">IF(D472&lt;&gt;D473,D473,"")</f>
        <v/>
      </c>
      <c r="M473" s="1" t="str">
        <f aca="false">IF(F472&lt;&gt;F473,F473,"")</f>
        <v/>
      </c>
    </row>
    <row r="474" customFormat="false" ht="15" hidden="false" customHeight="false" outlineLevel="0" collapsed="false">
      <c r="A474" s="3" t="s">
        <v>116</v>
      </c>
      <c r="B474" s="3" t="s">
        <v>117</v>
      </c>
      <c r="C474" s="3" t="s">
        <v>557</v>
      </c>
      <c r="D474" s="3" t="s">
        <v>558</v>
      </c>
      <c r="E474" s="3" t="n">
        <v>20171</v>
      </c>
      <c r="F474" s="3" t="s">
        <v>14</v>
      </c>
      <c r="G474" s="3" t="s">
        <v>15</v>
      </c>
      <c r="H474" s="1" t="n">
        <v>3.5</v>
      </c>
      <c r="I474" s="1" t="n">
        <v>0</v>
      </c>
      <c r="J474" s="1" t="n">
        <v>20201</v>
      </c>
      <c r="L474" s="1" t="str">
        <f aca="false">IF(D473&lt;&gt;D474,D474,"")</f>
        <v/>
      </c>
      <c r="M474" s="1" t="str">
        <f aca="false">IF(F473&lt;&gt;F474,F474,"")</f>
        <v/>
      </c>
    </row>
    <row r="475" customFormat="false" ht="15" hidden="false" customHeight="false" outlineLevel="0" collapsed="false">
      <c r="A475" s="3" t="s">
        <v>26</v>
      </c>
      <c r="B475" s="3" t="s">
        <v>27</v>
      </c>
      <c r="C475" s="3" t="s">
        <v>557</v>
      </c>
      <c r="D475" s="3" t="s">
        <v>558</v>
      </c>
      <c r="E475" s="3" t="n">
        <v>20171</v>
      </c>
      <c r="F475" s="3" t="s">
        <v>14</v>
      </c>
      <c r="G475" s="3" t="s">
        <v>15</v>
      </c>
      <c r="H475" s="1" t="n">
        <v>3.5</v>
      </c>
      <c r="I475" s="1" t="n">
        <v>0</v>
      </c>
      <c r="J475" s="1" t="n">
        <v>20201</v>
      </c>
      <c r="L475" s="1" t="str">
        <f aca="false">IF(D474&lt;&gt;D475,D475,"")</f>
        <v/>
      </c>
      <c r="M475" s="1" t="str">
        <f aca="false">IF(F474&lt;&gt;F475,F475,"")</f>
        <v/>
      </c>
    </row>
    <row r="476" customFormat="false" ht="15" hidden="false" customHeight="false" outlineLevel="0" collapsed="false">
      <c r="A476" s="3" t="s">
        <v>125</v>
      </c>
      <c r="B476" s="3" t="s">
        <v>126</v>
      </c>
      <c r="C476" s="3" t="s">
        <v>557</v>
      </c>
      <c r="D476" s="3" t="s">
        <v>558</v>
      </c>
      <c r="E476" s="3" t="n">
        <v>20171</v>
      </c>
      <c r="F476" s="3" t="s">
        <v>14</v>
      </c>
      <c r="G476" s="3" t="s">
        <v>18</v>
      </c>
      <c r="H476" s="1" t="n">
        <v>3</v>
      </c>
      <c r="I476" s="1" t="n">
        <v>0</v>
      </c>
      <c r="J476" s="1" t="n">
        <v>20201</v>
      </c>
      <c r="L476" s="1" t="str">
        <f aca="false">IF(D475&lt;&gt;D476,D476,"")</f>
        <v/>
      </c>
      <c r="M476" s="1" t="str">
        <f aca="false">IF(F475&lt;&gt;F476,F476,"")</f>
        <v/>
      </c>
    </row>
    <row r="477" customFormat="false" ht="15" hidden="false" customHeight="false" outlineLevel="0" collapsed="false">
      <c r="A477" s="3" t="s">
        <v>35</v>
      </c>
      <c r="B477" s="3" t="s">
        <v>36</v>
      </c>
      <c r="C477" s="3" t="s">
        <v>557</v>
      </c>
      <c r="D477" s="3" t="s">
        <v>558</v>
      </c>
      <c r="E477" s="3" t="n">
        <v>20171</v>
      </c>
      <c r="F477" s="3" t="s">
        <v>14</v>
      </c>
      <c r="G477" s="3" t="s">
        <v>18</v>
      </c>
      <c r="H477" s="1" t="n">
        <v>3</v>
      </c>
      <c r="I477" s="1" t="n">
        <v>0</v>
      </c>
      <c r="J477" s="1" t="n">
        <v>20201</v>
      </c>
      <c r="L477" s="1" t="str">
        <f aca="false">IF(D476&lt;&gt;D477,D477,"")</f>
        <v/>
      </c>
      <c r="M477" s="1" t="str">
        <f aca="false">IF(F476&lt;&gt;F477,F477,"")</f>
        <v/>
      </c>
    </row>
    <row r="478" customFormat="false" ht="15" hidden="false" customHeight="false" outlineLevel="0" collapsed="false">
      <c r="A478" s="3" t="s">
        <v>132</v>
      </c>
      <c r="B478" s="3" t="s">
        <v>133</v>
      </c>
      <c r="C478" s="3" t="s">
        <v>557</v>
      </c>
      <c r="D478" s="3" t="s">
        <v>558</v>
      </c>
      <c r="E478" s="3" t="n">
        <v>20171</v>
      </c>
      <c r="F478" s="3" t="s">
        <v>14</v>
      </c>
      <c r="G478" s="3" t="s">
        <v>15</v>
      </c>
      <c r="H478" s="1" t="n">
        <v>3.5</v>
      </c>
      <c r="I478" s="1" t="n">
        <v>0</v>
      </c>
      <c r="J478" s="1" t="n">
        <v>20201</v>
      </c>
      <c r="L478" s="1" t="str">
        <f aca="false">IF(D477&lt;&gt;D478,D478,"")</f>
        <v/>
      </c>
      <c r="M478" s="1" t="str">
        <f aca="false">IF(F477&lt;&gt;F478,F478,"")</f>
        <v/>
      </c>
    </row>
    <row r="479" customFormat="false" ht="15" hidden="false" customHeight="false" outlineLevel="0" collapsed="false">
      <c r="A479" s="3" t="s">
        <v>41</v>
      </c>
      <c r="B479" s="3" t="s">
        <v>42</v>
      </c>
      <c r="C479" s="3" t="s">
        <v>557</v>
      </c>
      <c r="D479" s="3" t="s">
        <v>558</v>
      </c>
      <c r="E479" s="3" t="n">
        <v>20171</v>
      </c>
      <c r="F479" s="3" t="s">
        <v>14</v>
      </c>
      <c r="G479" s="3" t="s">
        <v>14</v>
      </c>
      <c r="H479" s="1" t="n">
        <v>4</v>
      </c>
      <c r="I479" s="1" t="n">
        <v>0</v>
      </c>
      <c r="J479" s="1" t="n">
        <v>20201</v>
      </c>
      <c r="L479" s="1" t="str">
        <f aca="false">IF(D478&lt;&gt;D479,D479,"")</f>
        <v/>
      </c>
      <c r="M479" s="1" t="str">
        <f aca="false">IF(F478&lt;&gt;F479,F479,"")</f>
        <v/>
      </c>
    </row>
    <row r="480" customFormat="false" ht="15" hidden="false" customHeight="false" outlineLevel="0" collapsed="false">
      <c r="A480" s="3" t="s">
        <v>134</v>
      </c>
      <c r="B480" s="3" t="s">
        <v>135</v>
      </c>
      <c r="C480" s="3" t="s">
        <v>557</v>
      </c>
      <c r="D480" s="3" t="s">
        <v>558</v>
      </c>
      <c r="E480" s="3" t="n">
        <v>20171</v>
      </c>
      <c r="F480" s="3" t="s">
        <v>14</v>
      </c>
      <c r="G480" s="3" t="s">
        <v>15</v>
      </c>
      <c r="H480" s="1" t="n">
        <v>3.5</v>
      </c>
      <c r="I480" s="1" t="n">
        <v>0</v>
      </c>
      <c r="J480" s="1" t="n">
        <v>20201</v>
      </c>
      <c r="L480" s="1" t="str">
        <f aca="false">IF(D479&lt;&gt;D480,D480,"")</f>
        <v/>
      </c>
      <c r="M480" s="1" t="str">
        <f aca="false">IF(F479&lt;&gt;F480,F480,"")</f>
        <v/>
      </c>
    </row>
    <row r="481" customFormat="false" ht="15" hidden="false" customHeight="false" outlineLevel="0" collapsed="false">
      <c r="A481" s="3" t="s">
        <v>43</v>
      </c>
      <c r="B481" s="3" t="s">
        <v>44</v>
      </c>
      <c r="C481" s="3" t="s">
        <v>557</v>
      </c>
      <c r="D481" s="3" t="s">
        <v>558</v>
      </c>
      <c r="E481" s="3" t="n">
        <v>20171</v>
      </c>
      <c r="F481" s="3" t="s">
        <v>14</v>
      </c>
      <c r="G481" s="3" t="s">
        <v>14</v>
      </c>
      <c r="H481" s="1" t="n">
        <v>4</v>
      </c>
      <c r="I481" s="1" t="n">
        <v>0</v>
      </c>
      <c r="J481" s="1" t="n">
        <v>20201</v>
      </c>
      <c r="L481" s="1" t="str">
        <f aca="false">IF(D480&lt;&gt;D481,D481,"")</f>
        <v/>
      </c>
      <c r="M481" s="1" t="str">
        <f aca="false">IF(F480&lt;&gt;F481,F481,"")</f>
        <v/>
      </c>
    </row>
    <row r="482" customFormat="false" ht="15" hidden="false" customHeight="false" outlineLevel="0" collapsed="false">
      <c r="A482" s="3" t="s">
        <v>142</v>
      </c>
      <c r="B482" s="3" t="s">
        <v>143</v>
      </c>
      <c r="C482" s="3" t="s">
        <v>557</v>
      </c>
      <c r="D482" s="3" t="s">
        <v>558</v>
      </c>
      <c r="E482" s="3" t="n">
        <v>20171</v>
      </c>
      <c r="F482" s="3" t="s">
        <v>14</v>
      </c>
      <c r="G482" s="3" t="s">
        <v>14</v>
      </c>
      <c r="H482" s="1" t="n">
        <v>4</v>
      </c>
      <c r="I482" s="1" t="n">
        <v>0</v>
      </c>
      <c r="J482" s="1" t="n">
        <v>20201</v>
      </c>
      <c r="L482" s="1" t="str">
        <f aca="false">IF(D481&lt;&gt;D482,D482,"")</f>
        <v/>
      </c>
      <c r="M482" s="1" t="str">
        <f aca="false">IF(F481&lt;&gt;F482,F482,"")</f>
        <v/>
      </c>
    </row>
    <row r="483" customFormat="false" ht="15" hidden="false" customHeight="false" outlineLevel="0" collapsed="false">
      <c r="A483" s="3" t="s">
        <v>49</v>
      </c>
      <c r="B483" s="3" t="s">
        <v>50</v>
      </c>
      <c r="C483" s="3" t="s">
        <v>557</v>
      </c>
      <c r="D483" s="3" t="s">
        <v>558</v>
      </c>
      <c r="E483" s="3" t="n">
        <v>20171</v>
      </c>
      <c r="F483" s="3" t="s">
        <v>14</v>
      </c>
      <c r="G483" s="3" t="s">
        <v>18</v>
      </c>
      <c r="H483" s="1" t="n">
        <v>3</v>
      </c>
      <c r="I483" s="1" t="n">
        <v>0</v>
      </c>
      <c r="J483" s="1" t="n">
        <v>20201</v>
      </c>
      <c r="L483" s="1" t="str">
        <f aca="false">IF(D482&lt;&gt;D483,D483,"")</f>
        <v/>
      </c>
      <c r="M483" s="1" t="str">
        <f aca="false">IF(F482&lt;&gt;F483,F483,"")</f>
        <v/>
      </c>
    </row>
    <row r="484" customFormat="false" ht="15" hidden="false" customHeight="false" outlineLevel="0" collapsed="false">
      <c r="A484" s="3" t="s">
        <v>148</v>
      </c>
      <c r="B484" s="3" t="s">
        <v>149</v>
      </c>
      <c r="C484" s="3" t="s">
        <v>557</v>
      </c>
      <c r="D484" s="3" t="s">
        <v>558</v>
      </c>
      <c r="E484" s="3" t="n">
        <v>20171</v>
      </c>
      <c r="F484" s="3" t="s">
        <v>14</v>
      </c>
      <c r="G484" s="3" t="s">
        <v>15</v>
      </c>
      <c r="H484" s="1" t="n">
        <v>3.5</v>
      </c>
      <c r="I484" s="1" t="n">
        <v>0</v>
      </c>
      <c r="J484" s="1" t="n">
        <v>20201</v>
      </c>
      <c r="L484" s="1" t="str">
        <f aca="false">IF(D483&lt;&gt;D484,D484,"")</f>
        <v/>
      </c>
      <c r="M484" s="1" t="str">
        <f aca="false">IF(F483&lt;&gt;F484,F484,"")</f>
        <v/>
      </c>
    </row>
    <row r="485" customFormat="false" ht="15" hidden="false" customHeight="false" outlineLevel="0" collapsed="false">
      <c r="A485" s="3" t="s">
        <v>57</v>
      </c>
      <c r="B485" s="3" t="s">
        <v>58</v>
      </c>
      <c r="C485" s="3" t="s">
        <v>557</v>
      </c>
      <c r="D485" s="3" t="s">
        <v>558</v>
      </c>
      <c r="E485" s="3" t="n">
        <v>20171</v>
      </c>
      <c r="F485" s="3" t="s">
        <v>14</v>
      </c>
      <c r="G485" s="3" t="s">
        <v>15</v>
      </c>
      <c r="H485" s="1" t="n">
        <v>3.5</v>
      </c>
      <c r="I485" s="1" t="n">
        <v>0</v>
      </c>
      <c r="J485" s="1" t="n">
        <v>20201</v>
      </c>
      <c r="L485" s="1" t="str">
        <f aca="false">IF(D484&lt;&gt;D485,D485,"")</f>
        <v/>
      </c>
      <c r="M485" s="1" t="str">
        <f aca="false">IF(F484&lt;&gt;F485,F485,"")</f>
        <v/>
      </c>
    </row>
    <row r="486" customFormat="false" ht="15" hidden="false" customHeight="false" outlineLevel="0" collapsed="false">
      <c r="A486" s="3" t="s">
        <v>150</v>
      </c>
      <c r="B486" s="3" t="s">
        <v>151</v>
      </c>
      <c r="C486" s="3" t="s">
        <v>557</v>
      </c>
      <c r="D486" s="3" t="s">
        <v>558</v>
      </c>
      <c r="E486" s="3" t="n">
        <v>20171</v>
      </c>
      <c r="F486" s="3" t="s">
        <v>14</v>
      </c>
      <c r="G486" s="3" t="s">
        <v>18</v>
      </c>
      <c r="H486" s="1" t="n">
        <v>3</v>
      </c>
      <c r="I486" s="1" t="n">
        <v>0</v>
      </c>
      <c r="J486" s="1" t="n">
        <v>20201</v>
      </c>
      <c r="L486" s="1" t="str">
        <f aca="false">IF(D485&lt;&gt;D486,D486,"")</f>
        <v/>
      </c>
      <c r="M486" s="1" t="str">
        <f aca="false">IF(F485&lt;&gt;F486,F486,"")</f>
        <v/>
      </c>
    </row>
    <row r="487" customFormat="false" ht="15" hidden="false" customHeight="false" outlineLevel="0" collapsed="false">
      <c r="A487" s="3" t="s">
        <v>156</v>
      </c>
      <c r="B487" s="3" t="s">
        <v>157</v>
      </c>
      <c r="C487" s="3" t="s">
        <v>557</v>
      </c>
      <c r="D487" s="3" t="s">
        <v>558</v>
      </c>
      <c r="E487" s="3" t="n">
        <v>20171</v>
      </c>
      <c r="F487" s="3" t="s">
        <v>14</v>
      </c>
      <c r="G487" s="3" t="s">
        <v>15</v>
      </c>
      <c r="H487" s="1" t="n">
        <v>3.5</v>
      </c>
      <c r="I487" s="1" t="n">
        <v>0</v>
      </c>
      <c r="J487" s="1" t="n">
        <v>20201</v>
      </c>
      <c r="L487" s="1" t="str">
        <f aca="false">IF(D486&lt;&gt;D487,D487,"")</f>
        <v/>
      </c>
      <c r="M487" s="1" t="str">
        <f aca="false">IF(F486&lt;&gt;F487,F487,"")</f>
        <v/>
      </c>
    </row>
    <row r="488" customFormat="false" ht="15" hidden="false" customHeight="false" outlineLevel="0" collapsed="false">
      <c r="A488" s="3" t="s">
        <v>65</v>
      </c>
      <c r="B488" s="3" t="s">
        <v>66</v>
      </c>
      <c r="C488" s="3" t="s">
        <v>557</v>
      </c>
      <c r="D488" s="3" t="s">
        <v>558</v>
      </c>
      <c r="E488" s="3" t="n">
        <v>20171</v>
      </c>
      <c r="F488" s="3" t="s">
        <v>14</v>
      </c>
      <c r="G488" s="3" t="s">
        <v>15</v>
      </c>
      <c r="H488" s="1" t="n">
        <v>3.5</v>
      </c>
      <c r="I488" s="1" t="n">
        <v>0</v>
      </c>
      <c r="J488" s="1" t="n">
        <v>20201</v>
      </c>
      <c r="L488" s="1" t="str">
        <f aca="false">IF(D487&lt;&gt;D488,D488,"")</f>
        <v/>
      </c>
      <c r="M488" s="1" t="str">
        <f aca="false">IF(F487&lt;&gt;F488,F488,"")</f>
        <v/>
      </c>
    </row>
    <row r="489" customFormat="false" ht="15" hidden="false" customHeight="false" outlineLevel="0" collapsed="false">
      <c r="A489" s="3" t="s">
        <v>158</v>
      </c>
      <c r="B489" s="3" t="s">
        <v>159</v>
      </c>
      <c r="C489" s="3" t="s">
        <v>557</v>
      </c>
      <c r="D489" s="3" t="s">
        <v>558</v>
      </c>
      <c r="E489" s="3" t="n">
        <v>20171</v>
      </c>
      <c r="F489" s="3" t="s">
        <v>14</v>
      </c>
      <c r="G489" s="3" t="s">
        <v>18</v>
      </c>
      <c r="H489" s="1" t="n">
        <v>3</v>
      </c>
      <c r="I489" s="1" t="n">
        <v>0</v>
      </c>
      <c r="J489" s="1" t="n">
        <v>20201</v>
      </c>
      <c r="L489" s="1" t="str">
        <f aca="false">IF(D488&lt;&gt;D489,D489,"")</f>
        <v/>
      </c>
      <c r="M489" s="1" t="str">
        <f aca="false">IF(F488&lt;&gt;F489,F489,"")</f>
        <v/>
      </c>
    </row>
    <row r="490" customFormat="false" ht="15" hidden="false" customHeight="false" outlineLevel="0" collapsed="false">
      <c r="A490" s="3" t="s">
        <v>160</v>
      </c>
      <c r="B490" s="3" t="s">
        <v>161</v>
      </c>
      <c r="C490" s="3" t="s">
        <v>557</v>
      </c>
      <c r="D490" s="3" t="s">
        <v>558</v>
      </c>
      <c r="E490" s="3" t="n">
        <v>20171</v>
      </c>
      <c r="F490" s="3" t="s">
        <v>14</v>
      </c>
      <c r="G490" s="3" t="s">
        <v>15</v>
      </c>
      <c r="H490" s="1" t="n">
        <v>3.5</v>
      </c>
      <c r="I490" s="1" t="n">
        <v>0</v>
      </c>
      <c r="J490" s="1" t="n">
        <v>20201</v>
      </c>
      <c r="L490" s="1" t="str">
        <f aca="false">IF(D489&lt;&gt;D490,D490,"")</f>
        <v/>
      </c>
      <c r="M490" s="1" t="str">
        <f aca="false">IF(F489&lt;&gt;F490,F490,"")</f>
        <v/>
      </c>
    </row>
    <row r="491" customFormat="false" ht="15" hidden="false" customHeight="false" outlineLevel="0" collapsed="false">
      <c r="A491" s="3" t="s">
        <v>162</v>
      </c>
      <c r="B491" s="3" t="s">
        <v>163</v>
      </c>
      <c r="C491" s="3" t="s">
        <v>557</v>
      </c>
      <c r="D491" s="3" t="s">
        <v>558</v>
      </c>
      <c r="E491" s="3" t="n">
        <v>20171</v>
      </c>
      <c r="F491" s="3" t="s">
        <v>14</v>
      </c>
      <c r="G491" s="3" t="s">
        <v>15</v>
      </c>
      <c r="H491" s="1" t="n">
        <v>3.5</v>
      </c>
      <c r="I491" s="1" t="n">
        <v>0</v>
      </c>
      <c r="J491" s="1" t="n">
        <v>20201</v>
      </c>
      <c r="L491" s="1" t="str">
        <f aca="false">IF(D490&lt;&gt;D491,D491,"")</f>
        <v/>
      </c>
      <c r="M491" s="1" t="str">
        <f aca="false">IF(F490&lt;&gt;F491,F491,"")</f>
        <v/>
      </c>
    </row>
    <row r="492" customFormat="false" ht="15" hidden="false" customHeight="false" outlineLevel="0" collapsed="false">
      <c r="A492" s="3" t="s">
        <v>73</v>
      </c>
      <c r="B492" s="3" t="s">
        <v>74</v>
      </c>
      <c r="C492" s="3" t="s">
        <v>557</v>
      </c>
      <c r="D492" s="3" t="s">
        <v>558</v>
      </c>
      <c r="E492" s="3" t="n">
        <v>20171</v>
      </c>
      <c r="F492" s="3" t="s">
        <v>14</v>
      </c>
      <c r="G492" s="3" t="s">
        <v>15</v>
      </c>
      <c r="H492" s="1" t="n">
        <v>3.5</v>
      </c>
      <c r="I492" s="1" t="n">
        <v>0</v>
      </c>
      <c r="J492" s="1" t="n">
        <v>20201</v>
      </c>
      <c r="L492" s="1" t="str">
        <f aca="false">IF(D491&lt;&gt;D492,D492,"")</f>
        <v/>
      </c>
      <c r="M492" s="1" t="str">
        <f aca="false">IF(F491&lt;&gt;F492,F492,"")</f>
        <v/>
      </c>
    </row>
    <row r="493" customFormat="false" ht="15" hidden="false" customHeight="false" outlineLevel="0" collapsed="false">
      <c r="A493" s="3" t="s">
        <v>170</v>
      </c>
      <c r="B493" s="3" t="s">
        <v>171</v>
      </c>
      <c r="C493" s="3" t="s">
        <v>557</v>
      </c>
      <c r="D493" s="3" t="s">
        <v>558</v>
      </c>
      <c r="E493" s="3" t="n">
        <v>20171</v>
      </c>
      <c r="F493" s="3" t="s">
        <v>14</v>
      </c>
      <c r="G493" s="3" t="s">
        <v>18</v>
      </c>
      <c r="H493" s="1" t="n">
        <v>3</v>
      </c>
      <c r="I493" s="1" t="n">
        <v>0</v>
      </c>
      <c r="J493" s="1" t="n">
        <v>20201</v>
      </c>
      <c r="L493" s="1" t="str">
        <f aca="false">IF(D492&lt;&gt;D493,D493,"")</f>
        <v/>
      </c>
      <c r="M493" s="1" t="str">
        <f aca="false">IF(F492&lt;&gt;F493,F493,"")</f>
        <v/>
      </c>
    </row>
    <row r="494" customFormat="false" ht="15" hidden="false" customHeight="false" outlineLevel="0" collapsed="false">
      <c r="A494" s="3" t="s">
        <v>172</v>
      </c>
      <c r="B494" s="3" t="s">
        <v>173</v>
      </c>
      <c r="C494" s="3" t="s">
        <v>557</v>
      </c>
      <c r="D494" s="3" t="s">
        <v>558</v>
      </c>
      <c r="E494" s="3" t="n">
        <v>20171</v>
      </c>
      <c r="F494" s="3" t="s">
        <v>14</v>
      </c>
      <c r="G494" s="3" t="s">
        <v>15</v>
      </c>
      <c r="H494" s="1" t="n">
        <v>3.5</v>
      </c>
      <c r="I494" s="1" t="n">
        <v>0</v>
      </c>
      <c r="J494" s="1" t="n">
        <v>20201</v>
      </c>
      <c r="L494" s="1" t="str">
        <f aca="false">IF(D493&lt;&gt;D494,D494,"")</f>
        <v/>
      </c>
      <c r="M494" s="1" t="str">
        <f aca="false">IF(F493&lt;&gt;F494,F494,"")</f>
        <v/>
      </c>
    </row>
    <row r="495" customFormat="false" ht="15" hidden="false" customHeight="false" outlineLevel="0" collapsed="false">
      <c r="A495" s="3" t="s">
        <v>178</v>
      </c>
      <c r="B495" s="3" t="s">
        <v>179</v>
      </c>
      <c r="C495" s="3" t="s">
        <v>557</v>
      </c>
      <c r="D495" s="3" t="s">
        <v>558</v>
      </c>
      <c r="E495" s="3" t="n">
        <v>20171</v>
      </c>
      <c r="F495" s="3" t="s">
        <v>14</v>
      </c>
      <c r="G495" s="3" t="s">
        <v>15</v>
      </c>
      <c r="H495" s="1" t="n">
        <v>3.5</v>
      </c>
      <c r="I495" s="1" t="n">
        <v>0</v>
      </c>
      <c r="J495" s="1" t="n">
        <v>20201</v>
      </c>
      <c r="L495" s="1" t="str">
        <f aca="false">IF(D494&lt;&gt;D495,D495,"")</f>
        <v/>
      </c>
      <c r="M495" s="1" t="str">
        <f aca="false">IF(F494&lt;&gt;F495,F495,"")</f>
        <v/>
      </c>
    </row>
    <row r="496" customFormat="false" ht="15" hidden="false" customHeight="false" outlineLevel="0" collapsed="false">
      <c r="A496" s="3" t="s">
        <v>180</v>
      </c>
      <c r="B496" s="3" t="s">
        <v>181</v>
      </c>
      <c r="C496" s="3" t="s">
        <v>557</v>
      </c>
      <c r="D496" s="3" t="s">
        <v>558</v>
      </c>
      <c r="E496" s="3" t="n">
        <v>20171</v>
      </c>
      <c r="F496" s="3" t="s">
        <v>14</v>
      </c>
      <c r="G496" s="3" t="s">
        <v>124</v>
      </c>
      <c r="H496" s="1" t="n">
        <v>0</v>
      </c>
      <c r="I496" s="1" t="n">
        <v>0</v>
      </c>
      <c r="J496" s="1" t="n">
        <v>20201</v>
      </c>
      <c r="L496" s="1" t="str">
        <f aca="false">IF(D495&lt;&gt;D496,D496,"")</f>
        <v/>
      </c>
      <c r="M496" s="1" t="str">
        <f aca="false">IF(F495&lt;&gt;F496,F496,"")</f>
        <v/>
      </c>
    </row>
    <row r="497" customFormat="false" ht="15" hidden="false" customHeight="false" outlineLevel="0" collapsed="false">
      <c r="A497" s="3" t="s">
        <v>85</v>
      </c>
      <c r="B497" s="3" t="s">
        <v>86</v>
      </c>
      <c r="C497" s="3" t="s">
        <v>557</v>
      </c>
      <c r="D497" s="3" t="s">
        <v>558</v>
      </c>
      <c r="E497" s="3" t="n">
        <v>20171</v>
      </c>
      <c r="F497" s="3" t="s">
        <v>14</v>
      </c>
      <c r="G497" s="3" t="s">
        <v>15</v>
      </c>
      <c r="H497" s="1" t="n">
        <v>3.5</v>
      </c>
      <c r="I497" s="1" t="n">
        <v>0</v>
      </c>
      <c r="J497" s="1" t="n">
        <v>20201</v>
      </c>
      <c r="L497" s="1" t="str">
        <f aca="false">IF(D496&lt;&gt;D497,D497,"")</f>
        <v/>
      </c>
      <c r="M497" s="1" t="str">
        <f aca="false">IF(F496&lt;&gt;F497,F497,"")</f>
        <v/>
      </c>
    </row>
    <row r="498" customFormat="false" ht="15" hidden="false" customHeight="false" outlineLevel="0" collapsed="false">
      <c r="A498" s="3" t="s">
        <v>186</v>
      </c>
      <c r="B498" s="3" t="s">
        <v>187</v>
      </c>
      <c r="C498" s="3" t="s">
        <v>557</v>
      </c>
      <c r="D498" s="3" t="s">
        <v>558</v>
      </c>
      <c r="E498" s="3" t="n">
        <v>20171</v>
      </c>
      <c r="F498" s="3" t="s">
        <v>14</v>
      </c>
      <c r="G498" s="3" t="s">
        <v>15</v>
      </c>
      <c r="H498" s="1" t="n">
        <v>3.5</v>
      </c>
      <c r="I498" s="1" t="n">
        <v>0</v>
      </c>
      <c r="J498" s="1" t="n">
        <v>20201</v>
      </c>
      <c r="L498" s="1" t="str">
        <f aca="false">IF(D497&lt;&gt;D498,D498,"")</f>
        <v/>
      </c>
      <c r="M498" s="1" t="str">
        <f aca="false">IF(F497&lt;&gt;F498,F498,"")</f>
        <v/>
      </c>
    </row>
    <row r="499" customFormat="false" ht="15" hidden="false" customHeight="false" outlineLevel="0" collapsed="false">
      <c r="A499" s="3" t="s">
        <v>93</v>
      </c>
      <c r="B499" s="3" t="s">
        <v>94</v>
      </c>
      <c r="C499" s="3" t="s">
        <v>557</v>
      </c>
      <c r="D499" s="3" t="s">
        <v>558</v>
      </c>
      <c r="E499" s="3" t="n">
        <v>20171</v>
      </c>
      <c r="F499" s="3" t="s">
        <v>14</v>
      </c>
      <c r="G499" s="3" t="s">
        <v>14</v>
      </c>
      <c r="H499" s="1" t="n">
        <v>4</v>
      </c>
      <c r="I499" s="1" t="n">
        <v>0</v>
      </c>
      <c r="J499" s="1" t="n">
        <v>20201</v>
      </c>
      <c r="L499" s="1" t="str">
        <f aca="false">IF(D498&lt;&gt;D499,D499,"")</f>
        <v/>
      </c>
      <c r="M499" s="1" t="str">
        <f aca="false">IF(F498&lt;&gt;F499,F499,"")</f>
        <v/>
      </c>
    </row>
    <row r="500" customFormat="false" ht="15" hidden="false" customHeight="false" outlineLevel="0" collapsed="false">
      <c r="A500" s="3" t="s">
        <v>188</v>
      </c>
      <c r="B500" s="3" t="s">
        <v>189</v>
      </c>
      <c r="C500" s="3" t="s">
        <v>557</v>
      </c>
      <c r="D500" s="3" t="s">
        <v>558</v>
      </c>
      <c r="E500" s="3" t="n">
        <v>20171</v>
      </c>
      <c r="F500" s="3" t="s">
        <v>14</v>
      </c>
      <c r="G500" s="3" t="s">
        <v>15</v>
      </c>
      <c r="H500" s="1" t="n">
        <v>3.5</v>
      </c>
      <c r="I500" s="1" t="n">
        <v>0</v>
      </c>
      <c r="J500" s="1" t="n">
        <v>20201</v>
      </c>
      <c r="L500" s="1" t="str">
        <f aca="false">IF(D499&lt;&gt;D500,D500,"")</f>
        <v/>
      </c>
      <c r="M500" s="1" t="str">
        <f aca="false">IF(F499&lt;&gt;F500,F500,"")</f>
        <v/>
      </c>
    </row>
    <row r="501" customFormat="false" ht="15" hidden="false" customHeight="false" outlineLevel="0" collapsed="false">
      <c r="A501" s="3" t="s">
        <v>95</v>
      </c>
      <c r="B501" s="3" t="s">
        <v>96</v>
      </c>
      <c r="C501" s="3" t="s">
        <v>557</v>
      </c>
      <c r="D501" s="3" t="s">
        <v>558</v>
      </c>
      <c r="E501" s="3" t="n">
        <v>20171</v>
      </c>
      <c r="F501" s="3" t="s">
        <v>14</v>
      </c>
      <c r="G501" s="3" t="s">
        <v>15</v>
      </c>
      <c r="H501" s="1" t="n">
        <v>3.5</v>
      </c>
      <c r="I501" s="1" t="n">
        <v>0</v>
      </c>
      <c r="J501" s="1" t="n">
        <v>20201</v>
      </c>
      <c r="L501" s="1" t="str">
        <f aca="false">IF(D500&lt;&gt;D501,D501,"")</f>
        <v/>
      </c>
      <c r="M501" s="1" t="str">
        <f aca="false">IF(F500&lt;&gt;F501,F501,"")</f>
        <v/>
      </c>
    </row>
    <row r="502" customFormat="false" ht="15" hidden="false" customHeight="false" outlineLevel="0" collapsed="false">
      <c r="A502" s="3" t="s">
        <v>104</v>
      </c>
      <c r="B502" s="3" t="s">
        <v>105</v>
      </c>
      <c r="C502" s="3" t="s">
        <v>557</v>
      </c>
      <c r="D502" s="3" t="s">
        <v>558</v>
      </c>
      <c r="E502" s="3" t="n">
        <v>20171</v>
      </c>
      <c r="F502" s="3" t="s">
        <v>14</v>
      </c>
      <c r="G502" s="3" t="s">
        <v>18</v>
      </c>
      <c r="H502" s="1" t="n">
        <v>3</v>
      </c>
      <c r="I502" s="1" t="n">
        <v>0</v>
      </c>
      <c r="J502" s="1" t="n">
        <v>20201</v>
      </c>
      <c r="L502" s="1" t="str">
        <f aca="false">IF(D501&lt;&gt;D502,D502,"")</f>
        <v/>
      </c>
      <c r="M502" s="1" t="str">
        <f aca="false">IF(F501&lt;&gt;F502,F502,"")</f>
        <v/>
      </c>
    </row>
    <row r="503" customFormat="false" ht="15" hidden="false" customHeight="false" outlineLevel="0" collapsed="false">
      <c r="A503" s="3" t="s">
        <v>196</v>
      </c>
      <c r="B503" s="3" t="s">
        <v>197</v>
      </c>
      <c r="C503" s="3" t="s">
        <v>557</v>
      </c>
      <c r="D503" s="3" t="s">
        <v>558</v>
      </c>
      <c r="E503" s="3" t="n">
        <v>20171</v>
      </c>
      <c r="F503" s="3" t="s">
        <v>14</v>
      </c>
      <c r="G503" s="3" t="s">
        <v>101</v>
      </c>
      <c r="H503" s="1" t="n">
        <v>2.5</v>
      </c>
      <c r="I503" s="1" t="n">
        <v>0</v>
      </c>
      <c r="J503" s="1" t="n">
        <v>20201</v>
      </c>
      <c r="L503" s="1" t="str">
        <f aca="false">IF(D502&lt;&gt;D503,D503,"")</f>
        <v/>
      </c>
      <c r="M503" s="1" t="str">
        <f aca="false">IF(F502&lt;&gt;F503,F503,"")</f>
        <v/>
      </c>
    </row>
    <row r="504" customFormat="false" ht="15" hidden="false" customHeight="false" outlineLevel="0" collapsed="false">
      <c r="A504" s="3" t="s">
        <v>106</v>
      </c>
      <c r="B504" s="3" t="s">
        <v>107</v>
      </c>
      <c r="C504" s="3" t="s">
        <v>557</v>
      </c>
      <c r="D504" s="3" t="s">
        <v>558</v>
      </c>
      <c r="E504" s="3" t="n">
        <v>20171</v>
      </c>
      <c r="F504" s="3" t="s">
        <v>14</v>
      </c>
      <c r="G504" s="3" t="s">
        <v>15</v>
      </c>
      <c r="H504" s="1" t="n">
        <v>3.5</v>
      </c>
      <c r="I504" s="1" t="n">
        <v>0</v>
      </c>
      <c r="J504" s="1" t="n">
        <v>20201</v>
      </c>
      <c r="L504" s="1" t="str">
        <f aca="false">IF(D503&lt;&gt;D504,D504,"")</f>
        <v/>
      </c>
      <c r="M504" s="1" t="str">
        <f aca="false">IF(F503&lt;&gt;F504,F504,"")</f>
        <v/>
      </c>
    </row>
    <row r="505" customFormat="false" ht="15" hidden="false" customHeight="false" outlineLevel="0" collapsed="false">
      <c r="A505" s="3" t="s">
        <v>567</v>
      </c>
      <c r="B505" s="3" t="s">
        <v>568</v>
      </c>
      <c r="C505" s="3" t="s">
        <v>557</v>
      </c>
      <c r="D505" s="3" t="s">
        <v>558</v>
      </c>
      <c r="E505" s="3" t="n">
        <v>20171</v>
      </c>
      <c r="F505" s="3" t="s">
        <v>18</v>
      </c>
      <c r="G505" s="3" t="s">
        <v>127</v>
      </c>
      <c r="H505" s="1" t="n">
        <v>2</v>
      </c>
      <c r="I505" s="1" t="n">
        <v>0</v>
      </c>
      <c r="J505" s="1" t="n">
        <v>20201</v>
      </c>
      <c r="L505" s="1" t="str">
        <f aca="false">IF(D504&lt;&gt;D505,D505,"")</f>
        <v/>
      </c>
      <c r="M505" s="1" t="str">
        <f aca="false">IF(F504&lt;&gt;F505,F505,"")</f>
        <v>B</v>
      </c>
    </row>
    <row r="506" customFormat="false" ht="15" hidden="false" customHeight="false" outlineLevel="0" collapsed="false">
      <c r="A506" s="3" t="s">
        <v>569</v>
      </c>
      <c r="B506" s="3" t="s">
        <v>570</v>
      </c>
      <c r="C506" s="3" t="s">
        <v>557</v>
      </c>
      <c r="D506" s="3" t="s">
        <v>558</v>
      </c>
      <c r="E506" s="3" t="n">
        <v>20171</v>
      </c>
      <c r="F506" s="3" t="s">
        <v>18</v>
      </c>
      <c r="G506" s="3" t="s">
        <v>18</v>
      </c>
      <c r="H506" s="1" t="n">
        <v>3</v>
      </c>
      <c r="I506" s="1" t="n">
        <v>0</v>
      </c>
      <c r="J506" s="1" t="n">
        <v>20201</v>
      </c>
      <c r="L506" s="1" t="str">
        <f aca="false">IF(D505&lt;&gt;D506,D506,"")</f>
        <v/>
      </c>
      <c r="M506" s="1" t="str">
        <f aca="false">IF(F505&lt;&gt;F506,F506,"")</f>
        <v/>
      </c>
    </row>
    <row r="507" customFormat="false" ht="15" hidden="false" customHeight="false" outlineLevel="0" collapsed="false">
      <c r="A507" s="3" t="s">
        <v>571</v>
      </c>
      <c r="B507" s="3" t="s">
        <v>572</v>
      </c>
      <c r="C507" s="3" t="s">
        <v>557</v>
      </c>
      <c r="D507" s="3" t="s">
        <v>558</v>
      </c>
      <c r="E507" s="3" t="n">
        <v>20171</v>
      </c>
      <c r="F507" s="3" t="s">
        <v>18</v>
      </c>
      <c r="G507" s="3" t="s">
        <v>23</v>
      </c>
      <c r="H507" s="1" t="n">
        <v>0</v>
      </c>
      <c r="I507" s="1" t="n">
        <v>0</v>
      </c>
      <c r="J507" s="1" t="n">
        <v>20201</v>
      </c>
      <c r="L507" s="1" t="str">
        <f aca="false">IF(D506&lt;&gt;D507,D507,"")</f>
        <v/>
      </c>
      <c r="M507" s="1" t="str">
        <f aca="false">IF(F506&lt;&gt;F507,F507,"")</f>
        <v/>
      </c>
    </row>
    <row r="508" customFormat="false" ht="15" hidden="false" customHeight="false" outlineLevel="0" collapsed="false">
      <c r="A508" s="3" t="s">
        <v>573</v>
      </c>
      <c r="B508" s="3" t="s">
        <v>574</v>
      </c>
      <c r="C508" s="3" t="s">
        <v>557</v>
      </c>
      <c r="D508" s="3" t="s">
        <v>558</v>
      </c>
      <c r="E508" s="3" t="n">
        <v>20171</v>
      </c>
      <c r="F508" s="3" t="s">
        <v>18</v>
      </c>
      <c r="G508" s="3" t="s">
        <v>127</v>
      </c>
      <c r="H508" s="1" t="n">
        <v>2</v>
      </c>
      <c r="I508" s="1" t="n">
        <v>0</v>
      </c>
      <c r="J508" s="1" t="n">
        <v>20201</v>
      </c>
      <c r="L508" s="1" t="str">
        <f aca="false">IF(D507&lt;&gt;D508,D508,"")</f>
        <v/>
      </c>
      <c r="M508" s="1" t="str">
        <f aca="false">IF(F507&lt;&gt;F508,F508,"")</f>
        <v/>
      </c>
    </row>
    <row r="509" customFormat="false" ht="15" hidden="false" customHeight="false" outlineLevel="0" collapsed="false">
      <c r="A509" s="3" t="s">
        <v>575</v>
      </c>
      <c r="B509" s="3" t="s">
        <v>576</v>
      </c>
      <c r="C509" s="3" t="s">
        <v>557</v>
      </c>
      <c r="D509" s="3" t="s">
        <v>558</v>
      </c>
      <c r="E509" s="3" t="n">
        <v>20171</v>
      </c>
      <c r="F509" s="3" t="s">
        <v>18</v>
      </c>
      <c r="G509" s="3" t="s">
        <v>15</v>
      </c>
      <c r="H509" s="1" t="n">
        <v>3.5</v>
      </c>
      <c r="I509" s="1" t="n">
        <v>0</v>
      </c>
      <c r="J509" s="1" t="n">
        <v>20201</v>
      </c>
      <c r="L509" s="1" t="str">
        <f aca="false">IF(D508&lt;&gt;D509,D509,"")</f>
        <v/>
      </c>
      <c r="M509" s="1" t="str">
        <f aca="false">IF(F508&lt;&gt;F509,F509,"")</f>
        <v/>
      </c>
    </row>
    <row r="510" customFormat="false" ht="15" hidden="false" customHeight="false" outlineLevel="0" collapsed="false">
      <c r="A510" s="3" t="s">
        <v>577</v>
      </c>
      <c r="B510" s="3" t="s">
        <v>578</v>
      </c>
      <c r="C510" s="3" t="s">
        <v>557</v>
      </c>
      <c r="D510" s="3" t="s">
        <v>558</v>
      </c>
      <c r="E510" s="3" t="n">
        <v>20171</v>
      </c>
      <c r="F510" s="3" t="s">
        <v>18</v>
      </c>
      <c r="G510" s="3" t="s">
        <v>14</v>
      </c>
      <c r="H510" s="1" t="n">
        <v>4</v>
      </c>
      <c r="I510" s="1" t="n">
        <v>0</v>
      </c>
      <c r="J510" s="1" t="n">
        <v>20201</v>
      </c>
      <c r="L510" s="1" t="str">
        <f aca="false">IF(D509&lt;&gt;D510,D510,"")</f>
        <v/>
      </c>
      <c r="M510" s="1" t="str">
        <f aca="false">IF(F509&lt;&gt;F510,F510,"")</f>
        <v/>
      </c>
    </row>
    <row r="511" customFormat="false" ht="15" hidden="false" customHeight="false" outlineLevel="0" collapsed="false">
      <c r="A511" s="3" t="s">
        <v>118</v>
      </c>
      <c r="B511" s="3" t="s">
        <v>119</v>
      </c>
      <c r="C511" s="3" t="s">
        <v>557</v>
      </c>
      <c r="D511" s="3" t="s">
        <v>558</v>
      </c>
      <c r="E511" s="3" t="n">
        <v>20171</v>
      </c>
      <c r="F511" s="3" t="s">
        <v>18</v>
      </c>
      <c r="G511" s="3" t="s">
        <v>14</v>
      </c>
      <c r="H511" s="1" t="n">
        <v>4</v>
      </c>
      <c r="I511" s="1" t="n">
        <v>0</v>
      </c>
      <c r="J511" s="1" t="n">
        <v>20201</v>
      </c>
      <c r="L511" s="1" t="str">
        <f aca="false">IF(D510&lt;&gt;D511,D511,"")</f>
        <v/>
      </c>
      <c r="M511" s="1" t="str">
        <f aca="false">IF(F510&lt;&gt;F511,F511,"")</f>
        <v/>
      </c>
    </row>
    <row r="512" customFormat="false" ht="15" hidden="false" customHeight="false" outlineLevel="0" collapsed="false">
      <c r="A512" s="3" t="s">
        <v>128</v>
      </c>
      <c r="B512" s="3" t="s">
        <v>129</v>
      </c>
      <c r="C512" s="3" t="s">
        <v>557</v>
      </c>
      <c r="D512" s="3" t="s">
        <v>558</v>
      </c>
      <c r="E512" s="3" t="n">
        <v>20171</v>
      </c>
      <c r="F512" s="3" t="s">
        <v>18</v>
      </c>
      <c r="G512" s="3" t="s">
        <v>14</v>
      </c>
      <c r="H512" s="1" t="n">
        <v>4</v>
      </c>
      <c r="I512" s="1" t="n">
        <v>0</v>
      </c>
      <c r="J512" s="1" t="n">
        <v>20201</v>
      </c>
      <c r="L512" s="1" t="str">
        <f aca="false">IF(D511&lt;&gt;D512,D512,"")</f>
        <v/>
      </c>
      <c r="M512" s="1" t="str">
        <f aca="false">IF(F511&lt;&gt;F512,F512,"")</f>
        <v/>
      </c>
    </row>
    <row r="513" customFormat="false" ht="15" hidden="false" customHeight="false" outlineLevel="0" collapsed="false">
      <c r="A513" s="3" t="s">
        <v>37</v>
      </c>
      <c r="B513" s="3" t="s">
        <v>38</v>
      </c>
      <c r="C513" s="3" t="s">
        <v>557</v>
      </c>
      <c r="D513" s="3" t="s">
        <v>558</v>
      </c>
      <c r="E513" s="3" t="n">
        <v>20171</v>
      </c>
      <c r="F513" s="3" t="s">
        <v>18</v>
      </c>
      <c r="G513" s="3" t="s">
        <v>127</v>
      </c>
      <c r="H513" s="1" t="n">
        <v>2</v>
      </c>
      <c r="I513" s="1" t="n">
        <v>0</v>
      </c>
      <c r="J513" s="1" t="n">
        <v>20201</v>
      </c>
      <c r="L513" s="1" t="str">
        <f aca="false">IF(D512&lt;&gt;D513,D513,"")</f>
        <v/>
      </c>
      <c r="M513" s="1" t="str">
        <f aca="false">IF(F512&lt;&gt;F513,F513,"")</f>
        <v/>
      </c>
    </row>
    <row r="514" customFormat="false" ht="15" hidden="false" customHeight="false" outlineLevel="0" collapsed="false">
      <c r="A514" s="3" t="s">
        <v>579</v>
      </c>
      <c r="B514" s="3" t="s">
        <v>580</v>
      </c>
      <c r="C514" s="3" t="s">
        <v>557</v>
      </c>
      <c r="D514" s="3" t="s">
        <v>558</v>
      </c>
      <c r="E514" s="3" t="n">
        <v>20171</v>
      </c>
      <c r="F514" s="3" t="s">
        <v>18</v>
      </c>
      <c r="G514" s="3" t="s">
        <v>23</v>
      </c>
      <c r="H514" s="1" t="n">
        <v>0</v>
      </c>
      <c r="I514" s="1" t="n">
        <v>0</v>
      </c>
      <c r="J514" s="1" t="n">
        <v>20201</v>
      </c>
      <c r="L514" s="1" t="str">
        <f aca="false">IF(D513&lt;&gt;D514,D514,"")</f>
        <v/>
      </c>
      <c r="M514" s="1" t="str">
        <f aca="false">IF(F513&lt;&gt;F514,F514,"")</f>
        <v/>
      </c>
    </row>
    <row r="515" customFormat="false" ht="15" hidden="false" customHeight="false" outlineLevel="0" collapsed="false">
      <c r="A515" s="3" t="s">
        <v>136</v>
      </c>
      <c r="B515" s="3" t="s">
        <v>137</v>
      </c>
      <c r="C515" s="3" t="s">
        <v>557</v>
      </c>
      <c r="D515" s="3" t="s">
        <v>558</v>
      </c>
      <c r="E515" s="3" t="n">
        <v>20171</v>
      </c>
      <c r="F515" s="3" t="s">
        <v>18</v>
      </c>
      <c r="G515" s="3" t="s">
        <v>23</v>
      </c>
      <c r="H515" s="1" t="n">
        <v>0</v>
      </c>
      <c r="I515" s="1" t="n">
        <v>0</v>
      </c>
      <c r="J515" s="1" t="n">
        <v>20201</v>
      </c>
      <c r="L515" s="1" t="str">
        <f aca="false">IF(D514&lt;&gt;D515,D515,"")</f>
        <v/>
      </c>
      <c r="M515" s="1" t="str">
        <f aca="false">IF(F514&lt;&gt;F515,F515,"")</f>
        <v/>
      </c>
    </row>
    <row r="516" customFormat="false" ht="15" hidden="false" customHeight="false" outlineLevel="0" collapsed="false">
      <c r="A516" s="3" t="s">
        <v>138</v>
      </c>
      <c r="B516" s="3" t="s">
        <v>139</v>
      </c>
      <c r="C516" s="3" t="s">
        <v>557</v>
      </c>
      <c r="D516" s="3" t="s">
        <v>558</v>
      </c>
      <c r="E516" s="3" t="n">
        <v>20171</v>
      </c>
      <c r="F516" s="3" t="s">
        <v>18</v>
      </c>
      <c r="G516" s="3" t="s">
        <v>23</v>
      </c>
      <c r="H516" s="1" t="n">
        <v>0</v>
      </c>
      <c r="I516" s="1" t="n">
        <v>0</v>
      </c>
      <c r="J516" s="1" t="n">
        <v>20201</v>
      </c>
      <c r="L516" s="1" t="str">
        <f aca="false">IF(D515&lt;&gt;D516,D516,"")</f>
        <v/>
      </c>
      <c r="M516" s="1" t="str">
        <f aca="false">IF(F515&lt;&gt;F516,F516,"")</f>
        <v/>
      </c>
    </row>
    <row r="517" customFormat="false" ht="15" hidden="false" customHeight="false" outlineLevel="0" collapsed="false">
      <c r="A517" s="3" t="s">
        <v>51</v>
      </c>
      <c r="B517" s="3" t="s">
        <v>52</v>
      </c>
      <c r="C517" s="3" t="s">
        <v>557</v>
      </c>
      <c r="D517" s="3" t="s">
        <v>558</v>
      </c>
      <c r="E517" s="3" t="n">
        <v>20171</v>
      </c>
      <c r="F517" s="3" t="s">
        <v>18</v>
      </c>
      <c r="G517" s="3" t="s">
        <v>14</v>
      </c>
      <c r="H517" s="1" t="n">
        <v>4</v>
      </c>
      <c r="I517" s="1" t="n">
        <v>0</v>
      </c>
      <c r="J517" s="1" t="n">
        <v>20201</v>
      </c>
      <c r="L517" s="1" t="str">
        <f aca="false">IF(D516&lt;&gt;D517,D517,"")</f>
        <v/>
      </c>
      <c r="M517" s="1" t="str">
        <f aca="false">IF(F516&lt;&gt;F517,F517,"")</f>
        <v/>
      </c>
    </row>
    <row r="518" customFormat="false" ht="15" hidden="false" customHeight="false" outlineLevel="0" collapsed="false">
      <c r="A518" s="3" t="s">
        <v>146</v>
      </c>
      <c r="B518" s="3" t="s">
        <v>147</v>
      </c>
      <c r="C518" s="3" t="s">
        <v>557</v>
      </c>
      <c r="D518" s="3" t="s">
        <v>558</v>
      </c>
      <c r="E518" s="3" t="n">
        <v>20171</v>
      </c>
      <c r="F518" s="3" t="s">
        <v>18</v>
      </c>
      <c r="G518" s="3" t="s">
        <v>18</v>
      </c>
      <c r="H518" s="1" t="n">
        <v>3</v>
      </c>
      <c r="I518" s="1" t="n">
        <v>0</v>
      </c>
      <c r="J518" s="1" t="n">
        <v>20201</v>
      </c>
      <c r="L518" s="1" t="str">
        <f aca="false">IF(D517&lt;&gt;D518,D518,"")</f>
        <v/>
      </c>
      <c r="M518" s="1" t="str">
        <f aca="false">IF(F517&lt;&gt;F518,F518,"")</f>
        <v/>
      </c>
    </row>
    <row r="519" customFormat="false" ht="15" hidden="false" customHeight="false" outlineLevel="0" collapsed="false">
      <c r="A519" s="3" t="s">
        <v>59</v>
      </c>
      <c r="B519" s="3" t="s">
        <v>60</v>
      </c>
      <c r="C519" s="3" t="s">
        <v>557</v>
      </c>
      <c r="D519" s="3" t="s">
        <v>558</v>
      </c>
      <c r="E519" s="3" t="n">
        <v>20171</v>
      </c>
      <c r="F519" s="3" t="s">
        <v>18</v>
      </c>
      <c r="G519" s="3" t="s">
        <v>14</v>
      </c>
      <c r="H519" s="1" t="n">
        <v>4</v>
      </c>
      <c r="I519" s="1" t="n">
        <v>0</v>
      </c>
      <c r="J519" s="1" t="n">
        <v>20201</v>
      </c>
      <c r="L519" s="1" t="str">
        <f aca="false">IF(D518&lt;&gt;D519,D519,"")</f>
        <v/>
      </c>
      <c r="M519" s="1" t="str">
        <f aca="false">IF(F518&lt;&gt;F519,F519,"")</f>
        <v/>
      </c>
    </row>
    <row r="520" customFormat="false" ht="15" hidden="false" customHeight="false" outlineLevel="0" collapsed="false">
      <c r="A520" s="3" t="s">
        <v>152</v>
      </c>
      <c r="B520" s="3" t="s">
        <v>153</v>
      </c>
      <c r="C520" s="3" t="s">
        <v>557</v>
      </c>
      <c r="D520" s="3" t="s">
        <v>558</v>
      </c>
      <c r="E520" s="3" t="n">
        <v>20171</v>
      </c>
      <c r="F520" s="3" t="s">
        <v>18</v>
      </c>
      <c r="G520" s="3" t="s">
        <v>127</v>
      </c>
      <c r="H520" s="1" t="n">
        <v>2</v>
      </c>
      <c r="I520" s="1" t="n">
        <v>0</v>
      </c>
      <c r="J520" s="1" t="n">
        <v>20201</v>
      </c>
      <c r="L520" s="1" t="str">
        <f aca="false">IF(D519&lt;&gt;D520,D520,"")</f>
        <v/>
      </c>
      <c r="M520" s="1" t="str">
        <f aca="false">IF(F519&lt;&gt;F520,F520,"")</f>
        <v/>
      </c>
    </row>
    <row r="521" customFormat="false" ht="15" hidden="false" customHeight="false" outlineLevel="0" collapsed="false">
      <c r="A521" s="3" t="s">
        <v>67</v>
      </c>
      <c r="B521" s="3" t="s">
        <v>68</v>
      </c>
      <c r="C521" s="3" t="s">
        <v>557</v>
      </c>
      <c r="D521" s="3" t="s">
        <v>558</v>
      </c>
      <c r="E521" s="3" t="n">
        <v>20171</v>
      </c>
      <c r="F521" s="3" t="s">
        <v>18</v>
      </c>
      <c r="G521" s="3" t="s">
        <v>14</v>
      </c>
      <c r="H521" s="1" t="n">
        <v>4</v>
      </c>
      <c r="I521" s="1" t="n">
        <v>0</v>
      </c>
      <c r="J521" s="1" t="n">
        <v>20201</v>
      </c>
      <c r="L521" s="1" t="str">
        <f aca="false">IF(D520&lt;&gt;D521,D521,"")</f>
        <v/>
      </c>
      <c r="M521" s="1" t="str">
        <f aca="false">IF(F520&lt;&gt;F521,F521,"")</f>
        <v/>
      </c>
    </row>
    <row r="522" customFormat="false" ht="15" hidden="false" customHeight="false" outlineLevel="0" collapsed="false">
      <c r="A522" s="3" t="s">
        <v>164</v>
      </c>
      <c r="B522" s="3" t="s">
        <v>165</v>
      </c>
      <c r="C522" s="3" t="s">
        <v>557</v>
      </c>
      <c r="D522" s="3" t="s">
        <v>558</v>
      </c>
      <c r="E522" s="3" t="n">
        <v>20171</v>
      </c>
      <c r="F522" s="3" t="s">
        <v>18</v>
      </c>
      <c r="G522" s="3" t="s">
        <v>23</v>
      </c>
      <c r="H522" s="1" t="n">
        <v>0</v>
      </c>
      <c r="I522" s="1" t="n">
        <v>0</v>
      </c>
      <c r="J522" s="1" t="n">
        <v>20201</v>
      </c>
      <c r="L522" s="1" t="str">
        <f aca="false">IF(D521&lt;&gt;D522,D522,"")</f>
        <v/>
      </c>
      <c r="M522" s="1" t="str">
        <f aca="false">IF(F521&lt;&gt;F522,F522,"")</f>
        <v/>
      </c>
    </row>
    <row r="523" customFormat="false" ht="15" hidden="false" customHeight="false" outlineLevel="0" collapsed="false">
      <c r="A523" s="3" t="s">
        <v>75</v>
      </c>
      <c r="B523" s="3" t="s">
        <v>76</v>
      </c>
      <c r="C523" s="3" t="s">
        <v>557</v>
      </c>
      <c r="D523" s="3" t="s">
        <v>558</v>
      </c>
      <c r="E523" s="3" t="n">
        <v>20171</v>
      </c>
      <c r="F523" s="3" t="s">
        <v>18</v>
      </c>
      <c r="G523" s="3" t="s">
        <v>14</v>
      </c>
      <c r="H523" s="1" t="n">
        <v>4</v>
      </c>
      <c r="I523" s="1" t="n">
        <v>0</v>
      </c>
      <c r="J523" s="1" t="n">
        <v>20201</v>
      </c>
      <c r="L523" s="1" t="str">
        <f aca="false">IF(D522&lt;&gt;D523,D523,"")</f>
        <v/>
      </c>
      <c r="M523" s="1" t="str">
        <f aca="false">IF(F522&lt;&gt;F523,F523,"")</f>
        <v/>
      </c>
    </row>
    <row r="524" customFormat="false" ht="15" hidden="false" customHeight="false" outlineLevel="0" collapsed="false">
      <c r="A524" s="3" t="s">
        <v>166</v>
      </c>
      <c r="B524" s="3" t="s">
        <v>167</v>
      </c>
      <c r="C524" s="3" t="s">
        <v>557</v>
      </c>
      <c r="D524" s="3" t="s">
        <v>558</v>
      </c>
      <c r="E524" s="3" t="n">
        <v>20171</v>
      </c>
      <c r="F524" s="3" t="s">
        <v>18</v>
      </c>
      <c r="G524" s="3" t="s">
        <v>127</v>
      </c>
      <c r="H524" s="1" t="n">
        <v>2</v>
      </c>
      <c r="I524" s="1" t="n">
        <v>0</v>
      </c>
      <c r="J524" s="1" t="n">
        <v>20201</v>
      </c>
      <c r="L524" s="1" t="str">
        <f aca="false">IF(D523&lt;&gt;D524,D524,"")</f>
        <v/>
      </c>
      <c r="M524" s="1" t="str">
        <f aca="false">IF(F523&lt;&gt;F524,F524,"")</f>
        <v/>
      </c>
    </row>
    <row r="525" customFormat="false" ht="15" hidden="false" customHeight="false" outlineLevel="0" collapsed="false">
      <c r="A525" s="3" t="s">
        <v>174</v>
      </c>
      <c r="B525" s="3" t="s">
        <v>175</v>
      </c>
      <c r="C525" s="3" t="s">
        <v>557</v>
      </c>
      <c r="D525" s="3" t="s">
        <v>558</v>
      </c>
      <c r="E525" s="3" t="n">
        <v>20171</v>
      </c>
      <c r="F525" s="3" t="s">
        <v>18</v>
      </c>
      <c r="G525" s="3" t="s">
        <v>23</v>
      </c>
      <c r="H525" s="1" t="n">
        <v>0</v>
      </c>
      <c r="I525" s="1" t="n">
        <v>0</v>
      </c>
      <c r="J525" s="1" t="n">
        <v>20201</v>
      </c>
      <c r="L525" s="1" t="str">
        <f aca="false">IF(D524&lt;&gt;D525,D525,"")</f>
        <v/>
      </c>
      <c r="M525" s="1" t="str">
        <f aca="false">IF(F524&lt;&gt;F525,F525,"")</f>
        <v/>
      </c>
    </row>
    <row r="526" customFormat="false" ht="15" hidden="false" customHeight="false" outlineLevel="0" collapsed="false">
      <c r="A526" s="3" t="s">
        <v>81</v>
      </c>
      <c r="B526" s="3" t="s">
        <v>82</v>
      </c>
      <c r="C526" s="3" t="s">
        <v>557</v>
      </c>
      <c r="D526" s="3" t="s">
        <v>558</v>
      </c>
      <c r="E526" s="3" t="n">
        <v>20171</v>
      </c>
      <c r="F526" s="3" t="s">
        <v>18</v>
      </c>
      <c r="G526" s="3" t="s">
        <v>14</v>
      </c>
      <c r="H526" s="1" t="n">
        <v>4</v>
      </c>
      <c r="I526" s="1" t="n">
        <v>0</v>
      </c>
      <c r="J526" s="1" t="n">
        <v>20201</v>
      </c>
      <c r="L526" s="1" t="str">
        <f aca="false">IF(D525&lt;&gt;D526,D526,"")</f>
        <v/>
      </c>
      <c r="M526" s="1" t="str">
        <f aca="false">IF(F525&lt;&gt;F526,F526,"")</f>
        <v/>
      </c>
    </row>
    <row r="527" customFormat="false" ht="15" hidden="false" customHeight="false" outlineLevel="0" collapsed="false">
      <c r="A527" s="3" t="s">
        <v>176</v>
      </c>
      <c r="B527" s="3" t="s">
        <v>177</v>
      </c>
      <c r="C527" s="3" t="s">
        <v>557</v>
      </c>
      <c r="D527" s="3" t="s">
        <v>558</v>
      </c>
      <c r="E527" s="3" t="n">
        <v>20171</v>
      </c>
      <c r="F527" s="3" t="s">
        <v>18</v>
      </c>
      <c r="G527" s="3" t="s">
        <v>14</v>
      </c>
      <c r="H527" s="1" t="n">
        <v>4</v>
      </c>
      <c r="I527" s="1" t="n">
        <v>0</v>
      </c>
      <c r="J527" s="1" t="n">
        <v>20201</v>
      </c>
      <c r="L527" s="1" t="str">
        <f aca="false">IF(D526&lt;&gt;D527,D527,"")</f>
        <v/>
      </c>
      <c r="M527" s="1" t="str">
        <f aca="false">IF(F526&lt;&gt;F527,F527,"")</f>
        <v/>
      </c>
    </row>
    <row r="528" customFormat="false" ht="15" hidden="false" customHeight="false" outlineLevel="0" collapsed="false">
      <c r="A528" s="3" t="s">
        <v>87</v>
      </c>
      <c r="B528" s="3" t="s">
        <v>88</v>
      </c>
      <c r="C528" s="3" t="s">
        <v>557</v>
      </c>
      <c r="D528" s="3" t="s">
        <v>558</v>
      </c>
      <c r="E528" s="3" t="n">
        <v>20171</v>
      </c>
      <c r="F528" s="3" t="s">
        <v>18</v>
      </c>
      <c r="G528" s="3" t="s">
        <v>15</v>
      </c>
      <c r="H528" s="1" t="n">
        <v>3.5</v>
      </c>
      <c r="I528" s="1" t="n">
        <v>0</v>
      </c>
      <c r="J528" s="1" t="n">
        <v>20201</v>
      </c>
      <c r="L528" s="1" t="str">
        <f aca="false">IF(D527&lt;&gt;D528,D528,"")</f>
        <v/>
      </c>
      <c r="M528" s="1" t="str">
        <f aca="false">IF(F527&lt;&gt;F528,F528,"")</f>
        <v/>
      </c>
    </row>
    <row r="529" customFormat="false" ht="15" hidden="false" customHeight="false" outlineLevel="0" collapsed="false">
      <c r="A529" s="3" t="s">
        <v>182</v>
      </c>
      <c r="B529" s="3" t="s">
        <v>183</v>
      </c>
      <c r="C529" s="3" t="s">
        <v>557</v>
      </c>
      <c r="D529" s="3" t="s">
        <v>558</v>
      </c>
      <c r="E529" s="3" t="n">
        <v>20171</v>
      </c>
      <c r="F529" s="3" t="s">
        <v>18</v>
      </c>
      <c r="G529" s="3" t="s">
        <v>14</v>
      </c>
      <c r="H529" s="1" t="n">
        <v>4</v>
      </c>
      <c r="I529" s="1" t="n">
        <v>0</v>
      </c>
      <c r="J529" s="1" t="n">
        <v>20201</v>
      </c>
      <c r="L529" s="1" t="str">
        <f aca="false">IF(D528&lt;&gt;D529,D529,"")</f>
        <v/>
      </c>
      <c r="M529" s="1" t="str">
        <f aca="false">IF(F528&lt;&gt;F529,F529,"")</f>
        <v/>
      </c>
    </row>
    <row r="530" customFormat="false" ht="15" hidden="false" customHeight="false" outlineLevel="0" collapsed="false">
      <c r="A530" s="3" t="s">
        <v>190</v>
      </c>
      <c r="B530" s="3" t="s">
        <v>191</v>
      </c>
      <c r="C530" s="3" t="s">
        <v>557</v>
      </c>
      <c r="D530" s="3" t="s">
        <v>558</v>
      </c>
      <c r="E530" s="3" t="n">
        <v>20171</v>
      </c>
      <c r="F530" s="3" t="s">
        <v>18</v>
      </c>
      <c r="G530" s="3" t="s">
        <v>14</v>
      </c>
      <c r="H530" s="1" t="n">
        <v>4</v>
      </c>
      <c r="I530" s="1" t="n">
        <v>0</v>
      </c>
      <c r="J530" s="1" t="n">
        <v>20201</v>
      </c>
      <c r="L530" s="1" t="str">
        <f aca="false">IF(D529&lt;&gt;D530,D530,"")</f>
        <v/>
      </c>
      <c r="M530" s="1" t="str">
        <f aca="false">IF(F529&lt;&gt;F530,F530,"")</f>
        <v/>
      </c>
    </row>
    <row r="531" customFormat="false" ht="15" hidden="false" customHeight="false" outlineLevel="0" collapsed="false">
      <c r="A531" s="3" t="s">
        <v>97</v>
      </c>
      <c r="B531" s="3" t="s">
        <v>98</v>
      </c>
      <c r="C531" s="3" t="s">
        <v>557</v>
      </c>
      <c r="D531" s="3" t="s">
        <v>558</v>
      </c>
      <c r="E531" s="3" t="n">
        <v>20171</v>
      </c>
      <c r="F531" s="3" t="s">
        <v>18</v>
      </c>
      <c r="G531" s="3" t="s">
        <v>14</v>
      </c>
      <c r="H531" s="1" t="n">
        <v>4</v>
      </c>
      <c r="I531" s="1" t="n">
        <v>0</v>
      </c>
      <c r="J531" s="1" t="n">
        <v>20201</v>
      </c>
      <c r="L531" s="1" t="str">
        <f aca="false">IF(D530&lt;&gt;D531,D531,"")</f>
        <v/>
      </c>
      <c r="M531" s="1" t="str">
        <f aca="false">IF(F530&lt;&gt;F531,F531,"")</f>
        <v/>
      </c>
    </row>
    <row r="532" customFormat="false" ht="15" hidden="false" customHeight="false" outlineLevel="0" collapsed="false">
      <c r="A532" s="3" t="s">
        <v>192</v>
      </c>
      <c r="B532" s="3" t="s">
        <v>193</v>
      </c>
      <c r="C532" s="3" t="s">
        <v>557</v>
      </c>
      <c r="D532" s="3" t="s">
        <v>558</v>
      </c>
      <c r="E532" s="3" t="n">
        <v>20171</v>
      </c>
      <c r="F532" s="3" t="s">
        <v>18</v>
      </c>
      <c r="G532" s="3" t="s">
        <v>15</v>
      </c>
      <c r="H532" s="1" t="n">
        <v>3.5</v>
      </c>
      <c r="I532" s="1" t="n">
        <v>0</v>
      </c>
      <c r="J532" s="1" t="n">
        <v>20201</v>
      </c>
      <c r="L532" s="1" t="str">
        <f aca="false">IF(D531&lt;&gt;D532,D532,"")</f>
        <v/>
      </c>
      <c r="M532" s="1" t="str">
        <f aca="false">IF(F531&lt;&gt;F532,F532,"")</f>
        <v/>
      </c>
    </row>
    <row r="533" s="3" customFormat="true" ht="15" hidden="false" customHeight="false" outlineLevel="0" collapsed="false">
      <c r="A533" s="3" t="s">
        <v>515</v>
      </c>
      <c r="B533" s="3" t="s">
        <v>516</v>
      </c>
      <c r="C533" s="3" t="s">
        <v>557</v>
      </c>
      <c r="D533" s="3" t="s">
        <v>558</v>
      </c>
      <c r="E533" s="3" t="n">
        <v>20171</v>
      </c>
      <c r="F533" s="3" t="s">
        <v>127</v>
      </c>
      <c r="G533" s="3" t="s">
        <v>23</v>
      </c>
      <c r="H533" s="3" t="n">
        <v>0</v>
      </c>
      <c r="I533" s="3" t="n">
        <v>0</v>
      </c>
      <c r="J533" s="3" t="n">
        <v>20201</v>
      </c>
      <c r="L533" s="3" t="str">
        <f aca="false">IF(D532&lt;&gt;D533,D533,"")</f>
        <v/>
      </c>
      <c r="M533" s="3" t="str">
        <f aca="false">IF(F532&lt;&gt;F533,F533,"")</f>
        <v>C</v>
      </c>
    </row>
    <row r="534" s="3" customFormat="true" ht="15" hidden="false" customHeight="false" outlineLevel="0" collapsed="false">
      <c r="A534" s="3" t="s">
        <v>304</v>
      </c>
      <c r="B534" s="3" t="s">
        <v>305</v>
      </c>
      <c r="C534" s="3" t="s">
        <v>557</v>
      </c>
      <c r="D534" s="3" t="s">
        <v>558</v>
      </c>
      <c r="E534" s="3" t="n">
        <v>20171</v>
      </c>
      <c r="F534" s="3" t="s">
        <v>127</v>
      </c>
      <c r="G534" s="3" t="s">
        <v>30</v>
      </c>
      <c r="H534" s="3" t="n">
        <v>1.5</v>
      </c>
      <c r="I534" s="3" t="n">
        <v>0</v>
      </c>
      <c r="J534" s="3" t="n">
        <v>20201</v>
      </c>
      <c r="L534" s="3" t="str">
        <f aca="false">IF(D533&lt;&gt;D534,D534,"")</f>
        <v/>
      </c>
      <c r="M534" s="3" t="str">
        <f aca="false">IF(F533&lt;&gt;F534,F534,"")</f>
        <v/>
      </c>
    </row>
    <row r="535" customFormat="false" ht="15" hidden="false" customHeight="false" outlineLevel="0" collapsed="false">
      <c r="A535" s="3" t="s">
        <v>581</v>
      </c>
      <c r="B535" s="3" t="s">
        <v>582</v>
      </c>
      <c r="C535" s="3" t="s">
        <v>557</v>
      </c>
      <c r="D535" s="3" t="s">
        <v>558</v>
      </c>
      <c r="E535" s="3" t="n">
        <v>20171</v>
      </c>
      <c r="F535" s="3" t="s">
        <v>127</v>
      </c>
      <c r="G535" s="3" t="s">
        <v>15</v>
      </c>
      <c r="H535" s="1" t="n">
        <v>3.5</v>
      </c>
      <c r="I535" s="1" t="n">
        <v>0</v>
      </c>
      <c r="J535" s="1" t="n">
        <v>20201</v>
      </c>
      <c r="L535" s="1" t="str">
        <f aca="false">IF(D534&lt;&gt;D535,D535,"")</f>
        <v/>
      </c>
      <c r="M535" s="1" t="str">
        <f aca="false">IF(F534&lt;&gt;F535,F535,"")</f>
        <v/>
      </c>
    </row>
    <row r="536" customFormat="false" ht="15" hidden="false" customHeight="false" outlineLevel="0" collapsed="false">
      <c r="A536" s="3" t="s">
        <v>583</v>
      </c>
      <c r="B536" s="3" t="s">
        <v>584</v>
      </c>
      <c r="C536" s="3" t="s">
        <v>557</v>
      </c>
      <c r="D536" s="3" t="s">
        <v>558</v>
      </c>
      <c r="E536" s="3" t="n">
        <v>20171</v>
      </c>
      <c r="F536" s="3" t="s">
        <v>127</v>
      </c>
      <c r="G536" s="3" t="s">
        <v>30</v>
      </c>
      <c r="H536" s="1" t="n">
        <v>1.5</v>
      </c>
      <c r="I536" s="1" t="n">
        <v>0</v>
      </c>
      <c r="J536" s="1" t="n">
        <v>20201</v>
      </c>
      <c r="L536" s="1" t="str">
        <f aca="false">IF(D535&lt;&gt;D536,D536,"")</f>
        <v/>
      </c>
      <c r="M536" s="1" t="str">
        <f aca="false">IF(F535&lt;&gt;F536,F536,"")</f>
        <v/>
      </c>
    </row>
    <row r="537" customFormat="false" ht="15" hidden="false" customHeight="false" outlineLevel="0" collapsed="false">
      <c r="A537" s="3" t="s">
        <v>21</v>
      </c>
      <c r="B537" s="3" t="s">
        <v>22</v>
      </c>
      <c r="C537" s="3" t="s">
        <v>557</v>
      </c>
      <c r="D537" s="3" t="s">
        <v>558</v>
      </c>
      <c r="E537" s="3" t="n">
        <v>20171</v>
      </c>
      <c r="F537" s="3" t="s">
        <v>127</v>
      </c>
      <c r="G537" s="3" t="s">
        <v>23</v>
      </c>
      <c r="H537" s="1" t="n">
        <v>0</v>
      </c>
      <c r="I537" s="1" t="n">
        <v>0</v>
      </c>
      <c r="J537" s="1" t="n">
        <v>20201</v>
      </c>
      <c r="L537" s="1" t="str">
        <f aca="false">IF(D536&lt;&gt;D537,D537,"")</f>
        <v/>
      </c>
      <c r="M537" s="1" t="str">
        <f aca="false">IF(F536&lt;&gt;F537,F537,"")</f>
        <v/>
      </c>
    </row>
    <row r="538" customFormat="false" ht="15" hidden="false" customHeight="false" outlineLevel="0" collapsed="false">
      <c r="A538" s="3" t="s">
        <v>585</v>
      </c>
      <c r="B538" s="3" t="s">
        <v>586</v>
      </c>
      <c r="C538" s="3" t="s">
        <v>557</v>
      </c>
      <c r="D538" s="3" t="s">
        <v>558</v>
      </c>
      <c r="E538" s="3" t="n">
        <v>20171</v>
      </c>
      <c r="F538" s="3" t="s">
        <v>127</v>
      </c>
      <c r="G538" s="3" t="s">
        <v>23</v>
      </c>
      <c r="H538" s="1" t="n">
        <v>0</v>
      </c>
      <c r="I538" s="1" t="n">
        <v>0</v>
      </c>
      <c r="J538" s="1" t="n">
        <v>20201</v>
      </c>
      <c r="L538" s="1" t="str">
        <f aca="false">IF(D537&lt;&gt;D538,D538,"")</f>
        <v/>
      </c>
      <c r="M538" s="1" t="str">
        <f aca="false">IF(F537&lt;&gt;F538,F538,"")</f>
        <v/>
      </c>
    </row>
    <row r="539" customFormat="false" ht="15" hidden="false" customHeight="false" outlineLevel="0" collapsed="false">
      <c r="A539" s="3" t="s">
        <v>587</v>
      </c>
      <c r="B539" s="3" t="s">
        <v>588</v>
      </c>
      <c r="C539" s="3" t="s">
        <v>557</v>
      </c>
      <c r="D539" s="3" t="s">
        <v>558</v>
      </c>
      <c r="E539" s="3" t="n">
        <v>20171</v>
      </c>
      <c r="F539" s="3" t="s">
        <v>127</v>
      </c>
      <c r="G539" s="3" t="s">
        <v>23</v>
      </c>
      <c r="H539" s="1" t="n">
        <v>0</v>
      </c>
      <c r="I539" s="1" t="n">
        <v>0</v>
      </c>
      <c r="J539" s="1" t="n">
        <v>20201</v>
      </c>
      <c r="L539" s="1" t="str">
        <f aca="false">IF(D538&lt;&gt;D539,D539,"")</f>
        <v/>
      </c>
      <c r="M539" s="1" t="str">
        <f aca="false">IF(F538&lt;&gt;F539,F539,"")</f>
        <v/>
      </c>
    </row>
    <row r="540" customFormat="false" ht="15" hidden="false" customHeight="false" outlineLevel="0" collapsed="false">
      <c r="A540" s="3" t="s">
        <v>589</v>
      </c>
      <c r="B540" s="3" t="s">
        <v>590</v>
      </c>
      <c r="C540" s="3" t="s">
        <v>557</v>
      </c>
      <c r="D540" s="3" t="s">
        <v>558</v>
      </c>
      <c r="E540" s="3" t="n">
        <v>20171</v>
      </c>
      <c r="F540" s="3" t="s">
        <v>127</v>
      </c>
      <c r="G540" s="3" t="s">
        <v>23</v>
      </c>
      <c r="H540" s="1" t="n">
        <v>0</v>
      </c>
      <c r="I540" s="1" t="n">
        <v>0</v>
      </c>
      <c r="J540" s="1" t="n">
        <v>20201</v>
      </c>
      <c r="L540" s="1" t="str">
        <f aca="false">IF(D539&lt;&gt;D540,D540,"")</f>
        <v/>
      </c>
      <c r="M540" s="1" t="str">
        <f aca="false">IF(F539&lt;&gt;F540,F540,"")</f>
        <v/>
      </c>
    </row>
    <row r="541" customFormat="false" ht="15" hidden="false" customHeight="false" outlineLevel="0" collapsed="false">
      <c r="A541" s="3" t="s">
        <v>541</v>
      </c>
      <c r="B541" s="3" t="s">
        <v>542</v>
      </c>
      <c r="C541" s="3" t="s">
        <v>557</v>
      </c>
      <c r="D541" s="3" t="s">
        <v>558</v>
      </c>
      <c r="E541" s="3" t="n">
        <v>20171</v>
      </c>
      <c r="F541" s="3" t="s">
        <v>127</v>
      </c>
      <c r="G541" s="3" t="s">
        <v>23</v>
      </c>
      <c r="H541" s="1" t="n">
        <v>0</v>
      </c>
      <c r="I541" s="1" t="n">
        <v>0</v>
      </c>
      <c r="J541" s="1" t="n">
        <v>20201</v>
      </c>
      <c r="L541" s="1" t="str">
        <f aca="false">IF(D540&lt;&gt;D541,D541,"")</f>
        <v/>
      </c>
      <c r="M541" s="1" t="str">
        <f aca="false">IF(F540&lt;&gt;F541,F541,"")</f>
        <v/>
      </c>
    </row>
    <row r="542" customFormat="false" ht="15" hidden="false" customHeight="false" outlineLevel="0" collapsed="false">
      <c r="A542" s="3" t="s">
        <v>28</v>
      </c>
      <c r="B542" s="3" t="s">
        <v>29</v>
      </c>
      <c r="C542" s="3" t="s">
        <v>557</v>
      </c>
      <c r="D542" s="3" t="s">
        <v>558</v>
      </c>
      <c r="E542" s="3" t="n">
        <v>20171</v>
      </c>
      <c r="F542" s="3" t="s">
        <v>127</v>
      </c>
      <c r="G542" s="3" t="s">
        <v>23</v>
      </c>
      <c r="H542" s="1" t="n">
        <v>0</v>
      </c>
      <c r="I542" s="1" t="n">
        <v>0</v>
      </c>
      <c r="J542" s="1" t="n">
        <v>20201</v>
      </c>
      <c r="L542" s="1" t="str">
        <f aca="false">IF(D541&lt;&gt;D542,D542,"")</f>
        <v/>
      </c>
      <c r="M542" s="1" t="str">
        <f aca="false">IF(F541&lt;&gt;F542,F542,"")</f>
        <v/>
      </c>
    </row>
    <row r="543" customFormat="false" ht="15" hidden="false" customHeight="false" outlineLevel="0" collapsed="false">
      <c r="A543" s="3" t="s">
        <v>120</v>
      </c>
      <c r="B543" s="3" t="s">
        <v>121</v>
      </c>
      <c r="C543" s="3" t="s">
        <v>557</v>
      </c>
      <c r="D543" s="3" t="s">
        <v>558</v>
      </c>
      <c r="E543" s="3" t="n">
        <v>20171</v>
      </c>
      <c r="F543" s="3" t="s">
        <v>127</v>
      </c>
      <c r="G543" s="3" t="s">
        <v>30</v>
      </c>
      <c r="H543" s="1" t="n">
        <v>1.5</v>
      </c>
      <c r="I543" s="1" t="n">
        <v>0</v>
      </c>
      <c r="J543" s="1" t="n">
        <v>20201</v>
      </c>
      <c r="L543" s="1" t="str">
        <f aca="false">IF(D542&lt;&gt;D543,D543,"")</f>
        <v/>
      </c>
      <c r="M543" s="1" t="str">
        <f aca="false">IF(F542&lt;&gt;F543,F543,"")</f>
        <v/>
      </c>
    </row>
    <row r="544" customFormat="false" ht="15" hidden="false" customHeight="false" outlineLevel="0" collapsed="false">
      <c r="A544" s="3" t="s">
        <v>31</v>
      </c>
      <c r="B544" s="3" t="s">
        <v>32</v>
      </c>
      <c r="C544" s="3" t="s">
        <v>557</v>
      </c>
      <c r="D544" s="3" t="s">
        <v>558</v>
      </c>
      <c r="E544" s="3" t="n">
        <v>20171</v>
      </c>
      <c r="F544" s="3" t="s">
        <v>127</v>
      </c>
      <c r="G544" s="3" t="s">
        <v>127</v>
      </c>
      <c r="H544" s="1" t="n">
        <v>2</v>
      </c>
      <c r="I544" s="1" t="n">
        <v>0</v>
      </c>
      <c r="J544" s="1" t="n">
        <v>20201</v>
      </c>
      <c r="L544" s="1" t="str">
        <f aca="false">IF(D543&lt;&gt;D544,D544,"")</f>
        <v/>
      </c>
      <c r="M544" s="1" t="str">
        <f aca="false">IF(F543&lt;&gt;F544,F544,"")</f>
        <v/>
      </c>
    </row>
    <row r="545" customFormat="false" ht="15" hidden="false" customHeight="false" outlineLevel="0" collapsed="false">
      <c r="A545" s="3" t="s">
        <v>39</v>
      </c>
      <c r="B545" s="3" t="s">
        <v>40</v>
      </c>
      <c r="C545" s="3" t="s">
        <v>557</v>
      </c>
      <c r="D545" s="3" t="s">
        <v>558</v>
      </c>
      <c r="E545" s="3" t="n">
        <v>20171</v>
      </c>
      <c r="F545" s="3" t="s">
        <v>127</v>
      </c>
      <c r="G545" s="3" t="s">
        <v>14</v>
      </c>
      <c r="H545" s="1" t="n">
        <v>4</v>
      </c>
      <c r="I545" s="1" t="n">
        <v>0</v>
      </c>
      <c r="J545" s="1" t="n">
        <v>20201</v>
      </c>
      <c r="L545" s="1" t="str">
        <f aca="false">IF(D544&lt;&gt;D545,D545,"")</f>
        <v/>
      </c>
      <c r="M545" s="1" t="str">
        <f aca="false">IF(F544&lt;&gt;F545,F545,"")</f>
        <v/>
      </c>
    </row>
    <row r="546" customFormat="false" ht="15" hidden="false" customHeight="false" outlineLevel="0" collapsed="false">
      <c r="A546" s="3" t="s">
        <v>130</v>
      </c>
      <c r="B546" s="3" t="s">
        <v>131</v>
      </c>
      <c r="C546" s="3" t="s">
        <v>557</v>
      </c>
      <c r="D546" s="3" t="s">
        <v>558</v>
      </c>
      <c r="E546" s="3" t="n">
        <v>20171</v>
      </c>
      <c r="F546" s="3" t="s">
        <v>127</v>
      </c>
      <c r="G546" s="3" t="s">
        <v>30</v>
      </c>
      <c r="H546" s="1" t="n">
        <v>1.5</v>
      </c>
      <c r="I546" s="1" t="n">
        <v>0</v>
      </c>
      <c r="J546" s="1" t="n">
        <v>20201</v>
      </c>
      <c r="L546" s="1" t="str">
        <f aca="false">IF(D545&lt;&gt;D546,D546,"")</f>
        <v/>
      </c>
      <c r="M546" s="1" t="str">
        <f aca="false">IF(F545&lt;&gt;F546,F546,"")</f>
        <v/>
      </c>
    </row>
    <row r="547" customFormat="false" ht="15" hidden="false" customHeight="false" outlineLevel="0" collapsed="false">
      <c r="A547" s="3" t="s">
        <v>45</v>
      </c>
      <c r="B547" s="3" t="s">
        <v>46</v>
      </c>
      <c r="C547" s="3" t="s">
        <v>557</v>
      </c>
      <c r="D547" s="3" t="s">
        <v>558</v>
      </c>
      <c r="E547" s="3" t="n">
        <v>20171</v>
      </c>
      <c r="F547" s="3" t="s">
        <v>127</v>
      </c>
      <c r="G547" s="3" t="s">
        <v>30</v>
      </c>
      <c r="H547" s="1" t="n">
        <v>1.5</v>
      </c>
      <c r="I547" s="1" t="n">
        <v>0</v>
      </c>
      <c r="J547" s="1" t="n">
        <v>20201</v>
      </c>
      <c r="L547" s="1" t="str">
        <f aca="false">IF(D546&lt;&gt;D547,D547,"")</f>
        <v/>
      </c>
      <c r="M547" s="1" t="str">
        <f aca="false">IF(F546&lt;&gt;F547,F547,"")</f>
        <v/>
      </c>
    </row>
    <row r="548" customFormat="false" ht="15" hidden="false" customHeight="false" outlineLevel="0" collapsed="false">
      <c r="A548" s="3" t="s">
        <v>140</v>
      </c>
      <c r="B548" s="3" t="s">
        <v>141</v>
      </c>
      <c r="C548" s="3" t="s">
        <v>557</v>
      </c>
      <c r="D548" s="3" t="s">
        <v>558</v>
      </c>
      <c r="E548" s="3" t="n">
        <v>20171</v>
      </c>
      <c r="F548" s="3" t="s">
        <v>127</v>
      </c>
      <c r="G548" s="3" t="s">
        <v>23</v>
      </c>
      <c r="H548" s="1" t="n">
        <v>0</v>
      </c>
      <c r="I548" s="1" t="n">
        <v>0</v>
      </c>
      <c r="J548" s="1" t="n">
        <v>20201</v>
      </c>
      <c r="L548" s="1" t="str">
        <f aca="false">IF(D547&lt;&gt;D548,D548,"")</f>
        <v/>
      </c>
      <c r="M548" s="1" t="str">
        <f aca="false">IF(F547&lt;&gt;F548,F548,"")</f>
        <v/>
      </c>
    </row>
    <row r="549" customFormat="false" ht="15" hidden="false" customHeight="false" outlineLevel="0" collapsed="false">
      <c r="A549" s="3" t="s">
        <v>47</v>
      </c>
      <c r="B549" s="3" t="s">
        <v>48</v>
      </c>
      <c r="C549" s="3" t="s">
        <v>557</v>
      </c>
      <c r="D549" s="3" t="s">
        <v>558</v>
      </c>
      <c r="E549" s="3" t="n">
        <v>20171</v>
      </c>
      <c r="F549" s="3" t="s">
        <v>127</v>
      </c>
      <c r="G549" s="3" t="s">
        <v>23</v>
      </c>
      <c r="H549" s="1" t="n">
        <v>0</v>
      </c>
      <c r="I549" s="1" t="n">
        <v>0</v>
      </c>
      <c r="J549" s="1" t="n">
        <v>20201</v>
      </c>
      <c r="L549" s="1" t="str">
        <f aca="false">IF(D548&lt;&gt;D549,D549,"")</f>
        <v/>
      </c>
      <c r="M549" s="1" t="str">
        <f aca="false">IF(F548&lt;&gt;F549,F549,"")</f>
        <v/>
      </c>
    </row>
    <row r="550" customFormat="false" ht="15" hidden="false" customHeight="false" outlineLevel="0" collapsed="false">
      <c r="A550" s="3" t="s">
        <v>53</v>
      </c>
      <c r="B550" s="3" t="s">
        <v>54</v>
      </c>
      <c r="C550" s="3" t="s">
        <v>557</v>
      </c>
      <c r="D550" s="3" t="s">
        <v>558</v>
      </c>
      <c r="E550" s="3" t="n">
        <v>20171</v>
      </c>
      <c r="F550" s="3" t="s">
        <v>127</v>
      </c>
      <c r="G550" s="3" t="s">
        <v>23</v>
      </c>
      <c r="H550" s="1" t="n">
        <v>0</v>
      </c>
      <c r="I550" s="1" t="n">
        <v>0</v>
      </c>
      <c r="J550" s="1" t="n">
        <v>20201</v>
      </c>
      <c r="L550" s="1" t="str">
        <f aca="false">IF(D549&lt;&gt;D550,D550,"")</f>
        <v/>
      </c>
      <c r="M550" s="1" t="str">
        <f aca="false">IF(F549&lt;&gt;F550,F550,"")</f>
        <v/>
      </c>
    </row>
    <row r="551" customFormat="false" ht="15" hidden="false" customHeight="false" outlineLevel="0" collapsed="false">
      <c r="A551" s="3" t="s">
        <v>55</v>
      </c>
      <c r="B551" s="3" t="s">
        <v>56</v>
      </c>
      <c r="C551" s="3" t="s">
        <v>557</v>
      </c>
      <c r="D551" s="3" t="s">
        <v>558</v>
      </c>
      <c r="E551" s="3" t="n">
        <v>20171</v>
      </c>
      <c r="F551" s="3" t="s">
        <v>127</v>
      </c>
      <c r="G551" s="3" t="s">
        <v>30</v>
      </c>
      <c r="H551" s="1" t="n">
        <v>1.5</v>
      </c>
      <c r="I551" s="1" t="n">
        <v>0</v>
      </c>
      <c r="J551" s="1" t="n">
        <v>20201</v>
      </c>
      <c r="L551" s="1" t="str">
        <f aca="false">IF(D550&lt;&gt;D551,D551,"")</f>
        <v/>
      </c>
      <c r="M551" s="1" t="str">
        <f aca="false">IF(F550&lt;&gt;F551,F551,"")</f>
        <v/>
      </c>
    </row>
    <row r="552" customFormat="false" ht="15" hidden="false" customHeight="false" outlineLevel="0" collapsed="false">
      <c r="A552" s="3" t="s">
        <v>61</v>
      </c>
      <c r="B552" s="3" t="s">
        <v>62</v>
      </c>
      <c r="C552" s="3" t="s">
        <v>557</v>
      </c>
      <c r="D552" s="3" t="s">
        <v>558</v>
      </c>
      <c r="E552" s="3" t="n">
        <v>20171</v>
      </c>
      <c r="F552" s="3" t="s">
        <v>127</v>
      </c>
      <c r="G552" s="3" t="s">
        <v>30</v>
      </c>
      <c r="H552" s="1" t="n">
        <v>1.5</v>
      </c>
      <c r="I552" s="1" t="n">
        <v>0</v>
      </c>
      <c r="J552" s="1" t="n">
        <v>20201</v>
      </c>
      <c r="L552" s="1" t="str">
        <f aca="false">IF(D551&lt;&gt;D552,D552,"")</f>
        <v/>
      </c>
      <c r="M552" s="1" t="str">
        <f aca="false">IF(F551&lt;&gt;F552,F552,"")</f>
        <v/>
      </c>
    </row>
    <row r="553" customFormat="false" ht="15" hidden="false" customHeight="false" outlineLevel="0" collapsed="false">
      <c r="A553" s="3" t="s">
        <v>154</v>
      </c>
      <c r="B553" s="3" t="s">
        <v>155</v>
      </c>
      <c r="C553" s="3" t="s">
        <v>557</v>
      </c>
      <c r="D553" s="3" t="s">
        <v>558</v>
      </c>
      <c r="E553" s="3" t="n">
        <v>20171</v>
      </c>
      <c r="F553" s="3" t="s">
        <v>127</v>
      </c>
      <c r="G553" s="3" t="s">
        <v>23</v>
      </c>
      <c r="H553" s="1" t="n">
        <v>0</v>
      </c>
      <c r="I553" s="1" t="n">
        <v>0</v>
      </c>
      <c r="J553" s="1" t="n">
        <v>20201</v>
      </c>
      <c r="L553" s="1" t="str">
        <f aca="false">IF(D552&lt;&gt;D553,D553,"")</f>
        <v/>
      </c>
      <c r="M553" s="1" t="str">
        <f aca="false">IF(F552&lt;&gt;F553,F553,"")</f>
        <v/>
      </c>
    </row>
    <row r="554" customFormat="false" ht="15" hidden="false" customHeight="false" outlineLevel="0" collapsed="false">
      <c r="A554" s="3" t="s">
        <v>63</v>
      </c>
      <c r="B554" s="3" t="s">
        <v>64</v>
      </c>
      <c r="C554" s="3" t="s">
        <v>557</v>
      </c>
      <c r="D554" s="3" t="s">
        <v>558</v>
      </c>
      <c r="E554" s="3" t="n">
        <v>20171</v>
      </c>
      <c r="F554" s="3" t="s">
        <v>127</v>
      </c>
      <c r="G554" s="3" t="s">
        <v>30</v>
      </c>
      <c r="H554" s="1" t="n">
        <v>1.5</v>
      </c>
      <c r="I554" s="1" t="n">
        <v>0</v>
      </c>
      <c r="J554" s="1" t="n">
        <v>20201</v>
      </c>
      <c r="L554" s="1" t="str">
        <f aca="false">IF(D553&lt;&gt;D554,D554,"")</f>
        <v/>
      </c>
      <c r="M554" s="1" t="str">
        <f aca="false">IF(F553&lt;&gt;F554,F554,"")</f>
        <v/>
      </c>
    </row>
    <row r="555" customFormat="false" ht="15" hidden="false" customHeight="false" outlineLevel="0" collapsed="false">
      <c r="A555" s="3" t="s">
        <v>69</v>
      </c>
      <c r="B555" s="3" t="s">
        <v>70</v>
      </c>
      <c r="C555" s="3" t="s">
        <v>557</v>
      </c>
      <c r="D555" s="3" t="s">
        <v>558</v>
      </c>
      <c r="E555" s="3" t="n">
        <v>20171</v>
      </c>
      <c r="F555" s="3" t="s">
        <v>127</v>
      </c>
      <c r="G555" s="3" t="s">
        <v>101</v>
      </c>
      <c r="H555" s="1" t="n">
        <v>2.5</v>
      </c>
      <c r="I555" s="1" t="n">
        <v>0</v>
      </c>
      <c r="J555" s="1" t="n">
        <v>20201</v>
      </c>
      <c r="L555" s="1" t="str">
        <f aca="false">IF(D554&lt;&gt;D555,D555,"")</f>
        <v/>
      </c>
      <c r="M555" s="1" t="str">
        <f aca="false">IF(F554&lt;&gt;F555,F555,"")</f>
        <v/>
      </c>
    </row>
    <row r="556" customFormat="false" ht="15" hidden="false" customHeight="false" outlineLevel="0" collapsed="false">
      <c r="A556" s="3" t="s">
        <v>71</v>
      </c>
      <c r="B556" s="3" t="s">
        <v>72</v>
      </c>
      <c r="C556" s="3" t="s">
        <v>557</v>
      </c>
      <c r="D556" s="3" t="s">
        <v>558</v>
      </c>
      <c r="E556" s="3" t="n">
        <v>20171</v>
      </c>
      <c r="F556" s="3" t="s">
        <v>127</v>
      </c>
      <c r="G556" s="3" t="s">
        <v>514</v>
      </c>
      <c r="H556" s="1" t="n">
        <v>1</v>
      </c>
      <c r="I556" s="1" t="n">
        <v>0</v>
      </c>
      <c r="J556" s="1" t="n">
        <v>20201</v>
      </c>
      <c r="L556" s="1" t="str">
        <f aca="false">IF(D555&lt;&gt;D556,D556,"")</f>
        <v/>
      </c>
      <c r="M556" s="1" t="str">
        <f aca="false">IF(F555&lt;&gt;F556,F556,"")</f>
        <v/>
      </c>
    </row>
    <row r="557" customFormat="false" ht="15" hidden="false" customHeight="false" outlineLevel="0" collapsed="false">
      <c r="A557" s="3" t="s">
        <v>77</v>
      </c>
      <c r="B557" s="3" t="s">
        <v>78</v>
      </c>
      <c r="C557" s="3" t="s">
        <v>557</v>
      </c>
      <c r="D557" s="3" t="s">
        <v>558</v>
      </c>
      <c r="E557" s="3" t="n">
        <v>20171</v>
      </c>
      <c r="F557" s="3" t="s">
        <v>127</v>
      </c>
      <c r="G557" s="3" t="s">
        <v>101</v>
      </c>
      <c r="H557" s="1" t="n">
        <v>2.5</v>
      </c>
      <c r="I557" s="1" t="n">
        <v>0</v>
      </c>
      <c r="J557" s="1" t="n">
        <v>20201</v>
      </c>
      <c r="L557" s="1" t="str">
        <f aca="false">IF(D556&lt;&gt;D557,D557,"")</f>
        <v/>
      </c>
      <c r="M557" s="1" t="str">
        <f aca="false">IF(F556&lt;&gt;F557,F557,"")</f>
        <v/>
      </c>
    </row>
    <row r="558" customFormat="false" ht="15" hidden="false" customHeight="false" outlineLevel="0" collapsed="false">
      <c r="A558" s="3" t="s">
        <v>168</v>
      </c>
      <c r="B558" s="3" t="s">
        <v>169</v>
      </c>
      <c r="C558" s="3" t="s">
        <v>557</v>
      </c>
      <c r="D558" s="3" t="s">
        <v>558</v>
      </c>
      <c r="E558" s="3" t="n">
        <v>20171</v>
      </c>
      <c r="F558" s="3" t="s">
        <v>127</v>
      </c>
      <c r="G558" s="3" t="s">
        <v>23</v>
      </c>
      <c r="H558" s="1" t="n">
        <v>0</v>
      </c>
      <c r="I558" s="1" t="n">
        <v>0</v>
      </c>
      <c r="J558" s="1" t="n">
        <v>20201</v>
      </c>
      <c r="L558" s="1" t="str">
        <f aca="false">IF(D557&lt;&gt;D558,D558,"")</f>
        <v/>
      </c>
      <c r="M558" s="1" t="str">
        <f aca="false">IF(F557&lt;&gt;F558,F558,"")</f>
        <v/>
      </c>
    </row>
    <row r="559" customFormat="false" ht="15" hidden="false" customHeight="false" outlineLevel="0" collapsed="false">
      <c r="A559" s="3" t="s">
        <v>79</v>
      </c>
      <c r="B559" s="3" t="s">
        <v>80</v>
      </c>
      <c r="C559" s="3" t="s">
        <v>557</v>
      </c>
      <c r="D559" s="3" t="s">
        <v>558</v>
      </c>
      <c r="E559" s="3" t="n">
        <v>20171</v>
      </c>
      <c r="F559" s="3" t="s">
        <v>127</v>
      </c>
      <c r="G559" s="3" t="s">
        <v>127</v>
      </c>
      <c r="H559" s="1" t="n">
        <v>2</v>
      </c>
      <c r="I559" s="1" t="n">
        <v>0</v>
      </c>
      <c r="J559" s="1" t="n">
        <v>20201</v>
      </c>
      <c r="L559" s="1" t="str">
        <f aca="false">IF(D558&lt;&gt;D559,D559,"")</f>
        <v/>
      </c>
      <c r="M559" s="1" t="str">
        <f aca="false">IF(F558&lt;&gt;F559,F559,"")</f>
        <v/>
      </c>
    </row>
    <row r="560" customFormat="false" ht="15" hidden="false" customHeight="false" outlineLevel="0" collapsed="false">
      <c r="A560" s="3" t="s">
        <v>83</v>
      </c>
      <c r="B560" s="3" t="s">
        <v>84</v>
      </c>
      <c r="C560" s="3" t="s">
        <v>557</v>
      </c>
      <c r="D560" s="3" t="s">
        <v>558</v>
      </c>
      <c r="E560" s="3" t="n">
        <v>20171</v>
      </c>
      <c r="F560" s="3" t="s">
        <v>127</v>
      </c>
      <c r="G560" s="3" t="s">
        <v>30</v>
      </c>
      <c r="H560" s="1" t="n">
        <v>1.5</v>
      </c>
      <c r="I560" s="1" t="n">
        <v>0</v>
      </c>
      <c r="J560" s="1" t="n">
        <v>20201</v>
      </c>
      <c r="L560" s="1" t="str">
        <f aca="false">IF(D559&lt;&gt;D560,D560,"")</f>
        <v/>
      </c>
      <c r="M560" s="1" t="str">
        <f aca="false">IF(F559&lt;&gt;F560,F560,"")</f>
        <v/>
      </c>
    </row>
    <row r="561" customFormat="false" ht="15" hidden="false" customHeight="false" outlineLevel="0" collapsed="false">
      <c r="A561" s="3" t="s">
        <v>591</v>
      </c>
      <c r="B561" s="3" t="s">
        <v>592</v>
      </c>
      <c r="C561" s="3" t="s">
        <v>557</v>
      </c>
      <c r="D561" s="3" t="s">
        <v>558</v>
      </c>
      <c r="E561" s="3" t="n">
        <v>20171</v>
      </c>
      <c r="F561" s="3" t="s">
        <v>127</v>
      </c>
      <c r="G561" s="3" t="s">
        <v>23</v>
      </c>
      <c r="H561" s="1" t="n">
        <v>0</v>
      </c>
      <c r="I561" s="1" t="n">
        <v>0</v>
      </c>
      <c r="J561" s="1" t="n">
        <v>20201</v>
      </c>
      <c r="L561" s="1" t="str">
        <f aca="false">IF(D560&lt;&gt;D561,D561,"")</f>
        <v/>
      </c>
      <c r="M561" s="1" t="str">
        <f aca="false">IF(F560&lt;&gt;F561,F561,"")</f>
        <v/>
      </c>
    </row>
    <row r="562" customFormat="false" ht="15" hidden="false" customHeight="false" outlineLevel="0" collapsed="false">
      <c r="A562" s="3" t="s">
        <v>89</v>
      </c>
      <c r="B562" s="3" t="s">
        <v>90</v>
      </c>
      <c r="C562" s="3" t="s">
        <v>557</v>
      </c>
      <c r="D562" s="3" t="s">
        <v>558</v>
      </c>
      <c r="E562" s="3" t="n">
        <v>20171</v>
      </c>
      <c r="F562" s="3" t="s">
        <v>127</v>
      </c>
      <c r="G562" s="3" t="s">
        <v>14</v>
      </c>
      <c r="H562" s="1" t="n">
        <v>4</v>
      </c>
      <c r="I562" s="1" t="n">
        <v>0</v>
      </c>
      <c r="J562" s="1" t="n">
        <v>20201</v>
      </c>
      <c r="L562" s="1" t="str">
        <f aca="false">IF(D561&lt;&gt;D562,D562,"")</f>
        <v/>
      </c>
      <c r="M562" s="1" t="str">
        <f aca="false">IF(F561&lt;&gt;F562,F562,"")</f>
        <v/>
      </c>
    </row>
    <row r="563" customFormat="false" ht="15" hidden="false" customHeight="false" outlineLevel="0" collapsed="false">
      <c r="A563" s="3" t="s">
        <v>184</v>
      </c>
      <c r="B563" s="3" t="s">
        <v>185</v>
      </c>
      <c r="C563" s="3" t="s">
        <v>557</v>
      </c>
      <c r="D563" s="3" t="s">
        <v>558</v>
      </c>
      <c r="E563" s="3" t="n">
        <v>20171</v>
      </c>
      <c r="F563" s="3" t="s">
        <v>127</v>
      </c>
      <c r="G563" s="3" t="s">
        <v>514</v>
      </c>
      <c r="H563" s="1" t="n">
        <v>1</v>
      </c>
      <c r="I563" s="1" t="n">
        <v>0</v>
      </c>
      <c r="J563" s="1" t="n">
        <v>20201</v>
      </c>
      <c r="L563" s="1" t="str">
        <f aca="false">IF(D562&lt;&gt;D563,D563,"")</f>
        <v/>
      </c>
      <c r="M563" s="1" t="str">
        <f aca="false">IF(F562&lt;&gt;F563,F563,"")</f>
        <v/>
      </c>
    </row>
    <row r="564" customFormat="false" ht="15" hidden="false" customHeight="false" outlineLevel="0" collapsed="false">
      <c r="A564" s="3" t="s">
        <v>91</v>
      </c>
      <c r="B564" s="3" t="s">
        <v>92</v>
      </c>
      <c r="C564" s="3" t="s">
        <v>557</v>
      </c>
      <c r="D564" s="3" t="s">
        <v>558</v>
      </c>
      <c r="E564" s="3" t="n">
        <v>20171</v>
      </c>
      <c r="F564" s="3" t="s">
        <v>127</v>
      </c>
      <c r="G564" s="3" t="s">
        <v>23</v>
      </c>
      <c r="H564" s="1" t="n">
        <v>0</v>
      </c>
      <c r="I564" s="1" t="n">
        <v>0</v>
      </c>
      <c r="J564" s="1" t="n">
        <v>20201</v>
      </c>
      <c r="L564" s="1" t="str">
        <f aca="false">IF(D563&lt;&gt;D564,D564,"")</f>
        <v/>
      </c>
      <c r="M564" s="1" t="str">
        <f aca="false">IF(F563&lt;&gt;F564,F564,"")</f>
        <v/>
      </c>
    </row>
    <row r="565" customFormat="false" ht="15" hidden="false" customHeight="false" outlineLevel="0" collapsed="false">
      <c r="A565" s="3" t="s">
        <v>99</v>
      </c>
      <c r="B565" s="3" t="s">
        <v>100</v>
      </c>
      <c r="C565" s="3" t="s">
        <v>557</v>
      </c>
      <c r="D565" s="3" t="s">
        <v>558</v>
      </c>
      <c r="E565" s="3" t="n">
        <v>20171</v>
      </c>
      <c r="F565" s="3" t="s">
        <v>127</v>
      </c>
      <c r="G565" s="3" t="s">
        <v>23</v>
      </c>
      <c r="H565" s="1" t="n">
        <v>0</v>
      </c>
      <c r="I565" s="1" t="n">
        <v>0</v>
      </c>
      <c r="J565" s="1" t="n">
        <v>20201</v>
      </c>
      <c r="L565" s="1" t="str">
        <f aca="false">IF(D564&lt;&gt;D565,D565,"")</f>
        <v/>
      </c>
      <c r="M565" s="1" t="str">
        <f aca="false">IF(F564&lt;&gt;F565,F565,"")</f>
        <v/>
      </c>
    </row>
    <row r="566" customFormat="false" ht="15" hidden="false" customHeight="false" outlineLevel="0" collapsed="false">
      <c r="A566" s="3" t="s">
        <v>194</v>
      </c>
      <c r="B566" s="3" t="s">
        <v>195</v>
      </c>
      <c r="C566" s="3" t="s">
        <v>557</v>
      </c>
      <c r="D566" s="3" t="s">
        <v>558</v>
      </c>
      <c r="E566" s="3" t="n">
        <v>20171</v>
      </c>
      <c r="F566" s="3" t="s">
        <v>127</v>
      </c>
      <c r="G566" s="3" t="s">
        <v>30</v>
      </c>
      <c r="H566" s="1" t="n">
        <v>1.5</v>
      </c>
      <c r="I566" s="1" t="n">
        <v>0</v>
      </c>
      <c r="J566" s="1" t="n">
        <v>20201</v>
      </c>
      <c r="L566" s="1" t="str">
        <f aca="false">IF(D565&lt;&gt;D566,D566,"")</f>
        <v/>
      </c>
      <c r="M566" s="1" t="str">
        <f aca="false">IF(F565&lt;&gt;F566,F566,"")</f>
        <v/>
      </c>
    </row>
    <row r="567" customFormat="false" ht="15" hidden="false" customHeight="false" outlineLevel="0" collapsed="false">
      <c r="A567" s="3" t="s">
        <v>102</v>
      </c>
      <c r="B567" s="3" t="s">
        <v>103</v>
      </c>
      <c r="C567" s="3" t="s">
        <v>557</v>
      </c>
      <c r="D567" s="3" t="s">
        <v>558</v>
      </c>
      <c r="E567" s="3" t="n">
        <v>20171</v>
      </c>
      <c r="F567" s="3" t="s">
        <v>127</v>
      </c>
      <c r="G567" s="3" t="s">
        <v>23</v>
      </c>
      <c r="H567" s="1" t="n">
        <v>0</v>
      </c>
      <c r="I567" s="1" t="n">
        <v>0</v>
      </c>
      <c r="J567" s="1" t="n">
        <v>20201</v>
      </c>
      <c r="L567" s="1" t="str">
        <f aca="false">IF(D566&lt;&gt;D567,D567,"")</f>
        <v/>
      </c>
      <c r="M567" s="1" t="str">
        <f aca="false">IF(F566&lt;&gt;F567,F567,"")</f>
        <v/>
      </c>
    </row>
    <row r="568" customFormat="false" ht="15" hidden="false" customHeight="false" outlineLevel="0" collapsed="false">
      <c r="A568" s="3" t="s">
        <v>593</v>
      </c>
      <c r="B568" s="3" t="s">
        <v>594</v>
      </c>
      <c r="C568" s="3" t="s">
        <v>557</v>
      </c>
      <c r="D568" s="3" t="s">
        <v>558</v>
      </c>
      <c r="E568" s="3" t="n">
        <v>20171</v>
      </c>
      <c r="F568" s="3" t="s">
        <v>14</v>
      </c>
      <c r="G568" s="3" t="s">
        <v>15</v>
      </c>
      <c r="H568" s="1" t="n">
        <v>3.5</v>
      </c>
      <c r="I568" s="1" t="n">
        <v>0</v>
      </c>
      <c r="J568" s="1" t="n">
        <v>20201</v>
      </c>
      <c r="L568" s="1" t="str">
        <f aca="false">IF(D567&lt;&gt;D568,D568,"")</f>
        <v/>
      </c>
      <c r="M568" s="1" t="str">
        <f aca="false">IF(F567&lt;&gt;F568,F568,"")</f>
        <v>A</v>
      </c>
    </row>
    <row r="569" customFormat="false" ht="15" hidden="false" customHeight="false" outlineLevel="0" collapsed="false">
      <c r="A569" s="3" t="s">
        <v>595</v>
      </c>
      <c r="B569" s="3" t="s">
        <v>596</v>
      </c>
      <c r="C569" s="3" t="s">
        <v>557</v>
      </c>
      <c r="D569" s="3" t="s">
        <v>558</v>
      </c>
      <c r="E569" s="3" t="n">
        <v>20171</v>
      </c>
      <c r="F569" s="3" t="s">
        <v>14</v>
      </c>
      <c r="G569" s="3" t="s">
        <v>127</v>
      </c>
      <c r="H569" s="1" t="n">
        <v>2</v>
      </c>
      <c r="I569" s="1" t="n">
        <v>0</v>
      </c>
      <c r="J569" s="1" t="n">
        <v>20201</v>
      </c>
      <c r="L569" s="1" t="str">
        <f aca="false">IF(D568&lt;&gt;D569,D569,"")</f>
        <v/>
      </c>
      <c r="M569" s="1" t="str">
        <f aca="false">IF(F568&lt;&gt;F569,F569,"")</f>
        <v/>
      </c>
    </row>
    <row r="570" customFormat="false" ht="15" hidden="false" customHeight="false" outlineLevel="0" collapsed="false">
      <c r="A570" s="3" t="s">
        <v>597</v>
      </c>
      <c r="B570" s="3" t="s">
        <v>598</v>
      </c>
      <c r="C570" s="3" t="s">
        <v>599</v>
      </c>
      <c r="D570" s="3" t="s">
        <v>600</v>
      </c>
      <c r="E570" s="3" t="n">
        <v>20171</v>
      </c>
      <c r="F570" s="3" t="s">
        <v>14</v>
      </c>
      <c r="G570" s="3" t="s">
        <v>124</v>
      </c>
      <c r="H570" s="1" t="n">
        <v>0</v>
      </c>
      <c r="I570" s="1" t="n">
        <v>0</v>
      </c>
      <c r="J570" s="1" t="n">
        <v>20201</v>
      </c>
      <c r="L570" s="1" t="str">
        <f aca="false">IF(D569&lt;&gt;D570,D570,"")</f>
        <v>DASAR TEKNOLOGI INFORMASI</v>
      </c>
      <c r="M570" s="1" t="str">
        <f aca="false">IF(F569&lt;&gt;F570,F570,"")</f>
        <v/>
      </c>
    </row>
    <row r="571" customFormat="false" ht="15" hidden="false" customHeight="false" outlineLevel="0" collapsed="false">
      <c r="A571" s="3" t="s">
        <v>519</v>
      </c>
      <c r="B571" s="3" t="s">
        <v>520</v>
      </c>
      <c r="C571" s="3" t="s">
        <v>599</v>
      </c>
      <c r="D571" s="3" t="s">
        <v>600</v>
      </c>
      <c r="E571" s="3" t="n">
        <v>20171</v>
      </c>
      <c r="F571" s="3" t="s">
        <v>14</v>
      </c>
      <c r="G571" s="3" t="s">
        <v>18</v>
      </c>
      <c r="H571" s="1" t="n">
        <v>3</v>
      </c>
      <c r="I571" s="1" t="n">
        <v>0</v>
      </c>
      <c r="J571" s="1" t="n">
        <v>20201</v>
      </c>
      <c r="L571" s="1" t="str">
        <f aca="false">IF(D570&lt;&gt;D571,D571,"")</f>
        <v/>
      </c>
      <c r="M571" s="1" t="str">
        <f aca="false">IF(F570&lt;&gt;F571,F571,"")</f>
        <v/>
      </c>
    </row>
    <row r="572" customFormat="false" ht="15" hidden="false" customHeight="false" outlineLevel="0" collapsed="false">
      <c r="A572" s="3" t="s">
        <v>521</v>
      </c>
      <c r="B572" s="3" t="s">
        <v>522</v>
      </c>
      <c r="C572" s="3" t="s">
        <v>599</v>
      </c>
      <c r="D572" s="3" t="s">
        <v>600</v>
      </c>
      <c r="E572" s="3" t="n">
        <v>20171</v>
      </c>
      <c r="F572" s="3" t="s">
        <v>14</v>
      </c>
      <c r="G572" s="3" t="s">
        <v>18</v>
      </c>
      <c r="H572" s="1" t="n">
        <v>3</v>
      </c>
      <c r="I572" s="1" t="n">
        <v>0</v>
      </c>
      <c r="J572" s="1" t="n">
        <v>20201</v>
      </c>
      <c r="L572" s="1" t="str">
        <f aca="false">IF(D571&lt;&gt;D572,D572,"")</f>
        <v/>
      </c>
      <c r="M572" s="1" t="str">
        <f aca="false">IF(F571&lt;&gt;F572,F572,"")</f>
        <v/>
      </c>
    </row>
    <row r="573" customFormat="false" ht="15" hidden="false" customHeight="false" outlineLevel="0" collapsed="false">
      <c r="A573" s="3" t="s">
        <v>561</v>
      </c>
      <c r="B573" s="3" t="s">
        <v>562</v>
      </c>
      <c r="C573" s="3" t="s">
        <v>599</v>
      </c>
      <c r="D573" s="3" t="s">
        <v>600</v>
      </c>
      <c r="E573" s="3" t="n">
        <v>20171</v>
      </c>
      <c r="F573" s="3" t="s">
        <v>14</v>
      </c>
      <c r="G573" s="3" t="s">
        <v>15</v>
      </c>
      <c r="H573" s="1" t="n">
        <v>3.5</v>
      </c>
      <c r="I573" s="1" t="n">
        <v>0</v>
      </c>
      <c r="J573" s="1" t="n">
        <v>20201</v>
      </c>
      <c r="L573" s="1" t="str">
        <f aca="false">IF(D572&lt;&gt;D573,D573,"")</f>
        <v/>
      </c>
      <c r="M573" s="1" t="str">
        <f aca="false">IF(F572&lt;&gt;F573,F573,"")</f>
        <v/>
      </c>
    </row>
    <row r="574" customFormat="false" ht="15" hidden="false" customHeight="false" outlineLevel="0" collapsed="false">
      <c r="A574" s="3" t="s">
        <v>601</v>
      </c>
      <c r="B574" s="3" t="s">
        <v>602</v>
      </c>
      <c r="C574" s="3" t="s">
        <v>599</v>
      </c>
      <c r="D574" s="3" t="s">
        <v>600</v>
      </c>
      <c r="E574" s="3" t="n">
        <v>20171</v>
      </c>
      <c r="F574" s="3" t="s">
        <v>14</v>
      </c>
      <c r="G574" s="3" t="s">
        <v>18</v>
      </c>
      <c r="H574" s="1" t="n">
        <v>3</v>
      </c>
      <c r="I574" s="1" t="n">
        <v>0</v>
      </c>
      <c r="J574" s="1" t="n">
        <v>20201</v>
      </c>
      <c r="L574" s="1" t="str">
        <f aca="false">IF(D573&lt;&gt;D574,D574,"")</f>
        <v/>
      </c>
      <c r="M574" s="1" t="str">
        <f aca="false">IF(F573&lt;&gt;F574,F574,"")</f>
        <v/>
      </c>
    </row>
    <row r="575" customFormat="false" ht="15" hidden="false" customHeight="false" outlineLevel="0" collapsed="false">
      <c r="A575" s="3" t="s">
        <v>24</v>
      </c>
      <c r="B575" s="3" t="s">
        <v>25</v>
      </c>
      <c r="C575" s="3" t="s">
        <v>599</v>
      </c>
      <c r="D575" s="3" t="s">
        <v>600</v>
      </c>
      <c r="E575" s="3" t="n">
        <v>20171</v>
      </c>
      <c r="F575" s="3" t="s">
        <v>14</v>
      </c>
      <c r="G575" s="3" t="s">
        <v>15</v>
      </c>
      <c r="H575" s="1" t="n">
        <v>3.5</v>
      </c>
      <c r="I575" s="1" t="n">
        <v>0</v>
      </c>
      <c r="J575" s="1" t="n">
        <v>20201</v>
      </c>
      <c r="L575" s="1" t="str">
        <f aca="false">IF(D574&lt;&gt;D575,D575,"")</f>
        <v/>
      </c>
      <c r="M575" s="1" t="str">
        <f aca="false">IF(F574&lt;&gt;F575,F575,"")</f>
        <v/>
      </c>
    </row>
    <row r="576" customFormat="false" ht="15" hidden="false" customHeight="false" outlineLevel="0" collapsed="false">
      <c r="A576" s="3" t="s">
        <v>26</v>
      </c>
      <c r="B576" s="3" t="s">
        <v>27</v>
      </c>
      <c r="C576" s="3" t="s">
        <v>599</v>
      </c>
      <c r="D576" s="3" t="s">
        <v>600</v>
      </c>
      <c r="E576" s="3" t="n">
        <v>20171</v>
      </c>
      <c r="F576" s="3" t="s">
        <v>14</v>
      </c>
      <c r="G576" s="3" t="s">
        <v>14</v>
      </c>
      <c r="H576" s="1" t="n">
        <v>4</v>
      </c>
      <c r="I576" s="1" t="n">
        <v>0</v>
      </c>
      <c r="J576" s="1" t="n">
        <v>20201</v>
      </c>
      <c r="L576" s="1" t="str">
        <f aca="false">IF(D575&lt;&gt;D576,D576,"")</f>
        <v/>
      </c>
      <c r="M576" s="1" t="str">
        <f aca="false">IF(F575&lt;&gt;F576,F576,"")</f>
        <v/>
      </c>
    </row>
    <row r="577" customFormat="false" ht="15" hidden="false" customHeight="false" outlineLevel="0" collapsed="false">
      <c r="A577" s="3" t="s">
        <v>122</v>
      </c>
      <c r="B577" s="3" t="s">
        <v>123</v>
      </c>
      <c r="C577" s="3" t="s">
        <v>599</v>
      </c>
      <c r="D577" s="3" t="s">
        <v>600</v>
      </c>
      <c r="E577" s="3" t="n">
        <v>20171</v>
      </c>
      <c r="F577" s="3" t="s">
        <v>14</v>
      </c>
      <c r="G577" s="3" t="s">
        <v>124</v>
      </c>
      <c r="H577" s="1" t="n">
        <v>0</v>
      </c>
      <c r="I577" s="1" t="n">
        <v>0</v>
      </c>
      <c r="J577" s="1" t="n">
        <v>20201</v>
      </c>
      <c r="L577" s="1" t="str">
        <f aca="false">IF(D576&lt;&gt;D577,D577,"")</f>
        <v/>
      </c>
      <c r="M577" s="1" t="str">
        <f aca="false">IF(F576&lt;&gt;F577,F577,"")</f>
        <v/>
      </c>
    </row>
    <row r="578" customFormat="false" ht="15" hidden="false" customHeight="false" outlineLevel="0" collapsed="false">
      <c r="A578" s="3" t="s">
        <v>33</v>
      </c>
      <c r="B578" s="3" t="s">
        <v>34</v>
      </c>
      <c r="C578" s="3" t="s">
        <v>599</v>
      </c>
      <c r="D578" s="3" t="s">
        <v>600</v>
      </c>
      <c r="E578" s="3" t="n">
        <v>20171</v>
      </c>
      <c r="F578" s="3" t="s">
        <v>14</v>
      </c>
      <c r="G578" s="3" t="s">
        <v>101</v>
      </c>
      <c r="H578" s="1" t="n">
        <v>2.5</v>
      </c>
      <c r="I578" s="1" t="n">
        <v>0</v>
      </c>
      <c r="J578" s="1" t="n">
        <v>20201</v>
      </c>
      <c r="L578" s="1" t="str">
        <f aca="false">IF(D577&lt;&gt;D578,D578,"")</f>
        <v/>
      </c>
      <c r="M578" s="1" t="str">
        <f aca="false">IF(F577&lt;&gt;F578,F578,"")</f>
        <v/>
      </c>
    </row>
    <row r="579" customFormat="false" ht="15" hidden="false" customHeight="false" outlineLevel="0" collapsed="false">
      <c r="A579" s="3" t="s">
        <v>125</v>
      </c>
      <c r="B579" s="3" t="s">
        <v>126</v>
      </c>
      <c r="C579" s="3" t="s">
        <v>599</v>
      </c>
      <c r="D579" s="3" t="s">
        <v>600</v>
      </c>
      <c r="E579" s="3" t="n">
        <v>20171</v>
      </c>
      <c r="F579" s="3" t="s">
        <v>14</v>
      </c>
      <c r="G579" s="3" t="s">
        <v>101</v>
      </c>
      <c r="H579" s="1" t="n">
        <v>2.5</v>
      </c>
      <c r="I579" s="1" t="n">
        <v>0</v>
      </c>
      <c r="J579" s="1" t="n">
        <v>20201</v>
      </c>
      <c r="L579" s="1" t="str">
        <f aca="false">IF(D578&lt;&gt;D579,D579,"")</f>
        <v/>
      </c>
      <c r="M579" s="1" t="str">
        <f aca="false">IF(F578&lt;&gt;F579,F579,"")</f>
        <v/>
      </c>
    </row>
    <row r="580" customFormat="false" ht="15" hidden="false" customHeight="false" outlineLevel="0" collapsed="false">
      <c r="A580" s="3" t="s">
        <v>35</v>
      </c>
      <c r="B580" s="3" t="s">
        <v>36</v>
      </c>
      <c r="C580" s="3" t="s">
        <v>599</v>
      </c>
      <c r="D580" s="3" t="s">
        <v>600</v>
      </c>
      <c r="E580" s="3" t="n">
        <v>20171</v>
      </c>
      <c r="F580" s="3" t="s">
        <v>14</v>
      </c>
      <c r="G580" s="3" t="s">
        <v>18</v>
      </c>
      <c r="H580" s="1" t="n">
        <v>3</v>
      </c>
      <c r="I580" s="1" t="n">
        <v>0</v>
      </c>
      <c r="J580" s="1" t="n">
        <v>20201</v>
      </c>
      <c r="L580" s="1" t="str">
        <f aca="false">IF(D579&lt;&gt;D580,D580,"")</f>
        <v/>
      </c>
      <c r="M580" s="1" t="str">
        <f aca="false">IF(F579&lt;&gt;F580,F580,"")</f>
        <v/>
      </c>
    </row>
    <row r="581" customFormat="false" ht="15" hidden="false" customHeight="false" outlineLevel="0" collapsed="false">
      <c r="A581" s="3" t="s">
        <v>132</v>
      </c>
      <c r="B581" s="3" t="s">
        <v>133</v>
      </c>
      <c r="C581" s="3" t="s">
        <v>599</v>
      </c>
      <c r="D581" s="3" t="s">
        <v>600</v>
      </c>
      <c r="E581" s="3" t="n">
        <v>20171</v>
      </c>
      <c r="F581" s="3" t="s">
        <v>14</v>
      </c>
      <c r="G581" s="3" t="s">
        <v>15</v>
      </c>
      <c r="H581" s="1" t="n">
        <v>3.5</v>
      </c>
      <c r="I581" s="1" t="n">
        <v>0</v>
      </c>
      <c r="J581" s="1" t="n">
        <v>20201</v>
      </c>
      <c r="L581" s="1" t="str">
        <f aca="false">IF(D580&lt;&gt;D581,D581,"")</f>
        <v/>
      </c>
      <c r="M581" s="1" t="str">
        <f aca="false">IF(F580&lt;&gt;F581,F581,"")</f>
        <v/>
      </c>
    </row>
    <row r="582" customFormat="false" ht="15" hidden="false" customHeight="false" outlineLevel="0" collapsed="false">
      <c r="A582" s="3" t="s">
        <v>41</v>
      </c>
      <c r="B582" s="3" t="s">
        <v>42</v>
      </c>
      <c r="C582" s="3" t="s">
        <v>599</v>
      </c>
      <c r="D582" s="3" t="s">
        <v>600</v>
      </c>
      <c r="E582" s="3" t="n">
        <v>20171</v>
      </c>
      <c r="F582" s="3" t="s">
        <v>14</v>
      </c>
      <c r="G582" s="3" t="s">
        <v>15</v>
      </c>
      <c r="H582" s="1" t="n">
        <v>3.5</v>
      </c>
      <c r="I582" s="1" t="n">
        <v>0</v>
      </c>
      <c r="J582" s="1" t="n">
        <v>20201</v>
      </c>
      <c r="L582" s="1" t="str">
        <f aca="false">IF(D581&lt;&gt;D582,D582,"")</f>
        <v/>
      </c>
      <c r="M582" s="1" t="str">
        <f aca="false">IF(F581&lt;&gt;F582,F582,"")</f>
        <v/>
      </c>
    </row>
    <row r="583" customFormat="false" ht="15" hidden="false" customHeight="false" outlineLevel="0" collapsed="false">
      <c r="A583" s="3" t="s">
        <v>134</v>
      </c>
      <c r="B583" s="3" t="s">
        <v>135</v>
      </c>
      <c r="C583" s="3" t="s">
        <v>599</v>
      </c>
      <c r="D583" s="3" t="s">
        <v>600</v>
      </c>
      <c r="E583" s="3" t="n">
        <v>20171</v>
      </c>
      <c r="F583" s="3" t="s">
        <v>14</v>
      </c>
      <c r="G583" s="3" t="s">
        <v>15</v>
      </c>
      <c r="H583" s="1" t="n">
        <v>3.5</v>
      </c>
      <c r="I583" s="1" t="n">
        <v>0</v>
      </c>
      <c r="J583" s="1" t="n">
        <v>20201</v>
      </c>
      <c r="L583" s="1" t="str">
        <f aca="false">IF(D582&lt;&gt;D583,D583,"")</f>
        <v/>
      </c>
      <c r="M583" s="1" t="str">
        <f aca="false">IF(F582&lt;&gt;F583,F583,"")</f>
        <v/>
      </c>
    </row>
    <row r="584" customFormat="false" ht="15" hidden="false" customHeight="false" outlineLevel="0" collapsed="false">
      <c r="A584" s="3" t="s">
        <v>43</v>
      </c>
      <c r="B584" s="3" t="s">
        <v>44</v>
      </c>
      <c r="C584" s="3" t="s">
        <v>599</v>
      </c>
      <c r="D584" s="3" t="s">
        <v>600</v>
      </c>
      <c r="E584" s="3" t="n">
        <v>20171</v>
      </c>
      <c r="F584" s="3" t="s">
        <v>14</v>
      </c>
      <c r="G584" s="3" t="s">
        <v>14</v>
      </c>
      <c r="H584" s="1" t="n">
        <v>4</v>
      </c>
      <c r="I584" s="1" t="n">
        <v>0</v>
      </c>
      <c r="J584" s="1" t="n">
        <v>20201</v>
      </c>
      <c r="L584" s="1" t="str">
        <f aca="false">IF(D583&lt;&gt;D584,D584,"")</f>
        <v/>
      </c>
      <c r="M584" s="1" t="str">
        <f aca="false">IF(F583&lt;&gt;F584,F584,"")</f>
        <v/>
      </c>
    </row>
    <row r="585" customFormat="false" ht="15" hidden="false" customHeight="false" outlineLevel="0" collapsed="false">
      <c r="A585" s="3" t="s">
        <v>142</v>
      </c>
      <c r="B585" s="3" t="s">
        <v>143</v>
      </c>
      <c r="C585" s="3" t="s">
        <v>599</v>
      </c>
      <c r="D585" s="3" t="s">
        <v>600</v>
      </c>
      <c r="E585" s="3" t="n">
        <v>20171</v>
      </c>
      <c r="F585" s="3" t="s">
        <v>14</v>
      </c>
      <c r="G585" s="3" t="s">
        <v>15</v>
      </c>
      <c r="H585" s="1" t="n">
        <v>3.5</v>
      </c>
      <c r="I585" s="1" t="n">
        <v>0</v>
      </c>
      <c r="J585" s="1" t="n">
        <v>20201</v>
      </c>
      <c r="L585" s="1" t="str">
        <f aca="false">IF(D584&lt;&gt;D585,D585,"")</f>
        <v/>
      </c>
      <c r="M585" s="1" t="str">
        <f aca="false">IF(F584&lt;&gt;F585,F585,"")</f>
        <v/>
      </c>
    </row>
    <row r="586" customFormat="false" ht="15" hidden="false" customHeight="false" outlineLevel="0" collapsed="false">
      <c r="A586" s="3" t="s">
        <v>49</v>
      </c>
      <c r="B586" s="3" t="s">
        <v>50</v>
      </c>
      <c r="C586" s="3" t="s">
        <v>599</v>
      </c>
      <c r="D586" s="3" t="s">
        <v>600</v>
      </c>
      <c r="E586" s="3" t="n">
        <v>20171</v>
      </c>
      <c r="F586" s="3" t="s">
        <v>14</v>
      </c>
      <c r="G586" s="3" t="s">
        <v>15</v>
      </c>
      <c r="H586" s="1" t="n">
        <v>3.5</v>
      </c>
      <c r="I586" s="1" t="n">
        <v>0</v>
      </c>
      <c r="J586" s="1" t="n">
        <v>20201</v>
      </c>
      <c r="L586" s="1" t="str">
        <f aca="false">IF(D585&lt;&gt;D586,D586,"")</f>
        <v/>
      </c>
      <c r="M586" s="1" t="str">
        <f aca="false">IF(F585&lt;&gt;F586,F586,"")</f>
        <v/>
      </c>
    </row>
    <row r="587" customFormat="false" ht="15" hidden="false" customHeight="false" outlineLevel="0" collapsed="false">
      <c r="A587" s="3" t="s">
        <v>148</v>
      </c>
      <c r="B587" s="3" t="s">
        <v>149</v>
      </c>
      <c r="C587" s="3" t="s">
        <v>599</v>
      </c>
      <c r="D587" s="3" t="s">
        <v>600</v>
      </c>
      <c r="E587" s="3" t="n">
        <v>20171</v>
      </c>
      <c r="F587" s="3" t="s">
        <v>14</v>
      </c>
      <c r="G587" s="3" t="s">
        <v>15</v>
      </c>
      <c r="H587" s="1" t="n">
        <v>3.5</v>
      </c>
      <c r="I587" s="1" t="n">
        <v>0</v>
      </c>
      <c r="J587" s="1" t="n">
        <v>20201</v>
      </c>
      <c r="L587" s="1" t="str">
        <f aca="false">IF(D586&lt;&gt;D587,D587,"")</f>
        <v/>
      </c>
      <c r="M587" s="1" t="str">
        <f aca="false">IF(F586&lt;&gt;F587,F587,"")</f>
        <v/>
      </c>
    </row>
    <row r="588" customFormat="false" ht="15" hidden="false" customHeight="false" outlineLevel="0" collapsed="false">
      <c r="A588" s="3" t="s">
        <v>57</v>
      </c>
      <c r="B588" s="3" t="s">
        <v>58</v>
      </c>
      <c r="C588" s="3" t="s">
        <v>599</v>
      </c>
      <c r="D588" s="3" t="s">
        <v>600</v>
      </c>
      <c r="E588" s="3" t="n">
        <v>20171</v>
      </c>
      <c r="F588" s="3" t="s">
        <v>14</v>
      </c>
      <c r="G588" s="3" t="s">
        <v>15</v>
      </c>
      <c r="H588" s="1" t="n">
        <v>3.5</v>
      </c>
      <c r="I588" s="1" t="n">
        <v>0</v>
      </c>
      <c r="J588" s="1" t="n">
        <v>20201</v>
      </c>
      <c r="L588" s="1" t="str">
        <f aca="false">IF(D587&lt;&gt;D588,D588,"")</f>
        <v/>
      </c>
      <c r="M588" s="1" t="str">
        <f aca="false">IF(F587&lt;&gt;F588,F588,"")</f>
        <v/>
      </c>
    </row>
    <row r="589" customFormat="false" ht="15" hidden="false" customHeight="false" outlineLevel="0" collapsed="false">
      <c r="A589" s="3" t="s">
        <v>65</v>
      </c>
      <c r="B589" s="3" t="s">
        <v>66</v>
      </c>
      <c r="C589" s="3" t="s">
        <v>599</v>
      </c>
      <c r="D589" s="3" t="s">
        <v>600</v>
      </c>
      <c r="E589" s="3" t="n">
        <v>20171</v>
      </c>
      <c r="F589" s="3" t="s">
        <v>14</v>
      </c>
      <c r="G589" s="3" t="s">
        <v>30</v>
      </c>
      <c r="H589" s="1" t="n">
        <v>1.5</v>
      </c>
      <c r="I589" s="1" t="n">
        <v>0</v>
      </c>
      <c r="J589" s="1" t="n">
        <v>20201</v>
      </c>
      <c r="L589" s="1" t="str">
        <f aca="false">IF(D588&lt;&gt;D589,D589,"")</f>
        <v/>
      </c>
      <c r="M589" s="1" t="str">
        <f aca="false">IF(F588&lt;&gt;F589,F589,"")</f>
        <v/>
      </c>
    </row>
    <row r="590" customFormat="false" ht="15" hidden="false" customHeight="false" outlineLevel="0" collapsed="false">
      <c r="A590" s="3" t="s">
        <v>160</v>
      </c>
      <c r="B590" s="3" t="s">
        <v>161</v>
      </c>
      <c r="C590" s="3" t="s">
        <v>599</v>
      </c>
      <c r="D590" s="3" t="s">
        <v>600</v>
      </c>
      <c r="E590" s="3" t="n">
        <v>20171</v>
      </c>
      <c r="F590" s="3" t="s">
        <v>14</v>
      </c>
      <c r="G590" s="3" t="s">
        <v>101</v>
      </c>
      <c r="H590" s="1" t="n">
        <v>2.5</v>
      </c>
      <c r="I590" s="1" t="n">
        <v>0</v>
      </c>
      <c r="J590" s="1" t="n">
        <v>20201</v>
      </c>
      <c r="L590" s="1" t="str">
        <f aca="false">IF(D589&lt;&gt;D590,D590,"")</f>
        <v/>
      </c>
      <c r="M590" s="1" t="str">
        <f aca="false">IF(F589&lt;&gt;F590,F590,"")</f>
        <v/>
      </c>
    </row>
    <row r="591" customFormat="false" ht="15" hidden="false" customHeight="false" outlineLevel="0" collapsed="false">
      <c r="A591" s="3" t="s">
        <v>162</v>
      </c>
      <c r="B591" s="3" t="s">
        <v>163</v>
      </c>
      <c r="C591" s="3" t="s">
        <v>599</v>
      </c>
      <c r="D591" s="3" t="s">
        <v>600</v>
      </c>
      <c r="E591" s="3" t="n">
        <v>20171</v>
      </c>
      <c r="F591" s="3" t="s">
        <v>14</v>
      </c>
      <c r="G591" s="3" t="s">
        <v>15</v>
      </c>
      <c r="H591" s="1" t="n">
        <v>3.5</v>
      </c>
      <c r="I591" s="1" t="n">
        <v>0</v>
      </c>
      <c r="J591" s="1" t="n">
        <v>20201</v>
      </c>
      <c r="L591" s="1" t="str">
        <f aca="false">IF(D590&lt;&gt;D591,D591,"")</f>
        <v/>
      </c>
      <c r="M591" s="1" t="str">
        <f aca="false">IF(F590&lt;&gt;F591,F591,"")</f>
        <v/>
      </c>
    </row>
    <row r="592" customFormat="false" ht="15" hidden="false" customHeight="false" outlineLevel="0" collapsed="false">
      <c r="A592" s="3" t="s">
        <v>73</v>
      </c>
      <c r="B592" s="3" t="s">
        <v>74</v>
      </c>
      <c r="C592" s="3" t="s">
        <v>599</v>
      </c>
      <c r="D592" s="3" t="s">
        <v>600</v>
      </c>
      <c r="E592" s="3" t="n">
        <v>20171</v>
      </c>
      <c r="F592" s="3" t="s">
        <v>14</v>
      </c>
      <c r="G592" s="3" t="s">
        <v>15</v>
      </c>
      <c r="H592" s="1" t="n">
        <v>3.5</v>
      </c>
      <c r="I592" s="1" t="n">
        <v>0</v>
      </c>
      <c r="J592" s="1" t="n">
        <v>20201</v>
      </c>
      <c r="L592" s="1" t="str">
        <f aca="false">IF(D591&lt;&gt;D592,D592,"")</f>
        <v/>
      </c>
      <c r="M592" s="1" t="str">
        <f aca="false">IF(F591&lt;&gt;F592,F592,"")</f>
        <v/>
      </c>
    </row>
    <row r="593" customFormat="false" ht="15" hidden="false" customHeight="false" outlineLevel="0" collapsed="false">
      <c r="A593" s="3" t="s">
        <v>172</v>
      </c>
      <c r="B593" s="3" t="s">
        <v>173</v>
      </c>
      <c r="C593" s="3" t="s">
        <v>599</v>
      </c>
      <c r="D593" s="3" t="s">
        <v>600</v>
      </c>
      <c r="E593" s="3" t="n">
        <v>20171</v>
      </c>
      <c r="F593" s="3" t="s">
        <v>14</v>
      </c>
      <c r="G593" s="3" t="s">
        <v>14</v>
      </c>
      <c r="H593" s="1" t="n">
        <v>4</v>
      </c>
      <c r="I593" s="1" t="n">
        <v>0</v>
      </c>
      <c r="J593" s="1" t="n">
        <v>20201</v>
      </c>
      <c r="L593" s="1" t="str">
        <f aca="false">IF(D592&lt;&gt;D593,D593,"")</f>
        <v/>
      </c>
      <c r="M593" s="1" t="str">
        <f aca="false">IF(F592&lt;&gt;F593,F593,"")</f>
        <v/>
      </c>
    </row>
    <row r="594" customFormat="false" ht="15" hidden="false" customHeight="false" outlineLevel="0" collapsed="false">
      <c r="A594" s="3" t="s">
        <v>178</v>
      </c>
      <c r="B594" s="3" t="s">
        <v>179</v>
      </c>
      <c r="C594" s="3" t="s">
        <v>599</v>
      </c>
      <c r="D594" s="3" t="s">
        <v>600</v>
      </c>
      <c r="E594" s="3" t="n">
        <v>20171</v>
      </c>
      <c r="F594" s="3" t="s">
        <v>14</v>
      </c>
      <c r="G594" s="3" t="s">
        <v>18</v>
      </c>
      <c r="H594" s="1" t="n">
        <v>3</v>
      </c>
      <c r="I594" s="1" t="n">
        <v>0</v>
      </c>
      <c r="J594" s="1" t="n">
        <v>20201</v>
      </c>
      <c r="L594" s="1" t="str">
        <f aca="false">IF(D593&lt;&gt;D594,D594,"")</f>
        <v/>
      </c>
      <c r="M594" s="1" t="str">
        <f aca="false">IF(F593&lt;&gt;F594,F594,"")</f>
        <v/>
      </c>
    </row>
    <row r="595" customFormat="false" ht="15" hidden="false" customHeight="false" outlineLevel="0" collapsed="false">
      <c r="A595" s="3" t="s">
        <v>180</v>
      </c>
      <c r="B595" s="3" t="s">
        <v>181</v>
      </c>
      <c r="C595" s="3" t="s">
        <v>599</v>
      </c>
      <c r="D595" s="3" t="s">
        <v>600</v>
      </c>
      <c r="E595" s="3" t="n">
        <v>20171</v>
      </c>
      <c r="F595" s="3" t="s">
        <v>14</v>
      </c>
      <c r="G595" s="3" t="s">
        <v>23</v>
      </c>
      <c r="H595" s="1" t="n">
        <v>0</v>
      </c>
      <c r="I595" s="1" t="n">
        <v>0</v>
      </c>
      <c r="J595" s="1" t="n">
        <v>20201</v>
      </c>
      <c r="L595" s="1" t="str">
        <f aca="false">IF(D594&lt;&gt;D595,D595,"")</f>
        <v/>
      </c>
      <c r="M595" s="1" t="str">
        <f aca="false">IF(F594&lt;&gt;F595,F595,"")</f>
        <v/>
      </c>
    </row>
    <row r="596" customFormat="false" ht="15" hidden="false" customHeight="false" outlineLevel="0" collapsed="false">
      <c r="A596" s="3" t="s">
        <v>85</v>
      </c>
      <c r="B596" s="3" t="s">
        <v>86</v>
      </c>
      <c r="C596" s="3" t="s">
        <v>599</v>
      </c>
      <c r="D596" s="3" t="s">
        <v>600</v>
      </c>
      <c r="E596" s="3" t="n">
        <v>20171</v>
      </c>
      <c r="F596" s="3" t="s">
        <v>14</v>
      </c>
      <c r="G596" s="3" t="s">
        <v>14</v>
      </c>
      <c r="H596" s="1" t="n">
        <v>4</v>
      </c>
      <c r="I596" s="1" t="n">
        <v>0</v>
      </c>
      <c r="J596" s="1" t="n">
        <v>20201</v>
      </c>
      <c r="L596" s="1" t="str">
        <f aca="false">IF(D595&lt;&gt;D596,D596,"")</f>
        <v/>
      </c>
      <c r="M596" s="1" t="str">
        <f aca="false">IF(F595&lt;&gt;F596,F596,"")</f>
        <v/>
      </c>
    </row>
    <row r="597" customFormat="false" ht="15" hidden="false" customHeight="false" outlineLevel="0" collapsed="false">
      <c r="A597" s="3" t="s">
        <v>186</v>
      </c>
      <c r="B597" s="3" t="s">
        <v>187</v>
      </c>
      <c r="C597" s="3" t="s">
        <v>599</v>
      </c>
      <c r="D597" s="3" t="s">
        <v>600</v>
      </c>
      <c r="E597" s="3" t="n">
        <v>20171</v>
      </c>
      <c r="F597" s="3" t="s">
        <v>14</v>
      </c>
      <c r="G597" s="3" t="s">
        <v>14</v>
      </c>
      <c r="H597" s="1" t="n">
        <v>4</v>
      </c>
      <c r="I597" s="1" t="n">
        <v>0</v>
      </c>
      <c r="J597" s="1" t="n">
        <v>20201</v>
      </c>
      <c r="L597" s="1" t="str">
        <f aca="false">IF(D596&lt;&gt;D597,D597,"")</f>
        <v/>
      </c>
      <c r="M597" s="1" t="str">
        <f aca="false">IF(F596&lt;&gt;F597,F597,"")</f>
        <v/>
      </c>
    </row>
    <row r="598" customFormat="false" ht="15" hidden="false" customHeight="false" outlineLevel="0" collapsed="false">
      <c r="A598" s="3" t="s">
        <v>93</v>
      </c>
      <c r="B598" s="3" t="s">
        <v>94</v>
      </c>
      <c r="C598" s="3" t="s">
        <v>599</v>
      </c>
      <c r="D598" s="3" t="s">
        <v>600</v>
      </c>
      <c r="E598" s="3" t="n">
        <v>20171</v>
      </c>
      <c r="F598" s="3" t="s">
        <v>14</v>
      </c>
      <c r="G598" s="3" t="s">
        <v>14</v>
      </c>
      <c r="H598" s="1" t="n">
        <v>4</v>
      </c>
      <c r="I598" s="1" t="n">
        <v>0</v>
      </c>
      <c r="J598" s="1" t="n">
        <v>20201</v>
      </c>
      <c r="L598" s="1" t="str">
        <f aca="false">IF(D597&lt;&gt;D598,D598,"")</f>
        <v/>
      </c>
      <c r="M598" s="1" t="str">
        <f aca="false">IF(F597&lt;&gt;F598,F598,"")</f>
        <v/>
      </c>
    </row>
    <row r="599" customFormat="false" ht="15" hidden="false" customHeight="false" outlineLevel="0" collapsed="false">
      <c r="A599" s="3" t="s">
        <v>188</v>
      </c>
      <c r="B599" s="3" t="s">
        <v>189</v>
      </c>
      <c r="C599" s="3" t="s">
        <v>599</v>
      </c>
      <c r="D599" s="3" t="s">
        <v>600</v>
      </c>
      <c r="E599" s="3" t="n">
        <v>20171</v>
      </c>
      <c r="F599" s="3" t="s">
        <v>14</v>
      </c>
      <c r="G599" s="3" t="s">
        <v>15</v>
      </c>
      <c r="H599" s="1" t="n">
        <v>3.5</v>
      </c>
      <c r="I599" s="1" t="n">
        <v>0</v>
      </c>
      <c r="J599" s="1" t="n">
        <v>20201</v>
      </c>
      <c r="L599" s="1" t="str">
        <f aca="false">IF(D598&lt;&gt;D599,D599,"")</f>
        <v/>
      </c>
      <c r="M599" s="1" t="str">
        <f aca="false">IF(F598&lt;&gt;F599,F599,"")</f>
        <v/>
      </c>
    </row>
    <row r="600" customFormat="false" ht="15" hidden="false" customHeight="false" outlineLevel="0" collapsed="false">
      <c r="A600" s="3" t="s">
        <v>95</v>
      </c>
      <c r="B600" s="3" t="s">
        <v>96</v>
      </c>
      <c r="C600" s="3" t="s">
        <v>599</v>
      </c>
      <c r="D600" s="3" t="s">
        <v>600</v>
      </c>
      <c r="E600" s="3" t="n">
        <v>20171</v>
      </c>
      <c r="F600" s="3" t="s">
        <v>14</v>
      </c>
      <c r="G600" s="3" t="s">
        <v>14</v>
      </c>
      <c r="H600" s="1" t="n">
        <v>4</v>
      </c>
      <c r="I600" s="1" t="n">
        <v>0</v>
      </c>
      <c r="J600" s="1" t="n">
        <v>20201</v>
      </c>
      <c r="L600" s="1" t="str">
        <f aca="false">IF(D599&lt;&gt;D600,D600,"")</f>
        <v/>
      </c>
      <c r="M600" s="1" t="str">
        <f aca="false">IF(F599&lt;&gt;F600,F600,"")</f>
        <v/>
      </c>
    </row>
    <row r="601" customFormat="false" ht="15" hidden="false" customHeight="false" outlineLevel="0" collapsed="false">
      <c r="A601" s="3" t="s">
        <v>104</v>
      </c>
      <c r="B601" s="3" t="s">
        <v>105</v>
      </c>
      <c r="C601" s="3" t="s">
        <v>599</v>
      </c>
      <c r="D601" s="3" t="s">
        <v>600</v>
      </c>
      <c r="E601" s="3" t="n">
        <v>20171</v>
      </c>
      <c r="F601" s="3" t="s">
        <v>14</v>
      </c>
      <c r="G601" s="3" t="s">
        <v>18</v>
      </c>
      <c r="H601" s="1" t="n">
        <v>3</v>
      </c>
      <c r="I601" s="1" t="n">
        <v>0</v>
      </c>
      <c r="J601" s="1" t="n">
        <v>20201</v>
      </c>
      <c r="L601" s="1" t="str">
        <f aca="false">IF(D600&lt;&gt;D601,D601,"")</f>
        <v/>
      </c>
      <c r="M601" s="1" t="str">
        <f aca="false">IF(F600&lt;&gt;F601,F601,"")</f>
        <v/>
      </c>
    </row>
    <row r="602" customFormat="false" ht="15" hidden="false" customHeight="false" outlineLevel="0" collapsed="false">
      <c r="A602" s="3" t="s">
        <v>196</v>
      </c>
      <c r="B602" s="3" t="s">
        <v>197</v>
      </c>
      <c r="C602" s="3" t="s">
        <v>599</v>
      </c>
      <c r="D602" s="3" t="s">
        <v>600</v>
      </c>
      <c r="E602" s="3" t="n">
        <v>20171</v>
      </c>
      <c r="F602" s="3" t="s">
        <v>14</v>
      </c>
      <c r="G602" s="3" t="s">
        <v>124</v>
      </c>
      <c r="H602" s="1" t="n">
        <v>0</v>
      </c>
      <c r="I602" s="1" t="n">
        <v>0</v>
      </c>
      <c r="J602" s="1" t="n">
        <v>20201</v>
      </c>
      <c r="L602" s="1" t="str">
        <f aca="false">IF(D601&lt;&gt;D602,D602,"")</f>
        <v/>
      </c>
      <c r="M602" s="1" t="str">
        <f aca="false">IF(F601&lt;&gt;F602,F602,"")</f>
        <v/>
      </c>
    </row>
    <row r="603" customFormat="false" ht="15" hidden="false" customHeight="false" outlineLevel="0" collapsed="false">
      <c r="A603" s="3" t="s">
        <v>106</v>
      </c>
      <c r="B603" s="3" t="s">
        <v>107</v>
      </c>
      <c r="C603" s="3" t="s">
        <v>599</v>
      </c>
      <c r="D603" s="3" t="s">
        <v>600</v>
      </c>
      <c r="E603" s="3" t="n">
        <v>20171</v>
      </c>
      <c r="F603" s="3" t="s">
        <v>14</v>
      </c>
      <c r="G603" s="3" t="s">
        <v>15</v>
      </c>
      <c r="H603" s="1" t="n">
        <v>3.5</v>
      </c>
      <c r="I603" s="1" t="n">
        <v>0</v>
      </c>
      <c r="J603" s="1" t="n">
        <v>20201</v>
      </c>
      <c r="L603" s="1" t="str">
        <f aca="false">IF(D602&lt;&gt;D603,D603,"")</f>
        <v/>
      </c>
      <c r="M603" s="1" t="str">
        <f aca="false">IF(F602&lt;&gt;F603,F603,"")</f>
        <v/>
      </c>
    </row>
    <row r="604" customFormat="false" ht="15" hidden="false" customHeight="false" outlineLevel="0" collapsed="false">
      <c r="A604" s="3" t="s">
        <v>551</v>
      </c>
      <c r="B604" s="3" t="s">
        <v>552</v>
      </c>
      <c r="C604" s="3" t="s">
        <v>599</v>
      </c>
      <c r="D604" s="3" t="s">
        <v>600</v>
      </c>
      <c r="E604" s="3" t="n">
        <v>20171</v>
      </c>
      <c r="F604" s="3" t="s">
        <v>14</v>
      </c>
      <c r="G604" s="3" t="s">
        <v>15</v>
      </c>
      <c r="H604" s="1" t="n">
        <v>3.5</v>
      </c>
      <c r="I604" s="1" t="n">
        <v>0</v>
      </c>
      <c r="J604" s="1" t="n">
        <v>20201</v>
      </c>
      <c r="L604" s="1" t="str">
        <f aca="false">IF(D603&lt;&gt;D604,D604,"")</f>
        <v/>
      </c>
      <c r="M604" s="1" t="str">
        <f aca="false">IF(F603&lt;&gt;F604,F604,"")</f>
        <v/>
      </c>
    </row>
    <row r="605" customFormat="false" ht="15" hidden="false" customHeight="false" outlineLevel="0" collapsed="false">
      <c r="A605" s="3" t="s">
        <v>603</v>
      </c>
      <c r="B605" s="3" t="s">
        <v>604</v>
      </c>
      <c r="C605" s="3" t="s">
        <v>599</v>
      </c>
      <c r="D605" s="3" t="s">
        <v>600</v>
      </c>
      <c r="E605" s="3" t="n">
        <v>20171</v>
      </c>
      <c r="F605" s="3" t="s">
        <v>18</v>
      </c>
      <c r="G605" s="3" t="s">
        <v>124</v>
      </c>
      <c r="H605" s="1" t="n">
        <v>0</v>
      </c>
      <c r="I605" s="1" t="n">
        <v>0</v>
      </c>
      <c r="J605" s="1" t="n">
        <v>20201</v>
      </c>
      <c r="L605" s="1" t="str">
        <f aca="false">IF(D604&lt;&gt;D605,D605,"")</f>
        <v/>
      </c>
      <c r="M605" s="1" t="str">
        <f aca="false">IF(F604&lt;&gt;F605,F605,"")</f>
        <v>B</v>
      </c>
    </row>
    <row r="606" customFormat="false" ht="15" hidden="false" customHeight="false" outlineLevel="0" collapsed="false">
      <c r="A606" s="3" t="s">
        <v>605</v>
      </c>
      <c r="B606" s="3" t="s">
        <v>606</v>
      </c>
      <c r="C606" s="3" t="s">
        <v>599</v>
      </c>
      <c r="D606" s="3" t="s">
        <v>600</v>
      </c>
      <c r="E606" s="3" t="n">
        <v>20171</v>
      </c>
      <c r="F606" s="3" t="s">
        <v>18</v>
      </c>
      <c r="G606" s="3" t="s">
        <v>15</v>
      </c>
      <c r="H606" s="1" t="n">
        <v>3.5</v>
      </c>
      <c r="I606" s="1" t="n">
        <v>0</v>
      </c>
      <c r="J606" s="1" t="n">
        <v>20201</v>
      </c>
      <c r="L606" s="1" t="str">
        <f aca="false">IF(D605&lt;&gt;D606,D606,"")</f>
        <v/>
      </c>
      <c r="M606" s="1" t="str">
        <f aca="false">IF(F605&lt;&gt;F606,F606,"")</f>
        <v/>
      </c>
    </row>
    <row r="607" customFormat="false" ht="15" hidden="false" customHeight="false" outlineLevel="0" collapsed="false">
      <c r="A607" s="3" t="s">
        <v>607</v>
      </c>
      <c r="B607" s="3" t="s">
        <v>608</v>
      </c>
      <c r="C607" s="3" t="s">
        <v>599</v>
      </c>
      <c r="D607" s="3" t="s">
        <v>600</v>
      </c>
      <c r="E607" s="3" t="n">
        <v>20171</v>
      </c>
      <c r="F607" s="3" t="s">
        <v>18</v>
      </c>
      <c r="G607" s="3" t="s">
        <v>15</v>
      </c>
      <c r="H607" s="1" t="n">
        <v>3.5</v>
      </c>
      <c r="I607" s="1" t="n">
        <v>0</v>
      </c>
      <c r="J607" s="1" t="n">
        <v>20201</v>
      </c>
      <c r="L607" s="1" t="str">
        <f aca="false">IF(D606&lt;&gt;D607,D607,"")</f>
        <v/>
      </c>
      <c r="M607" s="1" t="str">
        <f aca="false">IF(F606&lt;&gt;F607,F607,"")</f>
        <v/>
      </c>
    </row>
    <row r="608" customFormat="false" ht="15" hidden="false" customHeight="false" outlineLevel="0" collapsed="false">
      <c r="A608" s="3" t="s">
        <v>267</v>
      </c>
      <c r="B608" s="3" t="s">
        <v>268</v>
      </c>
      <c r="C608" s="3" t="s">
        <v>599</v>
      </c>
      <c r="D608" s="3" t="s">
        <v>600</v>
      </c>
      <c r="E608" s="3" t="n">
        <v>20171</v>
      </c>
      <c r="F608" s="3" t="s">
        <v>18</v>
      </c>
      <c r="G608" s="3" t="s">
        <v>124</v>
      </c>
      <c r="H608" s="1" t="n">
        <v>0</v>
      </c>
      <c r="I608" s="1" t="n">
        <v>0</v>
      </c>
      <c r="J608" s="1" t="n">
        <v>20201</v>
      </c>
      <c r="L608" s="1" t="str">
        <f aca="false">IF(D607&lt;&gt;D608,D608,"")</f>
        <v/>
      </c>
      <c r="M608" s="1" t="str">
        <f aca="false">IF(F607&lt;&gt;F608,F608,"")</f>
        <v/>
      </c>
    </row>
    <row r="609" customFormat="false" ht="15" hidden="false" customHeight="false" outlineLevel="0" collapsed="false">
      <c r="A609" s="3" t="s">
        <v>269</v>
      </c>
      <c r="B609" s="3" t="s">
        <v>270</v>
      </c>
      <c r="C609" s="3" t="s">
        <v>599</v>
      </c>
      <c r="D609" s="3" t="s">
        <v>600</v>
      </c>
      <c r="E609" s="3" t="n">
        <v>20171</v>
      </c>
      <c r="F609" s="3" t="s">
        <v>18</v>
      </c>
      <c r="G609" s="3" t="s">
        <v>18</v>
      </c>
      <c r="H609" s="1" t="n">
        <v>3</v>
      </c>
      <c r="I609" s="1" t="n">
        <v>0</v>
      </c>
      <c r="J609" s="1" t="n">
        <v>20201</v>
      </c>
      <c r="L609" s="1" t="str">
        <f aca="false">IF(D608&lt;&gt;D609,D609,"")</f>
        <v/>
      </c>
      <c r="M609" s="1" t="str">
        <f aca="false">IF(F608&lt;&gt;F609,F609,"")</f>
        <v/>
      </c>
    </row>
    <row r="610" customFormat="false" ht="15" hidden="false" customHeight="false" outlineLevel="0" collapsed="false">
      <c r="A610" s="3" t="s">
        <v>118</v>
      </c>
      <c r="B610" s="3" t="s">
        <v>119</v>
      </c>
      <c r="C610" s="3" t="s">
        <v>599</v>
      </c>
      <c r="D610" s="3" t="s">
        <v>600</v>
      </c>
      <c r="E610" s="3" t="n">
        <v>20171</v>
      </c>
      <c r="F610" s="3" t="s">
        <v>18</v>
      </c>
      <c r="G610" s="3" t="s">
        <v>15</v>
      </c>
      <c r="H610" s="1" t="n">
        <v>3.5</v>
      </c>
      <c r="I610" s="1" t="n">
        <v>0</v>
      </c>
      <c r="J610" s="1" t="n">
        <v>20201</v>
      </c>
      <c r="L610" s="1" t="str">
        <f aca="false">IF(D609&lt;&gt;D610,D610,"")</f>
        <v/>
      </c>
      <c r="M610" s="1" t="str">
        <f aca="false">IF(F609&lt;&gt;F610,F610,"")</f>
        <v/>
      </c>
    </row>
    <row r="611" customFormat="false" ht="15" hidden="false" customHeight="false" outlineLevel="0" collapsed="false">
      <c r="A611" s="3" t="s">
        <v>128</v>
      </c>
      <c r="B611" s="3" t="s">
        <v>129</v>
      </c>
      <c r="C611" s="3" t="s">
        <v>599</v>
      </c>
      <c r="D611" s="3" t="s">
        <v>600</v>
      </c>
      <c r="E611" s="3" t="n">
        <v>20171</v>
      </c>
      <c r="F611" s="3" t="s">
        <v>18</v>
      </c>
      <c r="G611" s="3" t="s">
        <v>14</v>
      </c>
      <c r="H611" s="1" t="n">
        <v>4</v>
      </c>
      <c r="I611" s="1" t="n">
        <v>0</v>
      </c>
      <c r="J611" s="1" t="n">
        <v>20201</v>
      </c>
      <c r="L611" s="1" t="str">
        <f aca="false">IF(D610&lt;&gt;D611,D611,"")</f>
        <v/>
      </c>
      <c r="M611" s="1" t="str">
        <f aca="false">IF(F610&lt;&gt;F611,F611,"")</f>
        <v/>
      </c>
    </row>
    <row r="612" customFormat="false" ht="15" hidden="false" customHeight="false" outlineLevel="0" collapsed="false">
      <c r="A612" s="3" t="s">
        <v>37</v>
      </c>
      <c r="B612" s="3" t="s">
        <v>38</v>
      </c>
      <c r="C612" s="3" t="s">
        <v>599</v>
      </c>
      <c r="D612" s="3" t="s">
        <v>600</v>
      </c>
      <c r="E612" s="3" t="n">
        <v>20171</v>
      </c>
      <c r="F612" s="3" t="s">
        <v>18</v>
      </c>
      <c r="G612" s="3" t="s">
        <v>18</v>
      </c>
      <c r="H612" s="1" t="n">
        <v>3</v>
      </c>
      <c r="I612" s="1" t="n">
        <v>0</v>
      </c>
      <c r="J612" s="1" t="n">
        <v>20201</v>
      </c>
      <c r="L612" s="1" t="str">
        <f aca="false">IF(D611&lt;&gt;D612,D612,"")</f>
        <v/>
      </c>
      <c r="M612" s="1" t="str">
        <f aca="false">IF(F611&lt;&gt;F612,F612,"")</f>
        <v/>
      </c>
    </row>
    <row r="613" customFormat="false" ht="15" hidden="false" customHeight="false" outlineLevel="0" collapsed="false">
      <c r="A613" s="3" t="s">
        <v>579</v>
      </c>
      <c r="B613" s="3" t="s">
        <v>580</v>
      </c>
      <c r="C613" s="3" t="s">
        <v>599</v>
      </c>
      <c r="D613" s="3" t="s">
        <v>600</v>
      </c>
      <c r="E613" s="3" t="n">
        <v>20171</v>
      </c>
      <c r="F613" s="3" t="s">
        <v>18</v>
      </c>
      <c r="G613" s="3" t="s">
        <v>18</v>
      </c>
      <c r="H613" s="1" t="n">
        <v>3</v>
      </c>
      <c r="I613" s="1" t="n">
        <v>0</v>
      </c>
      <c r="J613" s="1" t="n">
        <v>20201</v>
      </c>
      <c r="L613" s="1" t="str">
        <f aca="false">IF(D612&lt;&gt;D613,D613,"")</f>
        <v/>
      </c>
      <c r="M613" s="1" t="str">
        <f aca="false">IF(F612&lt;&gt;F613,F613,"")</f>
        <v/>
      </c>
    </row>
    <row r="614" customFormat="false" ht="15" hidden="false" customHeight="false" outlineLevel="0" collapsed="false">
      <c r="A614" s="3" t="s">
        <v>136</v>
      </c>
      <c r="B614" s="3" t="s">
        <v>137</v>
      </c>
      <c r="C614" s="3" t="s">
        <v>599</v>
      </c>
      <c r="D614" s="3" t="s">
        <v>600</v>
      </c>
      <c r="E614" s="3" t="n">
        <v>20171</v>
      </c>
      <c r="F614" s="3" t="s">
        <v>18</v>
      </c>
      <c r="G614" s="3" t="s">
        <v>124</v>
      </c>
      <c r="H614" s="1" t="n">
        <v>0</v>
      </c>
      <c r="I614" s="1" t="n">
        <v>0</v>
      </c>
      <c r="J614" s="1" t="n">
        <v>20201</v>
      </c>
      <c r="L614" s="1" t="str">
        <f aca="false">IF(D613&lt;&gt;D614,D614,"")</f>
        <v/>
      </c>
      <c r="M614" s="1" t="str">
        <f aca="false">IF(F613&lt;&gt;F614,F614,"")</f>
        <v/>
      </c>
    </row>
    <row r="615" customFormat="false" ht="15" hidden="false" customHeight="false" outlineLevel="0" collapsed="false">
      <c r="A615" s="3" t="s">
        <v>609</v>
      </c>
      <c r="B615" s="3" t="s">
        <v>610</v>
      </c>
      <c r="C615" s="3" t="s">
        <v>599</v>
      </c>
      <c r="D615" s="3" t="s">
        <v>600</v>
      </c>
      <c r="E615" s="3" t="n">
        <v>20171</v>
      </c>
      <c r="F615" s="3" t="s">
        <v>18</v>
      </c>
      <c r="G615" s="3" t="s">
        <v>18</v>
      </c>
      <c r="H615" s="1" t="n">
        <v>3</v>
      </c>
      <c r="I615" s="1" t="n">
        <v>0</v>
      </c>
      <c r="J615" s="1" t="n">
        <v>20201</v>
      </c>
      <c r="L615" s="1" t="str">
        <f aca="false">IF(D614&lt;&gt;D615,D615,"")</f>
        <v/>
      </c>
      <c r="M615" s="1" t="str">
        <f aca="false">IF(F614&lt;&gt;F615,F615,"")</f>
        <v/>
      </c>
    </row>
    <row r="616" customFormat="false" ht="15" hidden="false" customHeight="false" outlineLevel="0" collapsed="false">
      <c r="A616" s="3" t="s">
        <v>144</v>
      </c>
      <c r="B616" s="3" t="s">
        <v>145</v>
      </c>
      <c r="C616" s="3" t="s">
        <v>599</v>
      </c>
      <c r="D616" s="3" t="s">
        <v>600</v>
      </c>
      <c r="E616" s="3" t="n">
        <v>20171</v>
      </c>
      <c r="F616" s="3" t="s">
        <v>18</v>
      </c>
      <c r="G616" s="3" t="s">
        <v>124</v>
      </c>
      <c r="H616" s="1" t="n">
        <v>0</v>
      </c>
      <c r="I616" s="1" t="n">
        <v>0</v>
      </c>
      <c r="J616" s="1" t="n">
        <v>20201</v>
      </c>
      <c r="L616" s="1" t="str">
        <f aca="false">IF(D615&lt;&gt;D616,D616,"")</f>
        <v/>
      </c>
      <c r="M616" s="1" t="str">
        <f aca="false">IF(F615&lt;&gt;F616,F616,"")</f>
        <v/>
      </c>
    </row>
    <row r="617" customFormat="false" ht="15" hidden="false" customHeight="false" outlineLevel="0" collapsed="false">
      <c r="A617" s="3" t="s">
        <v>51</v>
      </c>
      <c r="B617" s="3" t="s">
        <v>52</v>
      </c>
      <c r="C617" s="3" t="s">
        <v>599</v>
      </c>
      <c r="D617" s="3" t="s">
        <v>600</v>
      </c>
      <c r="E617" s="3" t="n">
        <v>20171</v>
      </c>
      <c r="F617" s="3" t="s">
        <v>18</v>
      </c>
      <c r="G617" s="3" t="s">
        <v>23</v>
      </c>
      <c r="H617" s="1" t="n">
        <v>0</v>
      </c>
      <c r="I617" s="1" t="n">
        <v>0</v>
      </c>
      <c r="J617" s="1" t="n">
        <v>20201</v>
      </c>
      <c r="L617" s="1" t="str">
        <f aca="false">IF(D616&lt;&gt;D617,D617,"")</f>
        <v/>
      </c>
      <c r="M617" s="1" t="str">
        <f aca="false">IF(F616&lt;&gt;F617,F617,"")</f>
        <v/>
      </c>
    </row>
    <row r="618" customFormat="false" ht="15" hidden="false" customHeight="false" outlineLevel="0" collapsed="false">
      <c r="A618" s="3" t="s">
        <v>146</v>
      </c>
      <c r="B618" s="3" t="s">
        <v>147</v>
      </c>
      <c r="C618" s="3" t="s">
        <v>599</v>
      </c>
      <c r="D618" s="3" t="s">
        <v>600</v>
      </c>
      <c r="E618" s="3" t="n">
        <v>20171</v>
      </c>
      <c r="F618" s="3" t="s">
        <v>18</v>
      </c>
      <c r="G618" s="3" t="s">
        <v>15</v>
      </c>
      <c r="H618" s="1" t="n">
        <v>3.5</v>
      </c>
      <c r="I618" s="1" t="n">
        <v>0</v>
      </c>
      <c r="J618" s="1" t="n">
        <v>20201</v>
      </c>
      <c r="L618" s="1" t="str">
        <f aca="false">IF(D617&lt;&gt;D618,D618,"")</f>
        <v/>
      </c>
      <c r="M618" s="1" t="str">
        <f aca="false">IF(F617&lt;&gt;F618,F618,"")</f>
        <v/>
      </c>
    </row>
    <row r="619" customFormat="false" ht="15" hidden="false" customHeight="false" outlineLevel="0" collapsed="false">
      <c r="A619" s="3" t="s">
        <v>59</v>
      </c>
      <c r="B619" s="3" t="s">
        <v>60</v>
      </c>
      <c r="C619" s="3" t="s">
        <v>599</v>
      </c>
      <c r="D619" s="3" t="s">
        <v>600</v>
      </c>
      <c r="E619" s="3" t="n">
        <v>20171</v>
      </c>
      <c r="F619" s="3" t="s">
        <v>18</v>
      </c>
      <c r="G619" s="3" t="s">
        <v>15</v>
      </c>
      <c r="H619" s="1" t="n">
        <v>3.5</v>
      </c>
      <c r="I619" s="1" t="n">
        <v>0</v>
      </c>
      <c r="J619" s="1" t="n">
        <v>20201</v>
      </c>
      <c r="L619" s="1" t="str">
        <f aca="false">IF(D618&lt;&gt;D619,D619,"")</f>
        <v/>
      </c>
      <c r="M619" s="1" t="str">
        <f aca="false">IF(F618&lt;&gt;F619,F619,"")</f>
        <v/>
      </c>
    </row>
    <row r="620" customFormat="false" ht="15" hidden="false" customHeight="false" outlineLevel="0" collapsed="false">
      <c r="A620" s="3" t="s">
        <v>152</v>
      </c>
      <c r="B620" s="3" t="s">
        <v>153</v>
      </c>
      <c r="C620" s="3" t="s">
        <v>599</v>
      </c>
      <c r="D620" s="3" t="s">
        <v>600</v>
      </c>
      <c r="E620" s="3" t="n">
        <v>20171</v>
      </c>
      <c r="F620" s="3" t="s">
        <v>18</v>
      </c>
      <c r="G620" s="3" t="s">
        <v>15</v>
      </c>
      <c r="H620" s="1" t="n">
        <v>3.5</v>
      </c>
      <c r="I620" s="1" t="n">
        <v>0</v>
      </c>
      <c r="J620" s="1" t="n">
        <v>20201</v>
      </c>
      <c r="L620" s="1" t="str">
        <f aca="false">IF(D619&lt;&gt;D620,D620,"")</f>
        <v/>
      </c>
      <c r="M620" s="1" t="str">
        <f aca="false">IF(F619&lt;&gt;F620,F620,"")</f>
        <v/>
      </c>
    </row>
    <row r="621" customFormat="false" ht="15" hidden="false" customHeight="false" outlineLevel="0" collapsed="false">
      <c r="A621" s="3" t="s">
        <v>67</v>
      </c>
      <c r="B621" s="3" t="s">
        <v>68</v>
      </c>
      <c r="C621" s="3" t="s">
        <v>599</v>
      </c>
      <c r="D621" s="3" t="s">
        <v>600</v>
      </c>
      <c r="E621" s="3" t="n">
        <v>20171</v>
      </c>
      <c r="F621" s="3" t="s">
        <v>18</v>
      </c>
      <c r="G621" s="3" t="s">
        <v>15</v>
      </c>
      <c r="H621" s="1" t="n">
        <v>3.5</v>
      </c>
      <c r="I621" s="1" t="n">
        <v>0</v>
      </c>
      <c r="J621" s="1" t="n">
        <v>20201</v>
      </c>
      <c r="L621" s="1" t="str">
        <f aca="false">IF(D620&lt;&gt;D621,D621,"")</f>
        <v/>
      </c>
      <c r="M621" s="1" t="str">
        <f aca="false">IF(F620&lt;&gt;F621,F621,"")</f>
        <v/>
      </c>
    </row>
    <row r="622" customFormat="false" ht="15" hidden="false" customHeight="false" outlineLevel="0" collapsed="false">
      <c r="A622" s="3" t="s">
        <v>75</v>
      </c>
      <c r="B622" s="3" t="s">
        <v>76</v>
      </c>
      <c r="C622" s="3" t="s">
        <v>599</v>
      </c>
      <c r="D622" s="3" t="s">
        <v>600</v>
      </c>
      <c r="E622" s="3" t="n">
        <v>20171</v>
      </c>
      <c r="F622" s="3" t="s">
        <v>18</v>
      </c>
      <c r="G622" s="3" t="s">
        <v>15</v>
      </c>
      <c r="H622" s="1" t="n">
        <v>3.5</v>
      </c>
      <c r="I622" s="1" t="n">
        <v>0</v>
      </c>
      <c r="J622" s="1" t="n">
        <v>20201</v>
      </c>
      <c r="L622" s="1" t="str">
        <f aca="false">IF(D621&lt;&gt;D622,D622,"")</f>
        <v/>
      </c>
      <c r="M622" s="1" t="str">
        <f aca="false">IF(F621&lt;&gt;F622,F622,"")</f>
        <v/>
      </c>
    </row>
    <row r="623" customFormat="false" ht="15" hidden="false" customHeight="false" outlineLevel="0" collapsed="false">
      <c r="A623" s="3" t="s">
        <v>166</v>
      </c>
      <c r="B623" s="3" t="s">
        <v>167</v>
      </c>
      <c r="C623" s="3" t="s">
        <v>599</v>
      </c>
      <c r="D623" s="3" t="s">
        <v>600</v>
      </c>
      <c r="E623" s="3" t="n">
        <v>20171</v>
      </c>
      <c r="F623" s="3" t="s">
        <v>18</v>
      </c>
      <c r="G623" s="3" t="s">
        <v>15</v>
      </c>
      <c r="H623" s="1" t="n">
        <v>3.5</v>
      </c>
      <c r="I623" s="1" t="n">
        <v>0</v>
      </c>
      <c r="J623" s="1" t="n">
        <v>20201</v>
      </c>
      <c r="L623" s="1" t="str">
        <f aca="false">IF(D622&lt;&gt;D623,D623,"")</f>
        <v/>
      </c>
      <c r="M623" s="1" t="str">
        <f aca="false">IF(F622&lt;&gt;F623,F623,"")</f>
        <v/>
      </c>
    </row>
    <row r="624" customFormat="false" ht="15" hidden="false" customHeight="false" outlineLevel="0" collapsed="false">
      <c r="A624" s="3" t="s">
        <v>81</v>
      </c>
      <c r="B624" s="3" t="s">
        <v>82</v>
      </c>
      <c r="C624" s="3" t="s">
        <v>599</v>
      </c>
      <c r="D624" s="3" t="s">
        <v>600</v>
      </c>
      <c r="E624" s="3" t="n">
        <v>20171</v>
      </c>
      <c r="F624" s="3" t="s">
        <v>18</v>
      </c>
      <c r="G624" s="3" t="s">
        <v>14</v>
      </c>
      <c r="H624" s="1" t="n">
        <v>4</v>
      </c>
      <c r="I624" s="1" t="n">
        <v>0</v>
      </c>
      <c r="J624" s="1" t="n">
        <v>20201</v>
      </c>
      <c r="L624" s="1" t="str">
        <f aca="false">IF(D623&lt;&gt;D624,D624,"")</f>
        <v/>
      </c>
      <c r="M624" s="1" t="str">
        <f aca="false">IF(F623&lt;&gt;F624,F624,"")</f>
        <v/>
      </c>
    </row>
    <row r="625" customFormat="false" ht="15" hidden="false" customHeight="false" outlineLevel="0" collapsed="false">
      <c r="A625" s="3" t="s">
        <v>176</v>
      </c>
      <c r="B625" s="3" t="s">
        <v>177</v>
      </c>
      <c r="C625" s="3" t="s">
        <v>599</v>
      </c>
      <c r="D625" s="3" t="s">
        <v>600</v>
      </c>
      <c r="E625" s="3" t="n">
        <v>20171</v>
      </c>
      <c r="F625" s="3" t="s">
        <v>18</v>
      </c>
      <c r="G625" s="3" t="s">
        <v>14</v>
      </c>
      <c r="H625" s="1" t="n">
        <v>4</v>
      </c>
      <c r="I625" s="1" t="n">
        <v>0</v>
      </c>
      <c r="J625" s="1" t="n">
        <v>20201</v>
      </c>
      <c r="L625" s="1" t="str">
        <f aca="false">IF(D624&lt;&gt;D625,D625,"")</f>
        <v/>
      </c>
      <c r="M625" s="1" t="str">
        <f aca="false">IF(F624&lt;&gt;F625,F625,"")</f>
        <v/>
      </c>
    </row>
    <row r="626" customFormat="false" ht="15" hidden="false" customHeight="false" outlineLevel="0" collapsed="false">
      <c r="A626" s="3" t="s">
        <v>87</v>
      </c>
      <c r="B626" s="3" t="s">
        <v>88</v>
      </c>
      <c r="C626" s="3" t="s">
        <v>599</v>
      </c>
      <c r="D626" s="3" t="s">
        <v>600</v>
      </c>
      <c r="E626" s="3" t="n">
        <v>20171</v>
      </c>
      <c r="F626" s="3" t="s">
        <v>18</v>
      </c>
      <c r="G626" s="3" t="s">
        <v>15</v>
      </c>
      <c r="H626" s="1" t="n">
        <v>3.5</v>
      </c>
      <c r="I626" s="1" t="n">
        <v>0</v>
      </c>
      <c r="J626" s="1" t="n">
        <v>20201</v>
      </c>
      <c r="L626" s="1" t="str">
        <f aca="false">IF(D625&lt;&gt;D626,D626,"")</f>
        <v/>
      </c>
      <c r="M626" s="1" t="str">
        <f aca="false">IF(F625&lt;&gt;F626,F626,"")</f>
        <v/>
      </c>
    </row>
    <row r="627" customFormat="false" ht="15" hidden="false" customHeight="false" outlineLevel="0" collapsed="false">
      <c r="A627" s="3" t="s">
        <v>182</v>
      </c>
      <c r="B627" s="3" t="s">
        <v>183</v>
      </c>
      <c r="C627" s="3" t="s">
        <v>599</v>
      </c>
      <c r="D627" s="3" t="s">
        <v>600</v>
      </c>
      <c r="E627" s="3" t="n">
        <v>20171</v>
      </c>
      <c r="F627" s="3" t="s">
        <v>18</v>
      </c>
      <c r="G627" s="3" t="s">
        <v>15</v>
      </c>
      <c r="H627" s="1" t="n">
        <v>3.5</v>
      </c>
      <c r="I627" s="1" t="n">
        <v>0</v>
      </c>
      <c r="J627" s="1" t="n">
        <v>20201</v>
      </c>
      <c r="L627" s="1" t="str">
        <f aca="false">IF(D626&lt;&gt;D627,D627,"")</f>
        <v/>
      </c>
      <c r="M627" s="1" t="str">
        <f aca="false">IF(F626&lt;&gt;F627,F627,"")</f>
        <v/>
      </c>
    </row>
    <row r="628" customFormat="false" ht="15" hidden="false" customHeight="false" outlineLevel="0" collapsed="false">
      <c r="A628" s="3" t="s">
        <v>190</v>
      </c>
      <c r="B628" s="3" t="s">
        <v>191</v>
      </c>
      <c r="C628" s="3" t="s">
        <v>599</v>
      </c>
      <c r="D628" s="3" t="s">
        <v>600</v>
      </c>
      <c r="E628" s="3" t="n">
        <v>20171</v>
      </c>
      <c r="F628" s="3" t="s">
        <v>18</v>
      </c>
      <c r="G628" s="3" t="s">
        <v>14</v>
      </c>
      <c r="H628" s="1" t="n">
        <v>4</v>
      </c>
      <c r="I628" s="1" t="n">
        <v>0</v>
      </c>
      <c r="J628" s="1" t="n">
        <v>20201</v>
      </c>
      <c r="L628" s="1" t="str">
        <f aca="false">IF(D627&lt;&gt;D628,D628,"")</f>
        <v/>
      </c>
      <c r="M628" s="1" t="str">
        <f aca="false">IF(F627&lt;&gt;F628,F628,"")</f>
        <v/>
      </c>
    </row>
    <row r="629" customFormat="false" ht="15" hidden="false" customHeight="false" outlineLevel="0" collapsed="false">
      <c r="A629" s="3" t="s">
        <v>97</v>
      </c>
      <c r="B629" s="3" t="s">
        <v>98</v>
      </c>
      <c r="C629" s="3" t="s">
        <v>599</v>
      </c>
      <c r="D629" s="3" t="s">
        <v>600</v>
      </c>
      <c r="E629" s="3" t="n">
        <v>20171</v>
      </c>
      <c r="F629" s="3" t="s">
        <v>18</v>
      </c>
      <c r="G629" s="3" t="s">
        <v>15</v>
      </c>
      <c r="H629" s="1" t="n">
        <v>3.5</v>
      </c>
      <c r="I629" s="1" t="n">
        <v>0</v>
      </c>
      <c r="J629" s="1" t="n">
        <v>20201</v>
      </c>
      <c r="L629" s="1" t="str">
        <f aca="false">IF(D628&lt;&gt;D629,D629,"")</f>
        <v/>
      </c>
      <c r="M629" s="1" t="str">
        <f aca="false">IF(F628&lt;&gt;F629,F629,"")</f>
        <v/>
      </c>
    </row>
    <row r="630" customFormat="false" ht="15" hidden="false" customHeight="false" outlineLevel="0" collapsed="false">
      <c r="A630" s="3" t="s">
        <v>192</v>
      </c>
      <c r="B630" s="3" t="s">
        <v>193</v>
      </c>
      <c r="C630" s="3" t="s">
        <v>599</v>
      </c>
      <c r="D630" s="3" t="s">
        <v>600</v>
      </c>
      <c r="E630" s="3" t="n">
        <v>20171</v>
      </c>
      <c r="F630" s="3" t="s">
        <v>18</v>
      </c>
      <c r="G630" s="3" t="s">
        <v>15</v>
      </c>
      <c r="H630" s="1" t="n">
        <v>3.5</v>
      </c>
      <c r="I630" s="1" t="n">
        <v>0</v>
      </c>
      <c r="J630" s="1" t="n">
        <v>20201</v>
      </c>
      <c r="L630" s="1" t="str">
        <f aca="false">IF(D629&lt;&gt;D630,D630,"")</f>
        <v/>
      </c>
      <c r="M630" s="1" t="str">
        <f aca="false">IF(F629&lt;&gt;F630,F630,"")</f>
        <v/>
      </c>
    </row>
    <row r="631" customFormat="false" ht="15" hidden="false" customHeight="false" outlineLevel="0" collapsed="false">
      <c r="A631" s="3" t="s">
        <v>611</v>
      </c>
      <c r="B631" s="3" t="s">
        <v>612</v>
      </c>
      <c r="C631" s="3" t="s">
        <v>599</v>
      </c>
      <c r="D631" s="3" t="s">
        <v>600</v>
      </c>
      <c r="E631" s="3" t="n">
        <v>20171</v>
      </c>
      <c r="F631" s="3" t="s">
        <v>127</v>
      </c>
      <c r="G631" s="3" t="s">
        <v>15</v>
      </c>
      <c r="H631" s="1" t="n">
        <v>3.5</v>
      </c>
      <c r="I631" s="1" t="n">
        <v>0</v>
      </c>
      <c r="J631" s="1" t="n">
        <v>20201</v>
      </c>
      <c r="L631" s="1" t="str">
        <f aca="false">IF(D630&lt;&gt;D631,D631,"")</f>
        <v/>
      </c>
      <c r="M631" s="1" t="str">
        <f aca="false">IF(F630&lt;&gt;F631,F631,"")</f>
        <v>C</v>
      </c>
    </row>
    <row r="632" customFormat="false" ht="15" hidden="false" customHeight="false" outlineLevel="0" collapsed="false">
      <c r="A632" s="3" t="s">
        <v>112</v>
      </c>
      <c r="B632" s="3" t="s">
        <v>113</v>
      </c>
      <c r="C632" s="3" t="s">
        <v>599</v>
      </c>
      <c r="D632" s="3" t="s">
        <v>600</v>
      </c>
      <c r="E632" s="3" t="n">
        <v>20171</v>
      </c>
      <c r="F632" s="3" t="s">
        <v>127</v>
      </c>
      <c r="G632" s="3" t="s">
        <v>18</v>
      </c>
      <c r="H632" s="1" t="n">
        <v>3</v>
      </c>
      <c r="I632" s="1" t="n">
        <v>0</v>
      </c>
      <c r="J632" s="1" t="n">
        <v>20201</v>
      </c>
      <c r="L632" s="1" t="str">
        <f aca="false">IF(D631&lt;&gt;D632,D632,"")</f>
        <v/>
      </c>
      <c r="M632" s="1" t="str">
        <f aca="false">IF(F631&lt;&gt;F632,F632,"")</f>
        <v/>
      </c>
    </row>
    <row r="633" customFormat="false" ht="15" hidden="false" customHeight="false" outlineLevel="0" collapsed="false">
      <c r="A633" s="3" t="s">
        <v>28</v>
      </c>
      <c r="B633" s="3" t="s">
        <v>29</v>
      </c>
      <c r="C633" s="3" t="s">
        <v>599</v>
      </c>
      <c r="D633" s="3" t="s">
        <v>600</v>
      </c>
      <c r="E633" s="3" t="n">
        <v>20171</v>
      </c>
      <c r="F633" s="3" t="s">
        <v>127</v>
      </c>
      <c r="G633" s="3" t="s">
        <v>18</v>
      </c>
      <c r="H633" s="1" t="n">
        <v>3</v>
      </c>
      <c r="I633" s="1" t="n">
        <v>0</v>
      </c>
      <c r="J633" s="1" t="n">
        <v>20201</v>
      </c>
      <c r="L633" s="1" t="str">
        <f aca="false">IF(D632&lt;&gt;D633,D633,"")</f>
        <v/>
      </c>
      <c r="M633" s="1" t="str">
        <f aca="false">IF(F632&lt;&gt;F633,F633,"")</f>
        <v/>
      </c>
    </row>
    <row r="634" customFormat="false" ht="15" hidden="false" customHeight="false" outlineLevel="0" collapsed="false">
      <c r="A634" s="3" t="s">
        <v>120</v>
      </c>
      <c r="B634" s="3" t="s">
        <v>121</v>
      </c>
      <c r="C634" s="3" t="s">
        <v>599</v>
      </c>
      <c r="D634" s="3" t="s">
        <v>600</v>
      </c>
      <c r="E634" s="3" t="n">
        <v>20171</v>
      </c>
      <c r="F634" s="3" t="s">
        <v>127</v>
      </c>
      <c r="G634" s="3" t="s">
        <v>101</v>
      </c>
      <c r="H634" s="1" t="n">
        <v>2.5</v>
      </c>
      <c r="I634" s="1" t="n">
        <v>0</v>
      </c>
      <c r="J634" s="1" t="n">
        <v>20201</v>
      </c>
      <c r="L634" s="1" t="str">
        <f aca="false">IF(D633&lt;&gt;D634,D634,"")</f>
        <v/>
      </c>
      <c r="M634" s="1" t="str">
        <f aca="false">IF(F633&lt;&gt;F634,F634,"")</f>
        <v/>
      </c>
    </row>
    <row r="635" customFormat="false" ht="15" hidden="false" customHeight="false" outlineLevel="0" collapsed="false">
      <c r="A635" s="3" t="s">
        <v>31</v>
      </c>
      <c r="B635" s="3" t="s">
        <v>32</v>
      </c>
      <c r="C635" s="3" t="s">
        <v>599</v>
      </c>
      <c r="D635" s="3" t="s">
        <v>600</v>
      </c>
      <c r="E635" s="3" t="n">
        <v>20171</v>
      </c>
      <c r="F635" s="3" t="s">
        <v>127</v>
      </c>
      <c r="G635" s="3" t="s">
        <v>18</v>
      </c>
      <c r="H635" s="1" t="n">
        <v>3</v>
      </c>
      <c r="I635" s="1" t="n">
        <v>0</v>
      </c>
      <c r="J635" s="1" t="n">
        <v>20201</v>
      </c>
      <c r="L635" s="1" t="str">
        <f aca="false">IF(D634&lt;&gt;D635,D635,"")</f>
        <v/>
      </c>
      <c r="M635" s="1" t="str">
        <f aca="false">IF(F634&lt;&gt;F635,F635,"")</f>
        <v/>
      </c>
    </row>
    <row r="636" customFormat="false" ht="15" hidden="false" customHeight="false" outlineLevel="0" collapsed="false">
      <c r="A636" s="3" t="s">
        <v>39</v>
      </c>
      <c r="B636" s="3" t="s">
        <v>40</v>
      </c>
      <c r="C636" s="3" t="s">
        <v>599</v>
      </c>
      <c r="D636" s="3" t="s">
        <v>600</v>
      </c>
      <c r="E636" s="3" t="n">
        <v>20171</v>
      </c>
      <c r="F636" s="3" t="s">
        <v>127</v>
      </c>
      <c r="G636" s="3" t="s">
        <v>14</v>
      </c>
      <c r="H636" s="1" t="n">
        <v>4</v>
      </c>
      <c r="I636" s="1" t="n">
        <v>0</v>
      </c>
      <c r="J636" s="1" t="n">
        <v>20201</v>
      </c>
      <c r="L636" s="1" t="str">
        <f aca="false">IF(D635&lt;&gt;D636,D636,"")</f>
        <v/>
      </c>
      <c r="M636" s="1" t="str">
        <f aca="false">IF(F635&lt;&gt;F636,F636,"")</f>
        <v/>
      </c>
    </row>
    <row r="637" customFormat="false" ht="15" hidden="false" customHeight="false" outlineLevel="0" collapsed="false">
      <c r="A637" s="3" t="s">
        <v>130</v>
      </c>
      <c r="B637" s="3" t="s">
        <v>131</v>
      </c>
      <c r="C637" s="3" t="s">
        <v>599</v>
      </c>
      <c r="D637" s="3" t="s">
        <v>600</v>
      </c>
      <c r="E637" s="3" t="n">
        <v>20171</v>
      </c>
      <c r="F637" s="3" t="s">
        <v>127</v>
      </c>
      <c r="G637" s="3" t="s">
        <v>18</v>
      </c>
      <c r="H637" s="1" t="n">
        <v>3</v>
      </c>
      <c r="I637" s="1" t="n">
        <v>0</v>
      </c>
      <c r="J637" s="1" t="n">
        <v>20201</v>
      </c>
      <c r="L637" s="1" t="str">
        <f aca="false">IF(D636&lt;&gt;D637,D637,"")</f>
        <v/>
      </c>
      <c r="M637" s="1" t="str">
        <f aca="false">IF(F636&lt;&gt;F637,F637,"")</f>
        <v/>
      </c>
    </row>
    <row r="638" customFormat="false" ht="15" hidden="false" customHeight="false" outlineLevel="0" collapsed="false">
      <c r="A638" s="3" t="s">
        <v>45</v>
      </c>
      <c r="B638" s="3" t="s">
        <v>46</v>
      </c>
      <c r="C638" s="3" t="s">
        <v>599</v>
      </c>
      <c r="D638" s="3" t="s">
        <v>600</v>
      </c>
      <c r="E638" s="3" t="n">
        <v>20171</v>
      </c>
      <c r="F638" s="3" t="s">
        <v>127</v>
      </c>
      <c r="G638" s="3" t="s">
        <v>15</v>
      </c>
      <c r="H638" s="1" t="n">
        <v>3.5</v>
      </c>
      <c r="I638" s="1" t="n">
        <v>0</v>
      </c>
      <c r="J638" s="1" t="n">
        <v>20201</v>
      </c>
      <c r="L638" s="1" t="str">
        <f aca="false">IF(D637&lt;&gt;D638,D638,"")</f>
        <v/>
      </c>
      <c r="M638" s="1" t="str">
        <f aca="false">IF(F637&lt;&gt;F638,F638,"")</f>
        <v/>
      </c>
    </row>
    <row r="639" customFormat="false" ht="15" hidden="false" customHeight="false" outlineLevel="0" collapsed="false">
      <c r="A639" s="3" t="s">
        <v>47</v>
      </c>
      <c r="B639" s="3" t="s">
        <v>48</v>
      </c>
      <c r="C639" s="3" t="s">
        <v>599</v>
      </c>
      <c r="D639" s="3" t="s">
        <v>600</v>
      </c>
      <c r="E639" s="3" t="n">
        <v>20171</v>
      </c>
      <c r="F639" s="3" t="s">
        <v>127</v>
      </c>
      <c r="G639" s="3" t="s">
        <v>124</v>
      </c>
      <c r="H639" s="1" t="n">
        <v>0</v>
      </c>
      <c r="I639" s="1" t="n">
        <v>0</v>
      </c>
      <c r="J639" s="1" t="n">
        <v>20201</v>
      </c>
      <c r="L639" s="1" t="str">
        <f aca="false">IF(D638&lt;&gt;D639,D639,"")</f>
        <v/>
      </c>
      <c r="M639" s="1" t="str">
        <f aca="false">IF(F638&lt;&gt;F639,F639,"")</f>
        <v/>
      </c>
    </row>
    <row r="640" customFormat="false" ht="15" hidden="false" customHeight="false" outlineLevel="0" collapsed="false">
      <c r="A640" s="3" t="s">
        <v>53</v>
      </c>
      <c r="B640" s="3" t="s">
        <v>54</v>
      </c>
      <c r="C640" s="3" t="s">
        <v>599</v>
      </c>
      <c r="D640" s="3" t="s">
        <v>600</v>
      </c>
      <c r="E640" s="3" t="n">
        <v>20171</v>
      </c>
      <c r="F640" s="3" t="s">
        <v>127</v>
      </c>
      <c r="G640" s="3" t="s">
        <v>101</v>
      </c>
      <c r="H640" s="1" t="n">
        <v>2.5</v>
      </c>
      <c r="I640" s="1" t="n">
        <v>0</v>
      </c>
      <c r="J640" s="1" t="n">
        <v>20201</v>
      </c>
      <c r="L640" s="1" t="str">
        <f aca="false">IF(D639&lt;&gt;D640,D640,"")</f>
        <v/>
      </c>
      <c r="M640" s="1" t="str">
        <f aca="false">IF(F639&lt;&gt;F640,F640,"")</f>
        <v/>
      </c>
    </row>
    <row r="641" customFormat="false" ht="15" hidden="false" customHeight="false" outlineLevel="0" collapsed="false">
      <c r="A641" s="3" t="s">
        <v>55</v>
      </c>
      <c r="B641" s="3" t="s">
        <v>56</v>
      </c>
      <c r="C641" s="3" t="s">
        <v>599</v>
      </c>
      <c r="D641" s="3" t="s">
        <v>600</v>
      </c>
      <c r="E641" s="3" t="n">
        <v>20171</v>
      </c>
      <c r="F641" s="3" t="s">
        <v>127</v>
      </c>
      <c r="G641" s="3" t="s">
        <v>18</v>
      </c>
      <c r="H641" s="1" t="n">
        <v>3</v>
      </c>
      <c r="I641" s="1" t="n">
        <v>0</v>
      </c>
      <c r="J641" s="1" t="n">
        <v>20201</v>
      </c>
      <c r="L641" s="1" t="str">
        <f aca="false">IF(D640&lt;&gt;D641,D641,"")</f>
        <v/>
      </c>
      <c r="M641" s="1" t="str">
        <f aca="false">IF(F640&lt;&gt;F641,F641,"")</f>
        <v/>
      </c>
    </row>
    <row r="642" customFormat="false" ht="15" hidden="false" customHeight="false" outlineLevel="0" collapsed="false">
      <c r="A642" s="3" t="s">
        <v>61</v>
      </c>
      <c r="B642" s="3" t="s">
        <v>62</v>
      </c>
      <c r="C642" s="3" t="s">
        <v>599</v>
      </c>
      <c r="D642" s="3" t="s">
        <v>600</v>
      </c>
      <c r="E642" s="3" t="n">
        <v>20171</v>
      </c>
      <c r="F642" s="3" t="s">
        <v>127</v>
      </c>
      <c r="G642" s="3" t="s">
        <v>101</v>
      </c>
      <c r="H642" s="1" t="n">
        <v>2.5</v>
      </c>
      <c r="I642" s="1" t="n">
        <v>0</v>
      </c>
      <c r="J642" s="1" t="n">
        <v>20201</v>
      </c>
      <c r="L642" s="1" t="str">
        <f aca="false">IF(D641&lt;&gt;D642,D642,"")</f>
        <v/>
      </c>
      <c r="M642" s="1" t="str">
        <f aca="false">IF(F641&lt;&gt;F642,F642,"")</f>
        <v/>
      </c>
    </row>
    <row r="643" customFormat="false" ht="15" hidden="false" customHeight="false" outlineLevel="0" collapsed="false">
      <c r="A643" s="3" t="s">
        <v>154</v>
      </c>
      <c r="B643" s="3" t="s">
        <v>155</v>
      </c>
      <c r="C643" s="3" t="s">
        <v>599</v>
      </c>
      <c r="D643" s="3" t="s">
        <v>600</v>
      </c>
      <c r="E643" s="3" t="n">
        <v>20171</v>
      </c>
      <c r="F643" s="3" t="s">
        <v>127</v>
      </c>
      <c r="G643" s="3" t="s">
        <v>124</v>
      </c>
      <c r="H643" s="1" t="n">
        <v>0</v>
      </c>
      <c r="I643" s="1" t="n">
        <v>0</v>
      </c>
      <c r="J643" s="1" t="n">
        <v>20201</v>
      </c>
      <c r="L643" s="1" t="str">
        <f aca="false">IF(D642&lt;&gt;D643,D643,"")</f>
        <v/>
      </c>
      <c r="M643" s="1" t="str">
        <f aca="false">IF(F642&lt;&gt;F643,F643,"")</f>
        <v/>
      </c>
    </row>
    <row r="644" customFormat="false" ht="15" hidden="false" customHeight="false" outlineLevel="0" collapsed="false">
      <c r="A644" s="3" t="s">
        <v>63</v>
      </c>
      <c r="B644" s="3" t="s">
        <v>64</v>
      </c>
      <c r="C644" s="3" t="s">
        <v>599</v>
      </c>
      <c r="D644" s="3" t="s">
        <v>600</v>
      </c>
      <c r="E644" s="3" t="n">
        <v>20171</v>
      </c>
      <c r="F644" s="3" t="s">
        <v>127</v>
      </c>
      <c r="G644" s="3" t="s">
        <v>18</v>
      </c>
      <c r="H644" s="1" t="n">
        <v>3</v>
      </c>
      <c r="I644" s="1" t="n">
        <v>0</v>
      </c>
      <c r="J644" s="1" t="n">
        <v>20201</v>
      </c>
      <c r="L644" s="1" t="str">
        <f aca="false">IF(D643&lt;&gt;D644,D644,"")</f>
        <v/>
      </c>
      <c r="M644" s="1" t="str">
        <f aca="false">IF(F643&lt;&gt;F644,F644,"")</f>
        <v/>
      </c>
    </row>
    <row r="645" customFormat="false" ht="15" hidden="false" customHeight="false" outlineLevel="0" collapsed="false">
      <c r="A645" s="3" t="s">
        <v>69</v>
      </c>
      <c r="B645" s="3" t="s">
        <v>70</v>
      </c>
      <c r="C645" s="3" t="s">
        <v>599</v>
      </c>
      <c r="D645" s="3" t="s">
        <v>600</v>
      </c>
      <c r="E645" s="3" t="n">
        <v>20171</v>
      </c>
      <c r="F645" s="3" t="s">
        <v>127</v>
      </c>
      <c r="G645" s="3" t="s">
        <v>14</v>
      </c>
      <c r="H645" s="1" t="n">
        <v>4</v>
      </c>
      <c r="I645" s="1" t="n">
        <v>0</v>
      </c>
      <c r="J645" s="1" t="n">
        <v>20201</v>
      </c>
      <c r="L645" s="1" t="str">
        <f aca="false">IF(D644&lt;&gt;D645,D645,"")</f>
        <v/>
      </c>
      <c r="M645" s="1" t="str">
        <f aca="false">IF(F644&lt;&gt;F645,F645,"")</f>
        <v/>
      </c>
    </row>
    <row r="646" customFormat="false" ht="15" hidden="false" customHeight="false" outlineLevel="0" collapsed="false">
      <c r="A646" s="3" t="s">
        <v>71</v>
      </c>
      <c r="B646" s="3" t="s">
        <v>72</v>
      </c>
      <c r="C646" s="3" t="s">
        <v>599</v>
      </c>
      <c r="D646" s="3" t="s">
        <v>600</v>
      </c>
      <c r="E646" s="3" t="n">
        <v>20171</v>
      </c>
      <c r="F646" s="3" t="s">
        <v>127</v>
      </c>
      <c r="G646" s="3" t="s">
        <v>15</v>
      </c>
      <c r="H646" s="1" t="n">
        <v>3.5</v>
      </c>
      <c r="I646" s="1" t="n">
        <v>0</v>
      </c>
      <c r="J646" s="1" t="n">
        <v>20201</v>
      </c>
      <c r="L646" s="1" t="str">
        <f aca="false">IF(D645&lt;&gt;D646,D646,"")</f>
        <v/>
      </c>
      <c r="M646" s="1" t="str">
        <f aca="false">IF(F645&lt;&gt;F646,F646,"")</f>
        <v/>
      </c>
    </row>
    <row r="647" customFormat="false" ht="15" hidden="false" customHeight="false" outlineLevel="0" collapsed="false">
      <c r="A647" s="3" t="s">
        <v>77</v>
      </c>
      <c r="B647" s="3" t="s">
        <v>78</v>
      </c>
      <c r="C647" s="3" t="s">
        <v>599</v>
      </c>
      <c r="D647" s="3" t="s">
        <v>600</v>
      </c>
      <c r="E647" s="3" t="n">
        <v>20171</v>
      </c>
      <c r="F647" s="3" t="s">
        <v>127</v>
      </c>
      <c r="G647" s="3" t="s">
        <v>14</v>
      </c>
      <c r="H647" s="1" t="n">
        <v>4</v>
      </c>
      <c r="I647" s="1" t="n">
        <v>0</v>
      </c>
      <c r="J647" s="1" t="n">
        <v>20201</v>
      </c>
      <c r="L647" s="1" t="str">
        <f aca="false">IF(D646&lt;&gt;D647,D647,"")</f>
        <v/>
      </c>
      <c r="M647" s="1" t="str">
        <f aca="false">IF(F646&lt;&gt;F647,F647,"")</f>
        <v/>
      </c>
    </row>
    <row r="648" customFormat="false" ht="15" hidden="false" customHeight="false" outlineLevel="0" collapsed="false">
      <c r="A648" s="3" t="s">
        <v>168</v>
      </c>
      <c r="B648" s="3" t="s">
        <v>169</v>
      </c>
      <c r="C648" s="3" t="s">
        <v>599</v>
      </c>
      <c r="D648" s="3" t="s">
        <v>600</v>
      </c>
      <c r="E648" s="3" t="n">
        <v>20171</v>
      </c>
      <c r="F648" s="3" t="s">
        <v>127</v>
      </c>
      <c r="G648" s="3" t="s">
        <v>124</v>
      </c>
      <c r="H648" s="1" t="n">
        <v>0</v>
      </c>
      <c r="I648" s="1" t="n">
        <v>0</v>
      </c>
      <c r="J648" s="1" t="n">
        <v>20201</v>
      </c>
      <c r="L648" s="1" t="str">
        <f aca="false">IF(D647&lt;&gt;D648,D648,"")</f>
        <v/>
      </c>
      <c r="M648" s="1" t="str">
        <f aca="false">IF(F647&lt;&gt;F648,F648,"")</f>
        <v/>
      </c>
    </row>
    <row r="649" customFormat="false" ht="15" hidden="false" customHeight="false" outlineLevel="0" collapsed="false">
      <c r="A649" s="3" t="s">
        <v>79</v>
      </c>
      <c r="B649" s="3" t="s">
        <v>80</v>
      </c>
      <c r="C649" s="3" t="s">
        <v>599</v>
      </c>
      <c r="D649" s="3" t="s">
        <v>600</v>
      </c>
      <c r="E649" s="3" t="n">
        <v>20171</v>
      </c>
      <c r="F649" s="3" t="s">
        <v>127</v>
      </c>
      <c r="G649" s="3" t="s">
        <v>18</v>
      </c>
      <c r="H649" s="1" t="n">
        <v>3</v>
      </c>
      <c r="I649" s="1" t="n">
        <v>0</v>
      </c>
      <c r="J649" s="1" t="n">
        <v>20201</v>
      </c>
      <c r="L649" s="1" t="str">
        <f aca="false">IF(D648&lt;&gt;D649,D649,"")</f>
        <v/>
      </c>
      <c r="M649" s="1" t="str">
        <f aca="false">IF(F648&lt;&gt;F649,F649,"")</f>
        <v/>
      </c>
    </row>
    <row r="650" customFormat="false" ht="15" hidden="false" customHeight="false" outlineLevel="0" collapsed="false">
      <c r="A650" s="3" t="s">
        <v>83</v>
      </c>
      <c r="B650" s="3" t="s">
        <v>84</v>
      </c>
      <c r="C650" s="3" t="s">
        <v>599</v>
      </c>
      <c r="D650" s="3" t="s">
        <v>600</v>
      </c>
      <c r="E650" s="3" t="n">
        <v>20171</v>
      </c>
      <c r="F650" s="3" t="s">
        <v>127</v>
      </c>
      <c r="G650" s="3" t="s">
        <v>15</v>
      </c>
      <c r="H650" s="1" t="n">
        <v>3.5</v>
      </c>
      <c r="I650" s="1" t="n">
        <v>0</v>
      </c>
      <c r="J650" s="1" t="n">
        <v>20201</v>
      </c>
      <c r="L650" s="1" t="str">
        <f aca="false">IF(D649&lt;&gt;D650,D650,"")</f>
        <v/>
      </c>
      <c r="M650" s="1" t="str">
        <f aca="false">IF(F649&lt;&gt;F650,F650,"")</f>
        <v/>
      </c>
    </row>
    <row r="651" customFormat="false" ht="15" hidden="false" customHeight="false" outlineLevel="0" collapsed="false">
      <c r="A651" s="3" t="s">
        <v>89</v>
      </c>
      <c r="B651" s="3" t="s">
        <v>90</v>
      </c>
      <c r="C651" s="3" t="s">
        <v>599</v>
      </c>
      <c r="D651" s="3" t="s">
        <v>600</v>
      </c>
      <c r="E651" s="3" t="n">
        <v>20171</v>
      </c>
      <c r="F651" s="3" t="s">
        <v>127</v>
      </c>
      <c r="G651" s="3" t="s">
        <v>18</v>
      </c>
      <c r="H651" s="1" t="n">
        <v>3</v>
      </c>
      <c r="I651" s="1" t="n">
        <v>0</v>
      </c>
      <c r="J651" s="1" t="n">
        <v>20201</v>
      </c>
      <c r="L651" s="1" t="str">
        <f aca="false">IF(D650&lt;&gt;D651,D651,"")</f>
        <v/>
      </c>
      <c r="M651" s="1" t="str">
        <f aca="false">IF(F650&lt;&gt;F651,F651,"")</f>
        <v/>
      </c>
    </row>
    <row r="652" customFormat="false" ht="15" hidden="false" customHeight="false" outlineLevel="0" collapsed="false">
      <c r="A652" s="3" t="s">
        <v>184</v>
      </c>
      <c r="B652" s="3" t="s">
        <v>185</v>
      </c>
      <c r="C652" s="3" t="s">
        <v>599</v>
      </c>
      <c r="D652" s="3" t="s">
        <v>600</v>
      </c>
      <c r="E652" s="3" t="n">
        <v>20171</v>
      </c>
      <c r="F652" s="3" t="s">
        <v>127</v>
      </c>
      <c r="G652" s="3" t="s">
        <v>127</v>
      </c>
      <c r="H652" s="1" t="n">
        <v>2</v>
      </c>
      <c r="I652" s="1" t="n">
        <v>0</v>
      </c>
      <c r="J652" s="1" t="n">
        <v>20201</v>
      </c>
      <c r="L652" s="1" t="str">
        <f aca="false">IF(D651&lt;&gt;D652,D652,"")</f>
        <v/>
      </c>
      <c r="M652" s="1" t="str">
        <f aca="false">IF(F651&lt;&gt;F652,F652,"")</f>
        <v/>
      </c>
    </row>
    <row r="653" customFormat="false" ht="15" hidden="false" customHeight="false" outlineLevel="0" collapsed="false">
      <c r="A653" s="3" t="s">
        <v>91</v>
      </c>
      <c r="B653" s="3" t="s">
        <v>92</v>
      </c>
      <c r="C653" s="3" t="s">
        <v>599</v>
      </c>
      <c r="D653" s="3" t="s">
        <v>600</v>
      </c>
      <c r="E653" s="3" t="n">
        <v>20171</v>
      </c>
      <c r="F653" s="3" t="s">
        <v>127</v>
      </c>
      <c r="G653" s="3" t="s">
        <v>15</v>
      </c>
      <c r="H653" s="1" t="n">
        <v>3.5</v>
      </c>
      <c r="I653" s="1" t="n">
        <v>0</v>
      </c>
      <c r="J653" s="1" t="n">
        <v>20201</v>
      </c>
      <c r="L653" s="1" t="str">
        <f aca="false">IF(D652&lt;&gt;D653,D653,"")</f>
        <v/>
      </c>
      <c r="M653" s="1" t="str">
        <f aca="false">IF(F652&lt;&gt;F653,F653,"")</f>
        <v/>
      </c>
    </row>
    <row r="654" customFormat="false" ht="15" hidden="false" customHeight="false" outlineLevel="0" collapsed="false">
      <c r="A654" s="3" t="s">
        <v>99</v>
      </c>
      <c r="B654" s="3" t="s">
        <v>100</v>
      </c>
      <c r="C654" s="3" t="s">
        <v>599</v>
      </c>
      <c r="D654" s="3" t="s">
        <v>600</v>
      </c>
      <c r="E654" s="3" t="n">
        <v>20171</v>
      </c>
      <c r="F654" s="3" t="s">
        <v>127</v>
      </c>
      <c r="G654" s="3" t="s">
        <v>101</v>
      </c>
      <c r="H654" s="1" t="n">
        <v>2.5</v>
      </c>
      <c r="I654" s="1" t="n">
        <v>0</v>
      </c>
      <c r="J654" s="1" t="n">
        <v>20201</v>
      </c>
      <c r="L654" s="1" t="str">
        <f aca="false">IF(D653&lt;&gt;D654,D654,"")</f>
        <v/>
      </c>
      <c r="M654" s="1" t="str">
        <f aca="false">IF(F653&lt;&gt;F654,F654,"")</f>
        <v/>
      </c>
    </row>
    <row r="655" customFormat="false" ht="15" hidden="false" customHeight="false" outlineLevel="0" collapsed="false">
      <c r="A655" s="3" t="s">
        <v>194</v>
      </c>
      <c r="B655" s="3" t="s">
        <v>195</v>
      </c>
      <c r="C655" s="3" t="s">
        <v>599</v>
      </c>
      <c r="D655" s="3" t="s">
        <v>600</v>
      </c>
      <c r="E655" s="3" t="n">
        <v>20171</v>
      </c>
      <c r="F655" s="3" t="s">
        <v>127</v>
      </c>
      <c r="G655" s="3" t="s">
        <v>15</v>
      </c>
      <c r="H655" s="1" t="n">
        <v>3.5</v>
      </c>
      <c r="I655" s="1" t="n">
        <v>0</v>
      </c>
      <c r="J655" s="1" t="n">
        <v>20201</v>
      </c>
      <c r="L655" s="1" t="str">
        <f aca="false">IF(D654&lt;&gt;D655,D655,"")</f>
        <v/>
      </c>
      <c r="M655" s="1" t="str">
        <f aca="false">IF(F654&lt;&gt;F655,F655,"")</f>
        <v/>
      </c>
    </row>
    <row r="656" customFormat="false" ht="15" hidden="false" customHeight="false" outlineLevel="0" collapsed="false">
      <c r="A656" s="3" t="s">
        <v>102</v>
      </c>
      <c r="B656" s="3" t="s">
        <v>103</v>
      </c>
      <c r="C656" s="3" t="s">
        <v>599</v>
      </c>
      <c r="D656" s="3" t="s">
        <v>600</v>
      </c>
      <c r="E656" s="3" t="n">
        <v>20171</v>
      </c>
      <c r="F656" s="3" t="s">
        <v>127</v>
      </c>
      <c r="G656" s="3" t="s">
        <v>18</v>
      </c>
      <c r="H656" s="1" t="n">
        <v>3</v>
      </c>
      <c r="I656" s="1" t="n">
        <v>0</v>
      </c>
      <c r="J656" s="1" t="n">
        <v>20201</v>
      </c>
      <c r="L656" s="1" t="str">
        <f aca="false">IF(D655&lt;&gt;D656,D656,"")</f>
        <v/>
      </c>
      <c r="M656" s="1" t="str">
        <f aca="false">IF(F655&lt;&gt;F656,F656,"")</f>
        <v/>
      </c>
    </row>
    <row r="657" customFormat="false" ht="15" hidden="false" customHeight="false" outlineLevel="0" collapsed="false">
      <c r="A657" s="3" t="s">
        <v>613</v>
      </c>
      <c r="B657" s="3" t="s">
        <v>614</v>
      </c>
      <c r="C657" s="3" t="s">
        <v>599</v>
      </c>
      <c r="D657" s="3" t="s">
        <v>600</v>
      </c>
      <c r="E657" s="3" t="n">
        <v>20171</v>
      </c>
      <c r="F657" s="3" t="s">
        <v>18</v>
      </c>
      <c r="G657" s="3" t="s">
        <v>14</v>
      </c>
      <c r="H657" s="1" t="n">
        <v>4</v>
      </c>
      <c r="I657" s="1" t="n">
        <v>0</v>
      </c>
      <c r="J657" s="1" t="n">
        <v>20201</v>
      </c>
      <c r="L657" s="1" t="str">
        <f aca="false">IF(D656&lt;&gt;D657,D657,"")</f>
        <v/>
      </c>
      <c r="M657" s="1" t="str">
        <f aca="false">IF(F656&lt;&gt;F657,F657,"")</f>
        <v>B</v>
      </c>
    </row>
    <row r="658" customFormat="false" ht="15" hidden="false" customHeight="false" outlineLevel="0" collapsed="false">
      <c r="A658" s="3" t="s">
        <v>615</v>
      </c>
      <c r="B658" s="3" t="s">
        <v>616</v>
      </c>
      <c r="C658" s="3" t="s">
        <v>599</v>
      </c>
      <c r="D658" s="3" t="s">
        <v>600</v>
      </c>
      <c r="E658" s="3" t="n">
        <v>20171</v>
      </c>
      <c r="F658" s="3" t="s">
        <v>18</v>
      </c>
      <c r="G658" s="3" t="s">
        <v>18</v>
      </c>
      <c r="H658" s="1" t="n">
        <v>3</v>
      </c>
      <c r="I658" s="1" t="n">
        <v>0</v>
      </c>
      <c r="J658" s="1" t="n">
        <v>20201</v>
      </c>
      <c r="L658" s="1" t="str">
        <f aca="false">IF(D657&lt;&gt;D658,D658,"")</f>
        <v/>
      </c>
      <c r="M658" s="1" t="str">
        <f aca="false">IF(F657&lt;&gt;F658,F658,"")</f>
        <v/>
      </c>
    </row>
    <row r="659" customFormat="false" ht="15" hidden="false" customHeight="false" outlineLevel="0" collapsed="false">
      <c r="A659" s="3" t="s">
        <v>209</v>
      </c>
      <c r="B659" s="3" t="s">
        <v>210</v>
      </c>
      <c r="C659" s="3" t="s">
        <v>599</v>
      </c>
      <c r="D659" s="3" t="s">
        <v>600</v>
      </c>
      <c r="E659" s="3" t="n">
        <v>20171</v>
      </c>
      <c r="F659" s="3" t="s">
        <v>18</v>
      </c>
      <c r="G659" s="3" t="s">
        <v>15</v>
      </c>
      <c r="H659" s="1" t="n">
        <v>3.5</v>
      </c>
      <c r="I659" s="1" t="n">
        <v>0</v>
      </c>
      <c r="J659" s="1" t="n">
        <v>20201</v>
      </c>
      <c r="L659" s="1" t="str">
        <f aca="false">IF(D658&lt;&gt;D659,D659,"")</f>
        <v/>
      </c>
      <c r="M659" s="1" t="str">
        <f aca="false">IF(F658&lt;&gt;F659,F659,"")</f>
        <v/>
      </c>
    </row>
    <row r="660" customFormat="false" ht="15" hidden="false" customHeight="false" outlineLevel="0" collapsed="false">
      <c r="A660" s="3" t="s">
        <v>521</v>
      </c>
      <c r="B660" s="3" t="s">
        <v>522</v>
      </c>
      <c r="C660" s="3" t="s">
        <v>617</v>
      </c>
      <c r="D660" s="3" t="s">
        <v>618</v>
      </c>
      <c r="E660" s="3" t="n">
        <v>20171</v>
      </c>
      <c r="F660" s="3" t="s">
        <v>14</v>
      </c>
      <c r="G660" s="3" t="s">
        <v>18</v>
      </c>
      <c r="H660" s="1" t="n">
        <v>3</v>
      </c>
      <c r="I660" s="1" t="n">
        <v>0</v>
      </c>
      <c r="J660" s="1" t="n">
        <v>20201</v>
      </c>
      <c r="L660" s="1" t="str">
        <f aca="false">IF(D659&lt;&gt;D660,D660,"")</f>
        <v>DASAR TENAGA LISTRIK</v>
      </c>
      <c r="M660" s="1" t="str">
        <f aca="false">IF(F659&lt;&gt;F660,F660,"")</f>
        <v>A</v>
      </c>
    </row>
    <row r="661" customFormat="false" ht="15" hidden="false" customHeight="false" outlineLevel="0" collapsed="false">
      <c r="A661" s="3" t="s">
        <v>619</v>
      </c>
      <c r="B661" s="3" t="s">
        <v>620</v>
      </c>
      <c r="C661" s="3" t="s">
        <v>617</v>
      </c>
      <c r="D661" s="3" t="s">
        <v>618</v>
      </c>
      <c r="E661" s="3" t="n">
        <v>20171</v>
      </c>
      <c r="F661" s="3" t="s">
        <v>14</v>
      </c>
      <c r="G661" s="3" t="s">
        <v>127</v>
      </c>
      <c r="H661" s="1" t="n">
        <v>2</v>
      </c>
      <c r="I661" s="1" t="n">
        <v>0</v>
      </c>
      <c r="J661" s="1" t="n">
        <v>20201</v>
      </c>
      <c r="L661" s="1" t="str">
        <f aca="false">IF(D660&lt;&gt;D661,D661,"")</f>
        <v/>
      </c>
      <c r="M661" s="1" t="str">
        <f aca="false">IF(F660&lt;&gt;F661,F661,"")</f>
        <v/>
      </c>
    </row>
    <row r="662" customFormat="false" ht="15" hidden="false" customHeight="false" outlineLevel="0" collapsed="false">
      <c r="A662" s="3" t="s">
        <v>611</v>
      </c>
      <c r="B662" s="3" t="s">
        <v>612</v>
      </c>
      <c r="C662" s="3" t="s">
        <v>617</v>
      </c>
      <c r="D662" s="3" t="s">
        <v>618</v>
      </c>
      <c r="E662" s="3" t="n">
        <v>20171</v>
      </c>
      <c r="F662" s="3" t="s">
        <v>14</v>
      </c>
      <c r="G662" s="3" t="s">
        <v>18</v>
      </c>
      <c r="H662" s="1" t="n">
        <v>3</v>
      </c>
      <c r="I662" s="1" t="n">
        <v>0</v>
      </c>
      <c r="J662" s="1" t="n">
        <v>20201</v>
      </c>
      <c r="L662" s="1" t="str">
        <f aca="false">IF(D661&lt;&gt;D662,D662,"")</f>
        <v/>
      </c>
      <c r="M662" s="1" t="str">
        <f aca="false">IF(F661&lt;&gt;F662,F662,"")</f>
        <v/>
      </c>
    </row>
    <row r="663" customFormat="false" ht="15" hidden="false" customHeight="false" outlineLevel="0" collapsed="false">
      <c r="A663" s="3" t="s">
        <v>563</v>
      </c>
      <c r="B663" s="3" t="s">
        <v>564</v>
      </c>
      <c r="C663" s="3" t="s">
        <v>617</v>
      </c>
      <c r="D663" s="3" t="s">
        <v>618</v>
      </c>
      <c r="E663" s="3" t="n">
        <v>20171</v>
      </c>
      <c r="F663" s="3" t="s">
        <v>14</v>
      </c>
      <c r="G663" s="3" t="s">
        <v>101</v>
      </c>
      <c r="H663" s="1" t="n">
        <v>2.5</v>
      </c>
      <c r="I663" s="1" t="n">
        <v>0</v>
      </c>
      <c r="J663" s="1" t="n">
        <v>20201</v>
      </c>
      <c r="L663" s="1" t="str">
        <f aca="false">IF(D662&lt;&gt;D663,D663,"")</f>
        <v/>
      </c>
      <c r="M663" s="1" t="str">
        <f aca="false">IF(F662&lt;&gt;F663,F663,"")</f>
        <v/>
      </c>
    </row>
    <row r="664" customFormat="false" ht="15" hidden="false" customHeight="false" outlineLevel="0" collapsed="false">
      <c r="A664" s="3" t="s">
        <v>110</v>
      </c>
      <c r="B664" s="3" t="s">
        <v>111</v>
      </c>
      <c r="C664" s="3" t="s">
        <v>617</v>
      </c>
      <c r="D664" s="3" t="s">
        <v>618</v>
      </c>
      <c r="E664" s="3" t="n">
        <v>20171</v>
      </c>
      <c r="F664" s="3" t="s">
        <v>14</v>
      </c>
      <c r="G664" s="3" t="s">
        <v>18</v>
      </c>
      <c r="H664" s="1" t="n">
        <v>3</v>
      </c>
      <c r="I664" s="1" t="n">
        <v>0</v>
      </c>
      <c r="J664" s="1" t="n">
        <v>20201</v>
      </c>
      <c r="L664" s="1" t="str">
        <f aca="false">IF(D663&lt;&gt;D664,D664,"")</f>
        <v/>
      </c>
      <c r="M664" s="1" t="str">
        <f aca="false">IF(F663&lt;&gt;F664,F664,"")</f>
        <v/>
      </c>
    </row>
    <row r="665" customFormat="false" ht="15" hidden="false" customHeight="false" outlineLevel="0" collapsed="false">
      <c r="A665" s="3" t="s">
        <v>19</v>
      </c>
      <c r="B665" s="3" t="s">
        <v>20</v>
      </c>
      <c r="C665" s="3" t="s">
        <v>617</v>
      </c>
      <c r="D665" s="3" t="s">
        <v>618</v>
      </c>
      <c r="E665" s="3" t="n">
        <v>20171</v>
      </c>
      <c r="F665" s="3" t="s">
        <v>14</v>
      </c>
      <c r="G665" s="3" t="s">
        <v>101</v>
      </c>
      <c r="H665" s="1" t="n">
        <v>2.5</v>
      </c>
      <c r="I665" s="1" t="n">
        <v>0</v>
      </c>
      <c r="J665" s="1" t="n">
        <v>20201</v>
      </c>
      <c r="L665" s="1" t="str">
        <f aca="false">IF(D664&lt;&gt;D665,D665,"")</f>
        <v/>
      </c>
      <c r="M665" s="1" t="str">
        <f aca="false">IF(F664&lt;&gt;F665,F665,"")</f>
        <v/>
      </c>
    </row>
    <row r="666" customFormat="false" ht="15" hidden="false" customHeight="false" outlineLevel="0" collapsed="false">
      <c r="A666" s="3" t="s">
        <v>621</v>
      </c>
      <c r="B666" s="3" t="s">
        <v>622</v>
      </c>
      <c r="C666" s="3" t="s">
        <v>617</v>
      </c>
      <c r="D666" s="3" t="s">
        <v>618</v>
      </c>
      <c r="E666" s="3" t="n">
        <v>20171</v>
      </c>
      <c r="F666" s="3" t="s">
        <v>14</v>
      </c>
      <c r="G666" s="3" t="s">
        <v>15</v>
      </c>
      <c r="H666" s="1" t="n">
        <v>3.5</v>
      </c>
      <c r="I666" s="1" t="n">
        <v>0</v>
      </c>
      <c r="J666" s="1" t="n">
        <v>20201</v>
      </c>
      <c r="L666" s="1" t="str">
        <f aca="false">IF(D665&lt;&gt;D666,D666,"")</f>
        <v/>
      </c>
      <c r="M666" s="1" t="str">
        <f aca="false">IF(F665&lt;&gt;F666,F666,"")</f>
        <v/>
      </c>
    </row>
    <row r="667" customFormat="false" ht="15" hidden="false" customHeight="false" outlineLevel="0" collapsed="false">
      <c r="A667" s="3" t="s">
        <v>623</v>
      </c>
      <c r="B667" s="3" t="s">
        <v>624</v>
      </c>
      <c r="C667" s="3" t="s">
        <v>617</v>
      </c>
      <c r="D667" s="3" t="s">
        <v>618</v>
      </c>
      <c r="E667" s="3" t="n">
        <v>20171</v>
      </c>
      <c r="F667" s="3" t="s">
        <v>14</v>
      </c>
      <c r="G667" s="3" t="s">
        <v>18</v>
      </c>
      <c r="H667" s="1" t="n">
        <v>3</v>
      </c>
      <c r="I667" s="1" t="n">
        <v>0</v>
      </c>
      <c r="J667" s="1" t="n">
        <v>20201</v>
      </c>
      <c r="L667" s="1" t="str">
        <f aca="false">IF(D666&lt;&gt;D667,D667,"")</f>
        <v/>
      </c>
      <c r="M667" s="1" t="str">
        <f aca="false">IF(F666&lt;&gt;F667,F667,"")</f>
        <v/>
      </c>
    </row>
    <row r="668" customFormat="false" ht="15" hidden="false" customHeight="false" outlineLevel="0" collapsed="false">
      <c r="A668" s="3" t="s">
        <v>625</v>
      </c>
      <c r="B668" s="3" t="s">
        <v>626</v>
      </c>
      <c r="C668" s="3" t="s">
        <v>617</v>
      </c>
      <c r="D668" s="3" t="s">
        <v>618</v>
      </c>
      <c r="E668" s="3" t="n">
        <v>20171</v>
      </c>
      <c r="F668" s="3" t="s">
        <v>14</v>
      </c>
      <c r="G668" s="3" t="s">
        <v>101</v>
      </c>
      <c r="H668" s="1" t="n">
        <v>2.5</v>
      </c>
      <c r="I668" s="1" t="n">
        <v>0</v>
      </c>
      <c r="J668" s="1" t="n">
        <v>20201</v>
      </c>
      <c r="L668" s="1" t="str">
        <f aca="false">IF(D667&lt;&gt;D668,D668,"")</f>
        <v/>
      </c>
      <c r="M668" s="1" t="str">
        <f aca="false">IF(F667&lt;&gt;F668,F668,"")</f>
        <v/>
      </c>
    </row>
    <row r="669" customFormat="false" ht="15" hidden="false" customHeight="false" outlineLevel="0" collapsed="false">
      <c r="A669" s="3" t="s">
        <v>627</v>
      </c>
      <c r="B669" s="3" t="s">
        <v>628</v>
      </c>
      <c r="C669" s="3" t="s">
        <v>617</v>
      </c>
      <c r="D669" s="3" t="s">
        <v>618</v>
      </c>
      <c r="E669" s="3" t="n">
        <v>20171</v>
      </c>
      <c r="F669" s="3" t="s">
        <v>14</v>
      </c>
      <c r="G669" s="3" t="s">
        <v>14</v>
      </c>
      <c r="H669" s="1" t="n">
        <v>4</v>
      </c>
      <c r="I669" s="1" t="n">
        <v>0</v>
      </c>
      <c r="J669" s="1" t="n">
        <v>20201</v>
      </c>
      <c r="L669" s="1" t="str">
        <f aca="false">IF(D668&lt;&gt;D669,D669,"")</f>
        <v/>
      </c>
      <c r="M669" s="1" t="str">
        <f aca="false">IF(F668&lt;&gt;F669,F669,"")</f>
        <v/>
      </c>
    </row>
    <row r="670" customFormat="false" ht="15" hidden="false" customHeight="false" outlineLevel="0" collapsed="false">
      <c r="A670" s="3" t="s">
        <v>629</v>
      </c>
      <c r="B670" s="3" t="s">
        <v>630</v>
      </c>
      <c r="C670" s="3" t="s">
        <v>617</v>
      </c>
      <c r="D670" s="3" t="s">
        <v>618</v>
      </c>
      <c r="E670" s="3" t="n">
        <v>20171</v>
      </c>
      <c r="F670" s="3" t="s">
        <v>14</v>
      </c>
      <c r="G670" s="3" t="s">
        <v>101</v>
      </c>
      <c r="H670" s="1" t="n">
        <v>2.5</v>
      </c>
      <c r="I670" s="1" t="n">
        <v>0</v>
      </c>
      <c r="J670" s="1" t="n">
        <v>20201</v>
      </c>
      <c r="L670" s="1" t="str">
        <f aca="false">IF(D669&lt;&gt;D670,D670,"")</f>
        <v/>
      </c>
      <c r="M670" s="1" t="str">
        <f aca="false">IF(F669&lt;&gt;F670,F670,"")</f>
        <v/>
      </c>
    </row>
    <row r="671" customFormat="false" ht="15" hidden="false" customHeight="false" outlineLevel="0" collapsed="false">
      <c r="A671" s="3" t="s">
        <v>615</v>
      </c>
      <c r="B671" s="3" t="s">
        <v>616</v>
      </c>
      <c r="C671" s="3" t="s">
        <v>617</v>
      </c>
      <c r="D671" s="3" t="s">
        <v>618</v>
      </c>
      <c r="E671" s="3" t="n">
        <v>20171</v>
      </c>
      <c r="F671" s="3" t="s">
        <v>14</v>
      </c>
      <c r="G671" s="3" t="s">
        <v>18</v>
      </c>
      <c r="H671" s="1" t="n">
        <v>3</v>
      </c>
      <c r="I671" s="1" t="n">
        <v>0</v>
      </c>
      <c r="J671" s="1" t="n">
        <v>20201</v>
      </c>
      <c r="L671" s="1" t="str">
        <f aca="false">IF(D670&lt;&gt;D671,D671,"")</f>
        <v/>
      </c>
      <c r="M671" s="1" t="str">
        <f aca="false">IF(F670&lt;&gt;F671,F671,"")</f>
        <v/>
      </c>
    </row>
    <row r="672" customFormat="false" ht="15" hidden="false" customHeight="false" outlineLevel="0" collapsed="false">
      <c r="A672" s="3" t="s">
        <v>24</v>
      </c>
      <c r="B672" s="3" t="s">
        <v>25</v>
      </c>
      <c r="C672" s="3" t="s">
        <v>617</v>
      </c>
      <c r="D672" s="3" t="s">
        <v>618</v>
      </c>
      <c r="E672" s="3" t="n">
        <v>20171</v>
      </c>
      <c r="F672" s="3" t="s">
        <v>14</v>
      </c>
      <c r="G672" s="3" t="s">
        <v>15</v>
      </c>
      <c r="H672" s="1" t="n">
        <v>3.5</v>
      </c>
      <c r="I672" s="1" t="n">
        <v>0</v>
      </c>
      <c r="J672" s="1" t="n">
        <v>20201</v>
      </c>
      <c r="L672" s="1" t="str">
        <f aca="false">IF(D671&lt;&gt;D672,D672,"")</f>
        <v/>
      </c>
      <c r="M672" s="1" t="str">
        <f aca="false">IF(F671&lt;&gt;F672,F672,"")</f>
        <v/>
      </c>
    </row>
    <row r="673" customFormat="false" ht="15" hidden="false" customHeight="false" outlineLevel="0" collapsed="false">
      <c r="A673" s="3" t="s">
        <v>116</v>
      </c>
      <c r="B673" s="3" t="s">
        <v>117</v>
      </c>
      <c r="C673" s="3" t="s">
        <v>617</v>
      </c>
      <c r="D673" s="3" t="s">
        <v>618</v>
      </c>
      <c r="E673" s="3" t="n">
        <v>20171</v>
      </c>
      <c r="F673" s="3" t="s">
        <v>14</v>
      </c>
      <c r="G673" s="3" t="s">
        <v>18</v>
      </c>
      <c r="H673" s="1" t="n">
        <v>3</v>
      </c>
      <c r="I673" s="1" t="n">
        <v>0</v>
      </c>
      <c r="J673" s="1" t="n">
        <v>20201</v>
      </c>
      <c r="L673" s="1" t="str">
        <f aca="false">IF(D672&lt;&gt;D673,D673,"")</f>
        <v/>
      </c>
      <c r="M673" s="1" t="str">
        <f aca="false">IF(F672&lt;&gt;F673,F673,"")</f>
        <v/>
      </c>
    </row>
    <row r="674" customFormat="false" ht="15" hidden="false" customHeight="false" outlineLevel="0" collapsed="false">
      <c r="A674" s="3" t="s">
        <v>26</v>
      </c>
      <c r="B674" s="3" t="s">
        <v>27</v>
      </c>
      <c r="C674" s="3" t="s">
        <v>617</v>
      </c>
      <c r="D674" s="3" t="s">
        <v>618</v>
      </c>
      <c r="E674" s="3" t="n">
        <v>20171</v>
      </c>
      <c r="F674" s="3" t="s">
        <v>14</v>
      </c>
      <c r="G674" s="3" t="s">
        <v>127</v>
      </c>
      <c r="H674" s="1" t="n">
        <v>2</v>
      </c>
      <c r="I674" s="1" t="n">
        <v>0</v>
      </c>
      <c r="J674" s="1" t="n">
        <v>20201</v>
      </c>
      <c r="L674" s="1" t="str">
        <f aca="false">IF(D673&lt;&gt;D674,D674,"")</f>
        <v/>
      </c>
      <c r="M674" s="1" t="str">
        <f aca="false">IF(F673&lt;&gt;F674,F674,"")</f>
        <v/>
      </c>
    </row>
    <row r="675" customFormat="false" ht="15" hidden="false" customHeight="false" outlineLevel="0" collapsed="false">
      <c r="A675" s="3" t="s">
        <v>122</v>
      </c>
      <c r="B675" s="3" t="s">
        <v>123</v>
      </c>
      <c r="C675" s="3" t="s">
        <v>617</v>
      </c>
      <c r="D675" s="3" t="s">
        <v>618</v>
      </c>
      <c r="E675" s="3" t="n">
        <v>20171</v>
      </c>
      <c r="F675" s="3" t="s">
        <v>14</v>
      </c>
      <c r="G675" s="3" t="s">
        <v>124</v>
      </c>
      <c r="H675" s="1" t="n">
        <v>0</v>
      </c>
      <c r="I675" s="1" t="n">
        <v>0</v>
      </c>
      <c r="J675" s="1" t="n">
        <v>20201</v>
      </c>
      <c r="L675" s="1" t="str">
        <f aca="false">IF(D674&lt;&gt;D675,D675,"")</f>
        <v/>
      </c>
      <c r="M675" s="1" t="str">
        <f aca="false">IF(F674&lt;&gt;F675,F675,"")</f>
        <v/>
      </c>
    </row>
    <row r="676" customFormat="false" ht="15" hidden="false" customHeight="false" outlineLevel="0" collapsed="false">
      <c r="A676" s="3" t="s">
        <v>33</v>
      </c>
      <c r="B676" s="3" t="s">
        <v>34</v>
      </c>
      <c r="C676" s="3" t="s">
        <v>617</v>
      </c>
      <c r="D676" s="3" t="s">
        <v>618</v>
      </c>
      <c r="E676" s="3" t="n">
        <v>20171</v>
      </c>
      <c r="F676" s="3" t="s">
        <v>14</v>
      </c>
      <c r="G676" s="3" t="s">
        <v>18</v>
      </c>
      <c r="H676" s="1" t="n">
        <v>3</v>
      </c>
      <c r="I676" s="1" t="n">
        <v>0</v>
      </c>
      <c r="J676" s="1" t="n">
        <v>20201</v>
      </c>
      <c r="L676" s="1" t="str">
        <f aca="false">IF(D675&lt;&gt;D676,D676,"")</f>
        <v/>
      </c>
      <c r="M676" s="1" t="str">
        <f aca="false">IF(F675&lt;&gt;F676,F676,"")</f>
        <v/>
      </c>
    </row>
    <row r="677" customFormat="false" ht="15" hidden="false" customHeight="false" outlineLevel="0" collapsed="false">
      <c r="A677" s="3" t="s">
        <v>125</v>
      </c>
      <c r="B677" s="3" t="s">
        <v>126</v>
      </c>
      <c r="C677" s="3" t="s">
        <v>617</v>
      </c>
      <c r="D677" s="3" t="s">
        <v>618</v>
      </c>
      <c r="E677" s="3" t="n">
        <v>20171</v>
      </c>
      <c r="F677" s="3" t="s">
        <v>14</v>
      </c>
      <c r="G677" s="3" t="s">
        <v>30</v>
      </c>
      <c r="H677" s="1" t="n">
        <v>1.5</v>
      </c>
      <c r="I677" s="1" t="n">
        <v>0</v>
      </c>
      <c r="J677" s="1" t="n">
        <v>20201</v>
      </c>
      <c r="L677" s="1" t="str">
        <f aca="false">IF(D676&lt;&gt;D677,D677,"")</f>
        <v/>
      </c>
      <c r="M677" s="1" t="str">
        <f aca="false">IF(F676&lt;&gt;F677,F677,"")</f>
        <v/>
      </c>
    </row>
    <row r="678" customFormat="false" ht="15" hidden="false" customHeight="false" outlineLevel="0" collapsed="false">
      <c r="A678" s="3" t="s">
        <v>35</v>
      </c>
      <c r="B678" s="3" t="s">
        <v>36</v>
      </c>
      <c r="C678" s="3" t="s">
        <v>617</v>
      </c>
      <c r="D678" s="3" t="s">
        <v>618</v>
      </c>
      <c r="E678" s="3" t="n">
        <v>20171</v>
      </c>
      <c r="F678" s="3" t="s">
        <v>14</v>
      </c>
      <c r="G678" s="3" t="s">
        <v>101</v>
      </c>
      <c r="H678" s="1" t="n">
        <v>2.5</v>
      </c>
      <c r="I678" s="1" t="n">
        <v>0</v>
      </c>
      <c r="J678" s="1" t="n">
        <v>20201</v>
      </c>
      <c r="L678" s="1" t="str">
        <f aca="false">IF(D677&lt;&gt;D678,D678,"")</f>
        <v/>
      </c>
      <c r="M678" s="1" t="str">
        <f aca="false">IF(F677&lt;&gt;F678,F678,"")</f>
        <v/>
      </c>
    </row>
    <row r="679" customFormat="false" ht="15" hidden="false" customHeight="false" outlineLevel="0" collapsed="false">
      <c r="A679" s="3" t="s">
        <v>132</v>
      </c>
      <c r="B679" s="3" t="s">
        <v>133</v>
      </c>
      <c r="C679" s="3" t="s">
        <v>617</v>
      </c>
      <c r="D679" s="3" t="s">
        <v>618</v>
      </c>
      <c r="E679" s="3" t="n">
        <v>20171</v>
      </c>
      <c r="F679" s="3" t="s">
        <v>14</v>
      </c>
      <c r="G679" s="3" t="s">
        <v>101</v>
      </c>
      <c r="H679" s="1" t="n">
        <v>2.5</v>
      </c>
      <c r="I679" s="1" t="n">
        <v>0</v>
      </c>
      <c r="J679" s="1" t="n">
        <v>20201</v>
      </c>
      <c r="L679" s="1" t="str">
        <f aca="false">IF(D678&lt;&gt;D679,D679,"")</f>
        <v/>
      </c>
      <c r="M679" s="1" t="str">
        <f aca="false">IF(F678&lt;&gt;F679,F679,"")</f>
        <v/>
      </c>
    </row>
    <row r="680" customFormat="false" ht="15" hidden="false" customHeight="false" outlineLevel="0" collapsed="false">
      <c r="A680" s="3" t="s">
        <v>41</v>
      </c>
      <c r="B680" s="3" t="s">
        <v>42</v>
      </c>
      <c r="C680" s="3" t="s">
        <v>617</v>
      </c>
      <c r="D680" s="3" t="s">
        <v>618</v>
      </c>
      <c r="E680" s="3" t="n">
        <v>20171</v>
      </c>
      <c r="F680" s="3" t="s">
        <v>14</v>
      </c>
      <c r="G680" s="3" t="s">
        <v>14</v>
      </c>
      <c r="H680" s="1" t="n">
        <v>4</v>
      </c>
      <c r="I680" s="1" t="n">
        <v>0</v>
      </c>
      <c r="J680" s="1" t="n">
        <v>20201</v>
      </c>
      <c r="L680" s="1" t="str">
        <f aca="false">IF(D679&lt;&gt;D680,D680,"")</f>
        <v/>
      </c>
      <c r="M680" s="1" t="str">
        <f aca="false">IF(F679&lt;&gt;F680,F680,"")</f>
        <v/>
      </c>
    </row>
    <row r="681" customFormat="false" ht="15" hidden="false" customHeight="false" outlineLevel="0" collapsed="false">
      <c r="A681" s="3" t="s">
        <v>134</v>
      </c>
      <c r="B681" s="3" t="s">
        <v>135</v>
      </c>
      <c r="C681" s="3" t="s">
        <v>617</v>
      </c>
      <c r="D681" s="3" t="s">
        <v>618</v>
      </c>
      <c r="E681" s="3" t="n">
        <v>20171</v>
      </c>
      <c r="F681" s="3" t="s">
        <v>14</v>
      </c>
      <c r="G681" s="3" t="s">
        <v>30</v>
      </c>
      <c r="H681" s="1" t="n">
        <v>1.5</v>
      </c>
      <c r="I681" s="1" t="n">
        <v>0</v>
      </c>
      <c r="J681" s="1" t="n">
        <v>20201</v>
      </c>
      <c r="L681" s="1" t="str">
        <f aca="false">IF(D680&lt;&gt;D681,D681,"")</f>
        <v/>
      </c>
      <c r="M681" s="1" t="str">
        <f aca="false">IF(F680&lt;&gt;F681,F681,"")</f>
        <v/>
      </c>
    </row>
    <row r="682" customFormat="false" ht="15" hidden="false" customHeight="false" outlineLevel="0" collapsed="false">
      <c r="A682" s="3" t="s">
        <v>43</v>
      </c>
      <c r="B682" s="3" t="s">
        <v>44</v>
      </c>
      <c r="C682" s="3" t="s">
        <v>617</v>
      </c>
      <c r="D682" s="3" t="s">
        <v>618</v>
      </c>
      <c r="E682" s="3" t="n">
        <v>20171</v>
      </c>
      <c r="F682" s="3" t="s">
        <v>14</v>
      </c>
      <c r="G682" s="3" t="s">
        <v>15</v>
      </c>
      <c r="H682" s="1" t="n">
        <v>3.5</v>
      </c>
      <c r="I682" s="1" t="n">
        <v>0</v>
      </c>
      <c r="J682" s="1" t="n">
        <v>20201</v>
      </c>
      <c r="L682" s="1" t="str">
        <f aca="false">IF(D681&lt;&gt;D682,D682,"")</f>
        <v/>
      </c>
      <c r="M682" s="1" t="str">
        <f aca="false">IF(F681&lt;&gt;F682,F682,"")</f>
        <v/>
      </c>
    </row>
    <row r="683" customFormat="false" ht="15" hidden="false" customHeight="false" outlineLevel="0" collapsed="false">
      <c r="A683" s="3" t="s">
        <v>142</v>
      </c>
      <c r="B683" s="3" t="s">
        <v>143</v>
      </c>
      <c r="C683" s="3" t="s">
        <v>617</v>
      </c>
      <c r="D683" s="3" t="s">
        <v>618</v>
      </c>
      <c r="E683" s="3" t="n">
        <v>20171</v>
      </c>
      <c r="F683" s="3" t="s">
        <v>14</v>
      </c>
      <c r="G683" s="3" t="s">
        <v>14</v>
      </c>
      <c r="H683" s="1" t="n">
        <v>4</v>
      </c>
      <c r="I683" s="1" t="n">
        <v>0</v>
      </c>
      <c r="J683" s="1" t="n">
        <v>20201</v>
      </c>
      <c r="L683" s="1" t="str">
        <f aca="false">IF(D682&lt;&gt;D683,D683,"")</f>
        <v/>
      </c>
      <c r="M683" s="1" t="str">
        <f aca="false">IF(F682&lt;&gt;F683,F683,"")</f>
        <v/>
      </c>
    </row>
    <row r="684" customFormat="false" ht="15" hidden="false" customHeight="false" outlineLevel="0" collapsed="false">
      <c r="A684" s="3" t="s">
        <v>49</v>
      </c>
      <c r="B684" s="3" t="s">
        <v>50</v>
      </c>
      <c r="C684" s="3" t="s">
        <v>617</v>
      </c>
      <c r="D684" s="3" t="s">
        <v>618</v>
      </c>
      <c r="E684" s="3" t="n">
        <v>20171</v>
      </c>
      <c r="F684" s="3" t="s">
        <v>14</v>
      </c>
      <c r="G684" s="3" t="s">
        <v>18</v>
      </c>
      <c r="H684" s="1" t="n">
        <v>3</v>
      </c>
      <c r="I684" s="1" t="n">
        <v>0</v>
      </c>
      <c r="J684" s="1" t="n">
        <v>20201</v>
      </c>
      <c r="L684" s="1" t="str">
        <f aca="false">IF(D683&lt;&gt;D684,D684,"")</f>
        <v/>
      </c>
      <c r="M684" s="1" t="str">
        <f aca="false">IF(F683&lt;&gt;F684,F684,"")</f>
        <v/>
      </c>
    </row>
    <row r="685" customFormat="false" ht="15" hidden="false" customHeight="false" outlineLevel="0" collapsed="false">
      <c r="A685" s="3" t="s">
        <v>148</v>
      </c>
      <c r="B685" s="3" t="s">
        <v>149</v>
      </c>
      <c r="C685" s="3" t="s">
        <v>617</v>
      </c>
      <c r="D685" s="3" t="s">
        <v>618</v>
      </c>
      <c r="E685" s="3" t="n">
        <v>20171</v>
      </c>
      <c r="F685" s="3" t="s">
        <v>14</v>
      </c>
      <c r="G685" s="3" t="s">
        <v>127</v>
      </c>
      <c r="H685" s="1" t="n">
        <v>2</v>
      </c>
      <c r="I685" s="1" t="n">
        <v>0</v>
      </c>
      <c r="J685" s="1" t="n">
        <v>20201</v>
      </c>
      <c r="L685" s="1" t="str">
        <f aca="false">IF(D684&lt;&gt;D685,D685,"")</f>
        <v/>
      </c>
      <c r="M685" s="1" t="str">
        <f aca="false">IF(F684&lt;&gt;F685,F685,"")</f>
        <v/>
      </c>
    </row>
    <row r="686" customFormat="false" ht="15" hidden="false" customHeight="false" outlineLevel="0" collapsed="false">
      <c r="A686" s="3" t="s">
        <v>57</v>
      </c>
      <c r="B686" s="3" t="s">
        <v>58</v>
      </c>
      <c r="C686" s="3" t="s">
        <v>617</v>
      </c>
      <c r="D686" s="3" t="s">
        <v>618</v>
      </c>
      <c r="E686" s="3" t="n">
        <v>20171</v>
      </c>
      <c r="F686" s="3" t="s">
        <v>14</v>
      </c>
      <c r="G686" s="3" t="s">
        <v>15</v>
      </c>
      <c r="H686" s="1" t="n">
        <v>3.5</v>
      </c>
      <c r="I686" s="1" t="n">
        <v>0</v>
      </c>
      <c r="J686" s="1" t="n">
        <v>20201</v>
      </c>
      <c r="L686" s="1" t="str">
        <f aca="false">IF(D685&lt;&gt;D686,D686,"")</f>
        <v/>
      </c>
      <c r="M686" s="1" t="str">
        <f aca="false">IF(F685&lt;&gt;F686,F686,"")</f>
        <v/>
      </c>
    </row>
    <row r="687" customFormat="false" ht="15" hidden="false" customHeight="false" outlineLevel="0" collapsed="false">
      <c r="A687" s="3" t="s">
        <v>150</v>
      </c>
      <c r="B687" s="3" t="s">
        <v>151</v>
      </c>
      <c r="C687" s="3" t="s">
        <v>617</v>
      </c>
      <c r="D687" s="3" t="s">
        <v>618</v>
      </c>
      <c r="E687" s="3" t="n">
        <v>20171</v>
      </c>
      <c r="F687" s="3" t="s">
        <v>14</v>
      </c>
      <c r="G687" s="3" t="s">
        <v>15</v>
      </c>
      <c r="H687" s="1" t="n">
        <v>3.5</v>
      </c>
      <c r="I687" s="1" t="n">
        <v>0</v>
      </c>
      <c r="J687" s="1" t="n">
        <v>20201</v>
      </c>
      <c r="L687" s="1" t="str">
        <f aca="false">IF(D686&lt;&gt;D687,D687,"")</f>
        <v/>
      </c>
      <c r="M687" s="1" t="str">
        <f aca="false">IF(F686&lt;&gt;F687,F687,"")</f>
        <v/>
      </c>
    </row>
    <row r="688" customFormat="false" ht="15" hidden="false" customHeight="false" outlineLevel="0" collapsed="false">
      <c r="A688" s="3" t="s">
        <v>156</v>
      </c>
      <c r="B688" s="3" t="s">
        <v>157</v>
      </c>
      <c r="C688" s="3" t="s">
        <v>617</v>
      </c>
      <c r="D688" s="3" t="s">
        <v>618</v>
      </c>
      <c r="E688" s="3" t="n">
        <v>20171</v>
      </c>
      <c r="F688" s="3" t="s">
        <v>14</v>
      </c>
      <c r="G688" s="3" t="s">
        <v>18</v>
      </c>
      <c r="H688" s="1" t="n">
        <v>3</v>
      </c>
      <c r="I688" s="1" t="n">
        <v>0</v>
      </c>
      <c r="J688" s="1" t="n">
        <v>20201</v>
      </c>
      <c r="L688" s="1" t="str">
        <f aca="false">IF(D687&lt;&gt;D688,D688,"")</f>
        <v/>
      </c>
      <c r="M688" s="1" t="str">
        <f aca="false">IF(F687&lt;&gt;F688,F688,"")</f>
        <v/>
      </c>
    </row>
    <row r="689" customFormat="false" ht="15" hidden="false" customHeight="false" outlineLevel="0" collapsed="false">
      <c r="A689" s="3" t="s">
        <v>65</v>
      </c>
      <c r="B689" s="3" t="s">
        <v>66</v>
      </c>
      <c r="C689" s="3" t="s">
        <v>617</v>
      </c>
      <c r="D689" s="3" t="s">
        <v>618</v>
      </c>
      <c r="E689" s="3" t="n">
        <v>20171</v>
      </c>
      <c r="F689" s="3" t="s">
        <v>14</v>
      </c>
      <c r="G689" s="3" t="s">
        <v>101</v>
      </c>
      <c r="H689" s="1" t="n">
        <v>2.5</v>
      </c>
      <c r="I689" s="1" t="n">
        <v>0</v>
      </c>
      <c r="J689" s="1" t="n">
        <v>20201</v>
      </c>
      <c r="L689" s="1" t="str">
        <f aca="false">IF(D688&lt;&gt;D689,D689,"")</f>
        <v/>
      </c>
      <c r="M689" s="1" t="str">
        <f aca="false">IF(F688&lt;&gt;F689,F689,"")</f>
        <v/>
      </c>
    </row>
    <row r="690" customFormat="false" ht="15" hidden="false" customHeight="false" outlineLevel="0" collapsed="false">
      <c r="A690" s="3" t="s">
        <v>158</v>
      </c>
      <c r="B690" s="3" t="s">
        <v>159</v>
      </c>
      <c r="C690" s="3" t="s">
        <v>617</v>
      </c>
      <c r="D690" s="3" t="s">
        <v>618</v>
      </c>
      <c r="E690" s="3" t="n">
        <v>20171</v>
      </c>
      <c r="F690" s="3" t="s">
        <v>14</v>
      </c>
      <c r="G690" s="3" t="s">
        <v>15</v>
      </c>
      <c r="H690" s="1" t="n">
        <v>3.5</v>
      </c>
      <c r="I690" s="1" t="n">
        <v>0</v>
      </c>
      <c r="J690" s="1" t="n">
        <v>20201</v>
      </c>
      <c r="L690" s="1" t="str">
        <f aca="false">IF(D689&lt;&gt;D690,D690,"")</f>
        <v/>
      </c>
      <c r="M690" s="1" t="str">
        <f aca="false">IF(F689&lt;&gt;F690,F690,"")</f>
        <v/>
      </c>
    </row>
    <row r="691" customFormat="false" ht="15" hidden="false" customHeight="false" outlineLevel="0" collapsed="false">
      <c r="A691" s="3" t="s">
        <v>160</v>
      </c>
      <c r="B691" s="3" t="s">
        <v>161</v>
      </c>
      <c r="C691" s="3" t="s">
        <v>617</v>
      </c>
      <c r="D691" s="3" t="s">
        <v>618</v>
      </c>
      <c r="E691" s="3" t="n">
        <v>20171</v>
      </c>
      <c r="F691" s="3" t="s">
        <v>14</v>
      </c>
      <c r="G691" s="3" t="s">
        <v>18</v>
      </c>
      <c r="H691" s="1" t="n">
        <v>3</v>
      </c>
      <c r="I691" s="1" t="n">
        <v>0</v>
      </c>
      <c r="J691" s="1" t="n">
        <v>20201</v>
      </c>
      <c r="L691" s="1" t="str">
        <f aca="false">IF(D690&lt;&gt;D691,D691,"")</f>
        <v/>
      </c>
      <c r="M691" s="1" t="str">
        <f aca="false">IF(F690&lt;&gt;F691,F691,"")</f>
        <v/>
      </c>
    </row>
    <row r="692" customFormat="false" ht="15" hidden="false" customHeight="false" outlineLevel="0" collapsed="false">
      <c r="A692" s="3" t="s">
        <v>162</v>
      </c>
      <c r="B692" s="3" t="s">
        <v>163</v>
      </c>
      <c r="C692" s="3" t="s">
        <v>617</v>
      </c>
      <c r="D692" s="3" t="s">
        <v>618</v>
      </c>
      <c r="E692" s="3" t="n">
        <v>20171</v>
      </c>
      <c r="F692" s="3" t="s">
        <v>14</v>
      </c>
      <c r="G692" s="3" t="s">
        <v>15</v>
      </c>
      <c r="H692" s="1" t="n">
        <v>3.5</v>
      </c>
      <c r="I692" s="1" t="n">
        <v>0</v>
      </c>
      <c r="J692" s="1" t="n">
        <v>20201</v>
      </c>
      <c r="L692" s="1" t="str">
        <f aca="false">IF(D691&lt;&gt;D692,D692,"")</f>
        <v/>
      </c>
      <c r="M692" s="1" t="str">
        <f aca="false">IF(F691&lt;&gt;F692,F692,"")</f>
        <v/>
      </c>
    </row>
    <row r="693" customFormat="false" ht="15" hidden="false" customHeight="false" outlineLevel="0" collapsed="false">
      <c r="A693" s="3" t="s">
        <v>73</v>
      </c>
      <c r="B693" s="3" t="s">
        <v>74</v>
      </c>
      <c r="C693" s="3" t="s">
        <v>617</v>
      </c>
      <c r="D693" s="3" t="s">
        <v>618</v>
      </c>
      <c r="E693" s="3" t="n">
        <v>20171</v>
      </c>
      <c r="F693" s="3" t="s">
        <v>14</v>
      </c>
      <c r="G693" s="3" t="s">
        <v>127</v>
      </c>
      <c r="H693" s="1" t="n">
        <v>2</v>
      </c>
      <c r="I693" s="1" t="n">
        <v>0</v>
      </c>
      <c r="J693" s="1" t="n">
        <v>20201</v>
      </c>
      <c r="L693" s="1" t="str">
        <f aca="false">IF(D692&lt;&gt;D693,D693,"")</f>
        <v/>
      </c>
      <c r="M693" s="1" t="str">
        <f aca="false">IF(F692&lt;&gt;F693,F693,"")</f>
        <v/>
      </c>
    </row>
    <row r="694" customFormat="false" ht="15" hidden="false" customHeight="false" outlineLevel="0" collapsed="false">
      <c r="A694" s="3" t="s">
        <v>170</v>
      </c>
      <c r="B694" s="3" t="s">
        <v>171</v>
      </c>
      <c r="C694" s="3" t="s">
        <v>617</v>
      </c>
      <c r="D694" s="3" t="s">
        <v>618</v>
      </c>
      <c r="E694" s="3" t="n">
        <v>20171</v>
      </c>
      <c r="F694" s="3" t="s">
        <v>14</v>
      </c>
      <c r="G694" s="3" t="s">
        <v>101</v>
      </c>
      <c r="H694" s="1" t="n">
        <v>2.5</v>
      </c>
      <c r="I694" s="1" t="n">
        <v>0</v>
      </c>
      <c r="J694" s="1" t="n">
        <v>20201</v>
      </c>
      <c r="L694" s="1" t="str">
        <f aca="false">IF(D693&lt;&gt;D694,D694,"")</f>
        <v/>
      </c>
      <c r="M694" s="1" t="str">
        <f aca="false">IF(F693&lt;&gt;F694,F694,"")</f>
        <v/>
      </c>
    </row>
    <row r="695" customFormat="false" ht="15" hidden="false" customHeight="false" outlineLevel="0" collapsed="false">
      <c r="A695" s="3" t="s">
        <v>172</v>
      </c>
      <c r="B695" s="3" t="s">
        <v>173</v>
      </c>
      <c r="C695" s="3" t="s">
        <v>617</v>
      </c>
      <c r="D695" s="3" t="s">
        <v>618</v>
      </c>
      <c r="E695" s="3" t="n">
        <v>20171</v>
      </c>
      <c r="F695" s="3" t="s">
        <v>14</v>
      </c>
      <c r="G695" s="3" t="s">
        <v>101</v>
      </c>
      <c r="H695" s="1" t="n">
        <v>2.5</v>
      </c>
      <c r="I695" s="1" t="n">
        <v>0</v>
      </c>
      <c r="J695" s="1" t="n">
        <v>20201</v>
      </c>
      <c r="L695" s="1" t="str">
        <f aca="false">IF(D694&lt;&gt;D695,D695,"")</f>
        <v/>
      </c>
      <c r="M695" s="1" t="str">
        <f aca="false">IF(F694&lt;&gt;F695,F695,"")</f>
        <v/>
      </c>
    </row>
    <row r="696" customFormat="false" ht="15" hidden="false" customHeight="false" outlineLevel="0" collapsed="false">
      <c r="A696" s="3" t="s">
        <v>178</v>
      </c>
      <c r="B696" s="3" t="s">
        <v>179</v>
      </c>
      <c r="C696" s="3" t="s">
        <v>617</v>
      </c>
      <c r="D696" s="3" t="s">
        <v>618</v>
      </c>
      <c r="E696" s="3" t="n">
        <v>20171</v>
      </c>
      <c r="F696" s="3" t="s">
        <v>14</v>
      </c>
      <c r="G696" s="3" t="s">
        <v>15</v>
      </c>
      <c r="H696" s="1" t="n">
        <v>3.5</v>
      </c>
      <c r="I696" s="1" t="n">
        <v>0</v>
      </c>
      <c r="J696" s="1" t="n">
        <v>20201</v>
      </c>
      <c r="L696" s="1" t="str">
        <f aca="false">IF(D695&lt;&gt;D696,D696,"")</f>
        <v/>
      </c>
      <c r="M696" s="1" t="str">
        <f aca="false">IF(F695&lt;&gt;F696,F696,"")</f>
        <v/>
      </c>
    </row>
    <row r="697" customFormat="false" ht="15" hidden="false" customHeight="false" outlineLevel="0" collapsed="false">
      <c r="A697" s="3" t="s">
        <v>180</v>
      </c>
      <c r="B697" s="3" t="s">
        <v>181</v>
      </c>
      <c r="C697" s="3" t="s">
        <v>617</v>
      </c>
      <c r="D697" s="3" t="s">
        <v>618</v>
      </c>
      <c r="E697" s="3" t="n">
        <v>20171</v>
      </c>
      <c r="F697" s="3" t="s">
        <v>14</v>
      </c>
      <c r="G697" s="3" t="s">
        <v>23</v>
      </c>
      <c r="H697" s="1" t="n">
        <v>0</v>
      </c>
      <c r="I697" s="1" t="n">
        <v>0</v>
      </c>
      <c r="J697" s="1" t="n">
        <v>20201</v>
      </c>
      <c r="L697" s="1" t="str">
        <f aca="false">IF(D696&lt;&gt;D697,D697,"")</f>
        <v/>
      </c>
      <c r="M697" s="1" t="str">
        <f aca="false">IF(F696&lt;&gt;F697,F697,"")</f>
        <v/>
      </c>
    </row>
    <row r="698" customFormat="false" ht="15" hidden="false" customHeight="false" outlineLevel="0" collapsed="false">
      <c r="A698" s="3" t="s">
        <v>85</v>
      </c>
      <c r="B698" s="3" t="s">
        <v>86</v>
      </c>
      <c r="C698" s="3" t="s">
        <v>617</v>
      </c>
      <c r="D698" s="3" t="s">
        <v>618</v>
      </c>
      <c r="E698" s="3" t="n">
        <v>20171</v>
      </c>
      <c r="F698" s="3" t="s">
        <v>14</v>
      </c>
      <c r="G698" s="3" t="s">
        <v>18</v>
      </c>
      <c r="H698" s="1" t="n">
        <v>3</v>
      </c>
      <c r="I698" s="1" t="n">
        <v>0</v>
      </c>
      <c r="J698" s="1" t="n">
        <v>20201</v>
      </c>
      <c r="L698" s="1" t="str">
        <f aca="false">IF(D697&lt;&gt;D698,D698,"")</f>
        <v/>
      </c>
      <c r="M698" s="1" t="str">
        <f aca="false">IF(F697&lt;&gt;F698,F698,"")</f>
        <v/>
      </c>
    </row>
    <row r="699" customFormat="false" ht="15" hidden="false" customHeight="false" outlineLevel="0" collapsed="false">
      <c r="A699" s="3" t="s">
        <v>186</v>
      </c>
      <c r="B699" s="3" t="s">
        <v>187</v>
      </c>
      <c r="C699" s="3" t="s">
        <v>617</v>
      </c>
      <c r="D699" s="3" t="s">
        <v>618</v>
      </c>
      <c r="E699" s="3" t="n">
        <v>20171</v>
      </c>
      <c r="F699" s="3" t="s">
        <v>14</v>
      </c>
      <c r="G699" s="3" t="s">
        <v>15</v>
      </c>
      <c r="H699" s="1" t="n">
        <v>3.5</v>
      </c>
      <c r="I699" s="1" t="n">
        <v>0</v>
      </c>
      <c r="J699" s="1" t="n">
        <v>20201</v>
      </c>
      <c r="L699" s="1" t="str">
        <f aca="false">IF(D698&lt;&gt;D699,D699,"")</f>
        <v/>
      </c>
      <c r="M699" s="1" t="str">
        <f aca="false">IF(F698&lt;&gt;F699,F699,"")</f>
        <v/>
      </c>
    </row>
    <row r="700" customFormat="false" ht="15" hidden="false" customHeight="false" outlineLevel="0" collapsed="false">
      <c r="A700" s="3" t="s">
        <v>93</v>
      </c>
      <c r="B700" s="3" t="s">
        <v>94</v>
      </c>
      <c r="C700" s="3" t="s">
        <v>617</v>
      </c>
      <c r="D700" s="3" t="s">
        <v>618</v>
      </c>
      <c r="E700" s="3" t="n">
        <v>20171</v>
      </c>
      <c r="F700" s="3" t="s">
        <v>14</v>
      </c>
      <c r="G700" s="3" t="s">
        <v>15</v>
      </c>
      <c r="H700" s="1" t="n">
        <v>3.5</v>
      </c>
      <c r="I700" s="1" t="n">
        <v>0</v>
      </c>
      <c r="J700" s="1" t="n">
        <v>20201</v>
      </c>
      <c r="L700" s="1" t="str">
        <f aca="false">IF(D699&lt;&gt;D700,D700,"")</f>
        <v/>
      </c>
      <c r="M700" s="1" t="str">
        <f aca="false">IF(F699&lt;&gt;F700,F700,"")</f>
        <v/>
      </c>
    </row>
    <row r="701" customFormat="false" ht="15" hidden="false" customHeight="false" outlineLevel="0" collapsed="false">
      <c r="A701" s="3" t="s">
        <v>188</v>
      </c>
      <c r="B701" s="3" t="s">
        <v>189</v>
      </c>
      <c r="C701" s="3" t="s">
        <v>617</v>
      </c>
      <c r="D701" s="3" t="s">
        <v>618</v>
      </c>
      <c r="E701" s="3" t="n">
        <v>20171</v>
      </c>
      <c r="F701" s="3" t="s">
        <v>14</v>
      </c>
      <c r="G701" s="3" t="s">
        <v>18</v>
      </c>
      <c r="H701" s="1" t="n">
        <v>3</v>
      </c>
      <c r="I701" s="1" t="n">
        <v>0</v>
      </c>
      <c r="J701" s="1" t="n">
        <v>20201</v>
      </c>
      <c r="L701" s="1" t="str">
        <f aca="false">IF(D700&lt;&gt;D701,D701,"")</f>
        <v/>
      </c>
      <c r="M701" s="1" t="str">
        <f aca="false">IF(F700&lt;&gt;F701,F701,"")</f>
        <v/>
      </c>
    </row>
    <row r="702" customFormat="false" ht="15" hidden="false" customHeight="false" outlineLevel="0" collapsed="false">
      <c r="A702" s="3" t="s">
        <v>95</v>
      </c>
      <c r="B702" s="3" t="s">
        <v>96</v>
      </c>
      <c r="C702" s="3" t="s">
        <v>617</v>
      </c>
      <c r="D702" s="3" t="s">
        <v>618</v>
      </c>
      <c r="E702" s="3" t="n">
        <v>20171</v>
      </c>
      <c r="F702" s="3" t="s">
        <v>14</v>
      </c>
      <c r="G702" s="3" t="s">
        <v>18</v>
      </c>
      <c r="H702" s="1" t="n">
        <v>3</v>
      </c>
      <c r="I702" s="1" t="n">
        <v>0</v>
      </c>
      <c r="J702" s="1" t="n">
        <v>20201</v>
      </c>
      <c r="L702" s="1" t="str">
        <f aca="false">IF(D701&lt;&gt;D702,D702,"")</f>
        <v/>
      </c>
      <c r="M702" s="1" t="str">
        <f aca="false">IF(F701&lt;&gt;F702,F702,"")</f>
        <v/>
      </c>
    </row>
    <row r="703" customFormat="false" ht="15" hidden="false" customHeight="false" outlineLevel="0" collapsed="false">
      <c r="A703" s="3" t="s">
        <v>104</v>
      </c>
      <c r="B703" s="3" t="s">
        <v>105</v>
      </c>
      <c r="C703" s="3" t="s">
        <v>617</v>
      </c>
      <c r="D703" s="3" t="s">
        <v>618</v>
      </c>
      <c r="E703" s="3" t="n">
        <v>20171</v>
      </c>
      <c r="F703" s="3" t="s">
        <v>14</v>
      </c>
      <c r="G703" s="3" t="s">
        <v>23</v>
      </c>
      <c r="H703" s="1" t="n">
        <v>0</v>
      </c>
      <c r="I703" s="1" t="n">
        <v>0</v>
      </c>
      <c r="J703" s="1" t="n">
        <v>20201</v>
      </c>
      <c r="L703" s="1" t="str">
        <f aca="false">IF(D702&lt;&gt;D703,D703,"")</f>
        <v/>
      </c>
      <c r="M703" s="1" t="str">
        <f aca="false">IF(F702&lt;&gt;F703,F703,"")</f>
        <v/>
      </c>
    </row>
    <row r="704" customFormat="false" ht="15" hidden="false" customHeight="false" outlineLevel="0" collapsed="false">
      <c r="A704" s="3" t="s">
        <v>106</v>
      </c>
      <c r="B704" s="3" t="s">
        <v>107</v>
      </c>
      <c r="C704" s="3" t="s">
        <v>617</v>
      </c>
      <c r="D704" s="3" t="s">
        <v>618</v>
      </c>
      <c r="E704" s="3" t="n">
        <v>20171</v>
      </c>
      <c r="F704" s="3" t="s">
        <v>14</v>
      </c>
      <c r="G704" s="3" t="s">
        <v>18</v>
      </c>
      <c r="H704" s="1" t="n">
        <v>3</v>
      </c>
      <c r="I704" s="1" t="n">
        <v>0</v>
      </c>
      <c r="J704" s="1" t="n">
        <v>20201</v>
      </c>
      <c r="L704" s="1" t="str">
        <f aca="false">IF(D703&lt;&gt;D704,D704,"")</f>
        <v/>
      </c>
      <c r="M704" s="1" t="str">
        <f aca="false">IF(F703&lt;&gt;F704,F704,"")</f>
        <v/>
      </c>
    </row>
    <row r="705" customFormat="false" ht="15" hidden="false" customHeight="false" outlineLevel="0" collapsed="false">
      <c r="A705" s="3" t="s">
        <v>200</v>
      </c>
      <c r="B705" s="3" t="s">
        <v>201</v>
      </c>
      <c r="C705" s="3" t="s">
        <v>617</v>
      </c>
      <c r="D705" s="3" t="s">
        <v>618</v>
      </c>
      <c r="E705" s="3" t="n">
        <v>20171</v>
      </c>
      <c r="F705" s="3" t="s">
        <v>14</v>
      </c>
      <c r="G705" s="3" t="s">
        <v>23</v>
      </c>
      <c r="H705" s="1" t="n">
        <v>0</v>
      </c>
      <c r="I705" s="1" t="n">
        <v>0</v>
      </c>
      <c r="J705" s="1" t="n">
        <v>20201</v>
      </c>
      <c r="L705" s="1" t="str">
        <f aca="false">IF(D704&lt;&gt;D705,D705,"")</f>
        <v/>
      </c>
      <c r="M705" s="1" t="str">
        <f aca="false">IF(F704&lt;&gt;F705,F705,"")</f>
        <v/>
      </c>
    </row>
    <row r="706" customFormat="false" ht="15" hidden="false" customHeight="false" outlineLevel="0" collapsed="false">
      <c r="A706" s="3" t="s">
        <v>569</v>
      </c>
      <c r="B706" s="3" t="s">
        <v>570</v>
      </c>
      <c r="C706" s="3" t="s">
        <v>617</v>
      </c>
      <c r="D706" s="3" t="s">
        <v>618</v>
      </c>
      <c r="E706" s="3" t="n">
        <v>20171</v>
      </c>
      <c r="F706" s="3" t="s">
        <v>18</v>
      </c>
      <c r="G706" s="3" t="s">
        <v>127</v>
      </c>
      <c r="H706" s="1" t="n">
        <v>2</v>
      </c>
      <c r="I706" s="1" t="n">
        <v>0</v>
      </c>
      <c r="J706" s="1" t="n">
        <v>20201</v>
      </c>
      <c r="L706" s="1" t="str">
        <f aca="false">IF(D705&lt;&gt;D706,D706,"")</f>
        <v/>
      </c>
      <c r="M706" s="1" t="str">
        <f aca="false">IF(F705&lt;&gt;F706,F706,"")</f>
        <v>B</v>
      </c>
    </row>
    <row r="707" customFormat="false" ht="15" hidden="false" customHeight="false" outlineLevel="0" collapsed="false">
      <c r="A707" s="3" t="s">
        <v>571</v>
      </c>
      <c r="B707" s="3" t="s">
        <v>572</v>
      </c>
      <c r="C707" s="3" t="s">
        <v>617</v>
      </c>
      <c r="D707" s="3" t="s">
        <v>618</v>
      </c>
      <c r="E707" s="3" t="n">
        <v>20171</v>
      </c>
      <c r="F707" s="3" t="s">
        <v>18</v>
      </c>
      <c r="G707" s="3" t="s">
        <v>23</v>
      </c>
      <c r="H707" s="1" t="n">
        <v>0</v>
      </c>
      <c r="I707" s="1" t="n">
        <v>0</v>
      </c>
      <c r="J707" s="1" t="n">
        <v>20201</v>
      </c>
      <c r="L707" s="1" t="str">
        <f aca="false">IF(D706&lt;&gt;D707,D707,"")</f>
        <v/>
      </c>
      <c r="M707" s="1" t="str">
        <f aca="false">IF(F706&lt;&gt;F707,F707,"")</f>
        <v/>
      </c>
    </row>
    <row r="708" customFormat="false" ht="15" hidden="false" customHeight="false" outlineLevel="0" collapsed="false">
      <c r="A708" s="3" t="s">
        <v>575</v>
      </c>
      <c r="B708" s="3" t="s">
        <v>576</v>
      </c>
      <c r="C708" s="3" t="s">
        <v>617</v>
      </c>
      <c r="D708" s="3" t="s">
        <v>618</v>
      </c>
      <c r="E708" s="3" t="n">
        <v>20171</v>
      </c>
      <c r="F708" s="3" t="s">
        <v>18</v>
      </c>
      <c r="G708" s="3" t="s">
        <v>127</v>
      </c>
      <c r="H708" s="1" t="n">
        <v>2</v>
      </c>
      <c r="I708" s="1" t="n">
        <v>0</v>
      </c>
      <c r="J708" s="1" t="n">
        <v>20201</v>
      </c>
      <c r="L708" s="1" t="str">
        <f aca="false">IF(D707&lt;&gt;D708,D708,"")</f>
        <v/>
      </c>
      <c r="M708" s="1" t="str">
        <f aca="false">IF(F707&lt;&gt;F708,F708,"")</f>
        <v/>
      </c>
    </row>
    <row r="709" customFormat="false" ht="15" hidden="false" customHeight="false" outlineLevel="0" collapsed="false">
      <c r="A709" s="3" t="s">
        <v>577</v>
      </c>
      <c r="B709" s="3" t="s">
        <v>578</v>
      </c>
      <c r="C709" s="3" t="s">
        <v>617</v>
      </c>
      <c r="D709" s="3" t="s">
        <v>618</v>
      </c>
      <c r="E709" s="3" t="n">
        <v>20171</v>
      </c>
      <c r="F709" s="3" t="s">
        <v>18</v>
      </c>
      <c r="G709" s="3" t="s">
        <v>18</v>
      </c>
      <c r="H709" s="1" t="n">
        <v>3</v>
      </c>
      <c r="I709" s="1" t="n">
        <v>0</v>
      </c>
      <c r="J709" s="1" t="n">
        <v>20201</v>
      </c>
      <c r="L709" s="1" t="str">
        <f aca="false">IF(D708&lt;&gt;D709,D709,"")</f>
        <v/>
      </c>
      <c r="M709" s="1" t="str">
        <f aca="false">IF(F708&lt;&gt;F709,F709,"")</f>
        <v/>
      </c>
    </row>
    <row r="710" customFormat="false" ht="15" hidden="false" customHeight="false" outlineLevel="0" collapsed="false">
      <c r="A710" s="3" t="s">
        <v>631</v>
      </c>
      <c r="B710" s="3" t="s">
        <v>632</v>
      </c>
      <c r="C710" s="3" t="s">
        <v>617</v>
      </c>
      <c r="D710" s="3" t="s">
        <v>618</v>
      </c>
      <c r="E710" s="3" t="n">
        <v>20171</v>
      </c>
      <c r="F710" s="3" t="s">
        <v>18</v>
      </c>
      <c r="G710" s="3" t="s">
        <v>514</v>
      </c>
      <c r="H710" s="1" t="n">
        <v>1</v>
      </c>
      <c r="I710" s="1" t="n">
        <v>0</v>
      </c>
      <c r="J710" s="1" t="n">
        <v>20201</v>
      </c>
      <c r="L710" s="1" t="str">
        <f aca="false">IF(D709&lt;&gt;D710,D710,"")</f>
        <v/>
      </c>
      <c r="M710" s="1" t="str">
        <f aca="false">IF(F709&lt;&gt;F710,F710,"")</f>
        <v/>
      </c>
    </row>
    <row r="711" customFormat="false" ht="15" hidden="false" customHeight="false" outlineLevel="0" collapsed="false">
      <c r="A711" s="3" t="s">
        <v>633</v>
      </c>
      <c r="B711" s="3" t="s">
        <v>634</v>
      </c>
      <c r="C711" s="3" t="s">
        <v>617</v>
      </c>
      <c r="D711" s="3" t="s">
        <v>618</v>
      </c>
      <c r="E711" s="3" t="n">
        <v>20171</v>
      </c>
      <c r="F711" s="3" t="s">
        <v>18</v>
      </c>
      <c r="G711" s="3" t="s">
        <v>30</v>
      </c>
      <c r="H711" s="1" t="n">
        <v>1.5</v>
      </c>
      <c r="I711" s="1" t="n">
        <v>0</v>
      </c>
      <c r="J711" s="1" t="n">
        <v>20201</v>
      </c>
      <c r="L711" s="1" t="str">
        <f aca="false">IF(D710&lt;&gt;D711,D711,"")</f>
        <v/>
      </c>
      <c r="M711" s="1" t="str">
        <f aca="false">IF(F710&lt;&gt;F711,F711,"")</f>
        <v/>
      </c>
    </row>
    <row r="712" customFormat="false" ht="15" hidden="false" customHeight="false" outlineLevel="0" collapsed="false">
      <c r="A712" s="3" t="s">
        <v>118</v>
      </c>
      <c r="B712" s="3" t="s">
        <v>119</v>
      </c>
      <c r="C712" s="3" t="s">
        <v>617</v>
      </c>
      <c r="D712" s="3" t="s">
        <v>618</v>
      </c>
      <c r="E712" s="3" t="n">
        <v>20171</v>
      </c>
      <c r="F712" s="3" t="s">
        <v>18</v>
      </c>
      <c r="G712" s="3" t="s">
        <v>15</v>
      </c>
      <c r="H712" s="1" t="n">
        <v>3.5</v>
      </c>
      <c r="I712" s="1" t="n">
        <v>0</v>
      </c>
      <c r="J712" s="1" t="n">
        <v>20201</v>
      </c>
      <c r="L712" s="1" t="str">
        <f aca="false">IF(D711&lt;&gt;D712,D712,"")</f>
        <v/>
      </c>
      <c r="M712" s="1" t="str">
        <f aca="false">IF(F711&lt;&gt;F712,F712,"")</f>
        <v/>
      </c>
    </row>
    <row r="713" customFormat="false" ht="15" hidden="false" customHeight="false" outlineLevel="0" collapsed="false">
      <c r="A713" s="3" t="s">
        <v>128</v>
      </c>
      <c r="B713" s="3" t="s">
        <v>129</v>
      </c>
      <c r="C713" s="3" t="s">
        <v>617</v>
      </c>
      <c r="D713" s="3" t="s">
        <v>618</v>
      </c>
      <c r="E713" s="3" t="n">
        <v>20171</v>
      </c>
      <c r="F713" s="3" t="s">
        <v>18</v>
      </c>
      <c r="G713" s="3" t="s">
        <v>15</v>
      </c>
      <c r="H713" s="1" t="n">
        <v>3.5</v>
      </c>
      <c r="I713" s="1" t="n">
        <v>0</v>
      </c>
      <c r="J713" s="1" t="n">
        <v>20201</v>
      </c>
      <c r="L713" s="1" t="str">
        <f aca="false">IF(D712&lt;&gt;D713,D713,"")</f>
        <v/>
      </c>
      <c r="M713" s="1" t="str">
        <f aca="false">IF(F712&lt;&gt;F713,F713,"")</f>
        <v/>
      </c>
    </row>
    <row r="714" customFormat="false" ht="15" hidden="false" customHeight="false" outlineLevel="0" collapsed="false">
      <c r="A714" s="3" t="s">
        <v>37</v>
      </c>
      <c r="B714" s="3" t="s">
        <v>38</v>
      </c>
      <c r="C714" s="3" t="s">
        <v>617</v>
      </c>
      <c r="D714" s="3" t="s">
        <v>618</v>
      </c>
      <c r="E714" s="3" t="n">
        <v>20171</v>
      </c>
      <c r="F714" s="3" t="s">
        <v>18</v>
      </c>
      <c r="G714" s="3" t="s">
        <v>18</v>
      </c>
      <c r="H714" s="1" t="n">
        <v>3</v>
      </c>
      <c r="I714" s="1" t="n">
        <v>0</v>
      </c>
      <c r="J714" s="1" t="n">
        <v>20201</v>
      </c>
      <c r="L714" s="1" t="str">
        <f aca="false">IF(D713&lt;&gt;D714,D714,"")</f>
        <v/>
      </c>
      <c r="M714" s="1" t="str">
        <f aca="false">IF(F713&lt;&gt;F714,F714,"")</f>
        <v/>
      </c>
    </row>
    <row r="715" customFormat="false" ht="15" hidden="false" customHeight="false" outlineLevel="0" collapsed="false">
      <c r="A715" s="3" t="s">
        <v>136</v>
      </c>
      <c r="B715" s="3" t="s">
        <v>137</v>
      </c>
      <c r="C715" s="3" t="s">
        <v>617</v>
      </c>
      <c r="D715" s="3" t="s">
        <v>618</v>
      </c>
      <c r="E715" s="3" t="n">
        <v>20171</v>
      </c>
      <c r="F715" s="3" t="s">
        <v>18</v>
      </c>
      <c r="G715" s="3" t="s">
        <v>23</v>
      </c>
      <c r="H715" s="1" t="n">
        <v>0</v>
      </c>
      <c r="I715" s="1" t="n">
        <v>0</v>
      </c>
      <c r="J715" s="1" t="n">
        <v>20201</v>
      </c>
      <c r="L715" s="1" t="str">
        <f aca="false">IF(D714&lt;&gt;D715,D715,"")</f>
        <v/>
      </c>
      <c r="M715" s="1" t="str">
        <f aca="false">IF(F714&lt;&gt;F715,F715,"")</f>
        <v/>
      </c>
    </row>
    <row r="716" customFormat="false" ht="15" hidden="false" customHeight="false" outlineLevel="0" collapsed="false">
      <c r="A716" s="3" t="s">
        <v>609</v>
      </c>
      <c r="B716" s="3" t="s">
        <v>610</v>
      </c>
      <c r="C716" s="3" t="s">
        <v>617</v>
      </c>
      <c r="D716" s="3" t="s">
        <v>618</v>
      </c>
      <c r="E716" s="3" t="n">
        <v>20171</v>
      </c>
      <c r="F716" s="3" t="s">
        <v>18</v>
      </c>
      <c r="G716" s="3" t="s">
        <v>30</v>
      </c>
      <c r="H716" s="1" t="n">
        <v>1.5</v>
      </c>
      <c r="I716" s="1" t="n">
        <v>0</v>
      </c>
      <c r="J716" s="1" t="n">
        <v>20201</v>
      </c>
      <c r="L716" s="1" t="str">
        <f aca="false">IF(D715&lt;&gt;D716,D716,"")</f>
        <v/>
      </c>
      <c r="M716" s="1" t="str">
        <f aca="false">IF(F715&lt;&gt;F716,F716,"")</f>
        <v/>
      </c>
    </row>
    <row r="717" customFormat="false" ht="15" hidden="false" customHeight="false" outlineLevel="0" collapsed="false">
      <c r="A717" s="3" t="s">
        <v>144</v>
      </c>
      <c r="B717" s="3" t="s">
        <v>145</v>
      </c>
      <c r="C717" s="3" t="s">
        <v>617</v>
      </c>
      <c r="D717" s="3" t="s">
        <v>618</v>
      </c>
      <c r="E717" s="3" t="n">
        <v>20171</v>
      </c>
      <c r="F717" s="3" t="s">
        <v>18</v>
      </c>
      <c r="G717" s="3" t="s">
        <v>23</v>
      </c>
      <c r="H717" s="1" t="n">
        <v>0</v>
      </c>
      <c r="I717" s="1" t="n">
        <v>0</v>
      </c>
      <c r="J717" s="1" t="n">
        <v>20201</v>
      </c>
      <c r="L717" s="1" t="str">
        <f aca="false">IF(D716&lt;&gt;D717,D717,"")</f>
        <v/>
      </c>
      <c r="M717" s="1" t="str">
        <f aca="false">IF(F716&lt;&gt;F717,F717,"")</f>
        <v/>
      </c>
    </row>
    <row r="718" customFormat="false" ht="15" hidden="false" customHeight="false" outlineLevel="0" collapsed="false">
      <c r="A718" s="3" t="s">
        <v>51</v>
      </c>
      <c r="B718" s="3" t="s">
        <v>52</v>
      </c>
      <c r="C718" s="3" t="s">
        <v>617</v>
      </c>
      <c r="D718" s="3" t="s">
        <v>618</v>
      </c>
      <c r="E718" s="3" t="n">
        <v>20171</v>
      </c>
      <c r="F718" s="3" t="s">
        <v>18</v>
      </c>
      <c r="G718" s="3" t="s">
        <v>30</v>
      </c>
      <c r="H718" s="1" t="n">
        <v>1.5</v>
      </c>
      <c r="I718" s="1" t="n">
        <v>0</v>
      </c>
      <c r="J718" s="1" t="n">
        <v>20201</v>
      </c>
      <c r="L718" s="1" t="str">
        <f aca="false">IF(D717&lt;&gt;D718,D718,"")</f>
        <v/>
      </c>
      <c r="M718" s="1" t="str">
        <f aca="false">IF(F717&lt;&gt;F718,F718,"")</f>
        <v/>
      </c>
    </row>
    <row r="719" customFormat="false" ht="15" hidden="false" customHeight="false" outlineLevel="0" collapsed="false">
      <c r="A719" s="3" t="s">
        <v>146</v>
      </c>
      <c r="B719" s="3" t="s">
        <v>147</v>
      </c>
      <c r="C719" s="3" t="s">
        <v>617</v>
      </c>
      <c r="D719" s="3" t="s">
        <v>618</v>
      </c>
      <c r="E719" s="3" t="n">
        <v>20171</v>
      </c>
      <c r="F719" s="3" t="s">
        <v>18</v>
      </c>
      <c r="G719" s="3" t="s">
        <v>514</v>
      </c>
      <c r="H719" s="1" t="n">
        <v>1</v>
      </c>
      <c r="I719" s="1" t="n">
        <v>0</v>
      </c>
      <c r="J719" s="1" t="n">
        <v>20201</v>
      </c>
      <c r="L719" s="1" t="str">
        <f aca="false">IF(D718&lt;&gt;D719,D719,"")</f>
        <v/>
      </c>
      <c r="M719" s="1" t="str">
        <f aca="false">IF(F718&lt;&gt;F719,F719,"")</f>
        <v/>
      </c>
    </row>
    <row r="720" customFormat="false" ht="15" hidden="false" customHeight="false" outlineLevel="0" collapsed="false">
      <c r="A720" s="3" t="s">
        <v>59</v>
      </c>
      <c r="B720" s="3" t="s">
        <v>60</v>
      </c>
      <c r="C720" s="3" t="s">
        <v>617</v>
      </c>
      <c r="D720" s="3" t="s">
        <v>618</v>
      </c>
      <c r="E720" s="3" t="n">
        <v>20171</v>
      </c>
      <c r="F720" s="3" t="s">
        <v>18</v>
      </c>
      <c r="G720" s="3" t="s">
        <v>15</v>
      </c>
      <c r="H720" s="1" t="n">
        <v>3.5</v>
      </c>
      <c r="I720" s="1" t="n">
        <v>0</v>
      </c>
      <c r="J720" s="1" t="n">
        <v>20201</v>
      </c>
      <c r="L720" s="1" t="str">
        <f aca="false">IF(D719&lt;&gt;D720,D720,"")</f>
        <v/>
      </c>
      <c r="M720" s="1" t="str">
        <f aca="false">IF(F719&lt;&gt;F720,F720,"")</f>
        <v/>
      </c>
    </row>
    <row r="721" customFormat="false" ht="15" hidden="false" customHeight="false" outlineLevel="0" collapsed="false">
      <c r="A721" s="3" t="s">
        <v>152</v>
      </c>
      <c r="B721" s="3" t="s">
        <v>153</v>
      </c>
      <c r="C721" s="3" t="s">
        <v>617</v>
      </c>
      <c r="D721" s="3" t="s">
        <v>618</v>
      </c>
      <c r="E721" s="3" t="n">
        <v>20171</v>
      </c>
      <c r="F721" s="3" t="s">
        <v>18</v>
      </c>
      <c r="G721" s="3" t="s">
        <v>101</v>
      </c>
      <c r="H721" s="1" t="n">
        <v>2.5</v>
      </c>
      <c r="I721" s="1" t="n">
        <v>0</v>
      </c>
      <c r="J721" s="1" t="n">
        <v>20201</v>
      </c>
      <c r="L721" s="1" t="str">
        <f aca="false">IF(D720&lt;&gt;D721,D721,"")</f>
        <v/>
      </c>
      <c r="M721" s="1" t="str">
        <f aca="false">IF(F720&lt;&gt;F721,F721,"")</f>
        <v/>
      </c>
    </row>
    <row r="722" customFormat="false" ht="15" hidden="false" customHeight="false" outlineLevel="0" collapsed="false">
      <c r="A722" s="3" t="s">
        <v>67</v>
      </c>
      <c r="B722" s="3" t="s">
        <v>68</v>
      </c>
      <c r="C722" s="3" t="s">
        <v>617</v>
      </c>
      <c r="D722" s="3" t="s">
        <v>618</v>
      </c>
      <c r="E722" s="3" t="n">
        <v>20171</v>
      </c>
      <c r="F722" s="3" t="s">
        <v>18</v>
      </c>
      <c r="G722" s="3" t="s">
        <v>101</v>
      </c>
      <c r="H722" s="1" t="n">
        <v>2.5</v>
      </c>
      <c r="I722" s="1" t="n">
        <v>0</v>
      </c>
      <c r="J722" s="1" t="n">
        <v>20201</v>
      </c>
      <c r="L722" s="1" t="str">
        <f aca="false">IF(D721&lt;&gt;D722,D722,"")</f>
        <v/>
      </c>
      <c r="M722" s="1" t="str">
        <f aca="false">IF(F721&lt;&gt;F722,F722,"")</f>
        <v/>
      </c>
    </row>
    <row r="723" customFormat="false" ht="15" hidden="false" customHeight="false" outlineLevel="0" collapsed="false">
      <c r="A723" s="3" t="s">
        <v>164</v>
      </c>
      <c r="B723" s="3" t="s">
        <v>165</v>
      </c>
      <c r="C723" s="3" t="s">
        <v>617</v>
      </c>
      <c r="D723" s="3" t="s">
        <v>618</v>
      </c>
      <c r="E723" s="3" t="n">
        <v>20171</v>
      </c>
      <c r="F723" s="3" t="s">
        <v>18</v>
      </c>
      <c r="G723" s="3" t="s">
        <v>23</v>
      </c>
      <c r="H723" s="1" t="n">
        <v>0</v>
      </c>
      <c r="I723" s="1" t="n">
        <v>0</v>
      </c>
      <c r="J723" s="1" t="n">
        <v>20201</v>
      </c>
      <c r="L723" s="1" t="str">
        <f aca="false">IF(D722&lt;&gt;D723,D723,"")</f>
        <v/>
      </c>
      <c r="M723" s="1" t="str">
        <f aca="false">IF(F722&lt;&gt;F723,F723,"")</f>
        <v/>
      </c>
    </row>
    <row r="724" customFormat="false" ht="15" hidden="false" customHeight="false" outlineLevel="0" collapsed="false">
      <c r="A724" s="3" t="s">
        <v>75</v>
      </c>
      <c r="B724" s="3" t="s">
        <v>76</v>
      </c>
      <c r="C724" s="3" t="s">
        <v>617</v>
      </c>
      <c r="D724" s="3" t="s">
        <v>618</v>
      </c>
      <c r="E724" s="3" t="n">
        <v>20171</v>
      </c>
      <c r="F724" s="3" t="s">
        <v>18</v>
      </c>
      <c r="G724" s="3" t="s">
        <v>18</v>
      </c>
      <c r="H724" s="1" t="n">
        <v>3</v>
      </c>
      <c r="I724" s="1" t="n">
        <v>0</v>
      </c>
      <c r="J724" s="1" t="n">
        <v>20201</v>
      </c>
      <c r="L724" s="1" t="str">
        <f aca="false">IF(D723&lt;&gt;D724,D724,"")</f>
        <v/>
      </c>
      <c r="M724" s="1" t="str">
        <f aca="false">IF(F723&lt;&gt;F724,F724,"")</f>
        <v/>
      </c>
    </row>
    <row r="725" customFormat="false" ht="15" hidden="false" customHeight="false" outlineLevel="0" collapsed="false">
      <c r="A725" s="3" t="s">
        <v>174</v>
      </c>
      <c r="B725" s="3" t="s">
        <v>175</v>
      </c>
      <c r="C725" s="3" t="s">
        <v>617</v>
      </c>
      <c r="D725" s="3" t="s">
        <v>618</v>
      </c>
      <c r="E725" s="3" t="n">
        <v>20171</v>
      </c>
      <c r="F725" s="3" t="s">
        <v>18</v>
      </c>
      <c r="G725" s="3" t="s">
        <v>23</v>
      </c>
      <c r="H725" s="1" t="n">
        <v>0</v>
      </c>
      <c r="I725" s="1" t="n">
        <v>0</v>
      </c>
      <c r="J725" s="1" t="n">
        <v>20201</v>
      </c>
      <c r="L725" s="1" t="str">
        <f aca="false">IF(D724&lt;&gt;D725,D725,"")</f>
        <v/>
      </c>
      <c r="M725" s="1" t="str">
        <f aca="false">IF(F724&lt;&gt;F725,F725,"")</f>
        <v/>
      </c>
    </row>
    <row r="726" customFormat="false" ht="15" hidden="false" customHeight="false" outlineLevel="0" collapsed="false">
      <c r="A726" s="3" t="s">
        <v>81</v>
      </c>
      <c r="B726" s="3" t="s">
        <v>82</v>
      </c>
      <c r="C726" s="3" t="s">
        <v>617</v>
      </c>
      <c r="D726" s="3" t="s">
        <v>618</v>
      </c>
      <c r="E726" s="3" t="n">
        <v>20171</v>
      </c>
      <c r="F726" s="3" t="s">
        <v>18</v>
      </c>
      <c r="G726" s="3" t="s">
        <v>15</v>
      </c>
      <c r="H726" s="1" t="n">
        <v>3.5</v>
      </c>
      <c r="I726" s="1" t="n">
        <v>0</v>
      </c>
      <c r="J726" s="1" t="n">
        <v>20201</v>
      </c>
      <c r="L726" s="1" t="str">
        <f aca="false">IF(D725&lt;&gt;D726,D726,"")</f>
        <v/>
      </c>
      <c r="M726" s="1" t="str">
        <f aca="false">IF(F725&lt;&gt;F726,F726,"")</f>
        <v/>
      </c>
    </row>
    <row r="727" customFormat="false" ht="15" hidden="false" customHeight="false" outlineLevel="0" collapsed="false">
      <c r="A727" s="3" t="s">
        <v>176</v>
      </c>
      <c r="B727" s="3" t="s">
        <v>177</v>
      </c>
      <c r="C727" s="3" t="s">
        <v>617</v>
      </c>
      <c r="D727" s="3" t="s">
        <v>618</v>
      </c>
      <c r="E727" s="3" t="n">
        <v>20171</v>
      </c>
      <c r="F727" s="3" t="s">
        <v>18</v>
      </c>
      <c r="G727" s="3" t="s">
        <v>15</v>
      </c>
      <c r="H727" s="1" t="n">
        <v>3.5</v>
      </c>
      <c r="I727" s="1" t="n">
        <v>0</v>
      </c>
      <c r="J727" s="1" t="n">
        <v>20201</v>
      </c>
      <c r="L727" s="1" t="str">
        <f aca="false">IF(D726&lt;&gt;D727,D727,"")</f>
        <v/>
      </c>
      <c r="M727" s="1" t="str">
        <f aca="false">IF(F726&lt;&gt;F727,F727,"")</f>
        <v/>
      </c>
    </row>
    <row r="728" customFormat="false" ht="15" hidden="false" customHeight="false" outlineLevel="0" collapsed="false">
      <c r="A728" s="3" t="s">
        <v>87</v>
      </c>
      <c r="B728" s="3" t="s">
        <v>88</v>
      </c>
      <c r="C728" s="3" t="s">
        <v>617</v>
      </c>
      <c r="D728" s="3" t="s">
        <v>618</v>
      </c>
      <c r="E728" s="3" t="n">
        <v>20171</v>
      </c>
      <c r="F728" s="3" t="s">
        <v>18</v>
      </c>
      <c r="G728" s="3" t="s">
        <v>101</v>
      </c>
      <c r="H728" s="1" t="n">
        <v>2.5</v>
      </c>
      <c r="I728" s="1" t="n">
        <v>0</v>
      </c>
      <c r="J728" s="1" t="n">
        <v>20201</v>
      </c>
      <c r="L728" s="1" t="str">
        <f aca="false">IF(D727&lt;&gt;D728,D728,"")</f>
        <v/>
      </c>
      <c r="M728" s="1" t="str">
        <f aca="false">IF(F727&lt;&gt;F728,F728,"")</f>
        <v/>
      </c>
    </row>
    <row r="729" customFormat="false" ht="15" hidden="false" customHeight="false" outlineLevel="0" collapsed="false">
      <c r="A729" s="3" t="s">
        <v>182</v>
      </c>
      <c r="B729" s="3" t="s">
        <v>183</v>
      </c>
      <c r="C729" s="3" t="s">
        <v>617</v>
      </c>
      <c r="D729" s="3" t="s">
        <v>618</v>
      </c>
      <c r="E729" s="3" t="n">
        <v>20171</v>
      </c>
      <c r="F729" s="3" t="s">
        <v>18</v>
      </c>
      <c r="G729" s="3" t="s">
        <v>14</v>
      </c>
      <c r="H729" s="1" t="n">
        <v>4</v>
      </c>
      <c r="I729" s="1" t="n">
        <v>0</v>
      </c>
      <c r="J729" s="1" t="n">
        <v>20201</v>
      </c>
      <c r="L729" s="1" t="str">
        <f aca="false">IF(D728&lt;&gt;D729,D729,"")</f>
        <v/>
      </c>
      <c r="M729" s="1" t="str">
        <f aca="false">IF(F728&lt;&gt;F729,F729,"")</f>
        <v/>
      </c>
    </row>
    <row r="730" customFormat="false" ht="15" hidden="false" customHeight="false" outlineLevel="0" collapsed="false">
      <c r="A730" s="3" t="s">
        <v>190</v>
      </c>
      <c r="B730" s="3" t="s">
        <v>191</v>
      </c>
      <c r="C730" s="3" t="s">
        <v>617</v>
      </c>
      <c r="D730" s="3" t="s">
        <v>618</v>
      </c>
      <c r="E730" s="3" t="n">
        <v>20171</v>
      </c>
      <c r="F730" s="3" t="s">
        <v>18</v>
      </c>
      <c r="G730" s="3" t="s">
        <v>14</v>
      </c>
      <c r="H730" s="1" t="n">
        <v>4</v>
      </c>
      <c r="I730" s="1" t="n">
        <v>0</v>
      </c>
      <c r="J730" s="1" t="n">
        <v>20201</v>
      </c>
      <c r="L730" s="1" t="str">
        <f aca="false">IF(D729&lt;&gt;D730,D730,"")</f>
        <v/>
      </c>
      <c r="M730" s="1" t="str">
        <f aca="false">IF(F729&lt;&gt;F730,F730,"")</f>
        <v/>
      </c>
    </row>
    <row r="731" customFormat="false" ht="15" hidden="false" customHeight="false" outlineLevel="0" collapsed="false">
      <c r="A731" s="3" t="s">
        <v>97</v>
      </c>
      <c r="B731" s="3" t="s">
        <v>98</v>
      </c>
      <c r="C731" s="3" t="s">
        <v>617</v>
      </c>
      <c r="D731" s="3" t="s">
        <v>618</v>
      </c>
      <c r="E731" s="3" t="n">
        <v>20171</v>
      </c>
      <c r="F731" s="3" t="s">
        <v>18</v>
      </c>
      <c r="G731" s="3" t="s">
        <v>14</v>
      </c>
      <c r="H731" s="1" t="n">
        <v>4</v>
      </c>
      <c r="I731" s="1" t="n">
        <v>0</v>
      </c>
      <c r="J731" s="1" t="n">
        <v>20201</v>
      </c>
      <c r="L731" s="1" t="str">
        <f aca="false">IF(D730&lt;&gt;D731,D731,"")</f>
        <v/>
      </c>
      <c r="M731" s="1" t="str">
        <f aca="false">IF(F730&lt;&gt;F731,F731,"")</f>
        <v/>
      </c>
    </row>
    <row r="732" customFormat="false" ht="15" hidden="false" customHeight="false" outlineLevel="0" collapsed="false">
      <c r="A732" s="3" t="s">
        <v>192</v>
      </c>
      <c r="B732" s="3" t="s">
        <v>193</v>
      </c>
      <c r="C732" s="3" t="s">
        <v>617</v>
      </c>
      <c r="D732" s="3" t="s">
        <v>618</v>
      </c>
      <c r="E732" s="3" t="n">
        <v>20171</v>
      </c>
      <c r="F732" s="3" t="s">
        <v>18</v>
      </c>
      <c r="G732" s="3" t="s">
        <v>15</v>
      </c>
      <c r="H732" s="1" t="n">
        <v>3.5</v>
      </c>
      <c r="I732" s="1" t="n">
        <v>0</v>
      </c>
      <c r="J732" s="1" t="n">
        <v>20201</v>
      </c>
      <c r="L732" s="1" t="str">
        <f aca="false">IF(D731&lt;&gt;D732,D732,"")</f>
        <v/>
      </c>
      <c r="M732" s="1" t="str">
        <f aca="false">IF(F731&lt;&gt;F732,F732,"")</f>
        <v/>
      </c>
    </row>
    <row r="733" customFormat="false" ht="15" hidden="false" customHeight="false" outlineLevel="0" collapsed="false">
      <c r="A733" s="3" t="s">
        <v>515</v>
      </c>
      <c r="B733" s="3" t="s">
        <v>516</v>
      </c>
      <c r="C733" s="3" t="s">
        <v>617</v>
      </c>
      <c r="D733" s="3" t="s">
        <v>618</v>
      </c>
      <c r="E733" s="3" t="n">
        <v>20171</v>
      </c>
      <c r="F733" s="3" t="s">
        <v>127</v>
      </c>
      <c r="G733" s="3" t="s">
        <v>124</v>
      </c>
      <c r="H733" s="1" t="n">
        <v>0</v>
      </c>
      <c r="I733" s="1" t="n">
        <v>0</v>
      </c>
      <c r="J733" s="1" t="n">
        <v>20201</v>
      </c>
      <c r="L733" s="1" t="str">
        <f aca="false">IF(D732&lt;&gt;D733,D733,"")</f>
        <v/>
      </c>
      <c r="M733" s="1" t="str">
        <f aca="false">IF(F732&lt;&gt;F733,F733,"")</f>
        <v>C</v>
      </c>
    </row>
    <row r="734" customFormat="false" ht="15" hidden="false" customHeight="false" outlineLevel="0" collapsed="false">
      <c r="A734" s="3" t="s">
        <v>304</v>
      </c>
      <c r="B734" s="3" t="s">
        <v>305</v>
      </c>
      <c r="C734" s="3" t="s">
        <v>617</v>
      </c>
      <c r="D734" s="3" t="s">
        <v>618</v>
      </c>
      <c r="E734" s="3" t="n">
        <v>20171</v>
      </c>
      <c r="F734" s="3" t="s">
        <v>127</v>
      </c>
      <c r="G734" s="3" t="s">
        <v>514</v>
      </c>
      <c r="H734" s="1" t="n">
        <v>1</v>
      </c>
      <c r="I734" s="1" t="n">
        <v>0</v>
      </c>
      <c r="J734" s="1" t="n">
        <v>20201</v>
      </c>
      <c r="L734" s="1" t="str">
        <f aca="false">IF(D733&lt;&gt;D734,D734,"")</f>
        <v/>
      </c>
      <c r="M734" s="1" t="str">
        <f aca="false">IF(F733&lt;&gt;F734,F734,"")</f>
        <v/>
      </c>
    </row>
    <row r="735" customFormat="false" ht="15" hidden="false" customHeight="false" outlineLevel="0" collapsed="false">
      <c r="A735" s="3" t="s">
        <v>635</v>
      </c>
      <c r="B735" s="3" t="s">
        <v>636</v>
      </c>
      <c r="C735" s="3" t="s">
        <v>617</v>
      </c>
      <c r="D735" s="3" t="s">
        <v>618</v>
      </c>
      <c r="E735" s="3" t="n">
        <v>20171</v>
      </c>
      <c r="F735" s="3" t="s">
        <v>127</v>
      </c>
      <c r="G735" s="3" t="s">
        <v>124</v>
      </c>
      <c r="H735" s="1" t="n">
        <v>0</v>
      </c>
      <c r="I735" s="1" t="n">
        <v>0</v>
      </c>
      <c r="J735" s="1" t="n">
        <v>20201</v>
      </c>
      <c r="L735" s="1" t="str">
        <f aca="false">IF(D734&lt;&gt;D735,D735,"")</f>
        <v/>
      </c>
      <c r="M735" s="1" t="str">
        <f aca="false">IF(F734&lt;&gt;F735,F735,"")</f>
        <v/>
      </c>
    </row>
    <row r="736" customFormat="false" ht="15" hidden="false" customHeight="false" outlineLevel="0" collapsed="false">
      <c r="A736" s="3" t="s">
        <v>637</v>
      </c>
      <c r="B736" s="3" t="s">
        <v>638</v>
      </c>
      <c r="C736" s="3" t="s">
        <v>617</v>
      </c>
      <c r="D736" s="3" t="s">
        <v>618</v>
      </c>
      <c r="E736" s="3" t="n">
        <v>20171</v>
      </c>
      <c r="F736" s="3" t="s">
        <v>127</v>
      </c>
      <c r="G736" s="3" t="s">
        <v>14</v>
      </c>
      <c r="H736" s="1" t="n">
        <v>4</v>
      </c>
      <c r="I736" s="1" t="n">
        <v>0</v>
      </c>
      <c r="J736" s="1" t="n">
        <v>20201</v>
      </c>
      <c r="L736" s="1" t="str">
        <f aca="false">IF(D735&lt;&gt;D736,D736,"")</f>
        <v/>
      </c>
      <c r="M736" s="1" t="str">
        <f aca="false">IF(F735&lt;&gt;F736,F736,"")</f>
        <v/>
      </c>
    </row>
    <row r="737" customFormat="false" ht="15" hidden="false" customHeight="false" outlineLevel="0" collapsed="false">
      <c r="A737" s="3" t="s">
        <v>639</v>
      </c>
      <c r="B737" s="3" t="s">
        <v>640</v>
      </c>
      <c r="C737" s="3" t="s">
        <v>617</v>
      </c>
      <c r="D737" s="3" t="s">
        <v>618</v>
      </c>
      <c r="E737" s="3" t="n">
        <v>20171</v>
      </c>
      <c r="F737" s="3" t="s">
        <v>127</v>
      </c>
      <c r="G737" s="3" t="s">
        <v>14</v>
      </c>
      <c r="H737" s="1" t="n">
        <v>4</v>
      </c>
      <c r="I737" s="1" t="n">
        <v>0</v>
      </c>
      <c r="J737" s="1" t="n">
        <v>20201</v>
      </c>
      <c r="L737" s="1" t="str">
        <f aca="false">IF(D736&lt;&gt;D737,D737,"")</f>
        <v/>
      </c>
      <c r="M737" s="1" t="str">
        <f aca="false">IF(F736&lt;&gt;F737,F737,"")</f>
        <v/>
      </c>
    </row>
    <row r="738" customFormat="false" ht="15" hidden="false" customHeight="false" outlineLevel="0" collapsed="false">
      <c r="A738" s="3" t="s">
        <v>581</v>
      </c>
      <c r="B738" s="3" t="s">
        <v>582</v>
      </c>
      <c r="C738" s="3" t="s">
        <v>617</v>
      </c>
      <c r="D738" s="3" t="s">
        <v>618</v>
      </c>
      <c r="E738" s="3" t="n">
        <v>20171</v>
      </c>
      <c r="F738" s="3" t="s">
        <v>127</v>
      </c>
      <c r="G738" s="3" t="s">
        <v>14</v>
      </c>
      <c r="H738" s="1" t="n">
        <v>4</v>
      </c>
      <c r="I738" s="1" t="n">
        <v>0</v>
      </c>
      <c r="J738" s="1" t="n">
        <v>20201</v>
      </c>
      <c r="L738" s="1" t="str">
        <f aca="false">IF(D737&lt;&gt;D738,D738,"")</f>
        <v/>
      </c>
      <c r="M738" s="1" t="str">
        <f aca="false">IF(F737&lt;&gt;F738,F738,"")</f>
        <v/>
      </c>
    </row>
    <row r="739" customFormat="false" ht="15" hidden="false" customHeight="false" outlineLevel="0" collapsed="false">
      <c r="A739" s="3" t="s">
        <v>583</v>
      </c>
      <c r="B739" s="3" t="s">
        <v>584</v>
      </c>
      <c r="C739" s="3" t="s">
        <v>617</v>
      </c>
      <c r="D739" s="3" t="s">
        <v>618</v>
      </c>
      <c r="E739" s="3" t="n">
        <v>20171</v>
      </c>
      <c r="F739" s="3" t="s">
        <v>127</v>
      </c>
      <c r="G739" s="3" t="s">
        <v>514</v>
      </c>
      <c r="H739" s="1" t="n">
        <v>1</v>
      </c>
      <c r="I739" s="1" t="n">
        <v>0</v>
      </c>
      <c r="J739" s="1" t="n">
        <v>20201</v>
      </c>
      <c r="L739" s="1" t="str">
        <f aca="false">IF(D738&lt;&gt;D739,D739,"")</f>
        <v/>
      </c>
      <c r="M739" s="1" t="str">
        <f aca="false">IF(F738&lt;&gt;F739,F739,"")</f>
        <v/>
      </c>
    </row>
    <row r="740" customFormat="false" ht="15" hidden="false" customHeight="false" outlineLevel="0" collapsed="false">
      <c r="A740" s="3" t="s">
        <v>585</v>
      </c>
      <c r="B740" s="3" t="s">
        <v>586</v>
      </c>
      <c r="C740" s="3" t="s">
        <v>617</v>
      </c>
      <c r="D740" s="3" t="s">
        <v>618</v>
      </c>
      <c r="E740" s="3" t="n">
        <v>20171</v>
      </c>
      <c r="F740" s="3" t="s">
        <v>127</v>
      </c>
      <c r="G740" s="3" t="s">
        <v>30</v>
      </c>
      <c r="H740" s="1" t="n">
        <v>1.5</v>
      </c>
      <c r="I740" s="1" t="n">
        <v>0</v>
      </c>
      <c r="J740" s="1" t="n">
        <v>20201</v>
      </c>
      <c r="L740" s="1" t="str">
        <f aca="false">IF(D739&lt;&gt;D740,D740,"")</f>
        <v/>
      </c>
      <c r="M740" s="1" t="str">
        <f aca="false">IF(F739&lt;&gt;F740,F740,"")</f>
        <v/>
      </c>
    </row>
    <row r="741" customFormat="false" ht="15" hidden="false" customHeight="false" outlineLevel="0" collapsed="false">
      <c r="A741" s="3" t="s">
        <v>28</v>
      </c>
      <c r="B741" s="3" t="s">
        <v>29</v>
      </c>
      <c r="C741" s="3" t="s">
        <v>617</v>
      </c>
      <c r="D741" s="3" t="s">
        <v>618</v>
      </c>
      <c r="E741" s="3" t="n">
        <v>20171</v>
      </c>
      <c r="F741" s="3" t="s">
        <v>127</v>
      </c>
      <c r="G741" s="3" t="s">
        <v>30</v>
      </c>
      <c r="H741" s="1" t="n">
        <v>1.5</v>
      </c>
      <c r="I741" s="1" t="n">
        <v>0</v>
      </c>
      <c r="J741" s="1" t="n">
        <v>20201</v>
      </c>
      <c r="L741" s="1" t="str">
        <f aca="false">IF(D740&lt;&gt;D741,D741,"")</f>
        <v/>
      </c>
      <c r="M741" s="1" t="str">
        <f aca="false">IF(F740&lt;&gt;F741,F741,"")</f>
        <v/>
      </c>
    </row>
    <row r="742" customFormat="false" ht="15" hidden="false" customHeight="false" outlineLevel="0" collapsed="false">
      <c r="A742" s="3" t="s">
        <v>120</v>
      </c>
      <c r="B742" s="3" t="s">
        <v>121</v>
      </c>
      <c r="C742" s="3" t="s">
        <v>617</v>
      </c>
      <c r="D742" s="3" t="s">
        <v>618</v>
      </c>
      <c r="E742" s="3" t="n">
        <v>20171</v>
      </c>
      <c r="F742" s="3" t="s">
        <v>127</v>
      </c>
      <c r="G742" s="3" t="s">
        <v>18</v>
      </c>
      <c r="H742" s="1" t="n">
        <v>3</v>
      </c>
      <c r="I742" s="1" t="n">
        <v>0</v>
      </c>
      <c r="J742" s="1" t="n">
        <v>20201</v>
      </c>
      <c r="L742" s="1" t="str">
        <f aca="false">IF(D741&lt;&gt;D742,D742,"")</f>
        <v/>
      </c>
      <c r="M742" s="1" t="str">
        <f aca="false">IF(F741&lt;&gt;F742,F742,"")</f>
        <v/>
      </c>
    </row>
    <row r="743" customFormat="false" ht="15" hidden="false" customHeight="false" outlineLevel="0" collapsed="false">
      <c r="A743" s="3" t="s">
        <v>31</v>
      </c>
      <c r="B743" s="3" t="s">
        <v>32</v>
      </c>
      <c r="C743" s="3" t="s">
        <v>617</v>
      </c>
      <c r="D743" s="3" t="s">
        <v>618</v>
      </c>
      <c r="E743" s="3" t="n">
        <v>20171</v>
      </c>
      <c r="F743" s="3" t="s">
        <v>127</v>
      </c>
      <c r="G743" s="3" t="s">
        <v>30</v>
      </c>
      <c r="H743" s="1" t="n">
        <v>1.5</v>
      </c>
      <c r="I743" s="1" t="n">
        <v>0</v>
      </c>
      <c r="J743" s="1" t="n">
        <v>20201</v>
      </c>
      <c r="L743" s="1" t="str">
        <f aca="false">IF(D742&lt;&gt;D743,D743,"")</f>
        <v/>
      </c>
      <c r="M743" s="1" t="str">
        <f aca="false">IF(F742&lt;&gt;F743,F743,"")</f>
        <v/>
      </c>
    </row>
    <row r="744" customFormat="false" ht="15" hidden="false" customHeight="false" outlineLevel="0" collapsed="false">
      <c r="A744" s="3" t="s">
        <v>39</v>
      </c>
      <c r="B744" s="3" t="s">
        <v>40</v>
      </c>
      <c r="C744" s="3" t="s">
        <v>617</v>
      </c>
      <c r="D744" s="3" t="s">
        <v>618</v>
      </c>
      <c r="E744" s="3" t="n">
        <v>20171</v>
      </c>
      <c r="F744" s="3" t="s">
        <v>127</v>
      </c>
      <c r="G744" s="3" t="s">
        <v>14</v>
      </c>
      <c r="H744" s="1" t="n">
        <v>4</v>
      </c>
      <c r="I744" s="1" t="n">
        <v>0</v>
      </c>
      <c r="J744" s="1" t="n">
        <v>20201</v>
      </c>
      <c r="L744" s="1" t="str">
        <f aca="false">IF(D743&lt;&gt;D744,D744,"")</f>
        <v/>
      </c>
      <c r="M744" s="1" t="str">
        <f aca="false">IF(F743&lt;&gt;F744,F744,"")</f>
        <v/>
      </c>
    </row>
    <row r="745" customFormat="false" ht="15" hidden="false" customHeight="false" outlineLevel="0" collapsed="false">
      <c r="A745" s="3" t="s">
        <v>130</v>
      </c>
      <c r="B745" s="3" t="s">
        <v>131</v>
      </c>
      <c r="C745" s="3" t="s">
        <v>617</v>
      </c>
      <c r="D745" s="3" t="s">
        <v>618</v>
      </c>
      <c r="E745" s="3" t="n">
        <v>20171</v>
      </c>
      <c r="F745" s="3" t="s">
        <v>127</v>
      </c>
      <c r="G745" s="3" t="s">
        <v>101</v>
      </c>
      <c r="H745" s="1" t="n">
        <v>2.5</v>
      </c>
      <c r="I745" s="1" t="n">
        <v>0</v>
      </c>
      <c r="J745" s="1" t="n">
        <v>20201</v>
      </c>
      <c r="L745" s="1" t="str">
        <f aca="false">IF(D744&lt;&gt;D745,D745,"")</f>
        <v/>
      </c>
      <c r="M745" s="1" t="str">
        <f aca="false">IF(F744&lt;&gt;F745,F745,"")</f>
        <v/>
      </c>
    </row>
    <row r="746" customFormat="false" ht="15" hidden="false" customHeight="false" outlineLevel="0" collapsed="false">
      <c r="A746" s="3" t="s">
        <v>45</v>
      </c>
      <c r="B746" s="3" t="s">
        <v>46</v>
      </c>
      <c r="C746" s="3" t="s">
        <v>617</v>
      </c>
      <c r="D746" s="3" t="s">
        <v>618</v>
      </c>
      <c r="E746" s="3" t="n">
        <v>20171</v>
      </c>
      <c r="F746" s="3" t="s">
        <v>127</v>
      </c>
      <c r="G746" s="3" t="s">
        <v>18</v>
      </c>
      <c r="H746" s="1" t="n">
        <v>3</v>
      </c>
      <c r="I746" s="1" t="n">
        <v>0</v>
      </c>
      <c r="J746" s="1" t="n">
        <v>20201</v>
      </c>
      <c r="L746" s="1" t="str">
        <f aca="false">IF(D745&lt;&gt;D746,D746,"")</f>
        <v/>
      </c>
      <c r="M746" s="1" t="str">
        <f aca="false">IF(F745&lt;&gt;F746,F746,"")</f>
        <v/>
      </c>
    </row>
    <row r="747" customFormat="false" ht="15" hidden="false" customHeight="false" outlineLevel="0" collapsed="false">
      <c r="A747" s="3" t="s">
        <v>140</v>
      </c>
      <c r="B747" s="3" t="s">
        <v>141</v>
      </c>
      <c r="C747" s="3" t="s">
        <v>617</v>
      </c>
      <c r="D747" s="3" t="s">
        <v>618</v>
      </c>
      <c r="E747" s="3" t="n">
        <v>20171</v>
      </c>
      <c r="F747" s="3" t="s">
        <v>127</v>
      </c>
      <c r="G747" s="3" t="s">
        <v>101</v>
      </c>
      <c r="H747" s="1" t="n">
        <v>2.5</v>
      </c>
      <c r="I747" s="1" t="n">
        <v>0</v>
      </c>
      <c r="J747" s="1" t="n">
        <v>20201</v>
      </c>
      <c r="L747" s="1" t="str">
        <f aca="false">IF(D746&lt;&gt;D747,D747,"")</f>
        <v/>
      </c>
      <c r="M747" s="1" t="str">
        <f aca="false">IF(F746&lt;&gt;F747,F747,"")</f>
        <v/>
      </c>
    </row>
    <row r="748" customFormat="false" ht="15" hidden="false" customHeight="false" outlineLevel="0" collapsed="false">
      <c r="A748" s="3" t="s">
        <v>47</v>
      </c>
      <c r="B748" s="3" t="s">
        <v>48</v>
      </c>
      <c r="C748" s="3" t="s">
        <v>617</v>
      </c>
      <c r="D748" s="3" t="s">
        <v>618</v>
      </c>
      <c r="E748" s="3" t="n">
        <v>20171</v>
      </c>
      <c r="F748" s="3" t="s">
        <v>127</v>
      </c>
      <c r="G748" s="3" t="s">
        <v>101</v>
      </c>
      <c r="H748" s="1" t="n">
        <v>2.5</v>
      </c>
      <c r="I748" s="1" t="n">
        <v>0</v>
      </c>
      <c r="J748" s="1" t="n">
        <v>20201</v>
      </c>
      <c r="L748" s="1" t="str">
        <f aca="false">IF(D747&lt;&gt;D748,D748,"")</f>
        <v/>
      </c>
      <c r="M748" s="1" t="str">
        <f aca="false">IF(F747&lt;&gt;F748,F748,"")</f>
        <v/>
      </c>
    </row>
    <row r="749" customFormat="false" ht="15" hidden="false" customHeight="false" outlineLevel="0" collapsed="false">
      <c r="A749" s="3" t="s">
        <v>53</v>
      </c>
      <c r="B749" s="3" t="s">
        <v>54</v>
      </c>
      <c r="C749" s="3" t="s">
        <v>617</v>
      </c>
      <c r="D749" s="3" t="s">
        <v>618</v>
      </c>
      <c r="E749" s="3" t="n">
        <v>20171</v>
      </c>
      <c r="F749" s="3" t="s">
        <v>127</v>
      </c>
      <c r="G749" s="3" t="s">
        <v>30</v>
      </c>
      <c r="H749" s="1" t="n">
        <v>1.5</v>
      </c>
      <c r="I749" s="1" t="n">
        <v>0</v>
      </c>
      <c r="J749" s="1" t="n">
        <v>20201</v>
      </c>
      <c r="L749" s="1" t="str">
        <f aca="false">IF(D748&lt;&gt;D749,D749,"")</f>
        <v/>
      </c>
      <c r="M749" s="1" t="str">
        <f aca="false">IF(F748&lt;&gt;F749,F749,"")</f>
        <v/>
      </c>
    </row>
    <row r="750" customFormat="false" ht="15" hidden="false" customHeight="false" outlineLevel="0" collapsed="false">
      <c r="A750" s="3" t="s">
        <v>55</v>
      </c>
      <c r="B750" s="3" t="s">
        <v>56</v>
      </c>
      <c r="C750" s="3" t="s">
        <v>617</v>
      </c>
      <c r="D750" s="3" t="s">
        <v>618</v>
      </c>
      <c r="E750" s="3" t="n">
        <v>20171</v>
      </c>
      <c r="F750" s="3" t="s">
        <v>127</v>
      </c>
      <c r="G750" s="3" t="s">
        <v>15</v>
      </c>
      <c r="H750" s="1" t="n">
        <v>3.5</v>
      </c>
      <c r="I750" s="1" t="n">
        <v>0</v>
      </c>
      <c r="J750" s="1" t="n">
        <v>20201</v>
      </c>
      <c r="L750" s="1" t="str">
        <f aca="false">IF(D749&lt;&gt;D750,D750,"")</f>
        <v/>
      </c>
      <c r="M750" s="1" t="str">
        <f aca="false">IF(F749&lt;&gt;F750,F750,"")</f>
        <v/>
      </c>
    </row>
    <row r="751" customFormat="false" ht="15" hidden="false" customHeight="false" outlineLevel="0" collapsed="false">
      <c r="A751" s="3" t="s">
        <v>61</v>
      </c>
      <c r="B751" s="3" t="s">
        <v>62</v>
      </c>
      <c r="C751" s="3" t="s">
        <v>617</v>
      </c>
      <c r="D751" s="3" t="s">
        <v>618</v>
      </c>
      <c r="E751" s="3" t="n">
        <v>20171</v>
      </c>
      <c r="F751" s="3" t="s">
        <v>127</v>
      </c>
      <c r="G751" s="3" t="s">
        <v>18</v>
      </c>
      <c r="H751" s="1" t="n">
        <v>3</v>
      </c>
      <c r="I751" s="1" t="n">
        <v>0</v>
      </c>
      <c r="J751" s="1" t="n">
        <v>20201</v>
      </c>
      <c r="L751" s="1" t="str">
        <f aca="false">IF(D750&lt;&gt;D751,D751,"")</f>
        <v/>
      </c>
      <c r="M751" s="1" t="str">
        <f aca="false">IF(F750&lt;&gt;F751,F751,"")</f>
        <v/>
      </c>
    </row>
    <row r="752" customFormat="false" ht="15" hidden="false" customHeight="false" outlineLevel="0" collapsed="false">
      <c r="A752" s="3" t="s">
        <v>154</v>
      </c>
      <c r="B752" s="3" t="s">
        <v>155</v>
      </c>
      <c r="C752" s="3" t="s">
        <v>617</v>
      </c>
      <c r="D752" s="3" t="s">
        <v>618</v>
      </c>
      <c r="E752" s="3" t="n">
        <v>20171</v>
      </c>
      <c r="F752" s="3" t="s">
        <v>127</v>
      </c>
      <c r="G752" s="3" t="s">
        <v>124</v>
      </c>
      <c r="H752" s="1" t="n">
        <v>0</v>
      </c>
      <c r="I752" s="1" t="n">
        <v>0</v>
      </c>
      <c r="J752" s="1" t="n">
        <v>20201</v>
      </c>
      <c r="L752" s="1" t="str">
        <f aca="false">IF(D751&lt;&gt;D752,D752,"")</f>
        <v/>
      </c>
      <c r="M752" s="1" t="str">
        <f aca="false">IF(F751&lt;&gt;F752,F752,"")</f>
        <v/>
      </c>
    </row>
    <row r="753" customFormat="false" ht="15" hidden="false" customHeight="false" outlineLevel="0" collapsed="false">
      <c r="A753" s="3" t="s">
        <v>63</v>
      </c>
      <c r="B753" s="3" t="s">
        <v>64</v>
      </c>
      <c r="C753" s="3" t="s">
        <v>617</v>
      </c>
      <c r="D753" s="3" t="s">
        <v>618</v>
      </c>
      <c r="E753" s="3" t="n">
        <v>20171</v>
      </c>
      <c r="F753" s="3" t="s">
        <v>127</v>
      </c>
      <c r="G753" s="3" t="s">
        <v>127</v>
      </c>
      <c r="H753" s="1" t="n">
        <v>2</v>
      </c>
      <c r="I753" s="1" t="n">
        <v>0</v>
      </c>
      <c r="J753" s="1" t="n">
        <v>20201</v>
      </c>
      <c r="L753" s="1" t="str">
        <f aca="false">IF(D752&lt;&gt;D753,D753,"")</f>
        <v/>
      </c>
      <c r="M753" s="1" t="str">
        <f aca="false">IF(F752&lt;&gt;F753,F753,"")</f>
        <v/>
      </c>
    </row>
    <row r="754" customFormat="false" ht="15" hidden="false" customHeight="false" outlineLevel="0" collapsed="false">
      <c r="A754" s="3" t="s">
        <v>69</v>
      </c>
      <c r="B754" s="3" t="s">
        <v>70</v>
      </c>
      <c r="C754" s="3" t="s">
        <v>617</v>
      </c>
      <c r="D754" s="3" t="s">
        <v>618</v>
      </c>
      <c r="E754" s="3" t="n">
        <v>20171</v>
      </c>
      <c r="F754" s="3" t="s">
        <v>127</v>
      </c>
      <c r="G754" s="3" t="s">
        <v>14</v>
      </c>
      <c r="H754" s="1" t="n">
        <v>4</v>
      </c>
      <c r="I754" s="1" t="n">
        <v>0</v>
      </c>
      <c r="J754" s="1" t="n">
        <v>20201</v>
      </c>
      <c r="L754" s="1" t="str">
        <f aca="false">IF(D753&lt;&gt;D754,D754,"")</f>
        <v/>
      </c>
      <c r="M754" s="1" t="str">
        <f aca="false">IF(F753&lt;&gt;F754,F754,"")</f>
        <v/>
      </c>
    </row>
    <row r="755" customFormat="false" ht="15" hidden="false" customHeight="false" outlineLevel="0" collapsed="false">
      <c r="A755" s="3" t="s">
        <v>71</v>
      </c>
      <c r="B755" s="3" t="s">
        <v>72</v>
      </c>
      <c r="C755" s="3" t="s">
        <v>617</v>
      </c>
      <c r="D755" s="3" t="s">
        <v>618</v>
      </c>
      <c r="E755" s="3" t="n">
        <v>20171</v>
      </c>
      <c r="F755" s="3" t="s">
        <v>127</v>
      </c>
      <c r="G755" s="3" t="s">
        <v>15</v>
      </c>
      <c r="H755" s="1" t="n">
        <v>3.5</v>
      </c>
      <c r="I755" s="1" t="n">
        <v>0</v>
      </c>
      <c r="J755" s="1" t="n">
        <v>20201</v>
      </c>
      <c r="L755" s="1" t="str">
        <f aca="false">IF(D754&lt;&gt;D755,D755,"")</f>
        <v/>
      </c>
      <c r="M755" s="1" t="str">
        <f aca="false">IF(F754&lt;&gt;F755,F755,"")</f>
        <v/>
      </c>
    </row>
    <row r="756" customFormat="false" ht="15" hidden="false" customHeight="false" outlineLevel="0" collapsed="false">
      <c r="A756" s="3" t="s">
        <v>77</v>
      </c>
      <c r="B756" s="3" t="s">
        <v>78</v>
      </c>
      <c r="C756" s="3" t="s">
        <v>617</v>
      </c>
      <c r="D756" s="3" t="s">
        <v>618</v>
      </c>
      <c r="E756" s="3" t="n">
        <v>20171</v>
      </c>
      <c r="F756" s="3" t="s">
        <v>127</v>
      </c>
      <c r="G756" s="3" t="s">
        <v>14</v>
      </c>
      <c r="H756" s="1" t="n">
        <v>4</v>
      </c>
      <c r="I756" s="1" t="n">
        <v>0</v>
      </c>
      <c r="J756" s="1" t="n">
        <v>20201</v>
      </c>
      <c r="L756" s="1" t="str">
        <f aca="false">IF(D755&lt;&gt;D756,D756,"")</f>
        <v/>
      </c>
      <c r="M756" s="1" t="str">
        <f aca="false">IF(F755&lt;&gt;F756,F756,"")</f>
        <v/>
      </c>
    </row>
    <row r="757" customFormat="false" ht="15" hidden="false" customHeight="false" outlineLevel="0" collapsed="false">
      <c r="A757" s="3" t="s">
        <v>168</v>
      </c>
      <c r="B757" s="3" t="s">
        <v>169</v>
      </c>
      <c r="C757" s="3" t="s">
        <v>617</v>
      </c>
      <c r="D757" s="3" t="s">
        <v>618</v>
      </c>
      <c r="E757" s="3" t="n">
        <v>20171</v>
      </c>
      <c r="F757" s="3" t="s">
        <v>127</v>
      </c>
      <c r="G757" s="3" t="s">
        <v>124</v>
      </c>
      <c r="H757" s="1" t="n">
        <v>0</v>
      </c>
      <c r="I757" s="1" t="n">
        <v>0</v>
      </c>
      <c r="J757" s="1" t="n">
        <v>20201</v>
      </c>
      <c r="L757" s="1" t="str">
        <f aca="false">IF(D756&lt;&gt;D757,D757,"")</f>
        <v/>
      </c>
      <c r="M757" s="1" t="str">
        <f aca="false">IF(F756&lt;&gt;F757,F757,"")</f>
        <v/>
      </c>
    </row>
    <row r="758" customFormat="false" ht="15" hidden="false" customHeight="false" outlineLevel="0" collapsed="false">
      <c r="A758" s="3" t="s">
        <v>79</v>
      </c>
      <c r="B758" s="3" t="s">
        <v>80</v>
      </c>
      <c r="C758" s="3" t="s">
        <v>617</v>
      </c>
      <c r="D758" s="3" t="s">
        <v>618</v>
      </c>
      <c r="E758" s="3" t="n">
        <v>20171</v>
      </c>
      <c r="F758" s="3" t="s">
        <v>127</v>
      </c>
      <c r="G758" s="3" t="s">
        <v>14</v>
      </c>
      <c r="H758" s="1" t="n">
        <v>4</v>
      </c>
      <c r="I758" s="1" t="n">
        <v>0</v>
      </c>
      <c r="J758" s="1" t="n">
        <v>20201</v>
      </c>
      <c r="L758" s="1" t="str">
        <f aca="false">IF(D757&lt;&gt;D758,D758,"")</f>
        <v/>
      </c>
      <c r="M758" s="1" t="str">
        <f aca="false">IF(F757&lt;&gt;F758,F758,"")</f>
        <v/>
      </c>
    </row>
    <row r="759" customFormat="false" ht="15" hidden="false" customHeight="false" outlineLevel="0" collapsed="false">
      <c r="A759" s="3" t="s">
        <v>83</v>
      </c>
      <c r="B759" s="3" t="s">
        <v>84</v>
      </c>
      <c r="C759" s="3" t="s">
        <v>617</v>
      </c>
      <c r="D759" s="3" t="s">
        <v>618</v>
      </c>
      <c r="E759" s="3" t="n">
        <v>20171</v>
      </c>
      <c r="F759" s="3" t="s">
        <v>127</v>
      </c>
      <c r="G759" s="3" t="s">
        <v>18</v>
      </c>
      <c r="H759" s="1" t="n">
        <v>3</v>
      </c>
      <c r="I759" s="1" t="n">
        <v>0</v>
      </c>
      <c r="J759" s="1" t="n">
        <v>20201</v>
      </c>
      <c r="L759" s="1" t="str">
        <f aca="false">IF(D758&lt;&gt;D759,D759,"")</f>
        <v/>
      </c>
      <c r="M759" s="1" t="str">
        <f aca="false">IF(F758&lt;&gt;F759,F759,"")</f>
        <v/>
      </c>
    </row>
    <row r="760" customFormat="false" ht="15" hidden="false" customHeight="false" outlineLevel="0" collapsed="false">
      <c r="A760" s="3" t="s">
        <v>591</v>
      </c>
      <c r="B760" s="3" t="s">
        <v>592</v>
      </c>
      <c r="C760" s="3" t="s">
        <v>617</v>
      </c>
      <c r="D760" s="3" t="s">
        <v>618</v>
      </c>
      <c r="E760" s="3" t="n">
        <v>20171</v>
      </c>
      <c r="F760" s="3" t="s">
        <v>127</v>
      </c>
      <c r="G760" s="3" t="s">
        <v>30</v>
      </c>
      <c r="H760" s="1" t="n">
        <v>1.5</v>
      </c>
      <c r="I760" s="1" t="n">
        <v>0</v>
      </c>
      <c r="J760" s="1" t="n">
        <v>20201</v>
      </c>
      <c r="L760" s="1" t="str">
        <f aca="false">IF(D759&lt;&gt;D760,D760,"")</f>
        <v/>
      </c>
      <c r="M760" s="1" t="str">
        <f aca="false">IF(F759&lt;&gt;F760,F760,"")</f>
        <v/>
      </c>
    </row>
    <row r="761" customFormat="false" ht="15" hidden="false" customHeight="false" outlineLevel="0" collapsed="false">
      <c r="A761" s="3" t="s">
        <v>89</v>
      </c>
      <c r="B761" s="3" t="s">
        <v>90</v>
      </c>
      <c r="C761" s="3" t="s">
        <v>617</v>
      </c>
      <c r="D761" s="3" t="s">
        <v>618</v>
      </c>
      <c r="E761" s="3" t="n">
        <v>20171</v>
      </c>
      <c r="F761" s="3" t="s">
        <v>127</v>
      </c>
      <c r="G761" s="3" t="s">
        <v>14</v>
      </c>
      <c r="H761" s="1" t="n">
        <v>4</v>
      </c>
      <c r="I761" s="1" t="n">
        <v>0</v>
      </c>
      <c r="J761" s="1" t="n">
        <v>20201</v>
      </c>
      <c r="L761" s="1" t="str">
        <f aca="false">IF(D760&lt;&gt;D761,D761,"")</f>
        <v/>
      </c>
      <c r="M761" s="1" t="str">
        <f aca="false">IF(F760&lt;&gt;F761,F761,"")</f>
        <v/>
      </c>
    </row>
    <row r="762" customFormat="false" ht="15" hidden="false" customHeight="false" outlineLevel="0" collapsed="false">
      <c r="A762" s="3" t="s">
        <v>184</v>
      </c>
      <c r="B762" s="3" t="s">
        <v>185</v>
      </c>
      <c r="C762" s="3" t="s">
        <v>617</v>
      </c>
      <c r="D762" s="3" t="s">
        <v>618</v>
      </c>
      <c r="E762" s="3" t="n">
        <v>20171</v>
      </c>
      <c r="F762" s="3" t="s">
        <v>127</v>
      </c>
      <c r="G762" s="3" t="s">
        <v>30</v>
      </c>
      <c r="H762" s="1" t="n">
        <v>1.5</v>
      </c>
      <c r="I762" s="1" t="n">
        <v>0</v>
      </c>
      <c r="J762" s="1" t="n">
        <v>20201</v>
      </c>
      <c r="L762" s="1" t="str">
        <f aca="false">IF(D761&lt;&gt;D762,D762,"")</f>
        <v/>
      </c>
      <c r="M762" s="1" t="str">
        <f aca="false">IF(F761&lt;&gt;F762,F762,"")</f>
        <v/>
      </c>
    </row>
    <row r="763" customFormat="false" ht="15" hidden="false" customHeight="false" outlineLevel="0" collapsed="false">
      <c r="A763" s="3" t="s">
        <v>91</v>
      </c>
      <c r="B763" s="3" t="s">
        <v>92</v>
      </c>
      <c r="C763" s="3" t="s">
        <v>617</v>
      </c>
      <c r="D763" s="3" t="s">
        <v>618</v>
      </c>
      <c r="E763" s="3" t="n">
        <v>20171</v>
      </c>
      <c r="F763" s="3" t="s">
        <v>127</v>
      </c>
      <c r="G763" s="3" t="s">
        <v>18</v>
      </c>
      <c r="H763" s="1" t="n">
        <v>3</v>
      </c>
      <c r="I763" s="1" t="n">
        <v>0</v>
      </c>
      <c r="J763" s="1" t="n">
        <v>20201</v>
      </c>
      <c r="L763" s="1" t="str">
        <f aca="false">IF(D762&lt;&gt;D763,D763,"")</f>
        <v/>
      </c>
      <c r="M763" s="1" t="str">
        <f aca="false">IF(F762&lt;&gt;F763,F763,"")</f>
        <v/>
      </c>
    </row>
    <row r="764" customFormat="false" ht="15" hidden="false" customHeight="false" outlineLevel="0" collapsed="false">
      <c r="A764" s="3" t="s">
        <v>99</v>
      </c>
      <c r="B764" s="3" t="s">
        <v>100</v>
      </c>
      <c r="C764" s="3" t="s">
        <v>617</v>
      </c>
      <c r="D764" s="3" t="s">
        <v>618</v>
      </c>
      <c r="E764" s="3" t="n">
        <v>20171</v>
      </c>
      <c r="F764" s="3" t="s">
        <v>127</v>
      </c>
      <c r="G764" s="3" t="s">
        <v>30</v>
      </c>
      <c r="H764" s="1" t="n">
        <v>1.5</v>
      </c>
      <c r="I764" s="1" t="n">
        <v>0</v>
      </c>
      <c r="J764" s="1" t="n">
        <v>20201</v>
      </c>
      <c r="L764" s="1" t="str">
        <f aca="false">IF(D763&lt;&gt;D764,D764,"")</f>
        <v/>
      </c>
      <c r="M764" s="1" t="str">
        <f aca="false">IF(F763&lt;&gt;F764,F764,"")</f>
        <v/>
      </c>
    </row>
    <row r="765" customFormat="false" ht="15" hidden="false" customHeight="false" outlineLevel="0" collapsed="false">
      <c r="A765" s="3" t="s">
        <v>194</v>
      </c>
      <c r="B765" s="3" t="s">
        <v>195</v>
      </c>
      <c r="C765" s="3" t="s">
        <v>617</v>
      </c>
      <c r="D765" s="3" t="s">
        <v>618</v>
      </c>
      <c r="E765" s="3" t="n">
        <v>20171</v>
      </c>
      <c r="F765" s="3" t="s">
        <v>127</v>
      </c>
      <c r="G765" s="3" t="s">
        <v>18</v>
      </c>
      <c r="H765" s="1" t="n">
        <v>3</v>
      </c>
      <c r="I765" s="1" t="n">
        <v>0</v>
      </c>
      <c r="J765" s="1" t="n">
        <v>20201</v>
      </c>
      <c r="L765" s="1" t="str">
        <f aca="false">IF(D764&lt;&gt;D765,D765,"")</f>
        <v/>
      </c>
      <c r="M765" s="1" t="str">
        <f aca="false">IF(F764&lt;&gt;F765,F765,"")</f>
        <v/>
      </c>
    </row>
    <row r="766" customFormat="false" ht="15" hidden="false" customHeight="false" outlineLevel="0" collapsed="false">
      <c r="A766" s="3" t="s">
        <v>102</v>
      </c>
      <c r="B766" s="3" t="s">
        <v>103</v>
      </c>
      <c r="C766" s="3" t="s">
        <v>617</v>
      </c>
      <c r="D766" s="3" t="s">
        <v>618</v>
      </c>
      <c r="E766" s="3" t="n">
        <v>20171</v>
      </c>
      <c r="F766" s="3" t="s">
        <v>127</v>
      </c>
      <c r="G766" s="3" t="s">
        <v>30</v>
      </c>
      <c r="H766" s="1" t="n">
        <v>1.5</v>
      </c>
      <c r="I766" s="1" t="n">
        <v>0</v>
      </c>
      <c r="J766" s="1" t="n">
        <v>20201</v>
      </c>
      <c r="L766" s="1" t="str">
        <f aca="false">IF(D765&lt;&gt;D766,D766,"")</f>
        <v/>
      </c>
      <c r="M766" s="1" t="str">
        <f aca="false">IF(F765&lt;&gt;F766,F766,"")</f>
        <v/>
      </c>
    </row>
    <row r="767" s="3" customFormat="true" ht="15" hidden="false" customHeight="false" outlineLevel="0" collapsed="false">
      <c r="A767" s="3" t="s">
        <v>10</v>
      </c>
      <c r="B767" s="3" t="s">
        <v>11</v>
      </c>
      <c r="C767" s="3" t="s">
        <v>641</v>
      </c>
      <c r="D767" s="3" t="s">
        <v>642</v>
      </c>
      <c r="E767" s="3" t="n">
        <v>20171</v>
      </c>
      <c r="F767" s="3" t="s">
        <v>14</v>
      </c>
      <c r="G767" s="3" t="s">
        <v>15</v>
      </c>
      <c r="H767" s="3" t="n">
        <v>3.5</v>
      </c>
      <c r="I767" s="3" t="n">
        <v>0</v>
      </c>
      <c r="J767" s="3" t="n">
        <v>20201</v>
      </c>
      <c r="L767" s="3" t="str">
        <f aca="false">IF(D766&lt;&gt;D767,D767,"")</f>
        <v>EKONOMI TEKNIK</v>
      </c>
      <c r="M767" s="3" t="str">
        <f aca="false">IF(F766&lt;&gt;F767,F767,"")</f>
        <v>A</v>
      </c>
    </row>
    <row r="768" customFormat="false" ht="15" hidden="false" customHeight="false" outlineLevel="0" collapsed="false">
      <c r="A768" s="3" t="s">
        <v>559</v>
      </c>
      <c r="B768" s="3" t="s">
        <v>560</v>
      </c>
      <c r="C768" s="3" t="s">
        <v>641</v>
      </c>
      <c r="D768" s="3" t="s">
        <v>642</v>
      </c>
      <c r="E768" s="3" t="n">
        <v>20171</v>
      </c>
      <c r="F768" s="3" t="s">
        <v>14</v>
      </c>
      <c r="G768" s="3" t="s">
        <v>124</v>
      </c>
      <c r="H768" s="1" t="n">
        <v>0</v>
      </c>
      <c r="I768" s="1" t="n">
        <v>0</v>
      </c>
      <c r="J768" s="1" t="n">
        <v>20201</v>
      </c>
      <c r="L768" s="1" t="str">
        <f aca="false">IF(D767&lt;&gt;D768,D768,"")</f>
        <v/>
      </c>
      <c r="M768" s="1" t="str">
        <f aca="false">IF(F767&lt;&gt;F768,F768,"")</f>
        <v/>
      </c>
    </row>
    <row r="769" customFormat="false" ht="15" hidden="false" customHeight="false" outlineLevel="0" collapsed="false">
      <c r="A769" s="3" t="s">
        <v>643</v>
      </c>
      <c r="B769" s="3" t="s">
        <v>644</v>
      </c>
      <c r="C769" s="3" t="s">
        <v>641</v>
      </c>
      <c r="D769" s="3" t="s">
        <v>642</v>
      </c>
      <c r="E769" s="3" t="n">
        <v>20171</v>
      </c>
      <c r="F769" s="3" t="s">
        <v>14</v>
      </c>
      <c r="G769" s="3" t="s">
        <v>124</v>
      </c>
      <c r="H769" s="1" t="n">
        <v>0</v>
      </c>
      <c r="I769" s="1" t="n">
        <v>0</v>
      </c>
      <c r="J769" s="1" t="n">
        <v>20201</v>
      </c>
      <c r="L769" s="1" t="str">
        <f aca="false">IF(D768&lt;&gt;D769,D769,"")</f>
        <v/>
      </c>
      <c r="M769" s="1" t="str">
        <f aca="false">IF(F768&lt;&gt;F769,F769,"")</f>
        <v/>
      </c>
    </row>
    <row r="770" customFormat="false" ht="15" hidden="false" customHeight="false" outlineLevel="0" collapsed="false">
      <c r="A770" s="3" t="s">
        <v>563</v>
      </c>
      <c r="B770" s="3" t="s">
        <v>564</v>
      </c>
      <c r="C770" s="3" t="s">
        <v>641</v>
      </c>
      <c r="D770" s="3" t="s">
        <v>642</v>
      </c>
      <c r="E770" s="3" t="n">
        <v>20171</v>
      </c>
      <c r="F770" s="3" t="s">
        <v>14</v>
      </c>
      <c r="G770" s="3" t="s">
        <v>124</v>
      </c>
      <c r="H770" s="1" t="n">
        <v>0</v>
      </c>
      <c r="I770" s="1" t="n">
        <v>0</v>
      </c>
      <c r="J770" s="1" t="n">
        <v>20201</v>
      </c>
      <c r="L770" s="1" t="str">
        <f aca="false">IF(D769&lt;&gt;D770,D770,"")</f>
        <v/>
      </c>
      <c r="M770" s="1" t="str">
        <f aca="false">IF(F769&lt;&gt;F770,F770,"")</f>
        <v/>
      </c>
    </row>
    <row r="771" customFormat="false" ht="15" hidden="false" customHeight="false" outlineLevel="0" collapsed="false">
      <c r="A771" s="3" t="s">
        <v>601</v>
      </c>
      <c r="B771" s="3" t="s">
        <v>602</v>
      </c>
      <c r="C771" s="3" t="s">
        <v>641</v>
      </c>
      <c r="D771" s="3" t="s">
        <v>642</v>
      </c>
      <c r="E771" s="3" t="n">
        <v>20171</v>
      </c>
      <c r="F771" s="3" t="s">
        <v>14</v>
      </c>
      <c r="G771" s="3" t="s">
        <v>101</v>
      </c>
      <c r="H771" s="1" t="n">
        <v>2.5</v>
      </c>
      <c r="I771" s="1" t="n">
        <v>0</v>
      </c>
      <c r="J771" s="1" t="n">
        <v>20201</v>
      </c>
      <c r="L771" s="1" t="str">
        <f aca="false">IF(D770&lt;&gt;D771,D771,"")</f>
        <v/>
      </c>
      <c r="M771" s="1" t="str">
        <f aca="false">IF(F770&lt;&gt;F771,F771,"")</f>
        <v/>
      </c>
    </row>
    <row r="772" customFormat="false" ht="15" hidden="false" customHeight="false" outlineLevel="0" collapsed="false">
      <c r="A772" s="3" t="s">
        <v>645</v>
      </c>
      <c r="B772" s="3" t="s">
        <v>646</v>
      </c>
      <c r="C772" s="3" t="s">
        <v>641</v>
      </c>
      <c r="D772" s="3" t="s">
        <v>642</v>
      </c>
      <c r="E772" s="3" t="n">
        <v>20171</v>
      </c>
      <c r="F772" s="3" t="s">
        <v>14</v>
      </c>
      <c r="G772" s="3" t="s">
        <v>18</v>
      </c>
      <c r="H772" s="1" t="n">
        <v>3</v>
      </c>
      <c r="I772" s="1" t="n">
        <v>0</v>
      </c>
      <c r="J772" s="1" t="n">
        <v>20201</v>
      </c>
      <c r="L772" s="1" t="str">
        <f aca="false">IF(D771&lt;&gt;D772,D772,"")</f>
        <v/>
      </c>
      <c r="M772" s="1" t="str">
        <f aca="false">IF(F771&lt;&gt;F772,F772,"")</f>
        <v/>
      </c>
    </row>
    <row r="773" customFormat="false" ht="15" hidden="false" customHeight="false" outlineLevel="0" collapsed="false">
      <c r="A773" s="3" t="s">
        <v>625</v>
      </c>
      <c r="B773" s="3" t="s">
        <v>626</v>
      </c>
      <c r="C773" s="3" t="s">
        <v>641</v>
      </c>
      <c r="D773" s="3" t="s">
        <v>642</v>
      </c>
      <c r="E773" s="3" t="n">
        <v>20171</v>
      </c>
      <c r="F773" s="3" t="s">
        <v>14</v>
      </c>
      <c r="G773" s="3" t="s">
        <v>101</v>
      </c>
      <c r="H773" s="1" t="n">
        <v>2.5</v>
      </c>
      <c r="I773" s="1" t="n">
        <v>0</v>
      </c>
      <c r="J773" s="1" t="n">
        <v>20201</v>
      </c>
      <c r="L773" s="1" t="str">
        <f aca="false">IF(D772&lt;&gt;D773,D773,"")</f>
        <v/>
      </c>
      <c r="M773" s="1" t="str">
        <f aca="false">IF(F772&lt;&gt;F773,F773,"")</f>
        <v/>
      </c>
    </row>
    <row r="774" customFormat="false" ht="15" hidden="false" customHeight="false" outlineLevel="0" collapsed="false">
      <c r="A774" s="3" t="s">
        <v>647</v>
      </c>
      <c r="B774" s="3" t="s">
        <v>648</v>
      </c>
      <c r="C774" s="3" t="s">
        <v>641</v>
      </c>
      <c r="D774" s="3" t="s">
        <v>642</v>
      </c>
      <c r="E774" s="3" t="n">
        <v>20171</v>
      </c>
      <c r="F774" s="3" t="s">
        <v>14</v>
      </c>
      <c r="G774" s="3" t="s">
        <v>101</v>
      </c>
      <c r="H774" s="1" t="n">
        <v>2.5</v>
      </c>
      <c r="I774" s="1" t="n">
        <v>0</v>
      </c>
      <c r="J774" s="1" t="n">
        <v>20201</v>
      </c>
      <c r="L774" s="1" t="str">
        <f aca="false">IF(D773&lt;&gt;D774,D774,"")</f>
        <v/>
      </c>
      <c r="M774" s="1" t="str">
        <f aca="false">IF(F773&lt;&gt;F774,F774,"")</f>
        <v/>
      </c>
    </row>
    <row r="775" customFormat="false" ht="15" hidden="false" customHeight="false" outlineLevel="0" collapsed="false">
      <c r="A775" s="3" t="s">
        <v>221</v>
      </c>
      <c r="B775" s="3" t="s">
        <v>222</v>
      </c>
      <c r="C775" s="3" t="s">
        <v>641</v>
      </c>
      <c r="D775" s="3" t="s">
        <v>642</v>
      </c>
      <c r="E775" s="3" t="n">
        <v>20171</v>
      </c>
      <c r="F775" s="3" t="s">
        <v>14</v>
      </c>
      <c r="G775" s="3" t="s">
        <v>15</v>
      </c>
      <c r="H775" s="1" t="n">
        <v>3.5</v>
      </c>
      <c r="I775" s="1" t="n">
        <v>0</v>
      </c>
      <c r="J775" s="1" t="n">
        <v>20201</v>
      </c>
      <c r="L775" s="1" t="str">
        <f aca="false">IF(D774&lt;&gt;D775,D775,"")</f>
        <v/>
      </c>
      <c r="M775" s="1" t="str">
        <f aca="false">IF(F774&lt;&gt;F775,F775,"")</f>
        <v/>
      </c>
    </row>
    <row r="776" customFormat="false" ht="15" hidden="false" customHeight="false" outlineLevel="0" collapsed="false">
      <c r="A776" s="3" t="s">
        <v>160</v>
      </c>
      <c r="B776" s="3" t="s">
        <v>161</v>
      </c>
      <c r="C776" s="3" t="s">
        <v>641</v>
      </c>
      <c r="D776" s="3" t="s">
        <v>642</v>
      </c>
      <c r="E776" s="3" t="n">
        <v>20171</v>
      </c>
      <c r="F776" s="3" t="s">
        <v>14</v>
      </c>
      <c r="G776" s="3" t="s">
        <v>124</v>
      </c>
      <c r="H776" s="1" t="n">
        <v>0</v>
      </c>
      <c r="I776" s="1" t="n">
        <v>0</v>
      </c>
      <c r="J776" s="1" t="n">
        <v>20201</v>
      </c>
      <c r="L776" s="1" t="str">
        <f aca="false">IF(D775&lt;&gt;D776,D776,"")</f>
        <v/>
      </c>
      <c r="M776" s="1" t="str">
        <f aca="false">IF(F775&lt;&gt;F776,F776,"")</f>
        <v/>
      </c>
    </row>
    <row r="777" customFormat="false" ht="15" hidden="false" customHeight="false" outlineLevel="0" collapsed="false">
      <c r="A777" s="3" t="s">
        <v>178</v>
      </c>
      <c r="B777" s="3" t="s">
        <v>179</v>
      </c>
      <c r="C777" s="3" t="s">
        <v>641</v>
      </c>
      <c r="D777" s="3" t="s">
        <v>642</v>
      </c>
      <c r="E777" s="3" t="n">
        <v>20171</v>
      </c>
      <c r="F777" s="3" t="s">
        <v>14</v>
      </c>
      <c r="G777" s="3" t="s">
        <v>18</v>
      </c>
      <c r="H777" s="1" t="n">
        <v>3</v>
      </c>
      <c r="I777" s="1" t="n">
        <v>0</v>
      </c>
      <c r="J777" s="1" t="n">
        <v>20201</v>
      </c>
      <c r="L777" s="1" t="str">
        <f aca="false">IF(D776&lt;&gt;D777,D777,"")</f>
        <v/>
      </c>
      <c r="M777" s="1" t="str">
        <f aca="false">IF(F776&lt;&gt;F777,F777,"")</f>
        <v/>
      </c>
    </row>
    <row r="778" customFormat="false" ht="15" hidden="false" customHeight="false" outlineLevel="0" collapsed="false">
      <c r="A778" s="3" t="s">
        <v>85</v>
      </c>
      <c r="B778" s="3" t="s">
        <v>86</v>
      </c>
      <c r="C778" s="3" t="s">
        <v>641</v>
      </c>
      <c r="D778" s="3" t="s">
        <v>642</v>
      </c>
      <c r="E778" s="3" t="n">
        <v>20171</v>
      </c>
      <c r="F778" s="3" t="s">
        <v>14</v>
      </c>
      <c r="G778" s="3" t="s">
        <v>18</v>
      </c>
      <c r="H778" s="1" t="n">
        <v>3</v>
      </c>
      <c r="I778" s="1" t="n">
        <v>0</v>
      </c>
      <c r="J778" s="1" t="n">
        <v>20201</v>
      </c>
      <c r="L778" s="1" t="str">
        <f aca="false">IF(D777&lt;&gt;D778,D778,"")</f>
        <v/>
      </c>
      <c r="M778" s="1" t="str">
        <f aca="false">IF(F777&lt;&gt;F778,F778,"")</f>
        <v/>
      </c>
    </row>
    <row r="779" customFormat="false" ht="15" hidden="false" customHeight="false" outlineLevel="0" collapsed="false">
      <c r="A779" s="3" t="s">
        <v>649</v>
      </c>
      <c r="B779" s="3" t="s">
        <v>650</v>
      </c>
      <c r="C779" s="3" t="s">
        <v>641</v>
      </c>
      <c r="D779" s="3" t="s">
        <v>642</v>
      </c>
      <c r="E779" s="3" t="n">
        <v>20171</v>
      </c>
      <c r="F779" s="3" t="s">
        <v>18</v>
      </c>
      <c r="G779" s="3" t="s">
        <v>127</v>
      </c>
      <c r="H779" s="1" t="n">
        <v>2</v>
      </c>
      <c r="I779" s="1" t="n">
        <v>0</v>
      </c>
      <c r="J779" s="1" t="n">
        <v>20201</v>
      </c>
      <c r="L779" s="1" t="str">
        <f aca="false">IF(D778&lt;&gt;D779,D779,"")</f>
        <v/>
      </c>
      <c r="M779" s="1" t="str">
        <f aca="false">IF(F778&lt;&gt;F779,F779,"")</f>
        <v>B</v>
      </c>
    </row>
    <row r="780" customFormat="false" ht="15" hidden="false" customHeight="false" outlineLevel="0" collapsed="false">
      <c r="A780" s="3" t="s">
        <v>611</v>
      </c>
      <c r="B780" s="3" t="s">
        <v>612</v>
      </c>
      <c r="C780" s="3" t="s">
        <v>641</v>
      </c>
      <c r="D780" s="3" t="s">
        <v>642</v>
      </c>
      <c r="E780" s="3" t="n">
        <v>20171</v>
      </c>
      <c r="F780" s="3" t="s">
        <v>18</v>
      </c>
      <c r="G780" s="3" t="s">
        <v>101</v>
      </c>
      <c r="H780" s="1" t="n">
        <v>2.5</v>
      </c>
      <c r="I780" s="1" t="n">
        <v>0</v>
      </c>
      <c r="J780" s="1" t="n">
        <v>20201</v>
      </c>
      <c r="L780" s="1" t="str">
        <f aca="false">IF(D779&lt;&gt;D780,D780,"")</f>
        <v/>
      </c>
      <c r="M780" s="1" t="str">
        <f aca="false">IF(F779&lt;&gt;F780,F780,"")</f>
        <v/>
      </c>
    </row>
    <row r="781" customFormat="false" ht="15" hidden="false" customHeight="false" outlineLevel="0" collapsed="false">
      <c r="A781" s="3" t="s">
        <v>651</v>
      </c>
      <c r="B781" s="3" t="s">
        <v>652</v>
      </c>
      <c r="C781" s="3" t="s">
        <v>641</v>
      </c>
      <c r="D781" s="3" t="s">
        <v>642</v>
      </c>
      <c r="E781" s="3" t="n">
        <v>20171</v>
      </c>
      <c r="F781" s="3" t="s">
        <v>18</v>
      </c>
      <c r="G781" s="3" t="s">
        <v>14</v>
      </c>
      <c r="H781" s="1" t="n">
        <v>4</v>
      </c>
      <c r="I781" s="1" t="n">
        <v>0</v>
      </c>
      <c r="J781" s="1" t="n">
        <v>20201</v>
      </c>
      <c r="L781" s="1" t="str">
        <f aca="false">IF(D780&lt;&gt;D781,D781,"")</f>
        <v/>
      </c>
      <c r="M781" s="1" t="str">
        <f aca="false">IF(F780&lt;&gt;F781,F781,"")</f>
        <v/>
      </c>
    </row>
    <row r="782" customFormat="false" ht="15" hidden="false" customHeight="false" outlineLevel="0" collapsed="false">
      <c r="A782" s="3" t="s">
        <v>653</v>
      </c>
      <c r="B782" s="3" t="s">
        <v>654</v>
      </c>
      <c r="C782" s="3" t="s">
        <v>641</v>
      </c>
      <c r="D782" s="3" t="s">
        <v>642</v>
      </c>
      <c r="E782" s="3" t="n">
        <v>20171</v>
      </c>
      <c r="F782" s="3" t="s">
        <v>18</v>
      </c>
      <c r="G782" s="3" t="s">
        <v>23</v>
      </c>
      <c r="H782" s="1" t="n">
        <v>0</v>
      </c>
      <c r="I782" s="1" t="n">
        <v>0</v>
      </c>
      <c r="J782" s="1" t="n">
        <v>20201</v>
      </c>
      <c r="L782" s="1" t="str">
        <f aca="false">IF(D781&lt;&gt;D782,D782,"")</f>
        <v/>
      </c>
      <c r="M782" s="1" t="str">
        <f aca="false">IF(F781&lt;&gt;F782,F782,"")</f>
        <v/>
      </c>
    </row>
    <row r="783" customFormat="false" ht="15" hidden="false" customHeight="false" outlineLevel="0" collapsed="false">
      <c r="A783" s="3" t="s">
        <v>655</v>
      </c>
      <c r="B783" s="3" t="s">
        <v>656</v>
      </c>
      <c r="C783" s="3" t="s">
        <v>641</v>
      </c>
      <c r="D783" s="3" t="s">
        <v>642</v>
      </c>
      <c r="E783" s="3" t="n">
        <v>20171</v>
      </c>
      <c r="F783" s="3" t="s">
        <v>18</v>
      </c>
      <c r="G783" s="3" t="s">
        <v>30</v>
      </c>
      <c r="H783" s="1" t="n">
        <v>1.5</v>
      </c>
      <c r="I783" s="1" t="n">
        <v>0</v>
      </c>
      <c r="J783" s="1" t="n">
        <v>20201</v>
      </c>
      <c r="L783" s="1" t="str">
        <f aca="false">IF(D782&lt;&gt;D783,D783,"")</f>
        <v/>
      </c>
      <c r="M783" s="1" t="str">
        <f aca="false">IF(F782&lt;&gt;F783,F783,"")</f>
        <v/>
      </c>
    </row>
    <row r="784" customFormat="false" ht="15" hidden="false" customHeight="false" outlineLevel="0" collapsed="false">
      <c r="A784" s="3" t="s">
        <v>259</v>
      </c>
      <c r="B784" s="3" t="s">
        <v>260</v>
      </c>
      <c r="C784" s="3" t="s">
        <v>641</v>
      </c>
      <c r="D784" s="3" t="s">
        <v>642</v>
      </c>
      <c r="E784" s="3" t="n">
        <v>20171</v>
      </c>
      <c r="F784" s="3" t="s">
        <v>18</v>
      </c>
      <c r="G784" s="3" t="s">
        <v>23</v>
      </c>
      <c r="H784" s="1" t="n">
        <v>0</v>
      </c>
      <c r="I784" s="1" t="n">
        <v>0</v>
      </c>
      <c r="J784" s="1" t="n">
        <v>20201</v>
      </c>
      <c r="L784" s="1" t="str">
        <f aca="false">IF(D783&lt;&gt;D784,D784,"")</f>
        <v/>
      </c>
      <c r="M784" s="1" t="str">
        <f aca="false">IF(F783&lt;&gt;F784,F784,"")</f>
        <v/>
      </c>
    </row>
    <row r="785" customFormat="false" ht="15" hidden="false" customHeight="false" outlineLevel="0" collapsed="false">
      <c r="A785" s="3" t="s">
        <v>575</v>
      </c>
      <c r="B785" s="3" t="s">
        <v>576</v>
      </c>
      <c r="C785" s="3" t="s">
        <v>641</v>
      </c>
      <c r="D785" s="3" t="s">
        <v>642</v>
      </c>
      <c r="E785" s="3" t="n">
        <v>20171</v>
      </c>
      <c r="F785" s="3" t="s">
        <v>18</v>
      </c>
      <c r="G785" s="3" t="s">
        <v>23</v>
      </c>
      <c r="H785" s="1" t="n">
        <v>0</v>
      </c>
      <c r="I785" s="1" t="n">
        <v>0</v>
      </c>
      <c r="J785" s="1" t="n">
        <v>20201</v>
      </c>
      <c r="L785" s="1" t="str">
        <f aca="false">IF(D784&lt;&gt;D785,D785,"")</f>
        <v/>
      </c>
      <c r="M785" s="1" t="str">
        <f aca="false">IF(F784&lt;&gt;F785,F785,"")</f>
        <v/>
      </c>
    </row>
    <row r="786" customFormat="false" ht="15" hidden="false" customHeight="false" outlineLevel="0" collapsed="false">
      <c r="A786" s="3" t="s">
        <v>21</v>
      </c>
      <c r="B786" s="3" t="s">
        <v>22</v>
      </c>
      <c r="C786" s="3" t="s">
        <v>641</v>
      </c>
      <c r="D786" s="3" t="s">
        <v>642</v>
      </c>
      <c r="E786" s="3" t="n">
        <v>20171</v>
      </c>
      <c r="F786" s="3" t="s">
        <v>18</v>
      </c>
      <c r="G786" s="3" t="s">
        <v>23</v>
      </c>
      <c r="H786" s="1" t="n">
        <v>0</v>
      </c>
      <c r="I786" s="1" t="n">
        <v>0</v>
      </c>
      <c r="J786" s="1" t="n">
        <v>20201</v>
      </c>
      <c r="L786" s="1" t="str">
        <f aca="false">IF(D785&lt;&gt;D786,D786,"")</f>
        <v/>
      </c>
      <c r="M786" s="1" t="str">
        <f aca="false">IF(F785&lt;&gt;F786,F786,"")</f>
        <v/>
      </c>
    </row>
    <row r="787" customFormat="false" ht="15" hidden="false" customHeight="false" outlineLevel="0" collapsed="false">
      <c r="A787" s="3" t="s">
        <v>657</v>
      </c>
      <c r="B787" s="3" t="s">
        <v>658</v>
      </c>
      <c r="C787" s="3" t="s">
        <v>641</v>
      </c>
      <c r="D787" s="3" t="s">
        <v>642</v>
      </c>
      <c r="E787" s="3" t="n">
        <v>20171</v>
      </c>
      <c r="F787" s="3" t="s">
        <v>18</v>
      </c>
      <c r="G787" s="3" t="s">
        <v>14</v>
      </c>
      <c r="H787" s="1" t="n">
        <v>4</v>
      </c>
      <c r="I787" s="1" t="n">
        <v>0</v>
      </c>
      <c r="J787" s="1" t="n">
        <v>20201</v>
      </c>
      <c r="L787" s="1" t="str">
        <f aca="false">IF(D786&lt;&gt;D787,D787,"")</f>
        <v/>
      </c>
      <c r="M787" s="1" t="str">
        <f aca="false">IF(F786&lt;&gt;F787,F787,"")</f>
        <v/>
      </c>
    </row>
    <row r="788" customFormat="false" ht="15" hidden="false" customHeight="false" outlineLevel="0" collapsed="false">
      <c r="A788" s="3" t="s">
        <v>659</v>
      </c>
      <c r="B788" s="3" t="s">
        <v>660</v>
      </c>
      <c r="C788" s="3" t="s">
        <v>641</v>
      </c>
      <c r="D788" s="3" t="s">
        <v>642</v>
      </c>
      <c r="E788" s="3" t="n">
        <v>20171</v>
      </c>
      <c r="F788" s="3" t="s">
        <v>18</v>
      </c>
      <c r="G788" s="3" t="s">
        <v>23</v>
      </c>
      <c r="H788" s="1" t="n">
        <v>0</v>
      </c>
      <c r="I788" s="1" t="n">
        <v>0</v>
      </c>
      <c r="J788" s="1" t="n">
        <v>20201</v>
      </c>
      <c r="L788" s="1" t="str">
        <f aca="false">IF(D787&lt;&gt;D788,D788,"")</f>
        <v/>
      </c>
      <c r="M788" s="1" t="str">
        <f aca="false">IF(F787&lt;&gt;F788,F788,"")</f>
        <v/>
      </c>
    </row>
    <row r="789" customFormat="false" ht="15" hidden="false" customHeight="false" outlineLevel="0" collapsed="false">
      <c r="A789" s="3" t="s">
        <v>661</v>
      </c>
      <c r="B789" s="3" t="s">
        <v>662</v>
      </c>
      <c r="C789" s="3" t="s">
        <v>641</v>
      </c>
      <c r="D789" s="3" t="s">
        <v>642</v>
      </c>
      <c r="E789" s="3" t="n">
        <v>20171</v>
      </c>
      <c r="F789" s="3" t="s">
        <v>18</v>
      </c>
      <c r="G789" s="3" t="s">
        <v>18</v>
      </c>
      <c r="H789" s="1" t="n">
        <v>3</v>
      </c>
      <c r="I789" s="1" t="n">
        <v>0</v>
      </c>
      <c r="J789" s="1" t="n">
        <v>20201</v>
      </c>
      <c r="L789" s="1" t="str">
        <f aca="false">IF(D788&lt;&gt;D789,D789,"")</f>
        <v/>
      </c>
      <c r="M789" s="1" t="str">
        <f aca="false">IF(F788&lt;&gt;F789,F789,"")</f>
        <v/>
      </c>
    </row>
    <row r="790" customFormat="false" ht="15" hidden="false" customHeight="false" outlineLevel="0" collapsed="false">
      <c r="A790" s="3" t="s">
        <v>267</v>
      </c>
      <c r="B790" s="3" t="s">
        <v>268</v>
      </c>
      <c r="C790" s="3" t="s">
        <v>641</v>
      </c>
      <c r="D790" s="3" t="s">
        <v>642</v>
      </c>
      <c r="E790" s="3" t="n">
        <v>20171</v>
      </c>
      <c r="F790" s="3" t="s">
        <v>18</v>
      </c>
      <c r="G790" s="3" t="s">
        <v>514</v>
      </c>
      <c r="H790" s="1" t="n">
        <v>1</v>
      </c>
      <c r="I790" s="1" t="n">
        <v>0</v>
      </c>
      <c r="J790" s="1" t="n">
        <v>20201</v>
      </c>
      <c r="L790" s="1" t="str">
        <f aca="false">IF(D789&lt;&gt;D790,D790,"")</f>
        <v/>
      </c>
      <c r="M790" s="1" t="str">
        <f aca="false">IF(F789&lt;&gt;F790,F790,"")</f>
        <v/>
      </c>
    </row>
    <row r="791" customFormat="false" ht="15" hidden="false" customHeight="false" outlineLevel="0" collapsed="false">
      <c r="A791" s="3" t="s">
        <v>269</v>
      </c>
      <c r="B791" s="3" t="s">
        <v>270</v>
      </c>
      <c r="C791" s="3" t="s">
        <v>641</v>
      </c>
      <c r="D791" s="3" t="s">
        <v>642</v>
      </c>
      <c r="E791" s="3" t="n">
        <v>20171</v>
      </c>
      <c r="F791" s="3" t="s">
        <v>18</v>
      </c>
      <c r="G791" s="3" t="s">
        <v>23</v>
      </c>
      <c r="H791" s="1" t="n">
        <v>0</v>
      </c>
      <c r="I791" s="1" t="n">
        <v>0</v>
      </c>
      <c r="J791" s="1" t="n">
        <v>20201</v>
      </c>
      <c r="L791" s="1" t="str">
        <f aca="false">IF(D790&lt;&gt;D791,D791,"")</f>
        <v/>
      </c>
      <c r="M791" s="1" t="str">
        <f aca="false">IF(F790&lt;&gt;F791,F791,"")</f>
        <v/>
      </c>
    </row>
    <row r="792" customFormat="false" ht="15" hidden="false" customHeight="false" outlineLevel="0" collapsed="false">
      <c r="A792" s="3" t="s">
        <v>663</v>
      </c>
      <c r="B792" s="3" t="s">
        <v>664</v>
      </c>
      <c r="C792" s="3" t="s">
        <v>641</v>
      </c>
      <c r="D792" s="3" t="s">
        <v>642</v>
      </c>
      <c r="E792" s="3" t="n">
        <v>20171</v>
      </c>
      <c r="F792" s="3" t="s">
        <v>18</v>
      </c>
      <c r="G792" s="3" t="s">
        <v>23</v>
      </c>
      <c r="H792" s="1" t="n">
        <v>0</v>
      </c>
      <c r="I792" s="1" t="n">
        <v>0</v>
      </c>
      <c r="J792" s="1" t="n">
        <v>20201</v>
      </c>
      <c r="L792" s="1" t="str">
        <f aca="false">IF(D791&lt;&gt;D792,D792,"")</f>
        <v/>
      </c>
      <c r="M792" s="1" t="str">
        <f aca="false">IF(F791&lt;&gt;F792,F792,"")</f>
        <v/>
      </c>
    </row>
    <row r="793" customFormat="false" ht="15" hidden="false" customHeight="false" outlineLevel="0" collapsed="false">
      <c r="A793" s="3" t="s">
        <v>665</v>
      </c>
      <c r="B793" s="3" t="s">
        <v>666</v>
      </c>
      <c r="C793" s="3" t="s">
        <v>641</v>
      </c>
      <c r="D793" s="3" t="s">
        <v>642</v>
      </c>
      <c r="E793" s="3" t="n">
        <v>20171</v>
      </c>
      <c r="F793" s="3" t="s">
        <v>18</v>
      </c>
      <c r="G793" s="3" t="s">
        <v>23</v>
      </c>
      <c r="H793" s="1" t="n">
        <v>0</v>
      </c>
      <c r="I793" s="1" t="n">
        <v>0</v>
      </c>
      <c r="J793" s="1" t="n">
        <v>20201</v>
      </c>
      <c r="L793" s="1" t="str">
        <f aca="false">IF(D792&lt;&gt;D793,D793,"")</f>
        <v/>
      </c>
      <c r="M793" s="1" t="str">
        <f aca="false">IF(F792&lt;&gt;F793,F793,"")</f>
        <v/>
      </c>
    </row>
    <row r="794" customFormat="false" ht="15" hidden="false" customHeight="false" outlineLevel="0" collapsed="false">
      <c r="A794" s="3" t="s">
        <v>128</v>
      </c>
      <c r="B794" s="3" t="s">
        <v>129</v>
      </c>
      <c r="C794" s="3" t="s">
        <v>641</v>
      </c>
      <c r="D794" s="3" t="s">
        <v>642</v>
      </c>
      <c r="E794" s="3" t="n">
        <v>20171</v>
      </c>
      <c r="F794" s="3" t="s">
        <v>18</v>
      </c>
      <c r="G794" s="3" t="s">
        <v>14</v>
      </c>
      <c r="H794" s="1" t="n">
        <v>4</v>
      </c>
      <c r="I794" s="1" t="n">
        <v>0</v>
      </c>
      <c r="J794" s="1" t="n">
        <v>20201</v>
      </c>
      <c r="L794" s="1" t="str">
        <f aca="false">IF(D793&lt;&gt;D794,D794,"")</f>
        <v/>
      </c>
      <c r="M794" s="1" t="str">
        <f aca="false">IF(F793&lt;&gt;F794,F794,"")</f>
        <v/>
      </c>
    </row>
    <row r="795" customFormat="false" ht="15" hidden="false" customHeight="false" outlineLevel="0" collapsed="false">
      <c r="A795" s="3" t="s">
        <v>67</v>
      </c>
      <c r="B795" s="3" t="s">
        <v>68</v>
      </c>
      <c r="C795" s="3" t="s">
        <v>641</v>
      </c>
      <c r="D795" s="3" t="s">
        <v>642</v>
      </c>
      <c r="E795" s="3" t="n">
        <v>20171</v>
      </c>
      <c r="F795" s="3" t="s">
        <v>18</v>
      </c>
      <c r="G795" s="3" t="s">
        <v>101</v>
      </c>
      <c r="H795" s="1" t="n">
        <v>2.5</v>
      </c>
      <c r="I795" s="1" t="n">
        <v>0</v>
      </c>
      <c r="J795" s="1" t="n">
        <v>20201</v>
      </c>
      <c r="L795" s="1" t="str">
        <f aca="false">IF(D794&lt;&gt;D795,D795,"")</f>
        <v/>
      </c>
      <c r="M795" s="1" t="str">
        <f aca="false">IF(F794&lt;&gt;F795,F795,"")</f>
        <v/>
      </c>
    </row>
    <row r="796" customFormat="false" ht="15" hidden="false" customHeight="false" outlineLevel="0" collapsed="false">
      <c r="A796" s="3" t="s">
        <v>75</v>
      </c>
      <c r="B796" s="3" t="s">
        <v>76</v>
      </c>
      <c r="C796" s="3" t="s">
        <v>641</v>
      </c>
      <c r="D796" s="3" t="s">
        <v>642</v>
      </c>
      <c r="E796" s="3" t="n">
        <v>20171</v>
      </c>
      <c r="F796" s="3" t="s">
        <v>18</v>
      </c>
      <c r="G796" s="3" t="s">
        <v>15</v>
      </c>
      <c r="H796" s="1" t="n">
        <v>3.5</v>
      </c>
      <c r="I796" s="1" t="n">
        <v>0</v>
      </c>
      <c r="J796" s="1" t="n">
        <v>20201</v>
      </c>
      <c r="L796" s="1" t="str">
        <f aca="false">IF(D795&lt;&gt;D796,D796,"")</f>
        <v/>
      </c>
      <c r="M796" s="1" t="str">
        <f aca="false">IF(F795&lt;&gt;F796,F796,"")</f>
        <v/>
      </c>
    </row>
    <row r="797" customFormat="false" ht="15" hidden="false" customHeight="false" outlineLevel="0" collapsed="false">
      <c r="A797" s="3" t="s">
        <v>176</v>
      </c>
      <c r="B797" s="3" t="s">
        <v>177</v>
      </c>
      <c r="C797" s="3" t="s">
        <v>641</v>
      </c>
      <c r="D797" s="3" t="s">
        <v>642</v>
      </c>
      <c r="E797" s="3" t="n">
        <v>20171</v>
      </c>
      <c r="F797" s="3" t="s">
        <v>18</v>
      </c>
      <c r="G797" s="3" t="s">
        <v>14</v>
      </c>
      <c r="H797" s="1" t="n">
        <v>4</v>
      </c>
      <c r="I797" s="1" t="n">
        <v>0</v>
      </c>
      <c r="J797" s="1" t="n">
        <v>20201</v>
      </c>
      <c r="L797" s="1" t="str">
        <f aca="false">IF(D796&lt;&gt;D797,D797,"")</f>
        <v/>
      </c>
      <c r="M797" s="1" t="str">
        <f aca="false">IF(F796&lt;&gt;F797,F797,"")</f>
        <v/>
      </c>
    </row>
    <row r="798" customFormat="false" ht="15" hidden="false" customHeight="false" outlineLevel="0" collapsed="false">
      <c r="A798" s="3" t="s">
        <v>192</v>
      </c>
      <c r="B798" s="3" t="s">
        <v>193</v>
      </c>
      <c r="C798" s="3" t="s">
        <v>641</v>
      </c>
      <c r="D798" s="3" t="s">
        <v>642</v>
      </c>
      <c r="E798" s="3" t="n">
        <v>20171</v>
      </c>
      <c r="F798" s="3" t="s">
        <v>18</v>
      </c>
      <c r="G798" s="3" t="s">
        <v>14</v>
      </c>
      <c r="H798" s="1" t="n">
        <v>4</v>
      </c>
      <c r="I798" s="1" t="n">
        <v>0</v>
      </c>
      <c r="J798" s="1" t="n">
        <v>20201</v>
      </c>
      <c r="L798" s="1" t="str">
        <f aca="false">IF(D797&lt;&gt;D798,D798,"")</f>
        <v/>
      </c>
      <c r="M798" s="1" t="str">
        <f aca="false">IF(F797&lt;&gt;F798,F798,"")</f>
        <v/>
      </c>
    </row>
    <row r="799" s="3" customFormat="true" ht="15" hidden="false" customHeight="false" outlineLevel="0" collapsed="false">
      <c r="A799" s="3" t="s">
        <v>304</v>
      </c>
      <c r="B799" s="3" t="s">
        <v>305</v>
      </c>
      <c r="C799" s="3" t="s">
        <v>641</v>
      </c>
      <c r="D799" s="3" t="s">
        <v>642</v>
      </c>
      <c r="E799" s="3" t="n">
        <v>20171</v>
      </c>
      <c r="F799" s="3" t="s">
        <v>127</v>
      </c>
      <c r="G799" s="3" t="s">
        <v>23</v>
      </c>
      <c r="H799" s="3" t="n">
        <v>0</v>
      </c>
      <c r="I799" s="3" t="n">
        <v>0</v>
      </c>
      <c r="J799" s="3" t="n">
        <v>20201</v>
      </c>
      <c r="L799" s="3" t="str">
        <f aca="false">IF(D798&lt;&gt;D799,D799,"")</f>
        <v/>
      </c>
      <c r="M799" s="3" t="str">
        <f aca="false">IF(F798&lt;&gt;F799,F799,"")</f>
        <v>C</v>
      </c>
    </row>
    <row r="800" customFormat="false" ht="15" hidden="false" customHeight="false" outlineLevel="0" collapsed="false">
      <c r="A800" s="3" t="s">
        <v>667</v>
      </c>
      <c r="B800" s="3" t="s">
        <v>668</v>
      </c>
      <c r="C800" s="3" t="s">
        <v>641</v>
      </c>
      <c r="D800" s="3" t="s">
        <v>642</v>
      </c>
      <c r="E800" s="3" t="n">
        <v>20171</v>
      </c>
      <c r="F800" s="3" t="s">
        <v>127</v>
      </c>
      <c r="G800" s="3" t="s">
        <v>124</v>
      </c>
      <c r="H800" s="1" t="n">
        <v>0</v>
      </c>
      <c r="I800" s="1" t="n">
        <v>0</v>
      </c>
      <c r="J800" s="1" t="n">
        <v>20201</v>
      </c>
      <c r="L800" s="1" t="str">
        <f aca="false">IF(D799&lt;&gt;D800,D800,"")</f>
        <v/>
      </c>
      <c r="M800" s="1" t="str">
        <f aca="false">IF(F799&lt;&gt;F800,F800,"")</f>
        <v/>
      </c>
    </row>
    <row r="801" customFormat="false" ht="15" hidden="false" customHeight="false" outlineLevel="0" collapsed="false">
      <c r="A801" s="3" t="s">
        <v>669</v>
      </c>
      <c r="B801" s="3" t="s">
        <v>670</v>
      </c>
      <c r="C801" s="3" t="s">
        <v>641</v>
      </c>
      <c r="D801" s="3" t="s">
        <v>642</v>
      </c>
      <c r="E801" s="3" t="n">
        <v>20171</v>
      </c>
      <c r="F801" s="3" t="s">
        <v>127</v>
      </c>
      <c r="G801" s="3" t="s">
        <v>514</v>
      </c>
      <c r="H801" s="1" t="n">
        <v>1</v>
      </c>
      <c r="I801" s="1" t="n">
        <v>0</v>
      </c>
      <c r="J801" s="1" t="n">
        <v>20201</v>
      </c>
      <c r="L801" s="1" t="str">
        <f aca="false">IF(D800&lt;&gt;D801,D801,"")</f>
        <v/>
      </c>
      <c r="M801" s="1" t="str">
        <f aca="false">IF(F800&lt;&gt;F801,F801,"")</f>
        <v/>
      </c>
    </row>
    <row r="802" customFormat="false" ht="15" hidden="false" customHeight="false" outlineLevel="0" collapsed="false">
      <c r="A802" s="3" t="s">
        <v>671</v>
      </c>
      <c r="B802" s="3" t="s">
        <v>672</v>
      </c>
      <c r="C802" s="3" t="s">
        <v>641</v>
      </c>
      <c r="D802" s="3" t="s">
        <v>642</v>
      </c>
      <c r="E802" s="3" t="n">
        <v>20171</v>
      </c>
      <c r="F802" s="3" t="s">
        <v>127</v>
      </c>
      <c r="G802" s="3" t="s">
        <v>30</v>
      </c>
      <c r="H802" s="1" t="n">
        <v>1.5</v>
      </c>
      <c r="I802" s="1" t="n">
        <v>0</v>
      </c>
      <c r="J802" s="1" t="n">
        <v>20201</v>
      </c>
      <c r="L802" s="1" t="str">
        <f aca="false">IF(D801&lt;&gt;D802,D802,"")</f>
        <v/>
      </c>
      <c r="M802" s="1" t="str">
        <f aca="false">IF(F801&lt;&gt;F802,F802,"")</f>
        <v/>
      </c>
    </row>
    <row r="803" customFormat="false" ht="15" hidden="false" customHeight="false" outlineLevel="0" collapsed="false">
      <c r="A803" s="3" t="s">
        <v>525</v>
      </c>
      <c r="B803" s="3" t="s">
        <v>526</v>
      </c>
      <c r="C803" s="3" t="s">
        <v>641</v>
      </c>
      <c r="D803" s="3" t="s">
        <v>642</v>
      </c>
      <c r="E803" s="3" t="n">
        <v>20171</v>
      </c>
      <c r="F803" s="3" t="s">
        <v>127</v>
      </c>
      <c r="G803" s="3" t="s">
        <v>514</v>
      </c>
      <c r="H803" s="1" t="n">
        <v>1</v>
      </c>
      <c r="I803" s="1" t="n">
        <v>0</v>
      </c>
      <c r="J803" s="1" t="n">
        <v>20201</v>
      </c>
      <c r="L803" s="1" t="str">
        <f aca="false">IF(D802&lt;&gt;D803,D803,"")</f>
        <v/>
      </c>
      <c r="M803" s="1" t="str">
        <f aca="false">IF(F802&lt;&gt;F803,F803,"")</f>
        <v/>
      </c>
    </row>
    <row r="804" customFormat="false" ht="15" hidden="false" customHeight="false" outlineLevel="0" collapsed="false">
      <c r="A804" s="3" t="s">
        <v>673</v>
      </c>
      <c r="B804" s="3" t="s">
        <v>674</v>
      </c>
      <c r="C804" s="3" t="s">
        <v>641</v>
      </c>
      <c r="D804" s="3" t="s">
        <v>642</v>
      </c>
      <c r="E804" s="3" t="n">
        <v>20171</v>
      </c>
      <c r="F804" s="3" t="s">
        <v>127</v>
      </c>
      <c r="G804" s="3" t="s">
        <v>101</v>
      </c>
      <c r="H804" s="1" t="n">
        <v>2.5</v>
      </c>
      <c r="I804" s="1" t="n">
        <v>0</v>
      </c>
      <c r="J804" s="1" t="n">
        <v>20201</v>
      </c>
      <c r="L804" s="1" t="str">
        <f aca="false">IF(D803&lt;&gt;D804,D804,"")</f>
        <v/>
      </c>
      <c r="M804" s="1" t="str">
        <f aca="false">IF(F803&lt;&gt;F804,F804,"")</f>
        <v/>
      </c>
    </row>
    <row r="805" customFormat="false" ht="15" hidden="false" customHeight="false" outlineLevel="0" collapsed="false">
      <c r="A805" s="3" t="s">
        <v>283</v>
      </c>
      <c r="B805" s="3" t="s">
        <v>284</v>
      </c>
      <c r="C805" s="3" t="s">
        <v>641</v>
      </c>
      <c r="D805" s="3" t="s">
        <v>642</v>
      </c>
      <c r="E805" s="3" t="n">
        <v>20171</v>
      </c>
      <c r="F805" s="3" t="s">
        <v>127</v>
      </c>
      <c r="G805" s="3" t="s">
        <v>18</v>
      </c>
      <c r="H805" s="1" t="n">
        <v>3</v>
      </c>
      <c r="I805" s="1" t="n">
        <v>0</v>
      </c>
      <c r="J805" s="1" t="n">
        <v>20201</v>
      </c>
      <c r="L805" s="1" t="str">
        <f aca="false">IF(D804&lt;&gt;D805,D805,"")</f>
        <v/>
      </c>
      <c r="M805" s="1" t="str">
        <f aca="false">IF(F804&lt;&gt;F805,F805,"")</f>
        <v/>
      </c>
    </row>
    <row r="806" customFormat="false" ht="15" hidden="false" customHeight="false" outlineLevel="0" collapsed="false">
      <c r="A806" s="3" t="s">
        <v>63</v>
      </c>
      <c r="B806" s="3" t="s">
        <v>64</v>
      </c>
      <c r="C806" s="3" t="s">
        <v>641</v>
      </c>
      <c r="D806" s="3" t="s">
        <v>642</v>
      </c>
      <c r="E806" s="3" t="n">
        <v>20171</v>
      </c>
      <c r="F806" s="3" t="s">
        <v>127</v>
      </c>
      <c r="G806" s="3" t="s">
        <v>15</v>
      </c>
      <c r="H806" s="1" t="n">
        <v>3.5</v>
      </c>
      <c r="I806" s="1" t="n">
        <v>0</v>
      </c>
      <c r="J806" s="1" t="n">
        <v>20201</v>
      </c>
      <c r="L806" s="1" t="str">
        <f aca="false">IF(D805&lt;&gt;D806,D806,"")</f>
        <v/>
      </c>
      <c r="M806" s="1" t="str">
        <f aca="false">IF(F805&lt;&gt;F806,F806,"")</f>
        <v/>
      </c>
    </row>
    <row r="807" customFormat="false" ht="15" hidden="false" customHeight="false" outlineLevel="0" collapsed="false">
      <c r="A807" s="3" t="s">
        <v>69</v>
      </c>
      <c r="B807" s="3" t="s">
        <v>70</v>
      </c>
      <c r="C807" s="3" t="s">
        <v>641</v>
      </c>
      <c r="D807" s="3" t="s">
        <v>642</v>
      </c>
      <c r="E807" s="3" t="n">
        <v>20171</v>
      </c>
      <c r="F807" s="3" t="s">
        <v>127</v>
      </c>
      <c r="G807" s="3" t="s">
        <v>18</v>
      </c>
      <c r="H807" s="1" t="n">
        <v>3</v>
      </c>
      <c r="I807" s="1" t="n">
        <v>0</v>
      </c>
      <c r="J807" s="1" t="n">
        <v>20201</v>
      </c>
      <c r="L807" s="1" t="str">
        <f aca="false">IF(D806&lt;&gt;D807,D807,"")</f>
        <v/>
      </c>
      <c r="M807" s="1" t="str">
        <f aca="false">IF(F806&lt;&gt;F807,F807,"")</f>
        <v/>
      </c>
    </row>
    <row r="808" customFormat="false" ht="15" hidden="false" customHeight="false" outlineLevel="0" collapsed="false">
      <c r="A808" s="3" t="s">
        <v>91</v>
      </c>
      <c r="B808" s="3" t="s">
        <v>92</v>
      </c>
      <c r="C808" s="3" t="s">
        <v>641</v>
      </c>
      <c r="D808" s="3" t="s">
        <v>642</v>
      </c>
      <c r="E808" s="3" t="n">
        <v>20171</v>
      </c>
      <c r="F808" s="3" t="s">
        <v>127</v>
      </c>
      <c r="G808" s="3" t="s">
        <v>18</v>
      </c>
      <c r="H808" s="1" t="n">
        <v>3</v>
      </c>
      <c r="I808" s="1" t="n">
        <v>0</v>
      </c>
      <c r="J808" s="1" t="n">
        <v>20201</v>
      </c>
      <c r="L808" s="1" t="str">
        <f aca="false">IF(D807&lt;&gt;D808,D808,"")</f>
        <v/>
      </c>
      <c r="M808" s="1" t="str">
        <f aca="false">IF(F807&lt;&gt;F808,F808,"")</f>
        <v/>
      </c>
    </row>
    <row r="809" customFormat="false" ht="15" hidden="false" customHeight="false" outlineLevel="0" collapsed="false">
      <c r="A809" s="3" t="s">
        <v>198</v>
      </c>
      <c r="B809" s="3" t="s">
        <v>199</v>
      </c>
      <c r="C809" s="3" t="s">
        <v>641</v>
      </c>
      <c r="D809" s="3" t="s">
        <v>642</v>
      </c>
      <c r="E809" s="3" t="n">
        <v>20171</v>
      </c>
      <c r="F809" s="3" t="s">
        <v>127</v>
      </c>
      <c r="G809" s="3" t="s">
        <v>124</v>
      </c>
      <c r="H809" s="1" t="n">
        <v>0</v>
      </c>
      <c r="I809" s="1" t="n">
        <v>0</v>
      </c>
      <c r="J809" s="1" t="n">
        <v>20201</v>
      </c>
      <c r="L809" s="1" t="str">
        <f aca="false">IF(D808&lt;&gt;D809,D809,"")</f>
        <v/>
      </c>
      <c r="M809" s="1" t="str">
        <f aca="false">IF(F808&lt;&gt;F809,F809,"")</f>
        <v/>
      </c>
    </row>
    <row r="810" customFormat="false" ht="15" hidden="false" customHeight="false" outlineLevel="0" collapsed="false">
      <c r="A810" s="3" t="s">
        <v>675</v>
      </c>
      <c r="B810" s="3" t="s">
        <v>676</v>
      </c>
      <c r="C810" s="3" t="s">
        <v>677</v>
      </c>
      <c r="D810" s="3" t="s">
        <v>678</v>
      </c>
      <c r="E810" s="3" t="n">
        <v>20171</v>
      </c>
      <c r="F810" s="3" t="s">
        <v>208</v>
      </c>
      <c r="G810" s="3" t="s">
        <v>124</v>
      </c>
      <c r="H810" s="1" t="n">
        <v>0</v>
      </c>
      <c r="I810" s="1" t="n">
        <v>0</v>
      </c>
      <c r="J810" s="1" t="n">
        <v>20201</v>
      </c>
      <c r="L810" s="1" t="str">
        <f aca="false">IF(D809&lt;&gt;D810,D810,"")</f>
        <v>ELEKTROMAGNETIK LANJUT</v>
      </c>
      <c r="M810" s="1" t="str">
        <f aca="false">IF(F809&lt;&gt;F810,F810,"")</f>
        <v>P</v>
      </c>
    </row>
    <row r="811" customFormat="false" ht="15" hidden="false" customHeight="false" outlineLevel="0" collapsed="false">
      <c r="A811" s="3" t="s">
        <v>679</v>
      </c>
      <c r="B811" s="3" t="s">
        <v>680</v>
      </c>
      <c r="C811" s="3" t="s">
        <v>677</v>
      </c>
      <c r="D811" s="3" t="s">
        <v>678</v>
      </c>
      <c r="E811" s="3" t="n">
        <v>20171</v>
      </c>
      <c r="F811" s="3" t="s">
        <v>208</v>
      </c>
      <c r="G811" s="3" t="s">
        <v>124</v>
      </c>
      <c r="H811" s="1" t="n">
        <v>0</v>
      </c>
      <c r="I811" s="1" t="n">
        <v>0</v>
      </c>
      <c r="J811" s="1" t="n">
        <v>20201</v>
      </c>
      <c r="L811" s="1" t="str">
        <f aca="false">IF(D810&lt;&gt;D811,D811,"")</f>
        <v/>
      </c>
      <c r="M811" s="1" t="str">
        <f aca="false">IF(F810&lt;&gt;F811,F811,"")</f>
        <v/>
      </c>
    </row>
    <row r="812" customFormat="false" ht="15" hidden="false" customHeight="false" outlineLevel="0" collapsed="false">
      <c r="A812" s="3" t="s">
        <v>649</v>
      </c>
      <c r="B812" s="3" t="s">
        <v>650</v>
      </c>
      <c r="C812" s="3" t="s">
        <v>677</v>
      </c>
      <c r="D812" s="3" t="s">
        <v>678</v>
      </c>
      <c r="E812" s="3" t="n">
        <v>20171</v>
      </c>
      <c r="F812" s="3" t="s">
        <v>208</v>
      </c>
      <c r="G812" s="3" t="s">
        <v>124</v>
      </c>
      <c r="H812" s="1" t="n">
        <v>0</v>
      </c>
      <c r="I812" s="1" t="n">
        <v>0</v>
      </c>
      <c r="J812" s="1" t="n">
        <v>20201</v>
      </c>
      <c r="L812" s="1" t="str">
        <f aca="false">IF(D811&lt;&gt;D812,D812,"")</f>
        <v/>
      </c>
      <c r="M812" s="1" t="str">
        <f aca="false">IF(F811&lt;&gt;F812,F812,"")</f>
        <v/>
      </c>
    </row>
    <row r="813" customFormat="false" ht="15" hidden="false" customHeight="false" outlineLevel="0" collapsed="false">
      <c r="A813" s="3" t="s">
        <v>265</v>
      </c>
      <c r="B813" s="3" t="s">
        <v>266</v>
      </c>
      <c r="C813" s="3" t="s">
        <v>677</v>
      </c>
      <c r="D813" s="3" t="s">
        <v>678</v>
      </c>
      <c r="E813" s="3" t="n">
        <v>20171</v>
      </c>
      <c r="F813" s="3" t="s">
        <v>208</v>
      </c>
      <c r="G813" s="3" t="s">
        <v>127</v>
      </c>
      <c r="H813" s="1" t="n">
        <v>2</v>
      </c>
      <c r="I813" s="1" t="n">
        <v>0</v>
      </c>
      <c r="J813" s="1" t="n">
        <v>20201</v>
      </c>
      <c r="L813" s="1" t="str">
        <f aca="false">IF(D812&lt;&gt;D813,D813,"")</f>
        <v/>
      </c>
      <c r="M813" s="1" t="str">
        <f aca="false">IF(F812&lt;&gt;F813,F813,"")</f>
        <v/>
      </c>
    </row>
    <row r="814" customFormat="false" ht="15" hidden="false" customHeight="false" outlineLevel="0" collapsed="false">
      <c r="A814" s="3" t="s">
        <v>275</v>
      </c>
      <c r="B814" s="3" t="s">
        <v>276</v>
      </c>
      <c r="C814" s="3" t="s">
        <v>677</v>
      </c>
      <c r="D814" s="3" t="s">
        <v>678</v>
      </c>
      <c r="E814" s="3" t="n">
        <v>20171</v>
      </c>
      <c r="F814" s="3" t="s">
        <v>208</v>
      </c>
      <c r="G814" s="3" t="s">
        <v>18</v>
      </c>
      <c r="H814" s="1" t="n">
        <v>3</v>
      </c>
      <c r="I814" s="1" t="n">
        <v>0</v>
      </c>
      <c r="J814" s="1" t="n">
        <v>20201</v>
      </c>
      <c r="L814" s="1" t="str">
        <f aca="false">IF(D813&lt;&gt;D814,D814,"")</f>
        <v/>
      </c>
      <c r="M814" s="1" t="str">
        <f aca="false">IF(F813&lt;&gt;F814,F814,"")</f>
        <v/>
      </c>
    </row>
    <row r="815" customFormat="false" ht="15" hidden="false" customHeight="false" outlineLevel="0" collapsed="false">
      <c r="A815" s="3" t="s">
        <v>681</v>
      </c>
      <c r="B815" s="3" t="s">
        <v>682</v>
      </c>
      <c r="C815" s="3" t="s">
        <v>677</v>
      </c>
      <c r="D815" s="3" t="s">
        <v>678</v>
      </c>
      <c r="E815" s="3" t="n">
        <v>20171</v>
      </c>
      <c r="F815" s="3" t="s">
        <v>208</v>
      </c>
      <c r="G815" s="3" t="s">
        <v>18</v>
      </c>
      <c r="H815" s="1" t="n">
        <v>3</v>
      </c>
      <c r="I815" s="1" t="n">
        <v>0</v>
      </c>
      <c r="J815" s="1" t="n">
        <v>20201</v>
      </c>
      <c r="L815" s="1" t="str">
        <f aca="false">IF(D814&lt;&gt;D815,D815,"")</f>
        <v/>
      </c>
      <c r="M815" s="1" t="str">
        <f aca="false">IF(F814&lt;&gt;F815,F815,"")</f>
        <v/>
      </c>
    </row>
    <row r="816" customFormat="false" ht="15" hidden="false" customHeight="false" outlineLevel="0" collapsed="false">
      <c r="A816" s="3" t="s">
        <v>279</v>
      </c>
      <c r="B816" s="3" t="s">
        <v>280</v>
      </c>
      <c r="C816" s="3" t="s">
        <v>677</v>
      </c>
      <c r="D816" s="3" t="s">
        <v>678</v>
      </c>
      <c r="E816" s="3" t="n">
        <v>20171</v>
      </c>
      <c r="F816" s="3" t="s">
        <v>208</v>
      </c>
      <c r="G816" s="3" t="s">
        <v>18</v>
      </c>
      <c r="H816" s="1" t="n">
        <v>3</v>
      </c>
      <c r="I816" s="1" t="n">
        <v>0</v>
      </c>
      <c r="J816" s="1" t="n">
        <v>20201</v>
      </c>
      <c r="L816" s="1" t="str">
        <f aca="false">IF(D815&lt;&gt;D816,D816,"")</f>
        <v/>
      </c>
      <c r="M816" s="1" t="str">
        <f aca="false">IF(F815&lt;&gt;F816,F816,"")</f>
        <v/>
      </c>
    </row>
    <row r="817" customFormat="false" ht="15" hidden="false" customHeight="false" outlineLevel="0" collapsed="false">
      <c r="A817" s="3" t="s">
        <v>281</v>
      </c>
      <c r="B817" s="3" t="s">
        <v>282</v>
      </c>
      <c r="C817" s="3" t="s">
        <v>677</v>
      </c>
      <c r="D817" s="3" t="s">
        <v>678</v>
      </c>
      <c r="E817" s="3" t="n">
        <v>20171</v>
      </c>
      <c r="F817" s="3" t="s">
        <v>208</v>
      </c>
      <c r="G817" s="3" t="s">
        <v>18</v>
      </c>
      <c r="H817" s="1" t="n">
        <v>3</v>
      </c>
      <c r="I817" s="1" t="n">
        <v>0</v>
      </c>
      <c r="J817" s="1" t="n">
        <v>20201</v>
      </c>
      <c r="L817" s="1" t="str">
        <f aca="false">IF(D816&lt;&gt;D817,D817,"")</f>
        <v/>
      </c>
      <c r="M817" s="1" t="str">
        <f aca="false">IF(F816&lt;&gt;F817,F817,"")</f>
        <v/>
      </c>
    </row>
    <row r="818" customFormat="false" ht="15" hidden="false" customHeight="false" outlineLevel="0" collapsed="false">
      <c r="A818" s="3" t="s">
        <v>287</v>
      </c>
      <c r="B818" s="3" t="s">
        <v>288</v>
      </c>
      <c r="C818" s="3" t="s">
        <v>677</v>
      </c>
      <c r="D818" s="3" t="s">
        <v>678</v>
      </c>
      <c r="E818" s="3" t="n">
        <v>20171</v>
      </c>
      <c r="F818" s="3" t="s">
        <v>208</v>
      </c>
      <c r="G818" s="3" t="s">
        <v>14</v>
      </c>
      <c r="H818" s="1" t="n">
        <v>4</v>
      </c>
      <c r="I818" s="1" t="n">
        <v>0</v>
      </c>
      <c r="J818" s="1" t="n">
        <v>20201</v>
      </c>
      <c r="L818" s="1" t="str">
        <f aca="false">IF(D817&lt;&gt;D818,D818,"")</f>
        <v/>
      </c>
      <c r="M818" s="1" t="str">
        <f aca="false">IF(F817&lt;&gt;F818,F818,"")</f>
        <v/>
      </c>
    </row>
    <row r="819" customFormat="false" ht="15" hidden="false" customHeight="false" outlineLevel="0" collapsed="false">
      <c r="A819" s="3" t="s">
        <v>289</v>
      </c>
      <c r="B819" s="3" t="s">
        <v>290</v>
      </c>
      <c r="C819" s="3" t="s">
        <v>677</v>
      </c>
      <c r="D819" s="3" t="s">
        <v>678</v>
      </c>
      <c r="E819" s="3" t="n">
        <v>20171</v>
      </c>
      <c r="F819" s="3" t="s">
        <v>208</v>
      </c>
      <c r="G819" s="3" t="s">
        <v>18</v>
      </c>
      <c r="H819" s="1" t="n">
        <v>3</v>
      </c>
      <c r="I819" s="1" t="n">
        <v>0</v>
      </c>
      <c r="J819" s="1" t="n">
        <v>20201</v>
      </c>
      <c r="L819" s="1" t="str">
        <f aca="false">IF(D818&lt;&gt;D819,D819,"")</f>
        <v/>
      </c>
      <c r="M819" s="1" t="str">
        <f aca="false">IF(F818&lt;&gt;F819,F819,"")</f>
        <v/>
      </c>
    </row>
    <row r="820" customFormat="false" ht="15" hidden="false" customHeight="false" outlineLevel="0" collapsed="false">
      <c r="A820" s="3" t="s">
        <v>291</v>
      </c>
      <c r="B820" s="3" t="s">
        <v>292</v>
      </c>
      <c r="C820" s="3" t="s">
        <v>677</v>
      </c>
      <c r="D820" s="3" t="s">
        <v>678</v>
      </c>
      <c r="E820" s="3" t="n">
        <v>20171</v>
      </c>
      <c r="F820" s="3" t="s">
        <v>208</v>
      </c>
      <c r="G820" s="3" t="s">
        <v>15</v>
      </c>
      <c r="H820" s="1" t="n">
        <v>3.5</v>
      </c>
      <c r="I820" s="1" t="n">
        <v>0</v>
      </c>
      <c r="J820" s="1" t="n">
        <v>20201</v>
      </c>
      <c r="L820" s="1" t="str">
        <f aca="false">IF(D819&lt;&gt;D820,D820,"")</f>
        <v/>
      </c>
      <c r="M820" s="1" t="str">
        <f aca="false">IF(F819&lt;&gt;F820,F820,"")</f>
        <v/>
      </c>
    </row>
    <row r="821" customFormat="false" ht="15" hidden="false" customHeight="false" outlineLevel="0" collapsed="false">
      <c r="A821" s="3" t="s">
        <v>293</v>
      </c>
      <c r="B821" s="3" t="s">
        <v>294</v>
      </c>
      <c r="C821" s="3" t="s">
        <v>677</v>
      </c>
      <c r="D821" s="3" t="s">
        <v>678</v>
      </c>
      <c r="E821" s="3" t="n">
        <v>20171</v>
      </c>
      <c r="F821" s="3" t="s">
        <v>208</v>
      </c>
      <c r="G821" s="3" t="s">
        <v>101</v>
      </c>
      <c r="H821" s="1" t="n">
        <v>2.5</v>
      </c>
      <c r="I821" s="1" t="n">
        <v>0</v>
      </c>
      <c r="J821" s="1" t="n">
        <v>20201</v>
      </c>
      <c r="L821" s="1" t="str">
        <f aca="false">IF(D820&lt;&gt;D821,D821,"")</f>
        <v/>
      </c>
      <c r="M821" s="1" t="str">
        <f aca="false">IF(F820&lt;&gt;F821,F821,"")</f>
        <v/>
      </c>
    </row>
    <row r="822" customFormat="false" ht="15" hidden="false" customHeight="false" outlineLevel="0" collapsed="false">
      <c r="A822" s="3" t="s">
        <v>683</v>
      </c>
      <c r="B822" s="3" t="s">
        <v>684</v>
      </c>
      <c r="C822" s="3" t="s">
        <v>677</v>
      </c>
      <c r="D822" s="3" t="s">
        <v>678</v>
      </c>
      <c r="E822" s="3" t="n">
        <v>20171</v>
      </c>
      <c r="F822" s="3" t="s">
        <v>208</v>
      </c>
      <c r="G822" s="3" t="s">
        <v>15</v>
      </c>
      <c r="H822" s="1" t="n">
        <v>3.5</v>
      </c>
      <c r="I822" s="1" t="n">
        <v>0</v>
      </c>
      <c r="J822" s="1" t="n">
        <v>20201</v>
      </c>
      <c r="L822" s="1" t="str">
        <f aca="false">IF(D821&lt;&gt;D822,D822,"")</f>
        <v/>
      </c>
      <c r="M822" s="1" t="str">
        <f aca="false">IF(F821&lt;&gt;F822,F822,"")</f>
        <v/>
      </c>
    </row>
    <row r="823" customFormat="false" ht="15" hidden="false" customHeight="false" outlineLevel="0" collapsed="false">
      <c r="A823" s="3" t="s">
        <v>295</v>
      </c>
      <c r="B823" s="3" t="s">
        <v>296</v>
      </c>
      <c r="C823" s="3" t="s">
        <v>677</v>
      </c>
      <c r="D823" s="3" t="s">
        <v>678</v>
      </c>
      <c r="E823" s="3" t="n">
        <v>20171</v>
      </c>
      <c r="F823" s="3" t="s">
        <v>208</v>
      </c>
      <c r="G823" s="3" t="s">
        <v>127</v>
      </c>
      <c r="H823" s="1" t="n">
        <v>2</v>
      </c>
      <c r="I823" s="1" t="n">
        <v>0</v>
      </c>
      <c r="J823" s="1" t="n">
        <v>20201</v>
      </c>
      <c r="L823" s="1" t="str">
        <f aca="false">IF(D822&lt;&gt;D823,D823,"")</f>
        <v/>
      </c>
      <c r="M823" s="1" t="str">
        <f aca="false">IF(F822&lt;&gt;F823,F823,"")</f>
        <v/>
      </c>
    </row>
    <row r="824" customFormat="false" ht="15" hidden="false" customHeight="false" outlineLevel="0" collapsed="false">
      <c r="A824" s="3" t="s">
        <v>297</v>
      </c>
      <c r="B824" s="3" t="s">
        <v>298</v>
      </c>
      <c r="C824" s="3" t="s">
        <v>677</v>
      </c>
      <c r="D824" s="3" t="s">
        <v>678</v>
      </c>
      <c r="E824" s="3" t="n">
        <v>20171</v>
      </c>
      <c r="F824" s="3" t="s">
        <v>208</v>
      </c>
      <c r="G824" s="3" t="s">
        <v>101</v>
      </c>
      <c r="H824" s="1" t="n">
        <v>2.5</v>
      </c>
      <c r="I824" s="1" t="n">
        <v>0</v>
      </c>
      <c r="J824" s="1" t="n">
        <v>20201</v>
      </c>
      <c r="L824" s="1" t="str">
        <f aca="false">IF(D823&lt;&gt;D824,D824,"")</f>
        <v/>
      </c>
      <c r="M824" s="1" t="str">
        <f aca="false">IF(F823&lt;&gt;F824,F824,"")</f>
        <v/>
      </c>
    </row>
    <row r="825" customFormat="false" ht="15" hidden="false" customHeight="false" outlineLevel="0" collapsed="false">
      <c r="A825" s="3" t="s">
        <v>10</v>
      </c>
      <c r="B825" s="3" t="s">
        <v>11</v>
      </c>
      <c r="C825" s="3" t="s">
        <v>685</v>
      </c>
      <c r="D825" s="3" t="s">
        <v>686</v>
      </c>
      <c r="E825" s="3" t="n">
        <v>20171</v>
      </c>
      <c r="F825" s="3" t="s">
        <v>208</v>
      </c>
      <c r="G825" s="3" t="s">
        <v>14</v>
      </c>
      <c r="H825" s="1" t="n">
        <v>4</v>
      </c>
      <c r="I825" s="1" t="n">
        <v>0</v>
      </c>
      <c r="J825" s="1" t="n">
        <v>20201</v>
      </c>
      <c r="L825" s="1" t="str">
        <f aca="false">IF(D824&lt;&gt;D825,D825,"")</f>
        <v>ELEKTRONIKA ANALOG</v>
      </c>
      <c r="M825" s="1" t="str">
        <f aca="false">IF(F824&lt;&gt;F825,F825,"")</f>
        <v/>
      </c>
    </row>
    <row r="826" customFormat="false" ht="15" hidden="false" customHeight="false" outlineLevel="0" collapsed="false">
      <c r="A826" s="3" t="s">
        <v>635</v>
      </c>
      <c r="B826" s="3" t="s">
        <v>636</v>
      </c>
      <c r="C826" s="3" t="s">
        <v>685</v>
      </c>
      <c r="D826" s="3" t="s">
        <v>686</v>
      </c>
      <c r="E826" s="3" t="n">
        <v>20171</v>
      </c>
      <c r="F826" s="3" t="s">
        <v>208</v>
      </c>
      <c r="G826" s="3" t="s">
        <v>23</v>
      </c>
      <c r="H826" s="1" t="n">
        <v>0</v>
      </c>
      <c r="I826" s="1" t="n">
        <v>0</v>
      </c>
      <c r="J826" s="1" t="n">
        <v>20201</v>
      </c>
      <c r="L826" s="1" t="str">
        <f aca="false">IF(D825&lt;&gt;D826,D826,"")</f>
        <v/>
      </c>
      <c r="M826" s="1" t="str">
        <f aca="false">IF(F825&lt;&gt;F826,F826,"")</f>
        <v/>
      </c>
    </row>
    <row r="827" customFormat="false" ht="15" hidden="false" customHeight="false" outlineLevel="0" collapsed="false">
      <c r="A827" s="3" t="s">
        <v>613</v>
      </c>
      <c r="B827" s="3" t="s">
        <v>614</v>
      </c>
      <c r="C827" s="3" t="s">
        <v>685</v>
      </c>
      <c r="D827" s="3" t="s">
        <v>686</v>
      </c>
      <c r="E827" s="3" t="n">
        <v>20171</v>
      </c>
      <c r="F827" s="3" t="s">
        <v>208</v>
      </c>
      <c r="G827" s="3" t="s">
        <v>18</v>
      </c>
      <c r="H827" s="1" t="n">
        <v>3</v>
      </c>
      <c r="I827" s="1" t="n">
        <v>0</v>
      </c>
      <c r="J827" s="1" t="n">
        <v>20201</v>
      </c>
      <c r="L827" s="1" t="str">
        <f aca="false">IF(D826&lt;&gt;D827,D827,"")</f>
        <v/>
      </c>
      <c r="M827" s="1" t="str">
        <f aca="false">IF(F826&lt;&gt;F827,F827,"")</f>
        <v/>
      </c>
    </row>
    <row r="828" customFormat="false" ht="15" hidden="false" customHeight="false" outlineLevel="0" collapsed="false">
      <c r="A828" s="3" t="s">
        <v>645</v>
      </c>
      <c r="B828" s="3" t="s">
        <v>646</v>
      </c>
      <c r="C828" s="3" t="s">
        <v>685</v>
      </c>
      <c r="D828" s="3" t="s">
        <v>686</v>
      </c>
      <c r="E828" s="3" t="n">
        <v>20171</v>
      </c>
      <c r="F828" s="3" t="s">
        <v>208</v>
      </c>
      <c r="G828" s="3" t="s">
        <v>127</v>
      </c>
      <c r="H828" s="1" t="n">
        <v>2</v>
      </c>
      <c r="I828" s="1" t="n">
        <v>0</v>
      </c>
      <c r="J828" s="1" t="n">
        <v>20201</v>
      </c>
      <c r="L828" s="1" t="str">
        <f aca="false">IF(D827&lt;&gt;D828,D828,"")</f>
        <v/>
      </c>
      <c r="M828" s="1" t="str">
        <f aca="false">IF(F827&lt;&gt;F828,F828,"")</f>
        <v/>
      </c>
    </row>
    <row r="829" customFormat="false" ht="15" hidden="false" customHeight="false" outlineLevel="0" collapsed="false">
      <c r="A829" s="3" t="s">
        <v>687</v>
      </c>
      <c r="B829" s="3" t="s">
        <v>688</v>
      </c>
      <c r="C829" s="3" t="s">
        <v>685</v>
      </c>
      <c r="D829" s="3" t="s">
        <v>686</v>
      </c>
      <c r="E829" s="3" t="n">
        <v>20171</v>
      </c>
      <c r="F829" s="3" t="s">
        <v>208</v>
      </c>
      <c r="G829" s="3" t="s">
        <v>127</v>
      </c>
      <c r="H829" s="1" t="n">
        <v>2</v>
      </c>
      <c r="I829" s="1" t="n">
        <v>0</v>
      </c>
      <c r="J829" s="1" t="n">
        <v>20201</v>
      </c>
      <c r="L829" s="1" t="str">
        <f aca="false">IF(D828&lt;&gt;D829,D829,"")</f>
        <v/>
      </c>
      <c r="M829" s="1" t="str">
        <f aca="false">IF(F828&lt;&gt;F829,F829,"")</f>
        <v/>
      </c>
    </row>
    <row r="830" customFormat="false" ht="15" hidden="false" customHeight="false" outlineLevel="0" collapsed="false">
      <c r="A830" s="3" t="s">
        <v>689</v>
      </c>
      <c r="B830" s="3" t="s">
        <v>690</v>
      </c>
      <c r="C830" s="3" t="s">
        <v>685</v>
      </c>
      <c r="D830" s="3" t="s">
        <v>686</v>
      </c>
      <c r="E830" s="3" t="n">
        <v>20171</v>
      </c>
      <c r="F830" s="3" t="s">
        <v>208</v>
      </c>
      <c r="G830" s="3" t="s">
        <v>14</v>
      </c>
      <c r="H830" s="1" t="n">
        <v>4</v>
      </c>
      <c r="I830" s="1" t="n">
        <v>0</v>
      </c>
      <c r="J830" s="1" t="n">
        <v>20201</v>
      </c>
      <c r="L830" s="1" t="str">
        <f aca="false">IF(D829&lt;&gt;D830,D830,"")</f>
        <v/>
      </c>
      <c r="M830" s="1" t="str">
        <f aca="false">IF(F829&lt;&gt;F830,F830,"")</f>
        <v/>
      </c>
    </row>
    <row r="831" customFormat="false" ht="15" hidden="false" customHeight="false" outlineLevel="0" collapsed="false">
      <c r="A831" s="3" t="s">
        <v>691</v>
      </c>
      <c r="B831" s="3" t="s">
        <v>692</v>
      </c>
      <c r="C831" s="3" t="s">
        <v>685</v>
      </c>
      <c r="D831" s="3" t="s">
        <v>686</v>
      </c>
      <c r="E831" s="3" t="n">
        <v>20171</v>
      </c>
      <c r="F831" s="3" t="s">
        <v>208</v>
      </c>
      <c r="G831" s="3" t="s">
        <v>127</v>
      </c>
      <c r="H831" s="1" t="n">
        <v>2</v>
      </c>
      <c r="I831" s="1" t="n">
        <v>0</v>
      </c>
      <c r="J831" s="1" t="n">
        <v>20201</v>
      </c>
      <c r="L831" s="1" t="str">
        <f aca="false">IF(D830&lt;&gt;D831,D831,"")</f>
        <v/>
      </c>
      <c r="M831" s="1" t="str">
        <f aca="false">IF(F830&lt;&gt;F831,F831,"")</f>
        <v/>
      </c>
    </row>
    <row r="832" customFormat="false" ht="15" hidden="false" customHeight="false" outlineLevel="0" collapsed="false">
      <c r="A832" s="3" t="s">
        <v>693</v>
      </c>
      <c r="B832" s="3" t="s">
        <v>694</v>
      </c>
      <c r="C832" s="3" t="s">
        <v>685</v>
      </c>
      <c r="D832" s="3" t="s">
        <v>686</v>
      </c>
      <c r="E832" s="3" t="n">
        <v>20171</v>
      </c>
      <c r="F832" s="3" t="s">
        <v>208</v>
      </c>
      <c r="G832" s="3" t="s">
        <v>15</v>
      </c>
      <c r="H832" s="1" t="n">
        <v>3.5</v>
      </c>
      <c r="I832" s="1" t="n">
        <v>0</v>
      </c>
      <c r="J832" s="1" t="n">
        <v>20201</v>
      </c>
      <c r="L832" s="1" t="str">
        <f aca="false">IF(D831&lt;&gt;D832,D832,"")</f>
        <v/>
      </c>
      <c r="M832" s="1" t="str">
        <f aca="false">IF(F831&lt;&gt;F832,F832,"")</f>
        <v/>
      </c>
    </row>
    <row r="833" customFormat="false" ht="15" hidden="false" customHeight="false" outlineLevel="0" collapsed="false">
      <c r="A833" s="3" t="s">
        <v>695</v>
      </c>
      <c r="B833" s="3" t="s">
        <v>696</v>
      </c>
      <c r="C833" s="3" t="s">
        <v>685</v>
      </c>
      <c r="D833" s="3" t="s">
        <v>686</v>
      </c>
      <c r="E833" s="3" t="n">
        <v>20171</v>
      </c>
      <c r="F833" s="3" t="s">
        <v>208</v>
      </c>
      <c r="G833" s="3" t="s">
        <v>14</v>
      </c>
      <c r="H833" s="1" t="n">
        <v>4</v>
      </c>
      <c r="I833" s="1" t="n">
        <v>0</v>
      </c>
      <c r="J833" s="1" t="n">
        <v>20201</v>
      </c>
      <c r="L833" s="1" t="str">
        <f aca="false">IF(D832&lt;&gt;D833,D833,"")</f>
        <v/>
      </c>
      <c r="M833" s="1" t="str">
        <f aca="false">IF(F832&lt;&gt;F833,F833,"")</f>
        <v/>
      </c>
    </row>
    <row r="834" customFormat="false" ht="15" hidden="false" customHeight="false" outlineLevel="0" collapsed="false">
      <c r="A834" s="3" t="s">
        <v>697</v>
      </c>
      <c r="B834" s="3" t="s">
        <v>698</v>
      </c>
      <c r="C834" s="3" t="s">
        <v>685</v>
      </c>
      <c r="D834" s="3" t="s">
        <v>686</v>
      </c>
      <c r="E834" s="3" t="n">
        <v>20171</v>
      </c>
      <c r="F834" s="3" t="s">
        <v>208</v>
      </c>
      <c r="G834" s="3" t="s">
        <v>14</v>
      </c>
      <c r="H834" s="1" t="n">
        <v>4</v>
      </c>
      <c r="I834" s="1" t="n">
        <v>0</v>
      </c>
      <c r="J834" s="1" t="n">
        <v>20201</v>
      </c>
      <c r="L834" s="1" t="str">
        <f aca="false">IF(D833&lt;&gt;D834,D834,"")</f>
        <v/>
      </c>
      <c r="M834" s="1" t="str">
        <f aca="false">IF(F833&lt;&gt;F834,F834,"")</f>
        <v/>
      </c>
    </row>
    <row r="835" customFormat="false" ht="15" hidden="false" customHeight="false" outlineLevel="0" collapsed="false">
      <c r="A835" s="3" t="s">
        <v>699</v>
      </c>
      <c r="B835" s="3" t="s">
        <v>700</v>
      </c>
      <c r="C835" s="3" t="s">
        <v>685</v>
      </c>
      <c r="D835" s="3" t="s">
        <v>686</v>
      </c>
      <c r="E835" s="3" t="n">
        <v>20171</v>
      </c>
      <c r="F835" s="3" t="s">
        <v>208</v>
      </c>
      <c r="G835" s="3" t="s">
        <v>14</v>
      </c>
      <c r="H835" s="1" t="n">
        <v>4</v>
      </c>
      <c r="I835" s="1" t="n">
        <v>0</v>
      </c>
      <c r="J835" s="1" t="n">
        <v>20201</v>
      </c>
      <c r="L835" s="1" t="str">
        <f aca="false">IF(D834&lt;&gt;D835,D835,"")</f>
        <v/>
      </c>
      <c r="M835" s="1" t="str">
        <f aca="false">IF(F834&lt;&gt;F835,F835,"")</f>
        <v/>
      </c>
    </row>
    <row r="836" customFormat="false" ht="15" hidden="false" customHeight="false" outlineLevel="0" collapsed="false">
      <c r="A836" s="3" t="s">
        <v>701</v>
      </c>
      <c r="B836" s="3" t="s">
        <v>702</v>
      </c>
      <c r="C836" s="3" t="s">
        <v>685</v>
      </c>
      <c r="D836" s="3" t="s">
        <v>686</v>
      </c>
      <c r="E836" s="3" t="n">
        <v>20171</v>
      </c>
      <c r="F836" s="3" t="s">
        <v>208</v>
      </c>
      <c r="G836" s="3" t="s">
        <v>15</v>
      </c>
      <c r="H836" s="1" t="n">
        <v>3.5</v>
      </c>
      <c r="I836" s="1" t="n">
        <v>0</v>
      </c>
      <c r="J836" s="1" t="n">
        <v>20201</v>
      </c>
      <c r="L836" s="1" t="str">
        <f aca="false">IF(D835&lt;&gt;D836,D836,"")</f>
        <v/>
      </c>
      <c r="M836" s="1" t="str">
        <f aca="false">IF(F835&lt;&gt;F836,F836,"")</f>
        <v/>
      </c>
    </row>
    <row r="837" customFormat="false" ht="15" hidden="false" customHeight="false" outlineLevel="0" collapsed="false">
      <c r="A837" s="3" t="s">
        <v>703</v>
      </c>
      <c r="B837" s="3" t="s">
        <v>704</v>
      </c>
      <c r="C837" s="3" t="s">
        <v>685</v>
      </c>
      <c r="D837" s="3" t="s">
        <v>686</v>
      </c>
      <c r="E837" s="3" t="n">
        <v>20171</v>
      </c>
      <c r="F837" s="3" t="s">
        <v>208</v>
      </c>
      <c r="G837" s="3" t="s">
        <v>14</v>
      </c>
      <c r="H837" s="1" t="n">
        <v>4</v>
      </c>
      <c r="I837" s="1" t="n">
        <v>0</v>
      </c>
      <c r="J837" s="1" t="n">
        <v>20201</v>
      </c>
      <c r="L837" s="1" t="str">
        <f aca="false">IF(D836&lt;&gt;D837,D837,"")</f>
        <v/>
      </c>
      <c r="M837" s="1" t="str">
        <f aca="false">IF(F836&lt;&gt;F837,F837,"")</f>
        <v/>
      </c>
    </row>
    <row r="838" customFormat="false" ht="15" hidden="false" customHeight="false" outlineLevel="0" collapsed="false">
      <c r="A838" s="3" t="s">
        <v>705</v>
      </c>
      <c r="B838" s="3" t="s">
        <v>706</v>
      </c>
      <c r="C838" s="3" t="s">
        <v>685</v>
      </c>
      <c r="D838" s="3" t="s">
        <v>686</v>
      </c>
      <c r="E838" s="3" t="n">
        <v>20171</v>
      </c>
      <c r="F838" s="3" t="s">
        <v>208</v>
      </c>
      <c r="G838" s="3" t="s">
        <v>23</v>
      </c>
      <c r="H838" s="1" t="n">
        <v>0</v>
      </c>
      <c r="I838" s="1" t="n">
        <v>0</v>
      </c>
      <c r="J838" s="1" t="n">
        <v>20201</v>
      </c>
      <c r="L838" s="1" t="str">
        <f aca="false">IF(D837&lt;&gt;D838,D838,"")</f>
        <v/>
      </c>
      <c r="M838" s="1" t="str">
        <f aca="false">IF(F837&lt;&gt;F838,F838,"")</f>
        <v/>
      </c>
    </row>
    <row r="839" customFormat="false" ht="15" hidden="false" customHeight="false" outlineLevel="0" collapsed="false">
      <c r="A839" s="3" t="s">
        <v>707</v>
      </c>
      <c r="B839" s="3" t="s">
        <v>708</v>
      </c>
      <c r="C839" s="3" t="s">
        <v>685</v>
      </c>
      <c r="D839" s="3" t="s">
        <v>686</v>
      </c>
      <c r="E839" s="3" t="n">
        <v>20171</v>
      </c>
      <c r="F839" s="3" t="s">
        <v>208</v>
      </c>
      <c r="G839" s="3" t="s">
        <v>127</v>
      </c>
      <c r="H839" s="1" t="n">
        <v>2</v>
      </c>
      <c r="I839" s="1" t="n">
        <v>0</v>
      </c>
      <c r="J839" s="1" t="n">
        <v>20201</v>
      </c>
      <c r="L839" s="1" t="str">
        <f aca="false">IF(D838&lt;&gt;D839,D839,"")</f>
        <v/>
      </c>
      <c r="M839" s="1" t="str">
        <f aca="false">IF(F838&lt;&gt;F839,F839,"")</f>
        <v/>
      </c>
    </row>
    <row r="840" customFormat="false" ht="15" hidden="false" customHeight="false" outlineLevel="0" collapsed="false">
      <c r="A840" s="3" t="s">
        <v>709</v>
      </c>
      <c r="B840" s="3" t="s">
        <v>710</v>
      </c>
      <c r="C840" s="3" t="s">
        <v>685</v>
      </c>
      <c r="D840" s="3" t="s">
        <v>686</v>
      </c>
      <c r="E840" s="3" t="n">
        <v>20171</v>
      </c>
      <c r="F840" s="3" t="s">
        <v>208</v>
      </c>
      <c r="G840" s="3" t="s">
        <v>18</v>
      </c>
      <c r="H840" s="1" t="n">
        <v>3</v>
      </c>
      <c r="I840" s="1" t="n">
        <v>0</v>
      </c>
      <c r="J840" s="1" t="n">
        <v>20201</v>
      </c>
      <c r="L840" s="1" t="str">
        <f aca="false">IF(D839&lt;&gt;D840,D840,"")</f>
        <v/>
      </c>
      <c r="M840" s="1" t="str">
        <f aca="false">IF(F839&lt;&gt;F840,F840,"")</f>
        <v/>
      </c>
    </row>
    <row r="841" customFormat="false" ht="15" hidden="false" customHeight="false" outlineLevel="0" collapsed="false">
      <c r="A841" s="3" t="s">
        <v>711</v>
      </c>
      <c r="B841" s="3" t="s">
        <v>712</v>
      </c>
      <c r="C841" s="3" t="s">
        <v>685</v>
      </c>
      <c r="D841" s="3" t="s">
        <v>686</v>
      </c>
      <c r="E841" s="3" t="n">
        <v>20171</v>
      </c>
      <c r="F841" s="3" t="s">
        <v>208</v>
      </c>
      <c r="G841" s="3" t="s">
        <v>18</v>
      </c>
      <c r="H841" s="1" t="n">
        <v>3</v>
      </c>
      <c r="I841" s="1" t="n">
        <v>0</v>
      </c>
      <c r="J841" s="1" t="n">
        <v>20201</v>
      </c>
      <c r="L841" s="1" t="str">
        <f aca="false">IF(D840&lt;&gt;D841,D841,"")</f>
        <v/>
      </c>
      <c r="M841" s="1" t="str">
        <f aca="false">IF(F840&lt;&gt;F841,F841,"")</f>
        <v/>
      </c>
    </row>
    <row r="842" customFormat="false" ht="15" hidden="false" customHeight="false" outlineLevel="0" collapsed="false">
      <c r="A842" s="3" t="s">
        <v>713</v>
      </c>
      <c r="B842" s="3" t="s">
        <v>714</v>
      </c>
      <c r="C842" s="3" t="s">
        <v>685</v>
      </c>
      <c r="D842" s="3" t="s">
        <v>686</v>
      </c>
      <c r="E842" s="3" t="n">
        <v>20171</v>
      </c>
      <c r="F842" s="3" t="s">
        <v>208</v>
      </c>
      <c r="G842" s="3" t="s">
        <v>14</v>
      </c>
      <c r="H842" s="1" t="n">
        <v>4</v>
      </c>
      <c r="I842" s="1" t="n">
        <v>0</v>
      </c>
      <c r="J842" s="1" t="n">
        <v>20201</v>
      </c>
      <c r="L842" s="1" t="str">
        <f aca="false">IF(D841&lt;&gt;D842,D842,"")</f>
        <v/>
      </c>
      <c r="M842" s="1" t="str">
        <f aca="false">IF(F841&lt;&gt;F842,F842,"")</f>
        <v/>
      </c>
    </row>
    <row r="843" customFormat="false" ht="15" hidden="false" customHeight="false" outlineLevel="0" collapsed="false">
      <c r="A843" s="3" t="s">
        <v>715</v>
      </c>
      <c r="B843" s="3" t="s">
        <v>716</v>
      </c>
      <c r="C843" s="3" t="s">
        <v>685</v>
      </c>
      <c r="D843" s="3" t="s">
        <v>686</v>
      </c>
      <c r="E843" s="3" t="n">
        <v>20171</v>
      </c>
      <c r="F843" s="3" t="s">
        <v>208</v>
      </c>
      <c r="G843" s="3" t="s">
        <v>14</v>
      </c>
      <c r="H843" s="1" t="n">
        <v>4</v>
      </c>
      <c r="I843" s="1" t="n">
        <v>0</v>
      </c>
      <c r="J843" s="1" t="n">
        <v>20201</v>
      </c>
      <c r="L843" s="1" t="str">
        <f aca="false">IF(D842&lt;&gt;D843,D843,"")</f>
        <v/>
      </c>
      <c r="M843" s="1" t="str">
        <f aca="false">IF(F842&lt;&gt;F843,F843,"")</f>
        <v/>
      </c>
    </row>
    <row r="844" customFormat="false" ht="15" hidden="false" customHeight="false" outlineLevel="0" collapsed="false">
      <c r="A844" s="3" t="s">
        <v>717</v>
      </c>
      <c r="B844" s="3" t="s">
        <v>718</v>
      </c>
      <c r="C844" s="3" t="s">
        <v>685</v>
      </c>
      <c r="D844" s="3" t="s">
        <v>686</v>
      </c>
      <c r="E844" s="3" t="n">
        <v>20171</v>
      </c>
      <c r="F844" s="3" t="s">
        <v>208</v>
      </c>
      <c r="G844" s="3" t="s">
        <v>14</v>
      </c>
      <c r="H844" s="1" t="n">
        <v>4</v>
      </c>
      <c r="I844" s="1" t="n">
        <v>0</v>
      </c>
      <c r="J844" s="1" t="n">
        <v>20201</v>
      </c>
      <c r="L844" s="1" t="str">
        <f aca="false">IF(D843&lt;&gt;D844,D844,"")</f>
        <v/>
      </c>
      <c r="M844" s="1" t="str">
        <f aca="false">IF(F843&lt;&gt;F844,F844,"")</f>
        <v/>
      </c>
    </row>
    <row r="845" customFormat="false" ht="15" hidden="false" customHeight="false" outlineLevel="0" collapsed="false">
      <c r="A845" s="3" t="s">
        <v>719</v>
      </c>
      <c r="B845" s="3" t="s">
        <v>720</v>
      </c>
      <c r="C845" s="3" t="s">
        <v>685</v>
      </c>
      <c r="D845" s="3" t="s">
        <v>686</v>
      </c>
      <c r="E845" s="3" t="n">
        <v>20171</v>
      </c>
      <c r="F845" s="3" t="s">
        <v>208</v>
      </c>
      <c r="G845" s="3" t="s">
        <v>15</v>
      </c>
      <c r="H845" s="1" t="n">
        <v>3.5</v>
      </c>
      <c r="I845" s="1" t="n">
        <v>0</v>
      </c>
      <c r="J845" s="1" t="n">
        <v>20201</v>
      </c>
      <c r="L845" s="1" t="str">
        <f aca="false">IF(D844&lt;&gt;D845,D845,"")</f>
        <v/>
      </c>
      <c r="M845" s="1" t="str">
        <f aca="false">IF(F844&lt;&gt;F845,F845,"")</f>
        <v/>
      </c>
    </row>
    <row r="846" customFormat="false" ht="15" hidden="false" customHeight="false" outlineLevel="0" collapsed="false">
      <c r="A846" s="3" t="s">
        <v>663</v>
      </c>
      <c r="B846" s="3" t="s">
        <v>664</v>
      </c>
      <c r="C846" s="3" t="s">
        <v>685</v>
      </c>
      <c r="D846" s="3" t="s">
        <v>686</v>
      </c>
      <c r="E846" s="3" t="n">
        <v>20171</v>
      </c>
      <c r="F846" s="3" t="s">
        <v>208</v>
      </c>
      <c r="G846" s="3" t="s">
        <v>127</v>
      </c>
      <c r="H846" s="1" t="n">
        <v>2</v>
      </c>
      <c r="I846" s="1" t="n">
        <v>0</v>
      </c>
      <c r="J846" s="1" t="n">
        <v>20201</v>
      </c>
      <c r="L846" s="1" t="str">
        <f aca="false">IF(D845&lt;&gt;D846,D846,"")</f>
        <v/>
      </c>
      <c r="M846" s="1" t="str">
        <f aca="false">IF(F845&lt;&gt;F846,F846,"")</f>
        <v/>
      </c>
    </row>
    <row r="847" customFormat="false" ht="15" hidden="false" customHeight="false" outlineLevel="0" collapsed="false">
      <c r="A847" s="3" t="s">
        <v>721</v>
      </c>
      <c r="B847" s="3" t="s">
        <v>722</v>
      </c>
      <c r="C847" s="3" t="s">
        <v>685</v>
      </c>
      <c r="D847" s="3" t="s">
        <v>686</v>
      </c>
      <c r="E847" s="3" t="n">
        <v>20171</v>
      </c>
      <c r="F847" s="3" t="s">
        <v>208</v>
      </c>
      <c r="G847" s="3" t="s">
        <v>14</v>
      </c>
      <c r="H847" s="1" t="n">
        <v>4</v>
      </c>
      <c r="I847" s="1" t="n">
        <v>0</v>
      </c>
      <c r="J847" s="1" t="n">
        <v>20201</v>
      </c>
      <c r="L847" s="1" t="str">
        <f aca="false">IF(D846&lt;&gt;D847,D847,"")</f>
        <v/>
      </c>
      <c r="M847" s="1" t="str">
        <f aca="false">IF(F846&lt;&gt;F847,F847,"")</f>
        <v/>
      </c>
    </row>
    <row r="848" customFormat="false" ht="15" hidden="false" customHeight="false" outlineLevel="0" collapsed="false">
      <c r="A848" s="3" t="s">
        <v>665</v>
      </c>
      <c r="B848" s="3" t="s">
        <v>666</v>
      </c>
      <c r="C848" s="3" t="s">
        <v>685</v>
      </c>
      <c r="D848" s="3" t="s">
        <v>686</v>
      </c>
      <c r="E848" s="3" t="n">
        <v>20171</v>
      </c>
      <c r="F848" s="3" t="s">
        <v>208</v>
      </c>
      <c r="G848" s="3" t="s">
        <v>14</v>
      </c>
      <c r="H848" s="1" t="n">
        <v>4</v>
      </c>
      <c r="I848" s="1" t="n">
        <v>0</v>
      </c>
      <c r="J848" s="1" t="n">
        <v>20201</v>
      </c>
      <c r="L848" s="1" t="str">
        <f aca="false">IF(D847&lt;&gt;D848,D848,"")</f>
        <v/>
      </c>
      <c r="M848" s="1" t="str">
        <f aca="false">IF(F847&lt;&gt;F848,F848,"")</f>
        <v/>
      </c>
    </row>
    <row r="849" customFormat="false" ht="15" hidden="false" customHeight="false" outlineLevel="0" collapsed="false">
      <c r="A849" s="3" t="s">
        <v>723</v>
      </c>
      <c r="B849" s="3" t="s">
        <v>724</v>
      </c>
      <c r="C849" s="3" t="s">
        <v>685</v>
      </c>
      <c r="D849" s="3" t="s">
        <v>686</v>
      </c>
      <c r="E849" s="3" t="n">
        <v>20171</v>
      </c>
      <c r="F849" s="3" t="s">
        <v>208</v>
      </c>
      <c r="G849" s="3" t="s">
        <v>18</v>
      </c>
      <c r="H849" s="1" t="n">
        <v>3</v>
      </c>
      <c r="I849" s="1" t="n">
        <v>0</v>
      </c>
      <c r="J849" s="1" t="n">
        <v>20201</v>
      </c>
      <c r="L849" s="1" t="str">
        <f aca="false">IF(D848&lt;&gt;D849,D849,"")</f>
        <v/>
      </c>
      <c r="M849" s="1" t="str">
        <f aca="false">IF(F848&lt;&gt;F849,F849,"")</f>
        <v/>
      </c>
    </row>
    <row r="850" customFormat="false" ht="15" hidden="false" customHeight="false" outlineLevel="0" collapsed="false">
      <c r="A850" s="3" t="s">
        <v>725</v>
      </c>
      <c r="B850" s="3" t="s">
        <v>726</v>
      </c>
      <c r="C850" s="3" t="s">
        <v>685</v>
      </c>
      <c r="D850" s="3" t="s">
        <v>686</v>
      </c>
      <c r="E850" s="3" t="n">
        <v>20171</v>
      </c>
      <c r="F850" s="3" t="s">
        <v>208</v>
      </c>
      <c r="G850" s="3" t="s">
        <v>14</v>
      </c>
      <c r="H850" s="1" t="n">
        <v>4</v>
      </c>
      <c r="I850" s="1" t="n">
        <v>0</v>
      </c>
      <c r="J850" s="1" t="n">
        <v>20201</v>
      </c>
      <c r="L850" s="1" t="str">
        <f aca="false">IF(D849&lt;&gt;D850,D850,"")</f>
        <v/>
      </c>
      <c r="M850" s="1" t="str">
        <f aca="false">IF(F849&lt;&gt;F850,F850,"")</f>
        <v/>
      </c>
    </row>
    <row r="851" customFormat="false" ht="15" hidden="false" customHeight="false" outlineLevel="0" collapsed="false">
      <c r="A851" s="3" t="s">
        <v>559</v>
      </c>
      <c r="B851" s="3" t="s">
        <v>560</v>
      </c>
      <c r="C851" s="3" t="s">
        <v>727</v>
      </c>
      <c r="D851" s="3" t="s">
        <v>728</v>
      </c>
      <c r="E851" s="1" t="n">
        <v>20171</v>
      </c>
      <c r="F851" s="1" t="s">
        <v>208</v>
      </c>
      <c r="G851" s="1" t="s">
        <v>514</v>
      </c>
      <c r="H851" s="1" t="n">
        <v>1</v>
      </c>
      <c r="I851" s="1" t="n">
        <v>0</v>
      </c>
      <c r="J851" s="1" t="n">
        <v>20201</v>
      </c>
      <c r="L851" s="1" t="str">
        <f aca="false">IF(D850&lt;&gt;D851,D851,"")</f>
        <v>ELEKTRONIKA DAYA</v>
      </c>
      <c r="M851" s="1" t="str">
        <f aca="false">IF(F850&lt;&gt;F851,F851,"")</f>
        <v/>
      </c>
    </row>
    <row r="852" customFormat="false" ht="15" hidden="false" customHeight="false" outlineLevel="0" collapsed="false">
      <c r="A852" s="3" t="s">
        <v>637</v>
      </c>
      <c r="B852" s="3" t="s">
        <v>638</v>
      </c>
      <c r="C852" s="3" t="s">
        <v>727</v>
      </c>
      <c r="D852" s="3" t="s">
        <v>728</v>
      </c>
      <c r="E852" s="1" t="n">
        <v>20171</v>
      </c>
      <c r="F852" s="1" t="s">
        <v>208</v>
      </c>
      <c r="G852" s="1" t="s">
        <v>514</v>
      </c>
      <c r="H852" s="1" t="n">
        <v>1</v>
      </c>
      <c r="I852" s="1" t="n">
        <v>0</v>
      </c>
      <c r="J852" s="1" t="n">
        <v>20201</v>
      </c>
      <c r="L852" s="1" t="str">
        <f aca="false">IF(D851&lt;&gt;D852,D852,"")</f>
        <v/>
      </c>
      <c r="M852" s="1" t="str">
        <f aca="false">IF(F851&lt;&gt;F852,F852,"")</f>
        <v/>
      </c>
    </row>
    <row r="853" customFormat="false" ht="15" hidden="false" customHeight="false" outlineLevel="0" collapsed="false">
      <c r="A853" s="3" t="s">
        <v>729</v>
      </c>
      <c r="B853" s="3" t="s">
        <v>730</v>
      </c>
      <c r="C853" s="3" t="s">
        <v>727</v>
      </c>
      <c r="D853" s="3" t="s">
        <v>728</v>
      </c>
      <c r="E853" s="1" t="n">
        <v>20171</v>
      </c>
      <c r="F853" s="1" t="s">
        <v>208</v>
      </c>
      <c r="G853" s="1" t="s">
        <v>101</v>
      </c>
      <c r="H853" s="1" t="n">
        <v>2.5</v>
      </c>
      <c r="I853" s="1" t="n">
        <v>0</v>
      </c>
      <c r="J853" s="1" t="n">
        <v>20201</v>
      </c>
      <c r="L853" s="1" t="str">
        <f aca="false">IF(D852&lt;&gt;D853,D853,"")</f>
        <v/>
      </c>
      <c r="M853" s="1" t="str">
        <f aca="false">IF(F852&lt;&gt;F853,F853,"")</f>
        <v/>
      </c>
    </row>
    <row r="854" customFormat="false" ht="15" hidden="false" customHeight="false" outlineLevel="0" collapsed="false">
      <c r="A854" s="3" t="s">
        <v>571</v>
      </c>
      <c r="B854" s="3" t="s">
        <v>572</v>
      </c>
      <c r="C854" s="3" t="s">
        <v>727</v>
      </c>
      <c r="D854" s="3" t="s">
        <v>728</v>
      </c>
      <c r="E854" s="1" t="n">
        <v>20171</v>
      </c>
      <c r="F854" s="1" t="s">
        <v>208</v>
      </c>
      <c r="G854" s="1" t="s">
        <v>23</v>
      </c>
      <c r="H854" s="1" t="n">
        <v>0</v>
      </c>
      <c r="I854" s="1" t="n">
        <v>0</v>
      </c>
      <c r="J854" s="1" t="n">
        <v>20201</v>
      </c>
      <c r="L854" s="1" t="str">
        <f aca="false">IF(D853&lt;&gt;D854,D854,"")</f>
        <v/>
      </c>
      <c r="M854" s="1" t="str">
        <f aca="false">IF(F853&lt;&gt;F854,F854,"")</f>
        <v/>
      </c>
    </row>
    <row r="855" customFormat="false" ht="15" hidden="false" customHeight="false" outlineLevel="0" collapsed="false">
      <c r="A855" s="3" t="s">
        <v>671</v>
      </c>
      <c r="B855" s="3" t="s">
        <v>672</v>
      </c>
      <c r="C855" s="3" t="s">
        <v>727</v>
      </c>
      <c r="D855" s="3" t="s">
        <v>728</v>
      </c>
      <c r="E855" s="1" t="n">
        <v>20171</v>
      </c>
      <c r="F855" s="1" t="s">
        <v>208</v>
      </c>
      <c r="G855" s="1" t="s">
        <v>18</v>
      </c>
      <c r="H855" s="1" t="n">
        <v>3</v>
      </c>
      <c r="I855" s="1" t="n">
        <v>0</v>
      </c>
      <c r="J855" s="1" t="n">
        <v>20201</v>
      </c>
      <c r="L855" s="1" t="str">
        <f aca="false">IF(D854&lt;&gt;D855,D855,"")</f>
        <v/>
      </c>
      <c r="M855" s="1" t="str">
        <f aca="false">IF(F854&lt;&gt;F855,F855,"")</f>
        <v/>
      </c>
    </row>
    <row r="856" customFormat="false" ht="15" hidden="false" customHeight="false" outlineLevel="0" collapsed="false">
      <c r="A856" s="3" t="s">
        <v>110</v>
      </c>
      <c r="B856" s="3" t="s">
        <v>111</v>
      </c>
      <c r="C856" s="3" t="s">
        <v>727</v>
      </c>
      <c r="D856" s="3" t="s">
        <v>728</v>
      </c>
      <c r="E856" s="1" t="n">
        <v>20171</v>
      </c>
      <c r="F856" s="1" t="s">
        <v>208</v>
      </c>
      <c r="G856" s="1" t="s">
        <v>127</v>
      </c>
      <c r="H856" s="1" t="n">
        <v>2</v>
      </c>
      <c r="I856" s="1" t="n">
        <v>0</v>
      </c>
      <c r="J856" s="1" t="n">
        <v>20201</v>
      </c>
      <c r="L856" s="1" t="str">
        <f aca="false">IF(D855&lt;&gt;D856,D856,"")</f>
        <v/>
      </c>
      <c r="M856" s="1" t="str">
        <f aca="false">IF(F855&lt;&gt;F856,F856,"")</f>
        <v/>
      </c>
    </row>
    <row r="857" customFormat="false" ht="15" hidden="false" customHeight="false" outlineLevel="0" collapsed="false">
      <c r="A857" s="3" t="s">
        <v>19</v>
      </c>
      <c r="B857" s="3" t="s">
        <v>20</v>
      </c>
      <c r="C857" s="3" t="s">
        <v>727</v>
      </c>
      <c r="D857" s="3" t="s">
        <v>728</v>
      </c>
      <c r="E857" s="1" t="n">
        <v>20171</v>
      </c>
      <c r="F857" s="1" t="s">
        <v>208</v>
      </c>
      <c r="G857" s="1" t="s">
        <v>23</v>
      </c>
      <c r="H857" s="1" t="n">
        <v>0</v>
      </c>
      <c r="I857" s="1" t="n">
        <v>0</v>
      </c>
      <c r="J857" s="1" t="n">
        <v>20201</v>
      </c>
      <c r="L857" s="1" t="str">
        <f aca="false">IF(D856&lt;&gt;D857,D857,"")</f>
        <v/>
      </c>
      <c r="M857" s="1" t="str">
        <f aca="false">IF(F856&lt;&gt;F857,F857,"")</f>
        <v/>
      </c>
    </row>
    <row r="858" customFormat="false" ht="15" hidden="false" customHeight="false" outlineLevel="0" collapsed="false">
      <c r="A858" s="3" t="s">
        <v>731</v>
      </c>
      <c r="B858" s="3" t="s">
        <v>732</v>
      </c>
      <c r="C858" s="3" t="s">
        <v>727</v>
      </c>
      <c r="D858" s="3" t="s">
        <v>728</v>
      </c>
      <c r="E858" s="1" t="n">
        <v>20171</v>
      </c>
      <c r="F858" s="1" t="s">
        <v>208</v>
      </c>
      <c r="G858" s="1" t="s">
        <v>514</v>
      </c>
      <c r="H858" s="1" t="n">
        <v>1</v>
      </c>
      <c r="I858" s="1" t="n">
        <v>0</v>
      </c>
      <c r="J858" s="1" t="n">
        <v>20201</v>
      </c>
      <c r="L858" s="1" t="str">
        <f aca="false">IF(D857&lt;&gt;D858,D858,"")</f>
        <v/>
      </c>
      <c r="M858" s="1" t="str">
        <f aca="false">IF(F857&lt;&gt;F858,F858,"")</f>
        <v/>
      </c>
    </row>
    <row r="859" customFormat="false" ht="15" hidden="false" customHeight="false" outlineLevel="0" collapsed="false">
      <c r="A859" s="3" t="s">
        <v>733</v>
      </c>
      <c r="B859" s="3" t="s">
        <v>734</v>
      </c>
      <c r="C859" s="3" t="s">
        <v>727</v>
      </c>
      <c r="D859" s="3" t="s">
        <v>728</v>
      </c>
      <c r="E859" s="1" t="n">
        <v>20171</v>
      </c>
      <c r="F859" s="1" t="s">
        <v>208</v>
      </c>
      <c r="G859" s="1" t="s">
        <v>514</v>
      </c>
      <c r="H859" s="1" t="n">
        <v>1</v>
      </c>
      <c r="I859" s="1" t="n">
        <v>0</v>
      </c>
      <c r="J859" s="1" t="n">
        <v>20201</v>
      </c>
      <c r="L859" s="1" t="str">
        <f aca="false">IF(D858&lt;&gt;D859,D859,"")</f>
        <v/>
      </c>
      <c r="M859" s="1" t="str">
        <f aca="false">IF(F858&lt;&gt;F859,F859,"")</f>
        <v/>
      </c>
    </row>
    <row r="860" customFormat="false" ht="15" hidden="false" customHeight="false" outlineLevel="0" collapsed="false">
      <c r="A860" s="3" t="s">
        <v>735</v>
      </c>
      <c r="B860" s="3" t="s">
        <v>736</v>
      </c>
      <c r="C860" s="3" t="s">
        <v>727</v>
      </c>
      <c r="D860" s="3" t="s">
        <v>728</v>
      </c>
      <c r="E860" s="1" t="n">
        <v>20171</v>
      </c>
      <c r="F860" s="1" t="s">
        <v>208</v>
      </c>
      <c r="G860" s="1" t="s">
        <v>14</v>
      </c>
      <c r="H860" s="1" t="n">
        <v>4</v>
      </c>
      <c r="I860" s="1" t="n">
        <v>0</v>
      </c>
      <c r="J860" s="1" t="n">
        <v>20201</v>
      </c>
      <c r="L860" s="1" t="str">
        <f aca="false">IF(D859&lt;&gt;D860,D860,"")</f>
        <v/>
      </c>
      <c r="M860" s="1" t="str">
        <f aca="false">IF(F859&lt;&gt;F860,F860,"")</f>
        <v/>
      </c>
    </row>
    <row r="861" customFormat="false" ht="15" hidden="false" customHeight="false" outlineLevel="0" collapsed="false">
      <c r="A861" s="3" t="s">
        <v>575</v>
      </c>
      <c r="B861" s="3" t="s">
        <v>576</v>
      </c>
      <c r="C861" s="3" t="s">
        <v>727</v>
      </c>
      <c r="D861" s="3" t="s">
        <v>728</v>
      </c>
      <c r="E861" s="1" t="n">
        <v>20171</v>
      </c>
      <c r="F861" s="1" t="s">
        <v>208</v>
      </c>
      <c r="G861" s="1" t="s">
        <v>127</v>
      </c>
      <c r="H861" s="1" t="n">
        <v>2</v>
      </c>
      <c r="I861" s="1" t="n">
        <v>0</v>
      </c>
      <c r="J861" s="1" t="n">
        <v>20201</v>
      </c>
      <c r="L861" s="1" t="str">
        <f aca="false">IF(D860&lt;&gt;D861,D861,"")</f>
        <v/>
      </c>
      <c r="M861" s="1" t="str">
        <f aca="false">IF(F860&lt;&gt;F861,F861,"")</f>
        <v/>
      </c>
    </row>
    <row r="862" customFormat="false" ht="15" hidden="false" customHeight="false" outlineLevel="0" collapsed="false">
      <c r="A862" s="3" t="s">
        <v>601</v>
      </c>
      <c r="B862" s="3" t="s">
        <v>602</v>
      </c>
      <c r="C862" s="3" t="s">
        <v>727</v>
      </c>
      <c r="D862" s="3" t="s">
        <v>728</v>
      </c>
      <c r="E862" s="1" t="n">
        <v>20171</v>
      </c>
      <c r="F862" s="1" t="s">
        <v>208</v>
      </c>
      <c r="G862" s="1" t="s">
        <v>127</v>
      </c>
      <c r="H862" s="1" t="n">
        <v>2</v>
      </c>
      <c r="I862" s="1" t="n">
        <v>0</v>
      </c>
      <c r="J862" s="1" t="n">
        <v>20201</v>
      </c>
      <c r="L862" s="1" t="str">
        <f aca="false">IF(D861&lt;&gt;D862,D862,"")</f>
        <v/>
      </c>
      <c r="M862" s="1" t="str">
        <f aca="false">IF(F861&lt;&gt;F862,F862,"")</f>
        <v/>
      </c>
    </row>
    <row r="863" customFormat="false" ht="15" hidden="false" customHeight="false" outlineLevel="0" collapsed="false">
      <c r="A863" s="3" t="s">
        <v>737</v>
      </c>
      <c r="B863" s="3" t="s">
        <v>738</v>
      </c>
      <c r="C863" s="3" t="s">
        <v>727</v>
      </c>
      <c r="D863" s="3" t="s">
        <v>728</v>
      </c>
      <c r="E863" s="1" t="n">
        <v>20171</v>
      </c>
      <c r="F863" s="1" t="s">
        <v>208</v>
      </c>
      <c r="G863" s="1" t="s">
        <v>127</v>
      </c>
      <c r="H863" s="1" t="n">
        <v>2</v>
      </c>
      <c r="I863" s="1" t="n">
        <v>0</v>
      </c>
      <c r="J863" s="1" t="n">
        <v>20201</v>
      </c>
      <c r="L863" s="1" t="str">
        <f aca="false">IF(D862&lt;&gt;D863,D863,"")</f>
        <v/>
      </c>
      <c r="M863" s="1" t="str">
        <f aca="false">IF(F862&lt;&gt;F863,F863,"")</f>
        <v/>
      </c>
    </row>
    <row r="864" customFormat="false" ht="15" hidden="false" customHeight="false" outlineLevel="0" collapsed="false">
      <c r="A864" s="3" t="s">
        <v>739</v>
      </c>
      <c r="B864" s="3" t="s">
        <v>740</v>
      </c>
      <c r="C864" s="3" t="s">
        <v>727</v>
      </c>
      <c r="D864" s="3" t="s">
        <v>728</v>
      </c>
      <c r="E864" s="1" t="n">
        <v>20171</v>
      </c>
      <c r="F864" s="1" t="s">
        <v>208</v>
      </c>
      <c r="G864" s="1" t="s">
        <v>127</v>
      </c>
      <c r="H864" s="1" t="n">
        <v>2</v>
      </c>
      <c r="I864" s="1" t="n">
        <v>0</v>
      </c>
      <c r="J864" s="1" t="n">
        <v>20201</v>
      </c>
      <c r="L864" s="1" t="str">
        <f aca="false">IF(D863&lt;&gt;D864,D864,"")</f>
        <v/>
      </c>
      <c r="M864" s="1" t="str">
        <f aca="false">IF(F863&lt;&gt;F864,F864,"")</f>
        <v/>
      </c>
    </row>
    <row r="865" customFormat="false" ht="15" hidden="false" customHeight="false" outlineLevel="0" collapsed="false">
      <c r="A865" s="3" t="s">
        <v>211</v>
      </c>
      <c r="B865" s="3" t="s">
        <v>212</v>
      </c>
      <c r="C865" s="3" t="s">
        <v>727</v>
      </c>
      <c r="D865" s="3" t="s">
        <v>728</v>
      </c>
      <c r="E865" s="1" t="n">
        <v>20171</v>
      </c>
      <c r="F865" s="1" t="s">
        <v>208</v>
      </c>
      <c r="G865" s="1" t="s">
        <v>101</v>
      </c>
      <c r="H865" s="1" t="n">
        <v>2.5</v>
      </c>
      <c r="I865" s="1" t="n">
        <v>0</v>
      </c>
      <c r="J865" s="1" t="n">
        <v>20201</v>
      </c>
      <c r="L865" s="1" t="str">
        <f aca="false">IF(D864&lt;&gt;D865,D865,"")</f>
        <v/>
      </c>
      <c r="M865" s="1" t="str">
        <f aca="false">IF(F864&lt;&gt;F865,F865,"")</f>
        <v/>
      </c>
    </row>
    <row r="866" customFormat="false" ht="15" hidden="false" customHeight="false" outlineLevel="0" collapsed="false">
      <c r="A866" s="3" t="s">
        <v>213</v>
      </c>
      <c r="B866" s="3" t="s">
        <v>214</v>
      </c>
      <c r="C866" s="3" t="s">
        <v>727</v>
      </c>
      <c r="D866" s="3" t="s">
        <v>728</v>
      </c>
      <c r="E866" s="1" t="n">
        <v>20171</v>
      </c>
      <c r="F866" s="1" t="s">
        <v>208</v>
      </c>
      <c r="G866" s="1" t="s">
        <v>18</v>
      </c>
      <c r="H866" s="1" t="n">
        <v>3</v>
      </c>
      <c r="I866" s="1" t="n">
        <v>0</v>
      </c>
      <c r="J866" s="1" t="n">
        <v>20201</v>
      </c>
      <c r="L866" s="1" t="str">
        <f aca="false">IF(D865&lt;&gt;D866,D866,"")</f>
        <v/>
      </c>
      <c r="M866" s="1" t="str">
        <f aca="false">IF(F865&lt;&gt;F866,F866,"")</f>
        <v/>
      </c>
    </row>
    <row r="867" customFormat="false" ht="15" hidden="false" customHeight="false" outlineLevel="0" collapsed="false">
      <c r="A867" s="3" t="s">
        <v>215</v>
      </c>
      <c r="B867" s="3" t="s">
        <v>216</v>
      </c>
      <c r="C867" s="3" t="s">
        <v>727</v>
      </c>
      <c r="D867" s="3" t="s">
        <v>728</v>
      </c>
      <c r="E867" s="1" t="n">
        <v>20171</v>
      </c>
      <c r="F867" s="1" t="s">
        <v>208</v>
      </c>
      <c r="G867" s="1" t="s">
        <v>127</v>
      </c>
      <c r="H867" s="1" t="n">
        <v>2</v>
      </c>
      <c r="I867" s="1" t="n">
        <v>0</v>
      </c>
      <c r="J867" s="1" t="n">
        <v>20201</v>
      </c>
      <c r="L867" s="1" t="str">
        <f aca="false">IF(D866&lt;&gt;D867,D867,"")</f>
        <v/>
      </c>
      <c r="M867" s="1" t="str">
        <f aca="false">IF(F866&lt;&gt;F867,F867,"")</f>
        <v/>
      </c>
    </row>
    <row r="868" customFormat="false" ht="15" hidden="false" customHeight="false" outlineLevel="0" collapsed="false">
      <c r="A868" s="3" t="s">
        <v>217</v>
      </c>
      <c r="B868" s="3" t="s">
        <v>218</v>
      </c>
      <c r="C868" s="3" t="s">
        <v>727</v>
      </c>
      <c r="D868" s="3" t="s">
        <v>728</v>
      </c>
      <c r="E868" s="1" t="n">
        <v>20171</v>
      </c>
      <c r="F868" s="1" t="s">
        <v>208</v>
      </c>
      <c r="G868" s="1" t="s">
        <v>15</v>
      </c>
      <c r="H868" s="1" t="n">
        <v>3.5</v>
      </c>
      <c r="I868" s="1" t="n">
        <v>0</v>
      </c>
      <c r="J868" s="1" t="n">
        <v>20201</v>
      </c>
      <c r="L868" s="1" t="str">
        <f aca="false">IF(D867&lt;&gt;D868,D868,"")</f>
        <v/>
      </c>
      <c r="M868" s="1" t="str">
        <f aca="false">IF(F867&lt;&gt;F868,F868,"")</f>
        <v/>
      </c>
    </row>
    <row r="869" customFormat="false" ht="15" hidden="false" customHeight="false" outlineLevel="0" collapsed="false">
      <c r="A869" s="3" t="s">
        <v>219</v>
      </c>
      <c r="B869" s="3" t="s">
        <v>220</v>
      </c>
      <c r="C869" s="3" t="s">
        <v>727</v>
      </c>
      <c r="D869" s="3" t="s">
        <v>728</v>
      </c>
      <c r="E869" s="1" t="n">
        <v>20171</v>
      </c>
      <c r="F869" s="1" t="s">
        <v>208</v>
      </c>
      <c r="G869" s="1" t="s">
        <v>127</v>
      </c>
      <c r="H869" s="1" t="n">
        <v>2</v>
      </c>
      <c r="I869" s="1" t="n">
        <v>0</v>
      </c>
      <c r="J869" s="1" t="n">
        <v>20201</v>
      </c>
      <c r="L869" s="1" t="str">
        <f aca="false">IF(D868&lt;&gt;D869,D869,"")</f>
        <v/>
      </c>
      <c r="M869" s="1" t="str">
        <f aca="false">IF(F868&lt;&gt;F869,F869,"")</f>
        <v/>
      </c>
    </row>
    <row r="870" customFormat="false" ht="15" hidden="false" customHeight="false" outlineLevel="0" collapsed="false">
      <c r="A870" s="3" t="s">
        <v>223</v>
      </c>
      <c r="B870" s="3" t="s">
        <v>224</v>
      </c>
      <c r="C870" s="3" t="s">
        <v>727</v>
      </c>
      <c r="D870" s="3" t="s">
        <v>728</v>
      </c>
      <c r="E870" s="1" t="n">
        <v>20171</v>
      </c>
      <c r="F870" s="1" t="s">
        <v>208</v>
      </c>
      <c r="G870" s="1" t="s">
        <v>101</v>
      </c>
      <c r="H870" s="1" t="n">
        <v>2.5</v>
      </c>
      <c r="I870" s="1" t="n">
        <v>0</v>
      </c>
      <c r="J870" s="1" t="n">
        <v>20201</v>
      </c>
      <c r="L870" s="1" t="str">
        <f aca="false">IF(D869&lt;&gt;D870,D870,"")</f>
        <v/>
      </c>
      <c r="M870" s="1" t="str">
        <f aca="false">IF(F869&lt;&gt;F870,F870,"")</f>
        <v/>
      </c>
    </row>
    <row r="871" customFormat="false" ht="15" hidden="false" customHeight="false" outlineLevel="0" collapsed="false">
      <c r="A871" s="3" t="s">
        <v>227</v>
      </c>
      <c r="B871" s="3" t="s">
        <v>228</v>
      </c>
      <c r="C871" s="3" t="s">
        <v>727</v>
      </c>
      <c r="D871" s="3" t="s">
        <v>728</v>
      </c>
      <c r="E871" s="1" t="n">
        <v>20171</v>
      </c>
      <c r="F871" s="1" t="s">
        <v>208</v>
      </c>
      <c r="G871" s="1" t="s">
        <v>127</v>
      </c>
      <c r="H871" s="1" t="n">
        <v>2</v>
      </c>
      <c r="I871" s="1" t="n">
        <v>0</v>
      </c>
      <c r="J871" s="1" t="n">
        <v>20201</v>
      </c>
      <c r="L871" s="1" t="str">
        <f aca="false">IF(D870&lt;&gt;D871,D871,"")</f>
        <v/>
      </c>
      <c r="M871" s="1" t="str">
        <f aca="false">IF(F870&lt;&gt;F871,F871,"")</f>
        <v/>
      </c>
    </row>
    <row r="872" customFormat="false" ht="15" hidden="false" customHeight="false" outlineLevel="0" collapsed="false">
      <c r="A872" s="3" t="s">
        <v>229</v>
      </c>
      <c r="B872" s="3" t="s">
        <v>230</v>
      </c>
      <c r="C872" s="3" t="s">
        <v>727</v>
      </c>
      <c r="D872" s="3" t="s">
        <v>728</v>
      </c>
      <c r="E872" s="1" t="n">
        <v>20171</v>
      </c>
      <c r="F872" s="1" t="s">
        <v>208</v>
      </c>
      <c r="G872" s="1" t="s">
        <v>127</v>
      </c>
      <c r="H872" s="1" t="n">
        <v>2</v>
      </c>
      <c r="I872" s="1" t="n">
        <v>0</v>
      </c>
      <c r="J872" s="1" t="n">
        <v>20201</v>
      </c>
      <c r="L872" s="1" t="str">
        <f aca="false">IF(D871&lt;&gt;D872,D872,"")</f>
        <v/>
      </c>
      <c r="M872" s="1" t="str">
        <f aca="false">IF(F871&lt;&gt;F872,F872,"")</f>
        <v/>
      </c>
    </row>
    <row r="873" customFormat="false" ht="15" hidden="false" customHeight="false" outlineLevel="0" collapsed="false">
      <c r="A873" s="3" t="s">
        <v>231</v>
      </c>
      <c r="B873" s="3" t="s">
        <v>232</v>
      </c>
      <c r="C873" s="3" t="s">
        <v>727</v>
      </c>
      <c r="D873" s="3" t="s">
        <v>728</v>
      </c>
      <c r="E873" s="1" t="n">
        <v>20171</v>
      </c>
      <c r="F873" s="1" t="s">
        <v>208</v>
      </c>
      <c r="G873" s="1" t="s">
        <v>127</v>
      </c>
      <c r="H873" s="1" t="n">
        <v>2</v>
      </c>
      <c r="I873" s="1" t="n">
        <v>0</v>
      </c>
      <c r="J873" s="1" t="n">
        <v>20201</v>
      </c>
      <c r="L873" s="1" t="str">
        <f aca="false">IF(D872&lt;&gt;D873,D873,"")</f>
        <v/>
      </c>
      <c r="M873" s="1" t="str">
        <f aca="false">IF(F872&lt;&gt;F873,F873,"")</f>
        <v/>
      </c>
    </row>
    <row r="874" customFormat="false" ht="15" hidden="false" customHeight="false" outlineLevel="0" collapsed="false">
      <c r="A874" s="3" t="s">
        <v>233</v>
      </c>
      <c r="B874" s="3" t="s">
        <v>234</v>
      </c>
      <c r="C874" s="3" t="s">
        <v>727</v>
      </c>
      <c r="D874" s="3" t="s">
        <v>728</v>
      </c>
      <c r="E874" s="1" t="n">
        <v>20171</v>
      </c>
      <c r="F874" s="1" t="s">
        <v>208</v>
      </c>
      <c r="G874" s="1" t="s">
        <v>101</v>
      </c>
      <c r="H874" s="1" t="n">
        <v>2.5</v>
      </c>
      <c r="I874" s="1" t="n">
        <v>0</v>
      </c>
      <c r="J874" s="1" t="n">
        <v>20201</v>
      </c>
      <c r="L874" s="1" t="str">
        <f aca="false">IF(D873&lt;&gt;D874,D874,"")</f>
        <v/>
      </c>
      <c r="M874" s="1" t="str">
        <f aca="false">IF(F873&lt;&gt;F874,F874,"")</f>
        <v/>
      </c>
    </row>
    <row r="875" customFormat="false" ht="15" hidden="false" customHeight="false" outlineLevel="0" collapsed="false">
      <c r="A875" s="3" t="s">
        <v>235</v>
      </c>
      <c r="B875" s="3" t="s">
        <v>236</v>
      </c>
      <c r="C875" s="3" t="s">
        <v>727</v>
      </c>
      <c r="D875" s="3" t="s">
        <v>728</v>
      </c>
      <c r="E875" s="1" t="n">
        <v>20171</v>
      </c>
      <c r="F875" s="1" t="s">
        <v>208</v>
      </c>
      <c r="G875" s="1" t="s">
        <v>18</v>
      </c>
      <c r="H875" s="1" t="n">
        <v>3</v>
      </c>
      <c r="I875" s="1" t="n">
        <v>0</v>
      </c>
      <c r="J875" s="1" t="n">
        <v>20201</v>
      </c>
      <c r="L875" s="1" t="str">
        <f aca="false">IF(D874&lt;&gt;D875,D875,"")</f>
        <v/>
      </c>
      <c r="M875" s="1" t="str">
        <f aca="false">IF(F874&lt;&gt;F875,F875,"")</f>
        <v/>
      </c>
    </row>
    <row r="876" customFormat="false" ht="15" hidden="false" customHeight="false" outlineLevel="0" collapsed="false">
      <c r="A876" s="3" t="s">
        <v>237</v>
      </c>
      <c r="B876" s="3" t="s">
        <v>238</v>
      </c>
      <c r="C876" s="3" t="s">
        <v>727</v>
      </c>
      <c r="D876" s="3" t="s">
        <v>728</v>
      </c>
      <c r="E876" s="1" t="n">
        <v>20171</v>
      </c>
      <c r="F876" s="1" t="s">
        <v>208</v>
      </c>
      <c r="G876" s="1" t="s">
        <v>127</v>
      </c>
      <c r="H876" s="1" t="n">
        <v>2</v>
      </c>
      <c r="I876" s="1" t="n">
        <v>0</v>
      </c>
      <c r="J876" s="1" t="n">
        <v>20201</v>
      </c>
      <c r="L876" s="1" t="str">
        <f aca="false">IF(D875&lt;&gt;D876,D876,"")</f>
        <v/>
      </c>
      <c r="M876" s="1" t="str">
        <f aca="false">IF(F875&lt;&gt;F876,F876,"")</f>
        <v/>
      </c>
    </row>
    <row r="877" customFormat="false" ht="15" hidden="false" customHeight="false" outlineLevel="0" collapsed="false">
      <c r="A877" s="3" t="s">
        <v>239</v>
      </c>
      <c r="B877" s="3" t="s">
        <v>240</v>
      </c>
      <c r="C877" s="3" t="s">
        <v>727</v>
      </c>
      <c r="D877" s="3" t="s">
        <v>728</v>
      </c>
      <c r="E877" s="1" t="n">
        <v>20171</v>
      </c>
      <c r="F877" s="1" t="s">
        <v>208</v>
      </c>
      <c r="G877" s="1" t="s">
        <v>514</v>
      </c>
      <c r="H877" s="1" t="n">
        <v>1</v>
      </c>
      <c r="I877" s="1" t="n">
        <v>0</v>
      </c>
      <c r="J877" s="1" t="n">
        <v>20201</v>
      </c>
      <c r="L877" s="1" t="str">
        <f aca="false">IF(D876&lt;&gt;D877,D877,"")</f>
        <v/>
      </c>
      <c r="M877" s="1" t="str">
        <f aca="false">IF(F876&lt;&gt;F877,F877,"")</f>
        <v/>
      </c>
    </row>
    <row r="878" customFormat="false" ht="15" hidden="false" customHeight="false" outlineLevel="0" collapsed="false">
      <c r="A878" s="3" t="s">
        <v>241</v>
      </c>
      <c r="B878" s="3" t="s">
        <v>242</v>
      </c>
      <c r="C878" s="3" t="s">
        <v>727</v>
      </c>
      <c r="D878" s="3" t="s">
        <v>728</v>
      </c>
      <c r="E878" s="1" t="n">
        <v>20171</v>
      </c>
      <c r="F878" s="1" t="s">
        <v>208</v>
      </c>
      <c r="G878" s="1" t="s">
        <v>18</v>
      </c>
      <c r="H878" s="1" t="n">
        <v>3</v>
      </c>
      <c r="I878" s="1" t="n">
        <v>0</v>
      </c>
      <c r="J878" s="1" t="n">
        <v>20201</v>
      </c>
      <c r="L878" s="1" t="str">
        <f aca="false">IF(D877&lt;&gt;D878,D878,"")</f>
        <v/>
      </c>
      <c r="M878" s="1" t="str">
        <f aca="false">IF(F877&lt;&gt;F878,F878,"")</f>
        <v/>
      </c>
    </row>
    <row r="879" customFormat="false" ht="15" hidden="false" customHeight="false" outlineLevel="0" collapsed="false">
      <c r="A879" s="3" t="s">
        <v>243</v>
      </c>
      <c r="B879" s="3" t="s">
        <v>244</v>
      </c>
      <c r="C879" s="3" t="s">
        <v>727</v>
      </c>
      <c r="D879" s="3" t="s">
        <v>728</v>
      </c>
      <c r="E879" s="1" t="n">
        <v>20171</v>
      </c>
      <c r="F879" s="1" t="s">
        <v>208</v>
      </c>
      <c r="G879" s="1" t="s">
        <v>101</v>
      </c>
      <c r="H879" s="1" t="n">
        <v>2.5</v>
      </c>
      <c r="I879" s="1" t="n">
        <v>0</v>
      </c>
      <c r="J879" s="1" t="n">
        <v>20201</v>
      </c>
      <c r="L879" s="1" t="str">
        <f aca="false">IF(D878&lt;&gt;D879,D879,"")</f>
        <v/>
      </c>
      <c r="M879" s="1" t="str">
        <f aca="false">IF(F878&lt;&gt;F879,F879,"")</f>
        <v/>
      </c>
    </row>
    <row r="880" customFormat="false" ht="15" hidden="false" customHeight="false" outlineLevel="0" collapsed="false">
      <c r="A880" s="3" t="s">
        <v>245</v>
      </c>
      <c r="B880" s="3" t="s">
        <v>246</v>
      </c>
      <c r="C880" s="3" t="s">
        <v>727</v>
      </c>
      <c r="D880" s="3" t="s">
        <v>728</v>
      </c>
      <c r="E880" s="1" t="n">
        <v>20171</v>
      </c>
      <c r="F880" s="1" t="s">
        <v>208</v>
      </c>
      <c r="G880" s="1" t="s">
        <v>18</v>
      </c>
      <c r="H880" s="1" t="n">
        <v>3</v>
      </c>
      <c r="I880" s="1" t="n">
        <v>0</v>
      </c>
      <c r="J880" s="1" t="n">
        <v>20201</v>
      </c>
      <c r="L880" s="1" t="str">
        <f aca="false">IF(D879&lt;&gt;D880,D880,"")</f>
        <v/>
      </c>
      <c r="M880" s="1" t="str">
        <f aca="false">IF(F879&lt;&gt;F880,F880,"")</f>
        <v/>
      </c>
    </row>
    <row r="881" customFormat="false" ht="15" hidden="false" customHeight="false" outlineLevel="0" collapsed="false">
      <c r="A881" s="3" t="s">
        <v>247</v>
      </c>
      <c r="B881" s="3" t="s">
        <v>248</v>
      </c>
      <c r="C881" s="3" t="s">
        <v>727</v>
      </c>
      <c r="D881" s="3" t="s">
        <v>728</v>
      </c>
      <c r="E881" s="1" t="n">
        <v>20171</v>
      </c>
      <c r="F881" s="1" t="s">
        <v>208</v>
      </c>
      <c r="G881" s="1" t="s">
        <v>127</v>
      </c>
      <c r="H881" s="1" t="n">
        <v>2</v>
      </c>
      <c r="I881" s="1" t="n">
        <v>0</v>
      </c>
      <c r="J881" s="1" t="n">
        <v>20201</v>
      </c>
      <c r="L881" s="1" t="str">
        <f aca="false">IF(D880&lt;&gt;D881,D881,"")</f>
        <v/>
      </c>
      <c r="M881" s="1" t="str">
        <f aca="false">IF(F880&lt;&gt;F881,F881,"")</f>
        <v/>
      </c>
    </row>
    <row r="882" customFormat="false" ht="15" hidden="false" customHeight="false" outlineLevel="0" collapsed="false">
      <c r="A882" s="3" t="s">
        <v>249</v>
      </c>
      <c r="B882" s="3" t="s">
        <v>250</v>
      </c>
      <c r="C882" s="3" t="s">
        <v>727</v>
      </c>
      <c r="D882" s="3" t="s">
        <v>728</v>
      </c>
      <c r="E882" s="1" t="n">
        <v>20171</v>
      </c>
      <c r="F882" s="1" t="s">
        <v>208</v>
      </c>
      <c r="G882" s="1" t="s">
        <v>101</v>
      </c>
      <c r="H882" s="1" t="n">
        <v>2.5</v>
      </c>
      <c r="I882" s="1" t="n">
        <v>0</v>
      </c>
      <c r="J882" s="1" t="n">
        <v>20201</v>
      </c>
      <c r="L882" s="1" t="str">
        <f aca="false">IF(D881&lt;&gt;D882,D882,"")</f>
        <v/>
      </c>
      <c r="M882" s="1" t="str">
        <f aca="false">IF(F881&lt;&gt;F882,F882,"")</f>
        <v/>
      </c>
    </row>
    <row r="883" customFormat="false" ht="15" hidden="false" customHeight="false" outlineLevel="0" collapsed="false">
      <c r="A883" s="3" t="s">
        <v>251</v>
      </c>
      <c r="B883" s="3" t="s">
        <v>252</v>
      </c>
      <c r="C883" s="3" t="s">
        <v>727</v>
      </c>
      <c r="D883" s="3" t="s">
        <v>728</v>
      </c>
      <c r="E883" s="1" t="n">
        <v>20171</v>
      </c>
      <c r="F883" s="1" t="s">
        <v>208</v>
      </c>
      <c r="G883" s="1" t="s">
        <v>127</v>
      </c>
      <c r="H883" s="1" t="n">
        <v>2</v>
      </c>
      <c r="I883" s="1" t="n">
        <v>0</v>
      </c>
      <c r="J883" s="1" t="n">
        <v>20201</v>
      </c>
      <c r="L883" s="1" t="str">
        <f aca="false">IF(D882&lt;&gt;D883,D883,"")</f>
        <v/>
      </c>
      <c r="M883" s="1" t="str">
        <f aca="false">IF(F882&lt;&gt;F883,F883,"")</f>
        <v/>
      </c>
    </row>
    <row r="884" customFormat="false" ht="15" hidden="false" customHeight="false" outlineLevel="0" collapsed="false">
      <c r="A884" s="3" t="s">
        <v>253</v>
      </c>
      <c r="B884" s="3" t="s">
        <v>254</v>
      </c>
      <c r="C884" s="3" t="s">
        <v>727</v>
      </c>
      <c r="D884" s="3" t="s">
        <v>728</v>
      </c>
      <c r="E884" s="1" t="n">
        <v>20171</v>
      </c>
      <c r="F884" s="1" t="s">
        <v>208</v>
      </c>
      <c r="G884" s="1" t="s">
        <v>14</v>
      </c>
      <c r="H884" s="1" t="n">
        <v>4</v>
      </c>
      <c r="I884" s="1" t="n">
        <v>0</v>
      </c>
      <c r="J884" s="1" t="n">
        <v>20201</v>
      </c>
      <c r="L884" s="1" t="str">
        <f aca="false">IF(D883&lt;&gt;D884,D884,"")</f>
        <v/>
      </c>
      <c r="M884" s="1" t="str">
        <f aca="false">IF(F883&lt;&gt;F884,F884,"")</f>
        <v/>
      </c>
    </row>
    <row r="885" customFormat="false" ht="15" hidden="false" customHeight="false" outlineLevel="0" collapsed="false">
      <c r="A885" s="3" t="s">
        <v>255</v>
      </c>
      <c r="B885" s="3" t="s">
        <v>256</v>
      </c>
      <c r="C885" s="3" t="s">
        <v>727</v>
      </c>
      <c r="D885" s="3" t="s">
        <v>728</v>
      </c>
      <c r="E885" s="1" t="n">
        <v>20171</v>
      </c>
      <c r="F885" s="1" t="s">
        <v>208</v>
      </c>
      <c r="G885" s="1" t="s">
        <v>18</v>
      </c>
      <c r="H885" s="1" t="n">
        <v>3</v>
      </c>
      <c r="I885" s="1" t="n">
        <v>0</v>
      </c>
      <c r="J885" s="1" t="n">
        <v>20201</v>
      </c>
      <c r="L885" s="1" t="str">
        <f aca="false">IF(D884&lt;&gt;D885,D885,"")</f>
        <v/>
      </c>
      <c r="M885" s="1" t="str">
        <f aca="false">IF(F884&lt;&gt;F885,F885,"")</f>
        <v/>
      </c>
    </row>
    <row r="886" customFormat="false" ht="15" hidden="false" customHeight="false" outlineLevel="0" collapsed="false">
      <c r="A886" s="3" t="s">
        <v>257</v>
      </c>
      <c r="B886" s="3" t="s">
        <v>258</v>
      </c>
      <c r="C886" s="3" t="s">
        <v>727</v>
      </c>
      <c r="D886" s="3" t="s">
        <v>728</v>
      </c>
      <c r="E886" s="1" t="n">
        <v>20171</v>
      </c>
      <c r="F886" s="1" t="s">
        <v>208</v>
      </c>
      <c r="G886" s="1" t="s">
        <v>127</v>
      </c>
      <c r="H886" s="1" t="n">
        <v>2</v>
      </c>
      <c r="I886" s="1" t="n">
        <v>0</v>
      </c>
      <c r="J886" s="1" t="n">
        <v>20201</v>
      </c>
      <c r="L886" s="1" t="str">
        <f aca="false">IF(D885&lt;&gt;D886,D886,"")</f>
        <v/>
      </c>
      <c r="M886" s="1" t="str">
        <f aca="false">IF(F885&lt;&gt;F886,F886,"")</f>
        <v/>
      </c>
    </row>
    <row r="887" customFormat="false" ht="15" hidden="false" customHeight="false" outlineLevel="0" collapsed="false">
      <c r="A887" s="3" t="s">
        <v>741</v>
      </c>
      <c r="B887" s="3" t="s">
        <v>742</v>
      </c>
      <c r="C887" s="3" t="s">
        <v>743</v>
      </c>
      <c r="D887" s="3" t="s">
        <v>744</v>
      </c>
      <c r="E887" s="1" t="n">
        <v>20171</v>
      </c>
      <c r="F887" s="1" t="s">
        <v>208</v>
      </c>
      <c r="G887" s="1" t="s">
        <v>127</v>
      </c>
      <c r="H887" s="1" t="n">
        <v>2</v>
      </c>
      <c r="I887" s="1" t="n">
        <v>0</v>
      </c>
      <c r="J887" s="1" t="n">
        <v>20201</v>
      </c>
      <c r="L887" s="1" t="str">
        <f aca="false">IF(D886&lt;&gt;D887,D887,"")</f>
        <v>ELEKTRONIKA DIGITAL</v>
      </c>
      <c r="M887" s="1" t="str">
        <f aca="false">IF(F886&lt;&gt;F887,F887,"")</f>
        <v/>
      </c>
    </row>
    <row r="888" customFormat="false" ht="15" hidden="false" customHeight="false" outlineLevel="0" collapsed="false">
      <c r="A888" s="3" t="s">
        <v>635</v>
      </c>
      <c r="B888" s="3" t="s">
        <v>636</v>
      </c>
      <c r="C888" s="3" t="s">
        <v>743</v>
      </c>
      <c r="D888" s="3" t="s">
        <v>744</v>
      </c>
      <c r="E888" s="1" t="n">
        <v>20171</v>
      </c>
      <c r="F888" s="1" t="s">
        <v>208</v>
      </c>
      <c r="G888" s="1" t="s">
        <v>23</v>
      </c>
      <c r="H888" s="1" t="n">
        <v>0</v>
      </c>
      <c r="I888" s="1" t="n">
        <v>0</v>
      </c>
      <c r="J888" s="1" t="n">
        <v>20201</v>
      </c>
      <c r="L888" s="1" t="str">
        <f aca="false">IF(D887&lt;&gt;D888,D888,"")</f>
        <v/>
      </c>
      <c r="M888" s="1" t="str">
        <f aca="false">IF(F887&lt;&gt;F888,F888,"")</f>
        <v/>
      </c>
    </row>
    <row r="889" customFormat="false" ht="15" hidden="false" customHeight="false" outlineLevel="0" collapsed="false">
      <c r="A889" s="3" t="s">
        <v>619</v>
      </c>
      <c r="B889" s="3" t="s">
        <v>620</v>
      </c>
      <c r="C889" s="3" t="s">
        <v>743</v>
      </c>
      <c r="D889" s="3" t="s">
        <v>744</v>
      </c>
      <c r="E889" s="1" t="n">
        <v>20171</v>
      </c>
      <c r="F889" s="1" t="s">
        <v>208</v>
      </c>
      <c r="G889" s="1" t="s">
        <v>127</v>
      </c>
      <c r="H889" s="1" t="n">
        <v>2</v>
      </c>
      <c r="I889" s="1" t="n">
        <v>0</v>
      </c>
      <c r="J889" s="1" t="n">
        <v>20201</v>
      </c>
      <c r="L889" s="1" t="str">
        <f aca="false">IF(D888&lt;&gt;D889,D889,"")</f>
        <v/>
      </c>
      <c r="M889" s="1" t="str">
        <f aca="false">IF(F888&lt;&gt;F889,F889,"")</f>
        <v/>
      </c>
    </row>
    <row r="890" customFormat="false" ht="15" hidden="false" customHeight="false" outlineLevel="0" collapsed="false">
      <c r="A890" s="3" t="s">
        <v>669</v>
      </c>
      <c r="B890" s="3" t="s">
        <v>670</v>
      </c>
      <c r="C890" s="3" t="s">
        <v>743</v>
      </c>
      <c r="D890" s="3" t="s">
        <v>744</v>
      </c>
      <c r="E890" s="1" t="n">
        <v>20171</v>
      </c>
      <c r="F890" s="1" t="s">
        <v>208</v>
      </c>
      <c r="G890" s="1" t="s">
        <v>18</v>
      </c>
      <c r="H890" s="1" t="n">
        <v>3</v>
      </c>
      <c r="I890" s="1" t="n">
        <v>0</v>
      </c>
      <c r="J890" s="1" t="n">
        <v>20201</v>
      </c>
      <c r="L890" s="1" t="str">
        <f aca="false">IF(D889&lt;&gt;D890,D890,"")</f>
        <v/>
      </c>
      <c r="M890" s="1" t="str">
        <f aca="false">IF(F889&lt;&gt;F890,F890,"")</f>
        <v/>
      </c>
    </row>
    <row r="891" customFormat="false" ht="15" hidden="false" customHeight="false" outlineLevel="0" collapsed="false">
      <c r="A891" s="3" t="s">
        <v>583</v>
      </c>
      <c r="B891" s="3" t="s">
        <v>584</v>
      </c>
      <c r="C891" s="3" t="s">
        <v>743</v>
      </c>
      <c r="D891" s="3" t="s">
        <v>744</v>
      </c>
      <c r="E891" s="1" t="n">
        <v>20171</v>
      </c>
      <c r="F891" s="1" t="s">
        <v>208</v>
      </c>
      <c r="G891" s="1" t="s">
        <v>101</v>
      </c>
      <c r="H891" s="1" t="n">
        <v>2.5</v>
      </c>
      <c r="I891" s="1" t="n">
        <v>0</v>
      </c>
      <c r="J891" s="1" t="n">
        <v>20201</v>
      </c>
      <c r="L891" s="1" t="str">
        <f aca="false">IF(D890&lt;&gt;D891,D891,"")</f>
        <v/>
      </c>
      <c r="M891" s="1" t="str">
        <f aca="false">IF(F890&lt;&gt;F891,F891,"")</f>
        <v/>
      </c>
    </row>
    <row r="892" customFormat="false" ht="15" hidden="false" customHeight="false" outlineLevel="0" collapsed="false">
      <c r="A892" s="3" t="s">
        <v>565</v>
      </c>
      <c r="B892" s="3" t="s">
        <v>566</v>
      </c>
      <c r="C892" s="3" t="s">
        <v>743</v>
      </c>
      <c r="D892" s="3" t="s">
        <v>744</v>
      </c>
      <c r="E892" s="1" t="n">
        <v>20171</v>
      </c>
      <c r="F892" s="1" t="s">
        <v>208</v>
      </c>
      <c r="G892" s="1" t="s">
        <v>101</v>
      </c>
      <c r="H892" s="1" t="n">
        <v>2.5</v>
      </c>
      <c r="I892" s="1" t="n">
        <v>0</v>
      </c>
      <c r="J892" s="1" t="n">
        <v>20201</v>
      </c>
      <c r="L892" s="1" t="str">
        <f aca="false">IF(D891&lt;&gt;D892,D892,"")</f>
        <v/>
      </c>
      <c r="M892" s="1" t="str">
        <f aca="false">IF(F891&lt;&gt;F892,F892,"")</f>
        <v/>
      </c>
    </row>
    <row r="893" customFormat="false" ht="15" hidden="false" customHeight="false" outlineLevel="0" collapsed="false">
      <c r="A893" s="3" t="s">
        <v>687</v>
      </c>
      <c r="B893" s="3" t="s">
        <v>688</v>
      </c>
      <c r="C893" s="3" t="s">
        <v>743</v>
      </c>
      <c r="D893" s="3" t="s">
        <v>744</v>
      </c>
      <c r="E893" s="1" t="n">
        <v>20171</v>
      </c>
      <c r="F893" s="1" t="s">
        <v>208</v>
      </c>
      <c r="G893" s="1" t="s">
        <v>127</v>
      </c>
      <c r="H893" s="1" t="n">
        <v>2</v>
      </c>
      <c r="I893" s="1" t="n">
        <v>0</v>
      </c>
      <c r="J893" s="1" t="n">
        <v>20201</v>
      </c>
      <c r="L893" s="1" t="str">
        <f aca="false">IF(D892&lt;&gt;D893,D893,"")</f>
        <v/>
      </c>
      <c r="M893" s="1" t="str">
        <f aca="false">IF(F892&lt;&gt;F893,F893,"")</f>
        <v/>
      </c>
    </row>
    <row r="894" customFormat="false" ht="15" hidden="false" customHeight="false" outlineLevel="0" collapsed="false">
      <c r="A894" s="3" t="s">
        <v>689</v>
      </c>
      <c r="B894" s="3" t="s">
        <v>690</v>
      </c>
      <c r="C894" s="3" t="s">
        <v>743</v>
      </c>
      <c r="D894" s="3" t="s">
        <v>744</v>
      </c>
      <c r="E894" s="1" t="n">
        <v>20171</v>
      </c>
      <c r="F894" s="1" t="s">
        <v>208</v>
      </c>
      <c r="G894" s="1" t="s">
        <v>15</v>
      </c>
      <c r="H894" s="1" t="n">
        <v>3.5</v>
      </c>
      <c r="I894" s="1" t="n">
        <v>0</v>
      </c>
      <c r="J894" s="1" t="n">
        <v>20201</v>
      </c>
      <c r="L894" s="1" t="str">
        <f aca="false">IF(D893&lt;&gt;D894,D894,"")</f>
        <v/>
      </c>
      <c r="M894" s="1" t="str">
        <f aca="false">IF(F893&lt;&gt;F894,F894,"")</f>
        <v/>
      </c>
    </row>
    <row r="895" customFormat="false" ht="15" hidden="false" customHeight="false" outlineLevel="0" collapsed="false">
      <c r="A895" s="3" t="s">
        <v>691</v>
      </c>
      <c r="B895" s="3" t="s">
        <v>692</v>
      </c>
      <c r="C895" s="3" t="s">
        <v>743</v>
      </c>
      <c r="D895" s="3" t="s">
        <v>744</v>
      </c>
      <c r="E895" s="1" t="n">
        <v>20171</v>
      </c>
      <c r="F895" s="1" t="s">
        <v>208</v>
      </c>
      <c r="G895" s="1" t="s">
        <v>101</v>
      </c>
      <c r="H895" s="1" t="n">
        <v>2.5</v>
      </c>
      <c r="I895" s="1" t="n">
        <v>0</v>
      </c>
      <c r="J895" s="1" t="n">
        <v>20201</v>
      </c>
      <c r="L895" s="1" t="str">
        <f aca="false">IF(D894&lt;&gt;D895,D895,"")</f>
        <v/>
      </c>
      <c r="M895" s="1" t="str">
        <f aca="false">IF(F894&lt;&gt;F895,F895,"")</f>
        <v/>
      </c>
    </row>
    <row r="896" customFormat="false" ht="15" hidden="false" customHeight="false" outlineLevel="0" collapsed="false">
      <c r="A896" s="3" t="s">
        <v>693</v>
      </c>
      <c r="B896" s="3" t="s">
        <v>694</v>
      </c>
      <c r="C896" s="3" t="s">
        <v>743</v>
      </c>
      <c r="D896" s="3" t="s">
        <v>744</v>
      </c>
      <c r="E896" s="1" t="n">
        <v>20171</v>
      </c>
      <c r="F896" s="1" t="s">
        <v>208</v>
      </c>
      <c r="G896" s="1" t="s">
        <v>15</v>
      </c>
      <c r="H896" s="1" t="n">
        <v>3.5</v>
      </c>
      <c r="I896" s="1" t="n">
        <v>0</v>
      </c>
      <c r="J896" s="1" t="n">
        <v>20201</v>
      </c>
      <c r="L896" s="1" t="str">
        <f aca="false">IF(D895&lt;&gt;D896,D896,"")</f>
        <v/>
      </c>
      <c r="M896" s="1" t="str">
        <f aca="false">IF(F895&lt;&gt;F896,F896,"")</f>
        <v/>
      </c>
    </row>
    <row r="897" customFormat="false" ht="15" hidden="false" customHeight="false" outlineLevel="0" collapsed="false">
      <c r="A897" s="3" t="s">
        <v>695</v>
      </c>
      <c r="B897" s="3" t="s">
        <v>696</v>
      </c>
      <c r="C897" s="3" t="s">
        <v>743</v>
      </c>
      <c r="D897" s="3" t="s">
        <v>744</v>
      </c>
      <c r="E897" s="1" t="n">
        <v>20171</v>
      </c>
      <c r="F897" s="1" t="s">
        <v>208</v>
      </c>
      <c r="G897" s="1" t="s">
        <v>14</v>
      </c>
      <c r="H897" s="1" t="n">
        <v>4</v>
      </c>
      <c r="I897" s="1" t="n">
        <v>0</v>
      </c>
      <c r="J897" s="1" t="n">
        <v>20201</v>
      </c>
      <c r="L897" s="1" t="str">
        <f aca="false">IF(D896&lt;&gt;D897,D897,"")</f>
        <v/>
      </c>
      <c r="M897" s="1" t="str">
        <f aca="false">IF(F896&lt;&gt;F897,F897,"")</f>
        <v/>
      </c>
    </row>
    <row r="898" customFormat="false" ht="15" hidden="false" customHeight="false" outlineLevel="0" collapsed="false">
      <c r="A898" s="3" t="s">
        <v>697</v>
      </c>
      <c r="B898" s="3" t="s">
        <v>698</v>
      </c>
      <c r="C898" s="3" t="s">
        <v>743</v>
      </c>
      <c r="D898" s="3" t="s">
        <v>744</v>
      </c>
      <c r="E898" s="1" t="n">
        <v>20171</v>
      </c>
      <c r="F898" s="1" t="s">
        <v>208</v>
      </c>
      <c r="G898" s="1" t="s">
        <v>18</v>
      </c>
      <c r="H898" s="1" t="n">
        <v>3</v>
      </c>
      <c r="I898" s="1" t="n">
        <v>0</v>
      </c>
      <c r="J898" s="1" t="n">
        <v>20201</v>
      </c>
      <c r="L898" s="1" t="str">
        <f aca="false">IF(D897&lt;&gt;D898,D898,"")</f>
        <v/>
      </c>
      <c r="M898" s="1" t="str">
        <f aca="false">IF(F897&lt;&gt;F898,F898,"")</f>
        <v/>
      </c>
    </row>
    <row r="899" customFormat="false" ht="15" hidden="false" customHeight="false" outlineLevel="0" collapsed="false">
      <c r="A899" s="3" t="s">
        <v>699</v>
      </c>
      <c r="B899" s="3" t="s">
        <v>700</v>
      </c>
      <c r="C899" s="3" t="s">
        <v>743</v>
      </c>
      <c r="D899" s="3" t="s">
        <v>744</v>
      </c>
      <c r="E899" s="1" t="n">
        <v>20171</v>
      </c>
      <c r="F899" s="1" t="s">
        <v>208</v>
      </c>
      <c r="G899" s="1" t="s">
        <v>14</v>
      </c>
      <c r="H899" s="1" t="n">
        <v>4</v>
      </c>
      <c r="I899" s="1" t="n">
        <v>0</v>
      </c>
      <c r="J899" s="1" t="n">
        <v>20201</v>
      </c>
      <c r="L899" s="1" t="str">
        <f aca="false">IF(D898&lt;&gt;D899,D899,"")</f>
        <v/>
      </c>
      <c r="M899" s="1" t="str">
        <f aca="false">IF(F898&lt;&gt;F899,F899,"")</f>
        <v/>
      </c>
    </row>
    <row r="900" customFormat="false" ht="15" hidden="false" customHeight="false" outlineLevel="0" collapsed="false">
      <c r="A900" s="3" t="s">
        <v>701</v>
      </c>
      <c r="B900" s="3" t="s">
        <v>702</v>
      </c>
      <c r="C900" s="3" t="s">
        <v>743</v>
      </c>
      <c r="D900" s="3" t="s">
        <v>744</v>
      </c>
      <c r="E900" s="1" t="n">
        <v>20171</v>
      </c>
      <c r="F900" s="1" t="s">
        <v>208</v>
      </c>
      <c r="G900" s="1" t="s">
        <v>18</v>
      </c>
      <c r="H900" s="1" t="n">
        <v>3</v>
      </c>
      <c r="I900" s="1" t="n">
        <v>0</v>
      </c>
      <c r="J900" s="1" t="n">
        <v>20201</v>
      </c>
      <c r="L900" s="1" t="str">
        <f aca="false">IF(D899&lt;&gt;D900,D900,"")</f>
        <v/>
      </c>
      <c r="M900" s="1" t="str">
        <f aca="false">IF(F899&lt;&gt;F900,F900,"")</f>
        <v/>
      </c>
    </row>
    <row r="901" customFormat="false" ht="15" hidden="false" customHeight="false" outlineLevel="0" collapsed="false">
      <c r="A901" s="3" t="s">
        <v>703</v>
      </c>
      <c r="B901" s="3" t="s">
        <v>704</v>
      </c>
      <c r="C901" s="3" t="s">
        <v>743</v>
      </c>
      <c r="D901" s="3" t="s">
        <v>744</v>
      </c>
      <c r="E901" s="1" t="n">
        <v>20171</v>
      </c>
      <c r="F901" s="1" t="s">
        <v>208</v>
      </c>
      <c r="G901" s="1" t="s">
        <v>15</v>
      </c>
      <c r="H901" s="1" t="n">
        <v>3.5</v>
      </c>
      <c r="I901" s="1" t="n">
        <v>0</v>
      </c>
      <c r="J901" s="1" t="n">
        <v>20201</v>
      </c>
      <c r="L901" s="1" t="str">
        <f aca="false">IF(D900&lt;&gt;D901,D901,"")</f>
        <v/>
      </c>
      <c r="M901" s="1" t="str">
        <f aca="false">IF(F900&lt;&gt;F901,F901,"")</f>
        <v/>
      </c>
    </row>
    <row r="902" customFormat="false" ht="15" hidden="false" customHeight="false" outlineLevel="0" collapsed="false">
      <c r="A902" s="3" t="s">
        <v>705</v>
      </c>
      <c r="B902" s="3" t="s">
        <v>706</v>
      </c>
      <c r="C902" s="3" t="s">
        <v>743</v>
      </c>
      <c r="D902" s="3" t="s">
        <v>744</v>
      </c>
      <c r="E902" s="1" t="n">
        <v>20171</v>
      </c>
      <c r="F902" s="1" t="s">
        <v>208</v>
      </c>
      <c r="G902" s="1" t="s">
        <v>101</v>
      </c>
      <c r="H902" s="1" t="n">
        <v>2.5</v>
      </c>
      <c r="I902" s="1" t="n">
        <v>0</v>
      </c>
      <c r="J902" s="1" t="n">
        <v>20201</v>
      </c>
      <c r="L902" s="1" t="str">
        <f aca="false">IF(D901&lt;&gt;D902,D902,"")</f>
        <v/>
      </c>
      <c r="M902" s="1" t="str">
        <f aca="false">IF(F901&lt;&gt;F902,F902,"")</f>
        <v/>
      </c>
    </row>
    <row r="903" customFormat="false" ht="15" hidden="false" customHeight="false" outlineLevel="0" collapsed="false">
      <c r="A903" s="3" t="s">
        <v>707</v>
      </c>
      <c r="B903" s="3" t="s">
        <v>708</v>
      </c>
      <c r="C903" s="3" t="s">
        <v>743</v>
      </c>
      <c r="D903" s="3" t="s">
        <v>744</v>
      </c>
      <c r="E903" s="1" t="n">
        <v>20171</v>
      </c>
      <c r="F903" s="1" t="s">
        <v>208</v>
      </c>
      <c r="G903" s="1" t="s">
        <v>15</v>
      </c>
      <c r="H903" s="1" t="n">
        <v>3.5</v>
      </c>
      <c r="I903" s="1" t="n">
        <v>0</v>
      </c>
      <c r="J903" s="1" t="n">
        <v>20201</v>
      </c>
      <c r="L903" s="1" t="str">
        <f aca="false">IF(D902&lt;&gt;D903,D903,"")</f>
        <v/>
      </c>
      <c r="M903" s="1" t="str">
        <f aca="false">IF(F902&lt;&gt;F903,F903,"")</f>
        <v/>
      </c>
    </row>
    <row r="904" customFormat="false" ht="15" hidden="false" customHeight="false" outlineLevel="0" collapsed="false">
      <c r="A904" s="3" t="s">
        <v>709</v>
      </c>
      <c r="B904" s="3" t="s">
        <v>710</v>
      </c>
      <c r="C904" s="3" t="s">
        <v>743</v>
      </c>
      <c r="D904" s="3" t="s">
        <v>744</v>
      </c>
      <c r="E904" s="1" t="n">
        <v>20171</v>
      </c>
      <c r="F904" s="1" t="s">
        <v>208</v>
      </c>
      <c r="G904" s="1" t="s">
        <v>15</v>
      </c>
      <c r="H904" s="1" t="n">
        <v>3.5</v>
      </c>
      <c r="I904" s="1" t="n">
        <v>0</v>
      </c>
      <c r="J904" s="1" t="n">
        <v>20201</v>
      </c>
      <c r="L904" s="1" t="str">
        <f aca="false">IF(D903&lt;&gt;D904,D904,"")</f>
        <v/>
      </c>
      <c r="M904" s="1" t="str">
        <f aca="false">IF(F903&lt;&gt;F904,F904,"")</f>
        <v/>
      </c>
    </row>
    <row r="905" customFormat="false" ht="15" hidden="false" customHeight="false" outlineLevel="0" collapsed="false">
      <c r="A905" s="3" t="s">
        <v>711</v>
      </c>
      <c r="B905" s="3" t="s">
        <v>712</v>
      </c>
      <c r="C905" s="3" t="s">
        <v>743</v>
      </c>
      <c r="D905" s="3" t="s">
        <v>744</v>
      </c>
      <c r="E905" s="1" t="n">
        <v>20171</v>
      </c>
      <c r="F905" s="1" t="s">
        <v>208</v>
      </c>
      <c r="G905" s="1" t="s">
        <v>18</v>
      </c>
      <c r="H905" s="1" t="n">
        <v>3</v>
      </c>
      <c r="I905" s="1" t="n">
        <v>0</v>
      </c>
      <c r="J905" s="1" t="n">
        <v>20201</v>
      </c>
      <c r="L905" s="1" t="str">
        <f aca="false">IF(D904&lt;&gt;D905,D905,"")</f>
        <v/>
      </c>
      <c r="M905" s="1" t="str">
        <f aca="false">IF(F904&lt;&gt;F905,F905,"")</f>
        <v/>
      </c>
    </row>
    <row r="906" customFormat="false" ht="15" hidden="false" customHeight="false" outlineLevel="0" collapsed="false">
      <c r="A906" s="3" t="s">
        <v>713</v>
      </c>
      <c r="B906" s="3" t="s">
        <v>714</v>
      </c>
      <c r="C906" s="3" t="s">
        <v>743</v>
      </c>
      <c r="D906" s="3" t="s">
        <v>744</v>
      </c>
      <c r="E906" s="1" t="n">
        <v>20171</v>
      </c>
      <c r="F906" s="1" t="s">
        <v>208</v>
      </c>
      <c r="G906" s="1" t="s">
        <v>18</v>
      </c>
      <c r="H906" s="1" t="n">
        <v>3</v>
      </c>
      <c r="I906" s="1" t="n">
        <v>0</v>
      </c>
      <c r="J906" s="1" t="n">
        <v>20201</v>
      </c>
      <c r="L906" s="1" t="str">
        <f aca="false">IF(D905&lt;&gt;D906,D906,"")</f>
        <v/>
      </c>
      <c r="M906" s="1" t="str">
        <f aca="false">IF(F905&lt;&gt;F906,F906,"")</f>
        <v/>
      </c>
    </row>
    <row r="907" customFormat="false" ht="15" hidden="false" customHeight="false" outlineLevel="0" collapsed="false">
      <c r="A907" s="3" t="s">
        <v>225</v>
      </c>
      <c r="B907" s="3" t="s">
        <v>226</v>
      </c>
      <c r="C907" s="3" t="s">
        <v>743</v>
      </c>
      <c r="D907" s="3" t="s">
        <v>744</v>
      </c>
      <c r="E907" s="1" t="n">
        <v>20171</v>
      </c>
      <c r="F907" s="1" t="s">
        <v>208</v>
      </c>
      <c r="G907" s="1" t="s">
        <v>23</v>
      </c>
      <c r="H907" s="1" t="n">
        <v>0</v>
      </c>
      <c r="I907" s="1" t="n">
        <v>0</v>
      </c>
      <c r="J907" s="1" t="n">
        <v>20201</v>
      </c>
      <c r="L907" s="1" t="str">
        <f aca="false">IF(D906&lt;&gt;D907,D907,"")</f>
        <v/>
      </c>
      <c r="M907" s="1" t="str">
        <f aca="false">IF(F906&lt;&gt;F907,F907,"")</f>
        <v/>
      </c>
    </row>
    <row r="908" customFormat="false" ht="15" hidden="false" customHeight="false" outlineLevel="0" collapsed="false">
      <c r="A908" s="3" t="s">
        <v>715</v>
      </c>
      <c r="B908" s="3" t="s">
        <v>716</v>
      </c>
      <c r="C908" s="3" t="s">
        <v>743</v>
      </c>
      <c r="D908" s="3" t="s">
        <v>744</v>
      </c>
      <c r="E908" s="1" t="n">
        <v>20171</v>
      </c>
      <c r="F908" s="1" t="s">
        <v>208</v>
      </c>
      <c r="G908" s="1" t="s">
        <v>18</v>
      </c>
      <c r="H908" s="1" t="n">
        <v>3</v>
      </c>
      <c r="I908" s="1" t="n">
        <v>0</v>
      </c>
      <c r="J908" s="1" t="n">
        <v>20201</v>
      </c>
      <c r="L908" s="1" t="str">
        <f aca="false">IF(D907&lt;&gt;D908,D908,"")</f>
        <v/>
      </c>
      <c r="M908" s="1" t="str">
        <f aca="false">IF(F907&lt;&gt;F908,F908,"")</f>
        <v/>
      </c>
    </row>
    <row r="909" customFormat="false" ht="15" hidden="false" customHeight="false" outlineLevel="0" collapsed="false">
      <c r="A909" s="3" t="s">
        <v>717</v>
      </c>
      <c r="B909" s="3" t="s">
        <v>718</v>
      </c>
      <c r="C909" s="3" t="s">
        <v>743</v>
      </c>
      <c r="D909" s="3" t="s">
        <v>744</v>
      </c>
      <c r="E909" s="1" t="n">
        <v>20171</v>
      </c>
      <c r="F909" s="1" t="s">
        <v>208</v>
      </c>
      <c r="G909" s="1" t="s">
        <v>101</v>
      </c>
      <c r="H909" s="1" t="n">
        <v>2.5</v>
      </c>
      <c r="I909" s="1" t="n">
        <v>0</v>
      </c>
      <c r="J909" s="1" t="n">
        <v>20201</v>
      </c>
      <c r="L909" s="1" t="str">
        <f aca="false">IF(D908&lt;&gt;D909,D909,"")</f>
        <v/>
      </c>
      <c r="M909" s="1" t="str">
        <f aca="false">IF(F908&lt;&gt;F909,F909,"")</f>
        <v/>
      </c>
    </row>
    <row r="910" customFormat="false" ht="15" hidden="false" customHeight="false" outlineLevel="0" collapsed="false">
      <c r="A910" s="3" t="s">
        <v>719</v>
      </c>
      <c r="B910" s="3" t="s">
        <v>720</v>
      </c>
      <c r="C910" s="3" t="s">
        <v>743</v>
      </c>
      <c r="D910" s="3" t="s">
        <v>744</v>
      </c>
      <c r="E910" s="1" t="n">
        <v>20171</v>
      </c>
      <c r="F910" s="1" t="s">
        <v>208</v>
      </c>
      <c r="G910" s="1" t="s">
        <v>18</v>
      </c>
      <c r="H910" s="1" t="n">
        <v>3</v>
      </c>
      <c r="I910" s="1" t="n">
        <v>0</v>
      </c>
      <c r="J910" s="1" t="n">
        <v>20201</v>
      </c>
      <c r="L910" s="1" t="str">
        <f aca="false">IF(D909&lt;&gt;D910,D910,"")</f>
        <v/>
      </c>
      <c r="M910" s="1" t="str">
        <f aca="false">IF(F909&lt;&gt;F910,F910,"")</f>
        <v/>
      </c>
    </row>
    <row r="911" customFormat="false" ht="15" hidden="false" customHeight="false" outlineLevel="0" collapsed="false">
      <c r="A911" s="3" t="s">
        <v>663</v>
      </c>
      <c r="B911" s="3" t="s">
        <v>664</v>
      </c>
      <c r="C911" s="3" t="s">
        <v>743</v>
      </c>
      <c r="D911" s="3" t="s">
        <v>744</v>
      </c>
      <c r="E911" s="1" t="n">
        <v>20171</v>
      </c>
      <c r="F911" s="1" t="s">
        <v>208</v>
      </c>
      <c r="G911" s="1" t="s">
        <v>101</v>
      </c>
      <c r="H911" s="1" t="n">
        <v>2.5</v>
      </c>
      <c r="I911" s="1" t="n">
        <v>0</v>
      </c>
      <c r="J911" s="1" t="n">
        <v>20201</v>
      </c>
      <c r="L911" s="1" t="str">
        <f aca="false">IF(D910&lt;&gt;D911,D911,"")</f>
        <v/>
      </c>
      <c r="M911" s="1" t="str">
        <f aca="false">IF(F910&lt;&gt;F911,F911,"")</f>
        <v/>
      </c>
    </row>
    <row r="912" customFormat="false" ht="15" hidden="false" customHeight="false" outlineLevel="0" collapsed="false">
      <c r="A912" s="3" t="s">
        <v>721</v>
      </c>
      <c r="B912" s="3" t="s">
        <v>722</v>
      </c>
      <c r="C912" s="3" t="s">
        <v>743</v>
      </c>
      <c r="D912" s="3" t="s">
        <v>744</v>
      </c>
      <c r="E912" s="1" t="n">
        <v>20171</v>
      </c>
      <c r="F912" s="1" t="s">
        <v>208</v>
      </c>
      <c r="G912" s="1" t="s">
        <v>18</v>
      </c>
      <c r="H912" s="1" t="n">
        <v>3</v>
      </c>
      <c r="I912" s="1" t="n">
        <v>0</v>
      </c>
      <c r="J912" s="1" t="n">
        <v>20201</v>
      </c>
      <c r="L912" s="1" t="str">
        <f aca="false">IF(D911&lt;&gt;D912,D912,"")</f>
        <v/>
      </c>
      <c r="M912" s="1" t="str">
        <f aca="false">IF(F911&lt;&gt;F912,F912,"")</f>
        <v/>
      </c>
    </row>
    <row r="913" customFormat="false" ht="15" hidden="false" customHeight="false" outlineLevel="0" collapsed="false">
      <c r="A913" s="3" t="s">
        <v>665</v>
      </c>
      <c r="B913" s="3" t="s">
        <v>666</v>
      </c>
      <c r="C913" s="3" t="s">
        <v>743</v>
      </c>
      <c r="D913" s="3" t="s">
        <v>744</v>
      </c>
      <c r="E913" s="1" t="n">
        <v>20171</v>
      </c>
      <c r="F913" s="1" t="s">
        <v>208</v>
      </c>
      <c r="G913" s="1" t="s">
        <v>14</v>
      </c>
      <c r="H913" s="1" t="n">
        <v>4</v>
      </c>
      <c r="I913" s="1" t="n">
        <v>0</v>
      </c>
      <c r="J913" s="1" t="n">
        <v>20201</v>
      </c>
      <c r="L913" s="1" t="str">
        <f aca="false">IF(D912&lt;&gt;D913,D913,"")</f>
        <v/>
      </c>
      <c r="M913" s="1" t="str">
        <f aca="false">IF(F912&lt;&gt;F913,F913,"")</f>
        <v/>
      </c>
    </row>
    <row r="914" customFormat="false" ht="15" hidden="false" customHeight="false" outlineLevel="0" collapsed="false">
      <c r="A914" s="3" t="s">
        <v>723</v>
      </c>
      <c r="B914" s="3" t="s">
        <v>724</v>
      </c>
      <c r="C914" s="3" t="s">
        <v>743</v>
      </c>
      <c r="D914" s="3" t="s">
        <v>744</v>
      </c>
      <c r="E914" s="1" t="n">
        <v>20171</v>
      </c>
      <c r="F914" s="1" t="s">
        <v>208</v>
      </c>
      <c r="G914" s="1" t="s">
        <v>15</v>
      </c>
      <c r="H914" s="1" t="n">
        <v>3.5</v>
      </c>
      <c r="I914" s="1" t="n">
        <v>0</v>
      </c>
      <c r="J914" s="1" t="n">
        <v>20201</v>
      </c>
      <c r="L914" s="1" t="str">
        <f aca="false">IF(D913&lt;&gt;D914,D914,"")</f>
        <v/>
      </c>
      <c r="M914" s="1" t="str">
        <f aca="false">IF(F913&lt;&gt;F914,F914,"")</f>
        <v/>
      </c>
    </row>
    <row r="915" customFormat="false" ht="15" hidden="false" customHeight="false" outlineLevel="0" collapsed="false">
      <c r="A915" s="3" t="s">
        <v>725</v>
      </c>
      <c r="B915" s="3" t="s">
        <v>726</v>
      </c>
      <c r="C915" s="3" t="s">
        <v>743</v>
      </c>
      <c r="D915" s="3" t="s">
        <v>744</v>
      </c>
      <c r="E915" s="1" t="n">
        <v>20171</v>
      </c>
      <c r="F915" s="1" t="s">
        <v>208</v>
      </c>
      <c r="G915" s="1" t="s">
        <v>15</v>
      </c>
      <c r="H915" s="1" t="n">
        <v>3.5</v>
      </c>
      <c r="I915" s="1" t="n">
        <v>0</v>
      </c>
      <c r="J915" s="1" t="n">
        <v>20201</v>
      </c>
      <c r="L915" s="1" t="str">
        <f aca="false">IF(D914&lt;&gt;D915,D915,"")</f>
        <v/>
      </c>
      <c r="M915" s="1" t="str">
        <f aca="false">IF(F914&lt;&gt;F915,F915,"")</f>
        <v/>
      </c>
    </row>
    <row r="916" customFormat="false" ht="15" hidden="false" customHeight="false" outlineLevel="0" collapsed="false">
      <c r="A916" s="3" t="s">
        <v>16</v>
      </c>
      <c r="B916" s="3" t="s">
        <v>17</v>
      </c>
      <c r="C916" s="3" t="s">
        <v>745</v>
      </c>
      <c r="D916" s="3" t="s">
        <v>746</v>
      </c>
      <c r="E916" s="1" t="n">
        <v>20171</v>
      </c>
      <c r="F916" s="1" t="s">
        <v>303</v>
      </c>
      <c r="G916" s="1" t="s">
        <v>18</v>
      </c>
      <c r="H916" s="1" t="n">
        <v>3</v>
      </c>
      <c r="I916" s="1" t="n">
        <v>0</v>
      </c>
      <c r="J916" s="1" t="n">
        <v>20201</v>
      </c>
      <c r="L916" s="1" t="str">
        <f aca="false">IF(D915&lt;&gt;D916,D916,"")</f>
        <v>FISIKA DASAR</v>
      </c>
      <c r="M916" s="1" t="str">
        <f aca="false">IF(F915&lt;&gt;F916,F916,"")</f>
        <v>TPB</v>
      </c>
    </row>
    <row r="917" customFormat="false" ht="15" hidden="false" customHeight="false" outlineLevel="0" collapsed="false">
      <c r="A917" s="3" t="s">
        <v>747</v>
      </c>
      <c r="B917" s="3" t="s">
        <v>748</v>
      </c>
      <c r="C917" s="3" t="s">
        <v>745</v>
      </c>
      <c r="D917" s="3" t="s">
        <v>746</v>
      </c>
      <c r="E917" s="1" t="n">
        <v>20171</v>
      </c>
      <c r="F917" s="1" t="s">
        <v>303</v>
      </c>
      <c r="G917" s="1" t="s">
        <v>101</v>
      </c>
      <c r="H917" s="1" t="n">
        <v>2.5</v>
      </c>
      <c r="I917" s="1" t="n">
        <v>0</v>
      </c>
      <c r="J917" s="1" t="n">
        <v>20201</v>
      </c>
      <c r="L917" s="1" t="str">
        <f aca="false">IF(D916&lt;&gt;D917,D917,"")</f>
        <v/>
      </c>
      <c r="M917" s="1" t="str">
        <f aca="false">IF(F916&lt;&gt;F917,F917,"")</f>
        <v/>
      </c>
    </row>
    <row r="918" customFormat="false" ht="15" hidden="false" customHeight="false" outlineLevel="0" collapsed="false">
      <c r="A918" s="3" t="s">
        <v>749</v>
      </c>
      <c r="B918" s="3" t="s">
        <v>750</v>
      </c>
      <c r="C918" s="3" t="s">
        <v>745</v>
      </c>
      <c r="D918" s="3" t="s">
        <v>746</v>
      </c>
      <c r="E918" s="1" t="n">
        <v>20171</v>
      </c>
      <c r="F918" s="1" t="s">
        <v>303</v>
      </c>
      <c r="G918" s="1" t="s">
        <v>18</v>
      </c>
      <c r="H918" s="1" t="n">
        <v>3</v>
      </c>
      <c r="I918" s="1" t="n">
        <v>0</v>
      </c>
      <c r="J918" s="1" t="n">
        <v>20201</v>
      </c>
      <c r="L918" s="1" t="str">
        <f aca="false">IF(D917&lt;&gt;D918,D918,"")</f>
        <v/>
      </c>
      <c r="M918" s="1" t="str">
        <f aca="false">IF(F917&lt;&gt;F918,F918,"")</f>
        <v/>
      </c>
    </row>
    <row r="919" customFormat="false" ht="15" hidden="false" customHeight="false" outlineLevel="0" collapsed="false">
      <c r="A919" s="3" t="s">
        <v>751</v>
      </c>
      <c r="B919" s="3" t="s">
        <v>752</v>
      </c>
      <c r="C919" s="3" t="s">
        <v>745</v>
      </c>
      <c r="D919" s="3" t="s">
        <v>746</v>
      </c>
      <c r="E919" s="1" t="n">
        <v>20171</v>
      </c>
      <c r="F919" s="1" t="s">
        <v>303</v>
      </c>
      <c r="G919" s="1" t="s">
        <v>18</v>
      </c>
      <c r="H919" s="1" t="n">
        <v>3</v>
      </c>
      <c r="I919" s="1" t="n">
        <v>0</v>
      </c>
      <c r="J919" s="1" t="n">
        <v>20201</v>
      </c>
      <c r="L919" s="1" t="str">
        <f aca="false">IF(D918&lt;&gt;D919,D919,"")</f>
        <v/>
      </c>
      <c r="M919" s="1" t="str">
        <f aca="false">IF(F918&lt;&gt;F919,F919,"")</f>
        <v/>
      </c>
    </row>
    <row r="920" customFormat="false" ht="15" hidden="false" customHeight="false" outlineLevel="0" collapsed="false">
      <c r="A920" s="3" t="s">
        <v>219</v>
      </c>
      <c r="B920" s="3" t="s">
        <v>220</v>
      </c>
      <c r="C920" s="3" t="s">
        <v>745</v>
      </c>
      <c r="D920" s="3" t="s">
        <v>746</v>
      </c>
      <c r="E920" s="1" t="n">
        <v>20171</v>
      </c>
      <c r="F920" s="1" t="s">
        <v>303</v>
      </c>
      <c r="G920" s="1" t="s">
        <v>101</v>
      </c>
      <c r="H920" s="1" t="n">
        <v>2.5</v>
      </c>
      <c r="I920" s="1" t="n">
        <v>0</v>
      </c>
      <c r="J920" s="1" t="n">
        <v>20201</v>
      </c>
      <c r="L920" s="1" t="str">
        <f aca="false">IF(D919&lt;&gt;D920,D920,"")</f>
        <v/>
      </c>
      <c r="M920" s="1" t="str">
        <f aca="false">IF(F919&lt;&gt;F920,F920,"")</f>
        <v/>
      </c>
    </row>
    <row r="921" customFormat="false" ht="15" hidden="false" customHeight="false" outlineLevel="0" collapsed="false">
      <c r="A921" s="3" t="s">
        <v>314</v>
      </c>
      <c r="B921" s="3" t="s">
        <v>315</v>
      </c>
      <c r="C921" s="3" t="s">
        <v>745</v>
      </c>
      <c r="D921" s="3" t="s">
        <v>746</v>
      </c>
      <c r="E921" s="1" t="n">
        <v>20171</v>
      </c>
      <c r="F921" s="1" t="s">
        <v>303</v>
      </c>
      <c r="G921" s="1" t="s">
        <v>514</v>
      </c>
      <c r="H921" s="1" t="n">
        <v>1</v>
      </c>
      <c r="I921" s="1" t="n">
        <v>0</v>
      </c>
      <c r="J921" s="1" t="n">
        <v>20201</v>
      </c>
      <c r="L921" s="1" t="str">
        <f aca="false">IF(D920&lt;&gt;D921,D921,"")</f>
        <v/>
      </c>
      <c r="M921" s="1" t="str">
        <f aca="false">IF(F920&lt;&gt;F921,F921,"")</f>
        <v/>
      </c>
    </row>
    <row r="922" customFormat="false" ht="15" hidden="false" customHeight="false" outlineLevel="0" collapsed="false">
      <c r="A922" s="3" t="s">
        <v>316</v>
      </c>
      <c r="B922" s="3" t="s">
        <v>317</v>
      </c>
      <c r="C922" s="3" t="s">
        <v>745</v>
      </c>
      <c r="D922" s="3" t="s">
        <v>746</v>
      </c>
      <c r="E922" s="1" t="n">
        <v>20171</v>
      </c>
      <c r="F922" s="1" t="s">
        <v>303</v>
      </c>
      <c r="G922" s="1" t="s">
        <v>30</v>
      </c>
      <c r="H922" s="1" t="n">
        <v>1.5</v>
      </c>
      <c r="I922" s="1" t="n">
        <v>0</v>
      </c>
      <c r="J922" s="1" t="n">
        <v>20201</v>
      </c>
      <c r="L922" s="1" t="str">
        <f aca="false">IF(D921&lt;&gt;D922,D922,"")</f>
        <v/>
      </c>
      <c r="M922" s="1" t="str">
        <f aca="false">IF(F921&lt;&gt;F922,F922,"")</f>
        <v/>
      </c>
    </row>
    <row r="923" customFormat="false" ht="15" hidden="false" customHeight="false" outlineLevel="0" collapsed="false">
      <c r="A923" s="3" t="s">
        <v>318</v>
      </c>
      <c r="B923" s="3" t="s">
        <v>319</v>
      </c>
      <c r="C923" s="3" t="s">
        <v>745</v>
      </c>
      <c r="D923" s="3" t="s">
        <v>746</v>
      </c>
      <c r="E923" s="1" t="n">
        <v>20171</v>
      </c>
      <c r="F923" s="1" t="s">
        <v>303</v>
      </c>
      <c r="G923" s="1" t="s">
        <v>18</v>
      </c>
      <c r="H923" s="1" t="n">
        <v>3</v>
      </c>
      <c r="I923" s="1" t="n">
        <v>0</v>
      </c>
      <c r="J923" s="1" t="n">
        <v>20201</v>
      </c>
      <c r="L923" s="1" t="str">
        <f aca="false">IF(D922&lt;&gt;D923,D923,"")</f>
        <v/>
      </c>
      <c r="M923" s="1" t="str">
        <f aca="false">IF(F922&lt;&gt;F923,F923,"")</f>
        <v/>
      </c>
    </row>
    <row r="924" customFormat="false" ht="15" hidden="false" customHeight="false" outlineLevel="0" collapsed="false">
      <c r="A924" s="3" t="s">
        <v>320</v>
      </c>
      <c r="B924" s="3" t="s">
        <v>321</v>
      </c>
      <c r="C924" s="3" t="s">
        <v>745</v>
      </c>
      <c r="D924" s="3" t="s">
        <v>746</v>
      </c>
      <c r="E924" s="1" t="n">
        <v>20171</v>
      </c>
      <c r="F924" s="1" t="s">
        <v>303</v>
      </c>
      <c r="G924" s="1" t="s">
        <v>18</v>
      </c>
      <c r="H924" s="1" t="n">
        <v>3</v>
      </c>
      <c r="I924" s="1" t="n">
        <v>0</v>
      </c>
      <c r="J924" s="1" t="n">
        <v>20201</v>
      </c>
      <c r="L924" s="1" t="str">
        <f aca="false">IF(D923&lt;&gt;D924,D924,"")</f>
        <v/>
      </c>
      <c r="M924" s="1" t="str">
        <f aca="false">IF(F923&lt;&gt;F924,F924,"")</f>
        <v/>
      </c>
    </row>
    <row r="925" customFormat="false" ht="15" hidden="false" customHeight="false" outlineLevel="0" collapsed="false">
      <c r="A925" s="3" t="s">
        <v>322</v>
      </c>
      <c r="B925" s="3" t="s">
        <v>323</v>
      </c>
      <c r="C925" s="3" t="s">
        <v>745</v>
      </c>
      <c r="D925" s="3" t="s">
        <v>746</v>
      </c>
      <c r="E925" s="1" t="n">
        <v>20171</v>
      </c>
      <c r="F925" s="1" t="s">
        <v>303</v>
      </c>
      <c r="G925" s="1" t="s">
        <v>101</v>
      </c>
      <c r="H925" s="1" t="n">
        <v>2.5</v>
      </c>
      <c r="I925" s="1" t="n">
        <v>0</v>
      </c>
      <c r="J925" s="1" t="n">
        <v>20201</v>
      </c>
      <c r="L925" s="1" t="str">
        <f aca="false">IF(D924&lt;&gt;D925,D925,"")</f>
        <v/>
      </c>
      <c r="M925" s="1" t="str">
        <f aca="false">IF(F924&lt;&gt;F925,F925,"")</f>
        <v/>
      </c>
    </row>
    <row r="926" customFormat="false" ht="15" hidden="false" customHeight="false" outlineLevel="0" collapsed="false">
      <c r="A926" s="3" t="s">
        <v>324</v>
      </c>
      <c r="B926" s="3" t="s">
        <v>325</v>
      </c>
      <c r="C926" s="3" t="s">
        <v>745</v>
      </c>
      <c r="D926" s="3" t="s">
        <v>746</v>
      </c>
      <c r="E926" s="1" t="n">
        <v>20171</v>
      </c>
      <c r="F926" s="1" t="s">
        <v>303</v>
      </c>
      <c r="G926" s="1" t="s">
        <v>127</v>
      </c>
      <c r="H926" s="1" t="n">
        <v>2</v>
      </c>
      <c r="I926" s="1" t="n">
        <v>0</v>
      </c>
      <c r="J926" s="1" t="n">
        <v>20201</v>
      </c>
      <c r="L926" s="1" t="str">
        <f aca="false">IF(D925&lt;&gt;D926,D926,"")</f>
        <v/>
      </c>
      <c r="M926" s="1" t="str">
        <f aca="false">IF(F925&lt;&gt;F926,F926,"")</f>
        <v/>
      </c>
    </row>
    <row r="927" customFormat="false" ht="15" hidden="false" customHeight="false" outlineLevel="0" collapsed="false">
      <c r="A927" s="3" t="s">
        <v>326</v>
      </c>
      <c r="B927" s="3" t="s">
        <v>327</v>
      </c>
      <c r="C927" s="3" t="s">
        <v>745</v>
      </c>
      <c r="D927" s="3" t="s">
        <v>746</v>
      </c>
      <c r="E927" s="1" t="n">
        <v>20171</v>
      </c>
      <c r="F927" s="1" t="s">
        <v>303</v>
      </c>
      <c r="G927" s="1" t="s">
        <v>18</v>
      </c>
      <c r="H927" s="1" t="n">
        <v>3</v>
      </c>
      <c r="I927" s="1" t="n">
        <v>0</v>
      </c>
      <c r="J927" s="1" t="n">
        <v>20201</v>
      </c>
      <c r="L927" s="1" t="str">
        <f aca="false">IF(D926&lt;&gt;D927,D927,"")</f>
        <v/>
      </c>
      <c r="M927" s="1" t="str">
        <f aca="false">IF(F926&lt;&gt;F927,F927,"")</f>
        <v/>
      </c>
    </row>
    <row r="928" customFormat="false" ht="15" hidden="false" customHeight="false" outlineLevel="0" collapsed="false">
      <c r="A928" s="3" t="s">
        <v>328</v>
      </c>
      <c r="B928" s="3" t="s">
        <v>329</v>
      </c>
      <c r="C928" s="3" t="s">
        <v>745</v>
      </c>
      <c r="D928" s="3" t="s">
        <v>746</v>
      </c>
      <c r="E928" s="1" t="n">
        <v>20171</v>
      </c>
      <c r="F928" s="1" t="s">
        <v>303</v>
      </c>
      <c r="G928" s="1" t="s">
        <v>30</v>
      </c>
      <c r="H928" s="1" t="n">
        <v>1.5</v>
      </c>
      <c r="I928" s="1" t="n">
        <v>0</v>
      </c>
      <c r="J928" s="1" t="n">
        <v>20201</v>
      </c>
      <c r="L928" s="1" t="str">
        <f aca="false">IF(D927&lt;&gt;D928,D928,"")</f>
        <v/>
      </c>
      <c r="M928" s="1" t="str">
        <f aca="false">IF(F927&lt;&gt;F928,F928,"")</f>
        <v/>
      </c>
    </row>
    <row r="929" customFormat="false" ht="15" hidden="false" customHeight="false" outlineLevel="0" collapsed="false">
      <c r="A929" s="3" t="s">
        <v>330</v>
      </c>
      <c r="B929" s="3" t="s">
        <v>331</v>
      </c>
      <c r="C929" s="3" t="s">
        <v>745</v>
      </c>
      <c r="D929" s="3" t="s">
        <v>746</v>
      </c>
      <c r="E929" s="1" t="n">
        <v>20171</v>
      </c>
      <c r="F929" s="1" t="s">
        <v>303</v>
      </c>
      <c r="G929" s="1" t="s">
        <v>18</v>
      </c>
      <c r="H929" s="1" t="n">
        <v>3</v>
      </c>
      <c r="I929" s="1" t="n">
        <v>0</v>
      </c>
      <c r="J929" s="1" t="n">
        <v>20201</v>
      </c>
      <c r="L929" s="1" t="str">
        <f aca="false">IF(D928&lt;&gt;D929,D929,"")</f>
        <v/>
      </c>
      <c r="M929" s="1" t="str">
        <f aca="false">IF(F928&lt;&gt;F929,F929,"")</f>
        <v/>
      </c>
    </row>
    <row r="930" customFormat="false" ht="15" hidden="false" customHeight="false" outlineLevel="0" collapsed="false">
      <c r="A930" s="3" t="s">
        <v>332</v>
      </c>
      <c r="B930" s="3" t="s">
        <v>333</v>
      </c>
      <c r="C930" s="3" t="s">
        <v>745</v>
      </c>
      <c r="D930" s="3" t="s">
        <v>746</v>
      </c>
      <c r="E930" s="1" t="n">
        <v>20171</v>
      </c>
      <c r="F930" s="1" t="s">
        <v>303</v>
      </c>
      <c r="G930" s="1" t="s">
        <v>30</v>
      </c>
      <c r="H930" s="1" t="n">
        <v>1.5</v>
      </c>
      <c r="I930" s="1" t="n">
        <v>0</v>
      </c>
      <c r="J930" s="1" t="n">
        <v>20201</v>
      </c>
      <c r="L930" s="1" t="str">
        <f aca="false">IF(D929&lt;&gt;D930,D930,"")</f>
        <v/>
      </c>
      <c r="M930" s="1" t="str">
        <f aca="false">IF(F929&lt;&gt;F930,F930,"")</f>
        <v/>
      </c>
    </row>
    <row r="931" customFormat="false" ht="15" hidden="false" customHeight="false" outlineLevel="0" collapsed="false">
      <c r="A931" s="3" t="s">
        <v>334</v>
      </c>
      <c r="B931" s="3" t="s">
        <v>335</v>
      </c>
      <c r="C931" s="3" t="s">
        <v>745</v>
      </c>
      <c r="D931" s="3" t="s">
        <v>746</v>
      </c>
      <c r="E931" s="1" t="n">
        <v>20171</v>
      </c>
      <c r="F931" s="1" t="s">
        <v>303</v>
      </c>
      <c r="G931" s="1" t="s">
        <v>18</v>
      </c>
      <c r="H931" s="1" t="n">
        <v>3</v>
      </c>
      <c r="I931" s="1" t="n">
        <v>0</v>
      </c>
      <c r="J931" s="1" t="n">
        <v>20201</v>
      </c>
      <c r="L931" s="1" t="str">
        <f aca="false">IF(D930&lt;&gt;D931,D931,"")</f>
        <v/>
      </c>
      <c r="M931" s="1" t="str">
        <f aca="false">IF(F930&lt;&gt;F931,F931,"")</f>
        <v/>
      </c>
    </row>
    <row r="932" customFormat="false" ht="15" hidden="false" customHeight="false" outlineLevel="0" collapsed="false">
      <c r="A932" s="3" t="s">
        <v>336</v>
      </c>
      <c r="B932" s="3" t="s">
        <v>337</v>
      </c>
      <c r="C932" s="3" t="s">
        <v>745</v>
      </c>
      <c r="D932" s="3" t="s">
        <v>746</v>
      </c>
      <c r="E932" s="1" t="n">
        <v>20171</v>
      </c>
      <c r="F932" s="1" t="s">
        <v>303</v>
      </c>
      <c r="G932" s="1" t="s">
        <v>18</v>
      </c>
      <c r="H932" s="1" t="n">
        <v>3</v>
      </c>
      <c r="I932" s="1" t="n">
        <v>0</v>
      </c>
      <c r="J932" s="1" t="n">
        <v>20201</v>
      </c>
      <c r="L932" s="1" t="str">
        <f aca="false">IF(D931&lt;&gt;D932,D932,"")</f>
        <v/>
      </c>
      <c r="M932" s="1" t="str">
        <f aca="false">IF(F931&lt;&gt;F932,F932,"")</f>
        <v/>
      </c>
    </row>
    <row r="933" customFormat="false" ht="15" hidden="false" customHeight="false" outlineLevel="0" collapsed="false">
      <c r="A933" s="3" t="s">
        <v>338</v>
      </c>
      <c r="B933" s="3" t="s">
        <v>339</v>
      </c>
      <c r="C933" s="3" t="s">
        <v>745</v>
      </c>
      <c r="D933" s="3" t="s">
        <v>746</v>
      </c>
      <c r="E933" s="1" t="n">
        <v>20171</v>
      </c>
      <c r="F933" s="1" t="s">
        <v>303</v>
      </c>
      <c r="G933" s="1" t="s">
        <v>14</v>
      </c>
      <c r="H933" s="1" t="n">
        <v>4</v>
      </c>
      <c r="I933" s="1" t="n">
        <v>0</v>
      </c>
      <c r="J933" s="1" t="n">
        <v>20201</v>
      </c>
      <c r="L933" s="1" t="str">
        <f aca="false">IF(D932&lt;&gt;D933,D933,"")</f>
        <v/>
      </c>
      <c r="M933" s="1" t="str">
        <f aca="false">IF(F932&lt;&gt;F933,F933,"")</f>
        <v/>
      </c>
    </row>
    <row r="934" customFormat="false" ht="15" hidden="false" customHeight="false" outlineLevel="0" collapsed="false">
      <c r="A934" s="3" t="s">
        <v>340</v>
      </c>
      <c r="B934" s="3" t="s">
        <v>341</v>
      </c>
      <c r="C934" s="3" t="s">
        <v>745</v>
      </c>
      <c r="D934" s="3" t="s">
        <v>746</v>
      </c>
      <c r="E934" s="1" t="n">
        <v>20171</v>
      </c>
      <c r="F934" s="1" t="s">
        <v>303</v>
      </c>
      <c r="G934" s="1" t="s">
        <v>15</v>
      </c>
      <c r="H934" s="1" t="n">
        <v>3.5</v>
      </c>
      <c r="I934" s="1" t="n">
        <v>0</v>
      </c>
      <c r="J934" s="1" t="n">
        <v>20201</v>
      </c>
      <c r="L934" s="1" t="str">
        <f aca="false">IF(D933&lt;&gt;D934,D934,"")</f>
        <v/>
      </c>
      <c r="M934" s="1" t="str">
        <f aca="false">IF(F933&lt;&gt;F934,F934,"")</f>
        <v/>
      </c>
    </row>
    <row r="935" customFormat="false" ht="15" hidden="false" customHeight="false" outlineLevel="0" collapsed="false">
      <c r="A935" s="3" t="s">
        <v>342</v>
      </c>
      <c r="B935" s="3" t="s">
        <v>343</v>
      </c>
      <c r="C935" s="3" t="s">
        <v>745</v>
      </c>
      <c r="D935" s="3" t="s">
        <v>746</v>
      </c>
      <c r="E935" s="1" t="n">
        <v>20171</v>
      </c>
      <c r="F935" s="1" t="s">
        <v>303</v>
      </c>
      <c r="G935" s="1" t="s">
        <v>15</v>
      </c>
      <c r="H935" s="1" t="n">
        <v>3.5</v>
      </c>
      <c r="I935" s="1" t="n">
        <v>0</v>
      </c>
      <c r="J935" s="1" t="n">
        <v>20201</v>
      </c>
      <c r="L935" s="1" t="str">
        <f aca="false">IF(D934&lt;&gt;D935,D935,"")</f>
        <v/>
      </c>
      <c r="M935" s="1" t="str">
        <f aca="false">IF(F934&lt;&gt;F935,F935,"")</f>
        <v/>
      </c>
    </row>
    <row r="936" customFormat="false" ht="15" hidden="false" customHeight="false" outlineLevel="0" collapsed="false">
      <c r="A936" s="3" t="s">
        <v>344</v>
      </c>
      <c r="B936" s="3" t="s">
        <v>345</v>
      </c>
      <c r="C936" s="3" t="s">
        <v>745</v>
      </c>
      <c r="D936" s="3" t="s">
        <v>746</v>
      </c>
      <c r="E936" s="1" t="n">
        <v>20171</v>
      </c>
      <c r="F936" s="1" t="s">
        <v>303</v>
      </c>
      <c r="G936" s="1" t="s">
        <v>18</v>
      </c>
      <c r="H936" s="1" t="n">
        <v>3</v>
      </c>
      <c r="I936" s="1" t="n">
        <v>0</v>
      </c>
      <c r="J936" s="1" t="n">
        <v>20201</v>
      </c>
      <c r="L936" s="1" t="str">
        <f aca="false">IF(D935&lt;&gt;D936,D936,"")</f>
        <v/>
      </c>
      <c r="M936" s="1" t="str">
        <f aca="false">IF(F935&lt;&gt;F936,F936,"")</f>
        <v/>
      </c>
    </row>
    <row r="937" customFormat="false" ht="15" hidden="false" customHeight="false" outlineLevel="0" collapsed="false">
      <c r="A937" s="3" t="s">
        <v>346</v>
      </c>
      <c r="B937" s="3" t="s">
        <v>347</v>
      </c>
      <c r="C937" s="3" t="s">
        <v>745</v>
      </c>
      <c r="D937" s="3" t="s">
        <v>746</v>
      </c>
      <c r="E937" s="1" t="n">
        <v>20171</v>
      </c>
      <c r="F937" s="1" t="s">
        <v>303</v>
      </c>
      <c r="G937" s="1" t="s">
        <v>18</v>
      </c>
      <c r="H937" s="1" t="n">
        <v>3</v>
      </c>
      <c r="I937" s="1" t="n">
        <v>0</v>
      </c>
      <c r="J937" s="1" t="n">
        <v>20201</v>
      </c>
      <c r="L937" s="1" t="str">
        <f aca="false">IF(D936&lt;&gt;D937,D937,"")</f>
        <v/>
      </c>
      <c r="M937" s="1" t="str">
        <f aca="false">IF(F936&lt;&gt;F937,F937,"")</f>
        <v/>
      </c>
    </row>
    <row r="938" customFormat="false" ht="15" hidden="false" customHeight="false" outlineLevel="0" collapsed="false">
      <c r="A938" s="3" t="s">
        <v>348</v>
      </c>
      <c r="B938" s="3" t="s">
        <v>349</v>
      </c>
      <c r="C938" s="3" t="s">
        <v>745</v>
      </c>
      <c r="D938" s="3" t="s">
        <v>746</v>
      </c>
      <c r="E938" s="1" t="n">
        <v>20171</v>
      </c>
      <c r="F938" s="1" t="s">
        <v>303</v>
      </c>
      <c r="G938" s="1" t="s">
        <v>14</v>
      </c>
      <c r="H938" s="1" t="n">
        <v>4</v>
      </c>
      <c r="I938" s="1" t="n">
        <v>0</v>
      </c>
      <c r="J938" s="1" t="n">
        <v>20201</v>
      </c>
      <c r="L938" s="1" t="str">
        <f aca="false">IF(D937&lt;&gt;D938,D938,"")</f>
        <v/>
      </c>
      <c r="M938" s="1" t="str">
        <f aca="false">IF(F937&lt;&gt;F938,F938,"")</f>
        <v/>
      </c>
    </row>
    <row r="939" customFormat="false" ht="15" hidden="false" customHeight="false" outlineLevel="0" collapsed="false">
      <c r="A939" s="3" t="s">
        <v>350</v>
      </c>
      <c r="B939" s="3" t="s">
        <v>351</v>
      </c>
      <c r="C939" s="3" t="s">
        <v>745</v>
      </c>
      <c r="D939" s="3" t="s">
        <v>746</v>
      </c>
      <c r="E939" s="1" t="n">
        <v>20171</v>
      </c>
      <c r="F939" s="1" t="s">
        <v>303</v>
      </c>
      <c r="G939" s="1" t="s">
        <v>14</v>
      </c>
      <c r="H939" s="1" t="n">
        <v>4</v>
      </c>
      <c r="I939" s="1" t="n">
        <v>0</v>
      </c>
      <c r="J939" s="1" t="n">
        <v>20201</v>
      </c>
      <c r="L939" s="1" t="str">
        <f aca="false">IF(D938&lt;&gt;D939,D939,"")</f>
        <v/>
      </c>
      <c r="M939" s="1" t="str">
        <f aca="false">IF(F938&lt;&gt;F939,F939,"")</f>
        <v/>
      </c>
    </row>
    <row r="940" customFormat="false" ht="15" hidden="false" customHeight="false" outlineLevel="0" collapsed="false">
      <c r="A940" s="3" t="s">
        <v>352</v>
      </c>
      <c r="B940" s="3" t="s">
        <v>353</v>
      </c>
      <c r="C940" s="3" t="s">
        <v>745</v>
      </c>
      <c r="D940" s="3" t="s">
        <v>746</v>
      </c>
      <c r="E940" s="1" t="n">
        <v>20171</v>
      </c>
      <c r="F940" s="1" t="s">
        <v>303</v>
      </c>
      <c r="G940" s="1" t="s">
        <v>15</v>
      </c>
      <c r="H940" s="1" t="n">
        <v>3.5</v>
      </c>
      <c r="I940" s="1" t="n">
        <v>0</v>
      </c>
      <c r="J940" s="1" t="n">
        <v>20201</v>
      </c>
      <c r="L940" s="1" t="str">
        <f aca="false">IF(D939&lt;&gt;D940,D940,"")</f>
        <v/>
      </c>
      <c r="M940" s="1" t="str">
        <f aca="false">IF(F939&lt;&gt;F940,F940,"")</f>
        <v/>
      </c>
    </row>
    <row r="941" customFormat="false" ht="15" hidden="false" customHeight="false" outlineLevel="0" collapsed="false">
      <c r="A941" s="3" t="s">
        <v>354</v>
      </c>
      <c r="B941" s="3" t="s">
        <v>355</v>
      </c>
      <c r="C941" s="3" t="s">
        <v>745</v>
      </c>
      <c r="D941" s="3" t="s">
        <v>746</v>
      </c>
      <c r="E941" s="1" t="n">
        <v>20171</v>
      </c>
      <c r="F941" s="1" t="s">
        <v>303</v>
      </c>
      <c r="G941" s="1" t="s">
        <v>124</v>
      </c>
      <c r="H941" s="1" t="n">
        <v>0</v>
      </c>
      <c r="I941" s="1" t="n">
        <v>0</v>
      </c>
      <c r="J941" s="1" t="n">
        <v>20201</v>
      </c>
      <c r="L941" s="1" t="str">
        <f aca="false">IF(D940&lt;&gt;D941,D941,"")</f>
        <v/>
      </c>
      <c r="M941" s="1" t="str">
        <f aca="false">IF(F940&lt;&gt;F941,F941,"")</f>
        <v/>
      </c>
    </row>
    <row r="942" customFormat="false" ht="15" hidden="false" customHeight="false" outlineLevel="0" collapsed="false">
      <c r="A942" s="3" t="s">
        <v>356</v>
      </c>
      <c r="B942" s="3" t="s">
        <v>357</v>
      </c>
      <c r="C942" s="3" t="s">
        <v>745</v>
      </c>
      <c r="D942" s="3" t="s">
        <v>746</v>
      </c>
      <c r="E942" s="1" t="n">
        <v>20171</v>
      </c>
      <c r="F942" s="1" t="s">
        <v>303</v>
      </c>
      <c r="G942" s="1" t="s">
        <v>18</v>
      </c>
      <c r="H942" s="1" t="n">
        <v>3</v>
      </c>
      <c r="I942" s="1" t="n">
        <v>0</v>
      </c>
      <c r="J942" s="1" t="n">
        <v>20201</v>
      </c>
      <c r="L942" s="1" t="str">
        <f aca="false">IF(D941&lt;&gt;D942,D942,"")</f>
        <v/>
      </c>
      <c r="M942" s="1" t="str">
        <f aca="false">IF(F941&lt;&gt;F942,F942,"")</f>
        <v/>
      </c>
    </row>
    <row r="943" customFormat="false" ht="15" hidden="false" customHeight="false" outlineLevel="0" collapsed="false">
      <c r="A943" s="3" t="s">
        <v>358</v>
      </c>
      <c r="B943" s="3" t="s">
        <v>359</v>
      </c>
      <c r="C943" s="3" t="s">
        <v>745</v>
      </c>
      <c r="D943" s="3" t="s">
        <v>746</v>
      </c>
      <c r="E943" s="1" t="n">
        <v>20171</v>
      </c>
      <c r="F943" s="1" t="s">
        <v>303</v>
      </c>
      <c r="G943" s="1" t="s">
        <v>23</v>
      </c>
      <c r="H943" s="1" t="n">
        <v>0</v>
      </c>
      <c r="I943" s="1" t="n">
        <v>0</v>
      </c>
      <c r="J943" s="1" t="n">
        <v>20201</v>
      </c>
      <c r="L943" s="1" t="str">
        <f aca="false">IF(D942&lt;&gt;D943,D943,"")</f>
        <v/>
      </c>
      <c r="M943" s="1" t="str">
        <f aca="false">IF(F942&lt;&gt;F943,F943,"")</f>
        <v/>
      </c>
    </row>
    <row r="944" customFormat="false" ht="15" hidden="false" customHeight="false" outlineLevel="0" collapsed="false">
      <c r="A944" s="3" t="s">
        <v>360</v>
      </c>
      <c r="B944" s="3" t="s">
        <v>361</v>
      </c>
      <c r="C944" s="3" t="s">
        <v>745</v>
      </c>
      <c r="D944" s="3" t="s">
        <v>746</v>
      </c>
      <c r="E944" s="1" t="n">
        <v>20171</v>
      </c>
      <c r="F944" s="1" t="s">
        <v>303</v>
      </c>
      <c r="G944" s="1" t="s">
        <v>101</v>
      </c>
      <c r="H944" s="1" t="n">
        <v>2.5</v>
      </c>
      <c r="I944" s="1" t="n">
        <v>0</v>
      </c>
      <c r="J944" s="1" t="n">
        <v>20201</v>
      </c>
      <c r="L944" s="1" t="str">
        <f aca="false">IF(D943&lt;&gt;D944,D944,"")</f>
        <v/>
      </c>
      <c r="M944" s="1" t="str">
        <f aca="false">IF(F943&lt;&gt;F944,F944,"")</f>
        <v/>
      </c>
    </row>
    <row r="945" customFormat="false" ht="15" hidden="false" customHeight="false" outlineLevel="0" collapsed="false">
      <c r="A945" s="3" t="s">
        <v>362</v>
      </c>
      <c r="B945" s="3" t="s">
        <v>363</v>
      </c>
      <c r="C945" s="3" t="s">
        <v>745</v>
      </c>
      <c r="D945" s="3" t="s">
        <v>746</v>
      </c>
      <c r="E945" s="1" t="n">
        <v>20171</v>
      </c>
      <c r="F945" s="1" t="s">
        <v>303</v>
      </c>
      <c r="G945" s="1" t="s">
        <v>18</v>
      </c>
      <c r="H945" s="1" t="n">
        <v>3</v>
      </c>
      <c r="I945" s="1" t="n">
        <v>0</v>
      </c>
      <c r="J945" s="1" t="n">
        <v>20201</v>
      </c>
      <c r="L945" s="1" t="str">
        <f aca="false">IF(D944&lt;&gt;D945,D945,"")</f>
        <v/>
      </c>
      <c r="M945" s="1" t="str">
        <f aca="false">IF(F944&lt;&gt;F945,F945,"")</f>
        <v/>
      </c>
    </row>
    <row r="946" customFormat="false" ht="15" hidden="false" customHeight="false" outlineLevel="0" collapsed="false">
      <c r="A946" s="3" t="s">
        <v>364</v>
      </c>
      <c r="B946" s="3" t="s">
        <v>365</v>
      </c>
      <c r="C946" s="3" t="s">
        <v>745</v>
      </c>
      <c r="D946" s="3" t="s">
        <v>746</v>
      </c>
      <c r="E946" s="1" t="n">
        <v>20171</v>
      </c>
      <c r="F946" s="1" t="s">
        <v>303</v>
      </c>
      <c r="G946" s="1" t="s">
        <v>18</v>
      </c>
      <c r="H946" s="1" t="n">
        <v>3</v>
      </c>
      <c r="I946" s="1" t="n">
        <v>0</v>
      </c>
      <c r="J946" s="1" t="n">
        <v>20201</v>
      </c>
      <c r="L946" s="1" t="str">
        <f aca="false">IF(D945&lt;&gt;D946,D946,"")</f>
        <v/>
      </c>
      <c r="M946" s="1" t="str">
        <f aca="false">IF(F945&lt;&gt;F946,F946,"")</f>
        <v/>
      </c>
    </row>
    <row r="947" customFormat="false" ht="15" hidden="false" customHeight="false" outlineLevel="0" collapsed="false">
      <c r="A947" s="3" t="s">
        <v>366</v>
      </c>
      <c r="B947" s="3" t="s">
        <v>367</v>
      </c>
      <c r="C947" s="3" t="s">
        <v>745</v>
      </c>
      <c r="D947" s="3" t="s">
        <v>746</v>
      </c>
      <c r="E947" s="1" t="n">
        <v>20171</v>
      </c>
      <c r="F947" s="1" t="s">
        <v>303</v>
      </c>
      <c r="G947" s="1" t="s">
        <v>18</v>
      </c>
      <c r="H947" s="1" t="n">
        <v>3</v>
      </c>
      <c r="I947" s="1" t="n">
        <v>0</v>
      </c>
      <c r="J947" s="1" t="n">
        <v>20201</v>
      </c>
      <c r="L947" s="1" t="str">
        <f aca="false">IF(D946&lt;&gt;D947,D947,"")</f>
        <v/>
      </c>
      <c r="M947" s="1" t="str">
        <f aca="false">IF(F946&lt;&gt;F947,F947,"")</f>
        <v/>
      </c>
    </row>
    <row r="948" customFormat="false" ht="15" hidden="false" customHeight="false" outlineLevel="0" collapsed="false">
      <c r="A948" s="3" t="s">
        <v>368</v>
      </c>
      <c r="B948" s="3" t="s">
        <v>369</v>
      </c>
      <c r="C948" s="3" t="s">
        <v>745</v>
      </c>
      <c r="D948" s="3" t="s">
        <v>746</v>
      </c>
      <c r="E948" s="1" t="n">
        <v>20171</v>
      </c>
      <c r="F948" s="1" t="s">
        <v>303</v>
      </c>
      <c r="G948" s="1" t="s">
        <v>18</v>
      </c>
      <c r="H948" s="1" t="n">
        <v>3</v>
      </c>
      <c r="I948" s="1" t="n">
        <v>0</v>
      </c>
      <c r="J948" s="1" t="n">
        <v>20201</v>
      </c>
      <c r="L948" s="1" t="str">
        <f aca="false">IF(D947&lt;&gt;D948,D948,"")</f>
        <v/>
      </c>
      <c r="M948" s="1" t="str">
        <f aca="false">IF(F947&lt;&gt;F948,F948,"")</f>
        <v/>
      </c>
    </row>
    <row r="949" customFormat="false" ht="15" hidden="false" customHeight="false" outlineLevel="0" collapsed="false">
      <c r="A949" s="3" t="s">
        <v>370</v>
      </c>
      <c r="B949" s="3" t="s">
        <v>371</v>
      </c>
      <c r="C949" s="3" t="s">
        <v>745</v>
      </c>
      <c r="D949" s="3" t="s">
        <v>746</v>
      </c>
      <c r="E949" s="1" t="n">
        <v>20171</v>
      </c>
      <c r="F949" s="1" t="s">
        <v>303</v>
      </c>
      <c r="G949" s="1" t="s">
        <v>18</v>
      </c>
      <c r="H949" s="1" t="n">
        <v>3</v>
      </c>
      <c r="I949" s="1" t="n">
        <v>0</v>
      </c>
      <c r="J949" s="1" t="n">
        <v>20201</v>
      </c>
      <c r="L949" s="1" t="str">
        <f aca="false">IF(D948&lt;&gt;D949,D949,"")</f>
        <v/>
      </c>
      <c r="M949" s="1" t="str">
        <f aca="false">IF(F948&lt;&gt;F949,F949,"")</f>
        <v/>
      </c>
    </row>
    <row r="950" customFormat="false" ht="15" hidden="false" customHeight="false" outlineLevel="0" collapsed="false">
      <c r="A950" s="3" t="s">
        <v>372</v>
      </c>
      <c r="B950" s="3" t="s">
        <v>373</v>
      </c>
      <c r="C950" s="3" t="s">
        <v>745</v>
      </c>
      <c r="D950" s="3" t="s">
        <v>746</v>
      </c>
      <c r="E950" s="1" t="n">
        <v>20171</v>
      </c>
      <c r="F950" s="1" t="s">
        <v>303</v>
      </c>
      <c r="G950" s="1" t="s">
        <v>18</v>
      </c>
      <c r="H950" s="1" t="n">
        <v>3</v>
      </c>
      <c r="I950" s="1" t="n">
        <v>0</v>
      </c>
      <c r="J950" s="1" t="n">
        <v>20201</v>
      </c>
      <c r="L950" s="1" t="str">
        <f aca="false">IF(D949&lt;&gt;D950,D950,"")</f>
        <v/>
      </c>
      <c r="M950" s="1" t="str">
        <f aca="false">IF(F949&lt;&gt;F950,F950,"")</f>
        <v/>
      </c>
    </row>
    <row r="951" customFormat="false" ht="15" hidden="false" customHeight="false" outlineLevel="0" collapsed="false">
      <c r="A951" s="3" t="s">
        <v>374</v>
      </c>
      <c r="B951" s="3" t="s">
        <v>375</v>
      </c>
      <c r="C951" s="3" t="s">
        <v>745</v>
      </c>
      <c r="D951" s="3" t="s">
        <v>746</v>
      </c>
      <c r="E951" s="1" t="n">
        <v>20171</v>
      </c>
      <c r="F951" s="1" t="s">
        <v>303</v>
      </c>
      <c r="G951" s="1" t="s">
        <v>101</v>
      </c>
      <c r="H951" s="1" t="n">
        <v>2.5</v>
      </c>
      <c r="I951" s="1" t="n">
        <v>0</v>
      </c>
      <c r="J951" s="1" t="n">
        <v>20201</v>
      </c>
      <c r="L951" s="1" t="str">
        <f aca="false">IF(D950&lt;&gt;D951,D951,"")</f>
        <v/>
      </c>
      <c r="M951" s="1" t="str">
        <f aca="false">IF(F950&lt;&gt;F951,F951,"")</f>
        <v/>
      </c>
    </row>
    <row r="952" customFormat="false" ht="15" hidden="false" customHeight="false" outlineLevel="0" collapsed="false">
      <c r="A952" s="3" t="s">
        <v>376</v>
      </c>
      <c r="B952" s="3" t="s">
        <v>377</v>
      </c>
      <c r="C952" s="3" t="s">
        <v>745</v>
      </c>
      <c r="D952" s="3" t="s">
        <v>746</v>
      </c>
      <c r="E952" s="1" t="n">
        <v>20171</v>
      </c>
      <c r="F952" s="1" t="s">
        <v>303</v>
      </c>
      <c r="G952" s="1" t="s">
        <v>18</v>
      </c>
      <c r="H952" s="1" t="n">
        <v>3</v>
      </c>
      <c r="I952" s="1" t="n">
        <v>0</v>
      </c>
      <c r="J952" s="1" t="n">
        <v>20201</v>
      </c>
      <c r="L952" s="1" t="str">
        <f aca="false">IF(D951&lt;&gt;D952,D952,"")</f>
        <v/>
      </c>
      <c r="M952" s="1" t="str">
        <f aca="false">IF(F951&lt;&gt;F952,F952,"")</f>
        <v/>
      </c>
    </row>
    <row r="953" customFormat="false" ht="15" hidden="false" customHeight="false" outlineLevel="0" collapsed="false">
      <c r="A953" s="3" t="s">
        <v>378</v>
      </c>
      <c r="B953" s="3" t="s">
        <v>379</v>
      </c>
      <c r="C953" s="3" t="s">
        <v>745</v>
      </c>
      <c r="D953" s="3" t="s">
        <v>746</v>
      </c>
      <c r="E953" s="1" t="n">
        <v>20171</v>
      </c>
      <c r="F953" s="1" t="s">
        <v>303</v>
      </c>
      <c r="G953" s="1" t="s">
        <v>18</v>
      </c>
      <c r="H953" s="1" t="n">
        <v>3</v>
      </c>
      <c r="I953" s="1" t="n">
        <v>0</v>
      </c>
      <c r="J953" s="1" t="n">
        <v>20201</v>
      </c>
      <c r="L953" s="1" t="str">
        <f aca="false">IF(D952&lt;&gt;D953,D953,"")</f>
        <v/>
      </c>
      <c r="M953" s="1" t="str">
        <f aca="false">IF(F952&lt;&gt;F953,F953,"")</f>
        <v/>
      </c>
    </row>
    <row r="954" customFormat="false" ht="15" hidden="false" customHeight="false" outlineLevel="0" collapsed="false">
      <c r="A954" s="3" t="s">
        <v>380</v>
      </c>
      <c r="B954" s="3" t="s">
        <v>381</v>
      </c>
      <c r="C954" s="3" t="s">
        <v>745</v>
      </c>
      <c r="D954" s="3" t="s">
        <v>746</v>
      </c>
      <c r="E954" s="1" t="n">
        <v>20171</v>
      </c>
      <c r="F954" s="1" t="s">
        <v>303</v>
      </c>
      <c r="G954" s="1" t="s">
        <v>18</v>
      </c>
      <c r="H954" s="1" t="n">
        <v>3</v>
      </c>
      <c r="I954" s="1" t="n">
        <v>0</v>
      </c>
      <c r="J954" s="1" t="n">
        <v>20201</v>
      </c>
      <c r="L954" s="1" t="str">
        <f aca="false">IF(D953&lt;&gt;D954,D954,"")</f>
        <v/>
      </c>
      <c r="M954" s="1" t="str">
        <f aca="false">IF(F953&lt;&gt;F954,F954,"")</f>
        <v/>
      </c>
    </row>
    <row r="955" customFormat="false" ht="15" hidden="false" customHeight="false" outlineLevel="0" collapsed="false">
      <c r="A955" s="3" t="s">
        <v>382</v>
      </c>
      <c r="B955" s="3" t="s">
        <v>383</v>
      </c>
      <c r="C955" s="3" t="s">
        <v>745</v>
      </c>
      <c r="D955" s="3" t="s">
        <v>746</v>
      </c>
      <c r="E955" s="1" t="n">
        <v>20171</v>
      </c>
      <c r="F955" s="1" t="s">
        <v>303</v>
      </c>
      <c r="G955" s="1" t="s">
        <v>18</v>
      </c>
      <c r="H955" s="1" t="n">
        <v>3</v>
      </c>
      <c r="I955" s="1" t="n">
        <v>0</v>
      </c>
      <c r="J955" s="1" t="n">
        <v>20201</v>
      </c>
      <c r="L955" s="1" t="str">
        <f aca="false">IF(D954&lt;&gt;D955,D955,"")</f>
        <v/>
      </c>
      <c r="M955" s="1" t="str">
        <f aca="false">IF(F954&lt;&gt;F955,F955,"")</f>
        <v/>
      </c>
    </row>
    <row r="956" customFormat="false" ht="15" hidden="false" customHeight="false" outlineLevel="0" collapsed="false">
      <c r="A956" s="3" t="s">
        <v>384</v>
      </c>
      <c r="B956" s="3" t="s">
        <v>385</v>
      </c>
      <c r="C956" s="3" t="s">
        <v>745</v>
      </c>
      <c r="D956" s="3" t="s">
        <v>746</v>
      </c>
      <c r="E956" s="1" t="n">
        <v>20171</v>
      </c>
      <c r="F956" s="1" t="s">
        <v>303</v>
      </c>
      <c r="G956" s="1" t="s">
        <v>15</v>
      </c>
      <c r="H956" s="1" t="n">
        <v>3.5</v>
      </c>
      <c r="I956" s="1" t="n">
        <v>0</v>
      </c>
      <c r="J956" s="1" t="n">
        <v>20201</v>
      </c>
      <c r="L956" s="1" t="str">
        <f aca="false">IF(D955&lt;&gt;D956,D956,"")</f>
        <v/>
      </c>
      <c r="M956" s="1" t="str">
        <f aca="false">IF(F955&lt;&gt;F956,F956,"")</f>
        <v/>
      </c>
    </row>
    <row r="957" customFormat="false" ht="15" hidden="false" customHeight="false" outlineLevel="0" collapsed="false">
      <c r="A957" s="3" t="s">
        <v>386</v>
      </c>
      <c r="B957" s="3" t="s">
        <v>387</v>
      </c>
      <c r="C957" s="3" t="s">
        <v>745</v>
      </c>
      <c r="D957" s="3" t="s">
        <v>746</v>
      </c>
      <c r="E957" s="1" t="n">
        <v>20171</v>
      </c>
      <c r="F957" s="1" t="s">
        <v>303</v>
      </c>
      <c r="G957" s="1" t="s">
        <v>18</v>
      </c>
      <c r="H957" s="1" t="n">
        <v>3</v>
      </c>
      <c r="I957" s="1" t="n">
        <v>0</v>
      </c>
      <c r="J957" s="1" t="n">
        <v>20201</v>
      </c>
      <c r="L957" s="1" t="str">
        <f aca="false">IF(D956&lt;&gt;D957,D957,"")</f>
        <v/>
      </c>
      <c r="M957" s="1" t="str">
        <f aca="false">IF(F956&lt;&gt;F957,F957,"")</f>
        <v/>
      </c>
    </row>
    <row r="958" customFormat="false" ht="15" hidden="false" customHeight="false" outlineLevel="0" collapsed="false">
      <c r="A958" s="3" t="s">
        <v>388</v>
      </c>
      <c r="B958" s="3" t="s">
        <v>389</v>
      </c>
      <c r="C958" s="3" t="s">
        <v>745</v>
      </c>
      <c r="D958" s="3" t="s">
        <v>746</v>
      </c>
      <c r="E958" s="1" t="n">
        <v>20171</v>
      </c>
      <c r="F958" s="1" t="s">
        <v>303</v>
      </c>
      <c r="G958" s="1" t="s">
        <v>18</v>
      </c>
      <c r="H958" s="1" t="n">
        <v>3</v>
      </c>
      <c r="I958" s="1" t="n">
        <v>0</v>
      </c>
      <c r="J958" s="1" t="n">
        <v>20201</v>
      </c>
      <c r="L958" s="1" t="str">
        <f aca="false">IF(D957&lt;&gt;D958,D958,"")</f>
        <v/>
      </c>
      <c r="M958" s="1" t="str">
        <f aca="false">IF(F957&lt;&gt;F958,F958,"")</f>
        <v/>
      </c>
    </row>
    <row r="959" customFormat="false" ht="15" hidden="false" customHeight="false" outlineLevel="0" collapsed="false">
      <c r="A959" s="3" t="s">
        <v>390</v>
      </c>
      <c r="B959" s="3" t="s">
        <v>391</v>
      </c>
      <c r="C959" s="3" t="s">
        <v>745</v>
      </c>
      <c r="D959" s="3" t="s">
        <v>746</v>
      </c>
      <c r="E959" s="1" t="n">
        <v>20171</v>
      </c>
      <c r="F959" s="1" t="s">
        <v>303</v>
      </c>
      <c r="G959" s="1" t="s">
        <v>14</v>
      </c>
      <c r="H959" s="1" t="n">
        <v>4</v>
      </c>
      <c r="I959" s="1" t="n">
        <v>0</v>
      </c>
      <c r="J959" s="1" t="n">
        <v>20201</v>
      </c>
      <c r="L959" s="1" t="str">
        <f aca="false">IF(D958&lt;&gt;D959,D959,"")</f>
        <v/>
      </c>
      <c r="M959" s="1" t="str">
        <f aca="false">IF(F958&lt;&gt;F959,F959,"")</f>
        <v/>
      </c>
    </row>
    <row r="960" customFormat="false" ht="15" hidden="false" customHeight="false" outlineLevel="0" collapsed="false">
      <c r="A960" s="3" t="s">
        <v>392</v>
      </c>
      <c r="B960" s="3" t="s">
        <v>393</v>
      </c>
      <c r="C960" s="3" t="s">
        <v>745</v>
      </c>
      <c r="D960" s="3" t="s">
        <v>746</v>
      </c>
      <c r="E960" s="1" t="n">
        <v>20171</v>
      </c>
      <c r="F960" s="1" t="s">
        <v>303</v>
      </c>
      <c r="G960" s="1" t="s">
        <v>18</v>
      </c>
      <c r="H960" s="1" t="n">
        <v>3</v>
      </c>
      <c r="I960" s="1" t="n">
        <v>0</v>
      </c>
      <c r="J960" s="1" t="n">
        <v>20201</v>
      </c>
      <c r="L960" s="1" t="str">
        <f aca="false">IF(D959&lt;&gt;D960,D960,"")</f>
        <v/>
      </c>
      <c r="M960" s="1" t="str">
        <f aca="false">IF(F959&lt;&gt;F960,F960,"")</f>
        <v/>
      </c>
    </row>
    <row r="961" customFormat="false" ht="15" hidden="false" customHeight="false" outlineLevel="0" collapsed="false">
      <c r="A961" s="3" t="s">
        <v>394</v>
      </c>
      <c r="B961" s="3" t="s">
        <v>395</v>
      </c>
      <c r="C961" s="3" t="s">
        <v>745</v>
      </c>
      <c r="D961" s="3" t="s">
        <v>746</v>
      </c>
      <c r="E961" s="1" t="n">
        <v>20171</v>
      </c>
      <c r="F961" s="1" t="s">
        <v>303</v>
      </c>
      <c r="G961" s="1" t="s">
        <v>101</v>
      </c>
      <c r="H961" s="1" t="n">
        <v>2.5</v>
      </c>
      <c r="I961" s="1" t="n">
        <v>0</v>
      </c>
      <c r="J961" s="1" t="n">
        <v>20201</v>
      </c>
      <c r="L961" s="1" t="str">
        <f aca="false">IF(D960&lt;&gt;D961,D961,"")</f>
        <v/>
      </c>
      <c r="M961" s="1" t="str">
        <f aca="false">IF(F960&lt;&gt;F961,F961,"")</f>
        <v/>
      </c>
    </row>
    <row r="962" customFormat="false" ht="15" hidden="false" customHeight="false" outlineLevel="0" collapsed="false">
      <c r="A962" s="3" t="s">
        <v>396</v>
      </c>
      <c r="B962" s="3" t="s">
        <v>397</v>
      </c>
      <c r="C962" s="3" t="s">
        <v>745</v>
      </c>
      <c r="D962" s="3" t="s">
        <v>746</v>
      </c>
      <c r="E962" s="1" t="n">
        <v>20171</v>
      </c>
      <c r="F962" s="1" t="s">
        <v>303</v>
      </c>
      <c r="G962" s="1" t="s">
        <v>127</v>
      </c>
      <c r="H962" s="1" t="n">
        <v>2</v>
      </c>
      <c r="I962" s="1" t="n">
        <v>0</v>
      </c>
      <c r="J962" s="1" t="n">
        <v>20201</v>
      </c>
      <c r="L962" s="1" t="str">
        <f aca="false">IF(D961&lt;&gt;D962,D962,"")</f>
        <v/>
      </c>
      <c r="M962" s="1" t="str">
        <f aca="false">IF(F961&lt;&gt;F962,F962,"")</f>
        <v/>
      </c>
    </row>
    <row r="963" customFormat="false" ht="15" hidden="false" customHeight="false" outlineLevel="0" collapsed="false">
      <c r="A963" s="3" t="s">
        <v>398</v>
      </c>
      <c r="B963" s="3" t="s">
        <v>399</v>
      </c>
      <c r="C963" s="3" t="s">
        <v>745</v>
      </c>
      <c r="D963" s="3" t="s">
        <v>746</v>
      </c>
      <c r="E963" s="1" t="n">
        <v>20171</v>
      </c>
      <c r="F963" s="1" t="s">
        <v>303</v>
      </c>
      <c r="G963" s="1" t="s">
        <v>30</v>
      </c>
      <c r="H963" s="1" t="n">
        <v>1.5</v>
      </c>
      <c r="I963" s="1" t="n">
        <v>0</v>
      </c>
      <c r="J963" s="1" t="n">
        <v>20201</v>
      </c>
      <c r="L963" s="1" t="str">
        <f aca="false">IF(D962&lt;&gt;D963,D963,"")</f>
        <v/>
      </c>
      <c r="M963" s="1" t="str">
        <f aca="false">IF(F962&lt;&gt;F963,F963,"")</f>
        <v/>
      </c>
    </row>
    <row r="964" customFormat="false" ht="15" hidden="false" customHeight="false" outlineLevel="0" collapsed="false">
      <c r="A964" s="3" t="s">
        <v>400</v>
      </c>
      <c r="B964" s="3" t="s">
        <v>401</v>
      </c>
      <c r="C964" s="3" t="s">
        <v>745</v>
      </c>
      <c r="D964" s="3" t="s">
        <v>746</v>
      </c>
      <c r="E964" s="1" t="n">
        <v>20171</v>
      </c>
      <c r="F964" s="1" t="s">
        <v>303</v>
      </c>
      <c r="G964" s="1" t="s">
        <v>14</v>
      </c>
      <c r="H964" s="1" t="n">
        <v>4</v>
      </c>
      <c r="I964" s="1" t="n">
        <v>0</v>
      </c>
      <c r="J964" s="1" t="n">
        <v>20201</v>
      </c>
      <c r="L964" s="1" t="str">
        <f aca="false">IF(D963&lt;&gt;D964,D964,"")</f>
        <v/>
      </c>
      <c r="M964" s="1" t="str">
        <f aca="false">IF(F963&lt;&gt;F964,F964,"")</f>
        <v/>
      </c>
    </row>
    <row r="965" customFormat="false" ht="15" hidden="false" customHeight="false" outlineLevel="0" collapsed="false">
      <c r="A965" s="3" t="s">
        <v>402</v>
      </c>
      <c r="B965" s="3" t="s">
        <v>403</v>
      </c>
      <c r="C965" s="3" t="s">
        <v>745</v>
      </c>
      <c r="D965" s="3" t="s">
        <v>746</v>
      </c>
      <c r="E965" s="1" t="n">
        <v>20171</v>
      </c>
      <c r="F965" s="1" t="s">
        <v>303</v>
      </c>
      <c r="G965" s="1" t="s">
        <v>124</v>
      </c>
      <c r="H965" s="1" t="n">
        <v>0</v>
      </c>
      <c r="I965" s="1" t="n">
        <v>0</v>
      </c>
      <c r="J965" s="1" t="n">
        <v>20201</v>
      </c>
      <c r="L965" s="1" t="str">
        <f aca="false">IF(D964&lt;&gt;D965,D965,"")</f>
        <v/>
      </c>
      <c r="M965" s="1" t="str">
        <f aca="false">IF(F964&lt;&gt;F965,F965,"")</f>
        <v/>
      </c>
    </row>
    <row r="966" customFormat="false" ht="15" hidden="false" customHeight="false" outlineLevel="0" collapsed="false">
      <c r="A966" s="3" t="s">
        <v>404</v>
      </c>
      <c r="B966" s="3" t="s">
        <v>405</v>
      </c>
      <c r="C966" s="3" t="s">
        <v>745</v>
      </c>
      <c r="D966" s="3" t="s">
        <v>746</v>
      </c>
      <c r="E966" s="1" t="n">
        <v>20171</v>
      </c>
      <c r="F966" s="1" t="s">
        <v>303</v>
      </c>
      <c r="G966" s="1" t="s">
        <v>18</v>
      </c>
      <c r="H966" s="1" t="n">
        <v>3</v>
      </c>
      <c r="I966" s="1" t="n">
        <v>0</v>
      </c>
      <c r="J966" s="1" t="n">
        <v>20201</v>
      </c>
      <c r="L966" s="1" t="str">
        <f aca="false">IF(D965&lt;&gt;D966,D966,"")</f>
        <v/>
      </c>
      <c r="M966" s="1" t="str">
        <f aca="false">IF(F965&lt;&gt;F966,F966,"")</f>
        <v/>
      </c>
    </row>
    <row r="967" customFormat="false" ht="15" hidden="false" customHeight="false" outlineLevel="0" collapsed="false">
      <c r="A967" s="3" t="s">
        <v>406</v>
      </c>
      <c r="B967" s="3" t="s">
        <v>407</v>
      </c>
      <c r="C967" s="3" t="s">
        <v>745</v>
      </c>
      <c r="D967" s="3" t="s">
        <v>746</v>
      </c>
      <c r="E967" s="1" t="n">
        <v>20171</v>
      </c>
      <c r="F967" s="1" t="s">
        <v>303</v>
      </c>
      <c r="G967" s="1" t="s">
        <v>101</v>
      </c>
      <c r="H967" s="1" t="n">
        <v>2.5</v>
      </c>
      <c r="I967" s="1" t="n">
        <v>0</v>
      </c>
      <c r="J967" s="1" t="n">
        <v>20201</v>
      </c>
      <c r="L967" s="1" t="str">
        <f aca="false">IF(D966&lt;&gt;D967,D967,"")</f>
        <v/>
      </c>
      <c r="M967" s="1" t="str">
        <f aca="false">IF(F966&lt;&gt;F967,F967,"")</f>
        <v/>
      </c>
    </row>
    <row r="968" customFormat="false" ht="15" hidden="false" customHeight="false" outlineLevel="0" collapsed="false">
      <c r="A968" s="3" t="s">
        <v>408</v>
      </c>
      <c r="B968" s="3" t="s">
        <v>409</v>
      </c>
      <c r="C968" s="3" t="s">
        <v>745</v>
      </c>
      <c r="D968" s="3" t="s">
        <v>746</v>
      </c>
      <c r="E968" s="1" t="n">
        <v>20171</v>
      </c>
      <c r="F968" s="1" t="s">
        <v>303</v>
      </c>
      <c r="G968" s="1" t="s">
        <v>18</v>
      </c>
      <c r="H968" s="1" t="n">
        <v>3</v>
      </c>
      <c r="I968" s="1" t="n">
        <v>0</v>
      </c>
      <c r="J968" s="1" t="n">
        <v>20201</v>
      </c>
      <c r="L968" s="1" t="str">
        <f aca="false">IF(D967&lt;&gt;D968,D968,"")</f>
        <v/>
      </c>
      <c r="M968" s="1" t="str">
        <f aca="false">IF(F967&lt;&gt;F968,F968,"")</f>
        <v/>
      </c>
    </row>
    <row r="969" customFormat="false" ht="15" hidden="false" customHeight="false" outlineLevel="0" collapsed="false">
      <c r="A969" s="3" t="s">
        <v>410</v>
      </c>
      <c r="B969" s="3" t="s">
        <v>411</v>
      </c>
      <c r="C969" s="3" t="s">
        <v>745</v>
      </c>
      <c r="D969" s="3" t="s">
        <v>746</v>
      </c>
      <c r="E969" s="1" t="n">
        <v>20171</v>
      </c>
      <c r="F969" s="1" t="s">
        <v>303</v>
      </c>
      <c r="G969" s="1" t="s">
        <v>14</v>
      </c>
      <c r="H969" s="1" t="n">
        <v>4</v>
      </c>
      <c r="I969" s="1" t="n">
        <v>0</v>
      </c>
      <c r="J969" s="1" t="n">
        <v>20201</v>
      </c>
      <c r="L969" s="1" t="str">
        <f aca="false">IF(D968&lt;&gt;D969,D969,"")</f>
        <v/>
      </c>
      <c r="M969" s="1" t="str">
        <f aca="false">IF(F968&lt;&gt;F969,F969,"")</f>
        <v/>
      </c>
    </row>
    <row r="970" customFormat="false" ht="15" hidden="false" customHeight="false" outlineLevel="0" collapsed="false">
      <c r="A970" s="3" t="s">
        <v>412</v>
      </c>
      <c r="B970" s="3" t="s">
        <v>413</v>
      </c>
      <c r="C970" s="3" t="s">
        <v>745</v>
      </c>
      <c r="D970" s="3" t="s">
        <v>746</v>
      </c>
      <c r="E970" s="1" t="n">
        <v>20171</v>
      </c>
      <c r="F970" s="1" t="s">
        <v>303</v>
      </c>
      <c r="G970" s="1" t="s">
        <v>127</v>
      </c>
      <c r="H970" s="1" t="n">
        <v>2</v>
      </c>
      <c r="I970" s="1" t="n">
        <v>0</v>
      </c>
      <c r="J970" s="1" t="n">
        <v>20201</v>
      </c>
      <c r="L970" s="1" t="str">
        <f aca="false">IF(D969&lt;&gt;D970,D970,"")</f>
        <v/>
      </c>
      <c r="M970" s="1" t="str">
        <f aca="false">IF(F969&lt;&gt;F970,F970,"")</f>
        <v/>
      </c>
    </row>
    <row r="971" customFormat="false" ht="15" hidden="false" customHeight="false" outlineLevel="0" collapsed="false">
      <c r="A971" s="3" t="s">
        <v>414</v>
      </c>
      <c r="B971" s="3" t="s">
        <v>415</v>
      </c>
      <c r="C971" s="3" t="s">
        <v>745</v>
      </c>
      <c r="D971" s="3" t="s">
        <v>746</v>
      </c>
      <c r="E971" s="1" t="n">
        <v>20171</v>
      </c>
      <c r="F971" s="1" t="s">
        <v>303</v>
      </c>
      <c r="G971" s="1" t="s">
        <v>15</v>
      </c>
      <c r="H971" s="1" t="n">
        <v>3.5</v>
      </c>
      <c r="I971" s="1" t="n">
        <v>0</v>
      </c>
      <c r="J971" s="1" t="n">
        <v>20201</v>
      </c>
      <c r="L971" s="1" t="str">
        <f aca="false">IF(D970&lt;&gt;D971,D971,"")</f>
        <v/>
      </c>
      <c r="M971" s="1" t="str">
        <f aca="false">IF(F970&lt;&gt;F971,F971,"")</f>
        <v/>
      </c>
    </row>
    <row r="972" customFormat="false" ht="15" hidden="false" customHeight="false" outlineLevel="0" collapsed="false">
      <c r="A972" s="3" t="s">
        <v>416</v>
      </c>
      <c r="B972" s="3" t="s">
        <v>417</v>
      </c>
      <c r="C972" s="3" t="s">
        <v>745</v>
      </c>
      <c r="D972" s="3" t="s">
        <v>746</v>
      </c>
      <c r="E972" s="1" t="n">
        <v>20171</v>
      </c>
      <c r="F972" s="1" t="s">
        <v>303</v>
      </c>
      <c r="G972" s="1" t="s">
        <v>15</v>
      </c>
      <c r="H972" s="1" t="n">
        <v>3.5</v>
      </c>
      <c r="I972" s="1" t="n">
        <v>0</v>
      </c>
      <c r="J972" s="1" t="n">
        <v>20201</v>
      </c>
      <c r="L972" s="1" t="str">
        <f aca="false">IF(D971&lt;&gt;D972,D972,"")</f>
        <v/>
      </c>
      <c r="M972" s="1" t="str">
        <f aca="false">IF(F971&lt;&gt;F972,F972,"")</f>
        <v/>
      </c>
    </row>
    <row r="973" customFormat="false" ht="15" hidden="false" customHeight="false" outlineLevel="0" collapsed="false">
      <c r="A973" s="3" t="s">
        <v>418</v>
      </c>
      <c r="B973" s="3" t="s">
        <v>419</v>
      </c>
      <c r="C973" s="3" t="s">
        <v>745</v>
      </c>
      <c r="D973" s="3" t="s">
        <v>746</v>
      </c>
      <c r="E973" s="1" t="n">
        <v>20171</v>
      </c>
      <c r="F973" s="1" t="s">
        <v>303</v>
      </c>
      <c r="G973" s="1" t="s">
        <v>18</v>
      </c>
      <c r="H973" s="1" t="n">
        <v>3</v>
      </c>
      <c r="I973" s="1" t="n">
        <v>0</v>
      </c>
      <c r="J973" s="1" t="n">
        <v>20201</v>
      </c>
      <c r="L973" s="1" t="str">
        <f aca="false">IF(D972&lt;&gt;D973,D973,"")</f>
        <v/>
      </c>
      <c r="M973" s="1" t="str">
        <f aca="false">IF(F972&lt;&gt;F973,F973,"")</f>
        <v/>
      </c>
    </row>
    <row r="974" customFormat="false" ht="15" hidden="false" customHeight="false" outlineLevel="0" collapsed="false">
      <c r="A974" s="3" t="s">
        <v>420</v>
      </c>
      <c r="B974" s="3" t="s">
        <v>421</v>
      </c>
      <c r="C974" s="3" t="s">
        <v>745</v>
      </c>
      <c r="D974" s="3" t="s">
        <v>746</v>
      </c>
      <c r="E974" s="1" t="n">
        <v>20171</v>
      </c>
      <c r="F974" s="1" t="s">
        <v>303</v>
      </c>
      <c r="G974" s="1" t="s">
        <v>23</v>
      </c>
      <c r="H974" s="1" t="n">
        <v>0</v>
      </c>
      <c r="I974" s="1" t="n">
        <v>0</v>
      </c>
      <c r="J974" s="1" t="n">
        <v>20201</v>
      </c>
      <c r="L974" s="1" t="str">
        <f aca="false">IF(D973&lt;&gt;D974,D974,"")</f>
        <v/>
      </c>
      <c r="M974" s="1" t="str">
        <f aca="false">IF(F973&lt;&gt;F974,F974,"")</f>
        <v/>
      </c>
    </row>
    <row r="975" customFormat="false" ht="15" hidden="false" customHeight="false" outlineLevel="0" collapsed="false">
      <c r="A975" s="3" t="s">
        <v>422</v>
      </c>
      <c r="B975" s="3" t="s">
        <v>423</v>
      </c>
      <c r="C975" s="3" t="s">
        <v>745</v>
      </c>
      <c r="D975" s="3" t="s">
        <v>746</v>
      </c>
      <c r="E975" s="1" t="n">
        <v>20171</v>
      </c>
      <c r="F975" s="1" t="s">
        <v>303</v>
      </c>
      <c r="G975" s="1" t="s">
        <v>18</v>
      </c>
      <c r="H975" s="1" t="n">
        <v>3</v>
      </c>
      <c r="I975" s="1" t="n">
        <v>0</v>
      </c>
      <c r="J975" s="1" t="n">
        <v>20201</v>
      </c>
      <c r="L975" s="1" t="str">
        <f aca="false">IF(D974&lt;&gt;D975,D975,"")</f>
        <v/>
      </c>
      <c r="M975" s="1" t="str">
        <f aca="false">IF(F974&lt;&gt;F975,F975,"")</f>
        <v/>
      </c>
    </row>
    <row r="976" customFormat="false" ht="15" hidden="false" customHeight="false" outlineLevel="0" collapsed="false">
      <c r="A976" s="3" t="s">
        <v>424</v>
      </c>
      <c r="B976" s="3" t="s">
        <v>425</v>
      </c>
      <c r="C976" s="3" t="s">
        <v>745</v>
      </c>
      <c r="D976" s="3" t="s">
        <v>746</v>
      </c>
      <c r="E976" s="1" t="n">
        <v>20171</v>
      </c>
      <c r="F976" s="1" t="s">
        <v>303</v>
      </c>
      <c r="G976" s="1" t="s">
        <v>15</v>
      </c>
      <c r="H976" s="1" t="n">
        <v>3.5</v>
      </c>
      <c r="I976" s="1" t="n">
        <v>0</v>
      </c>
      <c r="J976" s="1" t="n">
        <v>20201</v>
      </c>
      <c r="L976" s="1" t="str">
        <f aca="false">IF(D975&lt;&gt;D976,D976,"")</f>
        <v/>
      </c>
      <c r="M976" s="1" t="str">
        <f aca="false">IF(F975&lt;&gt;F976,F976,"")</f>
        <v/>
      </c>
    </row>
    <row r="977" customFormat="false" ht="15" hidden="false" customHeight="false" outlineLevel="0" collapsed="false">
      <c r="A977" s="3" t="s">
        <v>426</v>
      </c>
      <c r="B977" s="3" t="s">
        <v>427</v>
      </c>
      <c r="C977" s="3" t="s">
        <v>745</v>
      </c>
      <c r="D977" s="3" t="s">
        <v>746</v>
      </c>
      <c r="E977" s="1" t="n">
        <v>20171</v>
      </c>
      <c r="F977" s="1" t="s">
        <v>303</v>
      </c>
      <c r="G977" s="1" t="s">
        <v>14</v>
      </c>
      <c r="H977" s="1" t="n">
        <v>4</v>
      </c>
      <c r="I977" s="1" t="n">
        <v>0</v>
      </c>
      <c r="J977" s="1" t="n">
        <v>20201</v>
      </c>
      <c r="L977" s="1" t="str">
        <f aca="false">IF(D976&lt;&gt;D977,D977,"")</f>
        <v/>
      </c>
      <c r="M977" s="1" t="str">
        <f aca="false">IF(F976&lt;&gt;F977,F977,"")</f>
        <v/>
      </c>
    </row>
    <row r="978" customFormat="false" ht="15" hidden="false" customHeight="false" outlineLevel="0" collapsed="false">
      <c r="A978" s="3" t="s">
        <v>428</v>
      </c>
      <c r="B978" s="3" t="s">
        <v>429</v>
      </c>
      <c r="C978" s="3" t="s">
        <v>745</v>
      </c>
      <c r="D978" s="3" t="s">
        <v>746</v>
      </c>
      <c r="E978" s="1" t="n">
        <v>20171</v>
      </c>
      <c r="F978" s="1" t="s">
        <v>303</v>
      </c>
      <c r="G978" s="1" t="s">
        <v>18</v>
      </c>
      <c r="H978" s="1" t="n">
        <v>3</v>
      </c>
      <c r="I978" s="1" t="n">
        <v>0</v>
      </c>
      <c r="J978" s="1" t="n">
        <v>20201</v>
      </c>
      <c r="L978" s="1" t="str">
        <f aca="false">IF(D977&lt;&gt;D978,D978,"")</f>
        <v/>
      </c>
      <c r="M978" s="1" t="str">
        <f aca="false">IF(F977&lt;&gt;F978,F978,"")</f>
        <v/>
      </c>
    </row>
    <row r="979" customFormat="false" ht="15" hidden="false" customHeight="false" outlineLevel="0" collapsed="false">
      <c r="A979" s="3" t="s">
        <v>430</v>
      </c>
      <c r="B979" s="3" t="s">
        <v>431</v>
      </c>
      <c r="C979" s="3" t="s">
        <v>745</v>
      </c>
      <c r="D979" s="3" t="s">
        <v>746</v>
      </c>
      <c r="E979" s="1" t="n">
        <v>20171</v>
      </c>
      <c r="F979" s="1" t="s">
        <v>303</v>
      </c>
      <c r="G979" s="1" t="s">
        <v>15</v>
      </c>
      <c r="H979" s="1" t="n">
        <v>3.5</v>
      </c>
      <c r="I979" s="1" t="n">
        <v>0</v>
      </c>
      <c r="J979" s="1" t="n">
        <v>20201</v>
      </c>
      <c r="L979" s="1" t="str">
        <f aca="false">IF(D978&lt;&gt;D979,D979,"")</f>
        <v/>
      </c>
      <c r="M979" s="1" t="str">
        <f aca="false">IF(F978&lt;&gt;F979,F979,"")</f>
        <v/>
      </c>
    </row>
    <row r="980" customFormat="false" ht="15" hidden="false" customHeight="false" outlineLevel="0" collapsed="false">
      <c r="A980" s="3" t="s">
        <v>432</v>
      </c>
      <c r="B980" s="3" t="s">
        <v>433</v>
      </c>
      <c r="C980" s="3" t="s">
        <v>745</v>
      </c>
      <c r="D980" s="3" t="s">
        <v>746</v>
      </c>
      <c r="E980" s="1" t="n">
        <v>20171</v>
      </c>
      <c r="F980" s="1" t="s">
        <v>303</v>
      </c>
      <c r="G980" s="1" t="s">
        <v>15</v>
      </c>
      <c r="H980" s="1" t="n">
        <v>3.5</v>
      </c>
      <c r="I980" s="1" t="n">
        <v>0</v>
      </c>
      <c r="J980" s="1" t="n">
        <v>20201</v>
      </c>
      <c r="L980" s="1" t="str">
        <f aca="false">IF(D979&lt;&gt;D980,D980,"")</f>
        <v/>
      </c>
      <c r="M980" s="1" t="str">
        <f aca="false">IF(F979&lt;&gt;F980,F980,"")</f>
        <v/>
      </c>
    </row>
    <row r="981" customFormat="false" ht="15" hidden="false" customHeight="false" outlineLevel="0" collapsed="false">
      <c r="A981" s="3" t="s">
        <v>434</v>
      </c>
      <c r="B981" s="3" t="s">
        <v>435</v>
      </c>
      <c r="C981" s="3" t="s">
        <v>745</v>
      </c>
      <c r="D981" s="3" t="s">
        <v>746</v>
      </c>
      <c r="E981" s="1" t="n">
        <v>20171</v>
      </c>
      <c r="F981" s="1" t="s">
        <v>303</v>
      </c>
      <c r="G981" s="1" t="s">
        <v>15</v>
      </c>
      <c r="H981" s="1" t="n">
        <v>3.5</v>
      </c>
      <c r="I981" s="1" t="n">
        <v>0</v>
      </c>
      <c r="J981" s="1" t="n">
        <v>20201</v>
      </c>
      <c r="L981" s="1" t="str">
        <f aca="false">IF(D980&lt;&gt;D981,D981,"")</f>
        <v/>
      </c>
      <c r="M981" s="1" t="str">
        <f aca="false">IF(F980&lt;&gt;F981,F981,"")</f>
        <v/>
      </c>
    </row>
    <row r="982" customFormat="false" ht="15" hidden="false" customHeight="false" outlineLevel="0" collapsed="false">
      <c r="A982" s="3" t="s">
        <v>436</v>
      </c>
      <c r="B982" s="3" t="s">
        <v>437</v>
      </c>
      <c r="C982" s="3" t="s">
        <v>745</v>
      </c>
      <c r="D982" s="3" t="s">
        <v>746</v>
      </c>
      <c r="E982" s="1" t="n">
        <v>20171</v>
      </c>
      <c r="F982" s="1" t="s">
        <v>303</v>
      </c>
      <c r="G982" s="1" t="s">
        <v>14</v>
      </c>
      <c r="H982" s="1" t="n">
        <v>4</v>
      </c>
      <c r="I982" s="1" t="n">
        <v>0</v>
      </c>
      <c r="J982" s="1" t="n">
        <v>20201</v>
      </c>
      <c r="L982" s="1" t="str">
        <f aca="false">IF(D981&lt;&gt;D982,D982,"")</f>
        <v/>
      </c>
      <c r="M982" s="1" t="str">
        <f aca="false">IF(F981&lt;&gt;F982,F982,"")</f>
        <v/>
      </c>
    </row>
    <row r="983" customFormat="false" ht="15" hidden="false" customHeight="false" outlineLevel="0" collapsed="false">
      <c r="A983" s="3" t="s">
        <v>438</v>
      </c>
      <c r="B983" s="3" t="s">
        <v>439</v>
      </c>
      <c r="C983" s="3" t="s">
        <v>745</v>
      </c>
      <c r="D983" s="3" t="s">
        <v>746</v>
      </c>
      <c r="E983" s="1" t="n">
        <v>20171</v>
      </c>
      <c r="F983" s="1" t="s">
        <v>303</v>
      </c>
      <c r="G983" s="1" t="s">
        <v>15</v>
      </c>
      <c r="H983" s="1" t="n">
        <v>3.5</v>
      </c>
      <c r="I983" s="1" t="n">
        <v>0</v>
      </c>
      <c r="J983" s="1" t="n">
        <v>20201</v>
      </c>
      <c r="L983" s="1" t="str">
        <f aca="false">IF(D982&lt;&gt;D983,D983,"")</f>
        <v/>
      </c>
      <c r="M983" s="1" t="str">
        <f aca="false">IF(F982&lt;&gt;F983,F983,"")</f>
        <v/>
      </c>
    </row>
    <row r="984" customFormat="false" ht="15" hidden="false" customHeight="false" outlineLevel="0" collapsed="false">
      <c r="A984" s="3" t="s">
        <v>440</v>
      </c>
      <c r="B984" s="3" t="s">
        <v>441</v>
      </c>
      <c r="C984" s="3" t="s">
        <v>745</v>
      </c>
      <c r="D984" s="3" t="s">
        <v>746</v>
      </c>
      <c r="E984" s="1" t="n">
        <v>20171</v>
      </c>
      <c r="F984" s="1" t="s">
        <v>303</v>
      </c>
      <c r="G984" s="1" t="s">
        <v>14</v>
      </c>
      <c r="H984" s="1" t="n">
        <v>4</v>
      </c>
      <c r="I984" s="1" t="n">
        <v>0</v>
      </c>
      <c r="J984" s="1" t="n">
        <v>20201</v>
      </c>
      <c r="L984" s="1" t="str">
        <f aca="false">IF(D983&lt;&gt;D984,D984,"")</f>
        <v/>
      </c>
      <c r="M984" s="1" t="str">
        <f aca="false">IF(F983&lt;&gt;F984,F984,"")</f>
        <v/>
      </c>
    </row>
    <row r="985" customFormat="false" ht="15" hidden="false" customHeight="false" outlineLevel="0" collapsed="false">
      <c r="A985" s="3" t="s">
        <v>442</v>
      </c>
      <c r="B985" s="3" t="s">
        <v>443</v>
      </c>
      <c r="C985" s="3" t="s">
        <v>745</v>
      </c>
      <c r="D985" s="3" t="s">
        <v>746</v>
      </c>
      <c r="E985" s="1" t="n">
        <v>20171</v>
      </c>
      <c r="F985" s="1" t="s">
        <v>303</v>
      </c>
      <c r="G985" s="1" t="s">
        <v>14</v>
      </c>
      <c r="H985" s="1" t="n">
        <v>4</v>
      </c>
      <c r="I985" s="1" t="n">
        <v>0</v>
      </c>
      <c r="J985" s="1" t="n">
        <v>20201</v>
      </c>
      <c r="L985" s="1" t="str">
        <f aca="false">IF(D984&lt;&gt;D985,D985,"")</f>
        <v/>
      </c>
      <c r="M985" s="1" t="str">
        <f aca="false">IF(F984&lt;&gt;F985,F985,"")</f>
        <v/>
      </c>
    </row>
    <row r="986" customFormat="false" ht="15" hidden="false" customHeight="false" outlineLevel="0" collapsed="false">
      <c r="A986" s="3" t="s">
        <v>444</v>
      </c>
      <c r="B986" s="3" t="s">
        <v>445</v>
      </c>
      <c r="C986" s="3" t="s">
        <v>745</v>
      </c>
      <c r="D986" s="3" t="s">
        <v>746</v>
      </c>
      <c r="E986" s="1" t="n">
        <v>20171</v>
      </c>
      <c r="F986" s="1" t="s">
        <v>303</v>
      </c>
      <c r="G986" s="1" t="s">
        <v>18</v>
      </c>
      <c r="H986" s="1" t="n">
        <v>3</v>
      </c>
      <c r="I986" s="1" t="n">
        <v>0</v>
      </c>
      <c r="J986" s="1" t="n">
        <v>20201</v>
      </c>
      <c r="L986" s="1" t="str">
        <f aca="false">IF(D985&lt;&gt;D986,D986,"")</f>
        <v/>
      </c>
      <c r="M986" s="1" t="str">
        <f aca="false">IF(F985&lt;&gt;F986,F986,"")</f>
        <v/>
      </c>
    </row>
    <row r="987" customFormat="false" ht="15" hidden="false" customHeight="false" outlineLevel="0" collapsed="false">
      <c r="A987" s="3" t="s">
        <v>446</v>
      </c>
      <c r="B987" s="3" t="s">
        <v>447</v>
      </c>
      <c r="C987" s="3" t="s">
        <v>745</v>
      </c>
      <c r="D987" s="3" t="s">
        <v>746</v>
      </c>
      <c r="E987" s="1" t="n">
        <v>20171</v>
      </c>
      <c r="F987" s="1" t="s">
        <v>303</v>
      </c>
      <c r="G987" s="1" t="s">
        <v>18</v>
      </c>
      <c r="H987" s="1" t="n">
        <v>3</v>
      </c>
      <c r="I987" s="1" t="n">
        <v>0</v>
      </c>
      <c r="J987" s="1" t="n">
        <v>20201</v>
      </c>
      <c r="L987" s="1" t="str">
        <f aca="false">IF(D986&lt;&gt;D987,D987,"")</f>
        <v/>
      </c>
      <c r="M987" s="1" t="str">
        <f aca="false">IF(F986&lt;&gt;F987,F987,"")</f>
        <v/>
      </c>
    </row>
    <row r="988" customFormat="false" ht="15" hidden="false" customHeight="false" outlineLevel="0" collapsed="false">
      <c r="A988" s="3" t="s">
        <v>448</v>
      </c>
      <c r="B988" s="3" t="s">
        <v>449</v>
      </c>
      <c r="C988" s="3" t="s">
        <v>745</v>
      </c>
      <c r="D988" s="3" t="s">
        <v>746</v>
      </c>
      <c r="E988" s="1" t="n">
        <v>20171</v>
      </c>
      <c r="F988" s="1" t="s">
        <v>303</v>
      </c>
      <c r="G988" s="1" t="s">
        <v>127</v>
      </c>
      <c r="H988" s="1" t="n">
        <v>2</v>
      </c>
      <c r="I988" s="1" t="n">
        <v>0</v>
      </c>
      <c r="J988" s="1" t="n">
        <v>20201</v>
      </c>
      <c r="L988" s="1" t="str">
        <f aca="false">IF(D987&lt;&gt;D988,D988,"")</f>
        <v/>
      </c>
      <c r="M988" s="1" t="str">
        <f aca="false">IF(F987&lt;&gt;F988,F988,"")</f>
        <v/>
      </c>
    </row>
    <row r="989" customFormat="false" ht="15" hidden="false" customHeight="false" outlineLevel="0" collapsed="false">
      <c r="A989" s="3" t="s">
        <v>450</v>
      </c>
      <c r="B989" s="3" t="s">
        <v>451</v>
      </c>
      <c r="C989" s="3" t="s">
        <v>745</v>
      </c>
      <c r="D989" s="3" t="s">
        <v>746</v>
      </c>
      <c r="E989" s="1" t="n">
        <v>20171</v>
      </c>
      <c r="F989" s="1" t="s">
        <v>303</v>
      </c>
      <c r="G989" s="1" t="s">
        <v>23</v>
      </c>
      <c r="H989" s="1" t="n">
        <v>0</v>
      </c>
      <c r="I989" s="1" t="n">
        <v>0</v>
      </c>
      <c r="J989" s="1" t="n">
        <v>20201</v>
      </c>
      <c r="L989" s="1" t="str">
        <f aca="false">IF(D988&lt;&gt;D989,D989,"")</f>
        <v/>
      </c>
      <c r="M989" s="1" t="str">
        <f aca="false">IF(F988&lt;&gt;F989,F989,"")</f>
        <v/>
      </c>
    </row>
    <row r="990" customFormat="false" ht="15" hidden="false" customHeight="false" outlineLevel="0" collapsed="false">
      <c r="A990" s="3" t="s">
        <v>452</v>
      </c>
      <c r="B990" s="3" t="s">
        <v>453</v>
      </c>
      <c r="C990" s="3" t="s">
        <v>745</v>
      </c>
      <c r="D990" s="3" t="s">
        <v>746</v>
      </c>
      <c r="E990" s="1" t="n">
        <v>20171</v>
      </c>
      <c r="F990" s="1" t="s">
        <v>303</v>
      </c>
      <c r="G990" s="1" t="s">
        <v>15</v>
      </c>
      <c r="H990" s="1" t="n">
        <v>3.5</v>
      </c>
      <c r="I990" s="1" t="n">
        <v>0</v>
      </c>
      <c r="J990" s="1" t="n">
        <v>20201</v>
      </c>
      <c r="L990" s="1" t="str">
        <f aca="false">IF(D989&lt;&gt;D990,D990,"")</f>
        <v/>
      </c>
      <c r="M990" s="1" t="str">
        <f aca="false">IF(F989&lt;&gt;F990,F990,"")</f>
        <v/>
      </c>
    </row>
    <row r="991" customFormat="false" ht="15" hidden="false" customHeight="false" outlineLevel="0" collapsed="false">
      <c r="A991" s="3" t="s">
        <v>454</v>
      </c>
      <c r="B991" s="3" t="s">
        <v>455</v>
      </c>
      <c r="C991" s="3" t="s">
        <v>745</v>
      </c>
      <c r="D991" s="3" t="s">
        <v>746</v>
      </c>
      <c r="E991" s="1" t="n">
        <v>20171</v>
      </c>
      <c r="F991" s="1" t="s">
        <v>303</v>
      </c>
      <c r="G991" s="1" t="s">
        <v>18</v>
      </c>
      <c r="H991" s="1" t="n">
        <v>3</v>
      </c>
      <c r="I991" s="1" t="n">
        <v>0</v>
      </c>
      <c r="J991" s="1" t="n">
        <v>20201</v>
      </c>
      <c r="L991" s="1" t="str">
        <f aca="false">IF(D990&lt;&gt;D991,D991,"")</f>
        <v/>
      </c>
      <c r="M991" s="1" t="str">
        <f aca="false">IF(F990&lt;&gt;F991,F991,"")</f>
        <v/>
      </c>
    </row>
    <row r="992" customFormat="false" ht="15" hidden="false" customHeight="false" outlineLevel="0" collapsed="false">
      <c r="A992" s="3" t="s">
        <v>456</v>
      </c>
      <c r="B992" s="3" t="s">
        <v>457</v>
      </c>
      <c r="C992" s="3" t="s">
        <v>745</v>
      </c>
      <c r="D992" s="3" t="s">
        <v>746</v>
      </c>
      <c r="E992" s="1" t="n">
        <v>20171</v>
      </c>
      <c r="F992" s="1" t="s">
        <v>303</v>
      </c>
      <c r="G992" s="1" t="s">
        <v>15</v>
      </c>
      <c r="H992" s="1" t="n">
        <v>3.5</v>
      </c>
      <c r="I992" s="1" t="n">
        <v>0</v>
      </c>
      <c r="J992" s="1" t="n">
        <v>20201</v>
      </c>
      <c r="L992" s="1" t="str">
        <f aca="false">IF(D991&lt;&gt;D992,D992,"")</f>
        <v/>
      </c>
      <c r="M992" s="1" t="str">
        <f aca="false">IF(F991&lt;&gt;F992,F992,"")</f>
        <v/>
      </c>
    </row>
    <row r="993" customFormat="false" ht="15" hidden="false" customHeight="false" outlineLevel="0" collapsed="false">
      <c r="A993" s="3" t="s">
        <v>458</v>
      </c>
      <c r="B993" s="3" t="s">
        <v>459</v>
      </c>
      <c r="C993" s="3" t="s">
        <v>745</v>
      </c>
      <c r="D993" s="3" t="s">
        <v>746</v>
      </c>
      <c r="E993" s="1" t="n">
        <v>20171</v>
      </c>
      <c r="F993" s="1" t="s">
        <v>303</v>
      </c>
      <c r="G993" s="1" t="s">
        <v>23</v>
      </c>
      <c r="H993" s="1" t="n">
        <v>0</v>
      </c>
      <c r="I993" s="1" t="n">
        <v>0</v>
      </c>
      <c r="J993" s="1" t="n">
        <v>20201</v>
      </c>
      <c r="L993" s="1" t="str">
        <f aca="false">IF(D992&lt;&gt;D993,D993,"")</f>
        <v/>
      </c>
      <c r="M993" s="1" t="str">
        <f aca="false">IF(F992&lt;&gt;F993,F993,"")</f>
        <v/>
      </c>
    </row>
    <row r="994" customFormat="false" ht="15" hidden="false" customHeight="false" outlineLevel="0" collapsed="false">
      <c r="A994" s="3" t="s">
        <v>460</v>
      </c>
      <c r="B994" s="3" t="s">
        <v>461</v>
      </c>
      <c r="C994" s="3" t="s">
        <v>745</v>
      </c>
      <c r="D994" s="3" t="s">
        <v>746</v>
      </c>
      <c r="E994" s="1" t="n">
        <v>20171</v>
      </c>
      <c r="F994" s="1" t="s">
        <v>303</v>
      </c>
      <c r="G994" s="1" t="s">
        <v>101</v>
      </c>
      <c r="H994" s="1" t="n">
        <v>2.5</v>
      </c>
      <c r="I994" s="1" t="n">
        <v>0</v>
      </c>
      <c r="J994" s="1" t="n">
        <v>20201</v>
      </c>
      <c r="L994" s="1" t="str">
        <f aca="false">IF(D993&lt;&gt;D994,D994,"")</f>
        <v/>
      </c>
      <c r="M994" s="1" t="str">
        <f aca="false">IF(F993&lt;&gt;F994,F994,"")</f>
        <v/>
      </c>
    </row>
    <row r="995" customFormat="false" ht="15" hidden="false" customHeight="false" outlineLevel="0" collapsed="false">
      <c r="A995" s="3" t="s">
        <v>462</v>
      </c>
      <c r="B995" s="3" t="s">
        <v>463</v>
      </c>
      <c r="C995" s="3" t="s">
        <v>745</v>
      </c>
      <c r="D995" s="3" t="s">
        <v>746</v>
      </c>
      <c r="E995" s="1" t="n">
        <v>20171</v>
      </c>
      <c r="F995" s="1" t="s">
        <v>303</v>
      </c>
      <c r="G995" s="1" t="s">
        <v>15</v>
      </c>
      <c r="H995" s="1" t="n">
        <v>3.5</v>
      </c>
      <c r="I995" s="1" t="n">
        <v>0</v>
      </c>
      <c r="J995" s="1" t="n">
        <v>20201</v>
      </c>
      <c r="L995" s="1" t="str">
        <f aca="false">IF(D994&lt;&gt;D995,D995,"")</f>
        <v/>
      </c>
      <c r="M995" s="1" t="str">
        <f aca="false">IF(F994&lt;&gt;F995,F995,"")</f>
        <v/>
      </c>
    </row>
    <row r="996" customFormat="false" ht="15" hidden="false" customHeight="false" outlineLevel="0" collapsed="false">
      <c r="A996" s="3" t="s">
        <v>464</v>
      </c>
      <c r="B996" s="3" t="s">
        <v>465</v>
      </c>
      <c r="C996" s="3" t="s">
        <v>745</v>
      </c>
      <c r="D996" s="3" t="s">
        <v>746</v>
      </c>
      <c r="E996" s="1" t="n">
        <v>20171</v>
      </c>
      <c r="F996" s="1" t="s">
        <v>303</v>
      </c>
      <c r="G996" s="1" t="s">
        <v>18</v>
      </c>
      <c r="H996" s="1" t="n">
        <v>3</v>
      </c>
      <c r="I996" s="1" t="n">
        <v>0</v>
      </c>
      <c r="J996" s="1" t="n">
        <v>20201</v>
      </c>
      <c r="L996" s="1" t="str">
        <f aca="false">IF(D995&lt;&gt;D996,D996,"")</f>
        <v/>
      </c>
      <c r="M996" s="1" t="str">
        <f aca="false">IF(F995&lt;&gt;F996,F996,"")</f>
        <v/>
      </c>
    </row>
    <row r="997" customFormat="false" ht="15" hidden="false" customHeight="false" outlineLevel="0" collapsed="false">
      <c r="A997" s="3" t="s">
        <v>466</v>
      </c>
      <c r="B997" s="3" t="s">
        <v>467</v>
      </c>
      <c r="C997" s="3" t="s">
        <v>745</v>
      </c>
      <c r="D997" s="3" t="s">
        <v>746</v>
      </c>
      <c r="E997" s="1" t="n">
        <v>20171</v>
      </c>
      <c r="F997" s="1" t="s">
        <v>303</v>
      </c>
      <c r="G997" s="1" t="s">
        <v>15</v>
      </c>
      <c r="H997" s="1" t="n">
        <v>3.5</v>
      </c>
      <c r="I997" s="1" t="n">
        <v>0</v>
      </c>
      <c r="J997" s="1" t="n">
        <v>20201</v>
      </c>
      <c r="L997" s="1" t="str">
        <f aca="false">IF(D996&lt;&gt;D997,D997,"")</f>
        <v/>
      </c>
      <c r="M997" s="1" t="str">
        <f aca="false">IF(F996&lt;&gt;F997,F997,"")</f>
        <v/>
      </c>
    </row>
    <row r="998" customFormat="false" ht="15" hidden="false" customHeight="false" outlineLevel="0" collapsed="false">
      <c r="A998" s="3" t="s">
        <v>468</v>
      </c>
      <c r="B998" s="3" t="s">
        <v>469</v>
      </c>
      <c r="C998" s="3" t="s">
        <v>745</v>
      </c>
      <c r="D998" s="3" t="s">
        <v>746</v>
      </c>
      <c r="E998" s="1" t="n">
        <v>20171</v>
      </c>
      <c r="F998" s="1" t="s">
        <v>303</v>
      </c>
      <c r="G998" s="1" t="s">
        <v>15</v>
      </c>
      <c r="H998" s="1" t="n">
        <v>3.5</v>
      </c>
      <c r="I998" s="1" t="n">
        <v>0</v>
      </c>
      <c r="J998" s="1" t="n">
        <v>20201</v>
      </c>
      <c r="L998" s="1" t="str">
        <f aca="false">IF(D997&lt;&gt;D998,D998,"")</f>
        <v/>
      </c>
      <c r="M998" s="1" t="str">
        <f aca="false">IF(F997&lt;&gt;F998,F998,"")</f>
        <v/>
      </c>
    </row>
    <row r="999" customFormat="false" ht="15" hidden="false" customHeight="false" outlineLevel="0" collapsed="false">
      <c r="A999" s="3" t="s">
        <v>470</v>
      </c>
      <c r="B999" s="3" t="s">
        <v>471</v>
      </c>
      <c r="C999" s="3" t="s">
        <v>745</v>
      </c>
      <c r="D999" s="3" t="s">
        <v>746</v>
      </c>
      <c r="E999" s="1" t="n">
        <v>20171</v>
      </c>
      <c r="F999" s="1" t="s">
        <v>303</v>
      </c>
      <c r="G999" s="1" t="s">
        <v>14</v>
      </c>
      <c r="H999" s="1" t="n">
        <v>4</v>
      </c>
      <c r="I999" s="1" t="n">
        <v>0</v>
      </c>
      <c r="J999" s="1" t="n">
        <v>20201</v>
      </c>
      <c r="L999" s="1" t="str">
        <f aca="false">IF(D998&lt;&gt;D999,D999,"")</f>
        <v/>
      </c>
      <c r="M999" s="1" t="str">
        <f aca="false">IF(F998&lt;&gt;F999,F999,"")</f>
        <v/>
      </c>
    </row>
    <row r="1000" customFormat="false" ht="15" hidden="false" customHeight="false" outlineLevel="0" collapsed="false">
      <c r="A1000" s="3" t="s">
        <v>472</v>
      </c>
      <c r="B1000" s="3" t="s">
        <v>473</v>
      </c>
      <c r="C1000" s="3" t="s">
        <v>745</v>
      </c>
      <c r="D1000" s="3" t="s">
        <v>746</v>
      </c>
      <c r="E1000" s="1" t="n">
        <v>20171</v>
      </c>
      <c r="F1000" s="1" t="s">
        <v>303</v>
      </c>
      <c r="G1000" s="1" t="s">
        <v>15</v>
      </c>
      <c r="H1000" s="1" t="n">
        <v>3.5</v>
      </c>
      <c r="I1000" s="1" t="n">
        <v>0</v>
      </c>
      <c r="J1000" s="1" t="n">
        <v>20201</v>
      </c>
      <c r="L1000" s="1" t="str">
        <f aca="false">IF(D999&lt;&gt;D1000,D1000,"")</f>
        <v/>
      </c>
      <c r="M1000" s="1" t="str">
        <f aca="false">IF(F999&lt;&gt;F1000,F1000,"")</f>
        <v/>
      </c>
    </row>
    <row r="1001" customFormat="false" ht="15" hidden="false" customHeight="false" outlineLevel="0" collapsed="false">
      <c r="A1001" s="3" t="s">
        <v>474</v>
      </c>
      <c r="B1001" s="3" t="s">
        <v>475</v>
      </c>
      <c r="C1001" s="3" t="s">
        <v>745</v>
      </c>
      <c r="D1001" s="3" t="s">
        <v>746</v>
      </c>
      <c r="E1001" s="1" t="n">
        <v>20171</v>
      </c>
      <c r="F1001" s="1" t="s">
        <v>303</v>
      </c>
      <c r="G1001" s="1" t="s">
        <v>18</v>
      </c>
      <c r="H1001" s="1" t="n">
        <v>3</v>
      </c>
      <c r="I1001" s="1" t="n">
        <v>0</v>
      </c>
      <c r="J1001" s="1" t="n">
        <v>20201</v>
      </c>
      <c r="L1001" s="1" t="str">
        <f aca="false">IF(D1000&lt;&gt;D1001,D1001,"")</f>
        <v/>
      </c>
      <c r="M1001" s="1" t="str">
        <f aca="false">IF(F1000&lt;&gt;F1001,F1001,"")</f>
        <v/>
      </c>
    </row>
    <row r="1002" customFormat="false" ht="15" hidden="false" customHeight="false" outlineLevel="0" collapsed="false">
      <c r="A1002" s="3" t="s">
        <v>476</v>
      </c>
      <c r="B1002" s="3" t="s">
        <v>477</v>
      </c>
      <c r="C1002" s="3" t="s">
        <v>745</v>
      </c>
      <c r="D1002" s="3" t="s">
        <v>746</v>
      </c>
      <c r="E1002" s="1" t="n">
        <v>20171</v>
      </c>
      <c r="F1002" s="1" t="s">
        <v>303</v>
      </c>
      <c r="G1002" s="1" t="s">
        <v>15</v>
      </c>
      <c r="H1002" s="1" t="n">
        <v>3.5</v>
      </c>
      <c r="I1002" s="1" t="n">
        <v>0</v>
      </c>
      <c r="J1002" s="1" t="n">
        <v>20201</v>
      </c>
      <c r="L1002" s="1" t="str">
        <f aca="false">IF(D1001&lt;&gt;D1002,D1002,"")</f>
        <v/>
      </c>
      <c r="M1002" s="1" t="str">
        <f aca="false">IF(F1001&lt;&gt;F1002,F1002,"")</f>
        <v/>
      </c>
    </row>
    <row r="1003" customFormat="false" ht="15" hidden="false" customHeight="false" outlineLevel="0" collapsed="false">
      <c r="A1003" s="3" t="s">
        <v>478</v>
      </c>
      <c r="B1003" s="3" t="s">
        <v>479</v>
      </c>
      <c r="C1003" s="3" t="s">
        <v>745</v>
      </c>
      <c r="D1003" s="3" t="s">
        <v>746</v>
      </c>
      <c r="E1003" s="1" t="n">
        <v>20171</v>
      </c>
      <c r="F1003" s="1" t="s">
        <v>303</v>
      </c>
      <c r="G1003" s="1" t="s">
        <v>18</v>
      </c>
      <c r="H1003" s="1" t="n">
        <v>3</v>
      </c>
      <c r="I1003" s="1" t="n">
        <v>0</v>
      </c>
      <c r="J1003" s="1" t="n">
        <v>20201</v>
      </c>
      <c r="L1003" s="1" t="str">
        <f aca="false">IF(D1002&lt;&gt;D1003,D1003,"")</f>
        <v/>
      </c>
      <c r="M1003" s="1" t="str">
        <f aca="false">IF(F1002&lt;&gt;F1003,F1003,"")</f>
        <v/>
      </c>
    </row>
    <row r="1004" customFormat="false" ht="15" hidden="false" customHeight="false" outlineLevel="0" collapsed="false">
      <c r="A1004" s="3" t="s">
        <v>480</v>
      </c>
      <c r="B1004" s="3" t="s">
        <v>481</v>
      </c>
      <c r="C1004" s="3" t="s">
        <v>745</v>
      </c>
      <c r="D1004" s="3" t="s">
        <v>746</v>
      </c>
      <c r="E1004" s="1" t="n">
        <v>20171</v>
      </c>
      <c r="F1004" s="1" t="s">
        <v>303</v>
      </c>
      <c r="G1004" s="1" t="s">
        <v>23</v>
      </c>
      <c r="H1004" s="1" t="n">
        <v>0</v>
      </c>
      <c r="I1004" s="1" t="n">
        <v>0</v>
      </c>
      <c r="J1004" s="1" t="n">
        <v>20201</v>
      </c>
      <c r="L1004" s="1" t="str">
        <f aca="false">IF(D1003&lt;&gt;D1004,D1004,"")</f>
        <v/>
      </c>
      <c r="M1004" s="1" t="str">
        <f aca="false">IF(F1003&lt;&gt;F1004,F1004,"")</f>
        <v/>
      </c>
    </row>
    <row r="1005" customFormat="false" ht="15" hidden="false" customHeight="false" outlineLevel="0" collapsed="false">
      <c r="A1005" s="3" t="s">
        <v>482</v>
      </c>
      <c r="B1005" s="3" t="s">
        <v>483</v>
      </c>
      <c r="C1005" s="3" t="s">
        <v>745</v>
      </c>
      <c r="D1005" s="3" t="s">
        <v>746</v>
      </c>
      <c r="E1005" s="1" t="n">
        <v>20171</v>
      </c>
      <c r="F1005" s="1" t="s">
        <v>303</v>
      </c>
      <c r="G1005" s="1" t="s">
        <v>127</v>
      </c>
      <c r="H1005" s="1" t="n">
        <v>2</v>
      </c>
      <c r="I1005" s="1" t="n">
        <v>0</v>
      </c>
      <c r="J1005" s="1" t="n">
        <v>20201</v>
      </c>
      <c r="L1005" s="1" t="str">
        <f aca="false">IF(D1004&lt;&gt;D1005,D1005,"")</f>
        <v/>
      </c>
      <c r="M1005" s="1" t="str">
        <f aca="false">IF(F1004&lt;&gt;F1005,F1005,"")</f>
        <v/>
      </c>
    </row>
    <row r="1006" customFormat="false" ht="15" hidden="false" customHeight="false" outlineLevel="0" collapsed="false">
      <c r="A1006" s="3" t="s">
        <v>484</v>
      </c>
      <c r="B1006" s="3" t="s">
        <v>485</v>
      </c>
      <c r="C1006" s="3" t="s">
        <v>745</v>
      </c>
      <c r="D1006" s="3" t="s">
        <v>746</v>
      </c>
      <c r="E1006" s="1" t="n">
        <v>20171</v>
      </c>
      <c r="F1006" s="1" t="s">
        <v>303</v>
      </c>
      <c r="G1006" s="1" t="s">
        <v>30</v>
      </c>
      <c r="H1006" s="1" t="n">
        <v>1.5</v>
      </c>
      <c r="I1006" s="1" t="n">
        <v>0</v>
      </c>
      <c r="J1006" s="1" t="n">
        <v>20201</v>
      </c>
      <c r="L1006" s="1" t="str">
        <f aca="false">IF(D1005&lt;&gt;D1006,D1006,"")</f>
        <v/>
      </c>
      <c r="M1006" s="1" t="str">
        <f aca="false">IF(F1005&lt;&gt;F1006,F1006,"")</f>
        <v/>
      </c>
    </row>
    <row r="1007" customFormat="false" ht="15" hidden="false" customHeight="false" outlineLevel="0" collapsed="false">
      <c r="A1007" s="3" t="s">
        <v>486</v>
      </c>
      <c r="B1007" s="3" t="s">
        <v>487</v>
      </c>
      <c r="C1007" s="3" t="s">
        <v>745</v>
      </c>
      <c r="D1007" s="3" t="s">
        <v>746</v>
      </c>
      <c r="E1007" s="1" t="n">
        <v>20171</v>
      </c>
      <c r="F1007" s="1" t="s">
        <v>303</v>
      </c>
      <c r="G1007" s="1" t="s">
        <v>101</v>
      </c>
      <c r="H1007" s="1" t="n">
        <v>2.5</v>
      </c>
      <c r="I1007" s="1" t="n">
        <v>0</v>
      </c>
      <c r="J1007" s="1" t="n">
        <v>20201</v>
      </c>
      <c r="L1007" s="1" t="str">
        <f aca="false">IF(D1006&lt;&gt;D1007,D1007,"")</f>
        <v/>
      </c>
      <c r="M1007" s="1" t="str">
        <f aca="false">IF(F1006&lt;&gt;F1007,F1007,"")</f>
        <v/>
      </c>
    </row>
    <row r="1008" customFormat="false" ht="15" hidden="false" customHeight="false" outlineLevel="0" collapsed="false">
      <c r="A1008" s="3" t="s">
        <v>488</v>
      </c>
      <c r="B1008" s="3" t="s">
        <v>489</v>
      </c>
      <c r="C1008" s="3" t="s">
        <v>745</v>
      </c>
      <c r="D1008" s="3" t="s">
        <v>746</v>
      </c>
      <c r="E1008" s="1" t="n">
        <v>20171</v>
      </c>
      <c r="F1008" s="1" t="s">
        <v>303</v>
      </c>
      <c r="G1008" s="1" t="s">
        <v>127</v>
      </c>
      <c r="H1008" s="1" t="n">
        <v>2</v>
      </c>
      <c r="I1008" s="1" t="n">
        <v>0</v>
      </c>
      <c r="J1008" s="1" t="n">
        <v>20201</v>
      </c>
      <c r="L1008" s="1" t="str">
        <f aca="false">IF(D1007&lt;&gt;D1008,D1008,"")</f>
        <v/>
      </c>
      <c r="M1008" s="1" t="str">
        <f aca="false">IF(F1007&lt;&gt;F1008,F1008,"")</f>
        <v/>
      </c>
    </row>
    <row r="1009" customFormat="false" ht="15" hidden="false" customHeight="false" outlineLevel="0" collapsed="false">
      <c r="A1009" s="3" t="s">
        <v>490</v>
      </c>
      <c r="B1009" s="3" t="s">
        <v>491</v>
      </c>
      <c r="C1009" s="3" t="s">
        <v>745</v>
      </c>
      <c r="D1009" s="3" t="s">
        <v>746</v>
      </c>
      <c r="E1009" s="1" t="n">
        <v>20171</v>
      </c>
      <c r="F1009" s="1" t="s">
        <v>303</v>
      </c>
      <c r="G1009" s="1" t="s">
        <v>30</v>
      </c>
      <c r="H1009" s="1" t="n">
        <v>1.5</v>
      </c>
      <c r="I1009" s="1" t="n">
        <v>0</v>
      </c>
      <c r="J1009" s="1" t="n">
        <v>20201</v>
      </c>
      <c r="L1009" s="1" t="str">
        <f aca="false">IF(D1008&lt;&gt;D1009,D1009,"")</f>
        <v/>
      </c>
      <c r="M1009" s="1" t="str">
        <f aca="false">IF(F1008&lt;&gt;F1009,F1009,"")</f>
        <v/>
      </c>
    </row>
    <row r="1010" customFormat="false" ht="15" hidden="false" customHeight="false" outlineLevel="0" collapsed="false">
      <c r="A1010" s="3" t="s">
        <v>492</v>
      </c>
      <c r="B1010" s="3" t="s">
        <v>493</v>
      </c>
      <c r="C1010" s="3" t="s">
        <v>745</v>
      </c>
      <c r="D1010" s="3" t="s">
        <v>746</v>
      </c>
      <c r="E1010" s="1" t="n">
        <v>20171</v>
      </c>
      <c r="F1010" s="1" t="s">
        <v>303</v>
      </c>
      <c r="G1010" s="1" t="s">
        <v>18</v>
      </c>
      <c r="H1010" s="1" t="n">
        <v>3</v>
      </c>
      <c r="I1010" s="1" t="n">
        <v>0</v>
      </c>
      <c r="J1010" s="1" t="n">
        <v>20201</v>
      </c>
      <c r="L1010" s="1" t="str">
        <f aca="false">IF(D1009&lt;&gt;D1010,D1010,"")</f>
        <v/>
      </c>
      <c r="M1010" s="1" t="str">
        <f aca="false">IF(F1009&lt;&gt;F1010,F1010,"")</f>
        <v/>
      </c>
    </row>
    <row r="1011" customFormat="false" ht="15" hidden="false" customHeight="false" outlineLevel="0" collapsed="false">
      <c r="A1011" s="3" t="s">
        <v>494</v>
      </c>
      <c r="B1011" s="3" t="s">
        <v>495</v>
      </c>
      <c r="C1011" s="3" t="s">
        <v>745</v>
      </c>
      <c r="D1011" s="3" t="s">
        <v>746</v>
      </c>
      <c r="E1011" s="1" t="n">
        <v>20171</v>
      </c>
      <c r="F1011" s="1" t="s">
        <v>303</v>
      </c>
      <c r="G1011" s="1" t="s">
        <v>18</v>
      </c>
      <c r="H1011" s="1" t="n">
        <v>3</v>
      </c>
      <c r="I1011" s="1" t="n">
        <v>0</v>
      </c>
      <c r="J1011" s="1" t="n">
        <v>20201</v>
      </c>
      <c r="L1011" s="1" t="str">
        <f aca="false">IF(D1010&lt;&gt;D1011,D1011,"")</f>
        <v/>
      </c>
      <c r="M1011" s="1" t="str">
        <f aca="false">IF(F1010&lt;&gt;F1011,F1011,"")</f>
        <v/>
      </c>
    </row>
    <row r="1012" customFormat="false" ht="15" hidden="false" customHeight="false" outlineLevel="0" collapsed="false">
      <c r="A1012" s="3" t="s">
        <v>496</v>
      </c>
      <c r="B1012" s="3" t="s">
        <v>497</v>
      </c>
      <c r="C1012" s="3" t="s">
        <v>745</v>
      </c>
      <c r="D1012" s="3" t="s">
        <v>746</v>
      </c>
      <c r="E1012" s="1" t="n">
        <v>20171</v>
      </c>
      <c r="F1012" s="1" t="s">
        <v>303</v>
      </c>
      <c r="G1012" s="1" t="s">
        <v>514</v>
      </c>
      <c r="H1012" s="1" t="n">
        <v>1</v>
      </c>
      <c r="I1012" s="1" t="n">
        <v>0</v>
      </c>
      <c r="J1012" s="1" t="n">
        <v>20201</v>
      </c>
      <c r="L1012" s="1" t="str">
        <f aca="false">IF(D1011&lt;&gt;D1012,D1012,"")</f>
        <v/>
      </c>
      <c r="M1012" s="1" t="str">
        <f aca="false">IF(F1011&lt;&gt;F1012,F1012,"")</f>
        <v/>
      </c>
    </row>
    <row r="1013" customFormat="false" ht="15" hidden="false" customHeight="false" outlineLevel="0" collapsed="false">
      <c r="A1013" s="3" t="s">
        <v>498</v>
      </c>
      <c r="B1013" s="3" t="s">
        <v>499</v>
      </c>
      <c r="C1013" s="3" t="s">
        <v>745</v>
      </c>
      <c r="D1013" s="3" t="s">
        <v>746</v>
      </c>
      <c r="E1013" s="1" t="n">
        <v>20171</v>
      </c>
      <c r="F1013" s="1" t="s">
        <v>303</v>
      </c>
      <c r="G1013" s="1" t="s">
        <v>127</v>
      </c>
      <c r="H1013" s="1" t="n">
        <v>2</v>
      </c>
      <c r="I1013" s="1" t="n">
        <v>0</v>
      </c>
      <c r="J1013" s="1" t="n">
        <v>20201</v>
      </c>
      <c r="L1013" s="1" t="str">
        <f aca="false">IF(D1012&lt;&gt;D1013,D1013,"")</f>
        <v/>
      </c>
      <c r="M1013" s="1" t="str">
        <f aca="false">IF(F1012&lt;&gt;F1013,F1013,"")</f>
        <v/>
      </c>
    </row>
    <row r="1014" customFormat="false" ht="15" hidden="false" customHeight="false" outlineLevel="0" collapsed="false">
      <c r="A1014" s="3" t="s">
        <v>500</v>
      </c>
      <c r="B1014" s="3" t="s">
        <v>501</v>
      </c>
      <c r="C1014" s="3" t="s">
        <v>745</v>
      </c>
      <c r="D1014" s="3" t="s">
        <v>746</v>
      </c>
      <c r="E1014" s="1" t="n">
        <v>20171</v>
      </c>
      <c r="F1014" s="1" t="s">
        <v>303</v>
      </c>
      <c r="G1014" s="1" t="s">
        <v>30</v>
      </c>
      <c r="H1014" s="1" t="n">
        <v>1.5</v>
      </c>
      <c r="I1014" s="1" t="n">
        <v>0</v>
      </c>
      <c r="J1014" s="1" t="n">
        <v>20201</v>
      </c>
      <c r="L1014" s="1" t="str">
        <f aca="false">IF(D1013&lt;&gt;D1014,D1014,"")</f>
        <v/>
      </c>
      <c r="M1014" s="1" t="str">
        <f aca="false">IF(F1013&lt;&gt;F1014,F1014,"")</f>
        <v/>
      </c>
    </row>
    <row r="1015" customFormat="false" ht="15" hidden="false" customHeight="false" outlineLevel="0" collapsed="false">
      <c r="A1015" s="3" t="s">
        <v>502</v>
      </c>
      <c r="B1015" s="3" t="s">
        <v>503</v>
      </c>
      <c r="C1015" s="3" t="s">
        <v>745</v>
      </c>
      <c r="D1015" s="3" t="s">
        <v>746</v>
      </c>
      <c r="E1015" s="1" t="n">
        <v>20171</v>
      </c>
      <c r="F1015" s="1" t="s">
        <v>303</v>
      </c>
      <c r="G1015" s="1" t="s">
        <v>15</v>
      </c>
      <c r="H1015" s="1" t="n">
        <v>3.5</v>
      </c>
      <c r="I1015" s="1" t="n">
        <v>0</v>
      </c>
      <c r="J1015" s="1" t="n">
        <v>20201</v>
      </c>
      <c r="L1015" s="1" t="str">
        <f aca="false">IF(D1014&lt;&gt;D1015,D1015,"")</f>
        <v/>
      </c>
      <c r="M1015" s="1" t="str">
        <f aca="false">IF(F1014&lt;&gt;F1015,F1015,"")</f>
        <v/>
      </c>
    </row>
    <row r="1016" customFormat="false" ht="15" hidden="false" customHeight="false" outlineLevel="0" collapsed="false">
      <c r="A1016" s="3" t="s">
        <v>504</v>
      </c>
      <c r="B1016" s="3" t="s">
        <v>505</v>
      </c>
      <c r="C1016" s="3" t="s">
        <v>745</v>
      </c>
      <c r="D1016" s="3" t="s">
        <v>746</v>
      </c>
      <c r="E1016" s="1" t="n">
        <v>20171</v>
      </c>
      <c r="F1016" s="1" t="s">
        <v>303</v>
      </c>
      <c r="G1016" s="1" t="s">
        <v>18</v>
      </c>
      <c r="H1016" s="1" t="n">
        <v>3</v>
      </c>
      <c r="I1016" s="1" t="n">
        <v>0</v>
      </c>
      <c r="J1016" s="1" t="n">
        <v>20201</v>
      </c>
      <c r="L1016" s="1" t="str">
        <f aca="false">IF(D1015&lt;&gt;D1016,D1016,"")</f>
        <v/>
      </c>
      <c r="M1016" s="1" t="str">
        <f aca="false">IF(F1015&lt;&gt;F1016,F1016,"")</f>
        <v/>
      </c>
    </row>
    <row r="1017" customFormat="false" ht="15" hidden="false" customHeight="false" outlineLevel="0" collapsed="false">
      <c r="A1017" s="3" t="s">
        <v>506</v>
      </c>
      <c r="B1017" s="3" t="s">
        <v>507</v>
      </c>
      <c r="C1017" s="3" t="s">
        <v>745</v>
      </c>
      <c r="D1017" s="3" t="s">
        <v>746</v>
      </c>
      <c r="E1017" s="1" t="n">
        <v>20171</v>
      </c>
      <c r="F1017" s="1" t="s">
        <v>303</v>
      </c>
      <c r="G1017" s="1" t="s">
        <v>101</v>
      </c>
      <c r="H1017" s="1" t="n">
        <v>2.5</v>
      </c>
      <c r="I1017" s="1" t="n">
        <v>0</v>
      </c>
      <c r="J1017" s="1" t="n">
        <v>20201</v>
      </c>
      <c r="L1017" s="1" t="str">
        <f aca="false">IF(D1016&lt;&gt;D1017,D1017,"")</f>
        <v/>
      </c>
      <c r="M1017" s="1" t="str">
        <f aca="false">IF(F1016&lt;&gt;F1017,F1017,"")</f>
        <v/>
      </c>
    </row>
    <row r="1018" customFormat="false" ht="15" hidden="false" customHeight="false" outlineLevel="0" collapsed="false">
      <c r="A1018" s="3" t="s">
        <v>508</v>
      </c>
      <c r="B1018" s="3" t="s">
        <v>509</v>
      </c>
      <c r="C1018" s="3" t="s">
        <v>745</v>
      </c>
      <c r="D1018" s="3" t="s">
        <v>746</v>
      </c>
      <c r="E1018" s="1" t="n">
        <v>20171</v>
      </c>
      <c r="F1018" s="1" t="s">
        <v>303</v>
      </c>
      <c r="G1018" s="1" t="s">
        <v>127</v>
      </c>
      <c r="H1018" s="1" t="n">
        <v>2</v>
      </c>
      <c r="I1018" s="1" t="n">
        <v>0</v>
      </c>
      <c r="J1018" s="1" t="n">
        <v>20201</v>
      </c>
      <c r="L1018" s="1" t="str">
        <f aca="false">IF(D1017&lt;&gt;D1018,D1018,"")</f>
        <v/>
      </c>
      <c r="M1018" s="1" t="str">
        <f aca="false">IF(F1017&lt;&gt;F1018,F1018,"")</f>
        <v/>
      </c>
    </row>
    <row r="1019" customFormat="false" ht="15" hidden="false" customHeight="false" outlineLevel="0" collapsed="false">
      <c r="A1019" s="3" t="s">
        <v>551</v>
      </c>
      <c r="B1019" s="3" t="s">
        <v>552</v>
      </c>
      <c r="C1019" s="3" t="s">
        <v>745</v>
      </c>
      <c r="D1019" s="3" t="s">
        <v>746</v>
      </c>
      <c r="E1019" s="1" t="n">
        <v>20171</v>
      </c>
      <c r="F1019" s="1" t="s">
        <v>303</v>
      </c>
      <c r="G1019" s="1" t="s">
        <v>18</v>
      </c>
      <c r="H1019" s="1" t="n">
        <v>3</v>
      </c>
      <c r="I1019" s="1" t="n">
        <v>0</v>
      </c>
      <c r="J1019" s="1" t="n">
        <v>20201</v>
      </c>
      <c r="L1019" s="1" t="str">
        <f aca="false">IF(D1018&lt;&gt;D1019,D1019,"")</f>
        <v/>
      </c>
      <c r="M1019" s="1" t="str">
        <f aca="false">IF(F1018&lt;&gt;F1019,F1019,"")</f>
        <v/>
      </c>
    </row>
    <row r="1020" customFormat="false" ht="15" hidden="false" customHeight="false" outlineLevel="0" collapsed="false">
      <c r="A1020" s="3" t="s">
        <v>731</v>
      </c>
      <c r="B1020" s="3" t="s">
        <v>732</v>
      </c>
      <c r="C1020" s="3" t="s">
        <v>753</v>
      </c>
      <c r="D1020" s="3" t="s">
        <v>754</v>
      </c>
      <c r="E1020" s="1" t="n">
        <v>20171</v>
      </c>
      <c r="F1020" s="1" t="s">
        <v>208</v>
      </c>
      <c r="G1020" s="1" t="s">
        <v>18</v>
      </c>
      <c r="H1020" s="1" t="n">
        <v>3</v>
      </c>
      <c r="I1020" s="1" t="n">
        <v>0</v>
      </c>
      <c r="J1020" s="1" t="n">
        <v>20201</v>
      </c>
      <c r="L1020" s="1" t="str">
        <f aca="false">IF(D1019&lt;&gt;D1020,D1020,"")</f>
        <v>GEJALA MEDAN TINGGI</v>
      </c>
      <c r="M1020" s="1" t="str">
        <f aca="false">IF(F1019&lt;&gt;F1020,F1020,"")</f>
        <v>P</v>
      </c>
    </row>
    <row r="1021" customFormat="false" ht="15" hidden="false" customHeight="false" outlineLevel="0" collapsed="false">
      <c r="A1021" s="3" t="s">
        <v>733</v>
      </c>
      <c r="B1021" s="3" t="s">
        <v>734</v>
      </c>
      <c r="C1021" s="3" t="s">
        <v>753</v>
      </c>
      <c r="D1021" s="3" t="s">
        <v>754</v>
      </c>
      <c r="E1021" s="1" t="n">
        <v>20171</v>
      </c>
      <c r="F1021" s="1" t="s">
        <v>208</v>
      </c>
      <c r="G1021" s="1" t="s">
        <v>15</v>
      </c>
      <c r="H1021" s="1" t="n">
        <v>3.5</v>
      </c>
      <c r="I1021" s="1" t="n">
        <v>0</v>
      </c>
      <c r="J1021" s="1" t="n">
        <v>20201</v>
      </c>
      <c r="L1021" s="1" t="str">
        <f aca="false">IF(D1020&lt;&gt;D1021,D1021,"")</f>
        <v/>
      </c>
      <c r="M1021" s="1" t="str">
        <f aca="false">IF(F1020&lt;&gt;F1021,F1021,"")</f>
        <v/>
      </c>
    </row>
    <row r="1022" customFormat="false" ht="15" hidden="false" customHeight="false" outlineLevel="0" collapsed="false">
      <c r="A1022" s="3" t="s">
        <v>651</v>
      </c>
      <c r="B1022" s="3" t="s">
        <v>652</v>
      </c>
      <c r="C1022" s="3" t="s">
        <v>753</v>
      </c>
      <c r="D1022" s="3" t="s">
        <v>754</v>
      </c>
      <c r="E1022" s="1" t="n">
        <v>20171</v>
      </c>
      <c r="F1022" s="1" t="s">
        <v>208</v>
      </c>
      <c r="G1022" s="1" t="s">
        <v>15</v>
      </c>
      <c r="H1022" s="1" t="n">
        <v>3.5</v>
      </c>
      <c r="I1022" s="1" t="n">
        <v>0</v>
      </c>
      <c r="J1022" s="1" t="n">
        <v>20201</v>
      </c>
      <c r="L1022" s="1" t="str">
        <f aca="false">IF(D1021&lt;&gt;D1022,D1022,"")</f>
        <v/>
      </c>
      <c r="M1022" s="1" t="str">
        <f aca="false">IF(F1021&lt;&gt;F1022,F1022,"")</f>
        <v/>
      </c>
    </row>
    <row r="1023" customFormat="false" ht="15" hidden="false" customHeight="false" outlineLevel="0" collapsed="false">
      <c r="A1023" s="3" t="s">
        <v>755</v>
      </c>
      <c r="B1023" s="3" t="s">
        <v>756</v>
      </c>
      <c r="C1023" s="3" t="s">
        <v>753</v>
      </c>
      <c r="D1023" s="3" t="s">
        <v>754</v>
      </c>
      <c r="E1023" s="1" t="n">
        <v>20171</v>
      </c>
      <c r="F1023" s="1" t="s">
        <v>208</v>
      </c>
      <c r="G1023" s="1" t="s">
        <v>15</v>
      </c>
      <c r="H1023" s="1" t="n">
        <v>3.5</v>
      </c>
      <c r="I1023" s="1" t="n">
        <v>0</v>
      </c>
      <c r="J1023" s="1" t="n">
        <v>20201</v>
      </c>
      <c r="L1023" s="1" t="str">
        <f aca="false">IF(D1022&lt;&gt;D1023,D1023,"")</f>
        <v/>
      </c>
      <c r="M1023" s="1" t="str">
        <f aca="false">IF(F1022&lt;&gt;F1023,F1023,"")</f>
        <v/>
      </c>
    </row>
    <row r="1024" customFormat="false" ht="15" hidden="false" customHeight="false" outlineLevel="0" collapsed="false">
      <c r="A1024" s="3" t="s">
        <v>601</v>
      </c>
      <c r="B1024" s="3" t="s">
        <v>602</v>
      </c>
      <c r="C1024" s="3" t="s">
        <v>753</v>
      </c>
      <c r="D1024" s="3" t="s">
        <v>754</v>
      </c>
      <c r="E1024" s="1" t="n">
        <v>20171</v>
      </c>
      <c r="F1024" s="1" t="s">
        <v>208</v>
      </c>
      <c r="G1024" s="1" t="s">
        <v>15</v>
      </c>
      <c r="H1024" s="1" t="n">
        <v>3.5</v>
      </c>
      <c r="I1024" s="1" t="n">
        <v>0</v>
      </c>
      <c r="J1024" s="1" t="n">
        <v>20201</v>
      </c>
      <c r="L1024" s="1" t="str">
        <f aca="false">IF(D1023&lt;&gt;D1024,D1024,"")</f>
        <v/>
      </c>
      <c r="M1024" s="1" t="str">
        <f aca="false">IF(F1023&lt;&gt;F1024,F1024,"")</f>
        <v/>
      </c>
    </row>
    <row r="1025" customFormat="false" ht="15" hidden="false" customHeight="false" outlineLevel="0" collapsed="false">
      <c r="A1025" s="3" t="s">
        <v>737</v>
      </c>
      <c r="B1025" s="3" t="s">
        <v>738</v>
      </c>
      <c r="C1025" s="3" t="s">
        <v>753</v>
      </c>
      <c r="D1025" s="3" t="s">
        <v>754</v>
      </c>
      <c r="E1025" s="1" t="n">
        <v>20171</v>
      </c>
      <c r="F1025" s="1" t="s">
        <v>208</v>
      </c>
      <c r="G1025" s="1" t="s">
        <v>14</v>
      </c>
      <c r="H1025" s="1" t="n">
        <v>4</v>
      </c>
      <c r="I1025" s="1" t="n">
        <v>0</v>
      </c>
      <c r="J1025" s="1" t="n">
        <v>20201</v>
      </c>
      <c r="L1025" s="1" t="str">
        <f aca="false">IF(D1024&lt;&gt;D1025,D1025,"")</f>
        <v/>
      </c>
      <c r="M1025" s="1" t="str">
        <f aca="false">IF(F1024&lt;&gt;F1025,F1025,"")</f>
        <v/>
      </c>
    </row>
    <row r="1026" customFormat="false" ht="15" hidden="false" customHeight="false" outlineLevel="0" collapsed="false">
      <c r="A1026" s="3" t="s">
        <v>739</v>
      </c>
      <c r="B1026" s="3" t="s">
        <v>740</v>
      </c>
      <c r="C1026" s="3" t="s">
        <v>753</v>
      </c>
      <c r="D1026" s="3" t="s">
        <v>754</v>
      </c>
      <c r="E1026" s="1" t="n">
        <v>20171</v>
      </c>
      <c r="F1026" s="1" t="s">
        <v>208</v>
      </c>
      <c r="G1026" s="1" t="s">
        <v>18</v>
      </c>
      <c r="H1026" s="1" t="n">
        <v>3</v>
      </c>
      <c r="I1026" s="1" t="n">
        <v>0</v>
      </c>
      <c r="J1026" s="1" t="n">
        <v>20201</v>
      </c>
      <c r="L1026" s="1" t="str">
        <f aca="false">IF(D1025&lt;&gt;D1026,D1026,"")</f>
        <v/>
      </c>
      <c r="M1026" s="1" t="str">
        <f aca="false">IF(F1025&lt;&gt;F1026,F1026,"")</f>
        <v/>
      </c>
    </row>
    <row r="1027" customFormat="false" ht="15" hidden="false" customHeight="false" outlineLevel="0" collapsed="false">
      <c r="A1027" s="3" t="s">
        <v>211</v>
      </c>
      <c r="B1027" s="3" t="s">
        <v>212</v>
      </c>
      <c r="C1027" s="3" t="s">
        <v>753</v>
      </c>
      <c r="D1027" s="3" t="s">
        <v>754</v>
      </c>
      <c r="E1027" s="1" t="n">
        <v>20171</v>
      </c>
      <c r="F1027" s="1" t="s">
        <v>208</v>
      </c>
      <c r="G1027" s="1" t="s">
        <v>15</v>
      </c>
      <c r="H1027" s="1" t="n">
        <v>3.5</v>
      </c>
      <c r="I1027" s="1" t="n">
        <v>0</v>
      </c>
      <c r="J1027" s="1" t="n">
        <v>20201</v>
      </c>
      <c r="L1027" s="1" t="str">
        <f aca="false">IF(D1026&lt;&gt;D1027,D1027,"")</f>
        <v/>
      </c>
      <c r="M1027" s="1" t="str">
        <f aca="false">IF(F1026&lt;&gt;F1027,F1027,"")</f>
        <v/>
      </c>
    </row>
    <row r="1028" customFormat="false" ht="15" hidden="false" customHeight="false" outlineLevel="0" collapsed="false">
      <c r="A1028" s="3" t="s">
        <v>213</v>
      </c>
      <c r="B1028" s="3" t="s">
        <v>214</v>
      </c>
      <c r="C1028" s="3" t="s">
        <v>753</v>
      </c>
      <c r="D1028" s="3" t="s">
        <v>754</v>
      </c>
      <c r="E1028" s="1" t="n">
        <v>20171</v>
      </c>
      <c r="F1028" s="1" t="s">
        <v>208</v>
      </c>
      <c r="G1028" s="1" t="s">
        <v>15</v>
      </c>
      <c r="H1028" s="1" t="n">
        <v>3.5</v>
      </c>
      <c r="I1028" s="1" t="n">
        <v>0</v>
      </c>
      <c r="J1028" s="1" t="n">
        <v>20201</v>
      </c>
      <c r="L1028" s="1" t="str">
        <f aca="false">IF(D1027&lt;&gt;D1028,D1028,"")</f>
        <v/>
      </c>
      <c r="M1028" s="1" t="str">
        <f aca="false">IF(F1027&lt;&gt;F1028,F1028,"")</f>
        <v/>
      </c>
    </row>
    <row r="1029" customFormat="false" ht="15" hidden="false" customHeight="false" outlineLevel="0" collapsed="false">
      <c r="A1029" s="3" t="s">
        <v>215</v>
      </c>
      <c r="B1029" s="3" t="s">
        <v>216</v>
      </c>
      <c r="C1029" s="3" t="s">
        <v>753</v>
      </c>
      <c r="D1029" s="3" t="s">
        <v>754</v>
      </c>
      <c r="E1029" s="1" t="n">
        <v>20171</v>
      </c>
      <c r="F1029" s="1" t="s">
        <v>208</v>
      </c>
      <c r="G1029" s="1" t="s">
        <v>18</v>
      </c>
      <c r="H1029" s="1" t="n">
        <v>3</v>
      </c>
      <c r="I1029" s="1" t="n">
        <v>0</v>
      </c>
      <c r="J1029" s="1" t="n">
        <v>20201</v>
      </c>
      <c r="L1029" s="1" t="str">
        <f aca="false">IF(D1028&lt;&gt;D1029,D1029,"")</f>
        <v/>
      </c>
      <c r="M1029" s="1" t="str">
        <f aca="false">IF(F1028&lt;&gt;F1029,F1029,"")</f>
        <v/>
      </c>
    </row>
    <row r="1030" customFormat="false" ht="15" hidden="false" customHeight="false" outlineLevel="0" collapsed="false">
      <c r="A1030" s="3" t="s">
        <v>217</v>
      </c>
      <c r="B1030" s="3" t="s">
        <v>218</v>
      </c>
      <c r="C1030" s="3" t="s">
        <v>753</v>
      </c>
      <c r="D1030" s="3" t="s">
        <v>754</v>
      </c>
      <c r="E1030" s="1" t="n">
        <v>20171</v>
      </c>
      <c r="F1030" s="1" t="s">
        <v>208</v>
      </c>
      <c r="G1030" s="1" t="s">
        <v>15</v>
      </c>
      <c r="H1030" s="1" t="n">
        <v>3.5</v>
      </c>
      <c r="I1030" s="1" t="n">
        <v>0</v>
      </c>
      <c r="J1030" s="1" t="n">
        <v>20201</v>
      </c>
      <c r="L1030" s="1" t="str">
        <f aca="false">IF(D1029&lt;&gt;D1030,D1030,"")</f>
        <v/>
      </c>
      <c r="M1030" s="1" t="str">
        <f aca="false">IF(F1029&lt;&gt;F1030,F1030,"")</f>
        <v/>
      </c>
    </row>
    <row r="1031" customFormat="false" ht="15" hidden="false" customHeight="false" outlineLevel="0" collapsed="false">
      <c r="A1031" s="3" t="s">
        <v>223</v>
      </c>
      <c r="B1031" s="3" t="s">
        <v>224</v>
      </c>
      <c r="C1031" s="3" t="s">
        <v>753</v>
      </c>
      <c r="D1031" s="3" t="s">
        <v>754</v>
      </c>
      <c r="E1031" s="1" t="n">
        <v>20171</v>
      </c>
      <c r="F1031" s="1" t="s">
        <v>208</v>
      </c>
      <c r="G1031" s="1" t="s">
        <v>18</v>
      </c>
      <c r="H1031" s="1" t="n">
        <v>3</v>
      </c>
      <c r="I1031" s="1" t="n">
        <v>0</v>
      </c>
      <c r="J1031" s="1" t="n">
        <v>20201</v>
      </c>
      <c r="L1031" s="1" t="str">
        <f aca="false">IF(D1030&lt;&gt;D1031,D1031,"")</f>
        <v/>
      </c>
      <c r="M1031" s="1" t="str">
        <f aca="false">IF(F1030&lt;&gt;F1031,F1031,"")</f>
        <v/>
      </c>
    </row>
    <row r="1032" customFormat="false" ht="15" hidden="false" customHeight="false" outlineLevel="0" collapsed="false">
      <c r="A1032" s="3" t="s">
        <v>229</v>
      </c>
      <c r="B1032" s="3" t="s">
        <v>230</v>
      </c>
      <c r="C1032" s="3" t="s">
        <v>753</v>
      </c>
      <c r="D1032" s="3" t="s">
        <v>754</v>
      </c>
      <c r="E1032" s="1" t="n">
        <v>20171</v>
      </c>
      <c r="F1032" s="1" t="s">
        <v>208</v>
      </c>
      <c r="G1032" s="1" t="s">
        <v>15</v>
      </c>
      <c r="H1032" s="1" t="n">
        <v>3.5</v>
      </c>
      <c r="I1032" s="1" t="n">
        <v>0</v>
      </c>
      <c r="J1032" s="1" t="n">
        <v>20201</v>
      </c>
      <c r="L1032" s="1" t="str">
        <f aca="false">IF(D1031&lt;&gt;D1032,D1032,"")</f>
        <v/>
      </c>
      <c r="M1032" s="1" t="str">
        <f aca="false">IF(F1031&lt;&gt;F1032,F1032,"")</f>
        <v/>
      </c>
    </row>
    <row r="1033" customFormat="false" ht="15" hidden="false" customHeight="false" outlineLevel="0" collapsed="false">
      <c r="A1033" s="3" t="s">
        <v>231</v>
      </c>
      <c r="B1033" s="3" t="s">
        <v>232</v>
      </c>
      <c r="C1033" s="3" t="s">
        <v>753</v>
      </c>
      <c r="D1033" s="3" t="s">
        <v>754</v>
      </c>
      <c r="E1033" s="1" t="n">
        <v>20171</v>
      </c>
      <c r="F1033" s="1" t="s">
        <v>208</v>
      </c>
      <c r="G1033" s="1" t="s">
        <v>18</v>
      </c>
      <c r="H1033" s="1" t="n">
        <v>3</v>
      </c>
      <c r="I1033" s="1" t="n">
        <v>0</v>
      </c>
      <c r="J1033" s="1" t="n">
        <v>20201</v>
      </c>
      <c r="L1033" s="1" t="str">
        <f aca="false">IF(D1032&lt;&gt;D1033,D1033,"")</f>
        <v/>
      </c>
      <c r="M1033" s="1" t="str">
        <f aca="false">IF(F1032&lt;&gt;F1033,F1033,"")</f>
        <v/>
      </c>
    </row>
    <row r="1034" customFormat="false" ht="15" hidden="false" customHeight="false" outlineLevel="0" collapsed="false">
      <c r="A1034" s="3" t="s">
        <v>233</v>
      </c>
      <c r="B1034" s="3" t="s">
        <v>234</v>
      </c>
      <c r="C1034" s="3" t="s">
        <v>753</v>
      </c>
      <c r="D1034" s="3" t="s">
        <v>754</v>
      </c>
      <c r="E1034" s="1" t="n">
        <v>20171</v>
      </c>
      <c r="F1034" s="1" t="s">
        <v>208</v>
      </c>
      <c r="G1034" s="1" t="s">
        <v>14</v>
      </c>
      <c r="H1034" s="1" t="n">
        <v>4</v>
      </c>
      <c r="I1034" s="1" t="n">
        <v>0</v>
      </c>
      <c r="J1034" s="1" t="n">
        <v>20201</v>
      </c>
      <c r="L1034" s="1" t="str">
        <f aca="false">IF(D1033&lt;&gt;D1034,D1034,"")</f>
        <v/>
      </c>
      <c r="M1034" s="1" t="str">
        <f aca="false">IF(F1033&lt;&gt;F1034,F1034,"")</f>
        <v/>
      </c>
    </row>
    <row r="1035" customFormat="false" ht="15" hidden="false" customHeight="false" outlineLevel="0" collapsed="false">
      <c r="A1035" s="3" t="s">
        <v>235</v>
      </c>
      <c r="B1035" s="3" t="s">
        <v>236</v>
      </c>
      <c r="C1035" s="3" t="s">
        <v>753</v>
      </c>
      <c r="D1035" s="3" t="s">
        <v>754</v>
      </c>
      <c r="E1035" s="1" t="n">
        <v>20171</v>
      </c>
      <c r="F1035" s="1" t="s">
        <v>208</v>
      </c>
      <c r="G1035" s="1" t="s">
        <v>14</v>
      </c>
      <c r="H1035" s="1" t="n">
        <v>4</v>
      </c>
      <c r="I1035" s="1" t="n">
        <v>0</v>
      </c>
      <c r="J1035" s="1" t="n">
        <v>20201</v>
      </c>
      <c r="L1035" s="1" t="str">
        <f aca="false">IF(D1034&lt;&gt;D1035,D1035,"")</f>
        <v/>
      </c>
      <c r="M1035" s="1" t="str">
        <f aca="false">IF(F1034&lt;&gt;F1035,F1035,"")</f>
        <v/>
      </c>
    </row>
    <row r="1036" customFormat="false" ht="15" hidden="false" customHeight="false" outlineLevel="0" collapsed="false">
      <c r="A1036" s="3" t="s">
        <v>237</v>
      </c>
      <c r="B1036" s="3" t="s">
        <v>238</v>
      </c>
      <c r="C1036" s="3" t="s">
        <v>753</v>
      </c>
      <c r="D1036" s="3" t="s">
        <v>754</v>
      </c>
      <c r="E1036" s="1" t="n">
        <v>20171</v>
      </c>
      <c r="F1036" s="1" t="s">
        <v>208</v>
      </c>
      <c r="G1036" s="1" t="s">
        <v>15</v>
      </c>
      <c r="H1036" s="1" t="n">
        <v>3.5</v>
      </c>
      <c r="I1036" s="1" t="n">
        <v>0</v>
      </c>
      <c r="J1036" s="1" t="n">
        <v>20201</v>
      </c>
      <c r="L1036" s="1" t="str">
        <f aca="false">IF(D1035&lt;&gt;D1036,D1036,"")</f>
        <v/>
      </c>
      <c r="M1036" s="1" t="str">
        <f aca="false">IF(F1035&lt;&gt;F1036,F1036,"")</f>
        <v/>
      </c>
    </row>
    <row r="1037" customFormat="false" ht="15" hidden="false" customHeight="false" outlineLevel="0" collapsed="false">
      <c r="A1037" s="3" t="s">
        <v>239</v>
      </c>
      <c r="B1037" s="3" t="s">
        <v>240</v>
      </c>
      <c r="C1037" s="3" t="s">
        <v>753</v>
      </c>
      <c r="D1037" s="3" t="s">
        <v>754</v>
      </c>
      <c r="E1037" s="1" t="n">
        <v>20171</v>
      </c>
      <c r="F1037" s="1" t="s">
        <v>208</v>
      </c>
      <c r="G1037" s="1" t="s">
        <v>15</v>
      </c>
      <c r="H1037" s="1" t="n">
        <v>3.5</v>
      </c>
      <c r="I1037" s="1" t="n">
        <v>0</v>
      </c>
      <c r="J1037" s="1" t="n">
        <v>20201</v>
      </c>
      <c r="L1037" s="1" t="str">
        <f aca="false">IF(D1036&lt;&gt;D1037,D1037,"")</f>
        <v/>
      </c>
      <c r="M1037" s="1" t="str">
        <f aca="false">IF(F1036&lt;&gt;F1037,F1037,"")</f>
        <v/>
      </c>
    </row>
    <row r="1038" customFormat="false" ht="15" hidden="false" customHeight="false" outlineLevel="0" collapsed="false">
      <c r="A1038" s="3" t="s">
        <v>241</v>
      </c>
      <c r="B1038" s="3" t="s">
        <v>242</v>
      </c>
      <c r="C1038" s="3" t="s">
        <v>753</v>
      </c>
      <c r="D1038" s="3" t="s">
        <v>754</v>
      </c>
      <c r="E1038" s="1" t="n">
        <v>20171</v>
      </c>
      <c r="F1038" s="1" t="s">
        <v>208</v>
      </c>
      <c r="G1038" s="1" t="s">
        <v>15</v>
      </c>
      <c r="H1038" s="1" t="n">
        <v>3.5</v>
      </c>
      <c r="I1038" s="1" t="n">
        <v>0</v>
      </c>
      <c r="J1038" s="1" t="n">
        <v>20201</v>
      </c>
      <c r="L1038" s="1" t="str">
        <f aca="false">IF(D1037&lt;&gt;D1038,D1038,"")</f>
        <v/>
      </c>
      <c r="M1038" s="1" t="str">
        <f aca="false">IF(F1037&lt;&gt;F1038,F1038,"")</f>
        <v/>
      </c>
    </row>
    <row r="1039" customFormat="false" ht="15" hidden="false" customHeight="false" outlineLevel="0" collapsed="false">
      <c r="A1039" s="3" t="s">
        <v>243</v>
      </c>
      <c r="B1039" s="3" t="s">
        <v>244</v>
      </c>
      <c r="C1039" s="3" t="s">
        <v>753</v>
      </c>
      <c r="D1039" s="3" t="s">
        <v>754</v>
      </c>
      <c r="E1039" s="1" t="n">
        <v>20171</v>
      </c>
      <c r="F1039" s="1" t="s">
        <v>208</v>
      </c>
      <c r="G1039" s="1" t="s">
        <v>15</v>
      </c>
      <c r="H1039" s="1" t="n">
        <v>3.5</v>
      </c>
      <c r="I1039" s="1" t="n">
        <v>0</v>
      </c>
      <c r="J1039" s="1" t="n">
        <v>20201</v>
      </c>
      <c r="L1039" s="1" t="str">
        <f aca="false">IF(D1038&lt;&gt;D1039,D1039,"")</f>
        <v/>
      </c>
      <c r="M1039" s="1" t="str">
        <f aca="false">IF(F1038&lt;&gt;F1039,F1039,"")</f>
        <v/>
      </c>
    </row>
    <row r="1040" customFormat="false" ht="15" hidden="false" customHeight="false" outlineLevel="0" collapsed="false">
      <c r="A1040" s="3" t="s">
        <v>245</v>
      </c>
      <c r="B1040" s="3" t="s">
        <v>246</v>
      </c>
      <c r="C1040" s="3" t="s">
        <v>753</v>
      </c>
      <c r="D1040" s="3" t="s">
        <v>754</v>
      </c>
      <c r="E1040" s="1" t="n">
        <v>20171</v>
      </c>
      <c r="F1040" s="1" t="s">
        <v>208</v>
      </c>
      <c r="G1040" s="1" t="s">
        <v>15</v>
      </c>
      <c r="H1040" s="1" t="n">
        <v>3.5</v>
      </c>
      <c r="I1040" s="1" t="n">
        <v>0</v>
      </c>
      <c r="J1040" s="1" t="n">
        <v>20201</v>
      </c>
      <c r="L1040" s="1" t="str">
        <f aca="false">IF(D1039&lt;&gt;D1040,D1040,"")</f>
        <v/>
      </c>
      <c r="M1040" s="1" t="str">
        <f aca="false">IF(F1039&lt;&gt;F1040,F1040,"")</f>
        <v/>
      </c>
    </row>
    <row r="1041" customFormat="false" ht="15" hidden="false" customHeight="false" outlineLevel="0" collapsed="false">
      <c r="A1041" s="3" t="s">
        <v>247</v>
      </c>
      <c r="B1041" s="3" t="s">
        <v>248</v>
      </c>
      <c r="C1041" s="3" t="s">
        <v>753</v>
      </c>
      <c r="D1041" s="3" t="s">
        <v>754</v>
      </c>
      <c r="E1041" s="1" t="n">
        <v>20171</v>
      </c>
      <c r="F1041" s="1" t="s">
        <v>208</v>
      </c>
      <c r="G1041" s="1" t="s">
        <v>18</v>
      </c>
      <c r="H1041" s="1" t="n">
        <v>3</v>
      </c>
      <c r="I1041" s="1" t="n">
        <v>0</v>
      </c>
      <c r="J1041" s="1" t="n">
        <v>20201</v>
      </c>
      <c r="L1041" s="1" t="str">
        <f aca="false">IF(D1040&lt;&gt;D1041,D1041,"")</f>
        <v/>
      </c>
      <c r="M1041" s="1" t="str">
        <f aca="false">IF(F1040&lt;&gt;F1041,F1041,"")</f>
        <v/>
      </c>
    </row>
    <row r="1042" customFormat="false" ht="15" hidden="false" customHeight="false" outlineLevel="0" collapsed="false">
      <c r="A1042" s="3" t="s">
        <v>249</v>
      </c>
      <c r="B1042" s="3" t="s">
        <v>250</v>
      </c>
      <c r="C1042" s="3" t="s">
        <v>753</v>
      </c>
      <c r="D1042" s="3" t="s">
        <v>754</v>
      </c>
      <c r="E1042" s="1" t="n">
        <v>20171</v>
      </c>
      <c r="F1042" s="1" t="s">
        <v>208</v>
      </c>
      <c r="G1042" s="1" t="s">
        <v>15</v>
      </c>
      <c r="H1042" s="1" t="n">
        <v>3.5</v>
      </c>
      <c r="I1042" s="1" t="n">
        <v>0</v>
      </c>
      <c r="J1042" s="1" t="n">
        <v>20201</v>
      </c>
      <c r="L1042" s="1" t="str">
        <f aca="false">IF(D1041&lt;&gt;D1042,D1042,"")</f>
        <v/>
      </c>
      <c r="M1042" s="1" t="str">
        <f aca="false">IF(F1041&lt;&gt;F1042,F1042,"")</f>
        <v/>
      </c>
    </row>
    <row r="1043" customFormat="false" ht="15" hidden="false" customHeight="false" outlineLevel="0" collapsed="false">
      <c r="A1043" s="3" t="s">
        <v>251</v>
      </c>
      <c r="B1043" s="3" t="s">
        <v>252</v>
      </c>
      <c r="C1043" s="3" t="s">
        <v>753</v>
      </c>
      <c r="D1043" s="3" t="s">
        <v>754</v>
      </c>
      <c r="E1043" s="1" t="n">
        <v>20171</v>
      </c>
      <c r="F1043" s="1" t="s">
        <v>208</v>
      </c>
      <c r="G1043" s="1" t="s">
        <v>15</v>
      </c>
      <c r="H1043" s="1" t="n">
        <v>3.5</v>
      </c>
      <c r="I1043" s="1" t="n">
        <v>0</v>
      </c>
      <c r="J1043" s="1" t="n">
        <v>20201</v>
      </c>
      <c r="L1043" s="1" t="str">
        <f aca="false">IF(D1042&lt;&gt;D1043,D1043,"")</f>
        <v/>
      </c>
      <c r="M1043" s="1" t="str">
        <f aca="false">IF(F1042&lt;&gt;F1043,F1043,"")</f>
        <v/>
      </c>
    </row>
    <row r="1044" customFormat="false" ht="15" hidden="false" customHeight="false" outlineLevel="0" collapsed="false">
      <c r="A1044" s="3" t="s">
        <v>253</v>
      </c>
      <c r="B1044" s="3" t="s">
        <v>254</v>
      </c>
      <c r="C1044" s="3" t="s">
        <v>753</v>
      </c>
      <c r="D1044" s="3" t="s">
        <v>754</v>
      </c>
      <c r="E1044" s="1" t="n">
        <v>20171</v>
      </c>
      <c r="F1044" s="1" t="s">
        <v>208</v>
      </c>
      <c r="G1044" s="1" t="s">
        <v>14</v>
      </c>
      <c r="H1044" s="1" t="n">
        <v>4</v>
      </c>
      <c r="I1044" s="1" t="n">
        <v>0</v>
      </c>
      <c r="J1044" s="1" t="n">
        <v>20201</v>
      </c>
      <c r="L1044" s="1" t="str">
        <f aca="false">IF(D1043&lt;&gt;D1044,D1044,"")</f>
        <v/>
      </c>
      <c r="M1044" s="1" t="str">
        <f aca="false">IF(F1043&lt;&gt;F1044,F1044,"")</f>
        <v/>
      </c>
    </row>
    <row r="1045" customFormat="false" ht="15" hidden="false" customHeight="false" outlineLevel="0" collapsed="false">
      <c r="A1045" s="3" t="s">
        <v>255</v>
      </c>
      <c r="B1045" s="3" t="s">
        <v>256</v>
      </c>
      <c r="C1045" s="3" t="s">
        <v>753</v>
      </c>
      <c r="D1045" s="3" t="s">
        <v>754</v>
      </c>
      <c r="E1045" s="1" t="n">
        <v>20171</v>
      </c>
      <c r="F1045" s="1" t="s">
        <v>208</v>
      </c>
      <c r="G1045" s="1" t="s">
        <v>15</v>
      </c>
      <c r="H1045" s="1" t="n">
        <v>3.5</v>
      </c>
      <c r="I1045" s="1" t="n">
        <v>0</v>
      </c>
      <c r="J1045" s="1" t="n">
        <v>20201</v>
      </c>
      <c r="L1045" s="1" t="str">
        <f aca="false">IF(D1044&lt;&gt;D1045,D1045,"")</f>
        <v/>
      </c>
      <c r="M1045" s="1" t="str">
        <f aca="false">IF(F1044&lt;&gt;F1045,F1045,"")</f>
        <v/>
      </c>
    </row>
    <row r="1046" customFormat="false" ht="15" hidden="false" customHeight="false" outlineLevel="0" collapsed="false">
      <c r="A1046" s="3" t="s">
        <v>257</v>
      </c>
      <c r="B1046" s="3" t="s">
        <v>258</v>
      </c>
      <c r="C1046" s="3" t="s">
        <v>753</v>
      </c>
      <c r="D1046" s="3" t="s">
        <v>754</v>
      </c>
      <c r="E1046" s="1" t="n">
        <v>20171</v>
      </c>
      <c r="F1046" s="1" t="s">
        <v>208</v>
      </c>
      <c r="G1046" s="1" t="s">
        <v>15</v>
      </c>
      <c r="H1046" s="1" t="n">
        <v>3.5</v>
      </c>
      <c r="I1046" s="1" t="n">
        <v>0</v>
      </c>
      <c r="J1046" s="1" t="n">
        <v>20201</v>
      </c>
      <c r="L1046" s="1" t="str">
        <f aca="false">IF(D1045&lt;&gt;D1046,D1046,"")</f>
        <v/>
      </c>
      <c r="M1046" s="1" t="str">
        <f aca="false">IF(F1045&lt;&gt;F1046,F1046,"")</f>
        <v/>
      </c>
    </row>
    <row r="1047" customFormat="false" ht="15" hidden="false" customHeight="false" outlineLevel="0" collapsed="false">
      <c r="A1047" s="1" t="s">
        <v>649</v>
      </c>
      <c r="B1047" s="1" t="s">
        <v>650</v>
      </c>
      <c r="C1047" s="1" t="s">
        <v>757</v>
      </c>
      <c r="D1047" s="1" t="s">
        <v>758</v>
      </c>
      <c r="E1047" s="1" t="n">
        <v>20171</v>
      </c>
      <c r="F1047" s="1" t="s">
        <v>208</v>
      </c>
      <c r="G1047" s="1" t="s">
        <v>30</v>
      </c>
      <c r="H1047" s="1" t="n">
        <v>1.5</v>
      </c>
      <c r="I1047" s="1" t="n">
        <v>0</v>
      </c>
      <c r="J1047" s="1" t="n">
        <v>20201</v>
      </c>
      <c r="L1047" s="1" t="str">
        <f aca="false">IF(D1046&lt;&gt;D1047,D1047,"")</f>
        <v>JARINGAN SYARAF TIRUAN</v>
      </c>
      <c r="M1047" s="1" t="str">
        <f aca="false">IF(F1046&lt;&gt;F1047,F1047,"")</f>
        <v/>
      </c>
    </row>
    <row r="1048" customFormat="false" ht="15" hidden="false" customHeight="false" outlineLevel="0" collapsed="false">
      <c r="A1048" s="1" t="s">
        <v>759</v>
      </c>
      <c r="B1048" s="1" t="s">
        <v>760</v>
      </c>
      <c r="C1048" s="1" t="s">
        <v>757</v>
      </c>
      <c r="D1048" s="1" t="s">
        <v>758</v>
      </c>
      <c r="E1048" s="1" t="n">
        <v>20171</v>
      </c>
      <c r="F1048" s="1" t="s">
        <v>208</v>
      </c>
      <c r="G1048" s="1" t="s">
        <v>15</v>
      </c>
      <c r="H1048" s="1" t="n">
        <v>3.5</v>
      </c>
      <c r="I1048" s="1" t="n">
        <v>0</v>
      </c>
      <c r="J1048" s="1" t="n">
        <v>20201</v>
      </c>
      <c r="L1048" s="1" t="str">
        <f aca="false">IF(D1047&lt;&gt;D1048,D1048,"")</f>
        <v/>
      </c>
      <c r="M1048" s="1" t="str">
        <f aca="false">IF(F1047&lt;&gt;F1048,F1048,"")</f>
        <v/>
      </c>
    </row>
    <row r="1049" customFormat="false" ht="15" hidden="false" customHeight="false" outlineLevel="0" collapsed="false">
      <c r="A1049" s="1" t="s">
        <v>259</v>
      </c>
      <c r="B1049" s="1" t="s">
        <v>260</v>
      </c>
      <c r="C1049" s="1" t="s">
        <v>757</v>
      </c>
      <c r="D1049" s="1" t="s">
        <v>758</v>
      </c>
      <c r="E1049" s="1" t="n">
        <v>20171</v>
      </c>
      <c r="F1049" s="1" t="s">
        <v>208</v>
      </c>
      <c r="G1049" s="1" t="s">
        <v>101</v>
      </c>
      <c r="H1049" s="1" t="n">
        <v>2.5</v>
      </c>
      <c r="I1049" s="1" t="n">
        <v>0</v>
      </c>
      <c r="J1049" s="1" t="n">
        <v>20201</v>
      </c>
      <c r="L1049" s="1" t="str">
        <f aca="false">IF(D1048&lt;&gt;D1049,D1049,"")</f>
        <v/>
      </c>
      <c r="M1049" s="1" t="str">
        <f aca="false">IF(F1048&lt;&gt;F1049,F1049,"")</f>
        <v/>
      </c>
    </row>
    <row r="1050" customFormat="false" ht="15" hidden="false" customHeight="false" outlineLevel="0" collapsed="false">
      <c r="A1050" s="1" t="s">
        <v>761</v>
      </c>
      <c r="B1050" s="1" t="s">
        <v>762</v>
      </c>
      <c r="C1050" s="1" t="s">
        <v>757</v>
      </c>
      <c r="D1050" s="1" t="s">
        <v>758</v>
      </c>
      <c r="E1050" s="1" t="n">
        <v>20171</v>
      </c>
      <c r="F1050" s="1" t="s">
        <v>208</v>
      </c>
      <c r="G1050" s="1" t="s">
        <v>14</v>
      </c>
      <c r="H1050" s="1" t="n">
        <v>4</v>
      </c>
      <c r="I1050" s="1" t="n">
        <v>0</v>
      </c>
      <c r="J1050" s="1" t="n">
        <v>20201</v>
      </c>
      <c r="L1050" s="1" t="str">
        <f aca="false">IF(D1049&lt;&gt;D1050,D1050,"")</f>
        <v/>
      </c>
      <c r="M1050" s="1" t="str">
        <f aca="false">IF(F1049&lt;&gt;F1050,F1050,"")</f>
        <v/>
      </c>
    </row>
    <row r="1051" customFormat="false" ht="15" hidden="false" customHeight="false" outlineLevel="0" collapsed="false">
      <c r="A1051" s="1" t="s">
        <v>613</v>
      </c>
      <c r="B1051" s="1" t="s">
        <v>614</v>
      </c>
      <c r="C1051" s="1" t="s">
        <v>757</v>
      </c>
      <c r="D1051" s="1" t="s">
        <v>758</v>
      </c>
      <c r="E1051" s="1" t="n">
        <v>20171</v>
      </c>
      <c r="F1051" s="1" t="s">
        <v>208</v>
      </c>
      <c r="G1051" s="1" t="s">
        <v>15</v>
      </c>
      <c r="H1051" s="1" t="n">
        <v>3.5</v>
      </c>
      <c r="I1051" s="1" t="n">
        <v>0</v>
      </c>
      <c r="J1051" s="1" t="n">
        <v>20201</v>
      </c>
      <c r="L1051" s="1" t="str">
        <f aca="false">IF(D1050&lt;&gt;D1051,D1051,"")</f>
        <v/>
      </c>
      <c r="M1051" s="1" t="str">
        <f aca="false">IF(F1050&lt;&gt;F1051,F1051,"")</f>
        <v/>
      </c>
    </row>
    <row r="1052" customFormat="false" ht="15" hidden="false" customHeight="false" outlineLevel="0" collapsed="false">
      <c r="A1052" s="1" t="s">
        <v>593</v>
      </c>
      <c r="B1052" s="1" t="s">
        <v>594</v>
      </c>
      <c r="C1052" s="1" t="s">
        <v>757</v>
      </c>
      <c r="D1052" s="1" t="s">
        <v>758</v>
      </c>
      <c r="E1052" s="1" t="n">
        <v>20171</v>
      </c>
      <c r="F1052" s="1" t="s">
        <v>208</v>
      </c>
      <c r="G1052" s="1" t="s">
        <v>101</v>
      </c>
      <c r="H1052" s="1" t="n">
        <v>2.5</v>
      </c>
      <c r="I1052" s="1" t="n">
        <v>0</v>
      </c>
      <c r="J1052" s="1" t="n">
        <v>20201</v>
      </c>
      <c r="L1052" s="1" t="str">
        <f aca="false">IF(D1051&lt;&gt;D1052,D1052,"")</f>
        <v/>
      </c>
      <c r="M1052" s="1" t="str">
        <f aca="false">IF(F1051&lt;&gt;F1052,F1052,"")</f>
        <v/>
      </c>
    </row>
    <row r="1053" customFormat="false" ht="15" hidden="false" customHeight="false" outlineLevel="0" collapsed="false">
      <c r="A1053" s="1" t="s">
        <v>645</v>
      </c>
      <c r="B1053" s="1" t="s">
        <v>646</v>
      </c>
      <c r="C1053" s="1" t="s">
        <v>757</v>
      </c>
      <c r="D1053" s="1" t="s">
        <v>758</v>
      </c>
      <c r="E1053" s="1" t="n">
        <v>20171</v>
      </c>
      <c r="F1053" s="1" t="s">
        <v>208</v>
      </c>
      <c r="G1053" s="1" t="s">
        <v>15</v>
      </c>
      <c r="H1053" s="1" t="n">
        <v>3.5</v>
      </c>
      <c r="I1053" s="1" t="n">
        <v>0</v>
      </c>
      <c r="J1053" s="1" t="n">
        <v>20201</v>
      </c>
      <c r="L1053" s="1" t="str">
        <f aca="false">IF(D1052&lt;&gt;D1053,D1053,"")</f>
        <v/>
      </c>
      <c r="M1053" s="1" t="str">
        <f aca="false">IF(F1052&lt;&gt;F1053,F1053,"")</f>
        <v/>
      </c>
    </row>
    <row r="1054" customFormat="false" ht="15" hidden="false" customHeight="false" outlineLevel="0" collapsed="false">
      <c r="A1054" s="1" t="s">
        <v>621</v>
      </c>
      <c r="B1054" s="1" t="s">
        <v>622</v>
      </c>
      <c r="C1054" s="1" t="s">
        <v>757</v>
      </c>
      <c r="D1054" s="1" t="s">
        <v>758</v>
      </c>
      <c r="E1054" s="1" t="n">
        <v>20171</v>
      </c>
      <c r="F1054" s="1" t="s">
        <v>208</v>
      </c>
      <c r="G1054" s="1" t="s">
        <v>15</v>
      </c>
      <c r="H1054" s="1" t="n">
        <v>3.5</v>
      </c>
      <c r="I1054" s="1" t="n">
        <v>0</v>
      </c>
      <c r="J1054" s="1" t="n">
        <v>20201</v>
      </c>
      <c r="L1054" s="1" t="str">
        <f aca="false">IF(D1053&lt;&gt;D1054,D1054,"")</f>
        <v/>
      </c>
      <c r="M1054" s="1" t="str">
        <f aca="false">IF(F1053&lt;&gt;F1054,F1054,"")</f>
        <v/>
      </c>
    </row>
    <row r="1055" customFormat="false" ht="15" hidden="false" customHeight="false" outlineLevel="0" collapsed="false">
      <c r="A1055" s="1" t="s">
        <v>647</v>
      </c>
      <c r="B1055" s="1" t="s">
        <v>648</v>
      </c>
      <c r="C1055" s="1" t="s">
        <v>757</v>
      </c>
      <c r="D1055" s="1" t="s">
        <v>758</v>
      </c>
      <c r="E1055" s="1" t="n">
        <v>20171</v>
      </c>
      <c r="F1055" s="1" t="s">
        <v>208</v>
      </c>
      <c r="G1055" s="1" t="s">
        <v>101</v>
      </c>
      <c r="H1055" s="1" t="n">
        <v>2.5</v>
      </c>
      <c r="I1055" s="1" t="n">
        <v>0</v>
      </c>
      <c r="J1055" s="1" t="n">
        <v>20201</v>
      </c>
      <c r="L1055" s="1" t="str">
        <f aca="false">IF(D1054&lt;&gt;D1055,D1055,"")</f>
        <v/>
      </c>
      <c r="M1055" s="1" t="str">
        <f aca="false">IF(F1054&lt;&gt;F1055,F1055,"")</f>
        <v/>
      </c>
    </row>
    <row r="1056" customFormat="false" ht="15" hidden="false" customHeight="false" outlineLevel="0" collapsed="false">
      <c r="A1056" s="1" t="s">
        <v>267</v>
      </c>
      <c r="B1056" s="1" t="s">
        <v>268</v>
      </c>
      <c r="C1056" s="1" t="s">
        <v>757</v>
      </c>
      <c r="D1056" s="1" t="s">
        <v>758</v>
      </c>
      <c r="E1056" s="1" t="n">
        <v>20171</v>
      </c>
      <c r="F1056" s="1" t="s">
        <v>208</v>
      </c>
      <c r="G1056" s="1" t="s">
        <v>30</v>
      </c>
      <c r="H1056" s="1" t="n">
        <v>1.5</v>
      </c>
      <c r="I1056" s="1" t="n">
        <v>0</v>
      </c>
      <c r="J1056" s="1" t="n">
        <v>20201</v>
      </c>
      <c r="L1056" s="1" t="str">
        <f aca="false">IF(D1055&lt;&gt;D1056,D1056,"")</f>
        <v/>
      </c>
      <c r="M1056" s="1" t="str">
        <f aca="false">IF(F1055&lt;&gt;F1056,F1056,"")</f>
        <v/>
      </c>
    </row>
    <row r="1057" customFormat="false" ht="15" hidden="false" customHeight="false" outlineLevel="0" collapsed="false">
      <c r="A1057" s="1" t="s">
        <v>269</v>
      </c>
      <c r="B1057" s="1" t="s">
        <v>270</v>
      </c>
      <c r="C1057" s="1" t="s">
        <v>757</v>
      </c>
      <c r="D1057" s="1" t="s">
        <v>758</v>
      </c>
      <c r="E1057" s="1" t="n">
        <v>20171</v>
      </c>
      <c r="F1057" s="1" t="s">
        <v>208</v>
      </c>
      <c r="G1057" s="1" t="s">
        <v>18</v>
      </c>
      <c r="H1057" s="1" t="n">
        <v>3</v>
      </c>
      <c r="I1057" s="1" t="n">
        <v>0</v>
      </c>
      <c r="J1057" s="1" t="n">
        <v>20201</v>
      </c>
      <c r="L1057" s="1" t="str">
        <f aca="false">IF(D1056&lt;&gt;D1057,D1057,"")</f>
        <v/>
      </c>
      <c r="M1057" s="1" t="str">
        <f aca="false">IF(F1056&lt;&gt;F1057,F1057,"")</f>
        <v/>
      </c>
    </row>
    <row r="1058" customFormat="false" ht="15" hidden="false" customHeight="false" outlineLevel="0" collapsed="false">
      <c r="A1058" s="1" t="s">
        <v>273</v>
      </c>
      <c r="B1058" s="1" t="s">
        <v>274</v>
      </c>
      <c r="C1058" s="1" t="s">
        <v>757</v>
      </c>
      <c r="D1058" s="1" t="s">
        <v>758</v>
      </c>
      <c r="E1058" s="1" t="n">
        <v>20171</v>
      </c>
      <c r="F1058" s="1" t="s">
        <v>208</v>
      </c>
      <c r="G1058" s="1" t="s">
        <v>127</v>
      </c>
      <c r="H1058" s="1" t="n">
        <v>2</v>
      </c>
      <c r="I1058" s="1" t="n">
        <v>0</v>
      </c>
      <c r="J1058" s="1" t="n">
        <v>20201</v>
      </c>
      <c r="L1058" s="1" t="str">
        <f aca="false">IF(D1057&lt;&gt;D1058,D1058,"")</f>
        <v/>
      </c>
      <c r="M1058" s="1" t="str">
        <f aca="false">IF(F1057&lt;&gt;F1058,F1058,"")</f>
        <v/>
      </c>
    </row>
    <row r="1059" customFormat="false" ht="15" hidden="false" customHeight="false" outlineLevel="0" collapsed="false">
      <c r="A1059" s="1" t="s">
        <v>695</v>
      </c>
      <c r="B1059" s="1" t="s">
        <v>696</v>
      </c>
      <c r="C1059" s="1" t="s">
        <v>757</v>
      </c>
      <c r="D1059" s="1" t="s">
        <v>758</v>
      </c>
      <c r="E1059" s="1" t="n">
        <v>20171</v>
      </c>
      <c r="F1059" s="1" t="s">
        <v>208</v>
      </c>
      <c r="G1059" s="1" t="s">
        <v>15</v>
      </c>
      <c r="H1059" s="1" t="n">
        <v>3.5</v>
      </c>
      <c r="I1059" s="1" t="n">
        <v>0</v>
      </c>
      <c r="J1059" s="1" t="n">
        <v>20201</v>
      </c>
      <c r="L1059" s="1" t="str">
        <f aca="false">IF(D1058&lt;&gt;D1059,D1059,"")</f>
        <v/>
      </c>
      <c r="M1059" s="1" t="str">
        <f aca="false">IF(F1058&lt;&gt;F1059,F1059,"")</f>
        <v/>
      </c>
    </row>
    <row r="1060" customFormat="false" ht="15" hidden="false" customHeight="false" outlineLevel="0" collapsed="false">
      <c r="A1060" s="1" t="s">
        <v>277</v>
      </c>
      <c r="B1060" s="1" t="s">
        <v>278</v>
      </c>
      <c r="C1060" s="1" t="s">
        <v>757</v>
      </c>
      <c r="D1060" s="1" t="s">
        <v>758</v>
      </c>
      <c r="E1060" s="1" t="n">
        <v>20171</v>
      </c>
      <c r="F1060" s="1" t="s">
        <v>208</v>
      </c>
      <c r="G1060" s="1" t="s">
        <v>15</v>
      </c>
      <c r="H1060" s="1" t="n">
        <v>3.5</v>
      </c>
      <c r="I1060" s="1" t="n">
        <v>0</v>
      </c>
      <c r="J1060" s="1" t="n">
        <v>20201</v>
      </c>
      <c r="L1060" s="1" t="str">
        <f aca="false">IF(D1059&lt;&gt;D1060,D1060,"")</f>
        <v/>
      </c>
      <c r="M1060" s="1" t="str">
        <f aca="false">IF(F1059&lt;&gt;F1060,F1060,"")</f>
        <v/>
      </c>
    </row>
    <row r="1061" customFormat="false" ht="15" hidden="false" customHeight="false" outlineLevel="0" collapsed="false">
      <c r="A1061" s="1" t="s">
        <v>279</v>
      </c>
      <c r="B1061" s="1" t="s">
        <v>280</v>
      </c>
      <c r="C1061" s="1" t="s">
        <v>757</v>
      </c>
      <c r="D1061" s="1" t="s">
        <v>758</v>
      </c>
      <c r="E1061" s="1" t="n">
        <v>20171</v>
      </c>
      <c r="F1061" s="1" t="s">
        <v>208</v>
      </c>
      <c r="G1061" s="1" t="s">
        <v>14</v>
      </c>
      <c r="H1061" s="1" t="n">
        <v>4</v>
      </c>
      <c r="I1061" s="1" t="n">
        <v>0</v>
      </c>
      <c r="J1061" s="1" t="n">
        <v>20201</v>
      </c>
      <c r="L1061" s="1" t="str">
        <f aca="false">IF(D1060&lt;&gt;D1061,D1061,"")</f>
        <v/>
      </c>
      <c r="M1061" s="1" t="str">
        <f aca="false">IF(F1060&lt;&gt;F1061,F1061,"")</f>
        <v/>
      </c>
    </row>
    <row r="1062" customFormat="false" ht="15" hidden="false" customHeight="false" outlineLevel="0" collapsed="false">
      <c r="A1062" s="1" t="s">
        <v>713</v>
      </c>
      <c r="B1062" s="1" t="s">
        <v>714</v>
      </c>
      <c r="C1062" s="1" t="s">
        <v>757</v>
      </c>
      <c r="D1062" s="1" t="s">
        <v>758</v>
      </c>
      <c r="E1062" s="1" t="n">
        <v>20171</v>
      </c>
      <c r="F1062" s="1" t="s">
        <v>208</v>
      </c>
      <c r="G1062" s="1" t="s">
        <v>14</v>
      </c>
      <c r="H1062" s="1" t="n">
        <v>4</v>
      </c>
      <c r="I1062" s="1" t="n">
        <v>0</v>
      </c>
      <c r="J1062" s="1" t="n">
        <v>20201</v>
      </c>
      <c r="L1062" s="1" t="str">
        <f aca="false">IF(D1061&lt;&gt;D1062,D1062,"")</f>
        <v/>
      </c>
      <c r="M1062" s="1" t="str">
        <f aca="false">IF(F1061&lt;&gt;F1062,F1062,"")</f>
        <v/>
      </c>
    </row>
    <row r="1063" customFormat="false" ht="15" hidden="false" customHeight="false" outlineLevel="0" collapsed="false">
      <c r="A1063" s="1" t="s">
        <v>281</v>
      </c>
      <c r="B1063" s="1" t="s">
        <v>282</v>
      </c>
      <c r="C1063" s="1" t="s">
        <v>757</v>
      </c>
      <c r="D1063" s="1" t="s">
        <v>758</v>
      </c>
      <c r="E1063" s="1" t="n">
        <v>20171</v>
      </c>
      <c r="F1063" s="1" t="s">
        <v>208</v>
      </c>
      <c r="G1063" s="1" t="s">
        <v>101</v>
      </c>
      <c r="H1063" s="1" t="n">
        <v>2.5</v>
      </c>
      <c r="I1063" s="1" t="n">
        <v>0</v>
      </c>
      <c r="J1063" s="1" t="n">
        <v>20201</v>
      </c>
      <c r="L1063" s="1" t="str">
        <f aca="false">IF(D1062&lt;&gt;D1063,D1063,"")</f>
        <v/>
      </c>
      <c r="M1063" s="1" t="str">
        <f aca="false">IF(F1062&lt;&gt;F1063,F1063,"")</f>
        <v/>
      </c>
    </row>
    <row r="1064" customFormat="false" ht="15" hidden="false" customHeight="false" outlineLevel="0" collapsed="false">
      <c r="A1064" s="1" t="s">
        <v>283</v>
      </c>
      <c r="B1064" s="1" t="s">
        <v>284</v>
      </c>
      <c r="C1064" s="1" t="s">
        <v>757</v>
      </c>
      <c r="D1064" s="1" t="s">
        <v>758</v>
      </c>
      <c r="E1064" s="1" t="n">
        <v>20171</v>
      </c>
      <c r="F1064" s="1" t="s">
        <v>208</v>
      </c>
      <c r="G1064" s="1" t="s">
        <v>15</v>
      </c>
      <c r="H1064" s="1" t="n">
        <v>3.5</v>
      </c>
      <c r="I1064" s="1" t="n">
        <v>0</v>
      </c>
      <c r="J1064" s="1" t="n">
        <v>20201</v>
      </c>
      <c r="L1064" s="1" t="str">
        <f aca="false">IF(D1063&lt;&gt;D1064,D1064,"")</f>
        <v/>
      </c>
      <c r="M1064" s="1" t="str">
        <f aca="false">IF(F1063&lt;&gt;F1064,F1064,"")</f>
        <v/>
      </c>
    </row>
    <row r="1065" customFormat="false" ht="15" hidden="false" customHeight="false" outlineLevel="0" collapsed="false">
      <c r="A1065" s="1" t="s">
        <v>285</v>
      </c>
      <c r="B1065" s="1" t="s">
        <v>286</v>
      </c>
      <c r="C1065" s="1" t="s">
        <v>757</v>
      </c>
      <c r="D1065" s="1" t="s">
        <v>758</v>
      </c>
      <c r="E1065" s="1" t="n">
        <v>20171</v>
      </c>
      <c r="F1065" s="1" t="s">
        <v>208</v>
      </c>
      <c r="G1065" s="1" t="s">
        <v>30</v>
      </c>
      <c r="H1065" s="1" t="n">
        <v>1.5</v>
      </c>
      <c r="I1065" s="1" t="n">
        <v>0</v>
      </c>
      <c r="J1065" s="1" t="n">
        <v>20201</v>
      </c>
      <c r="L1065" s="1" t="str">
        <f aca="false">IF(D1064&lt;&gt;D1065,D1065,"")</f>
        <v/>
      </c>
      <c r="M1065" s="1" t="str">
        <f aca="false">IF(F1064&lt;&gt;F1065,F1065,"")</f>
        <v/>
      </c>
    </row>
    <row r="1066" customFormat="false" ht="15" hidden="false" customHeight="false" outlineLevel="0" collapsed="false">
      <c r="A1066" s="1" t="s">
        <v>287</v>
      </c>
      <c r="B1066" s="1" t="s">
        <v>288</v>
      </c>
      <c r="C1066" s="1" t="s">
        <v>757</v>
      </c>
      <c r="D1066" s="1" t="s">
        <v>758</v>
      </c>
      <c r="E1066" s="1" t="n">
        <v>20171</v>
      </c>
      <c r="F1066" s="1" t="s">
        <v>208</v>
      </c>
      <c r="G1066" s="1" t="s">
        <v>14</v>
      </c>
      <c r="H1066" s="1" t="n">
        <v>4</v>
      </c>
      <c r="I1066" s="1" t="n">
        <v>0</v>
      </c>
      <c r="J1066" s="1" t="n">
        <v>20201</v>
      </c>
      <c r="L1066" s="1" t="str">
        <f aca="false">IF(D1065&lt;&gt;D1066,D1066,"")</f>
        <v/>
      </c>
      <c r="M1066" s="1" t="str">
        <f aca="false">IF(F1065&lt;&gt;F1066,F1066,"")</f>
        <v/>
      </c>
    </row>
    <row r="1067" customFormat="false" ht="15" hidden="false" customHeight="false" outlineLevel="0" collapsed="false">
      <c r="A1067" s="1" t="s">
        <v>289</v>
      </c>
      <c r="B1067" s="1" t="s">
        <v>290</v>
      </c>
      <c r="C1067" s="1" t="s">
        <v>757</v>
      </c>
      <c r="D1067" s="1" t="s">
        <v>758</v>
      </c>
      <c r="E1067" s="1" t="n">
        <v>20171</v>
      </c>
      <c r="F1067" s="1" t="s">
        <v>208</v>
      </c>
      <c r="G1067" s="1" t="s">
        <v>15</v>
      </c>
      <c r="H1067" s="1" t="n">
        <v>3.5</v>
      </c>
      <c r="I1067" s="1" t="n">
        <v>0</v>
      </c>
      <c r="J1067" s="1" t="n">
        <v>20201</v>
      </c>
      <c r="L1067" s="1" t="str">
        <f aca="false">IF(D1066&lt;&gt;D1067,D1067,"")</f>
        <v/>
      </c>
      <c r="M1067" s="1" t="str">
        <f aca="false">IF(F1066&lt;&gt;F1067,F1067,"")</f>
        <v/>
      </c>
    </row>
    <row r="1068" customFormat="false" ht="15" hidden="false" customHeight="false" outlineLevel="0" collapsed="false">
      <c r="A1068" s="1" t="s">
        <v>291</v>
      </c>
      <c r="B1068" s="1" t="s">
        <v>292</v>
      </c>
      <c r="C1068" s="1" t="s">
        <v>757</v>
      </c>
      <c r="D1068" s="1" t="s">
        <v>758</v>
      </c>
      <c r="E1068" s="1" t="n">
        <v>20171</v>
      </c>
      <c r="F1068" s="1" t="s">
        <v>208</v>
      </c>
      <c r="G1068" s="1" t="s">
        <v>101</v>
      </c>
      <c r="H1068" s="1" t="n">
        <v>2.5</v>
      </c>
      <c r="I1068" s="1" t="n">
        <v>0</v>
      </c>
      <c r="J1068" s="1" t="n">
        <v>20201</v>
      </c>
      <c r="L1068" s="1" t="str">
        <f aca="false">IF(D1067&lt;&gt;D1068,D1068,"")</f>
        <v/>
      </c>
      <c r="M1068" s="1" t="str">
        <f aca="false">IF(F1067&lt;&gt;F1068,F1068,"")</f>
        <v/>
      </c>
    </row>
    <row r="1069" customFormat="false" ht="15" hidden="false" customHeight="false" outlineLevel="0" collapsed="false">
      <c r="A1069" s="1" t="s">
        <v>293</v>
      </c>
      <c r="B1069" s="1" t="s">
        <v>294</v>
      </c>
      <c r="C1069" s="1" t="s">
        <v>757</v>
      </c>
      <c r="D1069" s="1" t="s">
        <v>758</v>
      </c>
      <c r="E1069" s="1" t="n">
        <v>20171</v>
      </c>
      <c r="F1069" s="1" t="s">
        <v>208</v>
      </c>
      <c r="G1069" s="1" t="s">
        <v>15</v>
      </c>
      <c r="H1069" s="1" t="n">
        <v>3.5</v>
      </c>
      <c r="I1069" s="1" t="n">
        <v>0</v>
      </c>
      <c r="J1069" s="1" t="n">
        <v>20201</v>
      </c>
      <c r="L1069" s="1" t="str">
        <f aca="false">IF(D1068&lt;&gt;D1069,D1069,"")</f>
        <v/>
      </c>
      <c r="M1069" s="1" t="str">
        <f aca="false">IF(F1068&lt;&gt;F1069,F1069,"")</f>
        <v/>
      </c>
    </row>
    <row r="1070" customFormat="false" ht="15" hidden="false" customHeight="false" outlineLevel="0" collapsed="false">
      <c r="A1070" s="1" t="s">
        <v>665</v>
      </c>
      <c r="B1070" s="1" t="s">
        <v>666</v>
      </c>
      <c r="C1070" s="1" t="s">
        <v>757</v>
      </c>
      <c r="D1070" s="1" t="s">
        <v>758</v>
      </c>
      <c r="E1070" s="1" t="n">
        <v>20171</v>
      </c>
      <c r="F1070" s="1" t="s">
        <v>208</v>
      </c>
      <c r="G1070" s="1" t="s">
        <v>15</v>
      </c>
      <c r="H1070" s="1" t="n">
        <v>3.5</v>
      </c>
      <c r="I1070" s="1" t="n">
        <v>0</v>
      </c>
      <c r="J1070" s="1" t="n">
        <v>20201</v>
      </c>
      <c r="L1070" s="1" t="str">
        <f aca="false">IF(D1069&lt;&gt;D1070,D1070,"")</f>
        <v/>
      </c>
      <c r="M1070" s="1" t="str">
        <f aca="false">IF(F1069&lt;&gt;F1070,F1070,"")</f>
        <v/>
      </c>
    </row>
    <row r="1071" customFormat="false" ht="15" hidden="false" customHeight="false" outlineLevel="0" collapsed="false">
      <c r="A1071" s="1" t="s">
        <v>295</v>
      </c>
      <c r="B1071" s="1" t="s">
        <v>296</v>
      </c>
      <c r="C1071" s="1" t="s">
        <v>757</v>
      </c>
      <c r="D1071" s="1" t="s">
        <v>758</v>
      </c>
      <c r="E1071" s="1" t="n">
        <v>20171</v>
      </c>
      <c r="F1071" s="1" t="s">
        <v>208</v>
      </c>
      <c r="G1071" s="1" t="s">
        <v>15</v>
      </c>
      <c r="H1071" s="1" t="n">
        <v>3.5</v>
      </c>
      <c r="I1071" s="1" t="n">
        <v>0</v>
      </c>
      <c r="J1071" s="1" t="n">
        <v>20201</v>
      </c>
      <c r="L1071" s="1" t="str">
        <f aca="false">IF(D1070&lt;&gt;D1071,D1071,"")</f>
        <v/>
      </c>
      <c r="M1071" s="1" t="str">
        <f aca="false">IF(F1070&lt;&gt;F1071,F1071,"")</f>
        <v/>
      </c>
    </row>
    <row r="1072" customFormat="false" ht="15" hidden="false" customHeight="false" outlineLevel="0" collapsed="false">
      <c r="A1072" s="1" t="s">
        <v>723</v>
      </c>
      <c r="B1072" s="1" t="s">
        <v>724</v>
      </c>
      <c r="C1072" s="1" t="s">
        <v>757</v>
      </c>
      <c r="D1072" s="1" t="s">
        <v>758</v>
      </c>
      <c r="E1072" s="1" t="n">
        <v>20171</v>
      </c>
      <c r="F1072" s="1" t="s">
        <v>208</v>
      </c>
      <c r="G1072" s="1" t="s">
        <v>101</v>
      </c>
      <c r="H1072" s="1" t="n">
        <v>2.5</v>
      </c>
      <c r="I1072" s="1" t="n">
        <v>0</v>
      </c>
      <c r="J1072" s="1" t="n">
        <v>20201</v>
      </c>
      <c r="L1072" s="1" t="str">
        <f aca="false">IF(D1071&lt;&gt;D1072,D1072,"")</f>
        <v/>
      </c>
      <c r="M1072" s="1" t="str">
        <f aca="false">IF(F1071&lt;&gt;F1072,F1072,"")</f>
        <v/>
      </c>
    </row>
    <row r="1073" customFormat="false" ht="15" hidden="false" customHeight="false" outlineLevel="0" collapsed="false">
      <c r="A1073" s="1" t="s">
        <v>725</v>
      </c>
      <c r="B1073" s="1" t="s">
        <v>726</v>
      </c>
      <c r="C1073" s="1" t="s">
        <v>757</v>
      </c>
      <c r="D1073" s="1" t="s">
        <v>758</v>
      </c>
      <c r="E1073" s="1" t="n">
        <v>20171</v>
      </c>
      <c r="F1073" s="1" t="s">
        <v>208</v>
      </c>
      <c r="G1073" s="1" t="s">
        <v>15</v>
      </c>
      <c r="H1073" s="1" t="n">
        <v>3.5</v>
      </c>
      <c r="I1073" s="1" t="n">
        <v>0</v>
      </c>
      <c r="J1073" s="1" t="n">
        <v>20201</v>
      </c>
      <c r="L1073" s="1" t="str">
        <f aca="false">IF(D1072&lt;&gt;D1073,D1073,"")</f>
        <v/>
      </c>
      <c r="M1073" s="1" t="str">
        <f aca="false">IF(F1072&lt;&gt;F1073,F1073,"")</f>
        <v/>
      </c>
    </row>
    <row r="1074" customFormat="false" ht="15" hidden="false" customHeight="false" outlineLevel="0" collapsed="false">
      <c r="A1074" s="1" t="s">
        <v>297</v>
      </c>
      <c r="B1074" s="1" t="s">
        <v>298</v>
      </c>
      <c r="C1074" s="1" t="s">
        <v>757</v>
      </c>
      <c r="D1074" s="1" t="s">
        <v>758</v>
      </c>
      <c r="E1074" s="1" t="n">
        <v>20171</v>
      </c>
      <c r="F1074" s="1" t="s">
        <v>208</v>
      </c>
      <c r="G1074" s="1" t="s">
        <v>15</v>
      </c>
      <c r="H1074" s="1" t="n">
        <v>3.5</v>
      </c>
      <c r="I1074" s="1" t="n">
        <v>0</v>
      </c>
      <c r="J1074" s="1" t="n">
        <v>20201</v>
      </c>
      <c r="L1074" s="1" t="str">
        <f aca="false">IF(D1073&lt;&gt;D1074,D1074,"")</f>
        <v/>
      </c>
      <c r="M1074" s="1" t="str">
        <f aca="false">IF(F1073&lt;&gt;F1074,F1074,"")</f>
        <v/>
      </c>
    </row>
    <row r="1075" customFormat="false" ht="15" hidden="false" customHeight="false" outlineLevel="0" collapsed="false">
      <c r="A1075" s="1" t="s">
        <v>655</v>
      </c>
      <c r="B1075" s="1" t="s">
        <v>656</v>
      </c>
      <c r="C1075" s="1" t="s">
        <v>757</v>
      </c>
      <c r="D1075" s="1" t="s">
        <v>758</v>
      </c>
      <c r="E1075" s="1" t="n">
        <v>20171</v>
      </c>
      <c r="F1075" s="1" t="s">
        <v>208</v>
      </c>
      <c r="G1075" s="1" t="s">
        <v>23</v>
      </c>
      <c r="H1075" s="1" t="n">
        <v>0</v>
      </c>
      <c r="I1075" s="1" t="n">
        <v>0</v>
      </c>
      <c r="J1075" s="1" t="n">
        <v>20201</v>
      </c>
      <c r="L1075" s="1" t="str">
        <f aca="false">IF(D1074&lt;&gt;D1075,D1075,"")</f>
        <v/>
      </c>
      <c r="M1075" s="1" t="str">
        <f aca="false">IF(F1074&lt;&gt;F1075,F1075,"")</f>
        <v/>
      </c>
    </row>
    <row r="1076" customFormat="false" ht="15" hidden="false" customHeight="false" outlineLevel="0" collapsed="false">
      <c r="A1076" s="1" t="s">
        <v>625</v>
      </c>
      <c r="B1076" s="1" t="s">
        <v>626</v>
      </c>
      <c r="C1076" s="1" t="s">
        <v>763</v>
      </c>
      <c r="D1076" s="1" t="s">
        <v>764</v>
      </c>
      <c r="E1076" s="1" t="n">
        <v>20171</v>
      </c>
      <c r="F1076" s="1" t="s">
        <v>208</v>
      </c>
      <c r="G1076" s="1" t="s">
        <v>14</v>
      </c>
      <c r="H1076" s="1" t="n">
        <v>4</v>
      </c>
      <c r="I1076" s="1" t="n">
        <v>0</v>
      </c>
      <c r="J1076" s="1" t="n">
        <v>20201</v>
      </c>
      <c r="L1076" s="1" t="str">
        <f aca="false">IF(D1075&lt;&gt;D1076,D1076,"")</f>
        <v>JARINGAN TELEKOMUNIKASI</v>
      </c>
      <c r="M1076" s="1" t="str">
        <f aca="false">IF(F1075&lt;&gt;F1076,F1076,"")</f>
        <v/>
      </c>
    </row>
    <row r="1077" customFormat="false" ht="15" hidden="false" customHeight="false" outlineLevel="0" collapsed="false">
      <c r="A1077" s="1" t="s">
        <v>275</v>
      </c>
      <c r="B1077" s="1" t="s">
        <v>276</v>
      </c>
      <c r="C1077" s="1" t="s">
        <v>763</v>
      </c>
      <c r="D1077" s="1" t="s">
        <v>764</v>
      </c>
      <c r="E1077" s="1" t="n">
        <v>20171</v>
      </c>
      <c r="F1077" s="1" t="s">
        <v>208</v>
      </c>
      <c r="G1077" s="1" t="s">
        <v>15</v>
      </c>
      <c r="H1077" s="1" t="n">
        <v>3.5</v>
      </c>
      <c r="I1077" s="1" t="n">
        <v>0</v>
      </c>
      <c r="J1077" s="1" t="n">
        <v>20201</v>
      </c>
      <c r="L1077" s="1" t="str">
        <f aca="false">IF(D1076&lt;&gt;D1077,D1077,"")</f>
        <v/>
      </c>
      <c r="M1077" s="1" t="str">
        <f aca="false">IF(F1076&lt;&gt;F1077,F1077,"")</f>
        <v/>
      </c>
    </row>
    <row r="1078" customFormat="false" ht="15" hidden="false" customHeight="false" outlineLevel="0" collapsed="false">
      <c r="A1078" s="1" t="s">
        <v>681</v>
      </c>
      <c r="B1078" s="1" t="s">
        <v>682</v>
      </c>
      <c r="C1078" s="1" t="s">
        <v>763</v>
      </c>
      <c r="D1078" s="1" t="s">
        <v>764</v>
      </c>
      <c r="E1078" s="1" t="n">
        <v>20171</v>
      </c>
      <c r="F1078" s="1" t="s">
        <v>208</v>
      </c>
      <c r="G1078" s="1" t="s">
        <v>15</v>
      </c>
      <c r="H1078" s="1" t="n">
        <v>3.5</v>
      </c>
      <c r="I1078" s="1" t="n">
        <v>0</v>
      </c>
      <c r="J1078" s="1" t="n">
        <v>20201</v>
      </c>
      <c r="L1078" s="1" t="str">
        <f aca="false">IF(D1077&lt;&gt;D1078,D1078,"")</f>
        <v/>
      </c>
      <c r="M1078" s="1" t="str">
        <f aca="false">IF(F1077&lt;&gt;F1078,F1078,"")</f>
        <v/>
      </c>
    </row>
    <row r="1079" customFormat="false" ht="15" hidden="false" customHeight="false" outlineLevel="0" collapsed="false">
      <c r="A1079" s="1" t="s">
        <v>765</v>
      </c>
      <c r="B1079" s="1" t="s">
        <v>766</v>
      </c>
      <c r="C1079" s="1" t="s">
        <v>763</v>
      </c>
      <c r="D1079" s="1" t="s">
        <v>764</v>
      </c>
      <c r="E1079" s="1" t="n">
        <v>20171</v>
      </c>
      <c r="F1079" s="1" t="s">
        <v>208</v>
      </c>
      <c r="G1079" s="1" t="s">
        <v>23</v>
      </c>
      <c r="H1079" s="1" t="n">
        <v>0</v>
      </c>
      <c r="I1079" s="1" t="n">
        <v>0</v>
      </c>
      <c r="J1079" s="1" t="n">
        <v>20201</v>
      </c>
      <c r="L1079" s="1" t="str">
        <f aca="false">IF(D1078&lt;&gt;D1079,D1079,"")</f>
        <v/>
      </c>
      <c r="M1079" s="1" t="str">
        <f aca="false">IF(F1078&lt;&gt;F1079,F1079,"")</f>
        <v/>
      </c>
    </row>
    <row r="1080" customFormat="false" ht="15" hidden="false" customHeight="false" outlineLevel="0" collapsed="false">
      <c r="A1080" s="1" t="s">
        <v>277</v>
      </c>
      <c r="B1080" s="1" t="s">
        <v>278</v>
      </c>
      <c r="C1080" s="1" t="s">
        <v>763</v>
      </c>
      <c r="D1080" s="1" t="s">
        <v>764</v>
      </c>
      <c r="E1080" s="1" t="n">
        <v>20171</v>
      </c>
      <c r="F1080" s="1" t="s">
        <v>208</v>
      </c>
      <c r="G1080" s="1" t="s">
        <v>18</v>
      </c>
      <c r="H1080" s="1" t="n">
        <v>3</v>
      </c>
      <c r="I1080" s="1" t="n">
        <v>0</v>
      </c>
      <c r="J1080" s="1" t="n">
        <v>20201</v>
      </c>
      <c r="L1080" s="1" t="str">
        <f aca="false">IF(D1079&lt;&gt;D1080,D1080,"")</f>
        <v/>
      </c>
      <c r="M1080" s="1" t="str">
        <f aca="false">IF(F1079&lt;&gt;F1080,F1080,"")</f>
        <v/>
      </c>
    </row>
    <row r="1081" customFormat="false" ht="15" hidden="false" customHeight="false" outlineLevel="0" collapsed="false">
      <c r="A1081" s="1" t="s">
        <v>279</v>
      </c>
      <c r="B1081" s="1" t="s">
        <v>280</v>
      </c>
      <c r="C1081" s="1" t="s">
        <v>763</v>
      </c>
      <c r="D1081" s="1" t="s">
        <v>764</v>
      </c>
      <c r="E1081" s="1" t="n">
        <v>20171</v>
      </c>
      <c r="F1081" s="1" t="s">
        <v>208</v>
      </c>
      <c r="G1081" s="1" t="s">
        <v>14</v>
      </c>
      <c r="H1081" s="1" t="n">
        <v>4</v>
      </c>
      <c r="I1081" s="1" t="n">
        <v>0</v>
      </c>
      <c r="J1081" s="1" t="n">
        <v>20201</v>
      </c>
      <c r="L1081" s="1" t="str">
        <f aca="false">IF(D1080&lt;&gt;D1081,D1081,"")</f>
        <v/>
      </c>
      <c r="M1081" s="1" t="str">
        <f aca="false">IF(F1080&lt;&gt;F1081,F1081,"")</f>
        <v/>
      </c>
    </row>
    <row r="1082" customFormat="false" ht="15" hidden="false" customHeight="false" outlineLevel="0" collapsed="false">
      <c r="A1082" s="1" t="s">
        <v>281</v>
      </c>
      <c r="B1082" s="1" t="s">
        <v>282</v>
      </c>
      <c r="C1082" s="1" t="s">
        <v>763</v>
      </c>
      <c r="D1082" s="1" t="s">
        <v>764</v>
      </c>
      <c r="E1082" s="1" t="n">
        <v>20171</v>
      </c>
      <c r="F1082" s="1" t="s">
        <v>208</v>
      </c>
      <c r="G1082" s="1" t="s">
        <v>14</v>
      </c>
      <c r="H1082" s="1" t="n">
        <v>4</v>
      </c>
      <c r="I1082" s="1" t="n">
        <v>0</v>
      </c>
      <c r="J1082" s="1" t="n">
        <v>20201</v>
      </c>
      <c r="L1082" s="1" t="str">
        <f aca="false">IF(D1081&lt;&gt;D1082,D1082,"")</f>
        <v/>
      </c>
      <c r="M1082" s="1" t="str">
        <f aca="false">IF(F1081&lt;&gt;F1082,F1082,"")</f>
        <v/>
      </c>
    </row>
    <row r="1083" customFormat="false" ht="15" hidden="false" customHeight="false" outlineLevel="0" collapsed="false">
      <c r="A1083" s="1" t="s">
        <v>283</v>
      </c>
      <c r="B1083" s="1" t="s">
        <v>284</v>
      </c>
      <c r="C1083" s="1" t="s">
        <v>763</v>
      </c>
      <c r="D1083" s="1" t="s">
        <v>764</v>
      </c>
      <c r="E1083" s="1" t="n">
        <v>20171</v>
      </c>
      <c r="F1083" s="1" t="s">
        <v>208</v>
      </c>
      <c r="G1083" s="1" t="s">
        <v>15</v>
      </c>
      <c r="H1083" s="1" t="n">
        <v>3.5</v>
      </c>
      <c r="I1083" s="1" t="n">
        <v>0</v>
      </c>
      <c r="J1083" s="1" t="n">
        <v>20201</v>
      </c>
      <c r="L1083" s="1" t="str">
        <f aca="false">IF(D1082&lt;&gt;D1083,D1083,"")</f>
        <v/>
      </c>
      <c r="M1083" s="1" t="str">
        <f aca="false">IF(F1082&lt;&gt;F1083,F1083,"")</f>
        <v/>
      </c>
    </row>
    <row r="1084" customFormat="false" ht="15" hidden="false" customHeight="false" outlineLevel="0" collapsed="false">
      <c r="A1084" s="1" t="s">
        <v>285</v>
      </c>
      <c r="B1084" s="1" t="s">
        <v>286</v>
      </c>
      <c r="C1084" s="1" t="s">
        <v>763</v>
      </c>
      <c r="D1084" s="1" t="s">
        <v>764</v>
      </c>
      <c r="E1084" s="1" t="n">
        <v>20171</v>
      </c>
      <c r="F1084" s="1" t="s">
        <v>208</v>
      </c>
      <c r="G1084" s="1" t="s">
        <v>15</v>
      </c>
      <c r="H1084" s="1" t="n">
        <v>3.5</v>
      </c>
      <c r="I1084" s="1" t="n">
        <v>0</v>
      </c>
      <c r="J1084" s="1" t="n">
        <v>20201</v>
      </c>
      <c r="L1084" s="1" t="str">
        <f aca="false">IF(D1083&lt;&gt;D1084,D1084,"")</f>
        <v/>
      </c>
      <c r="M1084" s="1" t="str">
        <f aca="false">IF(F1083&lt;&gt;F1084,F1084,"")</f>
        <v/>
      </c>
    </row>
    <row r="1085" customFormat="false" ht="15" hidden="false" customHeight="false" outlineLevel="0" collapsed="false">
      <c r="A1085" s="1" t="s">
        <v>287</v>
      </c>
      <c r="B1085" s="1" t="s">
        <v>288</v>
      </c>
      <c r="C1085" s="1" t="s">
        <v>763</v>
      </c>
      <c r="D1085" s="1" t="s">
        <v>764</v>
      </c>
      <c r="E1085" s="1" t="n">
        <v>20171</v>
      </c>
      <c r="F1085" s="1" t="s">
        <v>208</v>
      </c>
      <c r="G1085" s="1" t="s">
        <v>14</v>
      </c>
      <c r="H1085" s="1" t="n">
        <v>4</v>
      </c>
      <c r="I1085" s="1" t="n">
        <v>0</v>
      </c>
      <c r="J1085" s="1" t="n">
        <v>20201</v>
      </c>
      <c r="L1085" s="1" t="str">
        <f aca="false">IF(D1084&lt;&gt;D1085,D1085,"")</f>
        <v/>
      </c>
      <c r="M1085" s="1" t="str">
        <f aca="false">IF(F1084&lt;&gt;F1085,F1085,"")</f>
        <v/>
      </c>
    </row>
    <row r="1086" customFormat="false" ht="15" hidden="false" customHeight="false" outlineLevel="0" collapsed="false">
      <c r="A1086" s="1" t="s">
        <v>289</v>
      </c>
      <c r="B1086" s="1" t="s">
        <v>290</v>
      </c>
      <c r="C1086" s="1" t="s">
        <v>763</v>
      </c>
      <c r="D1086" s="1" t="s">
        <v>764</v>
      </c>
      <c r="E1086" s="1" t="n">
        <v>20171</v>
      </c>
      <c r="F1086" s="1" t="s">
        <v>208</v>
      </c>
      <c r="G1086" s="1" t="s">
        <v>14</v>
      </c>
      <c r="H1086" s="1" t="n">
        <v>4</v>
      </c>
      <c r="I1086" s="1" t="n">
        <v>0</v>
      </c>
      <c r="J1086" s="1" t="n">
        <v>20201</v>
      </c>
      <c r="L1086" s="1" t="str">
        <f aca="false">IF(D1085&lt;&gt;D1086,D1086,"")</f>
        <v/>
      </c>
      <c r="M1086" s="1" t="str">
        <f aca="false">IF(F1085&lt;&gt;F1086,F1086,"")</f>
        <v/>
      </c>
    </row>
    <row r="1087" customFormat="false" ht="15" hidden="false" customHeight="false" outlineLevel="0" collapsed="false">
      <c r="A1087" s="1" t="s">
        <v>291</v>
      </c>
      <c r="B1087" s="1" t="s">
        <v>292</v>
      </c>
      <c r="C1087" s="1" t="s">
        <v>763</v>
      </c>
      <c r="D1087" s="1" t="s">
        <v>764</v>
      </c>
      <c r="E1087" s="1" t="n">
        <v>20171</v>
      </c>
      <c r="F1087" s="1" t="s">
        <v>208</v>
      </c>
      <c r="G1087" s="1" t="s">
        <v>14</v>
      </c>
      <c r="H1087" s="1" t="n">
        <v>4</v>
      </c>
      <c r="I1087" s="1" t="n">
        <v>0</v>
      </c>
      <c r="J1087" s="1" t="n">
        <v>20201</v>
      </c>
      <c r="L1087" s="1" t="str">
        <f aca="false">IF(D1086&lt;&gt;D1087,D1087,"")</f>
        <v/>
      </c>
      <c r="M1087" s="1" t="str">
        <f aca="false">IF(F1086&lt;&gt;F1087,F1087,"")</f>
        <v/>
      </c>
    </row>
    <row r="1088" customFormat="false" ht="15" hidden="false" customHeight="false" outlineLevel="0" collapsed="false">
      <c r="A1088" s="1" t="s">
        <v>293</v>
      </c>
      <c r="B1088" s="1" t="s">
        <v>294</v>
      </c>
      <c r="C1088" s="1" t="s">
        <v>763</v>
      </c>
      <c r="D1088" s="1" t="s">
        <v>764</v>
      </c>
      <c r="E1088" s="1" t="n">
        <v>20171</v>
      </c>
      <c r="F1088" s="1" t="s">
        <v>208</v>
      </c>
      <c r="G1088" s="1" t="s">
        <v>14</v>
      </c>
      <c r="H1088" s="1" t="n">
        <v>4</v>
      </c>
      <c r="I1088" s="1" t="n">
        <v>0</v>
      </c>
      <c r="J1088" s="1" t="n">
        <v>20201</v>
      </c>
      <c r="L1088" s="1" t="str">
        <f aca="false">IF(D1087&lt;&gt;D1088,D1088,"")</f>
        <v/>
      </c>
      <c r="M1088" s="1" t="str">
        <f aca="false">IF(F1087&lt;&gt;F1088,F1088,"")</f>
        <v/>
      </c>
    </row>
    <row r="1089" customFormat="false" ht="15" hidden="false" customHeight="false" outlineLevel="0" collapsed="false">
      <c r="A1089" s="1" t="s">
        <v>683</v>
      </c>
      <c r="B1089" s="1" t="s">
        <v>684</v>
      </c>
      <c r="C1089" s="1" t="s">
        <v>763</v>
      </c>
      <c r="D1089" s="1" t="s">
        <v>764</v>
      </c>
      <c r="E1089" s="1" t="n">
        <v>20171</v>
      </c>
      <c r="F1089" s="1" t="s">
        <v>208</v>
      </c>
      <c r="G1089" s="1" t="s">
        <v>14</v>
      </c>
      <c r="H1089" s="1" t="n">
        <v>4</v>
      </c>
      <c r="I1089" s="1" t="n">
        <v>0</v>
      </c>
      <c r="J1089" s="1" t="n">
        <v>20201</v>
      </c>
      <c r="L1089" s="1" t="str">
        <f aca="false">IF(D1088&lt;&gt;D1089,D1089,"")</f>
        <v/>
      </c>
      <c r="M1089" s="1" t="str">
        <f aca="false">IF(F1088&lt;&gt;F1089,F1089,"")</f>
        <v/>
      </c>
    </row>
    <row r="1090" customFormat="false" ht="15" hidden="false" customHeight="false" outlineLevel="0" collapsed="false">
      <c r="A1090" s="1" t="s">
        <v>295</v>
      </c>
      <c r="B1090" s="1" t="s">
        <v>296</v>
      </c>
      <c r="C1090" s="1" t="s">
        <v>763</v>
      </c>
      <c r="D1090" s="1" t="s">
        <v>764</v>
      </c>
      <c r="E1090" s="1" t="n">
        <v>20171</v>
      </c>
      <c r="F1090" s="1" t="s">
        <v>208</v>
      </c>
      <c r="G1090" s="1" t="s">
        <v>15</v>
      </c>
      <c r="H1090" s="1" t="n">
        <v>3.5</v>
      </c>
      <c r="I1090" s="1" t="n">
        <v>0</v>
      </c>
      <c r="J1090" s="1" t="n">
        <v>20201</v>
      </c>
      <c r="L1090" s="1" t="str">
        <f aca="false">IF(D1089&lt;&gt;D1090,D1090,"")</f>
        <v/>
      </c>
      <c r="M1090" s="1" t="str">
        <f aca="false">IF(F1089&lt;&gt;F1090,F1090,"")</f>
        <v/>
      </c>
    </row>
    <row r="1091" customFormat="false" ht="15" hidden="false" customHeight="false" outlineLevel="0" collapsed="false">
      <c r="A1091" s="1" t="s">
        <v>297</v>
      </c>
      <c r="B1091" s="1" t="s">
        <v>298</v>
      </c>
      <c r="C1091" s="1" t="s">
        <v>763</v>
      </c>
      <c r="D1091" s="1" t="s">
        <v>764</v>
      </c>
      <c r="E1091" s="1" t="n">
        <v>20171</v>
      </c>
      <c r="F1091" s="1" t="s">
        <v>208</v>
      </c>
      <c r="G1091" s="1" t="s">
        <v>14</v>
      </c>
      <c r="H1091" s="1" t="n">
        <v>4</v>
      </c>
      <c r="I1091" s="1" t="n">
        <v>0</v>
      </c>
      <c r="J1091" s="1" t="n">
        <v>20201</v>
      </c>
      <c r="L1091" s="1" t="str">
        <f aca="false">IF(D1090&lt;&gt;D1091,D1091,"")</f>
        <v/>
      </c>
      <c r="M1091" s="1" t="str">
        <f aca="false">IF(F1090&lt;&gt;F1091,F1091,"")</f>
        <v/>
      </c>
    </row>
    <row r="1092" customFormat="false" ht="15" hidden="false" customHeight="false" outlineLevel="0" collapsed="false">
      <c r="A1092" s="1" t="s">
        <v>749</v>
      </c>
      <c r="B1092" s="1" t="s">
        <v>750</v>
      </c>
      <c r="C1092" s="1" t="s">
        <v>767</v>
      </c>
      <c r="D1092" s="1" t="s">
        <v>768</v>
      </c>
      <c r="E1092" s="1" t="n">
        <v>20171</v>
      </c>
      <c r="F1092" s="1" t="s">
        <v>208</v>
      </c>
      <c r="G1092" s="1" t="s">
        <v>15</v>
      </c>
      <c r="H1092" s="1" t="n">
        <v>3.5</v>
      </c>
      <c r="I1092" s="1" t="n">
        <v>0</v>
      </c>
      <c r="J1092" s="1" t="n">
        <v>20201</v>
      </c>
      <c r="L1092" s="1" t="str">
        <f aca="false">IF(D1091&lt;&gt;D1092,D1092,"")</f>
        <v>KECERDASAN BUATAN DALAM STL</v>
      </c>
      <c r="M1092" s="1" t="str">
        <f aca="false">IF(F1091&lt;&gt;F1092,F1092,"")</f>
        <v/>
      </c>
    </row>
    <row r="1093" customFormat="false" ht="15" hidden="false" customHeight="false" outlineLevel="0" collapsed="false">
      <c r="A1093" s="1" t="s">
        <v>729</v>
      </c>
      <c r="B1093" s="1" t="s">
        <v>730</v>
      </c>
      <c r="C1093" s="1" t="s">
        <v>767</v>
      </c>
      <c r="D1093" s="1" t="s">
        <v>768</v>
      </c>
      <c r="E1093" s="1" t="n">
        <v>20171</v>
      </c>
      <c r="F1093" s="1" t="s">
        <v>208</v>
      </c>
      <c r="G1093" s="1" t="s">
        <v>18</v>
      </c>
      <c r="H1093" s="1" t="n">
        <v>3</v>
      </c>
      <c r="I1093" s="1" t="n">
        <v>0</v>
      </c>
      <c r="J1093" s="1" t="n">
        <v>20201</v>
      </c>
      <c r="L1093" s="1" t="str">
        <f aca="false">IF(D1092&lt;&gt;D1093,D1093,"")</f>
        <v/>
      </c>
      <c r="M1093" s="1" t="str">
        <f aca="false">IF(F1092&lt;&gt;F1093,F1093,"")</f>
        <v/>
      </c>
    </row>
    <row r="1094" customFormat="false" ht="15" hidden="false" customHeight="false" outlineLevel="0" collapsed="false">
      <c r="A1094" s="1" t="s">
        <v>731</v>
      </c>
      <c r="B1094" s="1" t="s">
        <v>732</v>
      </c>
      <c r="C1094" s="1" t="s">
        <v>767</v>
      </c>
      <c r="D1094" s="1" t="s">
        <v>768</v>
      </c>
      <c r="E1094" s="1" t="n">
        <v>20171</v>
      </c>
      <c r="F1094" s="1" t="s">
        <v>208</v>
      </c>
      <c r="G1094" s="1" t="s">
        <v>18</v>
      </c>
      <c r="H1094" s="1" t="n">
        <v>3</v>
      </c>
      <c r="I1094" s="1" t="n">
        <v>0</v>
      </c>
      <c r="J1094" s="1" t="n">
        <v>20201</v>
      </c>
      <c r="L1094" s="1" t="str">
        <f aca="false">IF(D1093&lt;&gt;D1094,D1094,"")</f>
        <v/>
      </c>
      <c r="M1094" s="1" t="str">
        <f aca="false">IF(F1093&lt;&gt;F1094,F1094,"")</f>
        <v/>
      </c>
    </row>
    <row r="1095" customFormat="false" ht="15" hidden="false" customHeight="false" outlineLevel="0" collapsed="false">
      <c r="A1095" s="1" t="s">
        <v>733</v>
      </c>
      <c r="B1095" s="1" t="s">
        <v>734</v>
      </c>
      <c r="C1095" s="1" t="s">
        <v>767</v>
      </c>
      <c r="D1095" s="1" t="s">
        <v>768</v>
      </c>
      <c r="E1095" s="1" t="n">
        <v>20171</v>
      </c>
      <c r="F1095" s="1" t="s">
        <v>208</v>
      </c>
      <c r="G1095" s="1" t="s">
        <v>15</v>
      </c>
      <c r="H1095" s="1" t="n">
        <v>3.5</v>
      </c>
      <c r="I1095" s="1" t="n">
        <v>0</v>
      </c>
      <c r="J1095" s="1" t="n">
        <v>20201</v>
      </c>
      <c r="L1095" s="1" t="str">
        <f aca="false">IF(D1094&lt;&gt;D1095,D1095,"")</f>
        <v/>
      </c>
      <c r="M1095" s="1" t="str">
        <f aca="false">IF(F1094&lt;&gt;F1095,F1095,"")</f>
        <v/>
      </c>
    </row>
    <row r="1096" customFormat="false" ht="15" hidden="false" customHeight="false" outlineLevel="0" collapsed="false">
      <c r="A1096" s="1" t="s">
        <v>651</v>
      </c>
      <c r="B1096" s="1" t="s">
        <v>652</v>
      </c>
      <c r="C1096" s="1" t="s">
        <v>767</v>
      </c>
      <c r="D1096" s="1" t="s">
        <v>768</v>
      </c>
      <c r="E1096" s="1" t="n">
        <v>20171</v>
      </c>
      <c r="F1096" s="1" t="s">
        <v>208</v>
      </c>
      <c r="G1096" s="1" t="s">
        <v>14</v>
      </c>
      <c r="H1096" s="1" t="n">
        <v>4</v>
      </c>
      <c r="I1096" s="1" t="n">
        <v>0</v>
      </c>
      <c r="J1096" s="1" t="n">
        <v>20201</v>
      </c>
      <c r="L1096" s="1" t="str">
        <f aca="false">IF(D1095&lt;&gt;D1096,D1096,"")</f>
        <v/>
      </c>
      <c r="M1096" s="1" t="str">
        <f aca="false">IF(F1095&lt;&gt;F1096,F1096,"")</f>
        <v/>
      </c>
    </row>
    <row r="1097" customFormat="false" ht="15" hidden="false" customHeight="false" outlineLevel="0" collapsed="false">
      <c r="A1097" s="1" t="s">
        <v>735</v>
      </c>
      <c r="B1097" s="1" t="s">
        <v>736</v>
      </c>
      <c r="C1097" s="1" t="s">
        <v>767</v>
      </c>
      <c r="D1097" s="1" t="s">
        <v>768</v>
      </c>
      <c r="E1097" s="1" t="n">
        <v>20171</v>
      </c>
      <c r="F1097" s="1" t="s">
        <v>208</v>
      </c>
      <c r="G1097" s="1" t="s">
        <v>14</v>
      </c>
      <c r="H1097" s="1" t="n">
        <v>4</v>
      </c>
      <c r="I1097" s="1" t="n">
        <v>0</v>
      </c>
      <c r="J1097" s="1" t="n">
        <v>20201</v>
      </c>
      <c r="L1097" s="1" t="str">
        <f aca="false">IF(D1096&lt;&gt;D1097,D1097,"")</f>
        <v/>
      </c>
      <c r="M1097" s="1" t="str">
        <f aca="false">IF(F1096&lt;&gt;F1097,F1097,"")</f>
        <v/>
      </c>
    </row>
    <row r="1098" customFormat="false" ht="15" hidden="false" customHeight="false" outlineLevel="0" collapsed="false">
      <c r="A1098" s="1" t="s">
        <v>755</v>
      </c>
      <c r="B1098" s="1" t="s">
        <v>756</v>
      </c>
      <c r="C1098" s="1" t="s">
        <v>767</v>
      </c>
      <c r="D1098" s="1" t="s">
        <v>768</v>
      </c>
      <c r="E1098" s="1" t="n">
        <v>20171</v>
      </c>
      <c r="F1098" s="1" t="s">
        <v>208</v>
      </c>
      <c r="G1098" s="1" t="s">
        <v>14</v>
      </c>
      <c r="H1098" s="1" t="n">
        <v>4</v>
      </c>
      <c r="I1098" s="1" t="n">
        <v>0</v>
      </c>
      <c r="J1098" s="1" t="n">
        <v>20201</v>
      </c>
      <c r="L1098" s="1" t="str">
        <f aca="false">IF(D1097&lt;&gt;D1098,D1098,"")</f>
        <v/>
      </c>
      <c r="M1098" s="1" t="str">
        <f aca="false">IF(F1097&lt;&gt;F1098,F1098,"")</f>
        <v/>
      </c>
    </row>
    <row r="1099" customFormat="false" ht="15" hidden="false" customHeight="false" outlineLevel="0" collapsed="false">
      <c r="A1099" s="1" t="s">
        <v>575</v>
      </c>
      <c r="B1099" s="1" t="s">
        <v>576</v>
      </c>
      <c r="C1099" s="1" t="s">
        <v>767</v>
      </c>
      <c r="D1099" s="1" t="s">
        <v>768</v>
      </c>
      <c r="E1099" s="1" t="n">
        <v>20171</v>
      </c>
      <c r="F1099" s="1" t="s">
        <v>208</v>
      </c>
      <c r="G1099" s="1" t="s">
        <v>18</v>
      </c>
      <c r="H1099" s="1" t="n">
        <v>3</v>
      </c>
      <c r="I1099" s="1" t="n">
        <v>0</v>
      </c>
      <c r="J1099" s="1" t="n">
        <v>20201</v>
      </c>
      <c r="L1099" s="1" t="str">
        <f aca="false">IF(D1098&lt;&gt;D1099,D1099,"")</f>
        <v/>
      </c>
      <c r="M1099" s="1" t="str">
        <f aca="false">IF(F1098&lt;&gt;F1099,F1099,"")</f>
        <v/>
      </c>
    </row>
    <row r="1100" customFormat="false" ht="15" hidden="false" customHeight="false" outlineLevel="0" collapsed="false">
      <c r="A1100" s="1" t="s">
        <v>737</v>
      </c>
      <c r="B1100" s="1" t="s">
        <v>738</v>
      </c>
      <c r="C1100" s="1" t="s">
        <v>767</v>
      </c>
      <c r="D1100" s="1" t="s">
        <v>768</v>
      </c>
      <c r="E1100" s="1" t="n">
        <v>20171</v>
      </c>
      <c r="F1100" s="1" t="s">
        <v>208</v>
      </c>
      <c r="G1100" s="1" t="s">
        <v>15</v>
      </c>
      <c r="H1100" s="1" t="n">
        <v>3.5</v>
      </c>
      <c r="I1100" s="1" t="n">
        <v>0</v>
      </c>
      <c r="J1100" s="1" t="n">
        <v>20201</v>
      </c>
      <c r="L1100" s="1" t="str">
        <f aca="false">IF(D1099&lt;&gt;D1100,D1100,"")</f>
        <v/>
      </c>
      <c r="M1100" s="1" t="str">
        <f aca="false">IF(F1099&lt;&gt;F1100,F1100,"")</f>
        <v/>
      </c>
    </row>
    <row r="1101" customFormat="false" ht="15" hidden="false" customHeight="false" outlineLevel="0" collapsed="false">
      <c r="A1101" s="1" t="s">
        <v>769</v>
      </c>
      <c r="B1101" s="1" t="s">
        <v>770</v>
      </c>
      <c r="C1101" s="1" t="s">
        <v>767</v>
      </c>
      <c r="D1101" s="1" t="s">
        <v>768</v>
      </c>
      <c r="E1101" s="1" t="n">
        <v>20171</v>
      </c>
      <c r="F1101" s="1" t="s">
        <v>208</v>
      </c>
      <c r="G1101" s="1" t="s">
        <v>14</v>
      </c>
      <c r="H1101" s="1" t="n">
        <v>4</v>
      </c>
      <c r="I1101" s="1" t="n">
        <v>0</v>
      </c>
      <c r="J1101" s="1" t="n">
        <v>20201</v>
      </c>
      <c r="L1101" s="1" t="str">
        <f aca="false">IF(D1100&lt;&gt;D1101,D1101,"")</f>
        <v/>
      </c>
      <c r="M1101" s="1" t="str">
        <f aca="false">IF(F1100&lt;&gt;F1101,F1101,"")</f>
        <v/>
      </c>
    </row>
    <row r="1102" customFormat="false" ht="15" hidden="false" customHeight="false" outlineLevel="0" collapsed="false">
      <c r="A1102" s="1" t="s">
        <v>771</v>
      </c>
      <c r="B1102" s="1" t="s">
        <v>772</v>
      </c>
      <c r="C1102" s="1" t="s">
        <v>767</v>
      </c>
      <c r="D1102" s="1" t="s">
        <v>768</v>
      </c>
      <c r="E1102" s="1" t="n">
        <v>20171</v>
      </c>
      <c r="F1102" s="1" t="s">
        <v>208</v>
      </c>
      <c r="G1102" s="1" t="s">
        <v>14</v>
      </c>
      <c r="H1102" s="1" t="n">
        <v>4</v>
      </c>
      <c r="I1102" s="1" t="n">
        <v>0</v>
      </c>
      <c r="J1102" s="1" t="n">
        <v>20201</v>
      </c>
      <c r="L1102" s="1" t="str">
        <f aca="false">IF(D1101&lt;&gt;D1102,D1102,"")</f>
        <v/>
      </c>
      <c r="M1102" s="1" t="str">
        <f aca="false">IF(F1101&lt;&gt;F1102,F1102,"")</f>
        <v/>
      </c>
    </row>
    <row r="1103" customFormat="false" ht="15" hidden="false" customHeight="false" outlineLevel="0" collapsed="false">
      <c r="A1103" s="1" t="s">
        <v>773</v>
      </c>
      <c r="B1103" s="1" t="s">
        <v>774</v>
      </c>
      <c r="C1103" s="1" t="s">
        <v>767</v>
      </c>
      <c r="D1103" s="1" t="s">
        <v>768</v>
      </c>
      <c r="E1103" s="1" t="n">
        <v>20171</v>
      </c>
      <c r="F1103" s="1" t="s">
        <v>208</v>
      </c>
      <c r="G1103" s="1" t="s">
        <v>14</v>
      </c>
      <c r="H1103" s="1" t="n">
        <v>4</v>
      </c>
      <c r="I1103" s="1" t="n">
        <v>0</v>
      </c>
      <c r="J1103" s="1" t="n">
        <v>20201</v>
      </c>
      <c r="L1103" s="1" t="str">
        <f aca="false">IF(D1102&lt;&gt;D1103,D1103,"")</f>
        <v/>
      </c>
      <c r="M1103" s="1" t="str">
        <f aca="false">IF(F1102&lt;&gt;F1103,F1103,"")</f>
        <v/>
      </c>
    </row>
    <row r="1104" customFormat="false" ht="15" hidden="false" customHeight="false" outlineLevel="0" collapsed="false">
      <c r="A1104" s="1" t="s">
        <v>202</v>
      </c>
      <c r="B1104" s="1" t="s">
        <v>203</v>
      </c>
      <c r="C1104" s="1" t="s">
        <v>767</v>
      </c>
      <c r="D1104" s="1" t="s">
        <v>768</v>
      </c>
      <c r="E1104" s="1" t="n">
        <v>20171</v>
      </c>
      <c r="F1104" s="1" t="s">
        <v>208</v>
      </c>
      <c r="G1104" s="1" t="s">
        <v>14</v>
      </c>
      <c r="H1104" s="1" t="n">
        <v>4</v>
      </c>
      <c r="I1104" s="1" t="n">
        <v>0</v>
      </c>
      <c r="J1104" s="1" t="n">
        <v>20201</v>
      </c>
      <c r="L1104" s="1" t="str">
        <f aca="false">IF(D1103&lt;&gt;D1104,D1104,"")</f>
        <v/>
      </c>
      <c r="M1104" s="1" t="str">
        <f aca="false">IF(F1103&lt;&gt;F1104,F1104,"")</f>
        <v/>
      </c>
    </row>
    <row r="1105" customFormat="false" ht="15" hidden="false" customHeight="false" outlineLevel="0" collapsed="false">
      <c r="A1105" s="1" t="s">
        <v>211</v>
      </c>
      <c r="B1105" s="1" t="s">
        <v>212</v>
      </c>
      <c r="C1105" s="1" t="s">
        <v>767</v>
      </c>
      <c r="D1105" s="1" t="s">
        <v>768</v>
      </c>
      <c r="E1105" s="1" t="n">
        <v>20171</v>
      </c>
      <c r="F1105" s="1" t="s">
        <v>208</v>
      </c>
      <c r="G1105" s="1" t="s">
        <v>14</v>
      </c>
      <c r="H1105" s="1" t="n">
        <v>4</v>
      </c>
      <c r="I1105" s="1" t="n">
        <v>0</v>
      </c>
      <c r="J1105" s="1" t="n">
        <v>20201</v>
      </c>
      <c r="L1105" s="1" t="str">
        <f aca="false">IF(D1104&lt;&gt;D1105,D1105,"")</f>
        <v/>
      </c>
      <c r="M1105" s="1" t="str">
        <f aca="false">IF(F1104&lt;&gt;F1105,F1105,"")</f>
        <v/>
      </c>
    </row>
    <row r="1106" customFormat="false" ht="15" hidden="false" customHeight="false" outlineLevel="0" collapsed="false">
      <c r="A1106" s="1" t="s">
        <v>213</v>
      </c>
      <c r="B1106" s="1" t="s">
        <v>214</v>
      </c>
      <c r="C1106" s="1" t="s">
        <v>767</v>
      </c>
      <c r="D1106" s="1" t="s">
        <v>768</v>
      </c>
      <c r="E1106" s="1" t="n">
        <v>20171</v>
      </c>
      <c r="F1106" s="1" t="s">
        <v>208</v>
      </c>
      <c r="G1106" s="1" t="s">
        <v>14</v>
      </c>
      <c r="H1106" s="1" t="n">
        <v>4</v>
      </c>
      <c r="I1106" s="1" t="n">
        <v>0</v>
      </c>
      <c r="J1106" s="1" t="n">
        <v>20201</v>
      </c>
      <c r="L1106" s="1" t="str">
        <f aca="false">IF(D1105&lt;&gt;D1106,D1106,"")</f>
        <v/>
      </c>
      <c r="M1106" s="1" t="str">
        <f aca="false">IF(F1105&lt;&gt;F1106,F1106,"")</f>
        <v/>
      </c>
    </row>
    <row r="1107" customFormat="false" ht="15" hidden="false" customHeight="false" outlineLevel="0" collapsed="false">
      <c r="A1107" s="1" t="s">
        <v>217</v>
      </c>
      <c r="B1107" s="1" t="s">
        <v>218</v>
      </c>
      <c r="C1107" s="1" t="s">
        <v>767</v>
      </c>
      <c r="D1107" s="1" t="s">
        <v>768</v>
      </c>
      <c r="E1107" s="1" t="n">
        <v>20171</v>
      </c>
      <c r="F1107" s="1" t="s">
        <v>208</v>
      </c>
      <c r="G1107" s="1" t="s">
        <v>14</v>
      </c>
      <c r="H1107" s="1" t="n">
        <v>4</v>
      </c>
      <c r="I1107" s="1" t="n">
        <v>0</v>
      </c>
      <c r="J1107" s="1" t="n">
        <v>20201</v>
      </c>
      <c r="L1107" s="1" t="str">
        <f aca="false">IF(D1106&lt;&gt;D1107,D1107,"")</f>
        <v/>
      </c>
      <c r="M1107" s="1" t="str">
        <f aca="false">IF(F1106&lt;&gt;F1107,F1107,"")</f>
        <v/>
      </c>
    </row>
    <row r="1108" customFormat="false" ht="15" hidden="false" customHeight="false" outlineLevel="0" collapsed="false">
      <c r="A1108" s="1" t="s">
        <v>223</v>
      </c>
      <c r="B1108" s="1" t="s">
        <v>224</v>
      </c>
      <c r="C1108" s="1" t="s">
        <v>767</v>
      </c>
      <c r="D1108" s="1" t="s">
        <v>768</v>
      </c>
      <c r="E1108" s="1" t="n">
        <v>20171</v>
      </c>
      <c r="F1108" s="1" t="s">
        <v>208</v>
      </c>
      <c r="G1108" s="1" t="s">
        <v>14</v>
      </c>
      <c r="H1108" s="1" t="n">
        <v>4</v>
      </c>
      <c r="I1108" s="1" t="n">
        <v>0</v>
      </c>
      <c r="J1108" s="1" t="n">
        <v>20201</v>
      </c>
      <c r="L1108" s="1" t="str">
        <f aca="false">IF(D1107&lt;&gt;D1108,D1108,"")</f>
        <v/>
      </c>
      <c r="M1108" s="1" t="str">
        <f aca="false">IF(F1107&lt;&gt;F1108,F1108,"")</f>
        <v/>
      </c>
    </row>
    <row r="1109" customFormat="false" ht="15" hidden="false" customHeight="false" outlineLevel="0" collapsed="false">
      <c r="A1109" s="1" t="s">
        <v>227</v>
      </c>
      <c r="B1109" s="1" t="s">
        <v>228</v>
      </c>
      <c r="C1109" s="1" t="s">
        <v>767</v>
      </c>
      <c r="D1109" s="1" t="s">
        <v>768</v>
      </c>
      <c r="E1109" s="1" t="n">
        <v>20171</v>
      </c>
      <c r="F1109" s="1" t="s">
        <v>208</v>
      </c>
      <c r="G1109" s="1" t="s">
        <v>15</v>
      </c>
      <c r="H1109" s="1" t="n">
        <v>3.5</v>
      </c>
      <c r="I1109" s="1" t="n">
        <v>0</v>
      </c>
      <c r="J1109" s="1" t="n">
        <v>20201</v>
      </c>
      <c r="L1109" s="1" t="str">
        <f aca="false">IF(D1108&lt;&gt;D1109,D1109,"")</f>
        <v/>
      </c>
      <c r="M1109" s="1" t="str">
        <f aca="false">IF(F1108&lt;&gt;F1109,F1109,"")</f>
        <v/>
      </c>
    </row>
    <row r="1110" customFormat="false" ht="15" hidden="false" customHeight="false" outlineLevel="0" collapsed="false">
      <c r="A1110" s="1" t="s">
        <v>229</v>
      </c>
      <c r="B1110" s="1" t="s">
        <v>230</v>
      </c>
      <c r="C1110" s="1" t="s">
        <v>767</v>
      </c>
      <c r="D1110" s="1" t="s">
        <v>768</v>
      </c>
      <c r="E1110" s="1" t="n">
        <v>20171</v>
      </c>
      <c r="F1110" s="1" t="s">
        <v>208</v>
      </c>
      <c r="G1110" s="1" t="s">
        <v>15</v>
      </c>
      <c r="H1110" s="1" t="n">
        <v>3.5</v>
      </c>
      <c r="I1110" s="1" t="n">
        <v>0</v>
      </c>
      <c r="J1110" s="1" t="n">
        <v>20201</v>
      </c>
      <c r="L1110" s="1" t="str">
        <f aca="false">IF(D1109&lt;&gt;D1110,D1110,"")</f>
        <v/>
      </c>
      <c r="M1110" s="1" t="str">
        <f aca="false">IF(F1109&lt;&gt;F1110,F1110,"")</f>
        <v/>
      </c>
    </row>
    <row r="1111" customFormat="false" ht="15" hidden="false" customHeight="false" outlineLevel="0" collapsed="false">
      <c r="A1111" s="1" t="s">
        <v>231</v>
      </c>
      <c r="B1111" s="1" t="s">
        <v>232</v>
      </c>
      <c r="C1111" s="1" t="s">
        <v>767</v>
      </c>
      <c r="D1111" s="1" t="s">
        <v>768</v>
      </c>
      <c r="E1111" s="1" t="n">
        <v>20171</v>
      </c>
      <c r="F1111" s="1" t="s">
        <v>208</v>
      </c>
      <c r="G1111" s="1" t="s">
        <v>15</v>
      </c>
      <c r="H1111" s="1" t="n">
        <v>3.5</v>
      </c>
      <c r="I1111" s="1" t="n">
        <v>0</v>
      </c>
      <c r="J1111" s="1" t="n">
        <v>20201</v>
      </c>
      <c r="L1111" s="1" t="str">
        <f aca="false">IF(D1110&lt;&gt;D1111,D1111,"")</f>
        <v/>
      </c>
      <c r="M1111" s="1" t="str">
        <f aca="false">IF(F1110&lt;&gt;F1111,F1111,"")</f>
        <v/>
      </c>
    </row>
    <row r="1112" customFormat="false" ht="15" hidden="false" customHeight="false" outlineLevel="0" collapsed="false">
      <c r="A1112" s="1" t="s">
        <v>233</v>
      </c>
      <c r="B1112" s="1" t="s">
        <v>234</v>
      </c>
      <c r="C1112" s="1" t="s">
        <v>767</v>
      </c>
      <c r="D1112" s="1" t="s">
        <v>768</v>
      </c>
      <c r="E1112" s="1" t="n">
        <v>20171</v>
      </c>
      <c r="F1112" s="1" t="s">
        <v>208</v>
      </c>
      <c r="G1112" s="1" t="s">
        <v>14</v>
      </c>
      <c r="H1112" s="1" t="n">
        <v>4</v>
      </c>
      <c r="I1112" s="1" t="n">
        <v>0</v>
      </c>
      <c r="J1112" s="1" t="n">
        <v>20201</v>
      </c>
      <c r="L1112" s="1" t="str">
        <f aca="false">IF(D1111&lt;&gt;D1112,D1112,"")</f>
        <v/>
      </c>
      <c r="M1112" s="1" t="str">
        <f aca="false">IF(F1111&lt;&gt;F1112,F1112,"")</f>
        <v/>
      </c>
    </row>
    <row r="1113" customFormat="false" ht="15" hidden="false" customHeight="false" outlineLevel="0" collapsed="false">
      <c r="A1113" s="1" t="s">
        <v>235</v>
      </c>
      <c r="B1113" s="1" t="s">
        <v>236</v>
      </c>
      <c r="C1113" s="1" t="s">
        <v>767</v>
      </c>
      <c r="D1113" s="1" t="s">
        <v>768</v>
      </c>
      <c r="E1113" s="1" t="n">
        <v>20171</v>
      </c>
      <c r="F1113" s="1" t="s">
        <v>208</v>
      </c>
      <c r="G1113" s="1" t="s">
        <v>14</v>
      </c>
      <c r="H1113" s="1" t="n">
        <v>4</v>
      </c>
      <c r="I1113" s="1" t="n">
        <v>0</v>
      </c>
      <c r="J1113" s="1" t="n">
        <v>20201</v>
      </c>
      <c r="L1113" s="1" t="str">
        <f aca="false">IF(D1112&lt;&gt;D1113,D1113,"")</f>
        <v/>
      </c>
      <c r="M1113" s="1" t="str">
        <f aca="false">IF(F1112&lt;&gt;F1113,F1113,"")</f>
        <v/>
      </c>
    </row>
    <row r="1114" customFormat="false" ht="15" hidden="false" customHeight="false" outlineLevel="0" collapsed="false">
      <c r="A1114" s="1" t="s">
        <v>237</v>
      </c>
      <c r="B1114" s="1" t="s">
        <v>238</v>
      </c>
      <c r="C1114" s="1" t="s">
        <v>767</v>
      </c>
      <c r="D1114" s="1" t="s">
        <v>768</v>
      </c>
      <c r="E1114" s="1" t="n">
        <v>20171</v>
      </c>
      <c r="F1114" s="1" t="s">
        <v>208</v>
      </c>
      <c r="G1114" s="1" t="s">
        <v>14</v>
      </c>
      <c r="H1114" s="1" t="n">
        <v>4</v>
      </c>
      <c r="I1114" s="1" t="n">
        <v>0</v>
      </c>
      <c r="J1114" s="1" t="n">
        <v>20201</v>
      </c>
      <c r="L1114" s="1" t="str">
        <f aca="false">IF(D1113&lt;&gt;D1114,D1114,"")</f>
        <v/>
      </c>
      <c r="M1114" s="1" t="str">
        <f aca="false">IF(F1113&lt;&gt;F1114,F1114,"")</f>
        <v/>
      </c>
    </row>
    <row r="1115" customFormat="false" ht="15" hidden="false" customHeight="false" outlineLevel="0" collapsed="false">
      <c r="A1115" s="1" t="s">
        <v>241</v>
      </c>
      <c r="B1115" s="1" t="s">
        <v>242</v>
      </c>
      <c r="C1115" s="1" t="s">
        <v>767</v>
      </c>
      <c r="D1115" s="1" t="s">
        <v>768</v>
      </c>
      <c r="E1115" s="1" t="n">
        <v>20171</v>
      </c>
      <c r="F1115" s="1" t="s">
        <v>208</v>
      </c>
      <c r="G1115" s="1" t="s">
        <v>15</v>
      </c>
      <c r="H1115" s="1" t="n">
        <v>3.5</v>
      </c>
      <c r="I1115" s="1" t="n">
        <v>0</v>
      </c>
      <c r="J1115" s="1" t="n">
        <v>20201</v>
      </c>
      <c r="L1115" s="1" t="str">
        <f aca="false">IF(D1114&lt;&gt;D1115,D1115,"")</f>
        <v/>
      </c>
      <c r="M1115" s="1" t="str">
        <f aca="false">IF(F1114&lt;&gt;F1115,F1115,"")</f>
        <v/>
      </c>
    </row>
    <row r="1116" customFormat="false" ht="15" hidden="false" customHeight="false" outlineLevel="0" collapsed="false">
      <c r="A1116" s="1" t="s">
        <v>243</v>
      </c>
      <c r="B1116" s="1" t="s">
        <v>244</v>
      </c>
      <c r="C1116" s="1" t="s">
        <v>767</v>
      </c>
      <c r="D1116" s="1" t="s">
        <v>768</v>
      </c>
      <c r="E1116" s="1" t="n">
        <v>20171</v>
      </c>
      <c r="F1116" s="1" t="s">
        <v>208</v>
      </c>
      <c r="G1116" s="1" t="s">
        <v>18</v>
      </c>
      <c r="H1116" s="1" t="n">
        <v>3</v>
      </c>
      <c r="I1116" s="1" t="n">
        <v>0</v>
      </c>
      <c r="J1116" s="1" t="n">
        <v>20201</v>
      </c>
      <c r="L1116" s="1" t="str">
        <f aca="false">IF(D1115&lt;&gt;D1116,D1116,"")</f>
        <v/>
      </c>
      <c r="M1116" s="1" t="str">
        <f aca="false">IF(F1115&lt;&gt;F1116,F1116,"")</f>
        <v/>
      </c>
    </row>
    <row r="1117" customFormat="false" ht="15" hidden="false" customHeight="false" outlineLevel="0" collapsed="false">
      <c r="A1117" s="1" t="s">
        <v>245</v>
      </c>
      <c r="B1117" s="1" t="s">
        <v>246</v>
      </c>
      <c r="C1117" s="1" t="s">
        <v>767</v>
      </c>
      <c r="D1117" s="1" t="s">
        <v>768</v>
      </c>
      <c r="E1117" s="1" t="n">
        <v>20171</v>
      </c>
      <c r="F1117" s="1" t="s">
        <v>208</v>
      </c>
      <c r="G1117" s="1" t="s">
        <v>14</v>
      </c>
      <c r="H1117" s="1" t="n">
        <v>4</v>
      </c>
      <c r="I1117" s="1" t="n">
        <v>0</v>
      </c>
      <c r="J1117" s="1" t="n">
        <v>20201</v>
      </c>
      <c r="L1117" s="1" t="str">
        <f aca="false">IF(D1116&lt;&gt;D1117,D1117,"")</f>
        <v/>
      </c>
      <c r="M1117" s="1" t="str">
        <f aca="false">IF(F1116&lt;&gt;F1117,F1117,"")</f>
        <v/>
      </c>
    </row>
    <row r="1118" customFormat="false" ht="15" hidden="false" customHeight="false" outlineLevel="0" collapsed="false">
      <c r="A1118" s="1" t="s">
        <v>249</v>
      </c>
      <c r="B1118" s="1" t="s">
        <v>250</v>
      </c>
      <c r="C1118" s="1" t="s">
        <v>767</v>
      </c>
      <c r="D1118" s="1" t="s">
        <v>768</v>
      </c>
      <c r="E1118" s="1" t="n">
        <v>20171</v>
      </c>
      <c r="F1118" s="1" t="s">
        <v>208</v>
      </c>
      <c r="G1118" s="1" t="s">
        <v>14</v>
      </c>
      <c r="H1118" s="1" t="n">
        <v>4</v>
      </c>
      <c r="I1118" s="1" t="n">
        <v>0</v>
      </c>
      <c r="J1118" s="1" t="n">
        <v>20201</v>
      </c>
      <c r="L1118" s="1" t="str">
        <f aca="false">IF(D1117&lt;&gt;D1118,D1118,"")</f>
        <v/>
      </c>
      <c r="M1118" s="1" t="str">
        <f aca="false">IF(F1117&lt;&gt;F1118,F1118,"")</f>
        <v/>
      </c>
    </row>
    <row r="1119" customFormat="false" ht="15" hidden="false" customHeight="false" outlineLevel="0" collapsed="false">
      <c r="A1119" s="1" t="s">
        <v>251</v>
      </c>
      <c r="B1119" s="1" t="s">
        <v>252</v>
      </c>
      <c r="C1119" s="1" t="s">
        <v>767</v>
      </c>
      <c r="D1119" s="1" t="s">
        <v>768</v>
      </c>
      <c r="E1119" s="1" t="n">
        <v>20171</v>
      </c>
      <c r="F1119" s="1" t="s">
        <v>208</v>
      </c>
      <c r="G1119" s="1" t="s">
        <v>15</v>
      </c>
      <c r="H1119" s="1" t="n">
        <v>3.5</v>
      </c>
      <c r="I1119" s="1" t="n">
        <v>0</v>
      </c>
      <c r="J1119" s="1" t="n">
        <v>20201</v>
      </c>
      <c r="L1119" s="1" t="str">
        <f aca="false">IF(D1118&lt;&gt;D1119,D1119,"")</f>
        <v/>
      </c>
      <c r="M1119" s="1" t="str">
        <f aca="false">IF(F1118&lt;&gt;F1119,F1119,"")</f>
        <v/>
      </c>
    </row>
    <row r="1120" customFormat="false" ht="15" hidden="false" customHeight="false" outlineLevel="0" collapsed="false">
      <c r="A1120" s="1" t="s">
        <v>253</v>
      </c>
      <c r="B1120" s="1" t="s">
        <v>254</v>
      </c>
      <c r="C1120" s="1" t="s">
        <v>767</v>
      </c>
      <c r="D1120" s="1" t="s">
        <v>768</v>
      </c>
      <c r="E1120" s="1" t="n">
        <v>20171</v>
      </c>
      <c r="F1120" s="1" t="s">
        <v>208</v>
      </c>
      <c r="G1120" s="1" t="s">
        <v>15</v>
      </c>
      <c r="H1120" s="1" t="n">
        <v>3.5</v>
      </c>
      <c r="I1120" s="1" t="n">
        <v>0</v>
      </c>
      <c r="J1120" s="1" t="n">
        <v>20201</v>
      </c>
      <c r="L1120" s="1" t="str">
        <f aca="false">IF(D1119&lt;&gt;D1120,D1120,"")</f>
        <v/>
      </c>
      <c r="M1120" s="1" t="str">
        <f aca="false">IF(F1119&lt;&gt;F1120,F1120,"")</f>
        <v/>
      </c>
    </row>
    <row r="1121" customFormat="false" ht="15" hidden="false" customHeight="false" outlineLevel="0" collapsed="false">
      <c r="A1121" s="1" t="s">
        <v>255</v>
      </c>
      <c r="B1121" s="1" t="s">
        <v>256</v>
      </c>
      <c r="C1121" s="1" t="s">
        <v>767</v>
      </c>
      <c r="D1121" s="1" t="s">
        <v>768</v>
      </c>
      <c r="E1121" s="1" t="n">
        <v>20171</v>
      </c>
      <c r="F1121" s="1" t="s">
        <v>208</v>
      </c>
      <c r="G1121" s="1" t="s">
        <v>15</v>
      </c>
      <c r="H1121" s="1" t="n">
        <v>3.5</v>
      </c>
      <c r="I1121" s="1" t="n">
        <v>0</v>
      </c>
      <c r="J1121" s="1" t="n">
        <v>20201</v>
      </c>
      <c r="L1121" s="1" t="str">
        <f aca="false">IF(D1120&lt;&gt;D1121,D1121,"")</f>
        <v/>
      </c>
      <c r="M1121" s="1" t="str">
        <f aca="false">IF(F1120&lt;&gt;F1121,F1121,"")</f>
        <v/>
      </c>
    </row>
    <row r="1122" customFormat="false" ht="15" hidden="false" customHeight="false" outlineLevel="0" collapsed="false">
      <c r="A1122" s="1" t="s">
        <v>257</v>
      </c>
      <c r="B1122" s="1" t="s">
        <v>258</v>
      </c>
      <c r="C1122" s="1" t="s">
        <v>767</v>
      </c>
      <c r="D1122" s="1" t="s">
        <v>768</v>
      </c>
      <c r="E1122" s="1" t="n">
        <v>20171</v>
      </c>
      <c r="F1122" s="1" t="s">
        <v>208</v>
      </c>
      <c r="G1122" s="1" t="s">
        <v>15</v>
      </c>
      <c r="H1122" s="1" t="n">
        <v>3.5</v>
      </c>
      <c r="I1122" s="1" t="n">
        <v>0</v>
      </c>
      <c r="J1122" s="1" t="n">
        <v>20201</v>
      </c>
      <c r="L1122" s="1" t="str">
        <f aca="false">IF(D1121&lt;&gt;D1122,D1122,"")</f>
        <v/>
      </c>
      <c r="M1122" s="1" t="str">
        <f aca="false">IF(F1121&lt;&gt;F1122,F1122,"")</f>
        <v/>
      </c>
    </row>
    <row r="1123" customFormat="false" ht="15" hidden="false" customHeight="false" outlineLevel="0" collapsed="false">
      <c r="A1123" s="1" t="s">
        <v>16</v>
      </c>
      <c r="B1123" s="1" t="s">
        <v>17</v>
      </c>
      <c r="C1123" s="1" t="s">
        <v>775</v>
      </c>
      <c r="D1123" s="1" t="s">
        <v>776</v>
      </c>
      <c r="E1123" s="1" t="n">
        <v>20171</v>
      </c>
      <c r="F1123" s="1" t="s">
        <v>303</v>
      </c>
      <c r="G1123" s="1" t="s">
        <v>124</v>
      </c>
      <c r="H1123" s="1" t="n">
        <v>0</v>
      </c>
      <c r="I1123" s="1" t="n">
        <v>0</v>
      </c>
      <c r="J1123" s="1" t="n">
        <v>20201</v>
      </c>
      <c r="L1123" s="1" t="str">
        <f aca="false">IF(D1122&lt;&gt;D1123,D1123,"")</f>
        <v>KIMIA DASAR</v>
      </c>
      <c r="M1123" s="1" t="str">
        <f aca="false">IF(F1122&lt;&gt;F1123,F1123,"")</f>
        <v>TPB</v>
      </c>
    </row>
    <row r="1124" customFormat="false" ht="15" hidden="false" customHeight="false" outlineLevel="0" collapsed="false">
      <c r="A1124" s="1" t="s">
        <v>314</v>
      </c>
      <c r="B1124" s="1" t="s">
        <v>315</v>
      </c>
      <c r="C1124" s="1" t="s">
        <v>775</v>
      </c>
      <c r="D1124" s="1" t="s">
        <v>776</v>
      </c>
      <c r="E1124" s="1" t="n">
        <v>20171</v>
      </c>
      <c r="F1124" s="1" t="s">
        <v>303</v>
      </c>
      <c r="G1124" s="1" t="s">
        <v>15</v>
      </c>
      <c r="H1124" s="1" t="n">
        <v>3.5</v>
      </c>
      <c r="I1124" s="1" t="n">
        <v>0</v>
      </c>
      <c r="J1124" s="1" t="n">
        <v>20201</v>
      </c>
      <c r="L1124" s="1" t="str">
        <f aca="false">IF(D1123&lt;&gt;D1124,D1124,"")</f>
        <v/>
      </c>
      <c r="M1124" s="1" t="str">
        <f aca="false">IF(F1123&lt;&gt;F1124,F1124,"")</f>
        <v/>
      </c>
    </row>
    <row r="1125" customFormat="false" ht="15" hidden="false" customHeight="false" outlineLevel="0" collapsed="false">
      <c r="A1125" s="1" t="s">
        <v>316</v>
      </c>
      <c r="B1125" s="1" t="s">
        <v>317</v>
      </c>
      <c r="C1125" s="1" t="s">
        <v>775</v>
      </c>
      <c r="D1125" s="1" t="s">
        <v>776</v>
      </c>
      <c r="E1125" s="1" t="n">
        <v>20171</v>
      </c>
      <c r="F1125" s="1" t="s">
        <v>303</v>
      </c>
      <c r="G1125" s="1" t="s">
        <v>15</v>
      </c>
      <c r="H1125" s="1" t="n">
        <v>3.5</v>
      </c>
      <c r="I1125" s="1" t="n">
        <v>0</v>
      </c>
      <c r="J1125" s="1" t="n">
        <v>20201</v>
      </c>
      <c r="L1125" s="1" t="str">
        <f aca="false">IF(D1124&lt;&gt;D1125,D1125,"")</f>
        <v/>
      </c>
      <c r="M1125" s="1" t="str">
        <f aca="false">IF(F1124&lt;&gt;F1125,F1125,"")</f>
        <v/>
      </c>
    </row>
    <row r="1126" customFormat="false" ht="15" hidden="false" customHeight="false" outlineLevel="0" collapsed="false">
      <c r="A1126" s="1" t="s">
        <v>318</v>
      </c>
      <c r="B1126" s="1" t="s">
        <v>319</v>
      </c>
      <c r="C1126" s="1" t="s">
        <v>775</v>
      </c>
      <c r="D1126" s="1" t="s">
        <v>776</v>
      </c>
      <c r="E1126" s="1" t="n">
        <v>20171</v>
      </c>
      <c r="F1126" s="1" t="s">
        <v>303</v>
      </c>
      <c r="G1126" s="1" t="s">
        <v>14</v>
      </c>
      <c r="H1126" s="1" t="n">
        <v>4</v>
      </c>
      <c r="I1126" s="1" t="n">
        <v>0</v>
      </c>
      <c r="J1126" s="1" t="n">
        <v>20201</v>
      </c>
      <c r="L1126" s="1" t="str">
        <f aca="false">IF(D1125&lt;&gt;D1126,D1126,"")</f>
        <v/>
      </c>
      <c r="M1126" s="1" t="str">
        <f aca="false">IF(F1125&lt;&gt;F1126,F1126,"")</f>
        <v/>
      </c>
    </row>
    <row r="1127" customFormat="false" ht="15" hidden="false" customHeight="false" outlineLevel="0" collapsed="false">
      <c r="A1127" s="1" t="s">
        <v>320</v>
      </c>
      <c r="B1127" s="1" t="s">
        <v>321</v>
      </c>
      <c r="C1127" s="1" t="s">
        <v>775</v>
      </c>
      <c r="D1127" s="1" t="s">
        <v>776</v>
      </c>
      <c r="E1127" s="1" t="n">
        <v>20171</v>
      </c>
      <c r="F1127" s="1" t="s">
        <v>303</v>
      </c>
      <c r="G1127" s="1" t="s">
        <v>15</v>
      </c>
      <c r="H1127" s="1" t="n">
        <v>3.5</v>
      </c>
      <c r="I1127" s="1" t="n">
        <v>0</v>
      </c>
      <c r="J1127" s="1" t="n">
        <v>20201</v>
      </c>
      <c r="L1127" s="1" t="str">
        <f aca="false">IF(D1126&lt;&gt;D1127,D1127,"")</f>
        <v/>
      </c>
      <c r="M1127" s="1" t="str">
        <f aca="false">IF(F1126&lt;&gt;F1127,F1127,"")</f>
        <v/>
      </c>
    </row>
    <row r="1128" customFormat="false" ht="15" hidden="false" customHeight="false" outlineLevel="0" collapsed="false">
      <c r="A1128" s="1" t="s">
        <v>322</v>
      </c>
      <c r="B1128" s="1" t="s">
        <v>323</v>
      </c>
      <c r="C1128" s="1" t="s">
        <v>775</v>
      </c>
      <c r="D1128" s="1" t="s">
        <v>776</v>
      </c>
      <c r="E1128" s="1" t="n">
        <v>20171</v>
      </c>
      <c r="F1128" s="1" t="s">
        <v>303</v>
      </c>
      <c r="G1128" s="1" t="s">
        <v>14</v>
      </c>
      <c r="H1128" s="1" t="n">
        <v>4</v>
      </c>
      <c r="I1128" s="1" t="n">
        <v>0</v>
      </c>
      <c r="J1128" s="1" t="n">
        <v>20201</v>
      </c>
      <c r="L1128" s="1" t="str">
        <f aca="false">IF(D1127&lt;&gt;D1128,D1128,"")</f>
        <v/>
      </c>
      <c r="M1128" s="1" t="str">
        <f aca="false">IF(F1127&lt;&gt;F1128,F1128,"")</f>
        <v/>
      </c>
    </row>
    <row r="1129" customFormat="false" ht="15" hidden="false" customHeight="false" outlineLevel="0" collapsed="false">
      <c r="A1129" s="1" t="s">
        <v>324</v>
      </c>
      <c r="B1129" s="1" t="s">
        <v>325</v>
      </c>
      <c r="C1129" s="1" t="s">
        <v>775</v>
      </c>
      <c r="D1129" s="1" t="s">
        <v>776</v>
      </c>
      <c r="E1129" s="1" t="n">
        <v>20171</v>
      </c>
      <c r="F1129" s="1" t="s">
        <v>303</v>
      </c>
      <c r="G1129" s="1" t="s">
        <v>18</v>
      </c>
      <c r="H1129" s="1" t="n">
        <v>3</v>
      </c>
      <c r="I1129" s="1" t="n">
        <v>0</v>
      </c>
      <c r="J1129" s="1" t="n">
        <v>20201</v>
      </c>
      <c r="L1129" s="1" t="str">
        <f aca="false">IF(D1128&lt;&gt;D1129,D1129,"")</f>
        <v/>
      </c>
      <c r="M1129" s="1" t="str">
        <f aca="false">IF(F1128&lt;&gt;F1129,F1129,"")</f>
        <v/>
      </c>
    </row>
    <row r="1130" customFormat="false" ht="15" hidden="false" customHeight="false" outlineLevel="0" collapsed="false">
      <c r="A1130" s="1" t="s">
        <v>326</v>
      </c>
      <c r="B1130" s="1" t="s">
        <v>327</v>
      </c>
      <c r="C1130" s="1" t="s">
        <v>775</v>
      </c>
      <c r="D1130" s="1" t="s">
        <v>776</v>
      </c>
      <c r="E1130" s="1" t="n">
        <v>20171</v>
      </c>
      <c r="F1130" s="1" t="s">
        <v>303</v>
      </c>
      <c r="G1130" s="1" t="s">
        <v>15</v>
      </c>
      <c r="H1130" s="1" t="n">
        <v>3.5</v>
      </c>
      <c r="I1130" s="1" t="n">
        <v>0</v>
      </c>
      <c r="J1130" s="1" t="n">
        <v>20201</v>
      </c>
      <c r="L1130" s="1" t="str">
        <f aca="false">IF(D1129&lt;&gt;D1130,D1130,"")</f>
        <v/>
      </c>
      <c r="M1130" s="1" t="str">
        <f aca="false">IF(F1129&lt;&gt;F1130,F1130,"")</f>
        <v/>
      </c>
    </row>
    <row r="1131" customFormat="false" ht="15" hidden="false" customHeight="false" outlineLevel="0" collapsed="false">
      <c r="A1131" s="1" t="s">
        <v>328</v>
      </c>
      <c r="B1131" s="1" t="s">
        <v>329</v>
      </c>
      <c r="C1131" s="1" t="s">
        <v>775</v>
      </c>
      <c r="D1131" s="1" t="s">
        <v>776</v>
      </c>
      <c r="E1131" s="1" t="n">
        <v>20171</v>
      </c>
      <c r="F1131" s="1" t="s">
        <v>303</v>
      </c>
      <c r="G1131" s="1" t="s">
        <v>101</v>
      </c>
      <c r="H1131" s="1" t="n">
        <v>2.5</v>
      </c>
      <c r="I1131" s="1" t="n">
        <v>0</v>
      </c>
      <c r="J1131" s="1" t="n">
        <v>20201</v>
      </c>
      <c r="L1131" s="1" t="str">
        <f aca="false">IF(D1130&lt;&gt;D1131,D1131,"")</f>
        <v/>
      </c>
      <c r="M1131" s="1" t="str">
        <f aca="false">IF(F1130&lt;&gt;F1131,F1131,"")</f>
        <v/>
      </c>
    </row>
    <row r="1132" customFormat="false" ht="15" hidden="false" customHeight="false" outlineLevel="0" collapsed="false">
      <c r="A1132" s="1" t="s">
        <v>330</v>
      </c>
      <c r="B1132" s="1" t="s">
        <v>331</v>
      </c>
      <c r="C1132" s="1" t="s">
        <v>775</v>
      </c>
      <c r="D1132" s="1" t="s">
        <v>776</v>
      </c>
      <c r="E1132" s="1" t="n">
        <v>20171</v>
      </c>
      <c r="F1132" s="1" t="s">
        <v>303</v>
      </c>
      <c r="G1132" s="1" t="s">
        <v>14</v>
      </c>
      <c r="H1132" s="1" t="n">
        <v>4</v>
      </c>
      <c r="I1132" s="1" t="n">
        <v>0</v>
      </c>
      <c r="J1132" s="1" t="n">
        <v>20201</v>
      </c>
      <c r="L1132" s="1" t="str">
        <f aca="false">IF(D1131&lt;&gt;D1132,D1132,"")</f>
        <v/>
      </c>
      <c r="M1132" s="1" t="str">
        <f aca="false">IF(F1131&lt;&gt;F1132,F1132,"")</f>
        <v/>
      </c>
    </row>
    <row r="1133" customFormat="false" ht="15" hidden="false" customHeight="false" outlineLevel="0" collapsed="false">
      <c r="A1133" s="1" t="s">
        <v>332</v>
      </c>
      <c r="B1133" s="1" t="s">
        <v>333</v>
      </c>
      <c r="C1133" s="1" t="s">
        <v>775</v>
      </c>
      <c r="D1133" s="1" t="s">
        <v>776</v>
      </c>
      <c r="E1133" s="1" t="n">
        <v>20171</v>
      </c>
      <c r="F1133" s="1" t="s">
        <v>303</v>
      </c>
      <c r="G1133" s="1" t="s">
        <v>101</v>
      </c>
      <c r="H1133" s="1" t="n">
        <v>2.5</v>
      </c>
      <c r="I1133" s="1" t="n">
        <v>0</v>
      </c>
      <c r="J1133" s="1" t="n">
        <v>20201</v>
      </c>
      <c r="L1133" s="1" t="str">
        <f aca="false">IF(D1132&lt;&gt;D1133,D1133,"")</f>
        <v/>
      </c>
      <c r="M1133" s="1" t="str">
        <f aca="false">IF(F1132&lt;&gt;F1133,F1133,"")</f>
        <v/>
      </c>
    </row>
    <row r="1134" customFormat="false" ht="15" hidden="false" customHeight="false" outlineLevel="0" collapsed="false">
      <c r="A1134" s="1" t="s">
        <v>334</v>
      </c>
      <c r="B1134" s="1" t="s">
        <v>335</v>
      </c>
      <c r="C1134" s="1" t="s">
        <v>775</v>
      </c>
      <c r="D1134" s="1" t="s">
        <v>776</v>
      </c>
      <c r="E1134" s="1" t="n">
        <v>20171</v>
      </c>
      <c r="F1134" s="1" t="s">
        <v>303</v>
      </c>
      <c r="G1134" s="1" t="s">
        <v>15</v>
      </c>
      <c r="H1134" s="1" t="n">
        <v>3.5</v>
      </c>
      <c r="I1134" s="1" t="n">
        <v>0</v>
      </c>
      <c r="J1134" s="1" t="n">
        <v>20201</v>
      </c>
      <c r="L1134" s="1" t="str">
        <f aca="false">IF(D1133&lt;&gt;D1134,D1134,"")</f>
        <v/>
      </c>
      <c r="M1134" s="1" t="str">
        <f aca="false">IF(F1133&lt;&gt;F1134,F1134,"")</f>
        <v/>
      </c>
    </row>
    <row r="1135" customFormat="false" ht="15" hidden="false" customHeight="false" outlineLevel="0" collapsed="false">
      <c r="A1135" s="1" t="s">
        <v>336</v>
      </c>
      <c r="B1135" s="1" t="s">
        <v>337</v>
      </c>
      <c r="C1135" s="1" t="s">
        <v>775</v>
      </c>
      <c r="D1135" s="1" t="s">
        <v>776</v>
      </c>
      <c r="E1135" s="1" t="n">
        <v>20171</v>
      </c>
      <c r="F1135" s="1" t="s">
        <v>303</v>
      </c>
      <c r="G1135" s="1" t="s">
        <v>18</v>
      </c>
      <c r="H1135" s="1" t="n">
        <v>3</v>
      </c>
      <c r="I1135" s="1" t="n">
        <v>0</v>
      </c>
      <c r="J1135" s="1" t="n">
        <v>20201</v>
      </c>
      <c r="L1135" s="1" t="str">
        <f aca="false">IF(D1134&lt;&gt;D1135,D1135,"")</f>
        <v/>
      </c>
      <c r="M1135" s="1" t="str">
        <f aca="false">IF(F1134&lt;&gt;F1135,F1135,"")</f>
        <v/>
      </c>
    </row>
    <row r="1136" customFormat="false" ht="15" hidden="false" customHeight="false" outlineLevel="0" collapsed="false">
      <c r="A1136" s="1" t="s">
        <v>338</v>
      </c>
      <c r="B1136" s="1" t="s">
        <v>339</v>
      </c>
      <c r="C1136" s="1" t="s">
        <v>775</v>
      </c>
      <c r="D1136" s="1" t="s">
        <v>776</v>
      </c>
      <c r="E1136" s="1" t="n">
        <v>20171</v>
      </c>
      <c r="F1136" s="1" t="s">
        <v>303</v>
      </c>
      <c r="G1136" s="1" t="s">
        <v>127</v>
      </c>
      <c r="H1136" s="1" t="n">
        <v>2</v>
      </c>
      <c r="I1136" s="1" t="n">
        <v>0</v>
      </c>
      <c r="J1136" s="1" t="n">
        <v>20201</v>
      </c>
      <c r="L1136" s="1" t="str">
        <f aca="false">IF(D1135&lt;&gt;D1136,D1136,"")</f>
        <v/>
      </c>
      <c r="M1136" s="1" t="str">
        <f aca="false">IF(F1135&lt;&gt;F1136,F1136,"")</f>
        <v/>
      </c>
    </row>
    <row r="1137" customFormat="false" ht="15" hidden="false" customHeight="false" outlineLevel="0" collapsed="false">
      <c r="A1137" s="1" t="s">
        <v>340</v>
      </c>
      <c r="B1137" s="1" t="s">
        <v>341</v>
      </c>
      <c r="C1137" s="1" t="s">
        <v>775</v>
      </c>
      <c r="D1137" s="1" t="s">
        <v>776</v>
      </c>
      <c r="E1137" s="1" t="n">
        <v>20171</v>
      </c>
      <c r="F1137" s="1" t="s">
        <v>303</v>
      </c>
      <c r="G1137" s="1" t="s">
        <v>30</v>
      </c>
      <c r="H1137" s="1" t="n">
        <v>1.5</v>
      </c>
      <c r="I1137" s="1" t="n">
        <v>0</v>
      </c>
      <c r="J1137" s="1" t="n">
        <v>20201</v>
      </c>
      <c r="L1137" s="1" t="str">
        <f aca="false">IF(D1136&lt;&gt;D1137,D1137,"")</f>
        <v/>
      </c>
      <c r="M1137" s="1" t="str">
        <f aca="false">IF(F1136&lt;&gt;F1137,F1137,"")</f>
        <v/>
      </c>
    </row>
    <row r="1138" customFormat="false" ht="15" hidden="false" customHeight="false" outlineLevel="0" collapsed="false">
      <c r="A1138" s="1" t="s">
        <v>342</v>
      </c>
      <c r="B1138" s="1" t="s">
        <v>343</v>
      </c>
      <c r="C1138" s="1" t="s">
        <v>775</v>
      </c>
      <c r="D1138" s="1" t="s">
        <v>776</v>
      </c>
      <c r="E1138" s="1" t="n">
        <v>20171</v>
      </c>
      <c r="F1138" s="1" t="s">
        <v>303</v>
      </c>
      <c r="G1138" s="1" t="s">
        <v>15</v>
      </c>
      <c r="H1138" s="1" t="n">
        <v>3.5</v>
      </c>
      <c r="I1138" s="1" t="n">
        <v>0</v>
      </c>
      <c r="J1138" s="1" t="n">
        <v>20201</v>
      </c>
      <c r="L1138" s="1" t="str">
        <f aca="false">IF(D1137&lt;&gt;D1138,D1138,"")</f>
        <v/>
      </c>
      <c r="M1138" s="1" t="str">
        <f aca="false">IF(F1137&lt;&gt;F1138,F1138,"")</f>
        <v/>
      </c>
    </row>
    <row r="1139" customFormat="false" ht="15" hidden="false" customHeight="false" outlineLevel="0" collapsed="false">
      <c r="A1139" s="1" t="s">
        <v>344</v>
      </c>
      <c r="B1139" s="1" t="s">
        <v>345</v>
      </c>
      <c r="C1139" s="1" t="s">
        <v>775</v>
      </c>
      <c r="D1139" s="1" t="s">
        <v>776</v>
      </c>
      <c r="E1139" s="1" t="n">
        <v>20171</v>
      </c>
      <c r="F1139" s="1" t="s">
        <v>303</v>
      </c>
      <c r="G1139" s="1" t="s">
        <v>101</v>
      </c>
      <c r="H1139" s="1" t="n">
        <v>2.5</v>
      </c>
      <c r="I1139" s="1" t="n">
        <v>0</v>
      </c>
      <c r="J1139" s="1" t="n">
        <v>20201</v>
      </c>
      <c r="L1139" s="1" t="str">
        <f aca="false">IF(D1138&lt;&gt;D1139,D1139,"")</f>
        <v/>
      </c>
      <c r="M1139" s="1" t="str">
        <f aca="false">IF(F1138&lt;&gt;F1139,F1139,"")</f>
        <v/>
      </c>
    </row>
    <row r="1140" customFormat="false" ht="15" hidden="false" customHeight="false" outlineLevel="0" collapsed="false">
      <c r="A1140" s="1" t="s">
        <v>346</v>
      </c>
      <c r="B1140" s="1" t="s">
        <v>347</v>
      </c>
      <c r="C1140" s="1" t="s">
        <v>775</v>
      </c>
      <c r="D1140" s="1" t="s">
        <v>776</v>
      </c>
      <c r="E1140" s="1" t="n">
        <v>20171</v>
      </c>
      <c r="F1140" s="1" t="s">
        <v>303</v>
      </c>
      <c r="G1140" s="1" t="s">
        <v>514</v>
      </c>
      <c r="H1140" s="1" t="n">
        <v>1</v>
      </c>
      <c r="I1140" s="1" t="n">
        <v>0</v>
      </c>
      <c r="J1140" s="1" t="n">
        <v>20201</v>
      </c>
      <c r="L1140" s="1" t="str">
        <f aca="false">IF(D1139&lt;&gt;D1140,D1140,"")</f>
        <v/>
      </c>
      <c r="M1140" s="1" t="str">
        <f aca="false">IF(F1139&lt;&gt;F1140,F1140,"")</f>
        <v/>
      </c>
    </row>
    <row r="1141" customFormat="false" ht="15" hidden="false" customHeight="false" outlineLevel="0" collapsed="false">
      <c r="A1141" s="1" t="s">
        <v>348</v>
      </c>
      <c r="B1141" s="1" t="s">
        <v>349</v>
      </c>
      <c r="C1141" s="1" t="s">
        <v>775</v>
      </c>
      <c r="D1141" s="1" t="s">
        <v>776</v>
      </c>
      <c r="E1141" s="1" t="n">
        <v>20171</v>
      </c>
      <c r="F1141" s="1" t="s">
        <v>303</v>
      </c>
      <c r="G1141" s="1" t="s">
        <v>15</v>
      </c>
      <c r="H1141" s="1" t="n">
        <v>3.5</v>
      </c>
      <c r="I1141" s="1" t="n">
        <v>0</v>
      </c>
      <c r="J1141" s="1" t="n">
        <v>20201</v>
      </c>
      <c r="L1141" s="1" t="str">
        <f aca="false">IF(D1140&lt;&gt;D1141,D1141,"")</f>
        <v/>
      </c>
      <c r="M1141" s="1" t="str">
        <f aca="false">IF(F1140&lt;&gt;F1141,F1141,"")</f>
        <v/>
      </c>
    </row>
    <row r="1142" customFormat="false" ht="15" hidden="false" customHeight="false" outlineLevel="0" collapsed="false">
      <c r="A1142" s="1" t="s">
        <v>350</v>
      </c>
      <c r="B1142" s="1" t="s">
        <v>351</v>
      </c>
      <c r="C1142" s="1" t="s">
        <v>775</v>
      </c>
      <c r="D1142" s="1" t="s">
        <v>776</v>
      </c>
      <c r="E1142" s="1" t="n">
        <v>20171</v>
      </c>
      <c r="F1142" s="1" t="s">
        <v>303</v>
      </c>
      <c r="G1142" s="1" t="s">
        <v>101</v>
      </c>
      <c r="H1142" s="1" t="n">
        <v>2.5</v>
      </c>
      <c r="I1142" s="1" t="n">
        <v>0</v>
      </c>
      <c r="J1142" s="1" t="n">
        <v>20201</v>
      </c>
      <c r="L1142" s="1" t="str">
        <f aca="false">IF(D1141&lt;&gt;D1142,D1142,"")</f>
        <v/>
      </c>
      <c r="M1142" s="1" t="str">
        <f aca="false">IF(F1141&lt;&gt;F1142,F1142,"")</f>
        <v/>
      </c>
    </row>
    <row r="1143" customFormat="false" ht="15" hidden="false" customHeight="false" outlineLevel="0" collapsed="false">
      <c r="A1143" s="1" t="s">
        <v>352</v>
      </c>
      <c r="B1143" s="1" t="s">
        <v>353</v>
      </c>
      <c r="C1143" s="1" t="s">
        <v>775</v>
      </c>
      <c r="D1143" s="1" t="s">
        <v>776</v>
      </c>
      <c r="E1143" s="1" t="n">
        <v>20171</v>
      </c>
      <c r="F1143" s="1" t="s">
        <v>303</v>
      </c>
      <c r="G1143" s="1" t="s">
        <v>30</v>
      </c>
      <c r="H1143" s="1" t="n">
        <v>1.5</v>
      </c>
      <c r="I1143" s="1" t="n">
        <v>0</v>
      </c>
      <c r="J1143" s="1" t="n">
        <v>20201</v>
      </c>
      <c r="L1143" s="1" t="str">
        <f aca="false">IF(D1142&lt;&gt;D1143,D1143,"")</f>
        <v/>
      </c>
      <c r="M1143" s="1" t="str">
        <f aca="false">IF(F1142&lt;&gt;F1143,F1143,"")</f>
        <v/>
      </c>
    </row>
    <row r="1144" customFormat="false" ht="15" hidden="false" customHeight="false" outlineLevel="0" collapsed="false">
      <c r="A1144" s="1" t="s">
        <v>354</v>
      </c>
      <c r="B1144" s="1" t="s">
        <v>355</v>
      </c>
      <c r="C1144" s="1" t="s">
        <v>775</v>
      </c>
      <c r="D1144" s="1" t="s">
        <v>776</v>
      </c>
      <c r="E1144" s="1" t="n">
        <v>20171</v>
      </c>
      <c r="F1144" s="1" t="s">
        <v>303</v>
      </c>
      <c r="G1144" s="1" t="s">
        <v>124</v>
      </c>
      <c r="H1144" s="1" t="n">
        <v>0</v>
      </c>
      <c r="I1144" s="1" t="n">
        <v>0</v>
      </c>
      <c r="J1144" s="1" t="n">
        <v>20201</v>
      </c>
      <c r="L1144" s="1" t="str">
        <f aca="false">IF(D1143&lt;&gt;D1144,D1144,"")</f>
        <v/>
      </c>
      <c r="M1144" s="1" t="str">
        <f aca="false">IF(F1143&lt;&gt;F1144,F1144,"")</f>
        <v/>
      </c>
    </row>
    <row r="1145" customFormat="false" ht="15" hidden="false" customHeight="false" outlineLevel="0" collapsed="false">
      <c r="A1145" s="1" t="s">
        <v>356</v>
      </c>
      <c r="B1145" s="1" t="s">
        <v>357</v>
      </c>
      <c r="C1145" s="1" t="s">
        <v>775</v>
      </c>
      <c r="D1145" s="1" t="s">
        <v>776</v>
      </c>
      <c r="E1145" s="1" t="n">
        <v>20171</v>
      </c>
      <c r="F1145" s="1" t="s">
        <v>303</v>
      </c>
      <c r="G1145" s="1" t="s">
        <v>15</v>
      </c>
      <c r="H1145" s="1" t="n">
        <v>3.5</v>
      </c>
      <c r="I1145" s="1" t="n">
        <v>0</v>
      </c>
      <c r="J1145" s="1" t="n">
        <v>20201</v>
      </c>
      <c r="L1145" s="1" t="str">
        <f aca="false">IF(D1144&lt;&gt;D1145,D1145,"")</f>
        <v/>
      </c>
      <c r="M1145" s="1" t="str">
        <f aca="false">IF(F1144&lt;&gt;F1145,F1145,"")</f>
        <v/>
      </c>
    </row>
    <row r="1146" customFormat="false" ht="15" hidden="false" customHeight="false" outlineLevel="0" collapsed="false">
      <c r="A1146" s="1" t="s">
        <v>358</v>
      </c>
      <c r="B1146" s="1" t="s">
        <v>359</v>
      </c>
      <c r="C1146" s="1" t="s">
        <v>775</v>
      </c>
      <c r="D1146" s="1" t="s">
        <v>776</v>
      </c>
      <c r="E1146" s="1" t="n">
        <v>20171</v>
      </c>
      <c r="F1146" s="1" t="s">
        <v>303</v>
      </c>
      <c r="G1146" s="1" t="s">
        <v>101</v>
      </c>
      <c r="H1146" s="1" t="n">
        <v>2.5</v>
      </c>
      <c r="I1146" s="1" t="n">
        <v>0</v>
      </c>
      <c r="J1146" s="1" t="n">
        <v>20201</v>
      </c>
      <c r="L1146" s="1" t="str">
        <f aca="false">IF(D1145&lt;&gt;D1146,D1146,"")</f>
        <v/>
      </c>
      <c r="M1146" s="1" t="str">
        <f aca="false">IF(F1145&lt;&gt;F1146,F1146,"")</f>
        <v/>
      </c>
    </row>
    <row r="1147" customFormat="false" ht="15" hidden="false" customHeight="false" outlineLevel="0" collapsed="false">
      <c r="A1147" s="1" t="s">
        <v>360</v>
      </c>
      <c r="B1147" s="1" t="s">
        <v>361</v>
      </c>
      <c r="C1147" s="1" t="s">
        <v>775</v>
      </c>
      <c r="D1147" s="1" t="s">
        <v>776</v>
      </c>
      <c r="E1147" s="1" t="n">
        <v>20171</v>
      </c>
      <c r="F1147" s="1" t="s">
        <v>303</v>
      </c>
      <c r="G1147" s="1" t="s">
        <v>18</v>
      </c>
      <c r="H1147" s="1" t="n">
        <v>3</v>
      </c>
      <c r="I1147" s="1" t="n">
        <v>0</v>
      </c>
      <c r="J1147" s="1" t="n">
        <v>20201</v>
      </c>
      <c r="L1147" s="1" t="str">
        <f aca="false">IF(D1146&lt;&gt;D1147,D1147,"")</f>
        <v/>
      </c>
      <c r="M1147" s="1" t="str">
        <f aca="false">IF(F1146&lt;&gt;F1147,F1147,"")</f>
        <v/>
      </c>
    </row>
    <row r="1148" customFormat="false" ht="15" hidden="false" customHeight="false" outlineLevel="0" collapsed="false">
      <c r="A1148" s="1" t="s">
        <v>362</v>
      </c>
      <c r="B1148" s="1" t="s">
        <v>363</v>
      </c>
      <c r="C1148" s="1" t="s">
        <v>775</v>
      </c>
      <c r="D1148" s="1" t="s">
        <v>776</v>
      </c>
      <c r="E1148" s="1" t="n">
        <v>20171</v>
      </c>
      <c r="F1148" s="1" t="s">
        <v>303</v>
      </c>
      <c r="G1148" s="1" t="s">
        <v>101</v>
      </c>
      <c r="H1148" s="1" t="n">
        <v>2.5</v>
      </c>
      <c r="I1148" s="1" t="n">
        <v>0</v>
      </c>
      <c r="J1148" s="1" t="n">
        <v>20201</v>
      </c>
      <c r="L1148" s="1" t="str">
        <f aca="false">IF(D1147&lt;&gt;D1148,D1148,"")</f>
        <v/>
      </c>
      <c r="M1148" s="1" t="str">
        <f aca="false">IF(F1147&lt;&gt;F1148,F1148,"")</f>
        <v/>
      </c>
    </row>
    <row r="1149" customFormat="false" ht="15" hidden="false" customHeight="false" outlineLevel="0" collapsed="false">
      <c r="A1149" s="1" t="s">
        <v>364</v>
      </c>
      <c r="B1149" s="1" t="s">
        <v>365</v>
      </c>
      <c r="C1149" s="1" t="s">
        <v>775</v>
      </c>
      <c r="D1149" s="1" t="s">
        <v>776</v>
      </c>
      <c r="E1149" s="1" t="n">
        <v>20171</v>
      </c>
      <c r="F1149" s="1" t="s">
        <v>303</v>
      </c>
      <c r="G1149" s="1" t="s">
        <v>14</v>
      </c>
      <c r="H1149" s="1" t="n">
        <v>4</v>
      </c>
      <c r="I1149" s="1" t="n">
        <v>0</v>
      </c>
      <c r="J1149" s="1" t="n">
        <v>20201</v>
      </c>
      <c r="L1149" s="1" t="str">
        <f aca="false">IF(D1148&lt;&gt;D1149,D1149,"")</f>
        <v/>
      </c>
      <c r="M1149" s="1" t="str">
        <f aca="false">IF(F1148&lt;&gt;F1149,F1149,"")</f>
        <v/>
      </c>
    </row>
    <row r="1150" customFormat="false" ht="15" hidden="false" customHeight="false" outlineLevel="0" collapsed="false">
      <c r="A1150" s="1" t="s">
        <v>366</v>
      </c>
      <c r="B1150" s="1" t="s">
        <v>367</v>
      </c>
      <c r="C1150" s="1" t="s">
        <v>775</v>
      </c>
      <c r="D1150" s="1" t="s">
        <v>776</v>
      </c>
      <c r="E1150" s="1" t="n">
        <v>20171</v>
      </c>
      <c r="F1150" s="1" t="s">
        <v>303</v>
      </c>
      <c r="G1150" s="1" t="s">
        <v>18</v>
      </c>
      <c r="H1150" s="1" t="n">
        <v>3</v>
      </c>
      <c r="I1150" s="1" t="n">
        <v>0</v>
      </c>
      <c r="J1150" s="1" t="n">
        <v>20201</v>
      </c>
      <c r="L1150" s="1" t="str">
        <f aca="false">IF(D1149&lt;&gt;D1150,D1150,"")</f>
        <v/>
      </c>
      <c r="M1150" s="1" t="str">
        <f aca="false">IF(F1149&lt;&gt;F1150,F1150,"")</f>
        <v/>
      </c>
    </row>
    <row r="1151" customFormat="false" ht="15" hidden="false" customHeight="false" outlineLevel="0" collapsed="false">
      <c r="A1151" s="1" t="s">
        <v>368</v>
      </c>
      <c r="B1151" s="1" t="s">
        <v>369</v>
      </c>
      <c r="C1151" s="1" t="s">
        <v>775</v>
      </c>
      <c r="D1151" s="1" t="s">
        <v>776</v>
      </c>
      <c r="E1151" s="1" t="n">
        <v>20171</v>
      </c>
      <c r="F1151" s="1" t="s">
        <v>303</v>
      </c>
      <c r="G1151" s="1" t="s">
        <v>101</v>
      </c>
      <c r="H1151" s="1" t="n">
        <v>2.5</v>
      </c>
      <c r="I1151" s="1" t="n">
        <v>0</v>
      </c>
      <c r="J1151" s="1" t="n">
        <v>20201</v>
      </c>
      <c r="L1151" s="1" t="str">
        <f aca="false">IF(D1150&lt;&gt;D1151,D1151,"")</f>
        <v/>
      </c>
      <c r="M1151" s="1" t="str">
        <f aca="false">IF(F1150&lt;&gt;F1151,F1151,"")</f>
        <v/>
      </c>
    </row>
    <row r="1152" customFormat="false" ht="15" hidden="false" customHeight="false" outlineLevel="0" collapsed="false">
      <c r="A1152" s="1" t="s">
        <v>370</v>
      </c>
      <c r="B1152" s="1" t="s">
        <v>371</v>
      </c>
      <c r="C1152" s="1" t="s">
        <v>775</v>
      </c>
      <c r="D1152" s="1" t="s">
        <v>776</v>
      </c>
      <c r="E1152" s="1" t="n">
        <v>20171</v>
      </c>
      <c r="F1152" s="1" t="s">
        <v>303</v>
      </c>
      <c r="G1152" s="1" t="s">
        <v>18</v>
      </c>
      <c r="H1152" s="1" t="n">
        <v>3</v>
      </c>
      <c r="I1152" s="1" t="n">
        <v>0</v>
      </c>
      <c r="J1152" s="1" t="n">
        <v>20201</v>
      </c>
      <c r="L1152" s="1" t="str">
        <f aca="false">IF(D1151&lt;&gt;D1152,D1152,"")</f>
        <v/>
      </c>
      <c r="M1152" s="1" t="str">
        <f aca="false">IF(F1151&lt;&gt;F1152,F1152,"")</f>
        <v/>
      </c>
    </row>
    <row r="1153" customFormat="false" ht="15" hidden="false" customHeight="false" outlineLevel="0" collapsed="false">
      <c r="A1153" s="1" t="s">
        <v>372</v>
      </c>
      <c r="B1153" s="1" t="s">
        <v>373</v>
      </c>
      <c r="C1153" s="1" t="s">
        <v>775</v>
      </c>
      <c r="D1153" s="1" t="s">
        <v>776</v>
      </c>
      <c r="E1153" s="1" t="n">
        <v>20171</v>
      </c>
      <c r="F1153" s="1" t="s">
        <v>303</v>
      </c>
      <c r="G1153" s="1" t="s">
        <v>15</v>
      </c>
      <c r="H1153" s="1" t="n">
        <v>3.5</v>
      </c>
      <c r="I1153" s="1" t="n">
        <v>0</v>
      </c>
      <c r="J1153" s="1" t="n">
        <v>20201</v>
      </c>
      <c r="L1153" s="1" t="str">
        <f aca="false">IF(D1152&lt;&gt;D1153,D1153,"")</f>
        <v/>
      </c>
      <c r="M1153" s="1" t="str">
        <f aca="false">IF(F1152&lt;&gt;F1153,F1153,"")</f>
        <v/>
      </c>
    </row>
    <row r="1154" customFormat="false" ht="15" hidden="false" customHeight="false" outlineLevel="0" collapsed="false">
      <c r="A1154" s="1" t="s">
        <v>374</v>
      </c>
      <c r="B1154" s="1" t="s">
        <v>375</v>
      </c>
      <c r="C1154" s="1" t="s">
        <v>775</v>
      </c>
      <c r="D1154" s="1" t="s">
        <v>776</v>
      </c>
      <c r="E1154" s="1" t="n">
        <v>20171</v>
      </c>
      <c r="F1154" s="1" t="s">
        <v>303</v>
      </c>
      <c r="G1154" s="1" t="s">
        <v>15</v>
      </c>
      <c r="H1154" s="1" t="n">
        <v>3.5</v>
      </c>
      <c r="I1154" s="1" t="n">
        <v>0</v>
      </c>
      <c r="J1154" s="1" t="n">
        <v>20201</v>
      </c>
      <c r="L1154" s="1" t="str">
        <f aca="false">IF(D1153&lt;&gt;D1154,D1154,"")</f>
        <v/>
      </c>
      <c r="M1154" s="1" t="str">
        <f aca="false">IF(F1153&lt;&gt;F1154,F1154,"")</f>
        <v/>
      </c>
    </row>
    <row r="1155" customFormat="false" ht="15" hidden="false" customHeight="false" outlineLevel="0" collapsed="false">
      <c r="A1155" s="1" t="s">
        <v>376</v>
      </c>
      <c r="B1155" s="1" t="s">
        <v>377</v>
      </c>
      <c r="C1155" s="1" t="s">
        <v>775</v>
      </c>
      <c r="D1155" s="1" t="s">
        <v>776</v>
      </c>
      <c r="E1155" s="1" t="n">
        <v>20171</v>
      </c>
      <c r="F1155" s="1" t="s">
        <v>303</v>
      </c>
      <c r="G1155" s="1" t="s">
        <v>15</v>
      </c>
      <c r="H1155" s="1" t="n">
        <v>3.5</v>
      </c>
      <c r="I1155" s="1" t="n">
        <v>0</v>
      </c>
      <c r="J1155" s="1" t="n">
        <v>20201</v>
      </c>
      <c r="L1155" s="1" t="str">
        <f aca="false">IF(D1154&lt;&gt;D1155,D1155,"")</f>
        <v/>
      </c>
      <c r="M1155" s="1" t="str">
        <f aca="false">IF(F1154&lt;&gt;F1155,F1155,"")</f>
        <v/>
      </c>
    </row>
    <row r="1156" customFormat="false" ht="15" hidden="false" customHeight="false" outlineLevel="0" collapsed="false">
      <c r="A1156" s="1" t="s">
        <v>378</v>
      </c>
      <c r="B1156" s="1" t="s">
        <v>379</v>
      </c>
      <c r="C1156" s="1" t="s">
        <v>775</v>
      </c>
      <c r="D1156" s="1" t="s">
        <v>776</v>
      </c>
      <c r="E1156" s="1" t="n">
        <v>20171</v>
      </c>
      <c r="F1156" s="1" t="s">
        <v>303</v>
      </c>
      <c r="G1156" s="1" t="s">
        <v>15</v>
      </c>
      <c r="H1156" s="1" t="n">
        <v>3.5</v>
      </c>
      <c r="I1156" s="1" t="n">
        <v>0</v>
      </c>
      <c r="J1156" s="1" t="n">
        <v>20201</v>
      </c>
      <c r="L1156" s="1" t="str">
        <f aca="false">IF(D1155&lt;&gt;D1156,D1156,"")</f>
        <v/>
      </c>
      <c r="M1156" s="1" t="str">
        <f aca="false">IF(F1155&lt;&gt;F1156,F1156,"")</f>
        <v/>
      </c>
    </row>
    <row r="1157" customFormat="false" ht="15" hidden="false" customHeight="false" outlineLevel="0" collapsed="false">
      <c r="A1157" s="1" t="s">
        <v>380</v>
      </c>
      <c r="B1157" s="1" t="s">
        <v>381</v>
      </c>
      <c r="C1157" s="1" t="s">
        <v>775</v>
      </c>
      <c r="D1157" s="1" t="s">
        <v>776</v>
      </c>
      <c r="E1157" s="1" t="n">
        <v>20171</v>
      </c>
      <c r="F1157" s="1" t="s">
        <v>303</v>
      </c>
      <c r="G1157" s="1" t="s">
        <v>15</v>
      </c>
      <c r="H1157" s="1" t="n">
        <v>3.5</v>
      </c>
      <c r="I1157" s="1" t="n">
        <v>0</v>
      </c>
      <c r="J1157" s="1" t="n">
        <v>20201</v>
      </c>
      <c r="L1157" s="1" t="str">
        <f aca="false">IF(D1156&lt;&gt;D1157,D1157,"")</f>
        <v/>
      </c>
      <c r="M1157" s="1" t="str">
        <f aca="false">IF(F1156&lt;&gt;F1157,F1157,"")</f>
        <v/>
      </c>
    </row>
    <row r="1158" customFormat="false" ht="15" hidden="false" customHeight="false" outlineLevel="0" collapsed="false">
      <c r="A1158" s="1" t="s">
        <v>382</v>
      </c>
      <c r="B1158" s="1" t="s">
        <v>383</v>
      </c>
      <c r="C1158" s="1" t="s">
        <v>775</v>
      </c>
      <c r="D1158" s="1" t="s">
        <v>776</v>
      </c>
      <c r="E1158" s="1" t="n">
        <v>20171</v>
      </c>
      <c r="F1158" s="1" t="s">
        <v>303</v>
      </c>
      <c r="G1158" s="1" t="s">
        <v>15</v>
      </c>
      <c r="H1158" s="1" t="n">
        <v>3.5</v>
      </c>
      <c r="I1158" s="1" t="n">
        <v>0</v>
      </c>
      <c r="J1158" s="1" t="n">
        <v>20201</v>
      </c>
      <c r="L1158" s="1" t="str">
        <f aca="false">IF(D1157&lt;&gt;D1158,D1158,"")</f>
        <v/>
      </c>
      <c r="M1158" s="1" t="str">
        <f aca="false">IF(F1157&lt;&gt;F1158,F1158,"")</f>
        <v/>
      </c>
    </row>
    <row r="1159" customFormat="false" ht="15" hidden="false" customHeight="false" outlineLevel="0" collapsed="false">
      <c r="A1159" s="1" t="s">
        <v>384</v>
      </c>
      <c r="B1159" s="1" t="s">
        <v>385</v>
      </c>
      <c r="C1159" s="1" t="s">
        <v>775</v>
      </c>
      <c r="D1159" s="1" t="s">
        <v>776</v>
      </c>
      <c r="E1159" s="1" t="n">
        <v>20171</v>
      </c>
      <c r="F1159" s="1" t="s">
        <v>303</v>
      </c>
      <c r="G1159" s="1" t="s">
        <v>15</v>
      </c>
      <c r="H1159" s="1" t="n">
        <v>3.5</v>
      </c>
      <c r="I1159" s="1" t="n">
        <v>0</v>
      </c>
      <c r="J1159" s="1" t="n">
        <v>20201</v>
      </c>
      <c r="L1159" s="1" t="str">
        <f aca="false">IF(D1158&lt;&gt;D1159,D1159,"")</f>
        <v/>
      </c>
      <c r="M1159" s="1" t="str">
        <f aca="false">IF(F1158&lt;&gt;F1159,F1159,"")</f>
        <v/>
      </c>
    </row>
    <row r="1160" customFormat="false" ht="15" hidden="false" customHeight="false" outlineLevel="0" collapsed="false">
      <c r="A1160" s="1" t="s">
        <v>386</v>
      </c>
      <c r="B1160" s="1" t="s">
        <v>387</v>
      </c>
      <c r="C1160" s="1" t="s">
        <v>775</v>
      </c>
      <c r="D1160" s="1" t="s">
        <v>776</v>
      </c>
      <c r="E1160" s="1" t="n">
        <v>20171</v>
      </c>
      <c r="F1160" s="1" t="s">
        <v>303</v>
      </c>
      <c r="G1160" s="1" t="s">
        <v>15</v>
      </c>
      <c r="H1160" s="1" t="n">
        <v>3.5</v>
      </c>
      <c r="I1160" s="1" t="n">
        <v>0</v>
      </c>
      <c r="J1160" s="1" t="n">
        <v>20201</v>
      </c>
      <c r="L1160" s="1" t="str">
        <f aca="false">IF(D1159&lt;&gt;D1160,D1160,"")</f>
        <v/>
      </c>
      <c r="M1160" s="1" t="str">
        <f aca="false">IF(F1159&lt;&gt;F1160,F1160,"")</f>
        <v/>
      </c>
    </row>
    <row r="1161" customFormat="false" ht="15" hidden="false" customHeight="false" outlineLevel="0" collapsed="false">
      <c r="A1161" s="1" t="s">
        <v>388</v>
      </c>
      <c r="B1161" s="1" t="s">
        <v>389</v>
      </c>
      <c r="C1161" s="1" t="s">
        <v>775</v>
      </c>
      <c r="D1161" s="1" t="s">
        <v>776</v>
      </c>
      <c r="E1161" s="1" t="n">
        <v>20171</v>
      </c>
      <c r="F1161" s="1" t="s">
        <v>303</v>
      </c>
      <c r="G1161" s="1" t="s">
        <v>15</v>
      </c>
      <c r="H1161" s="1" t="n">
        <v>3.5</v>
      </c>
      <c r="I1161" s="1" t="n">
        <v>0</v>
      </c>
      <c r="J1161" s="1" t="n">
        <v>20201</v>
      </c>
      <c r="L1161" s="1" t="str">
        <f aca="false">IF(D1160&lt;&gt;D1161,D1161,"")</f>
        <v/>
      </c>
      <c r="M1161" s="1" t="str">
        <f aca="false">IF(F1160&lt;&gt;F1161,F1161,"")</f>
        <v/>
      </c>
    </row>
    <row r="1162" customFormat="false" ht="15" hidden="false" customHeight="false" outlineLevel="0" collapsed="false">
      <c r="A1162" s="1" t="s">
        <v>390</v>
      </c>
      <c r="B1162" s="1" t="s">
        <v>391</v>
      </c>
      <c r="C1162" s="1" t="s">
        <v>775</v>
      </c>
      <c r="D1162" s="1" t="s">
        <v>776</v>
      </c>
      <c r="E1162" s="1" t="n">
        <v>20171</v>
      </c>
      <c r="F1162" s="1" t="s">
        <v>303</v>
      </c>
      <c r="G1162" s="1" t="s">
        <v>15</v>
      </c>
      <c r="H1162" s="1" t="n">
        <v>3.5</v>
      </c>
      <c r="I1162" s="1" t="n">
        <v>0</v>
      </c>
      <c r="J1162" s="1" t="n">
        <v>20201</v>
      </c>
      <c r="L1162" s="1" t="str">
        <f aca="false">IF(D1161&lt;&gt;D1162,D1162,"")</f>
        <v/>
      </c>
      <c r="M1162" s="1" t="str">
        <f aca="false">IF(F1161&lt;&gt;F1162,F1162,"")</f>
        <v/>
      </c>
    </row>
    <row r="1163" customFormat="false" ht="15" hidden="false" customHeight="false" outlineLevel="0" collapsed="false">
      <c r="A1163" s="1" t="s">
        <v>392</v>
      </c>
      <c r="B1163" s="1" t="s">
        <v>393</v>
      </c>
      <c r="C1163" s="1" t="s">
        <v>775</v>
      </c>
      <c r="D1163" s="1" t="s">
        <v>776</v>
      </c>
      <c r="E1163" s="1" t="n">
        <v>20171</v>
      </c>
      <c r="F1163" s="1" t="s">
        <v>303</v>
      </c>
      <c r="G1163" s="1" t="s">
        <v>101</v>
      </c>
      <c r="H1163" s="1" t="n">
        <v>2.5</v>
      </c>
      <c r="I1163" s="1" t="n">
        <v>0</v>
      </c>
      <c r="J1163" s="1" t="n">
        <v>20201</v>
      </c>
      <c r="L1163" s="1" t="str">
        <f aca="false">IF(D1162&lt;&gt;D1163,D1163,"")</f>
        <v/>
      </c>
      <c r="M1163" s="1" t="str">
        <f aca="false">IF(F1162&lt;&gt;F1163,F1163,"")</f>
        <v/>
      </c>
    </row>
    <row r="1164" customFormat="false" ht="15" hidden="false" customHeight="false" outlineLevel="0" collapsed="false">
      <c r="A1164" s="1" t="s">
        <v>394</v>
      </c>
      <c r="B1164" s="1" t="s">
        <v>395</v>
      </c>
      <c r="C1164" s="1" t="s">
        <v>775</v>
      </c>
      <c r="D1164" s="1" t="s">
        <v>776</v>
      </c>
      <c r="E1164" s="1" t="n">
        <v>20171</v>
      </c>
      <c r="F1164" s="1" t="s">
        <v>303</v>
      </c>
      <c r="G1164" s="1" t="s">
        <v>101</v>
      </c>
      <c r="H1164" s="1" t="n">
        <v>2.5</v>
      </c>
      <c r="I1164" s="1" t="n">
        <v>0</v>
      </c>
      <c r="J1164" s="1" t="n">
        <v>20201</v>
      </c>
      <c r="L1164" s="1" t="str">
        <f aca="false">IF(D1163&lt;&gt;D1164,D1164,"")</f>
        <v/>
      </c>
      <c r="M1164" s="1" t="str">
        <f aca="false">IF(F1163&lt;&gt;F1164,F1164,"")</f>
        <v/>
      </c>
    </row>
    <row r="1165" customFormat="false" ht="15" hidden="false" customHeight="false" outlineLevel="0" collapsed="false">
      <c r="A1165" s="1" t="s">
        <v>396</v>
      </c>
      <c r="B1165" s="1" t="s">
        <v>397</v>
      </c>
      <c r="C1165" s="1" t="s">
        <v>775</v>
      </c>
      <c r="D1165" s="1" t="s">
        <v>776</v>
      </c>
      <c r="E1165" s="1" t="n">
        <v>20171</v>
      </c>
      <c r="F1165" s="1" t="s">
        <v>303</v>
      </c>
      <c r="G1165" s="1" t="s">
        <v>18</v>
      </c>
      <c r="H1165" s="1" t="n">
        <v>3</v>
      </c>
      <c r="I1165" s="1" t="n">
        <v>0</v>
      </c>
      <c r="J1165" s="1" t="n">
        <v>20201</v>
      </c>
      <c r="L1165" s="1" t="str">
        <f aca="false">IF(D1164&lt;&gt;D1165,D1165,"")</f>
        <v/>
      </c>
      <c r="M1165" s="1" t="str">
        <f aca="false">IF(F1164&lt;&gt;F1165,F1165,"")</f>
        <v/>
      </c>
    </row>
    <row r="1166" customFormat="false" ht="15" hidden="false" customHeight="false" outlineLevel="0" collapsed="false">
      <c r="A1166" s="1" t="s">
        <v>398</v>
      </c>
      <c r="B1166" s="1" t="s">
        <v>399</v>
      </c>
      <c r="C1166" s="1" t="s">
        <v>775</v>
      </c>
      <c r="D1166" s="1" t="s">
        <v>776</v>
      </c>
      <c r="E1166" s="1" t="n">
        <v>20171</v>
      </c>
      <c r="F1166" s="1" t="s">
        <v>303</v>
      </c>
      <c r="G1166" s="1" t="s">
        <v>101</v>
      </c>
      <c r="H1166" s="1" t="n">
        <v>2.5</v>
      </c>
      <c r="I1166" s="1" t="n">
        <v>0</v>
      </c>
      <c r="J1166" s="1" t="n">
        <v>20201</v>
      </c>
      <c r="L1166" s="1" t="str">
        <f aca="false">IF(D1165&lt;&gt;D1166,D1166,"")</f>
        <v/>
      </c>
      <c r="M1166" s="1" t="str">
        <f aca="false">IF(F1165&lt;&gt;F1166,F1166,"")</f>
        <v/>
      </c>
    </row>
    <row r="1167" customFormat="false" ht="15" hidden="false" customHeight="false" outlineLevel="0" collapsed="false">
      <c r="A1167" s="1" t="s">
        <v>400</v>
      </c>
      <c r="B1167" s="1" t="s">
        <v>401</v>
      </c>
      <c r="C1167" s="1" t="s">
        <v>775</v>
      </c>
      <c r="D1167" s="1" t="s">
        <v>776</v>
      </c>
      <c r="E1167" s="1" t="n">
        <v>20171</v>
      </c>
      <c r="F1167" s="1" t="s">
        <v>303</v>
      </c>
      <c r="G1167" s="1" t="s">
        <v>14</v>
      </c>
      <c r="H1167" s="1" t="n">
        <v>4</v>
      </c>
      <c r="I1167" s="1" t="n">
        <v>0</v>
      </c>
      <c r="J1167" s="1" t="n">
        <v>20201</v>
      </c>
      <c r="L1167" s="1" t="str">
        <f aca="false">IF(D1166&lt;&gt;D1167,D1167,"")</f>
        <v/>
      </c>
      <c r="M1167" s="1" t="str">
        <f aca="false">IF(F1166&lt;&gt;F1167,F1167,"")</f>
        <v/>
      </c>
    </row>
    <row r="1168" customFormat="false" ht="15" hidden="false" customHeight="false" outlineLevel="0" collapsed="false">
      <c r="A1168" s="1" t="s">
        <v>402</v>
      </c>
      <c r="B1168" s="1" t="s">
        <v>403</v>
      </c>
      <c r="C1168" s="1" t="s">
        <v>775</v>
      </c>
      <c r="D1168" s="1" t="s">
        <v>776</v>
      </c>
      <c r="E1168" s="1" t="n">
        <v>20171</v>
      </c>
      <c r="F1168" s="1" t="s">
        <v>303</v>
      </c>
      <c r="G1168" s="1" t="s">
        <v>124</v>
      </c>
      <c r="H1168" s="1" t="n">
        <v>0</v>
      </c>
      <c r="I1168" s="1" t="n">
        <v>0</v>
      </c>
      <c r="J1168" s="1" t="n">
        <v>20201</v>
      </c>
      <c r="L1168" s="1" t="str">
        <f aca="false">IF(D1167&lt;&gt;D1168,D1168,"")</f>
        <v/>
      </c>
      <c r="M1168" s="1" t="str">
        <f aca="false">IF(F1167&lt;&gt;F1168,F1168,"")</f>
        <v/>
      </c>
    </row>
    <row r="1169" customFormat="false" ht="15" hidden="false" customHeight="false" outlineLevel="0" collapsed="false">
      <c r="A1169" s="1" t="s">
        <v>404</v>
      </c>
      <c r="B1169" s="1" t="s">
        <v>405</v>
      </c>
      <c r="C1169" s="1" t="s">
        <v>775</v>
      </c>
      <c r="D1169" s="1" t="s">
        <v>776</v>
      </c>
      <c r="E1169" s="1" t="n">
        <v>20171</v>
      </c>
      <c r="F1169" s="1" t="s">
        <v>303</v>
      </c>
      <c r="G1169" s="1" t="s">
        <v>15</v>
      </c>
      <c r="H1169" s="1" t="n">
        <v>3.5</v>
      </c>
      <c r="I1169" s="1" t="n">
        <v>0</v>
      </c>
      <c r="J1169" s="1" t="n">
        <v>20201</v>
      </c>
      <c r="L1169" s="1" t="str">
        <f aca="false">IF(D1168&lt;&gt;D1169,D1169,"")</f>
        <v/>
      </c>
      <c r="M1169" s="1" t="str">
        <f aca="false">IF(F1168&lt;&gt;F1169,F1169,"")</f>
        <v/>
      </c>
    </row>
    <row r="1170" customFormat="false" ht="15" hidden="false" customHeight="false" outlineLevel="0" collapsed="false">
      <c r="A1170" s="1" t="s">
        <v>406</v>
      </c>
      <c r="B1170" s="1" t="s">
        <v>407</v>
      </c>
      <c r="C1170" s="1" t="s">
        <v>775</v>
      </c>
      <c r="D1170" s="1" t="s">
        <v>776</v>
      </c>
      <c r="E1170" s="1" t="n">
        <v>20171</v>
      </c>
      <c r="F1170" s="1" t="s">
        <v>303</v>
      </c>
      <c r="G1170" s="1" t="s">
        <v>18</v>
      </c>
      <c r="H1170" s="1" t="n">
        <v>3</v>
      </c>
      <c r="I1170" s="1" t="n">
        <v>0</v>
      </c>
      <c r="J1170" s="1" t="n">
        <v>20201</v>
      </c>
      <c r="L1170" s="1" t="str">
        <f aca="false">IF(D1169&lt;&gt;D1170,D1170,"")</f>
        <v/>
      </c>
      <c r="M1170" s="1" t="str">
        <f aca="false">IF(F1169&lt;&gt;F1170,F1170,"")</f>
        <v/>
      </c>
    </row>
    <row r="1171" customFormat="false" ht="15" hidden="false" customHeight="false" outlineLevel="0" collapsed="false">
      <c r="A1171" s="1" t="s">
        <v>408</v>
      </c>
      <c r="B1171" s="1" t="s">
        <v>409</v>
      </c>
      <c r="C1171" s="1" t="s">
        <v>775</v>
      </c>
      <c r="D1171" s="1" t="s">
        <v>776</v>
      </c>
      <c r="E1171" s="1" t="n">
        <v>20171</v>
      </c>
      <c r="F1171" s="1" t="s">
        <v>303</v>
      </c>
      <c r="G1171" s="1" t="s">
        <v>101</v>
      </c>
      <c r="H1171" s="1" t="n">
        <v>2.5</v>
      </c>
      <c r="I1171" s="1" t="n">
        <v>0</v>
      </c>
      <c r="J1171" s="1" t="n">
        <v>20201</v>
      </c>
      <c r="L1171" s="1" t="str">
        <f aca="false">IF(D1170&lt;&gt;D1171,D1171,"")</f>
        <v/>
      </c>
      <c r="M1171" s="1" t="str">
        <f aca="false">IF(F1170&lt;&gt;F1171,F1171,"")</f>
        <v/>
      </c>
    </row>
    <row r="1172" customFormat="false" ht="15" hidden="false" customHeight="false" outlineLevel="0" collapsed="false">
      <c r="A1172" s="1" t="s">
        <v>410</v>
      </c>
      <c r="B1172" s="1" t="s">
        <v>411</v>
      </c>
      <c r="C1172" s="1" t="s">
        <v>775</v>
      </c>
      <c r="D1172" s="1" t="s">
        <v>776</v>
      </c>
      <c r="E1172" s="1" t="n">
        <v>20171</v>
      </c>
      <c r="F1172" s="1" t="s">
        <v>303</v>
      </c>
      <c r="G1172" s="1" t="s">
        <v>15</v>
      </c>
      <c r="H1172" s="1" t="n">
        <v>3.5</v>
      </c>
      <c r="I1172" s="1" t="n">
        <v>0</v>
      </c>
      <c r="J1172" s="1" t="n">
        <v>20201</v>
      </c>
      <c r="L1172" s="1" t="str">
        <f aca="false">IF(D1171&lt;&gt;D1172,D1172,"")</f>
        <v/>
      </c>
      <c r="M1172" s="1" t="str">
        <f aca="false">IF(F1171&lt;&gt;F1172,F1172,"")</f>
        <v/>
      </c>
    </row>
    <row r="1173" customFormat="false" ht="15" hidden="false" customHeight="false" outlineLevel="0" collapsed="false">
      <c r="A1173" s="1" t="s">
        <v>412</v>
      </c>
      <c r="B1173" s="1" t="s">
        <v>413</v>
      </c>
      <c r="C1173" s="1" t="s">
        <v>775</v>
      </c>
      <c r="D1173" s="1" t="s">
        <v>776</v>
      </c>
      <c r="E1173" s="1" t="n">
        <v>20171</v>
      </c>
      <c r="F1173" s="1" t="s">
        <v>303</v>
      </c>
      <c r="G1173" s="1" t="s">
        <v>101</v>
      </c>
      <c r="H1173" s="1" t="n">
        <v>2.5</v>
      </c>
      <c r="I1173" s="1" t="n">
        <v>0</v>
      </c>
      <c r="J1173" s="1" t="n">
        <v>20201</v>
      </c>
      <c r="L1173" s="1" t="str">
        <f aca="false">IF(D1172&lt;&gt;D1173,D1173,"")</f>
        <v/>
      </c>
      <c r="M1173" s="1" t="str">
        <f aca="false">IF(F1172&lt;&gt;F1173,F1173,"")</f>
        <v/>
      </c>
    </row>
    <row r="1174" customFormat="false" ht="15" hidden="false" customHeight="false" outlineLevel="0" collapsed="false">
      <c r="A1174" s="1" t="s">
        <v>414</v>
      </c>
      <c r="B1174" s="1" t="s">
        <v>415</v>
      </c>
      <c r="C1174" s="1" t="s">
        <v>775</v>
      </c>
      <c r="D1174" s="1" t="s">
        <v>776</v>
      </c>
      <c r="E1174" s="1" t="n">
        <v>20171</v>
      </c>
      <c r="F1174" s="1" t="s">
        <v>303</v>
      </c>
      <c r="G1174" s="1" t="s">
        <v>18</v>
      </c>
      <c r="H1174" s="1" t="n">
        <v>3</v>
      </c>
      <c r="I1174" s="1" t="n">
        <v>0</v>
      </c>
      <c r="J1174" s="1" t="n">
        <v>20201</v>
      </c>
      <c r="L1174" s="1" t="str">
        <f aca="false">IF(D1173&lt;&gt;D1174,D1174,"")</f>
        <v/>
      </c>
      <c r="M1174" s="1" t="str">
        <f aca="false">IF(F1173&lt;&gt;F1174,F1174,"")</f>
        <v/>
      </c>
    </row>
    <row r="1175" customFormat="false" ht="15" hidden="false" customHeight="false" outlineLevel="0" collapsed="false">
      <c r="A1175" s="1" t="s">
        <v>416</v>
      </c>
      <c r="B1175" s="1" t="s">
        <v>417</v>
      </c>
      <c r="C1175" s="1" t="s">
        <v>775</v>
      </c>
      <c r="D1175" s="1" t="s">
        <v>776</v>
      </c>
      <c r="E1175" s="1" t="n">
        <v>20171</v>
      </c>
      <c r="F1175" s="1" t="s">
        <v>303</v>
      </c>
      <c r="G1175" s="1" t="s">
        <v>14</v>
      </c>
      <c r="H1175" s="1" t="n">
        <v>4</v>
      </c>
      <c r="I1175" s="1" t="n">
        <v>0</v>
      </c>
      <c r="J1175" s="1" t="n">
        <v>20201</v>
      </c>
      <c r="L1175" s="1" t="str">
        <f aca="false">IF(D1174&lt;&gt;D1175,D1175,"")</f>
        <v/>
      </c>
      <c r="M1175" s="1" t="str">
        <f aca="false">IF(F1174&lt;&gt;F1175,F1175,"")</f>
        <v/>
      </c>
    </row>
    <row r="1176" customFormat="false" ht="15" hidden="false" customHeight="false" outlineLevel="0" collapsed="false">
      <c r="A1176" s="1" t="s">
        <v>418</v>
      </c>
      <c r="B1176" s="1" t="s">
        <v>419</v>
      </c>
      <c r="C1176" s="1" t="s">
        <v>775</v>
      </c>
      <c r="D1176" s="1" t="s">
        <v>776</v>
      </c>
      <c r="E1176" s="1" t="n">
        <v>20171</v>
      </c>
      <c r="F1176" s="1" t="s">
        <v>303</v>
      </c>
      <c r="G1176" s="1" t="s">
        <v>18</v>
      </c>
      <c r="H1176" s="1" t="n">
        <v>3</v>
      </c>
      <c r="I1176" s="1" t="n">
        <v>0</v>
      </c>
      <c r="J1176" s="1" t="n">
        <v>20201</v>
      </c>
      <c r="L1176" s="1" t="str">
        <f aca="false">IF(D1175&lt;&gt;D1176,D1176,"")</f>
        <v/>
      </c>
      <c r="M1176" s="1" t="str">
        <f aca="false">IF(F1175&lt;&gt;F1176,F1176,"")</f>
        <v/>
      </c>
    </row>
    <row r="1177" customFormat="false" ht="15" hidden="false" customHeight="false" outlineLevel="0" collapsed="false">
      <c r="A1177" s="1" t="s">
        <v>420</v>
      </c>
      <c r="B1177" s="1" t="s">
        <v>421</v>
      </c>
      <c r="C1177" s="1" t="s">
        <v>775</v>
      </c>
      <c r="D1177" s="1" t="s">
        <v>776</v>
      </c>
      <c r="E1177" s="1" t="n">
        <v>20171</v>
      </c>
      <c r="F1177" s="1" t="s">
        <v>303</v>
      </c>
      <c r="G1177" s="1" t="s">
        <v>124</v>
      </c>
      <c r="H1177" s="1" t="n">
        <v>0</v>
      </c>
      <c r="I1177" s="1" t="n">
        <v>0</v>
      </c>
      <c r="J1177" s="1" t="n">
        <v>20201</v>
      </c>
      <c r="L1177" s="1" t="str">
        <f aca="false">IF(D1176&lt;&gt;D1177,D1177,"")</f>
        <v/>
      </c>
      <c r="M1177" s="1" t="str">
        <f aca="false">IF(F1176&lt;&gt;F1177,F1177,"")</f>
        <v/>
      </c>
    </row>
    <row r="1178" customFormat="false" ht="15" hidden="false" customHeight="false" outlineLevel="0" collapsed="false">
      <c r="A1178" s="1" t="s">
        <v>422</v>
      </c>
      <c r="B1178" s="1" t="s">
        <v>423</v>
      </c>
      <c r="C1178" s="1" t="s">
        <v>775</v>
      </c>
      <c r="D1178" s="1" t="s">
        <v>776</v>
      </c>
      <c r="E1178" s="1" t="n">
        <v>20171</v>
      </c>
      <c r="F1178" s="1" t="s">
        <v>303</v>
      </c>
      <c r="G1178" s="1" t="s">
        <v>18</v>
      </c>
      <c r="H1178" s="1" t="n">
        <v>3</v>
      </c>
      <c r="I1178" s="1" t="n">
        <v>0</v>
      </c>
      <c r="J1178" s="1" t="n">
        <v>20201</v>
      </c>
      <c r="L1178" s="1" t="str">
        <f aca="false">IF(D1177&lt;&gt;D1178,D1178,"")</f>
        <v/>
      </c>
      <c r="M1178" s="1" t="str">
        <f aca="false">IF(F1177&lt;&gt;F1178,F1178,"")</f>
        <v/>
      </c>
    </row>
    <row r="1179" customFormat="false" ht="15" hidden="false" customHeight="false" outlineLevel="0" collapsed="false">
      <c r="A1179" s="1" t="s">
        <v>424</v>
      </c>
      <c r="B1179" s="1" t="s">
        <v>425</v>
      </c>
      <c r="C1179" s="1" t="s">
        <v>775</v>
      </c>
      <c r="D1179" s="1" t="s">
        <v>776</v>
      </c>
      <c r="E1179" s="1" t="n">
        <v>20171</v>
      </c>
      <c r="F1179" s="1" t="s">
        <v>303</v>
      </c>
      <c r="G1179" s="1" t="s">
        <v>18</v>
      </c>
      <c r="H1179" s="1" t="n">
        <v>3</v>
      </c>
      <c r="I1179" s="1" t="n">
        <v>0</v>
      </c>
      <c r="J1179" s="1" t="n">
        <v>20201</v>
      </c>
      <c r="L1179" s="1" t="str">
        <f aca="false">IF(D1178&lt;&gt;D1179,D1179,"")</f>
        <v/>
      </c>
      <c r="M1179" s="1" t="str">
        <f aca="false">IF(F1178&lt;&gt;F1179,F1179,"")</f>
        <v/>
      </c>
    </row>
    <row r="1180" customFormat="false" ht="15" hidden="false" customHeight="false" outlineLevel="0" collapsed="false">
      <c r="A1180" s="1" t="s">
        <v>426</v>
      </c>
      <c r="B1180" s="1" t="s">
        <v>427</v>
      </c>
      <c r="C1180" s="1" t="s">
        <v>775</v>
      </c>
      <c r="D1180" s="1" t="s">
        <v>776</v>
      </c>
      <c r="E1180" s="1" t="n">
        <v>20171</v>
      </c>
      <c r="F1180" s="1" t="s">
        <v>303</v>
      </c>
      <c r="G1180" s="1" t="s">
        <v>14</v>
      </c>
      <c r="H1180" s="1" t="n">
        <v>4</v>
      </c>
      <c r="I1180" s="1" t="n">
        <v>0</v>
      </c>
      <c r="J1180" s="1" t="n">
        <v>20201</v>
      </c>
      <c r="L1180" s="1" t="str">
        <f aca="false">IF(D1179&lt;&gt;D1180,D1180,"")</f>
        <v/>
      </c>
      <c r="M1180" s="1" t="str">
        <f aca="false">IF(F1179&lt;&gt;F1180,F1180,"")</f>
        <v/>
      </c>
    </row>
    <row r="1181" customFormat="false" ht="15" hidden="false" customHeight="false" outlineLevel="0" collapsed="false">
      <c r="A1181" s="1" t="s">
        <v>428</v>
      </c>
      <c r="B1181" s="1" t="s">
        <v>429</v>
      </c>
      <c r="C1181" s="1" t="s">
        <v>775</v>
      </c>
      <c r="D1181" s="1" t="s">
        <v>776</v>
      </c>
      <c r="E1181" s="1" t="n">
        <v>20171</v>
      </c>
      <c r="F1181" s="1" t="s">
        <v>303</v>
      </c>
      <c r="G1181" s="1" t="s">
        <v>18</v>
      </c>
      <c r="H1181" s="1" t="n">
        <v>3</v>
      </c>
      <c r="I1181" s="1" t="n">
        <v>0</v>
      </c>
      <c r="J1181" s="1" t="n">
        <v>20201</v>
      </c>
      <c r="L1181" s="1" t="str">
        <f aca="false">IF(D1180&lt;&gt;D1181,D1181,"")</f>
        <v/>
      </c>
      <c r="M1181" s="1" t="str">
        <f aca="false">IF(F1180&lt;&gt;F1181,F1181,"")</f>
        <v/>
      </c>
    </row>
    <row r="1182" customFormat="false" ht="15" hidden="false" customHeight="false" outlineLevel="0" collapsed="false">
      <c r="A1182" s="1" t="s">
        <v>430</v>
      </c>
      <c r="B1182" s="1" t="s">
        <v>431</v>
      </c>
      <c r="C1182" s="1" t="s">
        <v>775</v>
      </c>
      <c r="D1182" s="1" t="s">
        <v>776</v>
      </c>
      <c r="E1182" s="1" t="n">
        <v>20171</v>
      </c>
      <c r="F1182" s="1" t="s">
        <v>303</v>
      </c>
      <c r="G1182" s="1" t="s">
        <v>15</v>
      </c>
      <c r="H1182" s="1" t="n">
        <v>3.5</v>
      </c>
      <c r="I1182" s="1" t="n">
        <v>0</v>
      </c>
      <c r="J1182" s="1" t="n">
        <v>20201</v>
      </c>
      <c r="L1182" s="1" t="str">
        <f aca="false">IF(D1181&lt;&gt;D1182,D1182,"")</f>
        <v/>
      </c>
      <c r="M1182" s="1" t="str">
        <f aca="false">IF(F1181&lt;&gt;F1182,F1182,"")</f>
        <v/>
      </c>
    </row>
    <row r="1183" customFormat="false" ht="15" hidden="false" customHeight="false" outlineLevel="0" collapsed="false">
      <c r="A1183" s="1" t="s">
        <v>432</v>
      </c>
      <c r="B1183" s="1" t="s">
        <v>433</v>
      </c>
      <c r="C1183" s="1" t="s">
        <v>775</v>
      </c>
      <c r="D1183" s="1" t="s">
        <v>776</v>
      </c>
      <c r="E1183" s="1" t="n">
        <v>20171</v>
      </c>
      <c r="F1183" s="1" t="s">
        <v>303</v>
      </c>
      <c r="G1183" s="1" t="s">
        <v>15</v>
      </c>
      <c r="H1183" s="1" t="n">
        <v>3.5</v>
      </c>
      <c r="I1183" s="1" t="n">
        <v>0</v>
      </c>
      <c r="J1183" s="1" t="n">
        <v>20201</v>
      </c>
      <c r="L1183" s="1" t="str">
        <f aca="false">IF(D1182&lt;&gt;D1183,D1183,"")</f>
        <v/>
      </c>
      <c r="M1183" s="1" t="str">
        <f aca="false">IF(F1182&lt;&gt;F1183,F1183,"")</f>
        <v/>
      </c>
    </row>
    <row r="1184" customFormat="false" ht="15" hidden="false" customHeight="false" outlineLevel="0" collapsed="false">
      <c r="A1184" s="1" t="s">
        <v>434</v>
      </c>
      <c r="B1184" s="1" t="s">
        <v>435</v>
      </c>
      <c r="C1184" s="1" t="s">
        <v>775</v>
      </c>
      <c r="D1184" s="1" t="s">
        <v>776</v>
      </c>
      <c r="E1184" s="1" t="n">
        <v>20171</v>
      </c>
      <c r="F1184" s="1" t="s">
        <v>303</v>
      </c>
      <c r="G1184" s="1" t="s">
        <v>15</v>
      </c>
      <c r="H1184" s="1" t="n">
        <v>3.5</v>
      </c>
      <c r="I1184" s="1" t="n">
        <v>0</v>
      </c>
      <c r="J1184" s="1" t="n">
        <v>20201</v>
      </c>
      <c r="L1184" s="1" t="str">
        <f aca="false">IF(D1183&lt;&gt;D1184,D1184,"")</f>
        <v/>
      </c>
      <c r="M1184" s="1" t="str">
        <f aca="false">IF(F1183&lt;&gt;F1184,F1184,"")</f>
        <v/>
      </c>
    </row>
    <row r="1185" customFormat="false" ht="15" hidden="false" customHeight="false" outlineLevel="0" collapsed="false">
      <c r="A1185" s="1" t="s">
        <v>436</v>
      </c>
      <c r="B1185" s="1" t="s">
        <v>437</v>
      </c>
      <c r="C1185" s="1" t="s">
        <v>775</v>
      </c>
      <c r="D1185" s="1" t="s">
        <v>776</v>
      </c>
      <c r="E1185" s="1" t="n">
        <v>20171</v>
      </c>
      <c r="F1185" s="1" t="s">
        <v>303</v>
      </c>
      <c r="G1185" s="1" t="s">
        <v>18</v>
      </c>
      <c r="H1185" s="1" t="n">
        <v>3</v>
      </c>
      <c r="I1185" s="1" t="n">
        <v>0</v>
      </c>
      <c r="J1185" s="1" t="n">
        <v>20201</v>
      </c>
      <c r="L1185" s="1" t="str">
        <f aca="false">IF(D1184&lt;&gt;D1185,D1185,"")</f>
        <v/>
      </c>
      <c r="M1185" s="1" t="str">
        <f aca="false">IF(F1184&lt;&gt;F1185,F1185,"")</f>
        <v/>
      </c>
    </row>
    <row r="1186" customFormat="false" ht="15" hidden="false" customHeight="false" outlineLevel="0" collapsed="false">
      <c r="A1186" s="1" t="s">
        <v>438</v>
      </c>
      <c r="B1186" s="1" t="s">
        <v>439</v>
      </c>
      <c r="C1186" s="1" t="s">
        <v>775</v>
      </c>
      <c r="D1186" s="1" t="s">
        <v>776</v>
      </c>
      <c r="E1186" s="1" t="n">
        <v>20171</v>
      </c>
      <c r="F1186" s="1" t="s">
        <v>303</v>
      </c>
      <c r="G1186" s="1" t="s">
        <v>15</v>
      </c>
      <c r="H1186" s="1" t="n">
        <v>3.5</v>
      </c>
      <c r="I1186" s="1" t="n">
        <v>0</v>
      </c>
      <c r="J1186" s="1" t="n">
        <v>20201</v>
      </c>
      <c r="L1186" s="1" t="str">
        <f aca="false">IF(D1185&lt;&gt;D1186,D1186,"")</f>
        <v/>
      </c>
      <c r="M1186" s="1" t="str">
        <f aca="false">IF(F1185&lt;&gt;F1186,F1186,"")</f>
        <v/>
      </c>
    </row>
    <row r="1187" customFormat="false" ht="15" hidden="false" customHeight="false" outlineLevel="0" collapsed="false">
      <c r="A1187" s="1" t="s">
        <v>440</v>
      </c>
      <c r="B1187" s="1" t="s">
        <v>441</v>
      </c>
      <c r="C1187" s="1" t="s">
        <v>775</v>
      </c>
      <c r="D1187" s="1" t="s">
        <v>776</v>
      </c>
      <c r="E1187" s="1" t="n">
        <v>20171</v>
      </c>
      <c r="F1187" s="1" t="s">
        <v>303</v>
      </c>
      <c r="G1187" s="1" t="s">
        <v>15</v>
      </c>
      <c r="H1187" s="1" t="n">
        <v>3.5</v>
      </c>
      <c r="I1187" s="1" t="n">
        <v>0</v>
      </c>
      <c r="J1187" s="1" t="n">
        <v>20201</v>
      </c>
      <c r="L1187" s="1" t="str">
        <f aca="false">IF(D1186&lt;&gt;D1187,D1187,"")</f>
        <v/>
      </c>
      <c r="M1187" s="1" t="str">
        <f aca="false">IF(F1186&lt;&gt;F1187,F1187,"")</f>
        <v/>
      </c>
    </row>
    <row r="1188" customFormat="false" ht="15" hidden="false" customHeight="false" outlineLevel="0" collapsed="false">
      <c r="A1188" s="1" t="s">
        <v>442</v>
      </c>
      <c r="B1188" s="1" t="s">
        <v>443</v>
      </c>
      <c r="C1188" s="1" t="s">
        <v>775</v>
      </c>
      <c r="D1188" s="1" t="s">
        <v>776</v>
      </c>
      <c r="E1188" s="1" t="n">
        <v>20171</v>
      </c>
      <c r="F1188" s="1" t="s">
        <v>303</v>
      </c>
      <c r="G1188" s="1" t="s">
        <v>101</v>
      </c>
      <c r="H1188" s="1" t="n">
        <v>2.5</v>
      </c>
      <c r="I1188" s="1" t="n">
        <v>0</v>
      </c>
      <c r="J1188" s="1" t="n">
        <v>20201</v>
      </c>
      <c r="L1188" s="1" t="str">
        <f aca="false">IF(D1187&lt;&gt;D1188,D1188,"")</f>
        <v/>
      </c>
      <c r="M1188" s="1" t="str">
        <f aca="false">IF(F1187&lt;&gt;F1188,F1188,"")</f>
        <v/>
      </c>
    </row>
    <row r="1189" customFormat="false" ht="15" hidden="false" customHeight="false" outlineLevel="0" collapsed="false">
      <c r="A1189" s="1" t="s">
        <v>444</v>
      </c>
      <c r="B1189" s="1" t="s">
        <v>445</v>
      </c>
      <c r="C1189" s="1" t="s">
        <v>775</v>
      </c>
      <c r="D1189" s="1" t="s">
        <v>776</v>
      </c>
      <c r="E1189" s="1" t="n">
        <v>20171</v>
      </c>
      <c r="F1189" s="1" t="s">
        <v>303</v>
      </c>
      <c r="G1189" s="1" t="s">
        <v>15</v>
      </c>
      <c r="H1189" s="1" t="n">
        <v>3.5</v>
      </c>
      <c r="I1189" s="1" t="n">
        <v>0</v>
      </c>
      <c r="J1189" s="1" t="n">
        <v>20201</v>
      </c>
      <c r="L1189" s="1" t="str">
        <f aca="false">IF(D1188&lt;&gt;D1189,D1189,"")</f>
        <v/>
      </c>
      <c r="M1189" s="1" t="str">
        <f aca="false">IF(F1188&lt;&gt;F1189,F1189,"")</f>
        <v/>
      </c>
    </row>
    <row r="1190" customFormat="false" ht="15" hidden="false" customHeight="false" outlineLevel="0" collapsed="false">
      <c r="A1190" s="1" t="s">
        <v>446</v>
      </c>
      <c r="B1190" s="1" t="s">
        <v>447</v>
      </c>
      <c r="C1190" s="1" t="s">
        <v>775</v>
      </c>
      <c r="D1190" s="1" t="s">
        <v>776</v>
      </c>
      <c r="E1190" s="1" t="n">
        <v>20171</v>
      </c>
      <c r="F1190" s="1" t="s">
        <v>303</v>
      </c>
      <c r="G1190" s="1" t="s">
        <v>18</v>
      </c>
      <c r="H1190" s="1" t="n">
        <v>3</v>
      </c>
      <c r="I1190" s="1" t="n">
        <v>0</v>
      </c>
      <c r="J1190" s="1" t="n">
        <v>20201</v>
      </c>
      <c r="L1190" s="1" t="str">
        <f aca="false">IF(D1189&lt;&gt;D1190,D1190,"")</f>
        <v/>
      </c>
      <c r="M1190" s="1" t="str">
        <f aca="false">IF(F1189&lt;&gt;F1190,F1190,"")</f>
        <v/>
      </c>
    </row>
    <row r="1191" customFormat="false" ht="15" hidden="false" customHeight="false" outlineLevel="0" collapsed="false">
      <c r="A1191" s="1" t="s">
        <v>448</v>
      </c>
      <c r="B1191" s="1" t="s">
        <v>449</v>
      </c>
      <c r="C1191" s="1" t="s">
        <v>775</v>
      </c>
      <c r="D1191" s="1" t="s">
        <v>776</v>
      </c>
      <c r="E1191" s="1" t="n">
        <v>20171</v>
      </c>
      <c r="F1191" s="1" t="s">
        <v>303</v>
      </c>
      <c r="G1191" s="1" t="s">
        <v>18</v>
      </c>
      <c r="H1191" s="1" t="n">
        <v>3</v>
      </c>
      <c r="I1191" s="1" t="n">
        <v>0</v>
      </c>
      <c r="J1191" s="1" t="n">
        <v>20201</v>
      </c>
      <c r="L1191" s="1" t="str">
        <f aca="false">IF(D1190&lt;&gt;D1191,D1191,"")</f>
        <v/>
      </c>
      <c r="M1191" s="1" t="str">
        <f aca="false">IF(F1190&lt;&gt;F1191,F1191,"")</f>
        <v/>
      </c>
    </row>
    <row r="1192" customFormat="false" ht="15" hidden="false" customHeight="false" outlineLevel="0" collapsed="false">
      <c r="A1192" s="1" t="s">
        <v>450</v>
      </c>
      <c r="B1192" s="1" t="s">
        <v>451</v>
      </c>
      <c r="C1192" s="1" t="s">
        <v>775</v>
      </c>
      <c r="D1192" s="1" t="s">
        <v>776</v>
      </c>
      <c r="E1192" s="1" t="n">
        <v>20171</v>
      </c>
      <c r="F1192" s="1" t="s">
        <v>303</v>
      </c>
      <c r="G1192" s="1" t="s">
        <v>23</v>
      </c>
      <c r="H1192" s="1" t="n">
        <v>0</v>
      </c>
      <c r="I1192" s="1" t="n">
        <v>0</v>
      </c>
      <c r="J1192" s="1" t="n">
        <v>20201</v>
      </c>
      <c r="L1192" s="1" t="str">
        <f aca="false">IF(D1191&lt;&gt;D1192,D1192,"")</f>
        <v/>
      </c>
      <c r="M1192" s="1" t="str">
        <f aca="false">IF(F1191&lt;&gt;F1192,F1192,"")</f>
        <v/>
      </c>
    </row>
    <row r="1193" customFormat="false" ht="15" hidden="false" customHeight="false" outlineLevel="0" collapsed="false">
      <c r="A1193" s="1" t="s">
        <v>452</v>
      </c>
      <c r="B1193" s="1" t="s">
        <v>453</v>
      </c>
      <c r="C1193" s="1" t="s">
        <v>775</v>
      </c>
      <c r="D1193" s="1" t="s">
        <v>776</v>
      </c>
      <c r="E1193" s="1" t="n">
        <v>20171</v>
      </c>
      <c r="F1193" s="1" t="s">
        <v>303</v>
      </c>
      <c r="G1193" s="1" t="s">
        <v>18</v>
      </c>
      <c r="H1193" s="1" t="n">
        <v>3</v>
      </c>
      <c r="I1193" s="1" t="n">
        <v>0</v>
      </c>
      <c r="J1193" s="1" t="n">
        <v>20201</v>
      </c>
      <c r="L1193" s="1" t="str">
        <f aca="false">IF(D1192&lt;&gt;D1193,D1193,"")</f>
        <v/>
      </c>
      <c r="M1193" s="1" t="str">
        <f aca="false">IF(F1192&lt;&gt;F1193,F1193,"")</f>
        <v/>
      </c>
    </row>
    <row r="1194" customFormat="false" ht="15" hidden="false" customHeight="false" outlineLevel="0" collapsed="false">
      <c r="A1194" s="1" t="s">
        <v>454</v>
      </c>
      <c r="B1194" s="1" t="s">
        <v>455</v>
      </c>
      <c r="C1194" s="1" t="s">
        <v>775</v>
      </c>
      <c r="D1194" s="1" t="s">
        <v>776</v>
      </c>
      <c r="E1194" s="1" t="n">
        <v>20171</v>
      </c>
      <c r="F1194" s="1" t="s">
        <v>303</v>
      </c>
      <c r="G1194" s="1" t="s">
        <v>18</v>
      </c>
      <c r="H1194" s="1" t="n">
        <v>3</v>
      </c>
      <c r="I1194" s="1" t="n">
        <v>0</v>
      </c>
      <c r="J1194" s="1" t="n">
        <v>20201</v>
      </c>
      <c r="L1194" s="1" t="str">
        <f aca="false">IF(D1193&lt;&gt;D1194,D1194,"")</f>
        <v/>
      </c>
      <c r="M1194" s="1" t="str">
        <f aca="false">IF(F1193&lt;&gt;F1194,F1194,"")</f>
        <v/>
      </c>
    </row>
    <row r="1195" customFormat="false" ht="15" hidden="false" customHeight="false" outlineLevel="0" collapsed="false">
      <c r="A1195" s="1" t="s">
        <v>456</v>
      </c>
      <c r="B1195" s="1" t="s">
        <v>457</v>
      </c>
      <c r="C1195" s="1" t="s">
        <v>775</v>
      </c>
      <c r="D1195" s="1" t="s">
        <v>776</v>
      </c>
      <c r="E1195" s="1" t="n">
        <v>20171</v>
      </c>
      <c r="F1195" s="1" t="s">
        <v>303</v>
      </c>
      <c r="G1195" s="1" t="s">
        <v>18</v>
      </c>
      <c r="H1195" s="1" t="n">
        <v>3</v>
      </c>
      <c r="I1195" s="1" t="n">
        <v>0</v>
      </c>
      <c r="J1195" s="1" t="n">
        <v>20201</v>
      </c>
      <c r="L1195" s="1" t="str">
        <f aca="false">IF(D1194&lt;&gt;D1195,D1195,"")</f>
        <v/>
      </c>
      <c r="M1195" s="1" t="str">
        <f aca="false">IF(F1194&lt;&gt;F1195,F1195,"")</f>
        <v/>
      </c>
    </row>
    <row r="1196" customFormat="false" ht="15" hidden="false" customHeight="false" outlineLevel="0" collapsed="false">
      <c r="A1196" s="1" t="s">
        <v>458</v>
      </c>
      <c r="B1196" s="1" t="s">
        <v>459</v>
      </c>
      <c r="C1196" s="1" t="s">
        <v>775</v>
      </c>
      <c r="D1196" s="1" t="s">
        <v>776</v>
      </c>
      <c r="E1196" s="1" t="n">
        <v>20171</v>
      </c>
      <c r="F1196" s="1" t="s">
        <v>303</v>
      </c>
      <c r="G1196" s="1" t="s">
        <v>15</v>
      </c>
      <c r="H1196" s="1" t="n">
        <v>3.5</v>
      </c>
      <c r="I1196" s="1" t="n">
        <v>0</v>
      </c>
      <c r="J1196" s="1" t="n">
        <v>20201</v>
      </c>
      <c r="L1196" s="1" t="str">
        <f aca="false">IF(D1195&lt;&gt;D1196,D1196,"")</f>
        <v/>
      </c>
      <c r="M1196" s="1" t="str">
        <f aca="false">IF(F1195&lt;&gt;F1196,F1196,"")</f>
        <v/>
      </c>
    </row>
    <row r="1197" customFormat="false" ht="15" hidden="false" customHeight="false" outlineLevel="0" collapsed="false">
      <c r="A1197" s="1" t="s">
        <v>460</v>
      </c>
      <c r="B1197" s="1" t="s">
        <v>461</v>
      </c>
      <c r="C1197" s="1" t="s">
        <v>775</v>
      </c>
      <c r="D1197" s="1" t="s">
        <v>776</v>
      </c>
      <c r="E1197" s="1" t="n">
        <v>20171</v>
      </c>
      <c r="F1197" s="1" t="s">
        <v>303</v>
      </c>
      <c r="G1197" s="1" t="s">
        <v>15</v>
      </c>
      <c r="H1197" s="1" t="n">
        <v>3.5</v>
      </c>
      <c r="I1197" s="1" t="n">
        <v>0</v>
      </c>
      <c r="J1197" s="1" t="n">
        <v>20201</v>
      </c>
      <c r="L1197" s="1" t="str">
        <f aca="false">IF(D1196&lt;&gt;D1197,D1197,"")</f>
        <v/>
      </c>
      <c r="M1197" s="1" t="str">
        <f aca="false">IF(F1196&lt;&gt;F1197,F1197,"")</f>
        <v/>
      </c>
    </row>
    <row r="1198" customFormat="false" ht="15" hidden="false" customHeight="false" outlineLevel="0" collapsed="false">
      <c r="A1198" s="1" t="s">
        <v>462</v>
      </c>
      <c r="B1198" s="1" t="s">
        <v>463</v>
      </c>
      <c r="C1198" s="1" t="s">
        <v>775</v>
      </c>
      <c r="D1198" s="1" t="s">
        <v>776</v>
      </c>
      <c r="E1198" s="1" t="n">
        <v>20171</v>
      </c>
      <c r="F1198" s="1" t="s">
        <v>303</v>
      </c>
      <c r="G1198" s="1" t="s">
        <v>101</v>
      </c>
      <c r="H1198" s="1" t="n">
        <v>2.5</v>
      </c>
      <c r="I1198" s="1" t="n">
        <v>0</v>
      </c>
      <c r="J1198" s="1" t="n">
        <v>20201</v>
      </c>
      <c r="L1198" s="1" t="str">
        <f aca="false">IF(D1197&lt;&gt;D1198,D1198,"")</f>
        <v/>
      </c>
      <c r="M1198" s="1" t="str">
        <f aca="false">IF(F1197&lt;&gt;F1198,F1198,"")</f>
        <v/>
      </c>
    </row>
    <row r="1199" customFormat="false" ht="15" hidden="false" customHeight="false" outlineLevel="0" collapsed="false">
      <c r="A1199" s="1" t="s">
        <v>464</v>
      </c>
      <c r="B1199" s="1" t="s">
        <v>465</v>
      </c>
      <c r="C1199" s="1" t="s">
        <v>775</v>
      </c>
      <c r="D1199" s="1" t="s">
        <v>776</v>
      </c>
      <c r="E1199" s="1" t="n">
        <v>20171</v>
      </c>
      <c r="F1199" s="1" t="s">
        <v>303</v>
      </c>
      <c r="G1199" s="1" t="s">
        <v>18</v>
      </c>
      <c r="H1199" s="1" t="n">
        <v>3</v>
      </c>
      <c r="I1199" s="1" t="n">
        <v>0</v>
      </c>
      <c r="J1199" s="1" t="n">
        <v>20201</v>
      </c>
      <c r="L1199" s="1" t="str">
        <f aca="false">IF(D1198&lt;&gt;D1199,D1199,"")</f>
        <v/>
      </c>
      <c r="M1199" s="1" t="str">
        <f aca="false">IF(F1198&lt;&gt;F1199,F1199,"")</f>
        <v/>
      </c>
    </row>
    <row r="1200" customFormat="false" ht="15" hidden="false" customHeight="false" outlineLevel="0" collapsed="false">
      <c r="A1200" s="1" t="s">
        <v>466</v>
      </c>
      <c r="B1200" s="1" t="s">
        <v>467</v>
      </c>
      <c r="C1200" s="1" t="s">
        <v>775</v>
      </c>
      <c r="D1200" s="1" t="s">
        <v>776</v>
      </c>
      <c r="E1200" s="1" t="n">
        <v>20171</v>
      </c>
      <c r="F1200" s="1" t="s">
        <v>303</v>
      </c>
      <c r="G1200" s="1" t="s">
        <v>18</v>
      </c>
      <c r="H1200" s="1" t="n">
        <v>3</v>
      </c>
      <c r="I1200" s="1" t="n">
        <v>0</v>
      </c>
      <c r="J1200" s="1" t="n">
        <v>20201</v>
      </c>
      <c r="L1200" s="1" t="str">
        <f aca="false">IF(D1199&lt;&gt;D1200,D1200,"")</f>
        <v/>
      </c>
      <c r="M1200" s="1" t="str">
        <f aca="false">IF(F1199&lt;&gt;F1200,F1200,"")</f>
        <v/>
      </c>
    </row>
    <row r="1201" customFormat="false" ht="15" hidden="false" customHeight="false" outlineLevel="0" collapsed="false">
      <c r="A1201" s="1" t="s">
        <v>468</v>
      </c>
      <c r="B1201" s="1" t="s">
        <v>469</v>
      </c>
      <c r="C1201" s="1" t="s">
        <v>775</v>
      </c>
      <c r="D1201" s="1" t="s">
        <v>776</v>
      </c>
      <c r="E1201" s="1" t="n">
        <v>20171</v>
      </c>
      <c r="F1201" s="1" t="s">
        <v>303</v>
      </c>
      <c r="G1201" s="1" t="s">
        <v>18</v>
      </c>
      <c r="H1201" s="1" t="n">
        <v>3</v>
      </c>
      <c r="I1201" s="1" t="n">
        <v>0</v>
      </c>
      <c r="J1201" s="1" t="n">
        <v>20201</v>
      </c>
      <c r="L1201" s="1" t="str">
        <f aca="false">IF(D1200&lt;&gt;D1201,D1201,"")</f>
        <v/>
      </c>
      <c r="M1201" s="1" t="str">
        <f aca="false">IF(F1200&lt;&gt;F1201,F1201,"")</f>
        <v/>
      </c>
    </row>
    <row r="1202" customFormat="false" ht="15" hidden="false" customHeight="false" outlineLevel="0" collapsed="false">
      <c r="A1202" s="1" t="s">
        <v>470</v>
      </c>
      <c r="B1202" s="1" t="s">
        <v>471</v>
      </c>
      <c r="C1202" s="1" t="s">
        <v>775</v>
      </c>
      <c r="D1202" s="1" t="s">
        <v>776</v>
      </c>
      <c r="E1202" s="1" t="n">
        <v>20171</v>
      </c>
      <c r="F1202" s="1" t="s">
        <v>303</v>
      </c>
      <c r="G1202" s="1" t="s">
        <v>14</v>
      </c>
      <c r="H1202" s="1" t="n">
        <v>4</v>
      </c>
      <c r="I1202" s="1" t="n">
        <v>0</v>
      </c>
      <c r="J1202" s="1" t="n">
        <v>20201</v>
      </c>
      <c r="L1202" s="1" t="str">
        <f aca="false">IF(D1201&lt;&gt;D1202,D1202,"")</f>
        <v/>
      </c>
      <c r="M1202" s="1" t="str">
        <f aca="false">IF(F1201&lt;&gt;F1202,F1202,"")</f>
        <v/>
      </c>
    </row>
    <row r="1203" customFormat="false" ht="15" hidden="false" customHeight="false" outlineLevel="0" collapsed="false">
      <c r="A1203" s="1" t="s">
        <v>472</v>
      </c>
      <c r="B1203" s="1" t="s">
        <v>473</v>
      </c>
      <c r="C1203" s="1" t="s">
        <v>775</v>
      </c>
      <c r="D1203" s="1" t="s">
        <v>776</v>
      </c>
      <c r="E1203" s="1" t="n">
        <v>20171</v>
      </c>
      <c r="F1203" s="1" t="s">
        <v>303</v>
      </c>
      <c r="G1203" s="1" t="s">
        <v>101</v>
      </c>
      <c r="H1203" s="1" t="n">
        <v>2.5</v>
      </c>
      <c r="I1203" s="1" t="n">
        <v>0</v>
      </c>
      <c r="J1203" s="1" t="n">
        <v>20201</v>
      </c>
      <c r="L1203" s="1" t="str">
        <f aca="false">IF(D1202&lt;&gt;D1203,D1203,"")</f>
        <v/>
      </c>
      <c r="M1203" s="1" t="str">
        <f aca="false">IF(F1202&lt;&gt;F1203,F1203,"")</f>
        <v/>
      </c>
    </row>
    <row r="1204" customFormat="false" ht="15" hidden="false" customHeight="false" outlineLevel="0" collapsed="false">
      <c r="A1204" s="1" t="s">
        <v>474</v>
      </c>
      <c r="B1204" s="1" t="s">
        <v>475</v>
      </c>
      <c r="C1204" s="1" t="s">
        <v>775</v>
      </c>
      <c r="D1204" s="1" t="s">
        <v>776</v>
      </c>
      <c r="E1204" s="1" t="n">
        <v>20171</v>
      </c>
      <c r="F1204" s="1" t="s">
        <v>303</v>
      </c>
      <c r="G1204" s="1" t="s">
        <v>18</v>
      </c>
      <c r="H1204" s="1" t="n">
        <v>3</v>
      </c>
      <c r="I1204" s="1" t="n">
        <v>0</v>
      </c>
      <c r="J1204" s="1" t="n">
        <v>20201</v>
      </c>
      <c r="L1204" s="1" t="str">
        <f aca="false">IF(D1203&lt;&gt;D1204,D1204,"")</f>
        <v/>
      </c>
      <c r="M1204" s="1" t="str">
        <f aca="false">IF(F1203&lt;&gt;F1204,F1204,"")</f>
        <v/>
      </c>
    </row>
    <row r="1205" customFormat="false" ht="15" hidden="false" customHeight="false" outlineLevel="0" collapsed="false">
      <c r="A1205" s="1" t="s">
        <v>476</v>
      </c>
      <c r="B1205" s="1" t="s">
        <v>477</v>
      </c>
      <c r="C1205" s="1" t="s">
        <v>775</v>
      </c>
      <c r="D1205" s="1" t="s">
        <v>776</v>
      </c>
      <c r="E1205" s="1" t="n">
        <v>20171</v>
      </c>
      <c r="F1205" s="1" t="s">
        <v>303</v>
      </c>
      <c r="G1205" s="1" t="s">
        <v>18</v>
      </c>
      <c r="H1205" s="1" t="n">
        <v>3</v>
      </c>
      <c r="I1205" s="1" t="n">
        <v>0</v>
      </c>
      <c r="J1205" s="1" t="n">
        <v>20201</v>
      </c>
      <c r="L1205" s="1" t="str">
        <f aca="false">IF(D1204&lt;&gt;D1205,D1205,"")</f>
        <v/>
      </c>
      <c r="M1205" s="1" t="str">
        <f aca="false">IF(F1204&lt;&gt;F1205,F1205,"")</f>
        <v/>
      </c>
    </row>
    <row r="1206" customFormat="false" ht="15" hidden="false" customHeight="false" outlineLevel="0" collapsed="false">
      <c r="A1206" s="1" t="s">
        <v>478</v>
      </c>
      <c r="B1206" s="1" t="s">
        <v>479</v>
      </c>
      <c r="C1206" s="1" t="s">
        <v>775</v>
      </c>
      <c r="D1206" s="1" t="s">
        <v>776</v>
      </c>
      <c r="E1206" s="1" t="n">
        <v>20171</v>
      </c>
      <c r="F1206" s="1" t="s">
        <v>303</v>
      </c>
      <c r="G1206" s="1" t="s">
        <v>15</v>
      </c>
      <c r="H1206" s="1" t="n">
        <v>3.5</v>
      </c>
      <c r="I1206" s="1" t="n">
        <v>0</v>
      </c>
      <c r="J1206" s="1" t="n">
        <v>20201</v>
      </c>
      <c r="L1206" s="1" t="str">
        <f aca="false">IF(D1205&lt;&gt;D1206,D1206,"")</f>
        <v/>
      </c>
      <c r="M1206" s="1" t="str">
        <f aca="false">IF(F1205&lt;&gt;F1206,F1206,"")</f>
        <v/>
      </c>
    </row>
    <row r="1207" customFormat="false" ht="15" hidden="false" customHeight="false" outlineLevel="0" collapsed="false">
      <c r="A1207" s="1" t="s">
        <v>480</v>
      </c>
      <c r="B1207" s="1" t="s">
        <v>481</v>
      </c>
      <c r="C1207" s="1" t="s">
        <v>775</v>
      </c>
      <c r="D1207" s="1" t="s">
        <v>776</v>
      </c>
      <c r="E1207" s="1" t="n">
        <v>20171</v>
      </c>
      <c r="F1207" s="1" t="s">
        <v>303</v>
      </c>
      <c r="G1207" s="1" t="s">
        <v>30</v>
      </c>
      <c r="H1207" s="1" t="n">
        <v>1.5</v>
      </c>
      <c r="I1207" s="1" t="n">
        <v>0</v>
      </c>
      <c r="J1207" s="1" t="n">
        <v>20201</v>
      </c>
      <c r="L1207" s="1" t="str">
        <f aca="false">IF(D1206&lt;&gt;D1207,D1207,"")</f>
        <v/>
      </c>
      <c r="M1207" s="1" t="str">
        <f aca="false">IF(F1206&lt;&gt;F1207,F1207,"")</f>
        <v/>
      </c>
    </row>
    <row r="1208" customFormat="false" ht="15" hidden="false" customHeight="false" outlineLevel="0" collapsed="false">
      <c r="A1208" s="1" t="s">
        <v>482</v>
      </c>
      <c r="B1208" s="1" t="s">
        <v>483</v>
      </c>
      <c r="C1208" s="1" t="s">
        <v>775</v>
      </c>
      <c r="D1208" s="1" t="s">
        <v>776</v>
      </c>
      <c r="E1208" s="1" t="n">
        <v>20171</v>
      </c>
      <c r="F1208" s="1" t="s">
        <v>303</v>
      </c>
      <c r="G1208" s="1" t="s">
        <v>18</v>
      </c>
      <c r="H1208" s="1" t="n">
        <v>3</v>
      </c>
      <c r="I1208" s="1" t="n">
        <v>0</v>
      </c>
      <c r="J1208" s="1" t="n">
        <v>20201</v>
      </c>
      <c r="L1208" s="1" t="str">
        <f aca="false">IF(D1207&lt;&gt;D1208,D1208,"")</f>
        <v/>
      </c>
      <c r="M1208" s="1" t="str">
        <f aca="false">IF(F1207&lt;&gt;F1208,F1208,"")</f>
        <v/>
      </c>
    </row>
    <row r="1209" customFormat="false" ht="15" hidden="false" customHeight="false" outlineLevel="0" collapsed="false">
      <c r="A1209" s="1" t="s">
        <v>484</v>
      </c>
      <c r="B1209" s="1" t="s">
        <v>485</v>
      </c>
      <c r="C1209" s="1" t="s">
        <v>775</v>
      </c>
      <c r="D1209" s="1" t="s">
        <v>776</v>
      </c>
      <c r="E1209" s="1" t="n">
        <v>20171</v>
      </c>
      <c r="F1209" s="1" t="s">
        <v>303</v>
      </c>
      <c r="G1209" s="1" t="s">
        <v>127</v>
      </c>
      <c r="H1209" s="1" t="n">
        <v>2</v>
      </c>
      <c r="I1209" s="1" t="n">
        <v>0</v>
      </c>
      <c r="J1209" s="1" t="n">
        <v>20201</v>
      </c>
      <c r="L1209" s="1" t="str">
        <f aca="false">IF(D1208&lt;&gt;D1209,D1209,"")</f>
        <v/>
      </c>
      <c r="M1209" s="1" t="str">
        <f aca="false">IF(F1208&lt;&gt;F1209,F1209,"")</f>
        <v/>
      </c>
    </row>
    <row r="1210" customFormat="false" ht="15" hidden="false" customHeight="false" outlineLevel="0" collapsed="false">
      <c r="A1210" s="1" t="s">
        <v>486</v>
      </c>
      <c r="B1210" s="1" t="s">
        <v>487</v>
      </c>
      <c r="C1210" s="1" t="s">
        <v>775</v>
      </c>
      <c r="D1210" s="1" t="s">
        <v>776</v>
      </c>
      <c r="E1210" s="1" t="n">
        <v>20171</v>
      </c>
      <c r="F1210" s="1" t="s">
        <v>303</v>
      </c>
      <c r="G1210" s="1" t="s">
        <v>101</v>
      </c>
      <c r="H1210" s="1" t="n">
        <v>2.5</v>
      </c>
      <c r="I1210" s="1" t="n">
        <v>0</v>
      </c>
      <c r="J1210" s="1" t="n">
        <v>20201</v>
      </c>
      <c r="L1210" s="1" t="str">
        <f aca="false">IF(D1209&lt;&gt;D1210,D1210,"")</f>
        <v/>
      </c>
      <c r="M1210" s="1" t="str">
        <f aca="false">IF(F1209&lt;&gt;F1210,F1210,"")</f>
        <v/>
      </c>
    </row>
    <row r="1211" customFormat="false" ht="15" hidden="false" customHeight="false" outlineLevel="0" collapsed="false">
      <c r="A1211" s="1" t="s">
        <v>488</v>
      </c>
      <c r="B1211" s="1" t="s">
        <v>489</v>
      </c>
      <c r="C1211" s="1" t="s">
        <v>775</v>
      </c>
      <c r="D1211" s="1" t="s">
        <v>776</v>
      </c>
      <c r="E1211" s="1" t="n">
        <v>20171</v>
      </c>
      <c r="F1211" s="1" t="s">
        <v>303</v>
      </c>
      <c r="G1211" s="1" t="s">
        <v>127</v>
      </c>
      <c r="H1211" s="1" t="n">
        <v>2</v>
      </c>
      <c r="I1211" s="1" t="n">
        <v>0</v>
      </c>
      <c r="J1211" s="1" t="n">
        <v>20201</v>
      </c>
      <c r="L1211" s="1" t="str">
        <f aca="false">IF(D1210&lt;&gt;D1211,D1211,"")</f>
        <v/>
      </c>
      <c r="M1211" s="1" t="str">
        <f aca="false">IF(F1210&lt;&gt;F1211,F1211,"")</f>
        <v/>
      </c>
    </row>
    <row r="1212" customFormat="false" ht="15" hidden="false" customHeight="false" outlineLevel="0" collapsed="false">
      <c r="A1212" s="1" t="s">
        <v>490</v>
      </c>
      <c r="B1212" s="1" t="s">
        <v>491</v>
      </c>
      <c r="C1212" s="1" t="s">
        <v>775</v>
      </c>
      <c r="D1212" s="1" t="s">
        <v>776</v>
      </c>
      <c r="E1212" s="1" t="n">
        <v>20171</v>
      </c>
      <c r="F1212" s="1" t="s">
        <v>303</v>
      </c>
      <c r="G1212" s="1" t="s">
        <v>127</v>
      </c>
      <c r="H1212" s="1" t="n">
        <v>2</v>
      </c>
      <c r="I1212" s="1" t="n">
        <v>0</v>
      </c>
      <c r="J1212" s="1" t="n">
        <v>20201</v>
      </c>
      <c r="L1212" s="1" t="str">
        <f aca="false">IF(D1211&lt;&gt;D1212,D1212,"")</f>
        <v/>
      </c>
      <c r="M1212" s="1" t="str">
        <f aca="false">IF(F1211&lt;&gt;F1212,F1212,"")</f>
        <v/>
      </c>
    </row>
    <row r="1213" customFormat="false" ht="15" hidden="false" customHeight="false" outlineLevel="0" collapsed="false">
      <c r="A1213" s="1" t="s">
        <v>492</v>
      </c>
      <c r="B1213" s="1" t="s">
        <v>493</v>
      </c>
      <c r="C1213" s="1" t="s">
        <v>775</v>
      </c>
      <c r="D1213" s="1" t="s">
        <v>776</v>
      </c>
      <c r="E1213" s="1" t="n">
        <v>20171</v>
      </c>
      <c r="F1213" s="1" t="s">
        <v>303</v>
      </c>
      <c r="G1213" s="1" t="s">
        <v>127</v>
      </c>
      <c r="H1213" s="1" t="n">
        <v>2</v>
      </c>
      <c r="I1213" s="1" t="n">
        <v>0</v>
      </c>
      <c r="J1213" s="1" t="n">
        <v>20201</v>
      </c>
      <c r="L1213" s="1" t="str">
        <f aca="false">IF(D1212&lt;&gt;D1213,D1213,"")</f>
        <v/>
      </c>
      <c r="M1213" s="1" t="str">
        <f aca="false">IF(F1212&lt;&gt;F1213,F1213,"")</f>
        <v/>
      </c>
    </row>
    <row r="1214" customFormat="false" ht="15" hidden="false" customHeight="false" outlineLevel="0" collapsed="false">
      <c r="A1214" s="1" t="s">
        <v>494</v>
      </c>
      <c r="B1214" s="1" t="s">
        <v>495</v>
      </c>
      <c r="C1214" s="1" t="s">
        <v>775</v>
      </c>
      <c r="D1214" s="1" t="s">
        <v>776</v>
      </c>
      <c r="E1214" s="1" t="n">
        <v>20171</v>
      </c>
      <c r="F1214" s="1" t="s">
        <v>303</v>
      </c>
      <c r="G1214" s="1" t="s">
        <v>101</v>
      </c>
      <c r="H1214" s="1" t="n">
        <v>2.5</v>
      </c>
      <c r="I1214" s="1" t="n">
        <v>0</v>
      </c>
      <c r="J1214" s="1" t="n">
        <v>20201</v>
      </c>
      <c r="L1214" s="1" t="str">
        <f aca="false">IF(D1213&lt;&gt;D1214,D1214,"")</f>
        <v/>
      </c>
      <c r="M1214" s="1" t="str">
        <f aca="false">IF(F1213&lt;&gt;F1214,F1214,"")</f>
        <v/>
      </c>
    </row>
    <row r="1215" customFormat="false" ht="15" hidden="false" customHeight="false" outlineLevel="0" collapsed="false">
      <c r="A1215" s="1" t="s">
        <v>496</v>
      </c>
      <c r="B1215" s="1" t="s">
        <v>497</v>
      </c>
      <c r="C1215" s="1" t="s">
        <v>775</v>
      </c>
      <c r="D1215" s="1" t="s">
        <v>776</v>
      </c>
      <c r="E1215" s="1" t="n">
        <v>20171</v>
      </c>
      <c r="F1215" s="1" t="s">
        <v>303</v>
      </c>
      <c r="G1215" s="1" t="s">
        <v>127</v>
      </c>
      <c r="H1215" s="1" t="n">
        <v>2</v>
      </c>
      <c r="I1215" s="1" t="n">
        <v>0</v>
      </c>
      <c r="J1215" s="1" t="n">
        <v>20201</v>
      </c>
      <c r="L1215" s="1" t="str">
        <f aca="false">IF(D1214&lt;&gt;D1215,D1215,"")</f>
        <v/>
      </c>
      <c r="M1215" s="1" t="str">
        <f aca="false">IF(F1214&lt;&gt;F1215,F1215,"")</f>
        <v/>
      </c>
    </row>
    <row r="1216" customFormat="false" ht="15" hidden="false" customHeight="false" outlineLevel="0" collapsed="false">
      <c r="A1216" s="1" t="s">
        <v>498</v>
      </c>
      <c r="B1216" s="1" t="s">
        <v>499</v>
      </c>
      <c r="C1216" s="1" t="s">
        <v>775</v>
      </c>
      <c r="D1216" s="1" t="s">
        <v>776</v>
      </c>
      <c r="E1216" s="1" t="n">
        <v>20171</v>
      </c>
      <c r="F1216" s="1" t="s">
        <v>303</v>
      </c>
      <c r="G1216" s="1" t="s">
        <v>127</v>
      </c>
      <c r="H1216" s="1" t="n">
        <v>2</v>
      </c>
      <c r="I1216" s="1" t="n">
        <v>0</v>
      </c>
      <c r="J1216" s="1" t="n">
        <v>20201</v>
      </c>
      <c r="L1216" s="1" t="str">
        <f aca="false">IF(D1215&lt;&gt;D1216,D1216,"")</f>
        <v/>
      </c>
      <c r="M1216" s="1" t="str">
        <f aca="false">IF(F1215&lt;&gt;F1216,F1216,"")</f>
        <v/>
      </c>
    </row>
    <row r="1217" customFormat="false" ht="15" hidden="false" customHeight="false" outlineLevel="0" collapsed="false">
      <c r="A1217" s="1" t="s">
        <v>500</v>
      </c>
      <c r="B1217" s="1" t="s">
        <v>501</v>
      </c>
      <c r="C1217" s="1" t="s">
        <v>775</v>
      </c>
      <c r="D1217" s="1" t="s">
        <v>776</v>
      </c>
      <c r="E1217" s="1" t="n">
        <v>20171</v>
      </c>
      <c r="F1217" s="1" t="s">
        <v>303</v>
      </c>
      <c r="G1217" s="1" t="s">
        <v>18</v>
      </c>
      <c r="H1217" s="1" t="n">
        <v>3</v>
      </c>
      <c r="I1217" s="1" t="n">
        <v>0</v>
      </c>
      <c r="J1217" s="1" t="n">
        <v>20201</v>
      </c>
      <c r="L1217" s="1" t="str">
        <f aca="false">IF(D1216&lt;&gt;D1217,D1217,"")</f>
        <v/>
      </c>
      <c r="M1217" s="1" t="str">
        <f aca="false">IF(F1216&lt;&gt;F1217,F1217,"")</f>
        <v/>
      </c>
    </row>
    <row r="1218" customFormat="false" ht="15" hidden="false" customHeight="false" outlineLevel="0" collapsed="false">
      <c r="A1218" s="1" t="s">
        <v>502</v>
      </c>
      <c r="B1218" s="1" t="s">
        <v>503</v>
      </c>
      <c r="C1218" s="1" t="s">
        <v>775</v>
      </c>
      <c r="D1218" s="1" t="s">
        <v>776</v>
      </c>
      <c r="E1218" s="1" t="n">
        <v>20171</v>
      </c>
      <c r="F1218" s="1" t="s">
        <v>303</v>
      </c>
      <c r="G1218" s="1" t="s">
        <v>18</v>
      </c>
      <c r="H1218" s="1" t="n">
        <v>3</v>
      </c>
      <c r="I1218" s="1" t="n">
        <v>0</v>
      </c>
      <c r="J1218" s="1" t="n">
        <v>20201</v>
      </c>
      <c r="L1218" s="1" t="str">
        <f aca="false">IF(D1217&lt;&gt;D1218,D1218,"")</f>
        <v/>
      </c>
      <c r="M1218" s="1" t="str">
        <f aca="false">IF(F1217&lt;&gt;F1218,F1218,"")</f>
        <v/>
      </c>
    </row>
    <row r="1219" customFormat="false" ht="15" hidden="false" customHeight="false" outlineLevel="0" collapsed="false">
      <c r="A1219" s="1" t="s">
        <v>504</v>
      </c>
      <c r="B1219" s="1" t="s">
        <v>505</v>
      </c>
      <c r="C1219" s="1" t="s">
        <v>775</v>
      </c>
      <c r="D1219" s="1" t="s">
        <v>776</v>
      </c>
      <c r="E1219" s="1" t="n">
        <v>20171</v>
      </c>
      <c r="F1219" s="1" t="s">
        <v>303</v>
      </c>
      <c r="G1219" s="1" t="s">
        <v>101</v>
      </c>
      <c r="H1219" s="1" t="n">
        <v>2.5</v>
      </c>
      <c r="I1219" s="1" t="n">
        <v>0</v>
      </c>
      <c r="J1219" s="1" t="n">
        <v>20201</v>
      </c>
      <c r="L1219" s="1" t="str">
        <f aca="false">IF(D1218&lt;&gt;D1219,D1219,"")</f>
        <v/>
      </c>
      <c r="M1219" s="1" t="str">
        <f aca="false">IF(F1218&lt;&gt;F1219,F1219,"")</f>
        <v/>
      </c>
    </row>
    <row r="1220" customFormat="false" ht="15" hidden="false" customHeight="false" outlineLevel="0" collapsed="false">
      <c r="A1220" s="1" t="s">
        <v>506</v>
      </c>
      <c r="B1220" s="1" t="s">
        <v>507</v>
      </c>
      <c r="C1220" s="1" t="s">
        <v>775</v>
      </c>
      <c r="D1220" s="1" t="s">
        <v>776</v>
      </c>
      <c r="E1220" s="1" t="n">
        <v>20171</v>
      </c>
      <c r="F1220" s="1" t="s">
        <v>303</v>
      </c>
      <c r="G1220" s="1" t="s">
        <v>30</v>
      </c>
      <c r="H1220" s="1" t="n">
        <v>1.5</v>
      </c>
      <c r="I1220" s="1" t="n">
        <v>0</v>
      </c>
      <c r="J1220" s="1" t="n">
        <v>20201</v>
      </c>
      <c r="L1220" s="1" t="str">
        <f aca="false">IF(D1219&lt;&gt;D1220,D1220,"")</f>
        <v/>
      </c>
      <c r="M1220" s="1" t="str">
        <f aca="false">IF(F1219&lt;&gt;F1220,F1220,"")</f>
        <v/>
      </c>
    </row>
    <row r="1221" customFormat="false" ht="15" hidden="false" customHeight="false" outlineLevel="0" collapsed="false">
      <c r="A1221" s="1" t="s">
        <v>508</v>
      </c>
      <c r="B1221" s="1" t="s">
        <v>509</v>
      </c>
      <c r="C1221" s="1" t="s">
        <v>775</v>
      </c>
      <c r="D1221" s="1" t="s">
        <v>776</v>
      </c>
      <c r="E1221" s="1" t="n">
        <v>20171</v>
      </c>
      <c r="F1221" s="1" t="s">
        <v>303</v>
      </c>
      <c r="G1221" s="1" t="s">
        <v>18</v>
      </c>
      <c r="H1221" s="1" t="n">
        <v>3</v>
      </c>
      <c r="I1221" s="1" t="n">
        <v>0</v>
      </c>
      <c r="J1221" s="1" t="n">
        <v>20201</v>
      </c>
      <c r="L1221" s="1" t="str">
        <f aca="false">IF(D1220&lt;&gt;D1221,D1221,"")</f>
        <v/>
      </c>
      <c r="M1221" s="1" t="str">
        <f aca="false">IF(F1220&lt;&gt;F1221,F1221,"")</f>
        <v/>
      </c>
    </row>
    <row r="1222" customFormat="false" ht="15" hidden="false" customHeight="false" outlineLevel="0" collapsed="false">
      <c r="A1222" s="1" t="s">
        <v>777</v>
      </c>
      <c r="B1222" s="1" t="s">
        <v>778</v>
      </c>
      <c r="C1222" s="1" t="s">
        <v>779</v>
      </c>
      <c r="D1222" s="1" t="s">
        <v>780</v>
      </c>
      <c r="E1222" s="1" t="n">
        <v>20171</v>
      </c>
      <c r="F1222" s="1" t="s">
        <v>208</v>
      </c>
      <c r="G1222" s="1" t="s">
        <v>23</v>
      </c>
      <c r="H1222" s="1" t="n">
        <v>0</v>
      </c>
      <c r="I1222" s="1" t="n">
        <v>0</v>
      </c>
      <c r="J1222" s="1" t="n">
        <v>20201</v>
      </c>
      <c r="L1222" s="1" t="str">
        <f aca="false">IF(D1221&lt;&gt;D1222,D1222,"")</f>
        <v>KOMUNIKASI GELOMBANG MIKRO</v>
      </c>
      <c r="M1222" s="1" t="str">
        <f aca="false">IF(F1221&lt;&gt;F1222,F1222,"")</f>
        <v>P</v>
      </c>
    </row>
    <row r="1223" customFormat="false" ht="15" hidden="false" customHeight="false" outlineLevel="0" collapsed="false">
      <c r="A1223" s="1" t="s">
        <v>259</v>
      </c>
      <c r="B1223" s="1" t="s">
        <v>260</v>
      </c>
      <c r="C1223" s="1" t="s">
        <v>779</v>
      </c>
      <c r="D1223" s="1" t="s">
        <v>780</v>
      </c>
      <c r="E1223" s="1" t="n">
        <v>20171</v>
      </c>
      <c r="F1223" s="1" t="s">
        <v>208</v>
      </c>
      <c r="G1223" s="1" t="s">
        <v>18</v>
      </c>
      <c r="H1223" s="1" t="n">
        <v>3</v>
      </c>
      <c r="I1223" s="1" t="n">
        <v>0</v>
      </c>
      <c r="J1223" s="1" t="n">
        <v>20201</v>
      </c>
      <c r="L1223" s="1" t="str">
        <f aca="false">IF(D1222&lt;&gt;D1223,D1223,"")</f>
        <v/>
      </c>
      <c r="M1223" s="1" t="str">
        <f aca="false">IF(F1222&lt;&gt;F1223,F1223,"")</f>
        <v/>
      </c>
    </row>
    <row r="1224" customFormat="false" ht="15" hidden="false" customHeight="false" outlineLevel="0" collapsed="false">
      <c r="A1224" s="1" t="s">
        <v>263</v>
      </c>
      <c r="B1224" s="1" t="s">
        <v>264</v>
      </c>
      <c r="C1224" s="1" t="s">
        <v>779</v>
      </c>
      <c r="D1224" s="1" t="s">
        <v>780</v>
      </c>
      <c r="E1224" s="1" t="n">
        <v>20171</v>
      </c>
      <c r="F1224" s="1" t="s">
        <v>208</v>
      </c>
      <c r="G1224" s="1" t="s">
        <v>101</v>
      </c>
      <c r="H1224" s="1" t="n">
        <v>2.5</v>
      </c>
      <c r="I1224" s="1" t="n">
        <v>0</v>
      </c>
      <c r="J1224" s="1" t="n">
        <v>20201</v>
      </c>
      <c r="L1224" s="1" t="str">
        <f aca="false">IF(D1223&lt;&gt;D1224,D1224,"")</f>
        <v/>
      </c>
      <c r="M1224" s="1" t="str">
        <f aca="false">IF(F1223&lt;&gt;F1224,F1224,"")</f>
        <v/>
      </c>
    </row>
    <row r="1225" customFormat="false" ht="15" hidden="false" customHeight="false" outlineLevel="0" collapsed="false">
      <c r="A1225" s="1" t="s">
        <v>265</v>
      </c>
      <c r="B1225" s="1" t="s">
        <v>266</v>
      </c>
      <c r="C1225" s="1" t="s">
        <v>779</v>
      </c>
      <c r="D1225" s="1" t="s">
        <v>780</v>
      </c>
      <c r="E1225" s="1" t="n">
        <v>20171</v>
      </c>
      <c r="F1225" s="1" t="s">
        <v>208</v>
      </c>
      <c r="G1225" s="1" t="s">
        <v>15</v>
      </c>
      <c r="H1225" s="1" t="n">
        <v>3.5</v>
      </c>
      <c r="I1225" s="1" t="n">
        <v>0</v>
      </c>
      <c r="J1225" s="1" t="n">
        <v>20201</v>
      </c>
      <c r="L1225" s="1" t="str">
        <f aca="false">IF(D1224&lt;&gt;D1225,D1225,"")</f>
        <v/>
      </c>
      <c r="M1225" s="1" t="str">
        <f aca="false">IF(F1224&lt;&gt;F1225,F1225,"")</f>
        <v/>
      </c>
    </row>
    <row r="1226" customFormat="false" ht="15" hidden="false" customHeight="false" outlineLevel="0" collapsed="false">
      <c r="A1226" s="1" t="s">
        <v>267</v>
      </c>
      <c r="B1226" s="1" t="s">
        <v>268</v>
      </c>
      <c r="C1226" s="1" t="s">
        <v>779</v>
      </c>
      <c r="D1226" s="1" t="s">
        <v>780</v>
      </c>
      <c r="E1226" s="1" t="n">
        <v>20171</v>
      </c>
      <c r="F1226" s="1" t="s">
        <v>208</v>
      </c>
      <c r="G1226" s="1" t="s">
        <v>18</v>
      </c>
      <c r="H1226" s="1" t="n">
        <v>3</v>
      </c>
      <c r="I1226" s="1" t="n">
        <v>0</v>
      </c>
      <c r="J1226" s="1" t="n">
        <v>20201</v>
      </c>
      <c r="L1226" s="1" t="str">
        <f aca="false">IF(D1225&lt;&gt;D1226,D1226,"")</f>
        <v/>
      </c>
      <c r="M1226" s="1" t="str">
        <f aca="false">IF(F1225&lt;&gt;F1226,F1226,"")</f>
        <v/>
      </c>
    </row>
    <row r="1227" customFormat="false" ht="15" hidden="false" customHeight="false" outlineLevel="0" collapsed="false">
      <c r="A1227" s="1" t="s">
        <v>269</v>
      </c>
      <c r="B1227" s="1" t="s">
        <v>270</v>
      </c>
      <c r="C1227" s="1" t="s">
        <v>779</v>
      </c>
      <c r="D1227" s="1" t="s">
        <v>780</v>
      </c>
      <c r="E1227" s="1" t="n">
        <v>20171</v>
      </c>
      <c r="F1227" s="1" t="s">
        <v>208</v>
      </c>
      <c r="G1227" s="1" t="s">
        <v>15</v>
      </c>
      <c r="H1227" s="1" t="n">
        <v>3.5</v>
      </c>
      <c r="I1227" s="1" t="n">
        <v>0</v>
      </c>
      <c r="J1227" s="1" t="n">
        <v>20201</v>
      </c>
      <c r="L1227" s="1" t="str">
        <f aca="false">IF(D1226&lt;&gt;D1227,D1227,"")</f>
        <v/>
      </c>
      <c r="M1227" s="1" t="str">
        <f aca="false">IF(F1226&lt;&gt;F1227,F1227,"")</f>
        <v/>
      </c>
    </row>
    <row r="1228" customFormat="false" ht="15" hidden="false" customHeight="false" outlineLevel="0" collapsed="false">
      <c r="A1228" s="1" t="s">
        <v>273</v>
      </c>
      <c r="B1228" s="1" t="s">
        <v>274</v>
      </c>
      <c r="C1228" s="1" t="s">
        <v>779</v>
      </c>
      <c r="D1228" s="1" t="s">
        <v>780</v>
      </c>
      <c r="E1228" s="1" t="n">
        <v>20171</v>
      </c>
      <c r="F1228" s="1" t="s">
        <v>208</v>
      </c>
      <c r="G1228" s="1" t="s">
        <v>18</v>
      </c>
      <c r="H1228" s="1" t="n">
        <v>3</v>
      </c>
      <c r="I1228" s="1" t="n">
        <v>0</v>
      </c>
      <c r="J1228" s="1" t="n">
        <v>20201</v>
      </c>
      <c r="L1228" s="1" t="str">
        <f aca="false">IF(D1227&lt;&gt;D1228,D1228,"")</f>
        <v/>
      </c>
      <c r="M1228" s="1" t="str">
        <f aca="false">IF(F1227&lt;&gt;F1228,F1228,"")</f>
        <v/>
      </c>
    </row>
    <row r="1229" customFormat="false" ht="15" hidden="false" customHeight="false" outlineLevel="0" collapsed="false">
      <c r="A1229" s="1" t="s">
        <v>275</v>
      </c>
      <c r="B1229" s="1" t="s">
        <v>276</v>
      </c>
      <c r="C1229" s="1" t="s">
        <v>779</v>
      </c>
      <c r="D1229" s="1" t="s">
        <v>780</v>
      </c>
      <c r="E1229" s="1" t="n">
        <v>20171</v>
      </c>
      <c r="F1229" s="1" t="s">
        <v>208</v>
      </c>
      <c r="G1229" s="1" t="s">
        <v>15</v>
      </c>
      <c r="H1229" s="1" t="n">
        <v>3.5</v>
      </c>
      <c r="I1229" s="1" t="n">
        <v>0</v>
      </c>
      <c r="J1229" s="1" t="n">
        <v>20201</v>
      </c>
      <c r="L1229" s="1" t="str">
        <f aca="false">IF(D1228&lt;&gt;D1229,D1229,"")</f>
        <v/>
      </c>
      <c r="M1229" s="1" t="str">
        <f aca="false">IF(F1228&lt;&gt;F1229,F1229,"")</f>
        <v/>
      </c>
    </row>
    <row r="1230" customFormat="false" ht="15" hidden="false" customHeight="false" outlineLevel="0" collapsed="false">
      <c r="A1230" s="1" t="s">
        <v>681</v>
      </c>
      <c r="B1230" s="1" t="s">
        <v>682</v>
      </c>
      <c r="C1230" s="1" t="s">
        <v>779</v>
      </c>
      <c r="D1230" s="1" t="s">
        <v>780</v>
      </c>
      <c r="E1230" s="1" t="n">
        <v>20171</v>
      </c>
      <c r="F1230" s="1" t="s">
        <v>208</v>
      </c>
      <c r="G1230" s="1" t="s">
        <v>18</v>
      </c>
      <c r="H1230" s="1" t="n">
        <v>3</v>
      </c>
      <c r="I1230" s="1" t="n">
        <v>0</v>
      </c>
      <c r="J1230" s="1" t="n">
        <v>20201</v>
      </c>
      <c r="L1230" s="1" t="str">
        <f aca="false">IF(D1229&lt;&gt;D1230,D1230,"")</f>
        <v/>
      </c>
      <c r="M1230" s="1" t="str">
        <f aca="false">IF(F1229&lt;&gt;F1230,F1230,"")</f>
        <v/>
      </c>
    </row>
    <row r="1231" customFormat="false" ht="15" hidden="false" customHeight="false" outlineLevel="0" collapsed="false">
      <c r="A1231" s="1" t="s">
        <v>279</v>
      </c>
      <c r="B1231" s="1" t="s">
        <v>280</v>
      </c>
      <c r="C1231" s="1" t="s">
        <v>779</v>
      </c>
      <c r="D1231" s="1" t="s">
        <v>780</v>
      </c>
      <c r="E1231" s="1" t="n">
        <v>20171</v>
      </c>
      <c r="F1231" s="1" t="s">
        <v>208</v>
      </c>
      <c r="G1231" s="1" t="s">
        <v>15</v>
      </c>
      <c r="H1231" s="1" t="n">
        <v>3.5</v>
      </c>
      <c r="I1231" s="1" t="n">
        <v>0</v>
      </c>
      <c r="J1231" s="1" t="n">
        <v>20201</v>
      </c>
      <c r="L1231" s="1" t="str">
        <f aca="false">IF(D1230&lt;&gt;D1231,D1231,"")</f>
        <v/>
      </c>
      <c r="M1231" s="1" t="str">
        <f aca="false">IF(F1230&lt;&gt;F1231,F1231,"")</f>
        <v/>
      </c>
    </row>
    <row r="1232" customFormat="false" ht="15" hidden="false" customHeight="false" outlineLevel="0" collapsed="false">
      <c r="A1232" s="1" t="s">
        <v>281</v>
      </c>
      <c r="B1232" s="1" t="s">
        <v>282</v>
      </c>
      <c r="C1232" s="1" t="s">
        <v>779</v>
      </c>
      <c r="D1232" s="1" t="s">
        <v>780</v>
      </c>
      <c r="E1232" s="1" t="n">
        <v>20171</v>
      </c>
      <c r="F1232" s="1" t="s">
        <v>208</v>
      </c>
      <c r="G1232" s="1" t="s">
        <v>15</v>
      </c>
      <c r="H1232" s="1" t="n">
        <v>3.5</v>
      </c>
      <c r="I1232" s="1" t="n">
        <v>0</v>
      </c>
      <c r="J1232" s="1" t="n">
        <v>20201</v>
      </c>
      <c r="L1232" s="1" t="str">
        <f aca="false">IF(D1231&lt;&gt;D1232,D1232,"")</f>
        <v/>
      </c>
      <c r="M1232" s="1" t="str">
        <f aca="false">IF(F1231&lt;&gt;F1232,F1232,"")</f>
        <v/>
      </c>
    </row>
    <row r="1233" customFormat="false" ht="15" hidden="false" customHeight="false" outlineLevel="0" collapsed="false">
      <c r="A1233" s="1" t="s">
        <v>283</v>
      </c>
      <c r="B1233" s="1" t="s">
        <v>284</v>
      </c>
      <c r="C1233" s="1" t="s">
        <v>779</v>
      </c>
      <c r="D1233" s="1" t="s">
        <v>780</v>
      </c>
      <c r="E1233" s="1" t="n">
        <v>20171</v>
      </c>
      <c r="F1233" s="1" t="s">
        <v>208</v>
      </c>
      <c r="G1233" s="1" t="s">
        <v>15</v>
      </c>
      <c r="H1233" s="1" t="n">
        <v>3.5</v>
      </c>
      <c r="I1233" s="1" t="n">
        <v>0</v>
      </c>
      <c r="J1233" s="1" t="n">
        <v>20201</v>
      </c>
      <c r="L1233" s="1" t="str">
        <f aca="false">IF(D1232&lt;&gt;D1233,D1233,"")</f>
        <v/>
      </c>
      <c r="M1233" s="1" t="str">
        <f aca="false">IF(F1232&lt;&gt;F1233,F1233,"")</f>
        <v/>
      </c>
    </row>
    <row r="1234" customFormat="false" ht="15" hidden="false" customHeight="false" outlineLevel="0" collapsed="false">
      <c r="A1234" s="1" t="s">
        <v>285</v>
      </c>
      <c r="B1234" s="1" t="s">
        <v>286</v>
      </c>
      <c r="C1234" s="1" t="s">
        <v>779</v>
      </c>
      <c r="D1234" s="1" t="s">
        <v>780</v>
      </c>
      <c r="E1234" s="1" t="n">
        <v>20171</v>
      </c>
      <c r="F1234" s="1" t="s">
        <v>208</v>
      </c>
      <c r="G1234" s="1" t="s">
        <v>18</v>
      </c>
      <c r="H1234" s="1" t="n">
        <v>3</v>
      </c>
      <c r="I1234" s="1" t="n">
        <v>0</v>
      </c>
      <c r="J1234" s="1" t="n">
        <v>20201</v>
      </c>
      <c r="L1234" s="1" t="str">
        <f aca="false">IF(D1233&lt;&gt;D1234,D1234,"")</f>
        <v/>
      </c>
      <c r="M1234" s="1" t="str">
        <f aca="false">IF(F1233&lt;&gt;F1234,F1234,"")</f>
        <v/>
      </c>
    </row>
    <row r="1235" customFormat="false" ht="15" hidden="false" customHeight="false" outlineLevel="0" collapsed="false">
      <c r="A1235" s="1" t="s">
        <v>287</v>
      </c>
      <c r="B1235" s="1" t="s">
        <v>288</v>
      </c>
      <c r="C1235" s="1" t="s">
        <v>779</v>
      </c>
      <c r="D1235" s="1" t="s">
        <v>780</v>
      </c>
      <c r="E1235" s="1" t="n">
        <v>20171</v>
      </c>
      <c r="F1235" s="1" t="s">
        <v>208</v>
      </c>
      <c r="G1235" s="1" t="s">
        <v>15</v>
      </c>
      <c r="H1235" s="1" t="n">
        <v>3.5</v>
      </c>
      <c r="I1235" s="1" t="n">
        <v>0</v>
      </c>
      <c r="J1235" s="1" t="n">
        <v>20201</v>
      </c>
      <c r="L1235" s="1" t="str">
        <f aca="false">IF(D1234&lt;&gt;D1235,D1235,"")</f>
        <v/>
      </c>
      <c r="M1235" s="1" t="str">
        <f aca="false">IF(F1234&lt;&gt;F1235,F1235,"")</f>
        <v/>
      </c>
    </row>
    <row r="1236" customFormat="false" ht="15" hidden="false" customHeight="false" outlineLevel="0" collapsed="false">
      <c r="A1236" s="1" t="s">
        <v>289</v>
      </c>
      <c r="B1236" s="1" t="s">
        <v>290</v>
      </c>
      <c r="C1236" s="1" t="s">
        <v>779</v>
      </c>
      <c r="D1236" s="1" t="s">
        <v>780</v>
      </c>
      <c r="E1236" s="1" t="n">
        <v>20171</v>
      </c>
      <c r="F1236" s="1" t="s">
        <v>208</v>
      </c>
      <c r="G1236" s="1" t="s">
        <v>18</v>
      </c>
      <c r="H1236" s="1" t="n">
        <v>3</v>
      </c>
      <c r="I1236" s="1" t="n">
        <v>0</v>
      </c>
      <c r="J1236" s="1" t="n">
        <v>20201</v>
      </c>
      <c r="L1236" s="1" t="str">
        <f aca="false">IF(D1235&lt;&gt;D1236,D1236,"")</f>
        <v/>
      </c>
      <c r="M1236" s="1" t="str">
        <f aca="false">IF(F1235&lt;&gt;F1236,F1236,"")</f>
        <v/>
      </c>
    </row>
    <row r="1237" customFormat="false" ht="15" hidden="false" customHeight="false" outlineLevel="0" collapsed="false">
      <c r="A1237" s="1" t="s">
        <v>291</v>
      </c>
      <c r="B1237" s="1" t="s">
        <v>292</v>
      </c>
      <c r="C1237" s="1" t="s">
        <v>779</v>
      </c>
      <c r="D1237" s="1" t="s">
        <v>780</v>
      </c>
      <c r="E1237" s="1" t="n">
        <v>20171</v>
      </c>
      <c r="F1237" s="1" t="s">
        <v>208</v>
      </c>
      <c r="G1237" s="1" t="s">
        <v>18</v>
      </c>
      <c r="H1237" s="1" t="n">
        <v>3</v>
      </c>
      <c r="I1237" s="1" t="n">
        <v>0</v>
      </c>
      <c r="J1237" s="1" t="n">
        <v>20201</v>
      </c>
      <c r="L1237" s="1" t="str">
        <f aca="false">IF(D1236&lt;&gt;D1237,D1237,"")</f>
        <v/>
      </c>
      <c r="M1237" s="1" t="str">
        <f aca="false">IF(F1236&lt;&gt;F1237,F1237,"")</f>
        <v/>
      </c>
    </row>
    <row r="1238" customFormat="false" ht="15" hidden="false" customHeight="false" outlineLevel="0" collapsed="false">
      <c r="A1238" s="1" t="s">
        <v>293</v>
      </c>
      <c r="B1238" s="1" t="s">
        <v>294</v>
      </c>
      <c r="C1238" s="1" t="s">
        <v>779</v>
      </c>
      <c r="D1238" s="1" t="s">
        <v>780</v>
      </c>
      <c r="E1238" s="1" t="n">
        <v>20171</v>
      </c>
      <c r="F1238" s="1" t="s">
        <v>208</v>
      </c>
      <c r="G1238" s="1" t="s">
        <v>15</v>
      </c>
      <c r="H1238" s="1" t="n">
        <v>3.5</v>
      </c>
      <c r="I1238" s="1" t="n">
        <v>0</v>
      </c>
      <c r="J1238" s="1" t="n">
        <v>20201</v>
      </c>
      <c r="L1238" s="1" t="str">
        <f aca="false">IF(D1237&lt;&gt;D1238,D1238,"")</f>
        <v/>
      </c>
      <c r="M1238" s="1" t="str">
        <f aca="false">IF(F1237&lt;&gt;F1238,F1238,"")</f>
        <v/>
      </c>
    </row>
    <row r="1239" customFormat="false" ht="15" hidden="false" customHeight="false" outlineLevel="0" collapsed="false">
      <c r="A1239" s="1" t="s">
        <v>295</v>
      </c>
      <c r="B1239" s="1" t="s">
        <v>296</v>
      </c>
      <c r="C1239" s="1" t="s">
        <v>779</v>
      </c>
      <c r="D1239" s="1" t="s">
        <v>780</v>
      </c>
      <c r="E1239" s="1" t="n">
        <v>20171</v>
      </c>
      <c r="F1239" s="1" t="s">
        <v>208</v>
      </c>
      <c r="G1239" s="1" t="s">
        <v>101</v>
      </c>
      <c r="H1239" s="1" t="n">
        <v>2.5</v>
      </c>
      <c r="I1239" s="1" t="n">
        <v>0</v>
      </c>
      <c r="J1239" s="1" t="n">
        <v>20201</v>
      </c>
      <c r="L1239" s="1" t="str">
        <f aca="false">IF(D1238&lt;&gt;D1239,D1239,"")</f>
        <v/>
      </c>
      <c r="M1239" s="1" t="str">
        <f aca="false">IF(F1238&lt;&gt;F1239,F1239,"")</f>
        <v/>
      </c>
    </row>
    <row r="1240" customFormat="false" ht="15" hidden="false" customHeight="false" outlineLevel="0" collapsed="false">
      <c r="A1240" s="1" t="s">
        <v>297</v>
      </c>
      <c r="B1240" s="1" t="s">
        <v>298</v>
      </c>
      <c r="C1240" s="1" t="s">
        <v>779</v>
      </c>
      <c r="D1240" s="1" t="s">
        <v>780</v>
      </c>
      <c r="E1240" s="1" t="n">
        <v>20171</v>
      </c>
      <c r="F1240" s="1" t="s">
        <v>208</v>
      </c>
      <c r="G1240" s="1" t="s">
        <v>15</v>
      </c>
      <c r="H1240" s="1" t="n">
        <v>3.5</v>
      </c>
      <c r="I1240" s="1" t="n">
        <v>0</v>
      </c>
      <c r="J1240" s="1" t="n">
        <v>20201</v>
      </c>
      <c r="L1240" s="1" t="str">
        <f aca="false">IF(D1239&lt;&gt;D1240,D1240,"")</f>
        <v/>
      </c>
      <c r="M1240" s="1" t="str">
        <f aca="false">IF(F1239&lt;&gt;F1240,F1240,"")</f>
        <v/>
      </c>
    </row>
    <row r="1241" customFormat="false" ht="15" hidden="false" customHeight="false" outlineLevel="0" collapsed="false">
      <c r="A1241" s="1" t="s">
        <v>16</v>
      </c>
      <c r="B1241" s="1" t="s">
        <v>17</v>
      </c>
      <c r="C1241" s="1" t="s">
        <v>781</v>
      </c>
      <c r="D1241" s="1" t="s">
        <v>782</v>
      </c>
      <c r="E1241" s="1" t="n">
        <v>20171</v>
      </c>
      <c r="F1241" s="1" t="s">
        <v>208</v>
      </c>
      <c r="G1241" s="1" t="s">
        <v>14</v>
      </c>
      <c r="H1241" s="1" t="n">
        <v>4</v>
      </c>
      <c r="I1241" s="1" t="n">
        <v>0</v>
      </c>
      <c r="J1241" s="1" t="n">
        <v>20201</v>
      </c>
      <c r="L1241" s="1" t="str">
        <f aca="false">IF(D1240&lt;&gt;D1241,D1241,"")</f>
        <v>KULIAH KERJA NYATA (KKN)</v>
      </c>
      <c r="M1241" s="1" t="str">
        <f aca="false">IF(F1240&lt;&gt;F1241,F1241,"")</f>
        <v/>
      </c>
    </row>
    <row r="1242" customFormat="false" ht="15" hidden="false" customHeight="false" outlineLevel="0" collapsed="false">
      <c r="A1242" s="1" t="s">
        <v>783</v>
      </c>
      <c r="B1242" s="1" t="s">
        <v>784</v>
      </c>
      <c r="C1242" s="1" t="s">
        <v>781</v>
      </c>
      <c r="D1242" s="1" t="s">
        <v>782</v>
      </c>
      <c r="E1242" s="1" t="n">
        <v>20171</v>
      </c>
      <c r="F1242" s="1" t="s">
        <v>208</v>
      </c>
      <c r="G1242" s="1" t="s">
        <v>14</v>
      </c>
      <c r="H1242" s="1" t="n">
        <v>4</v>
      </c>
      <c r="I1242" s="1" t="n">
        <v>0</v>
      </c>
      <c r="J1242" s="1" t="n">
        <v>20201</v>
      </c>
      <c r="L1242" s="1" t="str">
        <f aca="false">IF(D1241&lt;&gt;D1242,D1242,"")</f>
        <v/>
      </c>
      <c r="M1242" s="1" t="str">
        <f aca="false">IF(F1241&lt;&gt;F1242,F1242,"")</f>
        <v/>
      </c>
    </row>
    <row r="1243" customFormat="false" ht="15" hidden="false" customHeight="false" outlineLevel="0" collapsed="false">
      <c r="A1243" s="1" t="s">
        <v>741</v>
      </c>
      <c r="B1243" s="1" t="s">
        <v>742</v>
      </c>
      <c r="C1243" s="1" t="s">
        <v>781</v>
      </c>
      <c r="D1243" s="1" t="s">
        <v>782</v>
      </c>
      <c r="E1243" s="1" t="n">
        <v>20171</v>
      </c>
      <c r="F1243" s="1" t="s">
        <v>208</v>
      </c>
      <c r="G1243" s="1" t="s">
        <v>14</v>
      </c>
      <c r="H1243" s="1" t="n">
        <v>4</v>
      </c>
      <c r="I1243" s="1" t="n">
        <v>0</v>
      </c>
      <c r="J1243" s="1" t="n">
        <v>20201</v>
      </c>
      <c r="L1243" s="1" t="str">
        <f aca="false">IF(D1242&lt;&gt;D1243,D1243,"")</f>
        <v/>
      </c>
      <c r="M1243" s="1" t="str">
        <f aca="false">IF(F1242&lt;&gt;F1243,F1243,"")</f>
        <v/>
      </c>
    </row>
    <row r="1244" customFormat="false" ht="15" hidden="false" customHeight="false" outlineLevel="0" collapsed="false">
      <c r="A1244" s="1" t="s">
        <v>785</v>
      </c>
      <c r="B1244" s="1" t="s">
        <v>786</v>
      </c>
      <c r="C1244" s="1" t="s">
        <v>781</v>
      </c>
      <c r="D1244" s="1" t="s">
        <v>782</v>
      </c>
      <c r="E1244" s="1" t="n">
        <v>20171</v>
      </c>
      <c r="F1244" s="1" t="s">
        <v>208</v>
      </c>
      <c r="G1244" s="1" t="s">
        <v>14</v>
      </c>
      <c r="H1244" s="1" t="n">
        <v>4</v>
      </c>
      <c r="I1244" s="1" t="n">
        <v>0</v>
      </c>
      <c r="J1244" s="1" t="n">
        <v>20201</v>
      </c>
      <c r="L1244" s="1" t="str">
        <f aca="false">IF(D1243&lt;&gt;D1244,D1244,"")</f>
        <v/>
      </c>
      <c r="M1244" s="1" t="str">
        <f aca="false">IF(F1243&lt;&gt;F1244,F1244,"")</f>
        <v/>
      </c>
    </row>
    <row r="1245" customFormat="false" ht="15" hidden="false" customHeight="false" outlineLevel="0" collapsed="false">
      <c r="A1245" s="1" t="s">
        <v>306</v>
      </c>
      <c r="B1245" s="1" t="s">
        <v>307</v>
      </c>
      <c r="C1245" s="1" t="s">
        <v>781</v>
      </c>
      <c r="D1245" s="1" t="s">
        <v>782</v>
      </c>
      <c r="E1245" s="1" t="n">
        <v>20171</v>
      </c>
      <c r="F1245" s="1" t="s">
        <v>208</v>
      </c>
      <c r="G1245" s="1" t="s">
        <v>14</v>
      </c>
      <c r="H1245" s="1" t="n">
        <v>4</v>
      </c>
      <c r="I1245" s="1" t="n">
        <v>0</v>
      </c>
      <c r="J1245" s="1" t="n">
        <v>20201</v>
      </c>
      <c r="L1245" s="1" t="str">
        <f aca="false">IF(D1244&lt;&gt;D1245,D1245,"")</f>
        <v/>
      </c>
      <c r="M1245" s="1" t="str">
        <f aca="false">IF(F1244&lt;&gt;F1245,F1245,"")</f>
        <v/>
      </c>
    </row>
    <row r="1246" customFormat="false" ht="15" hidden="false" customHeight="false" outlineLevel="0" collapsed="false">
      <c r="A1246" s="1" t="s">
        <v>749</v>
      </c>
      <c r="B1246" s="1" t="s">
        <v>750</v>
      </c>
      <c r="C1246" s="1" t="s">
        <v>781</v>
      </c>
      <c r="D1246" s="1" t="s">
        <v>782</v>
      </c>
      <c r="E1246" s="1" t="n">
        <v>20171</v>
      </c>
      <c r="F1246" s="1" t="s">
        <v>208</v>
      </c>
      <c r="G1246" s="1" t="s">
        <v>787</v>
      </c>
      <c r="H1246" s="1" t="n">
        <v>0</v>
      </c>
      <c r="I1246" s="1" t="n">
        <v>0</v>
      </c>
      <c r="J1246" s="1" t="n">
        <v>20201</v>
      </c>
      <c r="L1246" s="1" t="str">
        <f aca="false">IF(D1245&lt;&gt;D1246,D1246,"")</f>
        <v/>
      </c>
      <c r="M1246" s="1" t="str">
        <f aca="false">IF(F1245&lt;&gt;F1246,F1246,"")</f>
        <v/>
      </c>
    </row>
    <row r="1247" customFormat="false" ht="15" hidden="false" customHeight="false" outlineLevel="0" collapsed="false">
      <c r="A1247" s="1" t="s">
        <v>788</v>
      </c>
      <c r="B1247" s="1" t="s">
        <v>789</v>
      </c>
      <c r="C1247" s="1" t="s">
        <v>781</v>
      </c>
      <c r="D1247" s="1" t="s">
        <v>782</v>
      </c>
      <c r="E1247" s="1" t="n">
        <v>20171</v>
      </c>
      <c r="F1247" s="1" t="s">
        <v>208</v>
      </c>
      <c r="G1247" s="1" t="s">
        <v>14</v>
      </c>
      <c r="H1247" s="1" t="n">
        <v>4</v>
      </c>
      <c r="I1247" s="1" t="n">
        <v>0</v>
      </c>
      <c r="J1247" s="1" t="n">
        <v>20201</v>
      </c>
      <c r="L1247" s="1" t="str">
        <f aca="false">IF(D1246&lt;&gt;D1247,D1247,"")</f>
        <v/>
      </c>
      <c r="M1247" s="1" t="str">
        <f aca="false">IF(F1246&lt;&gt;F1247,F1247,"")</f>
        <v/>
      </c>
    </row>
    <row r="1248" customFormat="false" ht="15" hidden="false" customHeight="false" outlineLevel="0" collapsed="false">
      <c r="A1248" s="1" t="s">
        <v>521</v>
      </c>
      <c r="B1248" s="1" t="s">
        <v>522</v>
      </c>
      <c r="C1248" s="1" t="s">
        <v>781</v>
      </c>
      <c r="D1248" s="1" t="s">
        <v>782</v>
      </c>
      <c r="E1248" s="1" t="n">
        <v>20171</v>
      </c>
      <c r="F1248" s="1" t="s">
        <v>208</v>
      </c>
      <c r="G1248" s="1" t="s">
        <v>14</v>
      </c>
      <c r="H1248" s="1" t="n">
        <v>4</v>
      </c>
      <c r="I1248" s="1" t="n">
        <v>0</v>
      </c>
      <c r="J1248" s="1" t="n">
        <v>20201</v>
      </c>
      <c r="L1248" s="1" t="str">
        <f aca="false">IF(D1247&lt;&gt;D1248,D1248,"")</f>
        <v/>
      </c>
      <c r="M1248" s="1" t="str">
        <f aca="false">IF(F1247&lt;&gt;F1248,F1248,"")</f>
        <v/>
      </c>
    </row>
    <row r="1249" customFormat="false" ht="15" hidden="false" customHeight="false" outlineLevel="0" collapsed="false">
      <c r="A1249" s="1" t="s">
        <v>567</v>
      </c>
      <c r="B1249" s="1" t="s">
        <v>568</v>
      </c>
      <c r="C1249" s="1" t="s">
        <v>781</v>
      </c>
      <c r="D1249" s="1" t="s">
        <v>782</v>
      </c>
      <c r="E1249" s="1" t="n">
        <v>20171</v>
      </c>
      <c r="F1249" s="1" t="s">
        <v>208</v>
      </c>
      <c r="G1249" s="1" t="s">
        <v>14</v>
      </c>
      <c r="H1249" s="1" t="n">
        <v>4</v>
      </c>
      <c r="I1249" s="1" t="n">
        <v>0</v>
      </c>
      <c r="J1249" s="1" t="n">
        <v>20201</v>
      </c>
      <c r="L1249" s="1" t="str">
        <f aca="false">IF(D1248&lt;&gt;D1249,D1249,"")</f>
        <v/>
      </c>
      <c r="M1249" s="1" t="str">
        <f aca="false">IF(F1248&lt;&gt;F1249,F1249,"")</f>
        <v/>
      </c>
    </row>
    <row r="1250" customFormat="false" ht="15" hidden="false" customHeight="false" outlineLevel="0" collapsed="false">
      <c r="A1250" s="1" t="s">
        <v>637</v>
      </c>
      <c r="B1250" s="1" t="s">
        <v>638</v>
      </c>
      <c r="C1250" s="1" t="s">
        <v>781</v>
      </c>
      <c r="D1250" s="1" t="s">
        <v>782</v>
      </c>
      <c r="E1250" s="1" t="n">
        <v>20171</v>
      </c>
      <c r="F1250" s="1" t="s">
        <v>208</v>
      </c>
      <c r="G1250" s="1" t="s">
        <v>14</v>
      </c>
      <c r="H1250" s="1" t="n">
        <v>4</v>
      </c>
      <c r="I1250" s="1" t="n">
        <v>0</v>
      </c>
      <c r="J1250" s="1" t="n">
        <v>20201</v>
      </c>
      <c r="L1250" s="1" t="str">
        <f aca="false">IF(D1249&lt;&gt;D1250,D1250,"")</f>
        <v/>
      </c>
      <c r="M1250" s="1" t="str">
        <f aca="false">IF(F1249&lt;&gt;F1250,F1250,"")</f>
        <v/>
      </c>
    </row>
    <row r="1251" customFormat="false" ht="15" hidden="false" customHeight="false" outlineLevel="0" collapsed="false">
      <c r="A1251" s="1" t="s">
        <v>523</v>
      </c>
      <c r="B1251" s="1" t="s">
        <v>524</v>
      </c>
      <c r="C1251" s="1" t="s">
        <v>781</v>
      </c>
      <c r="D1251" s="1" t="s">
        <v>782</v>
      </c>
      <c r="E1251" s="1" t="n">
        <v>20171</v>
      </c>
      <c r="F1251" s="1" t="s">
        <v>208</v>
      </c>
      <c r="G1251" s="1" t="s">
        <v>14</v>
      </c>
      <c r="H1251" s="1" t="n">
        <v>4</v>
      </c>
      <c r="I1251" s="1" t="n">
        <v>0</v>
      </c>
      <c r="J1251" s="1" t="n">
        <v>20201</v>
      </c>
      <c r="L1251" s="1" t="str">
        <f aca="false">IF(D1250&lt;&gt;D1251,D1251,"")</f>
        <v/>
      </c>
      <c r="M1251" s="1" t="str">
        <f aca="false">IF(F1250&lt;&gt;F1251,F1251,"")</f>
        <v/>
      </c>
    </row>
    <row r="1252" customFormat="false" ht="15" hidden="false" customHeight="false" outlineLevel="0" collapsed="false">
      <c r="A1252" s="1" t="s">
        <v>649</v>
      </c>
      <c r="B1252" s="1" t="s">
        <v>650</v>
      </c>
      <c r="C1252" s="1" t="s">
        <v>781</v>
      </c>
      <c r="D1252" s="1" t="s">
        <v>782</v>
      </c>
      <c r="E1252" s="1" t="n">
        <v>20171</v>
      </c>
      <c r="F1252" s="1" t="s">
        <v>208</v>
      </c>
      <c r="G1252" s="1" t="s">
        <v>787</v>
      </c>
      <c r="H1252" s="1" t="n">
        <v>0</v>
      </c>
      <c r="I1252" s="1" t="n">
        <v>0</v>
      </c>
      <c r="J1252" s="1" t="n">
        <v>20201</v>
      </c>
      <c r="L1252" s="1" t="str">
        <f aca="false">IF(D1251&lt;&gt;D1252,D1252,"")</f>
        <v/>
      </c>
      <c r="M1252" s="1" t="str">
        <f aca="false">IF(F1251&lt;&gt;F1252,F1252,"")</f>
        <v/>
      </c>
    </row>
    <row r="1253" customFormat="false" ht="15" hidden="false" customHeight="false" outlineLevel="0" collapsed="false">
      <c r="A1253" s="1" t="s">
        <v>790</v>
      </c>
      <c r="B1253" s="1" t="s">
        <v>791</v>
      </c>
      <c r="C1253" s="1" t="s">
        <v>781</v>
      </c>
      <c r="D1253" s="1" t="s">
        <v>782</v>
      </c>
      <c r="E1253" s="1" t="n">
        <v>20171</v>
      </c>
      <c r="F1253" s="1" t="s">
        <v>208</v>
      </c>
      <c r="G1253" s="1" t="s">
        <v>787</v>
      </c>
      <c r="H1253" s="1" t="n">
        <v>0</v>
      </c>
      <c r="I1253" s="1" t="n">
        <v>0</v>
      </c>
      <c r="J1253" s="1" t="n">
        <v>20201</v>
      </c>
      <c r="L1253" s="1" t="str">
        <f aca="false">IF(D1252&lt;&gt;D1253,D1253,"")</f>
        <v/>
      </c>
      <c r="M1253" s="1" t="str">
        <f aca="false">IF(F1252&lt;&gt;F1253,F1253,"")</f>
        <v/>
      </c>
    </row>
    <row r="1254" customFormat="false" ht="15" hidden="false" customHeight="false" outlineLevel="0" collapsed="false">
      <c r="A1254" s="1" t="s">
        <v>669</v>
      </c>
      <c r="B1254" s="1" t="s">
        <v>670</v>
      </c>
      <c r="C1254" s="1" t="s">
        <v>781</v>
      </c>
      <c r="D1254" s="1" t="s">
        <v>782</v>
      </c>
      <c r="E1254" s="1" t="n">
        <v>20171</v>
      </c>
      <c r="F1254" s="1" t="s">
        <v>208</v>
      </c>
      <c r="G1254" s="1" t="s">
        <v>787</v>
      </c>
      <c r="H1254" s="1" t="n">
        <v>0</v>
      </c>
      <c r="I1254" s="1" t="n">
        <v>0</v>
      </c>
      <c r="J1254" s="1" t="n">
        <v>20201</v>
      </c>
      <c r="L1254" s="1" t="str">
        <f aca="false">IF(D1253&lt;&gt;D1254,D1254,"")</f>
        <v/>
      </c>
      <c r="M1254" s="1" t="str">
        <f aca="false">IF(F1253&lt;&gt;F1254,F1254,"")</f>
        <v/>
      </c>
    </row>
    <row r="1255" customFormat="false" ht="15" hidden="false" customHeight="false" outlineLevel="0" collapsed="false">
      <c r="A1255" s="1" t="s">
        <v>583</v>
      </c>
      <c r="B1255" s="1" t="s">
        <v>584</v>
      </c>
      <c r="C1255" s="1" t="s">
        <v>781</v>
      </c>
      <c r="D1255" s="1" t="s">
        <v>782</v>
      </c>
      <c r="E1255" s="1" t="n">
        <v>20171</v>
      </c>
      <c r="F1255" s="1" t="s">
        <v>208</v>
      </c>
      <c r="G1255" s="1" t="s">
        <v>14</v>
      </c>
      <c r="H1255" s="1" t="n">
        <v>4</v>
      </c>
      <c r="I1255" s="1" t="n">
        <v>0</v>
      </c>
      <c r="J1255" s="1" t="n">
        <v>20201</v>
      </c>
      <c r="L1255" s="1" t="str">
        <f aca="false">IF(D1254&lt;&gt;D1255,D1255,"")</f>
        <v/>
      </c>
      <c r="M1255" s="1" t="str">
        <f aca="false">IF(F1254&lt;&gt;F1255,F1255,"")</f>
        <v/>
      </c>
    </row>
    <row r="1256" customFormat="false" ht="15" hidden="false" customHeight="false" outlineLevel="0" collapsed="false">
      <c r="A1256" s="1" t="s">
        <v>792</v>
      </c>
      <c r="B1256" s="1" t="s">
        <v>793</v>
      </c>
      <c r="C1256" s="1" t="s">
        <v>781</v>
      </c>
      <c r="D1256" s="1" t="s">
        <v>782</v>
      </c>
      <c r="E1256" s="1" t="n">
        <v>20171</v>
      </c>
      <c r="F1256" s="1" t="s">
        <v>208</v>
      </c>
      <c r="G1256" s="1" t="s">
        <v>14</v>
      </c>
      <c r="H1256" s="1" t="n">
        <v>4</v>
      </c>
      <c r="I1256" s="1" t="n">
        <v>0</v>
      </c>
      <c r="J1256" s="1" t="n">
        <v>20201</v>
      </c>
      <c r="L1256" s="1" t="str">
        <f aca="false">IF(D1255&lt;&gt;D1256,D1256,"")</f>
        <v/>
      </c>
      <c r="M1256" s="1" t="str">
        <f aca="false">IF(F1255&lt;&gt;F1256,F1256,"")</f>
        <v/>
      </c>
    </row>
    <row r="1257" customFormat="false" ht="15" hidden="false" customHeight="false" outlineLevel="0" collapsed="false">
      <c r="A1257" s="1" t="s">
        <v>611</v>
      </c>
      <c r="B1257" s="1" t="s">
        <v>612</v>
      </c>
      <c r="C1257" s="1" t="s">
        <v>781</v>
      </c>
      <c r="D1257" s="1" t="s">
        <v>782</v>
      </c>
      <c r="E1257" s="1" t="n">
        <v>20171</v>
      </c>
      <c r="F1257" s="1" t="s">
        <v>208</v>
      </c>
      <c r="G1257" s="1" t="s">
        <v>14</v>
      </c>
      <c r="H1257" s="1" t="n">
        <v>4</v>
      </c>
      <c r="I1257" s="1" t="n">
        <v>0</v>
      </c>
      <c r="J1257" s="1" t="n">
        <v>20201</v>
      </c>
      <c r="L1257" s="1" t="str">
        <f aca="false">IF(D1256&lt;&gt;D1257,D1257,"")</f>
        <v/>
      </c>
      <c r="M1257" s="1" t="str">
        <f aca="false">IF(F1256&lt;&gt;F1257,F1257,"")</f>
        <v/>
      </c>
    </row>
    <row r="1258" customFormat="false" ht="15" hidden="false" customHeight="false" outlineLevel="0" collapsed="false">
      <c r="A1258" s="1" t="s">
        <v>794</v>
      </c>
      <c r="B1258" s="1" t="s">
        <v>795</v>
      </c>
      <c r="C1258" s="1" t="s">
        <v>781</v>
      </c>
      <c r="D1258" s="1" t="s">
        <v>782</v>
      </c>
      <c r="E1258" s="1" t="n">
        <v>20171</v>
      </c>
      <c r="F1258" s="1" t="s">
        <v>208</v>
      </c>
      <c r="G1258" s="1" t="s">
        <v>14</v>
      </c>
      <c r="H1258" s="1" t="n">
        <v>4</v>
      </c>
      <c r="I1258" s="1" t="n">
        <v>0</v>
      </c>
      <c r="J1258" s="1" t="n">
        <v>20201</v>
      </c>
      <c r="L1258" s="1" t="str">
        <f aca="false">IF(D1257&lt;&gt;D1258,D1258,"")</f>
        <v/>
      </c>
      <c r="M1258" s="1" t="str">
        <f aca="false">IF(F1257&lt;&gt;F1258,F1258,"")</f>
        <v/>
      </c>
    </row>
    <row r="1259" customFormat="false" ht="15" hidden="false" customHeight="false" outlineLevel="0" collapsed="false">
      <c r="A1259" s="1" t="s">
        <v>796</v>
      </c>
      <c r="B1259" s="1" t="s">
        <v>797</v>
      </c>
      <c r="C1259" s="1" t="s">
        <v>781</v>
      </c>
      <c r="D1259" s="1" t="s">
        <v>782</v>
      </c>
      <c r="E1259" s="1" t="n">
        <v>20171</v>
      </c>
      <c r="F1259" s="1" t="s">
        <v>208</v>
      </c>
      <c r="G1259" s="1" t="s">
        <v>14</v>
      </c>
      <c r="H1259" s="1" t="n">
        <v>4</v>
      </c>
      <c r="I1259" s="1" t="n">
        <v>0</v>
      </c>
      <c r="J1259" s="1" t="n">
        <v>20201</v>
      </c>
      <c r="L1259" s="1" t="str">
        <f aca="false">IF(D1258&lt;&gt;D1259,D1259,"")</f>
        <v/>
      </c>
      <c r="M1259" s="1" t="str">
        <f aca="false">IF(F1258&lt;&gt;F1259,F1259,"")</f>
        <v/>
      </c>
    </row>
    <row r="1260" customFormat="false" ht="15" hidden="false" customHeight="false" outlineLevel="0" collapsed="false">
      <c r="A1260" s="1" t="s">
        <v>573</v>
      </c>
      <c r="B1260" s="1" t="s">
        <v>574</v>
      </c>
      <c r="C1260" s="1" t="s">
        <v>781</v>
      </c>
      <c r="D1260" s="1" t="s">
        <v>782</v>
      </c>
      <c r="E1260" s="1" t="n">
        <v>20171</v>
      </c>
      <c r="F1260" s="1" t="s">
        <v>208</v>
      </c>
      <c r="G1260" s="1" t="s">
        <v>14</v>
      </c>
      <c r="H1260" s="1" t="n">
        <v>4</v>
      </c>
      <c r="I1260" s="1" t="n">
        <v>0</v>
      </c>
      <c r="J1260" s="1" t="n">
        <v>20201</v>
      </c>
      <c r="L1260" s="1" t="str">
        <f aca="false">IF(D1259&lt;&gt;D1260,D1260,"")</f>
        <v/>
      </c>
      <c r="M1260" s="1" t="str">
        <f aca="false">IF(F1259&lt;&gt;F1260,F1260,"")</f>
        <v/>
      </c>
    </row>
    <row r="1261" customFormat="false" ht="15" hidden="false" customHeight="false" outlineLevel="0" collapsed="false">
      <c r="A1261" s="1" t="s">
        <v>759</v>
      </c>
      <c r="B1261" s="1" t="s">
        <v>760</v>
      </c>
      <c r="C1261" s="1" t="s">
        <v>781</v>
      </c>
      <c r="D1261" s="1" t="s">
        <v>782</v>
      </c>
      <c r="E1261" s="1" t="n">
        <v>20171</v>
      </c>
      <c r="F1261" s="1" t="s">
        <v>208</v>
      </c>
      <c r="G1261" s="1" t="s">
        <v>787</v>
      </c>
      <c r="H1261" s="1" t="n">
        <v>0</v>
      </c>
      <c r="I1261" s="1" t="n">
        <v>0</v>
      </c>
      <c r="J1261" s="1" t="n">
        <v>20201</v>
      </c>
      <c r="L1261" s="1" t="str">
        <f aca="false">IF(D1260&lt;&gt;D1261,D1261,"")</f>
        <v/>
      </c>
      <c r="M1261" s="1" t="str">
        <f aca="false">IF(F1260&lt;&gt;F1261,F1261,"")</f>
        <v/>
      </c>
    </row>
    <row r="1262" customFormat="false" ht="15" hidden="false" customHeight="false" outlineLevel="0" collapsed="false">
      <c r="A1262" s="1" t="s">
        <v>798</v>
      </c>
      <c r="B1262" s="1" t="s">
        <v>799</v>
      </c>
      <c r="C1262" s="1" t="s">
        <v>781</v>
      </c>
      <c r="D1262" s="1" t="s">
        <v>782</v>
      </c>
      <c r="E1262" s="1" t="n">
        <v>20171</v>
      </c>
      <c r="F1262" s="1" t="s">
        <v>208</v>
      </c>
      <c r="G1262" s="1" t="s">
        <v>787</v>
      </c>
      <c r="H1262" s="1" t="n">
        <v>0</v>
      </c>
      <c r="I1262" s="1" t="n">
        <v>0</v>
      </c>
      <c r="J1262" s="1" t="n">
        <v>20201</v>
      </c>
      <c r="L1262" s="1" t="str">
        <f aca="false">IF(D1261&lt;&gt;D1262,D1262,"")</f>
        <v/>
      </c>
      <c r="M1262" s="1" t="str">
        <f aca="false">IF(F1261&lt;&gt;F1262,F1262,"")</f>
        <v/>
      </c>
    </row>
    <row r="1263" customFormat="false" ht="15" hidden="false" customHeight="false" outlineLevel="0" collapsed="false">
      <c r="A1263" s="1" t="s">
        <v>733</v>
      </c>
      <c r="B1263" s="1" t="s">
        <v>734</v>
      </c>
      <c r="C1263" s="1" t="s">
        <v>781</v>
      </c>
      <c r="D1263" s="1" t="s">
        <v>782</v>
      </c>
      <c r="E1263" s="1" t="n">
        <v>20171</v>
      </c>
      <c r="F1263" s="1" t="s">
        <v>208</v>
      </c>
      <c r="G1263" s="1" t="s">
        <v>787</v>
      </c>
      <c r="H1263" s="1" t="n">
        <v>0</v>
      </c>
      <c r="I1263" s="1" t="n">
        <v>0</v>
      </c>
      <c r="J1263" s="1" t="n">
        <v>20201</v>
      </c>
      <c r="L1263" s="1" t="str">
        <f aca="false">IF(D1262&lt;&gt;D1263,D1263,"")</f>
        <v/>
      </c>
      <c r="M1263" s="1" t="str">
        <f aca="false">IF(F1262&lt;&gt;F1263,F1263,"")</f>
        <v/>
      </c>
    </row>
    <row r="1264" customFormat="false" ht="15" hidden="false" customHeight="false" outlineLevel="0" collapsed="false">
      <c r="A1264" s="1" t="s">
        <v>651</v>
      </c>
      <c r="B1264" s="1" t="s">
        <v>652</v>
      </c>
      <c r="C1264" s="1" t="s">
        <v>781</v>
      </c>
      <c r="D1264" s="1" t="s">
        <v>782</v>
      </c>
      <c r="E1264" s="1" t="n">
        <v>20171</v>
      </c>
      <c r="F1264" s="1" t="s">
        <v>208</v>
      </c>
      <c r="G1264" s="1" t="s">
        <v>787</v>
      </c>
      <c r="H1264" s="1" t="n">
        <v>0</v>
      </c>
      <c r="I1264" s="1" t="n">
        <v>0</v>
      </c>
      <c r="J1264" s="1" t="n">
        <v>20201</v>
      </c>
      <c r="L1264" s="1" t="str">
        <f aca="false">IF(D1263&lt;&gt;D1264,D1264,"")</f>
        <v/>
      </c>
      <c r="M1264" s="1" t="str">
        <f aca="false">IF(F1263&lt;&gt;F1264,F1264,"")</f>
        <v/>
      </c>
    </row>
    <row r="1265" customFormat="false" ht="15" hidden="false" customHeight="false" outlineLevel="0" collapsed="false">
      <c r="A1265" s="1" t="s">
        <v>735</v>
      </c>
      <c r="B1265" s="1" t="s">
        <v>736</v>
      </c>
      <c r="C1265" s="1" t="s">
        <v>781</v>
      </c>
      <c r="D1265" s="1" t="s">
        <v>782</v>
      </c>
      <c r="E1265" s="1" t="n">
        <v>20171</v>
      </c>
      <c r="F1265" s="1" t="s">
        <v>208</v>
      </c>
      <c r="G1265" s="1" t="s">
        <v>787</v>
      </c>
      <c r="H1265" s="1" t="n">
        <v>0</v>
      </c>
      <c r="I1265" s="1" t="n">
        <v>0</v>
      </c>
      <c r="J1265" s="1" t="n">
        <v>20201</v>
      </c>
      <c r="L1265" s="1" t="str">
        <f aca="false">IF(D1264&lt;&gt;D1265,D1265,"")</f>
        <v/>
      </c>
      <c r="M1265" s="1" t="str">
        <f aca="false">IF(F1264&lt;&gt;F1265,F1265,"")</f>
        <v/>
      </c>
    </row>
    <row r="1266" customFormat="false" ht="15" hidden="false" customHeight="false" outlineLevel="0" collapsed="false">
      <c r="A1266" s="1" t="s">
        <v>755</v>
      </c>
      <c r="B1266" s="1" t="s">
        <v>756</v>
      </c>
      <c r="C1266" s="1" t="s">
        <v>781</v>
      </c>
      <c r="D1266" s="1" t="s">
        <v>782</v>
      </c>
      <c r="E1266" s="1" t="n">
        <v>20171</v>
      </c>
      <c r="F1266" s="1" t="s">
        <v>208</v>
      </c>
      <c r="G1266" s="1" t="s">
        <v>787</v>
      </c>
      <c r="H1266" s="1" t="n">
        <v>0</v>
      </c>
      <c r="I1266" s="1" t="n">
        <v>0</v>
      </c>
      <c r="J1266" s="1" t="n">
        <v>20201</v>
      </c>
      <c r="L1266" s="1" t="str">
        <f aca="false">IF(D1265&lt;&gt;D1266,D1266,"")</f>
        <v/>
      </c>
      <c r="M1266" s="1" t="str">
        <f aca="false">IF(F1265&lt;&gt;F1266,F1266,"")</f>
        <v/>
      </c>
    </row>
    <row r="1267" customFormat="false" ht="15" hidden="false" customHeight="false" outlineLevel="0" collapsed="false">
      <c r="A1267" s="1" t="s">
        <v>777</v>
      </c>
      <c r="B1267" s="1" t="s">
        <v>778</v>
      </c>
      <c r="C1267" s="1" t="s">
        <v>781</v>
      </c>
      <c r="D1267" s="1" t="s">
        <v>782</v>
      </c>
      <c r="E1267" s="1" t="n">
        <v>20171</v>
      </c>
      <c r="F1267" s="1" t="s">
        <v>208</v>
      </c>
      <c r="G1267" s="1" t="s">
        <v>787</v>
      </c>
      <c r="H1267" s="1" t="n">
        <v>0</v>
      </c>
      <c r="I1267" s="1" t="n">
        <v>0</v>
      </c>
      <c r="J1267" s="1" t="n">
        <v>20201</v>
      </c>
      <c r="L1267" s="1" t="str">
        <f aca="false">IF(D1266&lt;&gt;D1267,D1267,"")</f>
        <v/>
      </c>
      <c r="M1267" s="1" t="str">
        <f aca="false">IF(F1266&lt;&gt;F1267,F1267,"")</f>
        <v/>
      </c>
    </row>
    <row r="1268" customFormat="false" ht="15" hidden="false" customHeight="false" outlineLevel="0" collapsed="false">
      <c r="A1268" s="1" t="s">
        <v>800</v>
      </c>
      <c r="B1268" s="1" t="s">
        <v>801</v>
      </c>
      <c r="C1268" s="1" t="s">
        <v>781</v>
      </c>
      <c r="D1268" s="1" t="s">
        <v>782</v>
      </c>
      <c r="E1268" s="1" t="n">
        <v>20171</v>
      </c>
      <c r="F1268" s="1" t="s">
        <v>208</v>
      </c>
      <c r="G1268" s="1" t="s">
        <v>14</v>
      </c>
      <c r="H1268" s="1" t="n">
        <v>4</v>
      </c>
      <c r="I1268" s="1" t="n">
        <v>0</v>
      </c>
      <c r="J1268" s="1" t="n">
        <v>20201</v>
      </c>
      <c r="L1268" s="1" t="str">
        <f aca="false">IF(D1267&lt;&gt;D1268,D1268,"")</f>
        <v/>
      </c>
      <c r="M1268" s="1" t="str">
        <f aca="false">IF(F1267&lt;&gt;F1268,F1268,"")</f>
        <v/>
      </c>
    </row>
    <row r="1269" customFormat="false" ht="15" hidden="false" customHeight="false" outlineLevel="0" collapsed="false">
      <c r="A1269" s="1" t="s">
        <v>655</v>
      </c>
      <c r="B1269" s="1" t="s">
        <v>656</v>
      </c>
      <c r="C1269" s="1" t="s">
        <v>781</v>
      </c>
      <c r="D1269" s="1" t="s">
        <v>782</v>
      </c>
      <c r="E1269" s="1" t="n">
        <v>20171</v>
      </c>
      <c r="F1269" s="1" t="s">
        <v>208</v>
      </c>
      <c r="G1269" s="1" t="s">
        <v>787</v>
      </c>
      <c r="H1269" s="1" t="n">
        <v>0</v>
      </c>
      <c r="I1269" s="1" t="n">
        <v>0</v>
      </c>
      <c r="J1269" s="1" t="n">
        <v>20201</v>
      </c>
      <c r="L1269" s="1" t="str">
        <f aca="false">IF(D1268&lt;&gt;D1269,D1269,"")</f>
        <v/>
      </c>
      <c r="M1269" s="1" t="str">
        <f aca="false">IF(F1268&lt;&gt;F1269,F1269,"")</f>
        <v/>
      </c>
    </row>
    <row r="1270" customFormat="false" ht="15" hidden="false" customHeight="false" outlineLevel="0" collapsed="false">
      <c r="A1270" s="1" t="s">
        <v>802</v>
      </c>
      <c r="B1270" s="1" t="s">
        <v>803</v>
      </c>
      <c r="C1270" s="1" t="s">
        <v>781</v>
      </c>
      <c r="D1270" s="1" t="s">
        <v>782</v>
      </c>
      <c r="E1270" s="1" t="n">
        <v>20171</v>
      </c>
      <c r="F1270" s="1" t="s">
        <v>208</v>
      </c>
      <c r="G1270" s="1" t="s">
        <v>787</v>
      </c>
      <c r="H1270" s="1" t="n">
        <v>0</v>
      </c>
      <c r="I1270" s="1" t="n">
        <v>0</v>
      </c>
      <c r="J1270" s="1" t="n">
        <v>20201</v>
      </c>
      <c r="L1270" s="1" t="str">
        <f aca="false">IF(D1269&lt;&gt;D1270,D1270,"")</f>
        <v/>
      </c>
      <c r="M1270" s="1" t="str">
        <f aca="false">IF(F1269&lt;&gt;F1270,F1270,"")</f>
        <v/>
      </c>
    </row>
    <row r="1271" customFormat="false" ht="15" hidden="false" customHeight="false" outlineLevel="0" collapsed="false">
      <c r="A1271" s="1" t="s">
        <v>804</v>
      </c>
      <c r="B1271" s="1" t="s">
        <v>805</v>
      </c>
      <c r="C1271" s="1" t="s">
        <v>781</v>
      </c>
      <c r="D1271" s="1" t="s">
        <v>782</v>
      </c>
      <c r="E1271" s="1" t="n">
        <v>20171</v>
      </c>
      <c r="F1271" s="1" t="s">
        <v>208</v>
      </c>
      <c r="G1271" s="1" t="s">
        <v>787</v>
      </c>
      <c r="H1271" s="1" t="n">
        <v>0</v>
      </c>
      <c r="I1271" s="1" t="n">
        <v>0</v>
      </c>
      <c r="J1271" s="1" t="n">
        <v>20201</v>
      </c>
      <c r="L1271" s="1" t="str">
        <f aca="false">IF(D1270&lt;&gt;D1271,D1271,"")</f>
        <v/>
      </c>
      <c r="M1271" s="1" t="str">
        <f aca="false">IF(F1270&lt;&gt;F1271,F1271,"")</f>
        <v/>
      </c>
    </row>
    <row r="1272" customFormat="false" ht="15" hidden="false" customHeight="false" outlineLevel="0" collapsed="false">
      <c r="A1272" s="1" t="s">
        <v>806</v>
      </c>
      <c r="B1272" s="1" t="s">
        <v>807</v>
      </c>
      <c r="C1272" s="1" t="s">
        <v>781</v>
      </c>
      <c r="D1272" s="1" t="s">
        <v>782</v>
      </c>
      <c r="E1272" s="1" t="n">
        <v>20171</v>
      </c>
      <c r="F1272" s="1" t="s">
        <v>208</v>
      </c>
      <c r="G1272" s="1" t="s">
        <v>14</v>
      </c>
      <c r="H1272" s="1" t="n">
        <v>4</v>
      </c>
      <c r="I1272" s="1" t="n">
        <v>0</v>
      </c>
      <c r="J1272" s="1" t="n">
        <v>20201</v>
      </c>
      <c r="L1272" s="1" t="str">
        <f aca="false">IF(D1271&lt;&gt;D1272,D1272,"")</f>
        <v/>
      </c>
      <c r="M1272" s="1" t="str">
        <f aca="false">IF(F1271&lt;&gt;F1272,F1272,"")</f>
        <v/>
      </c>
    </row>
    <row r="1273" customFormat="false" ht="15" hidden="false" customHeight="false" outlineLevel="0" collapsed="false">
      <c r="A1273" s="1" t="s">
        <v>761</v>
      </c>
      <c r="B1273" s="1" t="s">
        <v>762</v>
      </c>
      <c r="C1273" s="1" t="s">
        <v>781</v>
      </c>
      <c r="D1273" s="1" t="s">
        <v>782</v>
      </c>
      <c r="E1273" s="1" t="n">
        <v>20171</v>
      </c>
      <c r="F1273" s="1" t="s">
        <v>208</v>
      </c>
      <c r="G1273" s="1" t="s">
        <v>14</v>
      </c>
      <c r="H1273" s="1" t="n">
        <v>4</v>
      </c>
      <c r="I1273" s="1" t="n">
        <v>0</v>
      </c>
      <c r="J1273" s="1" t="n">
        <v>20201</v>
      </c>
      <c r="L1273" s="1" t="str">
        <f aca="false">IF(D1272&lt;&gt;D1273,D1273,"")</f>
        <v/>
      </c>
      <c r="M1273" s="1" t="str">
        <f aca="false">IF(F1272&lt;&gt;F1273,F1273,"")</f>
        <v/>
      </c>
    </row>
    <row r="1274" customFormat="false" ht="15" hidden="false" customHeight="false" outlineLevel="0" collapsed="false">
      <c r="A1274" s="1" t="s">
        <v>21</v>
      </c>
      <c r="B1274" s="1" t="s">
        <v>22</v>
      </c>
      <c r="C1274" s="1" t="s">
        <v>781</v>
      </c>
      <c r="D1274" s="1" t="s">
        <v>782</v>
      </c>
      <c r="E1274" s="1" t="n">
        <v>20171</v>
      </c>
      <c r="F1274" s="1" t="s">
        <v>208</v>
      </c>
      <c r="G1274" s="1" t="s">
        <v>787</v>
      </c>
      <c r="H1274" s="1" t="n">
        <v>0</v>
      </c>
      <c r="I1274" s="1" t="n">
        <v>0</v>
      </c>
      <c r="J1274" s="1" t="n">
        <v>20201</v>
      </c>
      <c r="L1274" s="1" t="str">
        <f aca="false">IF(D1273&lt;&gt;D1274,D1274,"")</f>
        <v/>
      </c>
      <c r="M1274" s="1" t="str">
        <f aca="false">IF(F1273&lt;&gt;F1274,F1274,"")</f>
        <v/>
      </c>
    </row>
    <row r="1275" customFormat="false" ht="15" hidden="false" customHeight="false" outlineLevel="0" collapsed="false">
      <c r="A1275" s="1" t="s">
        <v>112</v>
      </c>
      <c r="B1275" s="1" t="s">
        <v>113</v>
      </c>
      <c r="C1275" s="1" t="s">
        <v>781</v>
      </c>
      <c r="D1275" s="1" t="s">
        <v>782</v>
      </c>
      <c r="E1275" s="1" t="n">
        <v>20171</v>
      </c>
      <c r="F1275" s="1" t="s">
        <v>208</v>
      </c>
      <c r="G1275" s="1" t="s">
        <v>787</v>
      </c>
      <c r="H1275" s="1" t="n">
        <v>0</v>
      </c>
      <c r="I1275" s="1" t="n">
        <v>0</v>
      </c>
      <c r="J1275" s="1" t="n">
        <v>20201</v>
      </c>
      <c r="L1275" s="1" t="str">
        <f aca="false">IF(D1274&lt;&gt;D1275,D1275,"")</f>
        <v/>
      </c>
      <c r="M1275" s="1" t="str">
        <f aca="false">IF(F1274&lt;&gt;F1275,F1275,"")</f>
        <v/>
      </c>
    </row>
    <row r="1276" customFormat="false" ht="15" hidden="false" customHeight="false" outlineLevel="0" collapsed="false">
      <c r="A1276" s="1" t="s">
        <v>737</v>
      </c>
      <c r="B1276" s="1" t="s">
        <v>738</v>
      </c>
      <c r="C1276" s="1" t="s">
        <v>781</v>
      </c>
      <c r="D1276" s="1" t="s">
        <v>782</v>
      </c>
      <c r="E1276" s="1" t="n">
        <v>20171</v>
      </c>
      <c r="F1276" s="1" t="s">
        <v>208</v>
      </c>
      <c r="G1276" s="1" t="s">
        <v>787</v>
      </c>
      <c r="H1276" s="1" t="n">
        <v>0</v>
      </c>
      <c r="I1276" s="1" t="n">
        <v>0</v>
      </c>
      <c r="J1276" s="1" t="n">
        <v>20201</v>
      </c>
      <c r="L1276" s="1" t="str">
        <f aca="false">IF(D1275&lt;&gt;D1276,D1276,"")</f>
        <v/>
      </c>
      <c r="M1276" s="1" t="str">
        <f aca="false">IF(F1275&lt;&gt;F1276,F1276,"")</f>
        <v/>
      </c>
    </row>
    <row r="1277" customFormat="false" ht="15" hidden="false" customHeight="false" outlineLevel="0" collapsed="false">
      <c r="A1277" s="1" t="s">
        <v>613</v>
      </c>
      <c r="B1277" s="1" t="s">
        <v>614</v>
      </c>
      <c r="C1277" s="1" t="s">
        <v>781</v>
      </c>
      <c r="D1277" s="1" t="s">
        <v>782</v>
      </c>
      <c r="E1277" s="1" t="n">
        <v>20171</v>
      </c>
      <c r="F1277" s="1" t="s">
        <v>208</v>
      </c>
      <c r="G1277" s="1" t="s">
        <v>787</v>
      </c>
      <c r="H1277" s="1" t="n">
        <v>0</v>
      </c>
      <c r="I1277" s="1" t="n">
        <v>0</v>
      </c>
      <c r="J1277" s="1" t="n">
        <v>20201</v>
      </c>
      <c r="L1277" s="1" t="str">
        <f aca="false">IF(D1276&lt;&gt;D1277,D1277,"")</f>
        <v/>
      </c>
      <c r="M1277" s="1" t="str">
        <f aca="false">IF(F1276&lt;&gt;F1277,F1277,"")</f>
        <v/>
      </c>
    </row>
    <row r="1278" customFormat="false" ht="15" hidden="false" customHeight="false" outlineLevel="0" collapsed="false">
      <c r="A1278" s="1" t="s">
        <v>808</v>
      </c>
      <c r="B1278" s="1" t="s">
        <v>809</v>
      </c>
      <c r="C1278" s="1" t="s">
        <v>781</v>
      </c>
      <c r="D1278" s="1" t="s">
        <v>782</v>
      </c>
      <c r="E1278" s="1" t="n">
        <v>20171</v>
      </c>
      <c r="F1278" s="1" t="s">
        <v>208</v>
      </c>
      <c r="G1278" s="1" t="s">
        <v>14</v>
      </c>
      <c r="H1278" s="1" t="n">
        <v>4</v>
      </c>
      <c r="I1278" s="1" t="n">
        <v>0</v>
      </c>
      <c r="J1278" s="1" t="n">
        <v>20201</v>
      </c>
      <c r="L1278" s="1" t="str">
        <f aca="false">IF(D1277&lt;&gt;D1278,D1278,"")</f>
        <v/>
      </c>
      <c r="M1278" s="1" t="str">
        <f aca="false">IF(F1277&lt;&gt;F1278,F1278,"")</f>
        <v/>
      </c>
    </row>
    <row r="1279" customFormat="false" ht="15" hidden="false" customHeight="false" outlineLevel="0" collapsed="false">
      <c r="A1279" s="1" t="s">
        <v>593</v>
      </c>
      <c r="B1279" s="1" t="s">
        <v>594</v>
      </c>
      <c r="C1279" s="1" t="s">
        <v>781</v>
      </c>
      <c r="D1279" s="1" t="s">
        <v>782</v>
      </c>
      <c r="E1279" s="1" t="n">
        <v>20171</v>
      </c>
      <c r="F1279" s="1" t="s">
        <v>208</v>
      </c>
      <c r="G1279" s="1" t="s">
        <v>787</v>
      </c>
      <c r="H1279" s="1" t="n">
        <v>0</v>
      </c>
      <c r="I1279" s="1" t="n">
        <v>0</v>
      </c>
      <c r="J1279" s="1" t="n">
        <v>20201</v>
      </c>
      <c r="L1279" s="1" t="str">
        <f aca="false">IF(D1278&lt;&gt;D1279,D1279,"")</f>
        <v/>
      </c>
      <c r="M1279" s="1" t="str">
        <f aca="false">IF(F1278&lt;&gt;F1279,F1279,"")</f>
        <v/>
      </c>
    </row>
    <row r="1280" customFormat="false" ht="15" hidden="false" customHeight="false" outlineLevel="0" collapsed="false">
      <c r="A1280" s="1" t="s">
        <v>810</v>
      </c>
      <c r="B1280" s="1" t="s">
        <v>811</v>
      </c>
      <c r="C1280" s="1" t="s">
        <v>781</v>
      </c>
      <c r="D1280" s="1" t="s">
        <v>782</v>
      </c>
      <c r="E1280" s="1" t="n">
        <v>20171</v>
      </c>
      <c r="F1280" s="1" t="s">
        <v>208</v>
      </c>
      <c r="G1280" s="1" t="s">
        <v>787</v>
      </c>
      <c r="H1280" s="1" t="n">
        <v>0</v>
      </c>
      <c r="I1280" s="1" t="n">
        <v>0</v>
      </c>
      <c r="J1280" s="1" t="n">
        <v>20201</v>
      </c>
      <c r="L1280" s="1" t="str">
        <f aca="false">IF(D1279&lt;&gt;D1280,D1280,"")</f>
        <v/>
      </c>
      <c r="M1280" s="1" t="str">
        <f aca="false">IF(F1279&lt;&gt;F1280,F1280,"")</f>
        <v/>
      </c>
    </row>
    <row r="1281" customFormat="false" ht="15" hidden="false" customHeight="false" outlineLevel="0" collapsed="false">
      <c r="A1281" s="1" t="s">
        <v>812</v>
      </c>
      <c r="B1281" s="1" t="s">
        <v>813</v>
      </c>
      <c r="C1281" s="1" t="s">
        <v>781</v>
      </c>
      <c r="D1281" s="1" t="s">
        <v>782</v>
      </c>
      <c r="E1281" s="1" t="n">
        <v>20171</v>
      </c>
      <c r="F1281" s="1" t="s">
        <v>208</v>
      </c>
      <c r="G1281" s="1" t="s">
        <v>787</v>
      </c>
      <c r="H1281" s="1" t="n">
        <v>0</v>
      </c>
      <c r="I1281" s="1" t="n">
        <v>0</v>
      </c>
      <c r="J1281" s="1" t="n">
        <v>20201</v>
      </c>
      <c r="L1281" s="1" t="str">
        <f aca="false">IF(D1280&lt;&gt;D1281,D1281,"")</f>
        <v/>
      </c>
      <c r="M1281" s="1" t="str">
        <f aca="false">IF(F1280&lt;&gt;F1281,F1281,"")</f>
        <v/>
      </c>
    </row>
    <row r="1282" customFormat="false" ht="15" hidden="false" customHeight="false" outlineLevel="0" collapsed="false">
      <c r="A1282" s="1" t="s">
        <v>623</v>
      </c>
      <c r="B1282" s="1" t="s">
        <v>624</v>
      </c>
      <c r="C1282" s="1" t="s">
        <v>781</v>
      </c>
      <c r="D1282" s="1" t="s">
        <v>782</v>
      </c>
      <c r="E1282" s="1" t="n">
        <v>20171</v>
      </c>
      <c r="F1282" s="1" t="s">
        <v>208</v>
      </c>
      <c r="G1282" s="1" t="s">
        <v>14</v>
      </c>
      <c r="H1282" s="1" t="n">
        <v>4</v>
      </c>
      <c r="I1282" s="1" t="n">
        <v>0</v>
      </c>
      <c r="J1282" s="1" t="n">
        <v>20201</v>
      </c>
      <c r="L1282" s="1" t="str">
        <f aca="false">IF(D1281&lt;&gt;D1282,D1282,"")</f>
        <v/>
      </c>
      <c r="M1282" s="1" t="str">
        <f aca="false">IF(F1281&lt;&gt;F1282,F1282,"")</f>
        <v/>
      </c>
    </row>
    <row r="1283" customFormat="false" ht="15" hidden="false" customHeight="false" outlineLevel="0" collapsed="false">
      <c r="A1283" s="1" t="s">
        <v>587</v>
      </c>
      <c r="B1283" s="1" t="s">
        <v>588</v>
      </c>
      <c r="C1283" s="1" t="s">
        <v>781</v>
      </c>
      <c r="D1283" s="1" t="s">
        <v>782</v>
      </c>
      <c r="E1283" s="1" t="n">
        <v>20171</v>
      </c>
      <c r="F1283" s="1" t="s">
        <v>208</v>
      </c>
      <c r="G1283" s="1" t="s">
        <v>787</v>
      </c>
      <c r="H1283" s="1" t="n">
        <v>0</v>
      </c>
      <c r="I1283" s="1" t="n">
        <v>0</v>
      </c>
      <c r="J1283" s="1" t="n">
        <v>20201</v>
      </c>
      <c r="L1283" s="1" t="str">
        <f aca="false">IF(D1282&lt;&gt;D1283,D1283,"")</f>
        <v/>
      </c>
      <c r="M1283" s="1" t="str">
        <f aca="false">IF(F1282&lt;&gt;F1283,F1283,"")</f>
        <v/>
      </c>
    </row>
    <row r="1284" customFormat="false" ht="15" hidden="false" customHeight="false" outlineLevel="0" collapsed="false">
      <c r="A1284" s="1" t="s">
        <v>814</v>
      </c>
      <c r="B1284" s="1" t="s">
        <v>815</v>
      </c>
      <c r="C1284" s="1" t="s">
        <v>781</v>
      </c>
      <c r="D1284" s="1" t="s">
        <v>782</v>
      </c>
      <c r="E1284" s="1" t="n">
        <v>20171</v>
      </c>
      <c r="F1284" s="1" t="s">
        <v>208</v>
      </c>
      <c r="G1284" s="1" t="s">
        <v>787</v>
      </c>
      <c r="H1284" s="1" t="n">
        <v>0</v>
      </c>
      <c r="I1284" s="1" t="n">
        <v>0</v>
      </c>
      <c r="J1284" s="1" t="n">
        <v>20201</v>
      </c>
      <c r="L1284" s="1" t="str">
        <f aca="false">IF(D1283&lt;&gt;D1284,D1284,"")</f>
        <v/>
      </c>
      <c r="M1284" s="1" t="str">
        <f aca="false">IF(F1283&lt;&gt;F1284,F1284,"")</f>
        <v/>
      </c>
    </row>
    <row r="1285" customFormat="false" ht="15" hidden="false" customHeight="false" outlineLevel="0" collapsed="false">
      <c r="A1285" s="1" t="s">
        <v>627</v>
      </c>
      <c r="B1285" s="1" t="s">
        <v>628</v>
      </c>
      <c r="C1285" s="1" t="s">
        <v>781</v>
      </c>
      <c r="D1285" s="1" t="s">
        <v>782</v>
      </c>
      <c r="E1285" s="1" t="n">
        <v>20171</v>
      </c>
      <c r="F1285" s="1" t="s">
        <v>208</v>
      </c>
      <c r="G1285" s="1" t="s">
        <v>787</v>
      </c>
      <c r="H1285" s="1" t="n">
        <v>0</v>
      </c>
      <c r="I1285" s="1" t="n">
        <v>0</v>
      </c>
      <c r="J1285" s="1" t="n">
        <v>20201</v>
      </c>
      <c r="L1285" s="1" t="str">
        <f aca="false">IF(D1284&lt;&gt;D1285,D1285,"")</f>
        <v/>
      </c>
      <c r="M1285" s="1" t="str">
        <f aca="false">IF(F1284&lt;&gt;F1285,F1285,"")</f>
        <v/>
      </c>
    </row>
    <row r="1286" customFormat="false" ht="15" hidden="false" customHeight="false" outlineLevel="0" collapsed="false">
      <c r="A1286" s="1" t="s">
        <v>816</v>
      </c>
      <c r="B1286" s="1" t="s">
        <v>817</v>
      </c>
      <c r="C1286" s="1" t="s">
        <v>781</v>
      </c>
      <c r="D1286" s="1" t="s">
        <v>782</v>
      </c>
      <c r="E1286" s="1" t="n">
        <v>20171</v>
      </c>
      <c r="F1286" s="1" t="s">
        <v>208</v>
      </c>
      <c r="G1286" s="1" t="s">
        <v>787</v>
      </c>
      <c r="H1286" s="1" t="n">
        <v>0</v>
      </c>
      <c r="I1286" s="1" t="n">
        <v>0</v>
      </c>
      <c r="J1286" s="1" t="n">
        <v>20201</v>
      </c>
      <c r="L1286" s="1" t="str">
        <f aca="false">IF(D1285&lt;&gt;D1286,D1286,"")</f>
        <v/>
      </c>
      <c r="M1286" s="1" t="str">
        <f aca="false">IF(F1285&lt;&gt;F1286,F1286,"")</f>
        <v/>
      </c>
    </row>
    <row r="1287" customFormat="false" ht="15" hidden="false" customHeight="false" outlineLevel="0" collapsed="false">
      <c r="A1287" s="1" t="s">
        <v>818</v>
      </c>
      <c r="B1287" s="1" t="s">
        <v>819</v>
      </c>
      <c r="C1287" s="1" t="s">
        <v>781</v>
      </c>
      <c r="D1287" s="1" t="s">
        <v>782</v>
      </c>
      <c r="E1287" s="1" t="n">
        <v>20171</v>
      </c>
      <c r="F1287" s="1" t="s">
        <v>208</v>
      </c>
      <c r="G1287" s="1" t="s">
        <v>787</v>
      </c>
      <c r="H1287" s="1" t="n">
        <v>0</v>
      </c>
      <c r="I1287" s="1" t="n">
        <v>0</v>
      </c>
      <c r="J1287" s="1" t="n">
        <v>20201</v>
      </c>
      <c r="L1287" s="1" t="str">
        <f aca="false">IF(D1286&lt;&gt;D1287,D1287,"")</f>
        <v/>
      </c>
      <c r="M1287" s="1" t="str">
        <f aca="false">IF(F1286&lt;&gt;F1287,F1287,"")</f>
        <v/>
      </c>
    </row>
    <row r="1288" customFormat="false" ht="15" hidden="false" customHeight="false" outlineLevel="0" collapsed="false">
      <c r="A1288" s="1" t="s">
        <v>589</v>
      </c>
      <c r="B1288" s="1" t="s">
        <v>590</v>
      </c>
      <c r="C1288" s="1" t="s">
        <v>781</v>
      </c>
      <c r="D1288" s="1" t="s">
        <v>782</v>
      </c>
      <c r="E1288" s="1" t="n">
        <v>20171</v>
      </c>
      <c r="F1288" s="1" t="s">
        <v>208</v>
      </c>
      <c r="G1288" s="1" t="s">
        <v>787</v>
      </c>
      <c r="H1288" s="1" t="n">
        <v>0</v>
      </c>
      <c r="I1288" s="1" t="n">
        <v>0</v>
      </c>
      <c r="J1288" s="1" t="n">
        <v>20201</v>
      </c>
      <c r="L1288" s="1" t="str">
        <f aca="false">IF(D1287&lt;&gt;D1288,D1288,"")</f>
        <v/>
      </c>
      <c r="M1288" s="1" t="str">
        <f aca="false">IF(F1287&lt;&gt;F1288,F1288,"")</f>
        <v/>
      </c>
    </row>
    <row r="1289" customFormat="false" ht="15" hidden="false" customHeight="false" outlineLevel="0" collapsed="false">
      <c r="A1289" s="1" t="s">
        <v>820</v>
      </c>
      <c r="B1289" s="1" t="s">
        <v>821</v>
      </c>
      <c r="C1289" s="1" t="s">
        <v>781</v>
      </c>
      <c r="D1289" s="1" t="s">
        <v>782</v>
      </c>
      <c r="E1289" s="1" t="n">
        <v>20171</v>
      </c>
      <c r="F1289" s="1" t="s">
        <v>208</v>
      </c>
      <c r="G1289" s="1" t="s">
        <v>787</v>
      </c>
      <c r="H1289" s="1" t="n">
        <v>0</v>
      </c>
      <c r="I1289" s="1" t="n">
        <v>0</v>
      </c>
      <c r="J1289" s="1" t="n">
        <v>20201</v>
      </c>
      <c r="L1289" s="1" t="str">
        <f aca="false">IF(D1288&lt;&gt;D1289,D1289,"")</f>
        <v/>
      </c>
      <c r="M1289" s="1" t="str">
        <f aca="false">IF(F1288&lt;&gt;F1289,F1289,"")</f>
        <v/>
      </c>
    </row>
    <row r="1290" customFormat="false" ht="15" hidden="false" customHeight="false" outlineLevel="0" collapsed="false">
      <c r="A1290" s="1" t="s">
        <v>769</v>
      </c>
      <c r="B1290" s="1" t="s">
        <v>770</v>
      </c>
      <c r="C1290" s="1" t="s">
        <v>781</v>
      </c>
      <c r="D1290" s="1" t="s">
        <v>782</v>
      </c>
      <c r="E1290" s="1" t="n">
        <v>20171</v>
      </c>
      <c r="F1290" s="1" t="s">
        <v>208</v>
      </c>
      <c r="G1290" s="1" t="s">
        <v>787</v>
      </c>
      <c r="H1290" s="1" t="n">
        <v>0</v>
      </c>
      <c r="I1290" s="1" t="n">
        <v>0</v>
      </c>
      <c r="J1290" s="1" t="n">
        <v>20201</v>
      </c>
      <c r="L1290" s="1" t="str">
        <f aca="false">IF(D1289&lt;&gt;D1290,D1290,"")</f>
        <v/>
      </c>
      <c r="M1290" s="1" t="str">
        <f aca="false">IF(F1289&lt;&gt;F1290,F1290,"")</f>
        <v/>
      </c>
    </row>
    <row r="1291" customFormat="false" ht="15" hidden="false" customHeight="false" outlineLevel="0" collapsed="false">
      <c r="A1291" s="1" t="s">
        <v>657</v>
      </c>
      <c r="B1291" s="1" t="s">
        <v>658</v>
      </c>
      <c r="C1291" s="1" t="s">
        <v>781</v>
      </c>
      <c r="D1291" s="1" t="s">
        <v>782</v>
      </c>
      <c r="E1291" s="1" t="n">
        <v>20171</v>
      </c>
      <c r="F1291" s="1" t="s">
        <v>208</v>
      </c>
      <c r="G1291" s="1" t="s">
        <v>787</v>
      </c>
      <c r="H1291" s="1" t="n">
        <v>0</v>
      </c>
      <c r="I1291" s="1" t="n">
        <v>0</v>
      </c>
      <c r="J1291" s="1" t="n">
        <v>20201</v>
      </c>
      <c r="L1291" s="1" t="str">
        <f aca="false">IF(D1290&lt;&gt;D1291,D1291,"")</f>
        <v/>
      </c>
      <c r="M1291" s="1" t="str">
        <f aca="false">IF(F1290&lt;&gt;F1291,F1291,"")</f>
        <v/>
      </c>
    </row>
    <row r="1292" customFormat="false" ht="15" hidden="false" customHeight="false" outlineLevel="0" collapsed="false">
      <c r="A1292" s="1" t="s">
        <v>771</v>
      </c>
      <c r="B1292" s="1" t="s">
        <v>772</v>
      </c>
      <c r="C1292" s="1" t="s">
        <v>781</v>
      </c>
      <c r="D1292" s="1" t="s">
        <v>782</v>
      </c>
      <c r="E1292" s="1" t="n">
        <v>20171</v>
      </c>
      <c r="F1292" s="1" t="s">
        <v>208</v>
      </c>
      <c r="G1292" s="1" t="s">
        <v>787</v>
      </c>
      <c r="H1292" s="1" t="n">
        <v>0</v>
      </c>
      <c r="I1292" s="1" t="n">
        <v>0</v>
      </c>
      <c r="J1292" s="1" t="n">
        <v>20201</v>
      </c>
      <c r="L1292" s="1" t="str">
        <f aca="false">IF(D1291&lt;&gt;D1292,D1292,"")</f>
        <v/>
      </c>
      <c r="M1292" s="1" t="str">
        <f aca="false">IF(F1291&lt;&gt;F1292,F1292,"")</f>
        <v/>
      </c>
    </row>
    <row r="1293" customFormat="false" ht="15" hidden="false" customHeight="false" outlineLevel="0" collapsed="false">
      <c r="A1293" s="1" t="s">
        <v>659</v>
      </c>
      <c r="B1293" s="1" t="s">
        <v>660</v>
      </c>
      <c r="C1293" s="1" t="s">
        <v>781</v>
      </c>
      <c r="D1293" s="1" t="s">
        <v>782</v>
      </c>
      <c r="E1293" s="1" t="n">
        <v>20171</v>
      </c>
      <c r="F1293" s="1" t="s">
        <v>208</v>
      </c>
      <c r="G1293" s="1" t="s">
        <v>787</v>
      </c>
      <c r="H1293" s="1" t="n">
        <v>0</v>
      </c>
      <c r="I1293" s="1" t="n">
        <v>0</v>
      </c>
      <c r="J1293" s="1" t="n">
        <v>20201</v>
      </c>
      <c r="L1293" s="1" t="str">
        <f aca="false">IF(D1292&lt;&gt;D1293,D1293,"")</f>
        <v/>
      </c>
      <c r="M1293" s="1" t="str">
        <f aca="false">IF(F1292&lt;&gt;F1293,F1293,"")</f>
        <v/>
      </c>
    </row>
    <row r="1294" customFormat="false" ht="15" hidden="false" customHeight="false" outlineLevel="0" collapsed="false">
      <c r="A1294" s="1" t="s">
        <v>629</v>
      </c>
      <c r="B1294" s="1" t="s">
        <v>630</v>
      </c>
      <c r="C1294" s="1" t="s">
        <v>781</v>
      </c>
      <c r="D1294" s="1" t="s">
        <v>782</v>
      </c>
      <c r="E1294" s="1" t="n">
        <v>20171</v>
      </c>
      <c r="F1294" s="1" t="s">
        <v>208</v>
      </c>
      <c r="G1294" s="1" t="s">
        <v>787</v>
      </c>
      <c r="H1294" s="1" t="n">
        <v>0</v>
      </c>
      <c r="I1294" s="1" t="n">
        <v>0</v>
      </c>
      <c r="J1294" s="1" t="n">
        <v>20201</v>
      </c>
      <c r="L1294" s="1" t="str">
        <f aca="false">IF(D1293&lt;&gt;D1294,D1294,"")</f>
        <v/>
      </c>
      <c r="M1294" s="1" t="str">
        <f aca="false">IF(F1293&lt;&gt;F1294,F1294,"")</f>
        <v/>
      </c>
    </row>
    <row r="1295" customFormat="false" ht="15" hidden="false" customHeight="false" outlineLevel="0" collapsed="false">
      <c r="A1295" s="1" t="s">
        <v>822</v>
      </c>
      <c r="B1295" s="1" t="s">
        <v>823</v>
      </c>
      <c r="C1295" s="1" t="s">
        <v>781</v>
      </c>
      <c r="D1295" s="1" t="s">
        <v>782</v>
      </c>
      <c r="E1295" s="1" t="n">
        <v>20171</v>
      </c>
      <c r="F1295" s="1" t="s">
        <v>208</v>
      </c>
      <c r="G1295" s="1" t="s">
        <v>787</v>
      </c>
      <c r="H1295" s="1" t="n">
        <v>0</v>
      </c>
      <c r="I1295" s="1" t="n">
        <v>0</v>
      </c>
      <c r="J1295" s="1" t="n">
        <v>20201</v>
      </c>
      <c r="L1295" s="1" t="str">
        <f aca="false">IF(D1294&lt;&gt;D1295,D1295,"")</f>
        <v/>
      </c>
      <c r="M1295" s="1" t="str">
        <f aca="false">IF(F1294&lt;&gt;F1295,F1295,"")</f>
        <v/>
      </c>
    </row>
    <row r="1296" customFormat="false" ht="15" hidden="false" customHeight="false" outlineLevel="0" collapsed="false">
      <c r="A1296" s="1" t="s">
        <v>661</v>
      </c>
      <c r="B1296" s="1" t="s">
        <v>662</v>
      </c>
      <c r="C1296" s="1" t="s">
        <v>781</v>
      </c>
      <c r="D1296" s="1" t="s">
        <v>782</v>
      </c>
      <c r="E1296" s="1" t="n">
        <v>20171</v>
      </c>
      <c r="F1296" s="1" t="s">
        <v>208</v>
      </c>
      <c r="G1296" s="1" t="s">
        <v>787</v>
      </c>
      <c r="H1296" s="1" t="n">
        <v>0</v>
      </c>
      <c r="I1296" s="1" t="n">
        <v>0</v>
      </c>
      <c r="J1296" s="1" t="n">
        <v>20201</v>
      </c>
      <c r="L1296" s="1" t="str">
        <f aca="false">IF(D1295&lt;&gt;D1296,D1296,"")</f>
        <v/>
      </c>
      <c r="M1296" s="1" t="str">
        <f aca="false">IF(F1295&lt;&gt;F1296,F1296,"")</f>
        <v/>
      </c>
    </row>
    <row r="1297" customFormat="false" ht="15" hidden="false" customHeight="false" outlineLevel="0" collapsed="false">
      <c r="A1297" s="1" t="s">
        <v>615</v>
      </c>
      <c r="B1297" s="1" t="s">
        <v>616</v>
      </c>
      <c r="C1297" s="1" t="s">
        <v>781</v>
      </c>
      <c r="D1297" s="1" t="s">
        <v>782</v>
      </c>
      <c r="E1297" s="1" t="n">
        <v>20171</v>
      </c>
      <c r="F1297" s="1" t="s">
        <v>208</v>
      </c>
      <c r="G1297" s="1" t="s">
        <v>787</v>
      </c>
      <c r="H1297" s="1" t="n">
        <v>0</v>
      </c>
      <c r="I1297" s="1" t="n">
        <v>0</v>
      </c>
      <c r="J1297" s="1" t="n">
        <v>20201</v>
      </c>
      <c r="L1297" s="1" t="str">
        <f aca="false">IF(D1296&lt;&gt;D1297,D1297,"")</f>
        <v/>
      </c>
      <c r="M1297" s="1" t="str">
        <f aca="false">IF(F1296&lt;&gt;F1297,F1297,"")</f>
        <v/>
      </c>
    </row>
    <row r="1298" customFormat="false" ht="15" hidden="false" customHeight="false" outlineLevel="0" collapsed="false">
      <c r="A1298" s="1" t="s">
        <v>824</v>
      </c>
      <c r="B1298" s="1" t="s">
        <v>825</v>
      </c>
      <c r="C1298" s="1" t="s">
        <v>781</v>
      </c>
      <c r="D1298" s="1" t="s">
        <v>782</v>
      </c>
      <c r="E1298" s="1" t="n">
        <v>20171</v>
      </c>
      <c r="F1298" s="1" t="s">
        <v>208</v>
      </c>
      <c r="G1298" s="1" t="s">
        <v>787</v>
      </c>
      <c r="H1298" s="1" t="n">
        <v>0</v>
      </c>
      <c r="I1298" s="1" t="n">
        <v>0</v>
      </c>
      <c r="J1298" s="1" t="n">
        <v>20201</v>
      </c>
      <c r="L1298" s="1" t="str">
        <f aca="false">IF(D1297&lt;&gt;D1298,D1298,"")</f>
        <v/>
      </c>
      <c r="M1298" s="1" t="str">
        <f aca="false">IF(F1297&lt;&gt;F1298,F1298,"")</f>
        <v/>
      </c>
    </row>
    <row r="1299" customFormat="false" ht="15" hidden="false" customHeight="false" outlineLevel="0" collapsed="false">
      <c r="A1299" s="1" t="s">
        <v>826</v>
      </c>
      <c r="B1299" s="1" t="s">
        <v>827</v>
      </c>
      <c r="C1299" s="1" t="s">
        <v>781</v>
      </c>
      <c r="D1299" s="1" t="s">
        <v>782</v>
      </c>
      <c r="E1299" s="1" t="n">
        <v>20171</v>
      </c>
      <c r="F1299" s="1" t="s">
        <v>208</v>
      </c>
      <c r="G1299" s="1" t="s">
        <v>787</v>
      </c>
      <c r="H1299" s="1" t="n">
        <v>0</v>
      </c>
      <c r="I1299" s="1" t="n">
        <v>0</v>
      </c>
      <c r="J1299" s="1" t="n">
        <v>20201</v>
      </c>
      <c r="L1299" s="1" t="str">
        <f aca="false">IF(D1298&lt;&gt;D1299,D1299,"")</f>
        <v/>
      </c>
      <c r="M1299" s="1" t="str">
        <f aca="false">IF(F1298&lt;&gt;F1299,F1299,"")</f>
        <v/>
      </c>
    </row>
    <row r="1300" customFormat="false" ht="15" hidden="false" customHeight="false" outlineLevel="0" collapsed="false">
      <c r="A1300" s="1" t="s">
        <v>595</v>
      </c>
      <c r="B1300" s="1" t="s">
        <v>596</v>
      </c>
      <c r="C1300" s="1" t="s">
        <v>781</v>
      </c>
      <c r="D1300" s="1" t="s">
        <v>782</v>
      </c>
      <c r="E1300" s="1" t="n">
        <v>20171</v>
      </c>
      <c r="F1300" s="1" t="s">
        <v>208</v>
      </c>
      <c r="G1300" s="1" t="s">
        <v>787</v>
      </c>
      <c r="H1300" s="1" t="n">
        <v>0</v>
      </c>
      <c r="I1300" s="1" t="n">
        <v>0</v>
      </c>
      <c r="J1300" s="1" t="n">
        <v>20201</v>
      </c>
      <c r="L1300" s="1" t="str">
        <f aca="false">IF(D1299&lt;&gt;D1300,D1300,"")</f>
        <v/>
      </c>
      <c r="M1300" s="1" t="str">
        <f aca="false">IF(F1299&lt;&gt;F1300,F1300,"")</f>
        <v/>
      </c>
    </row>
    <row r="1301" customFormat="false" ht="15" hidden="false" customHeight="false" outlineLevel="0" collapsed="false">
      <c r="A1301" s="1" t="s">
        <v>773</v>
      </c>
      <c r="B1301" s="1" t="s">
        <v>774</v>
      </c>
      <c r="C1301" s="1" t="s">
        <v>781</v>
      </c>
      <c r="D1301" s="1" t="s">
        <v>782</v>
      </c>
      <c r="E1301" s="1" t="n">
        <v>20171</v>
      </c>
      <c r="F1301" s="1" t="s">
        <v>208</v>
      </c>
      <c r="G1301" s="1" t="s">
        <v>14</v>
      </c>
      <c r="H1301" s="1" t="n">
        <v>4</v>
      </c>
      <c r="I1301" s="1" t="n">
        <v>0</v>
      </c>
      <c r="J1301" s="1" t="n">
        <v>20201</v>
      </c>
      <c r="L1301" s="1" t="str">
        <f aca="false">IF(D1300&lt;&gt;D1301,D1301,"")</f>
        <v/>
      </c>
      <c r="M1301" s="1" t="str">
        <f aca="false">IF(F1300&lt;&gt;F1301,F1301,"")</f>
        <v/>
      </c>
    </row>
    <row r="1302" customFormat="false" ht="15" hidden="false" customHeight="false" outlineLevel="0" collapsed="false">
      <c r="A1302" s="1" t="s">
        <v>114</v>
      </c>
      <c r="B1302" s="1" t="s">
        <v>115</v>
      </c>
      <c r="C1302" s="1" t="s">
        <v>781</v>
      </c>
      <c r="D1302" s="1" t="s">
        <v>782</v>
      </c>
      <c r="E1302" s="1" t="n">
        <v>20171</v>
      </c>
      <c r="F1302" s="1" t="s">
        <v>208</v>
      </c>
      <c r="G1302" s="1" t="s">
        <v>787</v>
      </c>
      <c r="H1302" s="1" t="n">
        <v>0</v>
      </c>
      <c r="I1302" s="1" t="n">
        <v>0</v>
      </c>
      <c r="J1302" s="1" t="n">
        <v>20201</v>
      </c>
      <c r="L1302" s="1" t="str">
        <f aca="false">IF(D1301&lt;&gt;D1302,D1302,"")</f>
        <v/>
      </c>
      <c r="M1302" s="1" t="str">
        <f aca="false">IF(F1301&lt;&gt;F1302,F1302,"")</f>
        <v/>
      </c>
    </row>
    <row r="1303" customFormat="false" ht="15" hidden="false" customHeight="false" outlineLevel="0" collapsed="false">
      <c r="A1303" s="1" t="s">
        <v>202</v>
      </c>
      <c r="B1303" s="1" t="s">
        <v>203</v>
      </c>
      <c r="C1303" s="1" t="s">
        <v>781</v>
      </c>
      <c r="D1303" s="1" t="s">
        <v>782</v>
      </c>
      <c r="E1303" s="1" t="n">
        <v>20171</v>
      </c>
      <c r="F1303" s="1" t="s">
        <v>208</v>
      </c>
      <c r="G1303" s="1" t="s">
        <v>787</v>
      </c>
      <c r="H1303" s="1" t="n">
        <v>0</v>
      </c>
      <c r="I1303" s="1" t="n">
        <v>0</v>
      </c>
      <c r="J1303" s="1" t="n">
        <v>20201</v>
      </c>
      <c r="L1303" s="1" t="str">
        <f aca="false">IF(D1302&lt;&gt;D1303,D1303,"")</f>
        <v/>
      </c>
      <c r="M1303" s="1" t="str">
        <f aca="false">IF(F1302&lt;&gt;F1303,F1303,"")</f>
        <v/>
      </c>
    </row>
    <row r="1304" customFormat="false" ht="15" hidden="false" customHeight="false" outlineLevel="0" collapsed="false">
      <c r="A1304" s="1" t="s">
        <v>751</v>
      </c>
      <c r="B1304" s="1" t="s">
        <v>752</v>
      </c>
      <c r="C1304" s="1" t="s">
        <v>781</v>
      </c>
      <c r="D1304" s="1" t="s">
        <v>782</v>
      </c>
      <c r="E1304" s="1" t="n">
        <v>20171</v>
      </c>
      <c r="F1304" s="1" t="s">
        <v>208</v>
      </c>
      <c r="G1304" s="1" t="s">
        <v>787</v>
      </c>
      <c r="H1304" s="1" t="n">
        <v>0</v>
      </c>
      <c r="I1304" s="1" t="n">
        <v>0</v>
      </c>
      <c r="J1304" s="1" t="n">
        <v>20201</v>
      </c>
      <c r="L1304" s="1" t="str">
        <f aca="false">IF(D1303&lt;&gt;D1304,D1304,"")</f>
        <v/>
      </c>
      <c r="M1304" s="1" t="str">
        <f aca="false">IF(F1303&lt;&gt;F1304,F1304,"")</f>
        <v/>
      </c>
    </row>
    <row r="1305" customFormat="false" ht="15" hidden="false" customHeight="false" outlineLevel="0" collapsed="false">
      <c r="A1305" s="1" t="s">
        <v>739</v>
      </c>
      <c r="B1305" s="1" t="s">
        <v>740</v>
      </c>
      <c r="C1305" s="1" t="s">
        <v>781</v>
      </c>
      <c r="D1305" s="1" t="s">
        <v>782</v>
      </c>
      <c r="E1305" s="1" t="n">
        <v>20171</v>
      </c>
      <c r="F1305" s="1" t="s">
        <v>208</v>
      </c>
      <c r="G1305" s="1" t="s">
        <v>787</v>
      </c>
      <c r="H1305" s="1" t="n">
        <v>0</v>
      </c>
      <c r="I1305" s="1" t="n">
        <v>0</v>
      </c>
      <c r="J1305" s="1" t="n">
        <v>20201</v>
      </c>
      <c r="L1305" s="1" t="str">
        <f aca="false">IF(D1304&lt;&gt;D1305,D1305,"")</f>
        <v/>
      </c>
      <c r="M1305" s="1" t="str">
        <f aca="false">IF(F1304&lt;&gt;F1305,F1305,"")</f>
        <v/>
      </c>
    </row>
    <row r="1306" customFormat="false" ht="15" hidden="false" customHeight="false" outlineLevel="0" collapsed="false">
      <c r="A1306" s="1" t="s">
        <v>828</v>
      </c>
      <c r="B1306" s="1" t="s">
        <v>829</v>
      </c>
      <c r="C1306" s="1" t="s">
        <v>781</v>
      </c>
      <c r="D1306" s="1" t="s">
        <v>782</v>
      </c>
      <c r="E1306" s="1" t="n">
        <v>20171</v>
      </c>
      <c r="F1306" s="1" t="s">
        <v>208</v>
      </c>
      <c r="G1306" s="1" t="s">
        <v>14</v>
      </c>
      <c r="H1306" s="1" t="n">
        <v>4</v>
      </c>
      <c r="I1306" s="1" t="n">
        <v>0</v>
      </c>
      <c r="J1306" s="1" t="n">
        <v>20201</v>
      </c>
      <c r="L1306" s="1" t="str">
        <f aca="false">IF(D1305&lt;&gt;D1306,D1306,"")</f>
        <v/>
      </c>
      <c r="M1306" s="1" t="str">
        <f aca="false">IF(F1305&lt;&gt;F1306,F1306,"")</f>
        <v/>
      </c>
    </row>
    <row r="1307" customFormat="false" ht="15" hidden="false" customHeight="false" outlineLevel="0" collapsed="false">
      <c r="A1307" s="1" t="s">
        <v>830</v>
      </c>
      <c r="B1307" s="1" t="s">
        <v>831</v>
      </c>
      <c r="C1307" s="1" t="s">
        <v>781</v>
      </c>
      <c r="D1307" s="1" t="s">
        <v>782</v>
      </c>
      <c r="E1307" s="1" t="n">
        <v>20171</v>
      </c>
      <c r="F1307" s="1" t="s">
        <v>208</v>
      </c>
      <c r="G1307" s="1" t="s">
        <v>14</v>
      </c>
      <c r="H1307" s="1" t="n">
        <v>4</v>
      </c>
      <c r="I1307" s="1" t="n">
        <v>0</v>
      </c>
      <c r="J1307" s="1" t="n">
        <v>20201</v>
      </c>
      <c r="L1307" s="1" t="str">
        <f aca="false">IF(D1306&lt;&gt;D1307,D1307,"")</f>
        <v/>
      </c>
      <c r="M1307" s="1" t="str">
        <f aca="false">IF(F1306&lt;&gt;F1307,F1307,"")</f>
        <v/>
      </c>
    </row>
    <row r="1308" customFormat="false" ht="15" hidden="false" customHeight="false" outlineLevel="0" collapsed="false">
      <c r="A1308" s="1" t="s">
        <v>209</v>
      </c>
      <c r="B1308" s="1" t="s">
        <v>210</v>
      </c>
      <c r="C1308" s="1" t="s">
        <v>781</v>
      </c>
      <c r="D1308" s="1" t="s">
        <v>782</v>
      </c>
      <c r="E1308" s="1" t="n">
        <v>20171</v>
      </c>
      <c r="F1308" s="1" t="s">
        <v>208</v>
      </c>
      <c r="G1308" s="1" t="s">
        <v>787</v>
      </c>
      <c r="H1308" s="1" t="n">
        <v>0</v>
      </c>
      <c r="I1308" s="1" t="n">
        <v>0</v>
      </c>
      <c r="J1308" s="1" t="n">
        <v>20201</v>
      </c>
      <c r="L1308" s="1" t="str">
        <f aca="false">IF(D1307&lt;&gt;D1308,D1308,"")</f>
        <v/>
      </c>
      <c r="M1308" s="1" t="str">
        <f aca="false">IF(F1307&lt;&gt;F1308,F1308,"")</f>
        <v/>
      </c>
    </row>
    <row r="1309" customFormat="false" ht="15" hidden="false" customHeight="false" outlineLevel="0" collapsed="false">
      <c r="A1309" s="1" t="s">
        <v>832</v>
      </c>
      <c r="B1309" s="1" t="s">
        <v>833</v>
      </c>
      <c r="C1309" s="1" t="s">
        <v>781</v>
      </c>
      <c r="D1309" s="1" t="s">
        <v>782</v>
      </c>
      <c r="E1309" s="1" t="n">
        <v>20171</v>
      </c>
      <c r="F1309" s="1" t="s">
        <v>208</v>
      </c>
      <c r="G1309" s="1" t="s">
        <v>14</v>
      </c>
      <c r="H1309" s="1" t="n">
        <v>4</v>
      </c>
      <c r="I1309" s="1" t="n">
        <v>0</v>
      </c>
      <c r="J1309" s="1" t="n">
        <v>20201</v>
      </c>
      <c r="L1309" s="1" t="str">
        <f aca="false">IF(D1308&lt;&gt;D1309,D1309,"")</f>
        <v/>
      </c>
      <c r="M1309" s="1" t="str">
        <f aca="false">IF(F1308&lt;&gt;F1309,F1309,"")</f>
        <v/>
      </c>
    </row>
    <row r="1310" customFormat="false" ht="15" hidden="false" customHeight="false" outlineLevel="0" collapsed="false">
      <c r="A1310" s="1" t="s">
        <v>790</v>
      </c>
      <c r="B1310" s="1" t="s">
        <v>791</v>
      </c>
      <c r="C1310" s="1" t="s">
        <v>834</v>
      </c>
      <c r="D1310" s="1" t="s">
        <v>835</v>
      </c>
      <c r="E1310" s="1" t="n">
        <v>20171</v>
      </c>
      <c r="F1310" s="1" t="s">
        <v>208</v>
      </c>
      <c r="G1310" s="1" t="s">
        <v>14</v>
      </c>
      <c r="H1310" s="1" t="n">
        <v>4</v>
      </c>
      <c r="I1310" s="1" t="n">
        <v>0</v>
      </c>
      <c r="J1310" s="1" t="n">
        <v>20201</v>
      </c>
      <c r="L1310" s="1" t="str">
        <f aca="false">IF(D1309&lt;&gt;D1310,D1310,"")</f>
        <v>LOGIKA FUZZY</v>
      </c>
      <c r="M1310" s="1" t="str">
        <f aca="false">IF(F1309&lt;&gt;F1310,F1310,"")</f>
        <v/>
      </c>
    </row>
    <row r="1311" customFormat="false" ht="15" hidden="false" customHeight="false" outlineLevel="0" collapsed="false">
      <c r="A1311" s="1" t="s">
        <v>621</v>
      </c>
      <c r="B1311" s="1" t="s">
        <v>622</v>
      </c>
      <c r="C1311" s="1" t="s">
        <v>834</v>
      </c>
      <c r="D1311" s="1" t="s">
        <v>835</v>
      </c>
      <c r="E1311" s="1" t="n">
        <v>20171</v>
      </c>
      <c r="F1311" s="1" t="s">
        <v>208</v>
      </c>
      <c r="G1311" s="1" t="s">
        <v>14</v>
      </c>
      <c r="H1311" s="1" t="n">
        <v>4</v>
      </c>
      <c r="I1311" s="1" t="n">
        <v>0</v>
      </c>
      <c r="J1311" s="1" t="n">
        <v>20201</v>
      </c>
      <c r="L1311" s="1" t="str">
        <f aca="false">IF(D1310&lt;&gt;D1311,D1311,"")</f>
        <v/>
      </c>
      <c r="M1311" s="1" t="str">
        <f aca="false">IF(F1310&lt;&gt;F1311,F1311,"")</f>
        <v/>
      </c>
    </row>
    <row r="1312" customFormat="false" ht="15" hidden="false" customHeight="false" outlineLevel="0" collapsed="false">
      <c r="A1312" s="1" t="s">
        <v>691</v>
      </c>
      <c r="B1312" s="1" t="s">
        <v>692</v>
      </c>
      <c r="C1312" s="1" t="s">
        <v>834</v>
      </c>
      <c r="D1312" s="1" t="s">
        <v>835</v>
      </c>
      <c r="E1312" s="1" t="n">
        <v>20171</v>
      </c>
      <c r="F1312" s="1" t="s">
        <v>208</v>
      </c>
      <c r="G1312" s="1" t="s">
        <v>14</v>
      </c>
      <c r="H1312" s="1" t="n">
        <v>4</v>
      </c>
      <c r="I1312" s="1" t="n">
        <v>0</v>
      </c>
      <c r="J1312" s="1" t="n">
        <v>20201</v>
      </c>
      <c r="L1312" s="1" t="str">
        <f aca="false">IF(D1311&lt;&gt;D1312,D1312,"")</f>
        <v/>
      </c>
      <c r="M1312" s="1" t="str">
        <f aca="false">IF(F1311&lt;&gt;F1312,F1312,"")</f>
        <v/>
      </c>
    </row>
    <row r="1313" customFormat="false" ht="15" hidden="false" customHeight="false" outlineLevel="0" collapsed="false">
      <c r="A1313" s="1" t="s">
        <v>695</v>
      </c>
      <c r="B1313" s="1" t="s">
        <v>696</v>
      </c>
      <c r="C1313" s="1" t="s">
        <v>834</v>
      </c>
      <c r="D1313" s="1" t="s">
        <v>835</v>
      </c>
      <c r="E1313" s="1" t="n">
        <v>20171</v>
      </c>
      <c r="F1313" s="1" t="s">
        <v>208</v>
      </c>
      <c r="G1313" s="1" t="s">
        <v>14</v>
      </c>
      <c r="H1313" s="1" t="n">
        <v>4</v>
      </c>
      <c r="I1313" s="1" t="n">
        <v>0</v>
      </c>
      <c r="J1313" s="1" t="n">
        <v>20201</v>
      </c>
      <c r="L1313" s="1" t="str">
        <f aca="false">IF(D1312&lt;&gt;D1313,D1313,"")</f>
        <v/>
      </c>
      <c r="M1313" s="1" t="str">
        <f aca="false">IF(F1312&lt;&gt;F1313,F1313,"")</f>
        <v/>
      </c>
    </row>
    <row r="1314" customFormat="false" ht="15" hidden="false" customHeight="false" outlineLevel="0" collapsed="false">
      <c r="A1314" s="1" t="s">
        <v>697</v>
      </c>
      <c r="B1314" s="1" t="s">
        <v>698</v>
      </c>
      <c r="C1314" s="1" t="s">
        <v>834</v>
      </c>
      <c r="D1314" s="1" t="s">
        <v>835</v>
      </c>
      <c r="E1314" s="1" t="n">
        <v>20171</v>
      </c>
      <c r="F1314" s="1" t="s">
        <v>208</v>
      </c>
      <c r="G1314" s="1" t="s">
        <v>15</v>
      </c>
      <c r="H1314" s="1" t="n">
        <v>3.5</v>
      </c>
      <c r="I1314" s="1" t="n">
        <v>0</v>
      </c>
      <c r="J1314" s="1" t="n">
        <v>20201</v>
      </c>
      <c r="L1314" s="1" t="str">
        <f aca="false">IF(D1313&lt;&gt;D1314,D1314,"")</f>
        <v/>
      </c>
      <c r="M1314" s="1" t="str">
        <f aca="false">IF(F1313&lt;&gt;F1314,F1314,"")</f>
        <v/>
      </c>
    </row>
    <row r="1315" customFormat="false" ht="15" hidden="false" customHeight="false" outlineLevel="0" collapsed="false">
      <c r="A1315" s="1" t="s">
        <v>699</v>
      </c>
      <c r="B1315" s="1" t="s">
        <v>700</v>
      </c>
      <c r="C1315" s="1" t="s">
        <v>834</v>
      </c>
      <c r="D1315" s="1" t="s">
        <v>835</v>
      </c>
      <c r="E1315" s="1" t="n">
        <v>20171</v>
      </c>
      <c r="F1315" s="1" t="s">
        <v>208</v>
      </c>
      <c r="G1315" s="1" t="s">
        <v>15</v>
      </c>
      <c r="H1315" s="1" t="n">
        <v>3.5</v>
      </c>
      <c r="I1315" s="1" t="n">
        <v>0</v>
      </c>
      <c r="J1315" s="1" t="n">
        <v>20201</v>
      </c>
      <c r="L1315" s="1" t="str">
        <f aca="false">IF(D1314&lt;&gt;D1315,D1315,"")</f>
        <v/>
      </c>
      <c r="M1315" s="1" t="str">
        <f aca="false">IF(F1314&lt;&gt;F1315,F1315,"")</f>
        <v/>
      </c>
    </row>
    <row r="1316" customFormat="false" ht="15" hidden="false" customHeight="false" outlineLevel="0" collapsed="false">
      <c r="A1316" s="1" t="s">
        <v>705</v>
      </c>
      <c r="B1316" s="1" t="s">
        <v>706</v>
      </c>
      <c r="C1316" s="1" t="s">
        <v>834</v>
      </c>
      <c r="D1316" s="1" t="s">
        <v>835</v>
      </c>
      <c r="E1316" s="1" t="n">
        <v>20171</v>
      </c>
      <c r="F1316" s="1" t="s">
        <v>208</v>
      </c>
      <c r="G1316" s="1" t="s">
        <v>14</v>
      </c>
      <c r="H1316" s="1" t="n">
        <v>4</v>
      </c>
      <c r="I1316" s="1" t="n">
        <v>0</v>
      </c>
      <c r="J1316" s="1" t="n">
        <v>20201</v>
      </c>
      <c r="L1316" s="1" t="str">
        <f aca="false">IF(D1315&lt;&gt;D1316,D1316,"")</f>
        <v/>
      </c>
      <c r="M1316" s="1" t="str">
        <f aca="false">IF(F1315&lt;&gt;F1316,F1316,"")</f>
        <v/>
      </c>
    </row>
    <row r="1317" customFormat="false" ht="15" hidden="false" customHeight="false" outlineLevel="0" collapsed="false">
      <c r="A1317" s="1" t="s">
        <v>707</v>
      </c>
      <c r="B1317" s="1" t="s">
        <v>708</v>
      </c>
      <c r="C1317" s="1" t="s">
        <v>834</v>
      </c>
      <c r="D1317" s="1" t="s">
        <v>835</v>
      </c>
      <c r="E1317" s="1" t="n">
        <v>20171</v>
      </c>
      <c r="F1317" s="1" t="s">
        <v>208</v>
      </c>
      <c r="G1317" s="1" t="s">
        <v>15</v>
      </c>
      <c r="H1317" s="1" t="n">
        <v>3.5</v>
      </c>
      <c r="I1317" s="1" t="n">
        <v>0</v>
      </c>
      <c r="J1317" s="1" t="n">
        <v>20201</v>
      </c>
      <c r="L1317" s="1" t="str">
        <f aca="false">IF(D1316&lt;&gt;D1317,D1317,"")</f>
        <v/>
      </c>
      <c r="M1317" s="1" t="str">
        <f aca="false">IF(F1316&lt;&gt;F1317,F1317,"")</f>
        <v/>
      </c>
    </row>
    <row r="1318" customFormat="false" ht="15" hidden="false" customHeight="false" outlineLevel="0" collapsed="false">
      <c r="A1318" s="1" t="s">
        <v>709</v>
      </c>
      <c r="B1318" s="1" t="s">
        <v>710</v>
      </c>
      <c r="C1318" s="1" t="s">
        <v>834</v>
      </c>
      <c r="D1318" s="1" t="s">
        <v>835</v>
      </c>
      <c r="E1318" s="1" t="n">
        <v>20171</v>
      </c>
      <c r="F1318" s="1" t="s">
        <v>208</v>
      </c>
      <c r="G1318" s="1" t="s">
        <v>15</v>
      </c>
      <c r="H1318" s="1" t="n">
        <v>3.5</v>
      </c>
      <c r="I1318" s="1" t="n">
        <v>0</v>
      </c>
      <c r="J1318" s="1" t="n">
        <v>20201</v>
      </c>
      <c r="L1318" s="1" t="str">
        <f aca="false">IF(D1317&lt;&gt;D1318,D1318,"")</f>
        <v/>
      </c>
      <c r="M1318" s="1" t="str">
        <f aca="false">IF(F1317&lt;&gt;F1318,F1318,"")</f>
        <v/>
      </c>
    </row>
    <row r="1319" customFormat="false" ht="15" hidden="false" customHeight="false" outlineLevel="0" collapsed="false">
      <c r="A1319" s="1" t="s">
        <v>711</v>
      </c>
      <c r="B1319" s="1" t="s">
        <v>712</v>
      </c>
      <c r="C1319" s="1" t="s">
        <v>834</v>
      </c>
      <c r="D1319" s="1" t="s">
        <v>835</v>
      </c>
      <c r="E1319" s="1" t="n">
        <v>20171</v>
      </c>
      <c r="F1319" s="1" t="s">
        <v>208</v>
      </c>
      <c r="G1319" s="1" t="s">
        <v>14</v>
      </c>
      <c r="H1319" s="1" t="n">
        <v>4</v>
      </c>
      <c r="I1319" s="1" t="n">
        <v>0</v>
      </c>
      <c r="J1319" s="1" t="n">
        <v>20201</v>
      </c>
      <c r="L1319" s="1" t="str">
        <f aca="false">IF(D1318&lt;&gt;D1319,D1319,"")</f>
        <v/>
      </c>
      <c r="M1319" s="1" t="str">
        <f aca="false">IF(F1318&lt;&gt;F1319,F1319,"")</f>
        <v/>
      </c>
    </row>
    <row r="1320" customFormat="false" ht="15" hidden="false" customHeight="false" outlineLevel="0" collapsed="false">
      <c r="A1320" s="1" t="s">
        <v>713</v>
      </c>
      <c r="B1320" s="1" t="s">
        <v>714</v>
      </c>
      <c r="C1320" s="1" t="s">
        <v>834</v>
      </c>
      <c r="D1320" s="1" t="s">
        <v>835</v>
      </c>
      <c r="E1320" s="1" t="n">
        <v>20171</v>
      </c>
      <c r="F1320" s="1" t="s">
        <v>208</v>
      </c>
      <c r="G1320" s="1" t="s">
        <v>15</v>
      </c>
      <c r="H1320" s="1" t="n">
        <v>3.5</v>
      </c>
      <c r="I1320" s="1" t="n">
        <v>0</v>
      </c>
      <c r="J1320" s="1" t="n">
        <v>20201</v>
      </c>
      <c r="L1320" s="1" t="str">
        <f aca="false">IF(D1319&lt;&gt;D1320,D1320,"")</f>
        <v/>
      </c>
      <c r="M1320" s="1" t="str">
        <f aca="false">IF(F1319&lt;&gt;F1320,F1320,"")</f>
        <v/>
      </c>
    </row>
    <row r="1321" customFormat="false" ht="15" hidden="false" customHeight="false" outlineLevel="0" collapsed="false">
      <c r="A1321" s="1" t="s">
        <v>715</v>
      </c>
      <c r="B1321" s="1" t="s">
        <v>716</v>
      </c>
      <c r="C1321" s="1" t="s">
        <v>834</v>
      </c>
      <c r="D1321" s="1" t="s">
        <v>835</v>
      </c>
      <c r="E1321" s="1" t="n">
        <v>20171</v>
      </c>
      <c r="F1321" s="1" t="s">
        <v>208</v>
      </c>
      <c r="G1321" s="1" t="s">
        <v>15</v>
      </c>
      <c r="H1321" s="1" t="n">
        <v>3.5</v>
      </c>
      <c r="I1321" s="1" t="n">
        <v>0</v>
      </c>
      <c r="J1321" s="1" t="n">
        <v>20201</v>
      </c>
      <c r="L1321" s="1" t="str">
        <f aca="false">IF(D1320&lt;&gt;D1321,D1321,"")</f>
        <v/>
      </c>
      <c r="M1321" s="1" t="str">
        <f aca="false">IF(F1320&lt;&gt;F1321,F1321,"")</f>
        <v/>
      </c>
    </row>
    <row r="1322" customFormat="false" ht="15" hidden="false" customHeight="false" outlineLevel="0" collapsed="false">
      <c r="A1322" s="1" t="s">
        <v>717</v>
      </c>
      <c r="B1322" s="1" t="s">
        <v>718</v>
      </c>
      <c r="C1322" s="1" t="s">
        <v>834</v>
      </c>
      <c r="D1322" s="1" t="s">
        <v>835</v>
      </c>
      <c r="E1322" s="1" t="n">
        <v>20171</v>
      </c>
      <c r="F1322" s="1" t="s">
        <v>208</v>
      </c>
      <c r="G1322" s="1" t="s">
        <v>14</v>
      </c>
      <c r="H1322" s="1" t="n">
        <v>4</v>
      </c>
      <c r="I1322" s="1" t="n">
        <v>0</v>
      </c>
      <c r="J1322" s="1" t="n">
        <v>20201</v>
      </c>
      <c r="L1322" s="1" t="str">
        <f aca="false">IF(D1321&lt;&gt;D1322,D1322,"")</f>
        <v/>
      </c>
      <c r="M1322" s="1" t="str">
        <f aca="false">IF(F1321&lt;&gt;F1322,F1322,"")</f>
        <v/>
      </c>
    </row>
    <row r="1323" customFormat="false" ht="15" hidden="false" customHeight="false" outlineLevel="0" collapsed="false">
      <c r="A1323" s="1" t="s">
        <v>719</v>
      </c>
      <c r="B1323" s="1" t="s">
        <v>720</v>
      </c>
      <c r="C1323" s="1" t="s">
        <v>834</v>
      </c>
      <c r="D1323" s="1" t="s">
        <v>835</v>
      </c>
      <c r="E1323" s="1" t="n">
        <v>20171</v>
      </c>
      <c r="F1323" s="1" t="s">
        <v>208</v>
      </c>
      <c r="G1323" s="1" t="s">
        <v>15</v>
      </c>
      <c r="H1323" s="1" t="n">
        <v>3.5</v>
      </c>
      <c r="I1323" s="1" t="n">
        <v>0</v>
      </c>
      <c r="J1323" s="1" t="n">
        <v>20201</v>
      </c>
      <c r="L1323" s="1" t="str">
        <f aca="false">IF(D1322&lt;&gt;D1323,D1323,"")</f>
        <v/>
      </c>
      <c r="M1323" s="1" t="str">
        <f aca="false">IF(F1322&lt;&gt;F1323,F1323,"")</f>
        <v/>
      </c>
    </row>
    <row r="1324" customFormat="false" ht="15" hidden="false" customHeight="false" outlineLevel="0" collapsed="false">
      <c r="A1324" s="1" t="s">
        <v>663</v>
      </c>
      <c r="B1324" s="1" t="s">
        <v>664</v>
      </c>
      <c r="C1324" s="1" t="s">
        <v>834</v>
      </c>
      <c r="D1324" s="1" t="s">
        <v>835</v>
      </c>
      <c r="E1324" s="1" t="n">
        <v>20171</v>
      </c>
      <c r="F1324" s="1" t="s">
        <v>208</v>
      </c>
      <c r="G1324" s="1" t="s">
        <v>14</v>
      </c>
      <c r="H1324" s="1" t="n">
        <v>4</v>
      </c>
      <c r="I1324" s="1" t="n">
        <v>0</v>
      </c>
      <c r="J1324" s="1" t="n">
        <v>20201</v>
      </c>
      <c r="L1324" s="1" t="str">
        <f aca="false">IF(D1323&lt;&gt;D1324,D1324,"")</f>
        <v/>
      </c>
      <c r="M1324" s="1" t="str">
        <f aca="false">IF(F1323&lt;&gt;F1324,F1324,"")</f>
        <v/>
      </c>
    </row>
    <row r="1325" customFormat="false" ht="15" hidden="false" customHeight="false" outlineLevel="0" collapsed="false">
      <c r="A1325" s="1" t="s">
        <v>721</v>
      </c>
      <c r="B1325" s="1" t="s">
        <v>722</v>
      </c>
      <c r="C1325" s="1" t="s">
        <v>834</v>
      </c>
      <c r="D1325" s="1" t="s">
        <v>835</v>
      </c>
      <c r="E1325" s="1" t="n">
        <v>20171</v>
      </c>
      <c r="F1325" s="1" t="s">
        <v>208</v>
      </c>
      <c r="G1325" s="1" t="s">
        <v>14</v>
      </c>
      <c r="H1325" s="1" t="n">
        <v>4</v>
      </c>
      <c r="I1325" s="1" t="n">
        <v>0</v>
      </c>
      <c r="J1325" s="1" t="n">
        <v>20201</v>
      </c>
      <c r="L1325" s="1" t="str">
        <f aca="false">IF(D1324&lt;&gt;D1325,D1325,"")</f>
        <v/>
      </c>
      <c r="M1325" s="1" t="str">
        <f aca="false">IF(F1324&lt;&gt;F1325,F1325,"")</f>
        <v/>
      </c>
    </row>
    <row r="1326" customFormat="false" ht="15" hidden="false" customHeight="false" outlineLevel="0" collapsed="false">
      <c r="A1326" s="1" t="s">
        <v>665</v>
      </c>
      <c r="B1326" s="1" t="s">
        <v>666</v>
      </c>
      <c r="C1326" s="1" t="s">
        <v>834</v>
      </c>
      <c r="D1326" s="1" t="s">
        <v>835</v>
      </c>
      <c r="E1326" s="1" t="n">
        <v>20171</v>
      </c>
      <c r="F1326" s="1" t="s">
        <v>208</v>
      </c>
      <c r="G1326" s="1" t="s">
        <v>15</v>
      </c>
      <c r="H1326" s="1" t="n">
        <v>3.5</v>
      </c>
      <c r="I1326" s="1" t="n">
        <v>0</v>
      </c>
      <c r="J1326" s="1" t="n">
        <v>20201</v>
      </c>
      <c r="L1326" s="1" t="str">
        <f aca="false">IF(D1325&lt;&gt;D1326,D1326,"")</f>
        <v/>
      </c>
      <c r="M1326" s="1" t="str">
        <f aca="false">IF(F1325&lt;&gt;F1326,F1326,"")</f>
        <v/>
      </c>
    </row>
    <row r="1327" customFormat="false" ht="15" hidden="false" customHeight="false" outlineLevel="0" collapsed="false">
      <c r="A1327" s="1" t="s">
        <v>723</v>
      </c>
      <c r="B1327" s="1" t="s">
        <v>724</v>
      </c>
      <c r="C1327" s="1" t="s">
        <v>834</v>
      </c>
      <c r="D1327" s="1" t="s">
        <v>835</v>
      </c>
      <c r="E1327" s="1" t="n">
        <v>20171</v>
      </c>
      <c r="F1327" s="1" t="s">
        <v>208</v>
      </c>
      <c r="G1327" s="1" t="s">
        <v>14</v>
      </c>
      <c r="H1327" s="1" t="n">
        <v>4</v>
      </c>
      <c r="I1327" s="1" t="n">
        <v>0</v>
      </c>
      <c r="J1327" s="1" t="n">
        <v>20201</v>
      </c>
      <c r="L1327" s="1" t="str">
        <f aca="false">IF(D1326&lt;&gt;D1327,D1327,"")</f>
        <v/>
      </c>
      <c r="M1327" s="1" t="str">
        <f aca="false">IF(F1326&lt;&gt;F1327,F1327,"")</f>
        <v/>
      </c>
    </row>
    <row r="1328" customFormat="false" ht="15" hidden="false" customHeight="false" outlineLevel="0" collapsed="false">
      <c r="A1328" s="1" t="s">
        <v>725</v>
      </c>
      <c r="B1328" s="1" t="s">
        <v>726</v>
      </c>
      <c r="C1328" s="1" t="s">
        <v>834</v>
      </c>
      <c r="D1328" s="1" t="s">
        <v>835</v>
      </c>
      <c r="E1328" s="1" t="n">
        <v>20171</v>
      </c>
      <c r="F1328" s="1" t="s">
        <v>208</v>
      </c>
      <c r="G1328" s="1" t="s">
        <v>14</v>
      </c>
      <c r="H1328" s="1" t="n">
        <v>4</v>
      </c>
      <c r="I1328" s="1" t="n">
        <v>0</v>
      </c>
      <c r="J1328" s="1" t="n">
        <v>20201</v>
      </c>
      <c r="L1328" s="1" t="str">
        <f aca="false">IF(D1327&lt;&gt;D1328,D1328,"")</f>
        <v/>
      </c>
      <c r="M1328" s="1" t="str">
        <f aca="false">IF(F1327&lt;&gt;F1328,F1328,"")</f>
        <v/>
      </c>
    </row>
    <row r="1329" customFormat="false" ht="15" hidden="false" customHeight="false" outlineLevel="0" collapsed="false">
      <c r="A1329" s="1" t="s">
        <v>749</v>
      </c>
      <c r="B1329" s="1" t="s">
        <v>750</v>
      </c>
      <c r="C1329" s="1" t="s">
        <v>836</v>
      </c>
      <c r="D1329" s="1" t="s">
        <v>837</v>
      </c>
      <c r="E1329" s="1" t="n">
        <v>20171</v>
      </c>
      <c r="F1329" s="1" t="s">
        <v>208</v>
      </c>
      <c r="G1329" s="1" t="s">
        <v>30</v>
      </c>
      <c r="H1329" s="1" t="n">
        <v>1.5</v>
      </c>
      <c r="I1329" s="1" t="n">
        <v>0</v>
      </c>
      <c r="J1329" s="1" t="n">
        <v>20201</v>
      </c>
      <c r="L1329" s="1" t="str">
        <f aca="false">IF(D1328&lt;&gt;D1329,D1329,"")</f>
        <v>MANAJEMEN OPERASI SISTEM TENAGA</v>
      </c>
      <c r="M1329" s="1" t="str">
        <f aca="false">IF(F1328&lt;&gt;F1329,F1329,"")</f>
        <v/>
      </c>
    </row>
    <row r="1330" customFormat="false" ht="15" hidden="false" customHeight="false" outlineLevel="0" collapsed="false">
      <c r="A1330" s="1" t="s">
        <v>204</v>
      </c>
      <c r="B1330" s="1" t="s">
        <v>205</v>
      </c>
      <c r="C1330" s="1" t="s">
        <v>836</v>
      </c>
      <c r="D1330" s="1" t="s">
        <v>837</v>
      </c>
      <c r="E1330" s="1" t="n">
        <v>20171</v>
      </c>
      <c r="F1330" s="1" t="s">
        <v>208</v>
      </c>
      <c r="G1330" s="1" t="s">
        <v>101</v>
      </c>
      <c r="H1330" s="1" t="n">
        <v>2.5</v>
      </c>
      <c r="I1330" s="1" t="n">
        <v>0</v>
      </c>
      <c r="J1330" s="1" t="n">
        <v>20201</v>
      </c>
      <c r="L1330" s="1" t="str">
        <f aca="false">IF(D1329&lt;&gt;D1330,D1330,"")</f>
        <v/>
      </c>
      <c r="M1330" s="1" t="str">
        <f aca="false">IF(F1329&lt;&gt;F1330,F1330,"")</f>
        <v/>
      </c>
    </row>
    <row r="1331" customFormat="false" ht="15" hidden="false" customHeight="false" outlineLevel="0" collapsed="false">
      <c r="A1331" s="1" t="s">
        <v>643</v>
      </c>
      <c r="B1331" s="1" t="s">
        <v>644</v>
      </c>
      <c r="C1331" s="1" t="s">
        <v>836</v>
      </c>
      <c r="D1331" s="1" t="s">
        <v>837</v>
      </c>
      <c r="E1331" s="1" t="n">
        <v>20171</v>
      </c>
      <c r="F1331" s="1" t="s">
        <v>208</v>
      </c>
      <c r="G1331" s="1" t="s">
        <v>124</v>
      </c>
      <c r="H1331" s="1" t="n">
        <v>0</v>
      </c>
      <c r="I1331" s="1" t="n">
        <v>0</v>
      </c>
      <c r="J1331" s="1" t="n">
        <v>20201</v>
      </c>
      <c r="L1331" s="1" t="str">
        <f aca="false">IF(D1330&lt;&gt;D1331,D1331,"")</f>
        <v/>
      </c>
      <c r="M1331" s="1" t="str">
        <f aca="false">IF(F1330&lt;&gt;F1331,F1331,"")</f>
        <v/>
      </c>
    </row>
    <row r="1332" customFormat="false" ht="15" hidden="false" customHeight="false" outlineLevel="0" collapsed="false">
      <c r="A1332" s="1" t="s">
        <v>798</v>
      </c>
      <c r="B1332" s="1" t="s">
        <v>799</v>
      </c>
      <c r="C1332" s="1" t="s">
        <v>836</v>
      </c>
      <c r="D1332" s="1" t="s">
        <v>837</v>
      </c>
      <c r="E1332" s="1" t="n">
        <v>20171</v>
      </c>
      <c r="F1332" s="1" t="s">
        <v>208</v>
      </c>
      <c r="G1332" s="1" t="s">
        <v>30</v>
      </c>
      <c r="H1332" s="1" t="n">
        <v>1.5</v>
      </c>
      <c r="I1332" s="1" t="n">
        <v>0</v>
      </c>
      <c r="J1332" s="1" t="n">
        <v>20201</v>
      </c>
      <c r="L1332" s="1" t="str">
        <f aca="false">IF(D1331&lt;&gt;D1332,D1332,"")</f>
        <v/>
      </c>
      <c r="M1332" s="1" t="str">
        <f aca="false">IF(F1331&lt;&gt;F1332,F1332,"")</f>
        <v/>
      </c>
    </row>
    <row r="1333" customFormat="false" ht="15" hidden="false" customHeight="false" outlineLevel="0" collapsed="false">
      <c r="A1333" s="1" t="s">
        <v>733</v>
      </c>
      <c r="B1333" s="1" t="s">
        <v>734</v>
      </c>
      <c r="C1333" s="1" t="s">
        <v>836</v>
      </c>
      <c r="D1333" s="1" t="s">
        <v>837</v>
      </c>
      <c r="E1333" s="1" t="n">
        <v>20171</v>
      </c>
      <c r="F1333" s="1" t="s">
        <v>208</v>
      </c>
      <c r="G1333" s="1" t="s">
        <v>23</v>
      </c>
      <c r="H1333" s="1" t="n">
        <v>0</v>
      </c>
      <c r="I1333" s="1" t="n">
        <v>0</v>
      </c>
      <c r="J1333" s="1" t="n">
        <v>20201</v>
      </c>
      <c r="L1333" s="1" t="str">
        <f aca="false">IF(D1332&lt;&gt;D1333,D1333,"")</f>
        <v/>
      </c>
      <c r="M1333" s="1" t="str">
        <f aca="false">IF(F1332&lt;&gt;F1333,F1333,"")</f>
        <v/>
      </c>
    </row>
    <row r="1334" customFormat="false" ht="15" hidden="false" customHeight="false" outlineLevel="0" collapsed="false">
      <c r="A1334" s="1" t="s">
        <v>651</v>
      </c>
      <c r="B1334" s="1" t="s">
        <v>652</v>
      </c>
      <c r="C1334" s="1" t="s">
        <v>836</v>
      </c>
      <c r="D1334" s="1" t="s">
        <v>837</v>
      </c>
      <c r="E1334" s="1" t="n">
        <v>20171</v>
      </c>
      <c r="F1334" s="1" t="s">
        <v>208</v>
      </c>
      <c r="G1334" s="1" t="s">
        <v>15</v>
      </c>
      <c r="H1334" s="1" t="n">
        <v>3.5</v>
      </c>
      <c r="I1334" s="1" t="n">
        <v>0</v>
      </c>
      <c r="J1334" s="1" t="n">
        <v>20201</v>
      </c>
      <c r="L1334" s="1" t="str">
        <f aca="false">IF(D1333&lt;&gt;D1334,D1334,"")</f>
        <v/>
      </c>
      <c r="M1334" s="1" t="str">
        <f aca="false">IF(F1333&lt;&gt;F1334,F1334,"")</f>
        <v/>
      </c>
    </row>
    <row r="1335" customFormat="false" ht="15" hidden="false" customHeight="false" outlineLevel="0" collapsed="false">
      <c r="A1335" s="1" t="s">
        <v>735</v>
      </c>
      <c r="B1335" s="1" t="s">
        <v>736</v>
      </c>
      <c r="C1335" s="1" t="s">
        <v>836</v>
      </c>
      <c r="D1335" s="1" t="s">
        <v>837</v>
      </c>
      <c r="E1335" s="1" t="n">
        <v>20171</v>
      </c>
      <c r="F1335" s="1" t="s">
        <v>208</v>
      </c>
      <c r="G1335" s="1" t="s">
        <v>30</v>
      </c>
      <c r="H1335" s="1" t="n">
        <v>1.5</v>
      </c>
      <c r="I1335" s="1" t="n">
        <v>0</v>
      </c>
      <c r="J1335" s="1" t="n">
        <v>20201</v>
      </c>
      <c r="L1335" s="1" t="str">
        <f aca="false">IF(D1334&lt;&gt;D1335,D1335,"")</f>
        <v/>
      </c>
      <c r="M1335" s="1" t="str">
        <f aca="false">IF(F1334&lt;&gt;F1335,F1335,"")</f>
        <v/>
      </c>
    </row>
    <row r="1336" customFormat="false" ht="15" hidden="false" customHeight="false" outlineLevel="0" collapsed="false">
      <c r="A1336" s="1" t="s">
        <v>755</v>
      </c>
      <c r="B1336" s="1" t="s">
        <v>756</v>
      </c>
      <c r="C1336" s="1" t="s">
        <v>836</v>
      </c>
      <c r="D1336" s="1" t="s">
        <v>837</v>
      </c>
      <c r="E1336" s="1" t="n">
        <v>20171</v>
      </c>
      <c r="F1336" s="1" t="s">
        <v>208</v>
      </c>
      <c r="G1336" s="1" t="s">
        <v>18</v>
      </c>
      <c r="H1336" s="1" t="n">
        <v>3</v>
      </c>
      <c r="I1336" s="1" t="n">
        <v>0</v>
      </c>
      <c r="J1336" s="1" t="n">
        <v>20201</v>
      </c>
      <c r="L1336" s="1" t="str">
        <f aca="false">IF(D1335&lt;&gt;D1336,D1336,"")</f>
        <v/>
      </c>
      <c r="M1336" s="1" t="str">
        <f aca="false">IF(F1335&lt;&gt;F1336,F1336,"")</f>
        <v/>
      </c>
    </row>
    <row r="1337" customFormat="false" ht="15" hidden="false" customHeight="false" outlineLevel="0" collapsed="false">
      <c r="A1337" s="1" t="s">
        <v>575</v>
      </c>
      <c r="B1337" s="1" t="s">
        <v>576</v>
      </c>
      <c r="C1337" s="1" t="s">
        <v>836</v>
      </c>
      <c r="D1337" s="1" t="s">
        <v>837</v>
      </c>
      <c r="E1337" s="1" t="n">
        <v>20171</v>
      </c>
      <c r="F1337" s="1" t="s">
        <v>208</v>
      </c>
      <c r="G1337" s="1" t="s">
        <v>23</v>
      </c>
      <c r="H1337" s="1" t="n">
        <v>0</v>
      </c>
      <c r="I1337" s="1" t="n">
        <v>0</v>
      </c>
      <c r="J1337" s="1" t="n">
        <v>20201</v>
      </c>
      <c r="L1337" s="1" t="str">
        <f aca="false">IF(D1336&lt;&gt;D1337,D1337,"")</f>
        <v/>
      </c>
      <c r="M1337" s="1" t="str">
        <f aca="false">IF(F1336&lt;&gt;F1337,F1337,"")</f>
        <v/>
      </c>
    </row>
    <row r="1338" customFormat="false" ht="15" hidden="false" customHeight="false" outlineLevel="0" collapsed="false">
      <c r="A1338" s="1" t="s">
        <v>601</v>
      </c>
      <c r="B1338" s="1" t="s">
        <v>602</v>
      </c>
      <c r="C1338" s="1" t="s">
        <v>836</v>
      </c>
      <c r="D1338" s="1" t="s">
        <v>837</v>
      </c>
      <c r="E1338" s="1" t="n">
        <v>20171</v>
      </c>
      <c r="F1338" s="1" t="s">
        <v>208</v>
      </c>
      <c r="G1338" s="1" t="s">
        <v>23</v>
      </c>
      <c r="H1338" s="1" t="n">
        <v>0</v>
      </c>
      <c r="I1338" s="1" t="n">
        <v>0</v>
      </c>
      <c r="J1338" s="1" t="n">
        <v>20201</v>
      </c>
      <c r="L1338" s="1" t="str">
        <f aca="false">IF(D1337&lt;&gt;D1338,D1338,"")</f>
        <v/>
      </c>
      <c r="M1338" s="1" t="str">
        <f aca="false">IF(F1337&lt;&gt;F1338,F1338,"")</f>
        <v/>
      </c>
    </row>
    <row r="1339" customFormat="false" ht="15" hidden="false" customHeight="false" outlineLevel="0" collapsed="false">
      <c r="A1339" s="1" t="s">
        <v>737</v>
      </c>
      <c r="B1339" s="1" t="s">
        <v>738</v>
      </c>
      <c r="C1339" s="1" t="s">
        <v>836</v>
      </c>
      <c r="D1339" s="1" t="s">
        <v>837</v>
      </c>
      <c r="E1339" s="1" t="n">
        <v>20171</v>
      </c>
      <c r="F1339" s="1" t="s">
        <v>208</v>
      </c>
      <c r="G1339" s="1" t="s">
        <v>23</v>
      </c>
      <c r="H1339" s="1" t="n">
        <v>0</v>
      </c>
      <c r="I1339" s="1" t="n">
        <v>0</v>
      </c>
      <c r="J1339" s="1" t="n">
        <v>20201</v>
      </c>
      <c r="L1339" s="1" t="str">
        <f aca="false">IF(D1338&lt;&gt;D1339,D1339,"")</f>
        <v/>
      </c>
      <c r="M1339" s="1" t="str">
        <f aca="false">IF(F1338&lt;&gt;F1339,F1339,"")</f>
        <v/>
      </c>
    </row>
    <row r="1340" customFormat="false" ht="15" hidden="false" customHeight="false" outlineLevel="0" collapsed="false">
      <c r="A1340" s="1" t="s">
        <v>810</v>
      </c>
      <c r="B1340" s="1" t="s">
        <v>811</v>
      </c>
      <c r="C1340" s="1" t="s">
        <v>836</v>
      </c>
      <c r="D1340" s="1" t="s">
        <v>837</v>
      </c>
      <c r="E1340" s="1" t="n">
        <v>20171</v>
      </c>
      <c r="F1340" s="1" t="s">
        <v>208</v>
      </c>
      <c r="G1340" s="1" t="s">
        <v>15</v>
      </c>
      <c r="H1340" s="1" t="n">
        <v>3.5</v>
      </c>
      <c r="I1340" s="1" t="n">
        <v>0</v>
      </c>
      <c r="J1340" s="1" t="n">
        <v>20201</v>
      </c>
      <c r="L1340" s="1" t="str">
        <f aca="false">IF(D1339&lt;&gt;D1340,D1340,"")</f>
        <v/>
      </c>
      <c r="M1340" s="1" t="str">
        <f aca="false">IF(F1339&lt;&gt;F1340,F1340,"")</f>
        <v/>
      </c>
    </row>
    <row r="1341" customFormat="false" ht="15" hidden="false" customHeight="false" outlineLevel="0" collapsed="false">
      <c r="A1341" s="1" t="s">
        <v>812</v>
      </c>
      <c r="B1341" s="1" t="s">
        <v>813</v>
      </c>
      <c r="C1341" s="1" t="s">
        <v>836</v>
      </c>
      <c r="D1341" s="1" t="s">
        <v>837</v>
      </c>
      <c r="E1341" s="1" t="n">
        <v>20171</v>
      </c>
      <c r="F1341" s="1" t="s">
        <v>208</v>
      </c>
      <c r="G1341" s="1" t="s">
        <v>127</v>
      </c>
      <c r="H1341" s="1" t="n">
        <v>2</v>
      </c>
      <c r="I1341" s="1" t="n">
        <v>0</v>
      </c>
      <c r="J1341" s="1" t="n">
        <v>20201</v>
      </c>
      <c r="L1341" s="1" t="str">
        <f aca="false">IF(D1340&lt;&gt;D1341,D1341,"")</f>
        <v/>
      </c>
      <c r="M1341" s="1" t="str">
        <f aca="false">IF(F1340&lt;&gt;F1341,F1341,"")</f>
        <v/>
      </c>
    </row>
    <row r="1342" customFormat="false" ht="15" hidden="false" customHeight="false" outlineLevel="0" collapsed="false">
      <c r="A1342" s="1" t="s">
        <v>627</v>
      </c>
      <c r="B1342" s="1" t="s">
        <v>628</v>
      </c>
      <c r="C1342" s="1" t="s">
        <v>836</v>
      </c>
      <c r="D1342" s="1" t="s">
        <v>837</v>
      </c>
      <c r="E1342" s="1" t="n">
        <v>20171</v>
      </c>
      <c r="F1342" s="1" t="s">
        <v>208</v>
      </c>
      <c r="G1342" s="1" t="s">
        <v>514</v>
      </c>
      <c r="H1342" s="1" t="n">
        <v>1</v>
      </c>
      <c r="I1342" s="1" t="n">
        <v>0</v>
      </c>
      <c r="J1342" s="1" t="n">
        <v>20201</v>
      </c>
      <c r="L1342" s="1" t="str">
        <f aca="false">IF(D1341&lt;&gt;D1342,D1342,"")</f>
        <v/>
      </c>
      <c r="M1342" s="1" t="str">
        <f aca="false">IF(F1341&lt;&gt;F1342,F1342,"")</f>
        <v/>
      </c>
    </row>
    <row r="1343" customFormat="false" ht="15" hidden="false" customHeight="false" outlineLevel="0" collapsed="false">
      <c r="A1343" s="1" t="s">
        <v>589</v>
      </c>
      <c r="B1343" s="1" t="s">
        <v>590</v>
      </c>
      <c r="C1343" s="1" t="s">
        <v>836</v>
      </c>
      <c r="D1343" s="1" t="s">
        <v>837</v>
      </c>
      <c r="E1343" s="1" t="n">
        <v>20171</v>
      </c>
      <c r="F1343" s="1" t="s">
        <v>208</v>
      </c>
      <c r="G1343" s="1" t="s">
        <v>30</v>
      </c>
      <c r="H1343" s="1" t="n">
        <v>1.5</v>
      </c>
      <c r="I1343" s="1" t="n">
        <v>0</v>
      </c>
      <c r="J1343" s="1" t="n">
        <v>20201</v>
      </c>
      <c r="L1343" s="1" t="str">
        <f aca="false">IF(D1342&lt;&gt;D1343,D1343,"")</f>
        <v/>
      </c>
      <c r="M1343" s="1" t="str">
        <f aca="false">IF(F1342&lt;&gt;F1343,F1343,"")</f>
        <v/>
      </c>
    </row>
    <row r="1344" customFormat="false" ht="15" hidden="false" customHeight="false" outlineLevel="0" collapsed="false">
      <c r="A1344" s="1" t="s">
        <v>769</v>
      </c>
      <c r="B1344" s="1" t="s">
        <v>770</v>
      </c>
      <c r="C1344" s="1" t="s">
        <v>836</v>
      </c>
      <c r="D1344" s="1" t="s">
        <v>837</v>
      </c>
      <c r="E1344" s="1" t="n">
        <v>20171</v>
      </c>
      <c r="F1344" s="1" t="s">
        <v>208</v>
      </c>
      <c r="G1344" s="1" t="s">
        <v>30</v>
      </c>
      <c r="H1344" s="1" t="n">
        <v>1.5</v>
      </c>
      <c r="I1344" s="1" t="n">
        <v>0</v>
      </c>
      <c r="J1344" s="1" t="n">
        <v>20201</v>
      </c>
      <c r="L1344" s="1" t="str">
        <f aca="false">IF(D1343&lt;&gt;D1344,D1344,"")</f>
        <v/>
      </c>
      <c r="M1344" s="1" t="str">
        <f aca="false">IF(F1343&lt;&gt;F1344,F1344,"")</f>
        <v/>
      </c>
    </row>
    <row r="1345" customFormat="false" ht="15" hidden="false" customHeight="false" outlineLevel="0" collapsed="false">
      <c r="A1345" s="1" t="s">
        <v>771</v>
      </c>
      <c r="B1345" s="1" t="s">
        <v>772</v>
      </c>
      <c r="C1345" s="1" t="s">
        <v>836</v>
      </c>
      <c r="D1345" s="1" t="s">
        <v>837</v>
      </c>
      <c r="E1345" s="1" t="n">
        <v>20171</v>
      </c>
      <c r="F1345" s="1" t="s">
        <v>208</v>
      </c>
      <c r="G1345" s="1" t="s">
        <v>101</v>
      </c>
      <c r="H1345" s="1" t="n">
        <v>2.5</v>
      </c>
      <c r="I1345" s="1" t="n">
        <v>0</v>
      </c>
      <c r="J1345" s="1" t="n">
        <v>20201</v>
      </c>
      <c r="L1345" s="1" t="str">
        <f aca="false">IF(D1344&lt;&gt;D1345,D1345,"")</f>
        <v/>
      </c>
      <c r="M1345" s="1" t="str">
        <f aca="false">IF(F1344&lt;&gt;F1345,F1345,"")</f>
        <v/>
      </c>
    </row>
    <row r="1346" customFormat="false" ht="15" hidden="false" customHeight="false" outlineLevel="0" collapsed="false">
      <c r="A1346" s="1" t="s">
        <v>826</v>
      </c>
      <c r="B1346" s="1" t="s">
        <v>827</v>
      </c>
      <c r="C1346" s="1" t="s">
        <v>836</v>
      </c>
      <c r="D1346" s="1" t="s">
        <v>837</v>
      </c>
      <c r="E1346" s="1" t="n">
        <v>20171</v>
      </c>
      <c r="F1346" s="1" t="s">
        <v>208</v>
      </c>
      <c r="G1346" s="1" t="s">
        <v>15</v>
      </c>
      <c r="H1346" s="1" t="n">
        <v>3.5</v>
      </c>
      <c r="I1346" s="1" t="n">
        <v>0</v>
      </c>
      <c r="J1346" s="1" t="n">
        <v>20201</v>
      </c>
      <c r="L1346" s="1" t="str">
        <f aca="false">IF(D1345&lt;&gt;D1346,D1346,"")</f>
        <v/>
      </c>
      <c r="M1346" s="1" t="str">
        <f aca="false">IF(F1345&lt;&gt;F1346,F1346,"")</f>
        <v/>
      </c>
    </row>
    <row r="1347" customFormat="false" ht="15" hidden="false" customHeight="false" outlineLevel="0" collapsed="false">
      <c r="A1347" s="1" t="s">
        <v>773</v>
      </c>
      <c r="B1347" s="1" t="s">
        <v>774</v>
      </c>
      <c r="C1347" s="1" t="s">
        <v>836</v>
      </c>
      <c r="D1347" s="1" t="s">
        <v>837</v>
      </c>
      <c r="E1347" s="1" t="n">
        <v>20171</v>
      </c>
      <c r="F1347" s="1" t="s">
        <v>208</v>
      </c>
      <c r="G1347" s="1" t="s">
        <v>127</v>
      </c>
      <c r="H1347" s="1" t="n">
        <v>2</v>
      </c>
      <c r="I1347" s="1" t="n">
        <v>0</v>
      </c>
      <c r="J1347" s="1" t="n">
        <v>20201</v>
      </c>
      <c r="L1347" s="1" t="str">
        <f aca="false">IF(D1346&lt;&gt;D1347,D1347,"")</f>
        <v/>
      </c>
      <c r="M1347" s="1" t="str">
        <f aca="false">IF(F1346&lt;&gt;F1347,F1347,"")</f>
        <v/>
      </c>
    </row>
    <row r="1348" customFormat="false" ht="15" hidden="false" customHeight="false" outlineLevel="0" collapsed="false">
      <c r="A1348" s="1" t="s">
        <v>202</v>
      </c>
      <c r="B1348" s="1" t="s">
        <v>203</v>
      </c>
      <c r="C1348" s="1" t="s">
        <v>836</v>
      </c>
      <c r="D1348" s="1" t="s">
        <v>837</v>
      </c>
      <c r="E1348" s="1" t="n">
        <v>20171</v>
      </c>
      <c r="F1348" s="1" t="s">
        <v>208</v>
      </c>
      <c r="G1348" s="1" t="s">
        <v>30</v>
      </c>
      <c r="H1348" s="1" t="n">
        <v>1.5</v>
      </c>
      <c r="I1348" s="1" t="n">
        <v>0</v>
      </c>
      <c r="J1348" s="1" t="n">
        <v>20201</v>
      </c>
      <c r="L1348" s="1" t="str">
        <f aca="false">IF(D1347&lt;&gt;D1348,D1348,"")</f>
        <v/>
      </c>
      <c r="M1348" s="1" t="str">
        <f aca="false">IF(F1347&lt;&gt;F1348,F1348,"")</f>
        <v/>
      </c>
    </row>
    <row r="1349" customFormat="false" ht="15" hidden="false" customHeight="false" outlineLevel="0" collapsed="false">
      <c r="A1349" s="1" t="s">
        <v>751</v>
      </c>
      <c r="B1349" s="1" t="s">
        <v>752</v>
      </c>
      <c r="C1349" s="1" t="s">
        <v>836</v>
      </c>
      <c r="D1349" s="1" t="s">
        <v>837</v>
      </c>
      <c r="E1349" s="1" t="n">
        <v>20171</v>
      </c>
      <c r="F1349" s="1" t="s">
        <v>208</v>
      </c>
      <c r="G1349" s="1" t="s">
        <v>127</v>
      </c>
      <c r="H1349" s="1" t="n">
        <v>2</v>
      </c>
      <c r="I1349" s="1" t="n">
        <v>0</v>
      </c>
      <c r="J1349" s="1" t="n">
        <v>20201</v>
      </c>
      <c r="L1349" s="1" t="str">
        <f aca="false">IF(D1348&lt;&gt;D1349,D1349,"")</f>
        <v/>
      </c>
      <c r="M1349" s="1" t="str">
        <f aca="false">IF(F1348&lt;&gt;F1349,F1349,"")</f>
        <v/>
      </c>
    </row>
    <row r="1350" customFormat="false" ht="15" hidden="false" customHeight="false" outlineLevel="0" collapsed="false">
      <c r="A1350" s="1" t="s">
        <v>739</v>
      </c>
      <c r="B1350" s="1" t="s">
        <v>740</v>
      </c>
      <c r="C1350" s="1" t="s">
        <v>836</v>
      </c>
      <c r="D1350" s="1" t="s">
        <v>837</v>
      </c>
      <c r="E1350" s="1" t="n">
        <v>20171</v>
      </c>
      <c r="F1350" s="1" t="s">
        <v>208</v>
      </c>
      <c r="G1350" s="1" t="s">
        <v>23</v>
      </c>
      <c r="H1350" s="1" t="n">
        <v>0</v>
      </c>
      <c r="I1350" s="1" t="n">
        <v>0</v>
      </c>
      <c r="J1350" s="1" t="n">
        <v>20201</v>
      </c>
      <c r="L1350" s="1" t="str">
        <f aca="false">IF(D1349&lt;&gt;D1350,D1350,"")</f>
        <v/>
      </c>
      <c r="M1350" s="1" t="str">
        <f aca="false">IF(F1349&lt;&gt;F1350,F1350,"")</f>
        <v/>
      </c>
    </row>
    <row r="1351" customFormat="false" ht="15" hidden="false" customHeight="false" outlineLevel="0" collapsed="false">
      <c r="A1351" s="1" t="s">
        <v>209</v>
      </c>
      <c r="B1351" s="1" t="s">
        <v>210</v>
      </c>
      <c r="C1351" s="1" t="s">
        <v>836</v>
      </c>
      <c r="D1351" s="1" t="s">
        <v>837</v>
      </c>
      <c r="E1351" s="1" t="n">
        <v>20171</v>
      </c>
      <c r="F1351" s="1" t="s">
        <v>208</v>
      </c>
      <c r="G1351" s="1" t="s">
        <v>18</v>
      </c>
      <c r="H1351" s="1" t="n">
        <v>3</v>
      </c>
      <c r="I1351" s="1" t="n">
        <v>0</v>
      </c>
      <c r="J1351" s="1" t="n">
        <v>20201</v>
      </c>
      <c r="L1351" s="1" t="str">
        <f aca="false">IF(D1350&lt;&gt;D1351,D1351,"")</f>
        <v/>
      </c>
      <c r="M1351" s="1" t="str">
        <f aca="false">IF(F1350&lt;&gt;F1351,F1351,"")</f>
        <v/>
      </c>
    </row>
    <row r="1352" customFormat="false" ht="15" hidden="false" customHeight="false" outlineLevel="0" collapsed="false">
      <c r="A1352" s="1" t="s">
        <v>225</v>
      </c>
      <c r="B1352" s="1" t="s">
        <v>226</v>
      </c>
      <c r="C1352" s="1" t="s">
        <v>836</v>
      </c>
      <c r="D1352" s="1" t="s">
        <v>837</v>
      </c>
      <c r="E1352" s="1" t="n">
        <v>20171</v>
      </c>
      <c r="F1352" s="1" t="s">
        <v>208</v>
      </c>
      <c r="G1352" s="1" t="s">
        <v>124</v>
      </c>
      <c r="H1352" s="1" t="n">
        <v>0</v>
      </c>
      <c r="I1352" s="1" t="n">
        <v>0</v>
      </c>
      <c r="J1352" s="1" t="n">
        <v>20201</v>
      </c>
      <c r="L1352" s="1" t="str">
        <f aca="false">IF(D1351&lt;&gt;D1352,D1352,"")</f>
        <v/>
      </c>
      <c r="M1352" s="1" t="str">
        <f aca="false">IF(F1351&lt;&gt;F1352,F1352,"")</f>
        <v/>
      </c>
    </row>
    <row r="1353" customFormat="false" ht="15" hidden="false" customHeight="false" outlineLevel="0" collapsed="false">
      <c r="A1353" s="1" t="s">
        <v>581</v>
      </c>
      <c r="B1353" s="1" t="s">
        <v>582</v>
      </c>
      <c r="C1353" s="1" t="s">
        <v>838</v>
      </c>
      <c r="D1353" s="1" t="s">
        <v>839</v>
      </c>
      <c r="E1353" s="1" t="n">
        <v>20171</v>
      </c>
      <c r="F1353" s="1" t="s">
        <v>303</v>
      </c>
      <c r="G1353" s="1" t="s">
        <v>514</v>
      </c>
      <c r="H1353" s="1" t="n">
        <v>1</v>
      </c>
      <c r="I1353" s="1" t="n">
        <v>0</v>
      </c>
      <c r="J1353" s="1" t="n">
        <v>20201</v>
      </c>
      <c r="L1353" s="1" t="str">
        <f aca="false">IF(D1352&lt;&gt;D1353,D1353,"")</f>
        <v>MATEMATIKA DASAR</v>
      </c>
      <c r="M1353" s="1" t="str">
        <f aca="false">IF(F1352&lt;&gt;F1353,F1353,"")</f>
        <v>TPB</v>
      </c>
    </row>
    <row r="1354" customFormat="false" ht="15" hidden="false" customHeight="false" outlineLevel="0" collapsed="false">
      <c r="A1354" s="1" t="s">
        <v>671</v>
      </c>
      <c r="B1354" s="1" t="s">
        <v>672</v>
      </c>
      <c r="C1354" s="1" t="s">
        <v>838</v>
      </c>
      <c r="D1354" s="1" t="s">
        <v>839</v>
      </c>
      <c r="E1354" s="1" t="n">
        <v>20171</v>
      </c>
      <c r="F1354" s="1" t="s">
        <v>303</v>
      </c>
      <c r="G1354" s="1" t="s">
        <v>18</v>
      </c>
      <c r="H1354" s="1" t="n">
        <v>3</v>
      </c>
      <c r="I1354" s="1" t="n">
        <v>0</v>
      </c>
      <c r="J1354" s="1" t="n">
        <v>20201</v>
      </c>
      <c r="L1354" s="1" t="str">
        <f aca="false">IF(D1353&lt;&gt;D1354,D1354,"")</f>
        <v/>
      </c>
      <c r="M1354" s="1" t="str">
        <f aca="false">IF(F1353&lt;&gt;F1354,F1354,"")</f>
        <v/>
      </c>
    </row>
    <row r="1355" customFormat="false" ht="15" hidden="false" customHeight="false" outlineLevel="0" collapsed="false">
      <c r="A1355" s="1" t="s">
        <v>314</v>
      </c>
      <c r="B1355" s="1" t="s">
        <v>315</v>
      </c>
      <c r="C1355" s="1" t="s">
        <v>838</v>
      </c>
      <c r="D1355" s="1" t="s">
        <v>839</v>
      </c>
      <c r="E1355" s="1" t="n">
        <v>20171</v>
      </c>
      <c r="F1355" s="1" t="s">
        <v>303</v>
      </c>
      <c r="G1355" s="1" t="s">
        <v>18</v>
      </c>
      <c r="H1355" s="1" t="n">
        <v>3</v>
      </c>
      <c r="I1355" s="1" t="n">
        <v>0</v>
      </c>
      <c r="J1355" s="1" t="n">
        <v>20201</v>
      </c>
      <c r="L1355" s="1" t="str">
        <f aca="false">IF(D1354&lt;&gt;D1355,D1355,"")</f>
        <v/>
      </c>
      <c r="M1355" s="1" t="str">
        <f aca="false">IF(F1354&lt;&gt;F1355,F1355,"")</f>
        <v/>
      </c>
    </row>
    <row r="1356" customFormat="false" ht="15" hidden="false" customHeight="false" outlineLevel="0" collapsed="false">
      <c r="A1356" s="1" t="s">
        <v>316</v>
      </c>
      <c r="B1356" s="1" t="s">
        <v>317</v>
      </c>
      <c r="C1356" s="1" t="s">
        <v>838</v>
      </c>
      <c r="D1356" s="1" t="s">
        <v>839</v>
      </c>
      <c r="E1356" s="1" t="n">
        <v>20171</v>
      </c>
      <c r="F1356" s="1" t="s">
        <v>303</v>
      </c>
      <c r="G1356" s="1" t="s">
        <v>18</v>
      </c>
      <c r="H1356" s="1" t="n">
        <v>3</v>
      </c>
      <c r="I1356" s="1" t="n">
        <v>0</v>
      </c>
      <c r="J1356" s="1" t="n">
        <v>20201</v>
      </c>
      <c r="L1356" s="1" t="str">
        <f aca="false">IF(D1355&lt;&gt;D1356,D1356,"")</f>
        <v/>
      </c>
      <c r="M1356" s="1" t="str">
        <f aca="false">IF(F1355&lt;&gt;F1356,F1356,"")</f>
        <v/>
      </c>
    </row>
    <row r="1357" customFormat="false" ht="15" hidden="false" customHeight="false" outlineLevel="0" collapsed="false">
      <c r="A1357" s="1" t="s">
        <v>318</v>
      </c>
      <c r="B1357" s="1" t="s">
        <v>319</v>
      </c>
      <c r="C1357" s="1" t="s">
        <v>838</v>
      </c>
      <c r="D1357" s="1" t="s">
        <v>839</v>
      </c>
      <c r="E1357" s="1" t="n">
        <v>20171</v>
      </c>
      <c r="F1357" s="1" t="s">
        <v>303</v>
      </c>
      <c r="G1357" s="1" t="s">
        <v>18</v>
      </c>
      <c r="H1357" s="1" t="n">
        <v>3</v>
      </c>
      <c r="I1357" s="1" t="n">
        <v>0</v>
      </c>
      <c r="J1357" s="1" t="n">
        <v>20201</v>
      </c>
      <c r="L1357" s="1" t="str">
        <f aca="false">IF(D1356&lt;&gt;D1357,D1357,"")</f>
        <v/>
      </c>
      <c r="M1357" s="1" t="str">
        <f aca="false">IF(F1356&lt;&gt;F1357,F1357,"")</f>
        <v/>
      </c>
    </row>
    <row r="1358" customFormat="false" ht="15" hidden="false" customHeight="false" outlineLevel="0" collapsed="false">
      <c r="A1358" s="1" t="s">
        <v>320</v>
      </c>
      <c r="B1358" s="1" t="s">
        <v>321</v>
      </c>
      <c r="C1358" s="1" t="s">
        <v>838</v>
      </c>
      <c r="D1358" s="1" t="s">
        <v>839</v>
      </c>
      <c r="E1358" s="1" t="n">
        <v>20171</v>
      </c>
      <c r="F1358" s="1" t="s">
        <v>303</v>
      </c>
      <c r="G1358" s="1" t="s">
        <v>18</v>
      </c>
      <c r="H1358" s="1" t="n">
        <v>3</v>
      </c>
      <c r="I1358" s="1" t="n">
        <v>0</v>
      </c>
      <c r="J1358" s="1" t="n">
        <v>20201</v>
      </c>
      <c r="L1358" s="1" t="str">
        <f aca="false">IF(D1357&lt;&gt;D1358,D1358,"")</f>
        <v/>
      </c>
      <c r="M1358" s="1" t="str">
        <f aca="false">IF(F1357&lt;&gt;F1358,F1358,"")</f>
        <v/>
      </c>
    </row>
    <row r="1359" customFormat="false" ht="15" hidden="false" customHeight="false" outlineLevel="0" collapsed="false">
      <c r="A1359" s="1" t="s">
        <v>322</v>
      </c>
      <c r="B1359" s="1" t="s">
        <v>323</v>
      </c>
      <c r="C1359" s="1" t="s">
        <v>838</v>
      </c>
      <c r="D1359" s="1" t="s">
        <v>839</v>
      </c>
      <c r="E1359" s="1" t="n">
        <v>20171</v>
      </c>
      <c r="F1359" s="1" t="s">
        <v>303</v>
      </c>
      <c r="G1359" s="1" t="s">
        <v>18</v>
      </c>
      <c r="H1359" s="1" t="n">
        <v>3</v>
      </c>
      <c r="I1359" s="1" t="n">
        <v>0</v>
      </c>
      <c r="J1359" s="1" t="n">
        <v>20201</v>
      </c>
      <c r="L1359" s="1" t="str">
        <f aca="false">IF(D1358&lt;&gt;D1359,D1359,"")</f>
        <v/>
      </c>
      <c r="M1359" s="1" t="str">
        <f aca="false">IF(F1358&lt;&gt;F1359,F1359,"")</f>
        <v/>
      </c>
    </row>
    <row r="1360" customFormat="false" ht="15" hidden="false" customHeight="false" outlineLevel="0" collapsed="false">
      <c r="A1360" s="1" t="s">
        <v>324</v>
      </c>
      <c r="B1360" s="1" t="s">
        <v>325</v>
      </c>
      <c r="C1360" s="1" t="s">
        <v>838</v>
      </c>
      <c r="D1360" s="1" t="s">
        <v>839</v>
      </c>
      <c r="E1360" s="1" t="n">
        <v>20171</v>
      </c>
      <c r="F1360" s="1" t="s">
        <v>303</v>
      </c>
      <c r="G1360" s="1" t="s">
        <v>18</v>
      </c>
      <c r="H1360" s="1" t="n">
        <v>3</v>
      </c>
      <c r="I1360" s="1" t="n">
        <v>0</v>
      </c>
      <c r="J1360" s="1" t="n">
        <v>20201</v>
      </c>
      <c r="L1360" s="1" t="str">
        <f aca="false">IF(D1359&lt;&gt;D1360,D1360,"")</f>
        <v/>
      </c>
      <c r="M1360" s="1" t="str">
        <f aca="false">IF(F1359&lt;&gt;F1360,F1360,"")</f>
        <v/>
      </c>
    </row>
    <row r="1361" customFormat="false" ht="15" hidden="false" customHeight="false" outlineLevel="0" collapsed="false">
      <c r="A1361" s="1" t="s">
        <v>326</v>
      </c>
      <c r="B1361" s="1" t="s">
        <v>327</v>
      </c>
      <c r="C1361" s="1" t="s">
        <v>838</v>
      </c>
      <c r="D1361" s="1" t="s">
        <v>839</v>
      </c>
      <c r="E1361" s="1" t="n">
        <v>20171</v>
      </c>
      <c r="F1361" s="1" t="s">
        <v>303</v>
      </c>
      <c r="G1361" s="1" t="s">
        <v>18</v>
      </c>
      <c r="H1361" s="1" t="n">
        <v>3</v>
      </c>
      <c r="I1361" s="1" t="n">
        <v>0</v>
      </c>
      <c r="J1361" s="1" t="n">
        <v>20201</v>
      </c>
      <c r="L1361" s="1" t="str">
        <f aca="false">IF(D1360&lt;&gt;D1361,D1361,"")</f>
        <v/>
      </c>
      <c r="M1361" s="1" t="str">
        <f aca="false">IF(F1360&lt;&gt;F1361,F1361,"")</f>
        <v/>
      </c>
    </row>
    <row r="1362" customFormat="false" ht="15" hidden="false" customHeight="false" outlineLevel="0" collapsed="false">
      <c r="A1362" s="1" t="s">
        <v>328</v>
      </c>
      <c r="B1362" s="1" t="s">
        <v>329</v>
      </c>
      <c r="C1362" s="1" t="s">
        <v>838</v>
      </c>
      <c r="D1362" s="1" t="s">
        <v>839</v>
      </c>
      <c r="E1362" s="1" t="n">
        <v>20171</v>
      </c>
      <c r="F1362" s="1" t="s">
        <v>303</v>
      </c>
      <c r="G1362" s="1" t="s">
        <v>18</v>
      </c>
      <c r="H1362" s="1" t="n">
        <v>3</v>
      </c>
      <c r="I1362" s="1" t="n">
        <v>0</v>
      </c>
      <c r="J1362" s="1" t="n">
        <v>20201</v>
      </c>
      <c r="L1362" s="1" t="str">
        <f aca="false">IF(D1361&lt;&gt;D1362,D1362,"")</f>
        <v/>
      </c>
      <c r="M1362" s="1" t="str">
        <f aca="false">IF(F1361&lt;&gt;F1362,F1362,"")</f>
        <v/>
      </c>
    </row>
    <row r="1363" customFormat="false" ht="15" hidden="false" customHeight="false" outlineLevel="0" collapsed="false">
      <c r="A1363" s="1" t="s">
        <v>330</v>
      </c>
      <c r="B1363" s="1" t="s">
        <v>331</v>
      </c>
      <c r="C1363" s="1" t="s">
        <v>838</v>
      </c>
      <c r="D1363" s="1" t="s">
        <v>839</v>
      </c>
      <c r="E1363" s="1" t="n">
        <v>20171</v>
      </c>
      <c r="F1363" s="1" t="s">
        <v>303</v>
      </c>
      <c r="G1363" s="1" t="s">
        <v>18</v>
      </c>
      <c r="H1363" s="1" t="n">
        <v>3</v>
      </c>
      <c r="I1363" s="1" t="n">
        <v>0</v>
      </c>
      <c r="J1363" s="1" t="n">
        <v>20201</v>
      </c>
      <c r="L1363" s="1" t="str">
        <f aca="false">IF(D1362&lt;&gt;D1363,D1363,"")</f>
        <v/>
      </c>
      <c r="M1363" s="1" t="str">
        <f aca="false">IF(F1362&lt;&gt;F1363,F1363,"")</f>
        <v/>
      </c>
    </row>
    <row r="1364" customFormat="false" ht="15" hidden="false" customHeight="false" outlineLevel="0" collapsed="false">
      <c r="A1364" s="1" t="s">
        <v>332</v>
      </c>
      <c r="B1364" s="1" t="s">
        <v>333</v>
      </c>
      <c r="C1364" s="1" t="s">
        <v>838</v>
      </c>
      <c r="D1364" s="1" t="s">
        <v>839</v>
      </c>
      <c r="E1364" s="1" t="n">
        <v>20171</v>
      </c>
      <c r="F1364" s="1" t="s">
        <v>303</v>
      </c>
      <c r="G1364" s="1" t="s">
        <v>18</v>
      </c>
      <c r="H1364" s="1" t="n">
        <v>3</v>
      </c>
      <c r="I1364" s="1" t="n">
        <v>0</v>
      </c>
      <c r="J1364" s="1" t="n">
        <v>20201</v>
      </c>
      <c r="L1364" s="1" t="str">
        <f aca="false">IF(D1363&lt;&gt;D1364,D1364,"")</f>
        <v/>
      </c>
      <c r="M1364" s="1" t="str">
        <f aca="false">IF(F1363&lt;&gt;F1364,F1364,"")</f>
        <v/>
      </c>
    </row>
    <row r="1365" customFormat="false" ht="15" hidden="false" customHeight="false" outlineLevel="0" collapsed="false">
      <c r="A1365" s="1" t="s">
        <v>334</v>
      </c>
      <c r="B1365" s="1" t="s">
        <v>335</v>
      </c>
      <c r="C1365" s="1" t="s">
        <v>838</v>
      </c>
      <c r="D1365" s="1" t="s">
        <v>839</v>
      </c>
      <c r="E1365" s="1" t="n">
        <v>20171</v>
      </c>
      <c r="F1365" s="1" t="s">
        <v>303</v>
      </c>
      <c r="G1365" s="1" t="s">
        <v>18</v>
      </c>
      <c r="H1365" s="1" t="n">
        <v>3</v>
      </c>
      <c r="I1365" s="1" t="n">
        <v>0</v>
      </c>
      <c r="J1365" s="1" t="n">
        <v>20201</v>
      </c>
      <c r="L1365" s="1" t="str">
        <f aca="false">IF(D1364&lt;&gt;D1365,D1365,"")</f>
        <v/>
      </c>
      <c r="M1365" s="1" t="str">
        <f aca="false">IF(F1364&lt;&gt;F1365,F1365,"")</f>
        <v/>
      </c>
    </row>
    <row r="1366" customFormat="false" ht="15" hidden="false" customHeight="false" outlineLevel="0" collapsed="false">
      <c r="A1366" s="1" t="s">
        <v>336</v>
      </c>
      <c r="B1366" s="1" t="s">
        <v>337</v>
      </c>
      <c r="C1366" s="1" t="s">
        <v>838</v>
      </c>
      <c r="D1366" s="1" t="s">
        <v>839</v>
      </c>
      <c r="E1366" s="1" t="n">
        <v>20171</v>
      </c>
      <c r="F1366" s="1" t="s">
        <v>303</v>
      </c>
      <c r="G1366" s="1" t="s">
        <v>15</v>
      </c>
      <c r="H1366" s="1" t="n">
        <v>3.5</v>
      </c>
      <c r="I1366" s="1" t="n">
        <v>0</v>
      </c>
      <c r="J1366" s="1" t="n">
        <v>20201</v>
      </c>
      <c r="L1366" s="1" t="str">
        <f aca="false">IF(D1365&lt;&gt;D1366,D1366,"")</f>
        <v/>
      </c>
      <c r="M1366" s="1" t="str">
        <f aca="false">IF(F1365&lt;&gt;F1366,F1366,"")</f>
        <v/>
      </c>
    </row>
    <row r="1367" customFormat="false" ht="15" hidden="false" customHeight="false" outlineLevel="0" collapsed="false">
      <c r="A1367" s="1" t="s">
        <v>338</v>
      </c>
      <c r="B1367" s="1" t="s">
        <v>339</v>
      </c>
      <c r="C1367" s="1" t="s">
        <v>838</v>
      </c>
      <c r="D1367" s="1" t="s">
        <v>839</v>
      </c>
      <c r="E1367" s="1" t="n">
        <v>20171</v>
      </c>
      <c r="F1367" s="1" t="s">
        <v>303</v>
      </c>
      <c r="G1367" s="1" t="s">
        <v>15</v>
      </c>
      <c r="H1367" s="1" t="n">
        <v>3.5</v>
      </c>
      <c r="I1367" s="1" t="n">
        <v>0</v>
      </c>
      <c r="J1367" s="1" t="n">
        <v>20201</v>
      </c>
      <c r="L1367" s="1" t="str">
        <f aca="false">IF(D1366&lt;&gt;D1367,D1367,"")</f>
        <v/>
      </c>
      <c r="M1367" s="1" t="str">
        <f aca="false">IF(F1366&lt;&gt;F1367,F1367,"")</f>
        <v/>
      </c>
    </row>
    <row r="1368" customFormat="false" ht="15" hidden="false" customHeight="false" outlineLevel="0" collapsed="false">
      <c r="A1368" s="1" t="s">
        <v>340</v>
      </c>
      <c r="B1368" s="1" t="s">
        <v>341</v>
      </c>
      <c r="C1368" s="1" t="s">
        <v>838</v>
      </c>
      <c r="D1368" s="1" t="s">
        <v>839</v>
      </c>
      <c r="E1368" s="1" t="n">
        <v>20171</v>
      </c>
      <c r="F1368" s="1" t="s">
        <v>303</v>
      </c>
      <c r="G1368" s="1" t="s">
        <v>18</v>
      </c>
      <c r="H1368" s="1" t="n">
        <v>3</v>
      </c>
      <c r="I1368" s="1" t="n">
        <v>0</v>
      </c>
      <c r="J1368" s="1" t="n">
        <v>20201</v>
      </c>
      <c r="L1368" s="1" t="str">
        <f aca="false">IF(D1367&lt;&gt;D1368,D1368,"")</f>
        <v/>
      </c>
      <c r="M1368" s="1" t="str">
        <f aca="false">IF(F1367&lt;&gt;F1368,F1368,"")</f>
        <v/>
      </c>
    </row>
    <row r="1369" customFormat="false" ht="15" hidden="false" customHeight="false" outlineLevel="0" collapsed="false">
      <c r="A1369" s="1" t="s">
        <v>342</v>
      </c>
      <c r="B1369" s="1" t="s">
        <v>343</v>
      </c>
      <c r="C1369" s="1" t="s">
        <v>838</v>
      </c>
      <c r="D1369" s="1" t="s">
        <v>839</v>
      </c>
      <c r="E1369" s="1" t="n">
        <v>20171</v>
      </c>
      <c r="F1369" s="1" t="s">
        <v>303</v>
      </c>
      <c r="G1369" s="1" t="s">
        <v>14</v>
      </c>
      <c r="H1369" s="1" t="n">
        <v>4</v>
      </c>
      <c r="I1369" s="1" t="n">
        <v>0</v>
      </c>
      <c r="J1369" s="1" t="n">
        <v>20201</v>
      </c>
      <c r="L1369" s="1" t="str">
        <f aca="false">IF(D1368&lt;&gt;D1369,D1369,"")</f>
        <v/>
      </c>
      <c r="M1369" s="1" t="str">
        <f aca="false">IF(F1368&lt;&gt;F1369,F1369,"")</f>
        <v/>
      </c>
    </row>
    <row r="1370" customFormat="false" ht="15" hidden="false" customHeight="false" outlineLevel="0" collapsed="false">
      <c r="A1370" s="1" t="s">
        <v>344</v>
      </c>
      <c r="B1370" s="1" t="s">
        <v>345</v>
      </c>
      <c r="C1370" s="1" t="s">
        <v>838</v>
      </c>
      <c r="D1370" s="1" t="s">
        <v>839</v>
      </c>
      <c r="E1370" s="1" t="n">
        <v>20171</v>
      </c>
      <c r="F1370" s="1" t="s">
        <v>303</v>
      </c>
      <c r="G1370" s="1" t="s">
        <v>101</v>
      </c>
      <c r="H1370" s="1" t="n">
        <v>2.5</v>
      </c>
      <c r="I1370" s="1" t="n">
        <v>0</v>
      </c>
      <c r="J1370" s="1" t="n">
        <v>20201</v>
      </c>
      <c r="L1370" s="1" t="str">
        <f aca="false">IF(D1369&lt;&gt;D1370,D1370,"")</f>
        <v/>
      </c>
      <c r="M1370" s="1" t="str">
        <f aca="false">IF(F1369&lt;&gt;F1370,F1370,"")</f>
        <v/>
      </c>
    </row>
    <row r="1371" customFormat="false" ht="15" hidden="false" customHeight="false" outlineLevel="0" collapsed="false">
      <c r="A1371" s="1" t="s">
        <v>346</v>
      </c>
      <c r="B1371" s="1" t="s">
        <v>347</v>
      </c>
      <c r="C1371" s="1" t="s">
        <v>838</v>
      </c>
      <c r="D1371" s="1" t="s">
        <v>839</v>
      </c>
      <c r="E1371" s="1" t="n">
        <v>20171</v>
      </c>
      <c r="F1371" s="1" t="s">
        <v>303</v>
      </c>
      <c r="G1371" s="1" t="s">
        <v>15</v>
      </c>
      <c r="H1371" s="1" t="n">
        <v>3.5</v>
      </c>
      <c r="I1371" s="1" t="n">
        <v>0</v>
      </c>
      <c r="J1371" s="1" t="n">
        <v>20201</v>
      </c>
      <c r="L1371" s="1" t="str">
        <f aca="false">IF(D1370&lt;&gt;D1371,D1371,"")</f>
        <v/>
      </c>
      <c r="M1371" s="1" t="str">
        <f aca="false">IF(F1370&lt;&gt;F1371,F1371,"")</f>
        <v/>
      </c>
    </row>
    <row r="1372" customFormat="false" ht="15" hidden="false" customHeight="false" outlineLevel="0" collapsed="false">
      <c r="A1372" s="1" t="s">
        <v>348</v>
      </c>
      <c r="B1372" s="1" t="s">
        <v>349</v>
      </c>
      <c r="C1372" s="1" t="s">
        <v>838</v>
      </c>
      <c r="D1372" s="1" t="s">
        <v>839</v>
      </c>
      <c r="E1372" s="1" t="n">
        <v>20171</v>
      </c>
      <c r="F1372" s="1" t="s">
        <v>303</v>
      </c>
      <c r="G1372" s="1" t="s">
        <v>18</v>
      </c>
      <c r="H1372" s="1" t="n">
        <v>3</v>
      </c>
      <c r="I1372" s="1" t="n">
        <v>0</v>
      </c>
      <c r="J1372" s="1" t="n">
        <v>20201</v>
      </c>
      <c r="L1372" s="1" t="str">
        <f aca="false">IF(D1371&lt;&gt;D1372,D1372,"")</f>
        <v/>
      </c>
      <c r="M1372" s="1" t="str">
        <f aca="false">IF(F1371&lt;&gt;F1372,F1372,"")</f>
        <v/>
      </c>
    </row>
    <row r="1373" customFormat="false" ht="15" hidden="false" customHeight="false" outlineLevel="0" collapsed="false">
      <c r="A1373" s="1" t="s">
        <v>350</v>
      </c>
      <c r="B1373" s="1" t="s">
        <v>351</v>
      </c>
      <c r="C1373" s="1" t="s">
        <v>838</v>
      </c>
      <c r="D1373" s="1" t="s">
        <v>839</v>
      </c>
      <c r="E1373" s="1" t="n">
        <v>20171</v>
      </c>
      <c r="F1373" s="1" t="s">
        <v>303</v>
      </c>
      <c r="G1373" s="1" t="s">
        <v>18</v>
      </c>
      <c r="H1373" s="1" t="n">
        <v>3</v>
      </c>
      <c r="I1373" s="1" t="n">
        <v>0</v>
      </c>
      <c r="J1373" s="1" t="n">
        <v>20201</v>
      </c>
      <c r="L1373" s="1" t="str">
        <f aca="false">IF(D1372&lt;&gt;D1373,D1373,"")</f>
        <v/>
      </c>
      <c r="M1373" s="1" t="str">
        <f aca="false">IF(F1372&lt;&gt;F1373,F1373,"")</f>
        <v/>
      </c>
    </row>
    <row r="1374" customFormat="false" ht="15" hidden="false" customHeight="false" outlineLevel="0" collapsed="false">
      <c r="A1374" s="1" t="s">
        <v>352</v>
      </c>
      <c r="B1374" s="1" t="s">
        <v>353</v>
      </c>
      <c r="C1374" s="1" t="s">
        <v>838</v>
      </c>
      <c r="D1374" s="1" t="s">
        <v>839</v>
      </c>
      <c r="E1374" s="1" t="n">
        <v>20171</v>
      </c>
      <c r="F1374" s="1" t="s">
        <v>303</v>
      </c>
      <c r="G1374" s="1" t="s">
        <v>18</v>
      </c>
      <c r="H1374" s="1" t="n">
        <v>3</v>
      </c>
      <c r="I1374" s="1" t="n">
        <v>0</v>
      </c>
      <c r="J1374" s="1" t="n">
        <v>20201</v>
      </c>
      <c r="L1374" s="1" t="str">
        <f aca="false">IF(D1373&lt;&gt;D1374,D1374,"")</f>
        <v/>
      </c>
      <c r="M1374" s="1" t="str">
        <f aca="false">IF(F1373&lt;&gt;F1374,F1374,"")</f>
        <v/>
      </c>
    </row>
    <row r="1375" customFormat="false" ht="15" hidden="false" customHeight="false" outlineLevel="0" collapsed="false">
      <c r="A1375" s="1" t="s">
        <v>354</v>
      </c>
      <c r="B1375" s="1" t="s">
        <v>355</v>
      </c>
      <c r="C1375" s="1" t="s">
        <v>838</v>
      </c>
      <c r="D1375" s="1" t="s">
        <v>839</v>
      </c>
      <c r="E1375" s="1" t="n">
        <v>20171</v>
      </c>
      <c r="F1375" s="1" t="s">
        <v>303</v>
      </c>
      <c r="G1375" s="1" t="s">
        <v>124</v>
      </c>
      <c r="H1375" s="1" t="n">
        <v>0</v>
      </c>
      <c r="I1375" s="1" t="n">
        <v>0</v>
      </c>
      <c r="J1375" s="1" t="n">
        <v>20201</v>
      </c>
      <c r="L1375" s="1" t="str">
        <f aca="false">IF(D1374&lt;&gt;D1375,D1375,"")</f>
        <v/>
      </c>
      <c r="M1375" s="1" t="str">
        <f aca="false">IF(F1374&lt;&gt;F1375,F1375,"")</f>
        <v/>
      </c>
    </row>
    <row r="1376" customFormat="false" ht="15" hidden="false" customHeight="false" outlineLevel="0" collapsed="false">
      <c r="A1376" s="1" t="s">
        <v>356</v>
      </c>
      <c r="B1376" s="1" t="s">
        <v>357</v>
      </c>
      <c r="C1376" s="1" t="s">
        <v>838</v>
      </c>
      <c r="D1376" s="1" t="s">
        <v>839</v>
      </c>
      <c r="E1376" s="1" t="n">
        <v>20171</v>
      </c>
      <c r="F1376" s="1" t="s">
        <v>303</v>
      </c>
      <c r="G1376" s="1" t="s">
        <v>127</v>
      </c>
      <c r="H1376" s="1" t="n">
        <v>2</v>
      </c>
      <c r="I1376" s="1" t="n">
        <v>0</v>
      </c>
      <c r="J1376" s="1" t="n">
        <v>20201</v>
      </c>
      <c r="L1376" s="1" t="str">
        <f aca="false">IF(D1375&lt;&gt;D1376,D1376,"")</f>
        <v/>
      </c>
      <c r="M1376" s="1" t="str">
        <f aca="false">IF(F1375&lt;&gt;F1376,F1376,"")</f>
        <v/>
      </c>
    </row>
    <row r="1377" customFormat="false" ht="15" hidden="false" customHeight="false" outlineLevel="0" collapsed="false">
      <c r="A1377" s="1" t="s">
        <v>358</v>
      </c>
      <c r="B1377" s="1" t="s">
        <v>359</v>
      </c>
      <c r="C1377" s="1" t="s">
        <v>838</v>
      </c>
      <c r="D1377" s="1" t="s">
        <v>839</v>
      </c>
      <c r="E1377" s="1" t="n">
        <v>20171</v>
      </c>
      <c r="F1377" s="1" t="s">
        <v>303</v>
      </c>
      <c r="G1377" s="1" t="s">
        <v>101</v>
      </c>
      <c r="H1377" s="1" t="n">
        <v>2.5</v>
      </c>
      <c r="I1377" s="1" t="n">
        <v>0</v>
      </c>
      <c r="J1377" s="1" t="n">
        <v>20201</v>
      </c>
      <c r="L1377" s="1" t="str">
        <f aca="false">IF(D1376&lt;&gt;D1377,D1377,"")</f>
        <v/>
      </c>
      <c r="M1377" s="1" t="str">
        <f aca="false">IF(F1376&lt;&gt;F1377,F1377,"")</f>
        <v/>
      </c>
    </row>
    <row r="1378" customFormat="false" ht="15" hidden="false" customHeight="false" outlineLevel="0" collapsed="false">
      <c r="A1378" s="1" t="s">
        <v>360</v>
      </c>
      <c r="B1378" s="1" t="s">
        <v>361</v>
      </c>
      <c r="C1378" s="1" t="s">
        <v>838</v>
      </c>
      <c r="D1378" s="1" t="s">
        <v>839</v>
      </c>
      <c r="E1378" s="1" t="n">
        <v>20171</v>
      </c>
      <c r="F1378" s="1" t="s">
        <v>303</v>
      </c>
      <c r="G1378" s="1" t="s">
        <v>127</v>
      </c>
      <c r="H1378" s="1" t="n">
        <v>2</v>
      </c>
      <c r="I1378" s="1" t="n">
        <v>0</v>
      </c>
      <c r="J1378" s="1" t="n">
        <v>20201</v>
      </c>
      <c r="L1378" s="1" t="str">
        <f aca="false">IF(D1377&lt;&gt;D1378,D1378,"")</f>
        <v/>
      </c>
      <c r="M1378" s="1" t="str">
        <f aca="false">IF(F1377&lt;&gt;F1378,F1378,"")</f>
        <v/>
      </c>
    </row>
    <row r="1379" customFormat="false" ht="15" hidden="false" customHeight="false" outlineLevel="0" collapsed="false">
      <c r="A1379" s="1" t="s">
        <v>362</v>
      </c>
      <c r="B1379" s="1" t="s">
        <v>363</v>
      </c>
      <c r="C1379" s="1" t="s">
        <v>838</v>
      </c>
      <c r="D1379" s="1" t="s">
        <v>839</v>
      </c>
      <c r="E1379" s="1" t="n">
        <v>20171</v>
      </c>
      <c r="F1379" s="1" t="s">
        <v>303</v>
      </c>
      <c r="G1379" s="1" t="s">
        <v>101</v>
      </c>
      <c r="H1379" s="1" t="n">
        <v>2.5</v>
      </c>
      <c r="I1379" s="1" t="n">
        <v>0</v>
      </c>
      <c r="J1379" s="1" t="n">
        <v>20201</v>
      </c>
      <c r="L1379" s="1" t="str">
        <f aca="false">IF(D1378&lt;&gt;D1379,D1379,"")</f>
        <v/>
      </c>
      <c r="M1379" s="1" t="str">
        <f aca="false">IF(F1378&lt;&gt;F1379,F1379,"")</f>
        <v/>
      </c>
    </row>
    <row r="1380" customFormat="false" ht="15" hidden="false" customHeight="false" outlineLevel="0" collapsed="false">
      <c r="A1380" s="1" t="s">
        <v>364</v>
      </c>
      <c r="B1380" s="1" t="s">
        <v>365</v>
      </c>
      <c r="C1380" s="1" t="s">
        <v>838</v>
      </c>
      <c r="D1380" s="1" t="s">
        <v>839</v>
      </c>
      <c r="E1380" s="1" t="n">
        <v>20171</v>
      </c>
      <c r="F1380" s="1" t="s">
        <v>303</v>
      </c>
      <c r="G1380" s="1" t="s">
        <v>14</v>
      </c>
      <c r="H1380" s="1" t="n">
        <v>4</v>
      </c>
      <c r="I1380" s="1" t="n">
        <v>0</v>
      </c>
      <c r="J1380" s="1" t="n">
        <v>20201</v>
      </c>
      <c r="L1380" s="1" t="str">
        <f aca="false">IF(D1379&lt;&gt;D1380,D1380,"")</f>
        <v/>
      </c>
      <c r="M1380" s="1" t="str">
        <f aca="false">IF(F1379&lt;&gt;F1380,F1380,"")</f>
        <v/>
      </c>
    </row>
    <row r="1381" customFormat="false" ht="15" hidden="false" customHeight="false" outlineLevel="0" collapsed="false">
      <c r="A1381" s="1" t="s">
        <v>366</v>
      </c>
      <c r="B1381" s="1" t="s">
        <v>367</v>
      </c>
      <c r="C1381" s="1" t="s">
        <v>838</v>
      </c>
      <c r="D1381" s="1" t="s">
        <v>839</v>
      </c>
      <c r="E1381" s="1" t="n">
        <v>20171</v>
      </c>
      <c r="F1381" s="1" t="s">
        <v>303</v>
      </c>
      <c r="G1381" s="1" t="s">
        <v>101</v>
      </c>
      <c r="H1381" s="1" t="n">
        <v>2.5</v>
      </c>
      <c r="I1381" s="1" t="n">
        <v>0</v>
      </c>
      <c r="J1381" s="1" t="n">
        <v>20201</v>
      </c>
      <c r="L1381" s="1" t="str">
        <f aca="false">IF(D1380&lt;&gt;D1381,D1381,"")</f>
        <v/>
      </c>
      <c r="M1381" s="1" t="str">
        <f aca="false">IF(F1380&lt;&gt;F1381,F1381,"")</f>
        <v/>
      </c>
    </row>
    <row r="1382" customFormat="false" ht="15" hidden="false" customHeight="false" outlineLevel="0" collapsed="false">
      <c r="A1382" s="1" t="s">
        <v>368</v>
      </c>
      <c r="B1382" s="1" t="s">
        <v>369</v>
      </c>
      <c r="C1382" s="1" t="s">
        <v>838</v>
      </c>
      <c r="D1382" s="1" t="s">
        <v>839</v>
      </c>
      <c r="E1382" s="1" t="n">
        <v>20171</v>
      </c>
      <c r="F1382" s="1" t="s">
        <v>303</v>
      </c>
      <c r="G1382" s="1" t="s">
        <v>30</v>
      </c>
      <c r="H1382" s="1" t="n">
        <v>1.5</v>
      </c>
      <c r="I1382" s="1" t="n">
        <v>0</v>
      </c>
      <c r="J1382" s="1" t="n">
        <v>20201</v>
      </c>
      <c r="L1382" s="1" t="str">
        <f aca="false">IF(D1381&lt;&gt;D1382,D1382,"")</f>
        <v/>
      </c>
      <c r="M1382" s="1" t="str">
        <f aca="false">IF(F1381&lt;&gt;F1382,F1382,"")</f>
        <v/>
      </c>
    </row>
    <row r="1383" customFormat="false" ht="15" hidden="false" customHeight="false" outlineLevel="0" collapsed="false">
      <c r="A1383" s="1" t="s">
        <v>370</v>
      </c>
      <c r="B1383" s="1" t="s">
        <v>371</v>
      </c>
      <c r="C1383" s="1" t="s">
        <v>838</v>
      </c>
      <c r="D1383" s="1" t="s">
        <v>839</v>
      </c>
      <c r="E1383" s="1" t="n">
        <v>20171</v>
      </c>
      <c r="F1383" s="1" t="s">
        <v>303</v>
      </c>
      <c r="G1383" s="1" t="s">
        <v>127</v>
      </c>
      <c r="H1383" s="1" t="n">
        <v>2</v>
      </c>
      <c r="I1383" s="1" t="n">
        <v>0</v>
      </c>
      <c r="J1383" s="1" t="n">
        <v>20201</v>
      </c>
      <c r="L1383" s="1" t="str">
        <f aca="false">IF(D1382&lt;&gt;D1383,D1383,"")</f>
        <v/>
      </c>
      <c r="M1383" s="1" t="str">
        <f aca="false">IF(F1382&lt;&gt;F1383,F1383,"")</f>
        <v/>
      </c>
    </row>
    <row r="1384" customFormat="false" ht="15" hidden="false" customHeight="false" outlineLevel="0" collapsed="false">
      <c r="A1384" s="1" t="s">
        <v>372</v>
      </c>
      <c r="B1384" s="1" t="s">
        <v>373</v>
      </c>
      <c r="C1384" s="1" t="s">
        <v>838</v>
      </c>
      <c r="D1384" s="1" t="s">
        <v>839</v>
      </c>
      <c r="E1384" s="1" t="n">
        <v>20171</v>
      </c>
      <c r="F1384" s="1" t="s">
        <v>303</v>
      </c>
      <c r="G1384" s="1" t="s">
        <v>15</v>
      </c>
      <c r="H1384" s="1" t="n">
        <v>3.5</v>
      </c>
      <c r="I1384" s="1" t="n">
        <v>0</v>
      </c>
      <c r="J1384" s="1" t="n">
        <v>20201</v>
      </c>
      <c r="L1384" s="1" t="str">
        <f aca="false">IF(D1383&lt;&gt;D1384,D1384,"")</f>
        <v/>
      </c>
      <c r="M1384" s="1" t="str">
        <f aca="false">IF(F1383&lt;&gt;F1384,F1384,"")</f>
        <v/>
      </c>
    </row>
    <row r="1385" customFormat="false" ht="15" hidden="false" customHeight="false" outlineLevel="0" collapsed="false">
      <c r="A1385" s="1" t="s">
        <v>374</v>
      </c>
      <c r="B1385" s="1" t="s">
        <v>375</v>
      </c>
      <c r="C1385" s="1" t="s">
        <v>838</v>
      </c>
      <c r="D1385" s="1" t="s">
        <v>839</v>
      </c>
      <c r="E1385" s="1" t="n">
        <v>20171</v>
      </c>
      <c r="F1385" s="1" t="s">
        <v>303</v>
      </c>
      <c r="G1385" s="1" t="s">
        <v>18</v>
      </c>
      <c r="H1385" s="1" t="n">
        <v>3</v>
      </c>
      <c r="I1385" s="1" t="n">
        <v>0</v>
      </c>
      <c r="J1385" s="1" t="n">
        <v>20201</v>
      </c>
      <c r="L1385" s="1" t="str">
        <f aca="false">IF(D1384&lt;&gt;D1385,D1385,"")</f>
        <v/>
      </c>
      <c r="M1385" s="1" t="str">
        <f aca="false">IF(F1384&lt;&gt;F1385,F1385,"")</f>
        <v/>
      </c>
    </row>
    <row r="1386" customFormat="false" ht="15" hidden="false" customHeight="false" outlineLevel="0" collapsed="false">
      <c r="A1386" s="1" t="s">
        <v>376</v>
      </c>
      <c r="B1386" s="1" t="s">
        <v>377</v>
      </c>
      <c r="C1386" s="1" t="s">
        <v>838</v>
      </c>
      <c r="D1386" s="1" t="s">
        <v>839</v>
      </c>
      <c r="E1386" s="1" t="n">
        <v>20171</v>
      </c>
      <c r="F1386" s="1" t="s">
        <v>303</v>
      </c>
      <c r="G1386" s="1" t="s">
        <v>15</v>
      </c>
      <c r="H1386" s="1" t="n">
        <v>3.5</v>
      </c>
      <c r="I1386" s="1" t="n">
        <v>0</v>
      </c>
      <c r="J1386" s="1" t="n">
        <v>20201</v>
      </c>
      <c r="L1386" s="1" t="str">
        <f aca="false">IF(D1385&lt;&gt;D1386,D1386,"")</f>
        <v/>
      </c>
      <c r="M1386" s="1" t="str">
        <f aca="false">IF(F1385&lt;&gt;F1386,F1386,"")</f>
        <v/>
      </c>
    </row>
    <row r="1387" customFormat="false" ht="15" hidden="false" customHeight="false" outlineLevel="0" collapsed="false">
      <c r="A1387" s="1" t="s">
        <v>378</v>
      </c>
      <c r="B1387" s="1" t="s">
        <v>379</v>
      </c>
      <c r="C1387" s="1" t="s">
        <v>838</v>
      </c>
      <c r="D1387" s="1" t="s">
        <v>839</v>
      </c>
      <c r="E1387" s="1" t="n">
        <v>20171</v>
      </c>
      <c r="F1387" s="1" t="s">
        <v>303</v>
      </c>
      <c r="G1387" s="1" t="s">
        <v>18</v>
      </c>
      <c r="H1387" s="1" t="n">
        <v>3</v>
      </c>
      <c r="I1387" s="1" t="n">
        <v>0</v>
      </c>
      <c r="J1387" s="1" t="n">
        <v>20201</v>
      </c>
      <c r="L1387" s="1" t="str">
        <f aca="false">IF(D1386&lt;&gt;D1387,D1387,"")</f>
        <v/>
      </c>
      <c r="M1387" s="1" t="str">
        <f aca="false">IF(F1386&lt;&gt;F1387,F1387,"")</f>
        <v/>
      </c>
    </row>
    <row r="1388" customFormat="false" ht="15" hidden="false" customHeight="false" outlineLevel="0" collapsed="false">
      <c r="A1388" s="1" t="s">
        <v>380</v>
      </c>
      <c r="B1388" s="1" t="s">
        <v>381</v>
      </c>
      <c r="C1388" s="1" t="s">
        <v>838</v>
      </c>
      <c r="D1388" s="1" t="s">
        <v>839</v>
      </c>
      <c r="E1388" s="1" t="n">
        <v>20171</v>
      </c>
      <c r="F1388" s="1" t="s">
        <v>303</v>
      </c>
      <c r="G1388" s="1" t="s">
        <v>15</v>
      </c>
      <c r="H1388" s="1" t="n">
        <v>3.5</v>
      </c>
      <c r="I1388" s="1" t="n">
        <v>0</v>
      </c>
      <c r="J1388" s="1" t="n">
        <v>20201</v>
      </c>
      <c r="L1388" s="1" t="str">
        <f aca="false">IF(D1387&lt;&gt;D1388,D1388,"")</f>
        <v/>
      </c>
      <c r="M1388" s="1" t="str">
        <f aca="false">IF(F1387&lt;&gt;F1388,F1388,"")</f>
        <v/>
      </c>
    </row>
    <row r="1389" customFormat="false" ht="15" hidden="false" customHeight="false" outlineLevel="0" collapsed="false">
      <c r="A1389" s="1" t="s">
        <v>382</v>
      </c>
      <c r="B1389" s="1" t="s">
        <v>383</v>
      </c>
      <c r="C1389" s="1" t="s">
        <v>838</v>
      </c>
      <c r="D1389" s="1" t="s">
        <v>839</v>
      </c>
      <c r="E1389" s="1" t="n">
        <v>20171</v>
      </c>
      <c r="F1389" s="1" t="s">
        <v>303</v>
      </c>
      <c r="G1389" s="1" t="s">
        <v>18</v>
      </c>
      <c r="H1389" s="1" t="n">
        <v>3</v>
      </c>
      <c r="I1389" s="1" t="n">
        <v>0</v>
      </c>
      <c r="J1389" s="1" t="n">
        <v>20201</v>
      </c>
      <c r="L1389" s="1" t="str">
        <f aca="false">IF(D1388&lt;&gt;D1389,D1389,"")</f>
        <v/>
      </c>
      <c r="M1389" s="1" t="str">
        <f aca="false">IF(F1388&lt;&gt;F1389,F1389,"")</f>
        <v/>
      </c>
    </row>
    <row r="1390" customFormat="false" ht="15" hidden="false" customHeight="false" outlineLevel="0" collapsed="false">
      <c r="A1390" s="1" t="s">
        <v>384</v>
      </c>
      <c r="B1390" s="1" t="s">
        <v>385</v>
      </c>
      <c r="C1390" s="1" t="s">
        <v>838</v>
      </c>
      <c r="D1390" s="1" t="s">
        <v>839</v>
      </c>
      <c r="E1390" s="1" t="n">
        <v>20171</v>
      </c>
      <c r="F1390" s="1" t="s">
        <v>303</v>
      </c>
      <c r="G1390" s="1" t="s">
        <v>15</v>
      </c>
      <c r="H1390" s="1" t="n">
        <v>3.5</v>
      </c>
      <c r="I1390" s="1" t="n">
        <v>0</v>
      </c>
      <c r="J1390" s="1" t="n">
        <v>20201</v>
      </c>
      <c r="L1390" s="1" t="str">
        <f aca="false">IF(D1389&lt;&gt;D1390,D1390,"")</f>
        <v/>
      </c>
      <c r="M1390" s="1" t="str">
        <f aca="false">IF(F1389&lt;&gt;F1390,F1390,"")</f>
        <v/>
      </c>
    </row>
    <row r="1391" customFormat="false" ht="15" hidden="false" customHeight="false" outlineLevel="0" collapsed="false">
      <c r="A1391" s="1" t="s">
        <v>386</v>
      </c>
      <c r="B1391" s="1" t="s">
        <v>387</v>
      </c>
      <c r="C1391" s="1" t="s">
        <v>838</v>
      </c>
      <c r="D1391" s="1" t="s">
        <v>839</v>
      </c>
      <c r="E1391" s="1" t="n">
        <v>20171</v>
      </c>
      <c r="F1391" s="1" t="s">
        <v>303</v>
      </c>
      <c r="G1391" s="1" t="s">
        <v>15</v>
      </c>
      <c r="H1391" s="1" t="n">
        <v>3.5</v>
      </c>
      <c r="I1391" s="1" t="n">
        <v>0</v>
      </c>
      <c r="J1391" s="1" t="n">
        <v>20201</v>
      </c>
      <c r="L1391" s="1" t="str">
        <f aca="false">IF(D1390&lt;&gt;D1391,D1391,"")</f>
        <v/>
      </c>
      <c r="M1391" s="1" t="str">
        <f aca="false">IF(F1390&lt;&gt;F1391,F1391,"")</f>
        <v/>
      </c>
    </row>
    <row r="1392" customFormat="false" ht="15" hidden="false" customHeight="false" outlineLevel="0" collapsed="false">
      <c r="A1392" s="1" t="s">
        <v>388</v>
      </c>
      <c r="B1392" s="1" t="s">
        <v>389</v>
      </c>
      <c r="C1392" s="1" t="s">
        <v>838</v>
      </c>
      <c r="D1392" s="1" t="s">
        <v>839</v>
      </c>
      <c r="E1392" s="1" t="n">
        <v>20171</v>
      </c>
      <c r="F1392" s="1" t="s">
        <v>303</v>
      </c>
      <c r="G1392" s="1" t="s">
        <v>15</v>
      </c>
      <c r="H1392" s="1" t="n">
        <v>3.5</v>
      </c>
      <c r="I1392" s="1" t="n">
        <v>0</v>
      </c>
      <c r="J1392" s="1" t="n">
        <v>20201</v>
      </c>
      <c r="L1392" s="1" t="str">
        <f aca="false">IF(D1391&lt;&gt;D1392,D1392,"")</f>
        <v/>
      </c>
      <c r="M1392" s="1" t="str">
        <f aca="false">IF(F1391&lt;&gt;F1392,F1392,"")</f>
        <v/>
      </c>
    </row>
    <row r="1393" customFormat="false" ht="15" hidden="false" customHeight="false" outlineLevel="0" collapsed="false">
      <c r="A1393" s="1" t="s">
        <v>390</v>
      </c>
      <c r="B1393" s="1" t="s">
        <v>391</v>
      </c>
      <c r="C1393" s="1" t="s">
        <v>838</v>
      </c>
      <c r="D1393" s="1" t="s">
        <v>839</v>
      </c>
      <c r="E1393" s="1" t="n">
        <v>20171</v>
      </c>
      <c r="F1393" s="1" t="s">
        <v>303</v>
      </c>
      <c r="G1393" s="1" t="s">
        <v>15</v>
      </c>
      <c r="H1393" s="1" t="n">
        <v>3.5</v>
      </c>
      <c r="I1393" s="1" t="n">
        <v>0</v>
      </c>
      <c r="J1393" s="1" t="n">
        <v>20201</v>
      </c>
      <c r="L1393" s="1" t="str">
        <f aca="false">IF(D1392&lt;&gt;D1393,D1393,"")</f>
        <v/>
      </c>
      <c r="M1393" s="1" t="str">
        <f aca="false">IF(F1392&lt;&gt;F1393,F1393,"")</f>
        <v/>
      </c>
    </row>
    <row r="1394" customFormat="false" ht="15" hidden="false" customHeight="false" outlineLevel="0" collapsed="false">
      <c r="A1394" s="1" t="s">
        <v>392</v>
      </c>
      <c r="B1394" s="1" t="s">
        <v>393</v>
      </c>
      <c r="C1394" s="1" t="s">
        <v>838</v>
      </c>
      <c r="D1394" s="1" t="s">
        <v>839</v>
      </c>
      <c r="E1394" s="1" t="n">
        <v>20171</v>
      </c>
      <c r="F1394" s="1" t="s">
        <v>303</v>
      </c>
      <c r="G1394" s="1" t="s">
        <v>18</v>
      </c>
      <c r="H1394" s="1" t="n">
        <v>3</v>
      </c>
      <c r="I1394" s="1" t="n">
        <v>0</v>
      </c>
      <c r="J1394" s="1" t="n">
        <v>20201</v>
      </c>
      <c r="L1394" s="1" t="str">
        <f aca="false">IF(D1393&lt;&gt;D1394,D1394,"")</f>
        <v/>
      </c>
      <c r="M1394" s="1" t="str">
        <f aca="false">IF(F1393&lt;&gt;F1394,F1394,"")</f>
        <v/>
      </c>
    </row>
    <row r="1395" customFormat="false" ht="15" hidden="false" customHeight="false" outlineLevel="0" collapsed="false">
      <c r="A1395" s="1" t="s">
        <v>394</v>
      </c>
      <c r="B1395" s="1" t="s">
        <v>395</v>
      </c>
      <c r="C1395" s="1" t="s">
        <v>838</v>
      </c>
      <c r="D1395" s="1" t="s">
        <v>839</v>
      </c>
      <c r="E1395" s="1" t="n">
        <v>20171</v>
      </c>
      <c r="F1395" s="1" t="s">
        <v>303</v>
      </c>
      <c r="G1395" s="1" t="s">
        <v>15</v>
      </c>
      <c r="H1395" s="1" t="n">
        <v>3.5</v>
      </c>
      <c r="I1395" s="1" t="n">
        <v>0</v>
      </c>
      <c r="J1395" s="1" t="n">
        <v>20201</v>
      </c>
      <c r="L1395" s="1" t="str">
        <f aca="false">IF(D1394&lt;&gt;D1395,D1395,"")</f>
        <v/>
      </c>
      <c r="M1395" s="1" t="str">
        <f aca="false">IF(F1394&lt;&gt;F1395,F1395,"")</f>
        <v/>
      </c>
    </row>
    <row r="1396" customFormat="false" ht="15" hidden="false" customHeight="false" outlineLevel="0" collapsed="false">
      <c r="A1396" s="1" t="s">
        <v>396</v>
      </c>
      <c r="B1396" s="1" t="s">
        <v>397</v>
      </c>
      <c r="C1396" s="1" t="s">
        <v>838</v>
      </c>
      <c r="D1396" s="1" t="s">
        <v>839</v>
      </c>
      <c r="E1396" s="1" t="n">
        <v>20171</v>
      </c>
      <c r="F1396" s="1" t="s">
        <v>303</v>
      </c>
      <c r="G1396" s="1" t="s">
        <v>14</v>
      </c>
      <c r="H1396" s="1" t="n">
        <v>4</v>
      </c>
      <c r="I1396" s="1" t="n">
        <v>0</v>
      </c>
      <c r="J1396" s="1" t="n">
        <v>20201</v>
      </c>
      <c r="L1396" s="1" t="str">
        <f aca="false">IF(D1395&lt;&gt;D1396,D1396,"")</f>
        <v/>
      </c>
      <c r="M1396" s="1" t="str">
        <f aca="false">IF(F1395&lt;&gt;F1396,F1396,"")</f>
        <v/>
      </c>
    </row>
    <row r="1397" customFormat="false" ht="15" hidden="false" customHeight="false" outlineLevel="0" collapsed="false">
      <c r="A1397" s="1" t="s">
        <v>398</v>
      </c>
      <c r="B1397" s="1" t="s">
        <v>399</v>
      </c>
      <c r="C1397" s="1" t="s">
        <v>838</v>
      </c>
      <c r="D1397" s="1" t="s">
        <v>839</v>
      </c>
      <c r="E1397" s="1" t="n">
        <v>20171</v>
      </c>
      <c r="F1397" s="1" t="s">
        <v>303</v>
      </c>
      <c r="G1397" s="1" t="s">
        <v>18</v>
      </c>
      <c r="H1397" s="1" t="n">
        <v>3</v>
      </c>
      <c r="I1397" s="1" t="n">
        <v>0</v>
      </c>
      <c r="J1397" s="1" t="n">
        <v>20201</v>
      </c>
      <c r="L1397" s="1" t="str">
        <f aca="false">IF(D1396&lt;&gt;D1397,D1397,"")</f>
        <v/>
      </c>
      <c r="M1397" s="1" t="str">
        <f aca="false">IF(F1396&lt;&gt;F1397,F1397,"")</f>
        <v/>
      </c>
    </row>
    <row r="1398" customFormat="false" ht="15" hidden="false" customHeight="false" outlineLevel="0" collapsed="false">
      <c r="A1398" s="1" t="s">
        <v>400</v>
      </c>
      <c r="B1398" s="1" t="s">
        <v>401</v>
      </c>
      <c r="C1398" s="1" t="s">
        <v>838</v>
      </c>
      <c r="D1398" s="1" t="s">
        <v>839</v>
      </c>
      <c r="E1398" s="1" t="n">
        <v>20171</v>
      </c>
      <c r="F1398" s="1" t="s">
        <v>303</v>
      </c>
      <c r="G1398" s="1" t="s">
        <v>14</v>
      </c>
      <c r="H1398" s="1" t="n">
        <v>4</v>
      </c>
      <c r="I1398" s="1" t="n">
        <v>0</v>
      </c>
      <c r="J1398" s="1" t="n">
        <v>20201</v>
      </c>
      <c r="L1398" s="1" t="str">
        <f aca="false">IF(D1397&lt;&gt;D1398,D1398,"")</f>
        <v/>
      </c>
      <c r="M1398" s="1" t="str">
        <f aca="false">IF(F1397&lt;&gt;F1398,F1398,"")</f>
        <v/>
      </c>
    </row>
    <row r="1399" customFormat="false" ht="15" hidden="false" customHeight="false" outlineLevel="0" collapsed="false">
      <c r="A1399" s="1" t="s">
        <v>402</v>
      </c>
      <c r="B1399" s="1" t="s">
        <v>403</v>
      </c>
      <c r="C1399" s="1" t="s">
        <v>838</v>
      </c>
      <c r="D1399" s="1" t="s">
        <v>839</v>
      </c>
      <c r="E1399" s="1" t="n">
        <v>20171</v>
      </c>
      <c r="F1399" s="1" t="s">
        <v>303</v>
      </c>
      <c r="G1399" s="1" t="s">
        <v>124</v>
      </c>
      <c r="H1399" s="1" t="n">
        <v>0</v>
      </c>
      <c r="I1399" s="1" t="n">
        <v>0</v>
      </c>
      <c r="J1399" s="1" t="n">
        <v>20201</v>
      </c>
      <c r="L1399" s="1" t="str">
        <f aca="false">IF(D1398&lt;&gt;D1399,D1399,"")</f>
        <v/>
      </c>
      <c r="M1399" s="1" t="str">
        <f aca="false">IF(F1398&lt;&gt;F1399,F1399,"")</f>
        <v/>
      </c>
    </row>
    <row r="1400" customFormat="false" ht="15" hidden="false" customHeight="false" outlineLevel="0" collapsed="false">
      <c r="A1400" s="1" t="s">
        <v>404</v>
      </c>
      <c r="B1400" s="1" t="s">
        <v>405</v>
      </c>
      <c r="C1400" s="1" t="s">
        <v>838</v>
      </c>
      <c r="D1400" s="1" t="s">
        <v>839</v>
      </c>
      <c r="E1400" s="1" t="n">
        <v>20171</v>
      </c>
      <c r="F1400" s="1" t="s">
        <v>303</v>
      </c>
      <c r="G1400" s="1" t="s">
        <v>15</v>
      </c>
      <c r="H1400" s="1" t="n">
        <v>3.5</v>
      </c>
      <c r="I1400" s="1" t="n">
        <v>0</v>
      </c>
      <c r="J1400" s="1" t="n">
        <v>20201</v>
      </c>
      <c r="L1400" s="1" t="str">
        <f aca="false">IF(D1399&lt;&gt;D1400,D1400,"")</f>
        <v/>
      </c>
      <c r="M1400" s="1" t="str">
        <f aca="false">IF(F1399&lt;&gt;F1400,F1400,"")</f>
        <v/>
      </c>
    </row>
    <row r="1401" customFormat="false" ht="15" hidden="false" customHeight="false" outlineLevel="0" collapsed="false">
      <c r="A1401" s="1" t="s">
        <v>406</v>
      </c>
      <c r="B1401" s="1" t="s">
        <v>407</v>
      </c>
      <c r="C1401" s="1" t="s">
        <v>838</v>
      </c>
      <c r="D1401" s="1" t="s">
        <v>839</v>
      </c>
      <c r="E1401" s="1" t="n">
        <v>20171</v>
      </c>
      <c r="F1401" s="1" t="s">
        <v>303</v>
      </c>
      <c r="G1401" s="1" t="s">
        <v>15</v>
      </c>
      <c r="H1401" s="1" t="n">
        <v>3.5</v>
      </c>
      <c r="I1401" s="1" t="n">
        <v>0</v>
      </c>
      <c r="J1401" s="1" t="n">
        <v>20201</v>
      </c>
      <c r="L1401" s="1" t="str">
        <f aca="false">IF(D1400&lt;&gt;D1401,D1401,"")</f>
        <v/>
      </c>
      <c r="M1401" s="1" t="str">
        <f aca="false">IF(F1400&lt;&gt;F1401,F1401,"")</f>
        <v/>
      </c>
    </row>
    <row r="1402" customFormat="false" ht="15" hidden="false" customHeight="false" outlineLevel="0" collapsed="false">
      <c r="A1402" s="1" t="s">
        <v>408</v>
      </c>
      <c r="B1402" s="1" t="s">
        <v>409</v>
      </c>
      <c r="C1402" s="1" t="s">
        <v>838</v>
      </c>
      <c r="D1402" s="1" t="s">
        <v>839</v>
      </c>
      <c r="E1402" s="1" t="n">
        <v>20171</v>
      </c>
      <c r="F1402" s="1" t="s">
        <v>303</v>
      </c>
      <c r="G1402" s="1" t="s">
        <v>18</v>
      </c>
      <c r="H1402" s="1" t="n">
        <v>3</v>
      </c>
      <c r="I1402" s="1" t="n">
        <v>0</v>
      </c>
      <c r="J1402" s="1" t="n">
        <v>20201</v>
      </c>
      <c r="L1402" s="1" t="str">
        <f aca="false">IF(D1401&lt;&gt;D1402,D1402,"")</f>
        <v/>
      </c>
      <c r="M1402" s="1" t="str">
        <f aca="false">IF(F1401&lt;&gt;F1402,F1402,"")</f>
        <v/>
      </c>
    </row>
    <row r="1403" customFormat="false" ht="15" hidden="false" customHeight="false" outlineLevel="0" collapsed="false">
      <c r="A1403" s="1" t="s">
        <v>410</v>
      </c>
      <c r="B1403" s="1" t="s">
        <v>411</v>
      </c>
      <c r="C1403" s="1" t="s">
        <v>838</v>
      </c>
      <c r="D1403" s="1" t="s">
        <v>839</v>
      </c>
      <c r="E1403" s="1" t="n">
        <v>20171</v>
      </c>
      <c r="F1403" s="1" t="s">
        <v>303</v>
      </c>
      <c r="G1403" s="1" t="s">
        <v>15</v>
      </c>
      <c r="H1403" s="1" t="n">
        <v>3.5</v>
      </c>
      <c r="I1403" s="1" t="n">
        <v>0</v>
      </c>
      <c r="J1403" s="1" t="n">
        <v>20201</v>
      </c>
      <c r="L1403" s="1" t="str">
        <f aca="false">IF(D1402&lt;&gt;D1403,D1403,"")</f>
        <v/>
      </c>
      <c r="M1403" s="1" t="str">
        <f aca="false">IF(F1402&lt;&gt;F1403,F1403,"")</f>
        <v/>
      </c>
    </row>
    <row r="1404" customFormat="false" ht="15" hidden="false" customHeight="false" outlineLevel="0" collapsed="false">
      <c r="A1404" s="1" t="s">
        <v>412</v>
      </c>
      <c r="B1404" s="1" t="s">
        <v>413</v>
      </c>
      <c r="C1404" s="1" t="s">
        <v>838</v>
      </c>
      <c r="D1404" s="1" t="s">
        <v>839</v>
      </c>
      <c r="E1404" s="1" t="n">
        <v>20171</v>
      </c>
      <c r="F1404" s="1" t="s">
        <v>303</v>
      </c>
      <c r="G1404" s="1" t="s">
        <v>127</v>
      </c>
      <c r="H1404" s="1" t="n">
        <v>2</v>
      </c>
      <c r="I1404" s="1" t="n">
        <v>0</v>
      </c>
      <c r="J1404" s="1" t="n">
        <v>20201</v>
      </c>
      <c r="L1404" s="1" t="str">
        <f aca="false">IF(D1403&lt;&gt;D1404,D1404,"")</f>
        <v/>
      </c>
      <c r="M1404" s="1" t="str">
        <f aca="false">IF(F1403&lt;&gt;F1404,F1404,"")</f>
        <v/>
      </c>
    </row>
    <row r="1405" customFormat="false" ht="15" hidden="false" customHeight="false" outlineLevel="0" collapsed="false">
      <c r="A1405" s="1" t="s">
        <v>414</v>
      </c>
      <c r="B1405" s="1" t="s">
        <v>415</v>
      </c>
      <c r="C1405" s="1" t="s">
        <v>838</v>
      </c>
      <c r="D1405" s="1" t="s">
        <v>839</v>
      </c>
      <c r="E1405" s="1" t="n">
        <v>20171</v>
      </c>
      <c r="F1405" s="1" t="s">
        <v>303</v>
      </c>
      <c r="G1405" s="1" t="s">
        <v>101</v>
      </c>
      <c r="H1405" s="1" t="n">
        <v>2.5</v>
      </c>
      <c r="I1405" s="1" t="n">
        <v>0</v>
      </c>
      <c r="J1405" s="1" t="n">
        <v>20201</v>
      </c>
      <c r="L1405" s="1" t="str">
        <f aca="false">IF(D1404&lt;&gt;D1405,D1405,"")</f>
        <v/>
      </c>
      <c r="M1405" s="1" t="str">
        <f aca="false">IF(F1404&lt;&gt;F1405,F1405,"")</f>
        <v/>
      </c>
    </row>
    <row r="1406" customFormat="false" ht="15" hidden="false" customHeight="false" outlineLevel="0" collapsed="false">
      <c r="A1406" s="1" t="s">
        <v>416</v>
      </c>
      <c r="B1406" s="1" t="s">
        <v>417</v>
      </c>
      <c r="C1406" s="1" t="s">
        <v>838</v>
      </c>
      <c r="D1406" s="1" t="s">
        <v>839</v>
      </c>
      <c r="E1406" s="1" t="n">
        <v>20171</v>
      </c>
      <c r="F1406" s="1" t="s">
        <v>303</v>
      </c>
      <c r="G1406" s="1" t="s">
        <v>127</v>
      </c>
      <c r="H1406" s="1" t="n">
        <v>2</v>
      </c>
      <c r="I1406" s="1" t="n">
        <v>0</v>
      </c>
      <c r="J1406" s="1" t="n">
        <v>20201</v>
      </c>
      <c r="L1406" s="1" t="str">
        <f aca="false">IF(D1405&lt;&gt;D1406,D1406,"")</f>
        <v/>
      </c>
      <c r="M1406" s="1" t="str">
        <f aca="false">IF(F1405&lt;&gt;F1406,F1406,"")</f>
        <v/>
      </c>
    </row>
    <row r="1407" customFormat="false" ht="15" hidden="false" customHeight="false" outlineLevel="0" collapsed="false">
      <c r="A1407" s="1" t="s">
        <v>418</v>
      </c>
      <c r="B1407" s="1" t="s">
        <v>419</v>
      </c>
      <c r="C1407" s="1" t="s">
        <v>838</v>
      </c>
      <c r="D1407" s="1" t="s">
        <v>839</v>
      </c>
      <c r="E1407" s="1" t="n">
        <v>20171</v>
      </c>
      <c r="F1407" s="1" t="s">
        <v>303</v>
      </c>
      <c r="G1407" s="1" t="s">
        <v>101</v>
      </c>
      <c r="H1407" s="1" t="n">
        <v>2.5</v>
      </c>
      <c r="I1407" s="1" t="n">
        <v>0</v>
      </c>
      <c r="J1407" s="1" t="n">
        <v>20201</v>
      </c>
      <c r="L1407" s="1" t="str">
        <f aca="false">IF(D1406&lt;&gt;D1407,D1407,"")</f>
        <v/>
      </c>
      <c r="M1407" s="1" t="str">
        <f aca="false">IF(F1406&lt;&gt;F1407,F1407,"")</f>
        <v/>
      </c>
    </row>
    <row r="1408" customFormat="false" ht="15" hidden="false" customHeight="false" outlineLevel="0" collapsed="false">
      <c r="A1408" s="1" t="s">
        <v>420</v>
      </c>
      <c r="B1408" s="1" t="s">
        <v>421</v>
      </c>
      <c r="C1408" s="1" t="s">
        <v>838</v>
      </c>
      <c r="D1408" s="1" t="s">
        <v>839</v>
      </c>
      <c r="E1408" s="1" t="n">
        <v>20171</v>
      </c>
      <c r="F1408" s="1" t="s">
        <v>303</v>
      </c>
      <c r="G1408" s="1" t="s">
        <v>23</v>
      </c>
      <c r="H1408" s="1" t="n">
        <v>0</v>
      </c>
      <c r="I1408" s="1" t="n">
        <v>0</v>
      </c>
      <c r="J1408" s="1" t="n">
        <v>20201</v>
      </c>
      <c r="L1408" s="1" t="str">
        <f aca="false">IF(D1407&lt;&gt;D1408,D1408,"")</f>
        <v/>
      </c>
      <c r="M1408" s="1" t="str">
        <f aca="false">IF(F1407&lt;&gt;F1408,F1408,"")</f>
        <v/>
      </c>
    </row>
    <row r="1409" customFormat="false" ht="15" hidden="false" customHeight="false" outlineLevel="0" collapsed="false">
      <c r="A1409" s="1" t="s">
        <v>422</v>
      </c>
      <c r="B1409" s="1" t="s">
        <v>423</v>
      </c>
      <c r="C1409" s="1" t="s">
        <v>838</v>
      </c>
      <c r="D1409" s="1" t="s">
        <v>839</v>
      </c>
      <c r="E1409" s="1" t="n">
        <v>20171</v>
      </c>
      <c r="F1409" s="1" t="s">
        <v>303</v>
      </c>
      <c r="G1409" s="1" t="s">
        <v>127</v>
      </c>
      <c r="H1409" s="1" t="n">
        <v>2</v>
      </c>
      <c r="I1409" s="1" t="n">
        <v>0</v>
      </c>
      <c r="J1409" s="1" t="n">
        <v>20201</v>
      </c>
      <c r="L1409" s="1" t="str">
        <f aca="false">IF(D1408&lt;&gt;D1409,D1409,"")</f>
        <v/>
      </c>
      <c r="M1409" s="1" t="str">
        <f aca="false">IF(F1408&lt;&gt;F1409,F1409,"")</f>
        <v/>
      </c>
    </row>
    <row r="1410" customFormat="false" ht="15" hidden="false" customHeight="false" outlineLevel="0" collapsed="false">
      <c r="A1410" s="1" t="s">
        <v>424</v>
      </c>
      <c r="B1410" s="1" t="s">
        <v>425</v>
      </c>
      <c r="C1410" s="1" t="s">
        <v>838</v>
      </c>
      <c r="D1410" s="1" t="s">
        <v>839</v>
      </c>
      <c r="E1410" s="1" t="n">
        <v>20171</v>
      </c>
      <c r="F1410" s="1" t="s">
        <v>303</v>
      </c>
      <c r="G1410" s="1" t="s">
        <v>101</v>
      </c>
      <c r="H1410" s="1" t="n">
        <v>2.5</v>
      </c>
      <c r="I1410" s="1" t="n">
        <v>0</v>
      </c>
      <c r="J1410" s="1" t="n">
        <v>20201</v>
      </c>
      <c r="L1410" s="1" t="str">
        <f aca="false">IF(D1409&lt;&gt;D1410,D1410,"")</f>
        <v/>
      </c>
      <c r="M1410" s="1" t="str">
        <f aca="false">IF(F1409&lt;&gt;F1410,F1410,"")</f>
        <v/>
      </c>
    </row>
    <row r="1411" customFormat="false" ht="15" hidden="false" customHeight="false" outlineLevel="0" collapsed="false">
      <c r="A1411" s="1" t="s">
        <v>426</v>
      </c>
      <c r="B1411" s="1" t="s">
        <v>427</v>
      </c>
      <c r="C1411" s="1" t="s">
        <v>838</v>
      </c>
      <c r="D1411" s="1" t="s">
        <v>839</v>
      </c>
      <c r="E1411" s="1" t="n">
        <v>20171</v>
      </c>
      <c r="F1411" s="1" t="s">
        <v>303</v>
      </c>
      <c r="G1411" s="1" t="s">
        <v>101</v>
      </c>
      <c r="H1411" s="1" t="n">
        <v>2.5</v>
      </c>
      <c r="I1411" s="1" t="n">
        <v>0</v>
      </c>
      <c r="J1411" s="1" t="n">
        <v>20201</v>
      </c>
      <c r="L1411" s="1" t="str">
        <f aca="false">IF(D1410&lt;&gt;D1411,D1411,"")</f>
        <v/>
      </c>
      <c r="M1411" s="1" t="str">
        <f aca="false">IF(F1410&lt;&gt;F1411,F1411,"")</f>
        <v/>
      </c>
    </row>
    <row r="1412" customFormat="false" ht="15" hidden="false" customHeight="false" outlineLevel="0" collapsed="false">
      <c r="A1412" s="1" t="s">
        <v>428</v>
      </c>
      <c r="B1412" s="1" t="s">
        <v>429</v>
      </c>
      <c r="C1412" s="1" t="s">
        <v>838</v>
      </c>
      <c r="D1412" s="1" t="s">
        <v>839</v>
      </c>
      <c r="E1412" s="1" t="n">
        <v>20171</v>
      </c>
      <c r="F1412" s="1" t="s">
        <v>303</v>
      </c>
      <c r="G1412" s="1" t="s">
        <v>127</v>
      </c>
      <c r="H1412" s="1" t="n">
        <v>2</v>
      </c>
      <c r="I1412" s="1" t="n">
        <v>0</v>
      </c>
      <c r="J1412" s="1" t="n">
        <v>20201</v>
      </c>
      <c r="L1412" s="1" t="str">
        <f aca="false">IF(D1411&lt;&gt;D1412,D1412,"")</f>
        <v/>
      </c>
      <c r="M1412" s="1" t="str">
        <f aca="false">IF(F1411&lt;&gt;F1412,F1412,"")</f>
        <v/>
      </c>
    </row>
    <row r="1413" customFormat="false" ht="15" hidden="false" customHeight="false" outlineLevel="0" collapsed="false">
      <c r="A1413" s="1" t="s">
        <v>430</v>
      </c>
      <c r="B1413" s="1" t="s">
        <v>431</v>
      </c>
      <c r="C1413" s="1" t="s">
        <v>838</v>
      </c>
      <c r="D1413" s="1" t="s">
        <v>839</v>
      </c>
      <c r="E1413" s="1" t="n">
        <v>20171</v>
      </c>
      <c r="F1413" s="1" t="s">
        <v>303</v>
      </c>
      <c r="G1413" s="1" t="s">
        <v>127</v>
      </c>
      <c r="H1413" s="1" t="n">
        <v>2</v>
      </c>
      <c r="I1413" s="1" t="n">
        <v>0</v>
      </c>
      <c r="J1413" s="1" t="n">
        <v>20201</v>
      </c>
      <c r="L1413" s="1" t="str">
        <f aca="false">IF(D1412&lt;&gt;D1413,D1413,"")</f>
        <v/>
      </c>
      <c r="M1413" s="1" t="str">
        <f aca="false">IF(F1412&lt;&gt;F1413,F1413,"")</f>
        <v/>
      </c>
    </row>
    <row r="1414" customFormat="false" ht="15" hidden="false" customHeight="false" outlineLevel="0" collapsed="false">
      <c r="A1414" s="1" t="s">
        <v>432</v>
      </c>
      <c r="B1414" s="1" t="s">
        <v>433</v>
      </c>
      <c r="C1414" s="1" t="s">
        <v>838</v>
      </c>
      <c r="D1414" s="1" t="s">
        <v>839</v>
      </c>
      <c r="E1414" s="1" t="n">
        <v>20171</v>
      </c>
      <c r="F1414" s="1" t="s">
        <v>303</v>
      </c>
      <c r="G1414" s="1" t="s">
        <v>127</v>
      </c>
      <c r="H1414" s="1" t="n">
        <v>2</v>
      </c>
      <c r="I1414" s="1" t="n">
        <v>0</v>
      </c>
      <c r="J1414" s="1" t="n">
        <v>20201</v>
      </c>
      <c r="L1414" s="1" t="str">
        <f aca="false">IF(D1413&lt;&gt;D1414,D1414,"")</f>
        <v/>
      </c>
      <c r="M1414" s="1" t="str">
        <f aca="false">IF(F1413&lt;&gt;F1414,F1414,"")</f>
        <v/>
      </c>
    </row>
    <row r="1415" customFormat="false" ht="15" hidden="false" customHeight="false" outlineLevel="0" collapsed="false">
      <c r="A1415" s="1" t="s">
        <v>434</v>
      </c>
      <c r="B1415" s="1" t="s">
        <v>435</v>
      </c>
      <c r="C1415" s="1" t="s">
        <v>838</v>
      </c>
      <c r="D1415" s="1" t="s">
        <v>839</v>
      </c>
      <c r="E1415" s="1" t="n">
        <v>20171</v>
      </c>
      <c r="F1415" s="1" t="s">
        <v>303</v>
      </c>
      <c r="G1415" s="1" t="s">
        <v>18</v>
      </c>
      <c r="H1415" s="1" t="n">
        <v>3</v>
      </c>
      <c r="I1415" s="1" t="n">
        <v>0</v>
      </c>
      <c r="J1415" s="1" t="n">
        <v>20201</v>
      </c>
      <c r="L1415" s="1" t="str">
        <f aca="false">IF(D1414&lt;&gt;D1415,D1415,"")</f>
        <v/>
      </c>
      <c r="M1415" s="1" t="str">
        <f aca="false">IF(F1414&lt;&gt;F1415,F1415,"")</f>
        <v/>
      </c>
    </row>
    <row r="1416" customFormat="false" ht="15" hidden="false" customHeight="false" outlineLevel="0" collapsed="false">
      <c r="A1416" s="1" t="s">
        <v>436</v>
      </c>
      <c r="B1416" s="1" t="s">
        <v>437</v>
      </c>
      <c r="C1416" s="1" t="s">
        <v>838</v>
      </c>
      <c r="D1416" s="1" t="s">
        <v>839</v>
      </c>
      <c r="E1416" s="1" t="n">
        <v>20171</v>
      </c>
      <c r="F1416" s="1" t="s">
        <v>303</v>
      </c>
      <c r="G1416" s="1" t="s">
        <v>14</v>
      </c>
      <c r="H1416" s="1" t="n">
        <v>4</v>
      </c>
      <c r="I1416" s="1" t="n">
        <v>0</v>
      </c>
      <c r="J1416" s="1" t="n">
        <v>20201</v>
      </c>
      <c r="L1416" s="1" t="str">
        <f aca="false">IF(D1415&lt;&gt;D1416,D1416,"")</f>
        <v/>
      </c>
      <c r="M1416" s="1" t="str">
        <f aca="false">IF(F1415&lt;&gt;F1416,F1416,"")</f>
        <v/>
      </c>
    </row>
    <row r="1417" customFormat="false" ht="15" hidden="false" customHeight="false" outlineLevel="0" collapsed="false">
      <c r="A1417" s="1" t="s">
        <v>438</v>
      </c>
      <c r="B1417" s="1" t="s">
        <v>439</v>
      </c>
      <c r="C1417" s="1" t="s">
        <v>838</v>
      </c>
      <c r="D1417" s="1" t="s">
        <v>839</v>
      </c>
      <c r="E1417" s="1" t="n">
        <v>20171</v>
      </c>
      <c r="F1417" s="1" t="s">
        <v>303</v>
      </c>
      <c r="G1417" s="1" t="s">
        <v>127</v>
      </c>
      <c r="H1417" s="1" t="n">
        <v>2</v>
      </c>
      <c r="I1417" s="1" t="n">
        <v>0</v>
      </c>
      <c r="J1417" s="1" t="n">
        <v>20201</v>
      </c>
      <c r="L1417" s="1" t="str">
        <f aca="false">IF(D1416&lt;&gt;D1417,D1417,"")</f>
        <v/>
      </c>
      <c r="M1417" s="1" t="str">
        <f aca="false">IF(F1416&lt;&gt;F1417,F1417,"")</f>
        <v/>
      </c>
    </row>
    <row r="1418" customFormat="false" ht="15" hidden="false" customHeight="false" outlineLevel="0" collapsed="false">
      <c r="A1418" s="1" t="s">
        <v>440</v>
      </c>
      <c r="B1418" s="1" t="s">
        <v>441</v>
      </c>
      <c r="C1418" s="1" t="s">
        <v>838</v>
      </c>
      <c r="D1418" s="1" t="s">
        <v>839</v>
      </c>
      <c r="E1418" s="1" t="n">
        <v>20171</v>
      </c>
      <c r="F1418" s="1" t="s">
        <v>303</v>
      </c>
      <c r="G1418" s="1" t="s">
        <v>101</v>
      </c>
      <c r="H1418" s="1" t="n">
        <v>2.5</v>
      </c>
      <c r="I1418" s="1" t="n">
        <v>0</v>
      </c>
      <c r="J1418" s="1" t="n">
        <v>20201</v>
      </c>
      <c r="L1418" s="1" t="str">
        <f aca="false">IF(D1417&lt;&gt;D1418,D1418,"")</f>
        <v/>
      </c>
      <c r="M1418" s="1" t="str">
        <f aca="false">IF(F1417&lt;&gt;F1418,F1418,"")</f>
        <v/>
      </c>
    </row>
    <row r="1419" customFormat="false" ht="15" hidden="false" customHeight="false" outlineLevel="0" collapsed="false">
      <c r="A1419" s="1" t="s">
        <v>442</v>
      </c>
      <c r="B1419" s="1" t="s">
        <v>443</v>
      </c>
      <c r="C1419" s="1" t="s">
        <v>838</v>
      </c>
      <c r="D1419" s="1" t="s">
        <v>839</v>
      </c>
      <c r="E1419" s="1" t="n">
        <v>20171</v>
      </c>
      <c r="F1419" s="1" t="s">
        <v>303</v>
      </c>
      <c r="G1419" s="1" t="s">
        <v>127</v>
      </c>
      <c r="H1419" s="1" t="n">
        <v>2</v>
      </c>
      <c r="I1419" s="1" t="n">
        <v>0</v>
      </c>
      <c r="J1419" s="1" t="n">
        <v>20201</v>
      </c>
      <c r="L1419" s="1" t="str">
        <f aca="false">IF(D1418&lt;&gt;D1419,D1419,"")</f>
        <v/>
      </c>
      <c r="M1419" s="1" t="str">
        <f aca="false">IF(F1418&lt;&gt;F1419,F1419,"")</f>
        <v/>
      </c>
    </row>
    <row r="1420" customFormat="false" ht="15" hidden="false" customHeight="false" outlineLevel="0" collapsed="false">
      <c r="A1420" s="1" t="s">
        <v>444</v>
      </c>
      <c r="B1420" s="1" t="s">
        <v>445</v>
      </c>
      <c r="C1420" s="1" t="s">
        <v>838</v>
      </c>
      <c r="D1420" s="1" t="s">
        <v>839</v>
      </c>
      <c r="E1420" s="1" t="n">
        <v>20171</v>
      </c>
      <c r="F1420" s="1" t="s">
        <v>303</v>
      </c>
      <c r="G1420" s="1" t="s">
        <v>127</v>
      </c>
      <c r="H1420" s="1" t="n">
        <v>2</v>
      </c>
      <c r="I1420" s="1" t="n">
        <v>0</v>
      </c>
      <c r="J1420" s="1" t="n">
        <v>20201</v>
      </c>
      <c r="L1420" s="1" t="str">
        <f aca="false">IF(D1419&lt;&gt;D1420,D1420,"")</f>
        <v/>
      </c>
      <c r="M1420" s="1" t="str">
        <f aca="false">IF(F1419&lt;&gt;F1420,F1420,"")</f>
        <v/>
      </c>
    </row>
    <row r="1421" customFormat="false" ht="15" hidden="false" customHeight="false" outlineLevel="0" collapsed="false">
      <c r="A1421" s="1" t="s">
        <v>446</v>
      </c>
      <c r="B1421" s="1" t="s">
        <v>447</v>
      </c>
      <c r="C1421" s="1" t="s">
        <v>838</v>
      </c>
      <c r="D1421" s="1" t="s">
        <v>839</v>
      </c>
      <c r="E1421" s="1" t="n">
        <v>20171</v>
      </c>
      <c r="F1421" s="1" t="s">
        <v>303</v>
      </c>
      <c r="G1421" s="1" t="s">
        <v>127</v>
      </c>
      <c r="H1421" s="1" t="n">
        <v>2</v>
      </c>
      <c r="I1421" s="1" t="n">
        <v>0</v>
      </c>
      <c r="J1421" s="1" t="n">
        <v>20201</v>
      </c>
      <c r="L1421" s="1" t="str">
        <f aca="false">IF(D1420&lt;&gt;D1421,D1421,"")</f>
        <v/>
      </c>
      <c r="M1421" s="1" t="str">
        <f aca="false">IF(F1420&lt;&gt;F1421,F1421,"")</f>
        <v/>
      </c>
    </row>
    <row r="1422" customFormat="false" ht="15" hidden="false" customHeight="false" outlineLevel="0" collapsed="false">
      <c r="A1422" s="1" t="s">
        <v>448</v>
      </c>
      <c r="B1422" s="1" t="s">
        <v>449</v>
      </c>
      <c r="C1422" s="1" t="s">
        <v>838</v>
      </c>
      <c r="D1422" s="1" t="s">
        <v>839</v>
      </c>
      <c r="E1422" s="1" t="n">
        <v>20171</v>
      </c>
      <c r="F1422" s="1" t="s">
        <v>303</v>
      </c>
      <c r="G1422" s="1" t="s">
        <v>514</v>
      </c>
      <c r="H1422" s="1" t="n">
        <v>1</v>
      </c>
      <c r="I1422" s="1" t="n">
        <v>0</v>
      </c>
      <c r="J1422" s="1" t="n">
        <v>20201</v>
      </c>
      <c r="L1422" s="1" t="str">
        <f aca="false">IF(D1421&lt;&gt;D1422,D1422,"")</f>
        <v/>
      </c>
      <c r="M1422" s="1" t="str">
        <f aca="false">IF(F1421&lt;&gt;F1422,F1422,"")</f>
        <v/>
      </c>
    </row>
    <row r="1423" customFormat="false" ht="15" hidden="false" customHeight="false" outlineLevel="0" collapsed="false">
      <c r="A1423" s="1" t="s">
        <v>450</v>
      </c>
      <c r="B1423" s="1" t="s">
        <v>451</v>
      </c>
      <c r="C1423" s="1" t="s">
        <v>838</v>
      </c>
      <c r="D1423" s="1" t="s">
        <v>839</v>
      </c>
      <c r="E1423" s="1" t="n">
        <v>20171</v>
      </c>
      <c r="F1423" s="1" t="s">
        <v>303</v>
      </c>
      <c r="G1423" s="1" t="s">
        <v>23</v>
      </c>
      <c r="H1423" s="1" t="n">
        <v>0</v>
      </c>
      <c r="I1423" s="1" t="n">
        <v>0</v>
      </c>
      <c r="J1423" s="1" t="n">
        <v>20201</v>
      </c>
      <c r="L1423" s="1" t="str">
        <f aca="false">IF(D1422&lt;&gt;D1423,D1423,"")</f>
        <v/>
      </c>
      <c r="M1423" s="1" t="str">
        <f aca="false">IF(F1422&lt;&gt;F1423,F1423,"")</f>
        <v/>
      </c>
    </row>
    <row r="1424" customFormat="false" ht="15" hidden="false" customHeight="false" outlineLevel="0" collapsed="false">
      <c r="A1424" s="1" t="s">
        <v>452</v>
      </c>
      <c r="B1424" s="1" t="s">
        <v>453</v>
      </c>
      <c r="C1424" s="1" t="s">
        <v>838</v>
      </c>
      <c r="D1424" s="1" t="s">
        <v>839</v>
      </c>
      <c r="E1424" s="1" t="n">
        <v>20171</v>
      </c>
      <c r="F1424" s="1" t="s">
        <v>303</v>
      </c>
      <c r="G1424" s="1" t="s">
        <v>14</v>
      </c>
      <c r="H1424" s="1" t="n">
        <v>4</v>
      </c>
      <c r="I1424" s="1" t="n">
        <v>0</v>
      </c>
      <c r="J1424" s="1" t="n">
        <v>20201</v>
      </c>
      <c r="L1424" s="1" t="str">
        <f aca="false">IF(D1423&lt;&gt;D1424,D1424,"")</f>
        <v/>
      </c>
      <c r="M1424" s="1" t="str">
        <f aca="false">IF(F1423&lt;&gt;F1424,F1424,"")</f>
        <v/>
      </c>
    </row>
    <row r="1425" customFormat="false" ht="15" hidden="false" customHeight="false" outlineLevel="0" collapsed="false">
      <c r="A1425" s="1" t="s">
        <v>454</v>
      </c>
      <c r="B1425" s="1" t="s">
        <v>455</v>
      </c>
      <c r="C1425" s="1" t="s">
        <v>838</v>
      </c>
      <c r="D1425" s="1" t="s">
        <v>839</v>
      </c>
      <c r="E1425" s="1" t="n">
        <v>20171</v>
      </c>
      <c r="F1425" s="1" t="s">
        <v>303</v>
      </c>
      <c r="G1425" s="1" t="s">
        <v>18</v>
      </c>
      <c r="H1425" s="1" t="n">
        <v>3</v>
      </c>
      <c r="I1425" s="1" t="n">
        <v>0</v>
      </c>
      <c r="J1425" s="1" t="n">
        <v>20201</v>
      </c>
      <c r="L1425" s="1" t="str">
        <f aca="false">IF(D1424&lt;&gt;D1425,D1425,"")</f>
        <v/>
      </c>
      <c r="M1425" s="1" t="str">
        <f aca="false">IF(F1424&lt;&gt;F1425,F1425,"")</f>
        <v/>
      </c>
    </row>
    <row r="1426" customFormat="false" ht="15" hidden="false" customHeight="false" outlineLevel="0" collapsed="false">
      <c r="A1426" s="1" t="s">
        <v>456</v>
      </c>
      <c r="B1426" s="1" t="s">
        <v>457</v>
      </c>
      <c r="C1426" s="1" t="s">
        <v>838</v>
      </c>
      <c r="D1426" s="1" t="s">
        <v>839</v>
      </c>
      <c r="E1426" s="1" t="n">
        <v>20171</v>
      </c>
      <c r="F1426" s="1" t="s">
        <v>303</v>
      </c>
      <c r="G1426" s="1" t="s">
        <v>101</v>
      </c>
      <c r="H1426" s="1" t="n">
        <v>2.5</v>
      </c>
      <c r="I1426" s="1" t="n">
        <v>0</v>
      </c>
      <c r="J1426" s="1" t="n">
        <v>20201</v>
      </c>
      <c r="L1426" s="1" t="str">
        <f aca="false">IF(D1425&lt;&gt;D1426,D1426,"")</f>
        <v/>
      </c>
      <c r="M1426" s="1" t="str">
        <f aca="false">IF(F1425&lt;&gt;F1426,F1426,"")</f>
        <v/>
      </c>
    </row>
    <row r="1427" customFormat="false" ht="15" hidden="false" customHeight="false" outlineLevel="0" collapsed="false">
      <c r="A1427" s="1" t="s">
        <v>458</v>
      </c>
      <c r="B1427" s="1" t="s">
        <v>459</v>
      </c>
      <c r="C1427" s="1" t="s">
        <v>838</v>
      </c>
      <c r="D1427" s="1" t="s">
        <v>839</v>
      </c>
      <c r="E1427" s="1" t="n">
        <v>20171</v>
      </c>
      <c r="F1427" s="1" t="s">
        <v>303</v>
      </c>
      <c r="G1427" s="1" t="s">
        <v>30</v>
      </c>
      <c r="H1427" s="1" t="n">
        <v>1.5</v>
      </c>
      <c r="I1427" s="1" t="n">
        <v>0</v>
      </c>
      <c r="J1427" s="1" t="n">
        <v>20201</v>
      </c>
      <c r="L1427" s="1" t="str">
        <f aca="false">IF(D1426&lt;&gt;D1427,D1427,"")</f>
        <v/>
      </c>
      <c r="M1427" s="1" t="str">
        <f aca="false">IF(F1426&lt;&gt;F1427,F1427,"")</f>
        <v/>
      </c>
    </row>
    <row r="1428" customFormat="false" ht="15" hidden="false" customHeight="false" outlineLevel="0" collapsed="false">
      <c r="A1428" s="1" t="s">
        <v>460</v>
      </c>
      <c r="B1428" s="1" t="s">
        <v>461</v>
      </c>
      <c r="C1428" s="1" t="s">
        <v>838</v>
      </c>
      <c r="D1428" s="1" t="s">
        <v>839</v>
      </c>
      <c r="E1428" s="1" t="n">
        <v>20171</v>
      </c>
      <c r="F1428" s="1" t="s">
        <v>303</v>
      </c>
      <c r="G1428" s="1" t="s">
        <v>127</v>
      </c>
      <c r="H1428" s="1" t="n">
        <v>2</v>
      </c>
      <c r="I1428" s="1" t="n">
        <v>0</v>
      </c>
      <c r="J1428" s="1" t="n">
        <v>20201</v>
      </c>
      <c r="L1428" s="1" t="str">
        <f aca="false">IF(D1427&lt;&gt;D1428,D1428,"")</f>
        <v/>
      </c>
      <c r="M1428" s="1" t="str">
        <f aca="false">IF(F1427&lt;&gt;F1428,F1428,"")</f>
        <v/>
      </c>
    </row>
    <row r="1429" customFormat="false" ht="15" hidden="false" customHeight="false" outlineLevel="0" collapsed="false">
      <c r="A1429" s="1" t="s">
        <v>462</v>
      </c>
      <c r="B1429" s="1" t="s">
        <v>463</v>
      </c>
      <c r="C1429" s="1" t="s">
        <v>838</v>
      </c>
      <c r="D1429" s="1" t="s">
        <v>839</v>
      </c>
      <c r="E1429" s="1" t="n">
        <v>20171</v>
      </c>
      <c r="F1429" s="1" t="s">
        <v>303</v>
      </c>
      <c r="G1429" s="1" t="s">
        <v>101</v>
      </c>
      <c r="H1429" s="1" t="n">
        <v>2.5</v>
      </c>
      <c r="I1429" s="1" t="n">
        <v>0</v>
      </c>
      <c r="J1429" s="1" t="n">
        <v>20201</v>
      </c>
      <c r="L1429" s="1" t="str">
        <f aca="false">IF(D1428&lt;&gt;D1429,D1429,"")</f>
        <v/>
      </c>
      <c r="M1429" s="1" t="str">
        <f aca="false">IF(F1428&lt;&gt;F1429,F1429,"")</f>
        <v/>
      </c>
    </row>
    <row r="1430" customFormat="false" ht="15" hidden="false" customHeight="false" outlineLevel="0" collapsed="false">
      <c r="A1430" s="1" t="s">
        <v>464</v>
      </c>
      <c r="B1430" s="1" t="s">
        <v>465</v>
      </c>
      <c r="C1430" s="1" t="s">
        <v>838</v>
      </c>
      <c r="D1430" s="1" t="s">
        <v>839</v>
      </c>
      <c r="E1430" s="1" t="n">
        <v>20171</v>
      </c>
      <c r="F1430" s="1" t="s">
        <v>303</v>
      </c>
      <c r="G1430" s="1" t="s">
        <v>18</v>
      </c>
      <c r="H1430" s="1" t="n">
        <v>3</v>
      </c>
      <c r="I1430" s="1" t="n">
        <v>0</v>
      </c>
      <c r="J1430" s="1" t="n">
        <v>20201</v>
      </c>
      <c r="L1430" s="1" t="str">
        <f aca="false">IF(D1429&lt;&gt;D1430,D1430,"")</f>
        <v/>
      </c>
      <c r="M1430" s="1" t="str">
        <f aca="false">IF(F1429&lt;&gt;F1430,F1430,"")</f>
        <v/>
      </c>
    </row>
    <row r="1431" customFormat="false" ht="15" hidden="false" customHeight="false" outlineLevel="0" collapsed="false">
      <c r="A1431" s="1" t="s">
        <v>466</v>
      </c>
      <c r="B1431" s="1" t="s">
        <v>467</v>
      </c>
      <c r="C1431" s="1" t="s">
        <v>838</v>
      </c>
      <c r="D1431" s="1" t="s">
        <v>839</v>
      </c>
      <c r="E1431" s="1" t="n">
        <v>20171</v>
      </c>
      <c r="F1431" s="1" t="s">
        <v>303</v>
      </c>
      <c r="G1431" s="1" t="s">
        <v>101</v>
      </c>
      <c r="H1431" s="1" t="n">
        <v>2.5</v>
      </c>
      <c r="I1431" s="1" t="n">
        <v>0</v>
      </c>
      <c r="J1431" s="1" t="n">
        <v>20201</v>
      </c>
      <c r="L1431" s="1" t="str">
        <f aca="false">IF(D1430&lt;&gt;D1431,D1431,"")</f>
        <v/>
      </c>
      <c r="M1431" s="1" t="str">
        <f aca="false">IF(F1430&lt;&gt;F1431,F1431,"")</f>
        <v/>
      </c>
    </row>
    <row r="1432" customFormat="false" ht="15" hidden="false" customHeight="false" outlineLevel="0" collapsed="false">
      <c r="A1432" s="1" t="s">
        <v>468</v>
      </c>
      <c r="B1432" s="1" t="s">
        <v>469</v>
      </c>
      <c r="C1432" s="1" t="s">
        <v>838</v>
      </c>
      <c r="D1432" s="1" t="s">
        <v>839</v>
      </c>
      <c r="E1432" s="1" t="n">
        <v>20171</v>
      </c>
      <c r="F1432" s="1" t="s">
        <v>303</v>
      </c>
      <c r="G1432" s="1" t="s">
        <v>18</v>
      </c>
      <c r="H1432" s="1" t="n">
        <v>3</v>
      </c>
      <c r="I1432" s="1" t="n">
        <v>0</v>
      </c>
      <c r="J1432" s="1" t="n">
        <v>20201</v>
      </c>
      <c r="L1432" s="1" t="str">
        <f aca="false">IF(D1431&lt;&gt;D1432,D1432,"")</f>
        <v/>
      </c>
      <c r="M1432" s="1" t="str">
        <f aca="false">IF(F1431&lt;&gt;F1432,F1432,"")</f>
        <v/>
      </c>
    </row>
    <row r="1433" customFormat="false" ht="15" hidden="false" customHeight="false" outlineLevel="0" collapsed="false">
      <c r="A1433" s="1" t="s">
        <v>470</v>
      </c>
      <c r="B1433" s="1" t="s">
        <v>471</v>
      </c>
      <c r="C1433" s="1" t="s">
        <v>838</v>
      </c>
      <c r="D1433" s="1" t="s">
        <v>839</v>
      </c>
      <c r="E1433" s="1" t="n">
        <v>20171</v>
      </c>
      <c r="F1433" s="1" t="s">
        <v>303</v>
      </c>
      <c r="G1433" s="1" t="s">
        <v>15</v>
      </c>
      <c r="H1433" s="1" t="n">
        <v>3.5</v>
      </c>
      <c r="I1433" s="1" t="n">
        <v>0</v>
      </c>
      <c r="J1433" s="1" t="n">
        <v>20201</v>
      </c>
      <c r="L1433" s="1" t="str">
        <f aca="false">IF(D1432&lt;&gt;D1433,D1433,"")</f>
        <v/>
      </c>
      <c r="M1433" s="1" t="str">
        <f aca="false">IF(F1432&lt;&gt;F1433,F1433,"")</f>
        <v/>
      </c>
    </row>
    <row r="1434" customFormat="false" ht="15" hidden="false" customHeight="false" outlineLevel="0" collapsed="false">
      <c r="A1434" s="1" t="s">
        <v>472</v>
      </c>
      <c r="B1434" s="1" t="s">
        <v>473</v>
      </c>
      <c r="C1434" s="1" t="s">
        <v>838</v>
      </c>
      <c r="D1434" s="1" t="s">
        <v>839</v>
      </c>
      <c r="E1434" s="1" t="n">
        <v>20171</v>
      </c>
      <c r="F1434" s="1" t="s">
        <v>303</v>
      </c>
      <c r="G1434" s="1" t="s">
        <v>30</v>
      </c>
      <c r="H1434" s="1" t="n">
        <v>1.5</v>
      </c>
      <c r="I1434" s="1" t="n">
        <v>0</v>
      </c>
      <c r="J1434" s="1" t="n">
        <v>20201</v>
      </c>
      <c r="L1434" s="1" t="str">
        <f aca="false">IF(D1433&lt;&gt;D1434,D1434,"")</f>
        <v/>
      </c>
      <c r="M1434" s="1" t="str">
        <f aca="false">IF(F1433&lt;&gt;F1434,F1434,"")</f>
        <v/>
      </c>
    </row>
    <row r="1435" customFormat="false" ht="15" hidden="false" customHeight="false" outlineLevel="0" collapsed="false">
      <c r="A1435" s="1" t="s">
        <v>474</v>
      </c>
      <c r="B1435" s="1" t="s">
        <v>475</v>
      </c>
      <c r="C1435" s="1" t="s">
        <v>838</v>
      </c>
      <c r="D1435" s="1" t="s">
        <v>839</v>
      </c>
      <c r="E1435" s="1" t="n">
        <v>20171</v>
      </c>
      <c r="F1435" s="1" t="s">
        <v>303</v>
      </c>
      <c r="G1435" s="1" t="s">
        <v>127</v>
      </c>
      <c r="H1435" s="1" t="n">
        <v>2</v>
      </c>
      <c r="I1435" s="1" t="n">
        <v>0</v>
      </c>
      <c r="J1435" s="1" t="n">
        <v>20201</v>
      </c>
      <c r="L1435" s="1" t="str">
        <f aca="false">IF(D1434&lt;&gt;D1435,D1435,"")</f>
        <v/>
      </c>
      <c r="M1435" s="1" t="str">
        <f aca="false">IF(F1434&lt;&gt;F1435,F1435,"")</f>
        <v/>
      </c>
    </row>
    <row r="1436" customFormat="false" ht="15" hidden="false" customHeight="false" outlineLevel="0" collapsed="false">
      <c r="A1436" s="1" t="s">
        <v>476</v>
      </c>
      <c r="B1436" s="1" t="s">
        <v>477</v>
      </c>
      <c r="C1436" s="1" t="s">
        <v>838</v>
      </c>
      <c r="D1436" s="1" t="s">
        <v>839</v>
      </c>
      <c r="E1436" s="1" t="n">
        <v>20171</v>
      </c>
      <c r="F1436" s="1" t="s">
        <v>303</v>
      </c>
      <c r="G1436" s="1" t="s">
        <v>127</v>
      </c>
      <c r="H1436" s="1" t="n">
        <v>2</v>
      </c>
      <c r="I1436" s="1" t="n">
        <v>0</v>
      </c>
      <c r="J1436" s="1" t="n">
        <v>20201</v>
      </c>
      <c r="L1436" s="1" t="str">
        <f aca="false">IF(D1435&lt;&gt;D1436,D1436,"")</f>
        <v/>
      </c>
      <c r="M1436" s="1" t="str">
        <f aca="false">IF(F1435&lt;&gt;F1436,F1436,"")</f>
        <v/>
      </c>
    </row>
    <row r="1437" customFormat="false" ht="15" hidden="false" customHeight="false" outlineLevel="0" collapsed="false">
      <c r="A1437" s="1" t="s">
        <v>478</v>
      </c>
      <c r="B1437" s="1" t="s">
        <v>479</v>
      </c>
      <c r="C1437" s="1" t="s">
        <v>838</v>
      </c>
      <c r="D1437" s="1" t="s">
        <v>839</v>
      </c>
      <c r="E1437" s="1" t="n">
        <v>20171</v>
      </c>
      <c r="F1437" s="1" t="s">
        <v>303</v>
      </c>
      <c r="G1437" s="1" t="s">
        <v>18</v>
      </c>
      <c r="H1437" s="1" t="n">
        <v>3</v>
      </c>
      <c r="I1437" s="1" t="n">
        <v>0</v>
      </c>
      <c r="J1437" s="1" t="n">
        <v>20201</v>
      </c>
      <c r="L1437" s="1" t="str">
        <f aca="false">IF(D1436&lt;&gt;D1437,D1437,"")</f>
        <v/>
      </c>
      <c r="M1437" s="1" t="str">
        <f aca="false">IF(F1436&lt;&gt;F1437,F1437,"")</f>
        <v/>
      </c>
    </row>
    <row r="1438" customFormat="false" ht="15" hidden="false" customHeight="false" outlineLevel="0" collapsed="false">
      <c r="A1438" s="1" t="s">
        <v>480</v>
      </c>
      <c r="B1438" s="1" t="s">
        <v>481</v>
      </c>
      <c r="C1438" s="1" t="s">
        <v>838</v>
      </c>
      <c r="D1438" s="1" t="s">
        <v>839</v>
      </c>
      <c r="E1438" s="1" t="n">
        <v>20171</v>
      </c>
      <c r="F1438" s="1" t="s">
        <v>303</v>
      </c>
      <c r="G1438" s="1" t="s">
        <v>30</v>
      </c>
      <c r="H1438" s="1" t="n">
        <v>1.5</v>
      </c>
      <c r="I1438" s="1" t="n">
        <v>0</v>
      </c>
      <c r="J1438" s="1" t="n">
        <v>20201</v>
      </c>
      <c r="L1438" s="1" t="str">
        <f aca="false">IF(D1437&lt;&gt;D1438,D1438,"")</f>
        <v/>
      </c>
      <c r="M1438" s="1" t="str">
        <f aca="false">IF(F1437&lt;&gt;F1438,F1438,"")</f>
        <v/>
      </c>
    </row>
    <row r="1439" customFormat="false" ht="15" hidden="false" customHeight="false" outlineLevel="0" collapsed="false">
      <c r="A1439" s="1" t="s">
        <v>482</v>
      </c>
      <c r="B1439" s="1" t="s">
        <v>483</v>
      </c>
      <c r="C1439" s="1" t="s">
        <v>838</v>
      </c>
      <c r="D1439" s="1" t="s">
        <v>839</v>
      </c>
      <c r="E1439" s="1" t="n">
        <v>20171</v>
      </c>
      <c r="F1439" s="1" t="s">
        <v>303</v>
      </c>
      <c r="G1439" s="1" t="s">
        <v>15</v>
      </c>
      <c r="H1439" s="1" t="n">
        <v>3.5</v>
      </c>
      <c r="I1439" s="1" t="n">
        <v>0</v>
      </c>
      <c r="J1439" s="1" t="n">
        <v>20201</v>
      </c>
      <c r="L1439" s="1" t="str">
        <f aca="false">IF(D1438&lt;&gt;D1439,D1439,"")</f>
        <v/>
      </c>
      <c r="M1439" s="1" t="str">
        <f aca="false">IF(F1438&lt;&gt;F1439,F1439,"")</f>
        <v/>
      </c>
    </row>
    <row r="1440" customFormat="false" ht="15" hidden="false" customHeight="false" outlineLevel="0" collapsed="false">
      <c r="A1440" s="1" t="s">
        <v>484</v>
      </c>
      <c r="B1440" s="1" t="s">
        <v>485</v>
      </c>
      <c r="C1440" s="1" t="s">
        <v>838</v>
      </c>
      <c r="D1440" s="1" t="s">
        <v>839</v>
      </c>
      <c r="E1440" s="1" t="n">
        <v>20171</v>
      </c>
      <c r="F1440" s="1" t="s">
        <v>303</v>
      </c>
      <c r="G1440" s="1" t="s">
        <v>18</v>
      </c>
      <c r="H1440" s="1" t="n">
        <v>3</v>
      </c>
      <c r="I1440" s="1" t="n">
        <v>0</v>
      </c>
      <c r="J1440" s="1" t="n">
        <v>20201</v>
      </c>
      <c r="L1440" s="1" t="str">
        <f aca="false">IF(D1439&lt;&gt;D1440,D1440,"")</f>
        <v/>
      </c>
      <c r="M1440" s="1" t="str">
        <f aca="false">IF(F1439&lt;&gt;F1440,F1440,"")</f>
        <v/>
      </c>
    </row>
    <row r="1441" customFormat="false" ht="15" hidden="false" customHeight="false" outlineLevel="0" collapsed="false">
      <c r="A1441" s="1" t="s">
        <v>486</v>
      </c>
      <c r="B1441" s="1" t="s">
        <v>487</v>
      </c>
      <c r="C1441" s="1" t="s">
        <v>838</v>
      </c>
      <c r="D1441" s="1" t="s">
        <v>839</v>
      </c>
      <c r="E1441" s="1" t="n">
        <v>20171</v>
      </c>
      <c r="F1441" s="1" t="s">
        <v>303</v>
      </c>
      <c r="G1441" s="1" t="s">
        <v>101</v>
      </c>
      <c r="H1441" s="1" t="n">
        <v>2.5</v>
      </c>
      <c r="I1441" s="1" t="n">
        <v>0</v>
      </c>
      <c r="J1441" s="1" t="n">
        <v>20201</v>
      </c>
      <c r="L1441" s="1" t="str">
        <f aca="false">IF(D1440&lt;&gt;D1441,D1441,"")</f>
        <v/>
      </c>
      <c r="M1441" s="1" t="str">
        <f aca="false">IF(F1440&lt;&gt;F1441,F1441,"")</f>
        <v/>
      </c>
    </row>
    <row r="1442" customFormat="false" ht="15" hidden="false" customHeight="false" outlineLevel="0" collapsed="false">
      <c r="A1442" s="1" t="s">
        <v>488</v>
      </c>
      <c r="B1442" s="1" t="s">
        <v>489</v>
      </c>
      <c r="C1442" s="1" t="s">
        <v>838</v>
      </c>
      <c r="D1442" s="1" t="s">
        <v>839</v>
      </c>
      <c r="E1442" s="1" t="n">
        <v>20171</v>
      </c>
      <c r="F1442" s="1" t="s">
        <v>303</v>
      </c>
      <c r="G1442" s="1" t="s">
        <v>101</v>
      </c>
      <c r="H1442" s="1" t="n">
        <v>2.5</v>
      </c>
      <c r="I1442" s="1" t="n">
        <v>0</v>
      </c>
      <c r="J1442" s="1" t="n">
        <v>20201</v>
      </c>
      <c r="L1442" s="1" t="str">
        <f aca="false">IF(D1441&lt;&gt;D1442,D1442,"")</f>
        <v/>
      </c>
      <c r="M1442" s="1" t="str">
        <f aca="false">IF(F1441&lt;&gt;F1442,F1442,"")</f>
        <v/>
      </c>
    </row>
    <row r="1443" customFormat="false" ht="15" hidden="false" customHeight="false" outlineLevel="0" collapsed="false">
      <c r="A1443" s="1" t="s">
        <v>490</v>
      </c>
      <c r="B1443" s="1" t="s">
        <v>491</v>
      </c>
      <c r="C1443" s="1" t="s">
        <v>838</v>
      </c>
      <c r="D1443" s="1" t="s">
        <v>839</v>
      </c>
      <c r="E1443" s="1" t="n">
        <v>20171</v>
      </c>
      <c r="F1443" s="1" t="s">
        <v>303</v>
      </c>
      <c r="G1443" s="1" t="s">
        <v>101</v>
      </c>
      <c r="H1443" s="1" t="n">
        <v>2.5</v>
      </c>
      <c r="I1443" s="1" t="n">
        <v>0</v>
      </c>
      <c r="J1443" s="1" t="n">
        <v>20201</v>
      </c>
      <c r="L1443" s="1" t="str">
        <f aca="false">IF(D1442&lt;&gt;D1443,D1443,"")</f>
        <v/>
      </c>
      <c r="M1443" s="1" t="str">
        <f aca="false">IF(F1442&lt;&gt;F1443,F1443,"")</f>
        <v/>
      </c>
    </row>
    <row r="1444" customFormat="false" ht="15" hidden="false" customHeight="false" outlineLevel="0" collapsed="false">
      <c r="A1444" s="1" t="s">
        <v>492</v>
      </c>
      <c r="B1444" s="1" t="s">
        <v>493</v>
      </c>
      <c r="C1444" s="1" t="s">
        <v>838</v>
      </c>
      <c r="D1444" s="1" t="s">
        <v>839</v>
      </c>
      <c r="E1444" s="1" t="n">
        <v>20171</v>
      </c>
      <c r="F1444" s="1" t="s">
        <v>303</v>
      </c>
      <c r="G1444" s="1" t="s">
        <v>15</v>
      </c>
      <c r="H1444" s="1" t="n">
        <v>3.5</v>
      </c>
      <c r="I1444" s="1" t="n">
        <v>0</v>
      </c>
      <c r="J1444" s="1" t="n">
        <v>20201</v>
      </c>
      <c r="L1444" s="1" t="str">
        <f aca="false">IF(D1443&lt;&gt;D1444,D1444,"")</f>
        <v/>
      </c>
      <c r="M1444" s="1" t="str">
        <f aca="false">IF(F1443&lt;&gt;F1444,F1444,"")</f>
        <v/>
      </c>
    </row>
    <row r="1445" customFormat="false" ht="15" hidden="false" customHeight="false" outlineLevel="0" collapsed="false">
      <c r="A1445" s="1" t="s">
        <v>494</v>
      </c>
      <c r="B1445" s="1" t="s">
        <v>495</v>
      </c>
      <c r="C1445" s="1" t="s">
        <v>838</v>
      </c>
      <c r="D1445" s="1" t="s">
        <v>839</v>
      </c>
      <c r="E1445" s="1" t="n">
        <v>20171</v>
      </c>
      <c r="F1445" s="1" t="s">
        <v>303</v>
      </c>
      <c r="G1445" s="1" t="s">
        <v>18</v>
      </c>
      <c r="H1445" s="1" t="n">
        <v>3</v>
      </c>
      <c r="I1445" s="1" t="n">
        <v>0</v>
      </c>
      <c r="J1445" s="1" t="n">
        <v>20201</v>
      </c>
      <c r="L1445" s="1" t="str">
        <f aca="false">IF(D1444&lt;&gt;D1445,D1445,"")</f>
        <v/>
      </c>
      <c r="M1445" s="1" t="str">
        <f aca="false">IF(F1444&lt;&gt;F1445,F1445,"")</f>
        <v/>
      </c>
    </row>
    <row r="1446" customFormat="false" ht="15" hidden="false" customHeight="false" outlineLevel="0" collapsed="false">
      <c r="A1446" s="1" t="s">
        <v>496</v>
      </c>
      <c r="B1446" s="1" t="s">
        <v>497</v>
      </c>
      <c r="C1446" s="1" t="s">
        <v>838</v>
      </c>
      <c r="D1446" s="1" t="s">
        <v>839</v>
      </c>
      <c r="E1446" s="1" t="n">
        <v>20171</v>
      </c>
      <c r="F1446" s="1" t="s">
        <v>303</v>
      </c>
      <c r="G1446" s="1" t="s">
        <v>30</v>
      </c>
      <c r="H1446" s="1" t="n">
        <v>1.5</v>
      </c>
      <c r="I1446" s="1" t="n">
        <v>0</v>
      </c>
      <c r="J1446" s="1" t="n">
        <v>20201</v>
      </c>
      <c r="L1446" s="1" t="str">
        <f aca="false">IF(D1445&lt;&gt;D1446,D1446,"")</f>
        <v/>
      </c>
      <c r="M1446" s="1" t="str">
        <f aca="false">IF(F1445&lt;&gt;F1446,F1446,"")</f>
        <v/>
      </c>
    </row>
    <row r="1447" customFormat="false" ht="15" hidden="false" customHeight="false" outlineLevel="0" collapsed="false">
      <c r="A1447" s="1" t="s">
        <v>498</v>
      </c>
      <c r="B1447" s="1" t="s">
        <v>499</v>
      </c>
      <c r="C1447" s="1" t="s">
        <v>838</v>
      </c>
      <c r="D1447" s="1" t="s">
        <v>839</v>
      </c>
      <c r="E1447" s="1" t="n">
        <v>20171</v>
      </c>
      <c r="F1447" s="1" t="s">
        <v>303</v>
      </c>
      <c r="G1447" s="1" t="s">
        <v>15</v>
      </c>
      <c r="H1447" s="1" t="n">
        <v>3.5</v>
      </c>
      <c r="I1447" s="1" t="n">
        <v>0</v>
      </c>
      <c r="J1447" s="1" t="n">
        <v>20201</v>
      </c>
      <c r="L1447" s="1" t="str">
        <f aca="false">IF(D1446&lt;&gt;D1447,D1447,"")</f>
        <v/>
      </c>
      <c r="M1447" s="1" t="str">
        <f aca="false">IF(F1446&lt;&gt;F1447,F1447,"")</f>
        <v/>
      </c>
    </row>
    <row r="1448" customFormat="false" ht="15" hidden="false" customHeight="false" outlineLevel="0" collapsed="false">
      <c r="A1448" s="1" t="s">
        <v>500</v>
      </c>
      <c r="B1448" s="1" t="s">
        <v>501</v>
      </c>
      <c r="C1448" s="1" t="s">
        <v>838</v>
      </c>
      <c r="D1448" s="1" t="s">
        <v>839</v>
      </c>
      <c r="E1448" s="1" t="n">
        <v>20171</v>
      </c>
      <c r="F1448" s="1" t="s">
        <v>303</v>
      </c>
      <c r="G1448" s="1" t="s">
        <v>18</v>
      </c>
      <c r="H1448" s="1" t="n">
        <v>3</v>
      </c>
      <c r="I1448" s="1" t="n">
        <v>0</v>
      </c>
      <c r="J1448" s="1" t="n">
        <v>20201</v>
      </c>
      <c r="L1448" s="1" t="str">
        <f aca="false">IF(D1447&lt;&gt;D1448,D1448,"")</f>
        <v/>
      </c>
      <c r="M1448" s="1" t="str">
        <f aca="false">IF(F1447&lt;&gt;F1448,F1448,"")</f>
        <v/>
      </c>
    </row>
    <row r="1449" customFormat="false" ht="15" hidden="false" customHeight="false" outlineLevel="0" collapsed="false">
      <c r="A1449" s="1" t="s">
        <v>502</v>
      </c>
      <c r="B1449" s="1" t="s">
        <v>503</v>
      </c>
      <c r="C1449" s="1" t="s">
        <v>838</v>
      </c>
      <c r="D1449" s="1" t="s">
        <v>839</v>
      </c>
      <c r="E1449" s="1" t="n">
        <v>20171</v>
      </c>
      <c r="F1449" s="1" t="s">
        <v>303</v>
      </c>
      <c r="G1449" s="1" t="s">
        <v>14</v>
      </c>
      <c r="H1449" s="1" t="n">
        <v>4</v>
      </c>
      <c r="I1449" s="1" t="n">
        <v>0</v>
      </c>
      <c r="J1449" s="1" t="n">
        <v>20201</v>
      </c>
      <c r="L1449" s="1" t="str">
        <f aca="false">IF(D1448&lt;&gt;D1449,D1449,"")</f>
        <v/>
      </c>
      <c r="M1449" s="1" t="str">
        <f aca="false">IF(F1448&lt;&gt;F1449,F1449,"")</f>
        <v/>
      </c>
    </row>
    <row r="1450" customFormat="false" ht="15" hidden="false" customHeight="false" outlineLevel="0" collapsed="false">
      <c r="A1450" s="1" t="s">
        <v>504</v>
      </c>
      <c r="B1450" s="1" t="s">
        <v>505</v>
      </c>
      <c r="C1450" s="1" t="s">
        <v>838</v>
      </c>
      <c r="D1450" s="1" t="s">
        <v>839</v>
      </c>
      <c r="E1450" s="1" t="n">
        <v>20171</v>
      </c>
      <c r="F1450" s="1" t="s">
        <v>303</v>
      </c>
      <c r="G1450" s="1" t="s">
        <v>18</v>
      </c>
      <c r="H1450" s="1" t="n">
        <v>3</v>
      </c>
      <c r="I1450" s="1" t="n">
        <v>0</v>
      </c>
      <c r="J1450" s="1" t="n">
        <v>20201</v>
      </c>
      <c r="L1450" s="1" t="str">
        <f aca="false">IF(D1449&lt;&gt;D1450,D1450,"")</f>
        <v/>
      </c>
      <c r="M1450" s="1" t="str">
        <f aca="false">IF(F1449&lt;&gt;F1450,F1450,"")</f>
        <v/>
      </c>
    </row>
    <row r="1451" customFormat="false" ht="15" hidden="false" customHeight="false" outlineLevel="0" collapsed="false">
      <c r="A1451" s="1" t="s">
        <v>506</v>
      </c>
      <c r="B1451" s="1" t="s">
        <v>507</v>
      </c>
      <c r="C1451" s="1" t="s">
        <v>838</v>
      </c>
      <c r="D1451" s="1" t="s">
        <v>839</v>
      </c>
      <c r="E1451" s="1" t="n">
        <v>20171</v>
      </c>
      <c r="F1451" s="1" t="s">
        <v>303</v>
      </c>
      <c r="G1451" s="1" t="s">
        <v>15</v>
      </c>
      <c r="H1451" s="1" t="n">
        <v>3.5</v>
      </c>
      <c r="I1451" s="1" t="n">
        <v>0</v>
      </c>
      <c r="J1451" s="1" t="n">
        <v>20201</v>
      </c>
      <c r="L1451" s="1" t="str">
        <f aca="false">IF(D1450&lt;&gt;D1451,D1451,"")</f>
        <v/>
      </c>
      <c r="M1451" s="1" t="str">
        <f aca="false">IF(F1450&lt;&gt;F1451,F1451,"")</f>
        <v/>
      </c>
    </row>
    <row r="1452" customFormat="false" ht="15" hidden="false" customHeight="false" outlineLevel="0" collapsed="false">
      <c r="A1452" s="1" t="s">
        <v>508</v>
      </c>
      <c r="B1452" s="1" t="s">
        <v>509</v>
      </c>
      <c r="C1452" s="1" t="s">
        <v>838</v>
      </c>
      <c r="D1452" s="1" t="s">
        <v>839</v>
      </c>
      <c r="E1452" s="1" t="n">
        <v>20171</v>
      </c>
      <c r="F1452" s="1" t="s">
        <v>303</v>
      </c>
      <c r="G1452" s="1" t="s">
        <v>127</v>
      </c>
      <c r="H1452" s="1" t="n">
        <v>2</v>
      </c>
      <c r="I1452" s="1" t="n">
        <v>0</v>
      </c>
      <c r="J1452" s="1" t="n">
        <v>20201</v>
      </c>
      <c r="L1452" s="1" t="str">
        <f aca="false">IF(D1451&lt;&gt;D1452,D1452,"")</f>
        <v/>
      </c>
      <c r="M1452" s="1" t="str">
        <f aca="false">IF(F1451&lt;&gt;F1452,F1452,"")</f>
        <v/>
      </c>
    </row>
    <row r="1453" customFormat="false" ht="15" hidden="false" customHeight="false" outlineLevel="0" collapsed="false">
      <c r="A1453" s="1" t="s">
        <v>527</v>
      </c>
      <c r="B1453" s="1" t="s">
        <v>528</v>
      </c>
      <c r="C1453" s="1" t="s">
        <v>840</v>
      </c>
      <c r="D1453" s="1" t="s">
        <v>841</v>
      </c>
      <c r="E1453" s="1" t="n">
        <v>20171</v>
      </c>
      <c r="F1453" s="1" t="s">
        <v>208</v>
      </c>
      <c r="G1453" s="1" t="s">
        <v>18</v>
      </c>
      <c r="H1453" s="1" t="n">
        <v>3</v>
      </c>
      <c r="I1453" s="1" t="n">
        <v>0</v>
      </c>
      <c r="J1453" s="1" t="n">
        <v>20201</v>
      </c>
      <c r="L1453" s="1" t="str">
        <f aca="false">IF(D1452&lt;&gt;D1453,D1453,"")</f>
        <v>MATEMATIKA DISKRIT</v>
      </c>
      <c r="M1453" s="1" t="str">
        <f aca="false">IF(F1452&lt;&gt;F1453,F1453,"")</f>
        <v>P</v>
      </c>
    </row>
    <row r="1454" customFormat="false" ht="15" hidden="false" customHeight="false" outlineLevel="0" collapsed="false">
      <c r="A1454" s="1" t="s">
        <v>529</v>
      </c>
      <c r="B1454" s="1" t="s">
        <v>530</v>
      </c>
      <c r="C1454" s="1" t="s">
        <v>840</v>
      </c>
      <c r="D1454" s="1" t="s">
        <v>841</v>
      </c>
      <c r="E1454" s="1" t="n">
        <v>20171</v>
      </c>
      <c r="F1454" s="1" t="s">
        <v>208</v>
      </c>
      <c r="G1454" s="1" t="s">
        <v>18</v>
      </c>
      <c r="H1454" s="1" t="n">
        <v>3</v>
      </c>
      <c r="I1454" s="1" t="n">
        <v>0</v>
      </c>
      <c r="J1454" s="1" t="n">
        <v>20201</v>
      </c>
      <c r="L1454" s="1" t="str">
        <f aca="false">IF(D1453&lt;&gt;D1454,D1454,"")</f>
        <v/>
      </c>
      <c r="M1454" s="1" t="str">
        <f aca="false">IF(F1453&lt;&gt;F1454,F1454,"")</f>
        <v/>
      </c>
    </row>
    <row r="1455" customFormat="false" ht="15" hidden="false" customHeight="false" outlineLevel="0" collapsed="false">
      <c r="A1455" s="1" t="s">
        <v>531</v>
      </c>
      <c r="B1455" s="1" t="s">
        <v>532</v>
      </c>
      <c r="C1455" s="1" t="s">
        <v>840</v>
      </c>
      <c r="D1455" s="1" t="s">
        <v>841</v>
      </c>
      <c r="E1455" s="1" t="n">
        <v>20171</v>
      </c>
      <c r="F1455" s="1" t="s">
        <v>208</v>
      </c>
      <c r="G1455" s="1" t="s">
        <v>18</v>
      </c>
      <c r="H1455" s="1" t="n">
        <v>3</v>
      </c>
      <c r="I1455" s="1" t="n">
        <v>0</v>
      </c>
      <c r="J1455" s="1" t="n">
        <v>20201</v>
      </c>
      <c r="L1455" s="1" t="str">
        <f aca="false">IF(D1454&lt;&gt;D1455,D1455,"")</f>
        <v/>
      </c>
      <c r="M1455" s="1" t="str">
        <f aca="false">IF(F1454&lt;&gt;F1455,F1455,"")</f>
        <v/>
      </c>
    </row>
    <row r="1456" customFormat="false" ht="15" hidden="false" customHeight="false" outlineLevel="0" collapsed="false">
      <c r="A1456" s="1" t="s">
        <v>535</v>
      </c>
      <c r="B1456" s="1" t="s">
        <v>536</v>
      </c>
      <c r="C1456" s="1" t="s">
        <v>840</v>
      </c>
      <c r="D1456" s="1" t="s">
        <v>841</v>
      </c>
      <c r="E1456" s="1" t="n">
        <v>20171</v>
      </c>
      <c r="F1456" s="1" t="s">
        <v>208</v>
      </c>
      <c r="G1456" s="1" t="s">
        <v>14</v>
      </c>
      <c r="H1456" s="1" t="n">
        <v>4</v>
      </c>
      <c r="I1456" s="1" t="n">
        <v>0</v>
      </c>
      <c r="J1456" s="1" t="n">
        <v>20201</v>
      </c>
      <c r="L1456" s="1" t="str">
        <f aca="false">IF(D1455&lt;&gt;D1456,D1456,"")</f>
        <v/>
      </c>
      <c r="M1456" s="1" t="str">
        <f aca="false">IF(F1455&lt;&gt;F1456,F1456,"")</f>
        <v/>
      </c>
    </row>
    <row r="1457" customFormat="false" ht="15" hidden="false" customHeight="false" outlineLevel="0" collapsed="false">
      <c r="A1457" s="1" t="s">
        <v>537</v>
      </c>
      <c r="B1457" s="1" t="s">
        <v>538</v>
      </c>
      <c r="C1457" s="1" t="s">
        <v>840</v>
      </c>
      <c r="D1457" s="1" t="s">
        <v>841</v>
      </c>
      <c r="E1457" s="1" t="n">
        <v>20171</v>
      </c>
      <c r="F1457" s="1" t="s">
        <v>208</v>
      </c>
      <c r="G1457" s="1" t="s">
        <v>14</v>
      </c>
      <c r="H1457" s="1" t="n">
        <v>4</v>
      </c>
      <c r="I1457" s="1" t="n">
        <v>0</v>
      </c>
      <c r="J1457" s="1" t="n">
        <v>20201</v>
      </c>
      <c r="L1457" s="1" t="str">
        <f aca="false">IF(D1456&lt;&gt;D1457,D1457,"")</f>
        <v/>
      </c>
      <c r="M1457" s="1" t="str">
        <f aca="false">IF(F1456&lt;&gt;F1457,F1457,"")</f>
        <v/>
      </c>
    </row>
    <row r="1458" customFormat="false" ht="15" hidden="false" customHeight="false" outlineLevel="0" collapsed="false">
      <c r="A1458" s="1" t="s">
        <v>312</v>
      </c>
      <c r="B1458" s="1" t="s">
        <v>313</v>
      </c>
      <c r="C1458" s="1" t="s">
        <v>840</v>
      </c>
      <c r="D1458" s="1" t="s">
        <v>841</v>
      </c>
      <c r="E1458" s="1" t="n">
        <v>20171</v>
      </c>
      <c r="F1458" s="1" t="s">
        <v>208</v>
      </c>
      <c r="G1458" s="1" t="s">
        <v>18</v>
      </c>
      <c r="H1458" s="1" t="n">
        <v>3</v>
      </c>
      <c r="I1458" s="1" t="n">
        <v>0</v>
      </c>
      <c r="J1458" s="1" t="n">
        <v>20201</v>
      </c>
      <c r="L1458" s="1" t="str">
        <f aca="false">IF(D1457&lt;&gt;D1458,D1458,"")</f>
        <v/>
      </c>
      <c r="M1458" s="1" t="str">
        <f aca="false">IF(F1457&lt;&gt;F1458,F1458,"")</f>
        <v/>
      </c>
    </row>
    <row r="1459" customFormat="false" ht="15" hidden="false" customHeight="false" outlineLevel="0" collapsed="false">
      <c r="A1459" s="1" t="s">
        <v>539</v>
      </c>
      <c r="B1459" s="1" t="s">
        <v>540</v>
      </c>
      <c r="C1459" s="1" t="s">
        <v>840</v>
      </c>
      <c r="D1459" s="1" t="s">
        <v>841</v>
      </c>
      <c r="E1459" s="1" t="n">
        <v>20171</v>
      </c>
      <c r="F1459" s="1" t="s">
        <v>208</v>
      </c>
      <c r="G1459" s="1" t="s">
        <v>101</v>
      </c>
      <c r="H1459" s="1" t="n">
        <v>2.5</v>
      </c>
      <c r="I1459" s="1" t="n">
        <v>0</v>
      </c>
      <c r="J1459" s="1" t="n">
        <v>20201</v>
      </c>
      <c r="L1459" s="1" t="str">
        <f aca="false">IF(D1458&lt;&gt;D1459,D1459,"")</f>
        <v/>
      </c>
      <c r="M1459" s="1" t="str">
        <f aca="false">IF(F1458&lt;&gt;F1459,F1459,"")</f>
        <v/>
      </c>
    </row>
    <row r="1460" customFormat="false" ht="15" hidden="false" customHeight="false" outlineLevel="0" collapsed="false">
      <c r="A1460" s="1" t="s">
        <v>541</v>
      </c>
      <c r="B1460" s="1" t="s">
        <v>542</v>
      </c>
      <c r="C1460" s="1" t="s">
        <v>840</v>
      </c>
      <c r="D1460" s="1" t="s">
        <v>841</v>
      </c>
      <c r="E1460" s="1" t="n">
        <v>20171</v>
      </c>
      <c r="F1460" s="1" t="s">
        <v>208</v>
      </c>
      <c r="G1460" s="1" t="s">
        <v>18</v>
      </c>
      <c r="H1460" s="1" t="n">
        <v>3</v>
      </c>
      <c r="I1460" s="1" t="n">
        <v>0</v>
      </c>
      <c r="J1460" s="1" t="n">
        <v>20201</v>
      </c>
      <c r="L1460" s="1" t="str">
        <f aca="false">IF(D1459&lt;&gt;D1460,D1460,"")</f>
        <v/>
      </c>
      <c r="M1460" s="1" t="str">
        <f aca="false">IF(F1459&lt;&gt;F1460,F1460,"")</f>
        <v/>
      </c>
    </row>
    <row r="1461" customFormat="false" ht="15" hidden="false" customHeight="false" outlineLevel="0" collapsed="false">
      <c r="A1461" s="1" t="s">
        <v>543</v>
      </c>
      <c r="B1461" s="1" t="s">
        <v>544</v>
      </c>
      <c r="C1461" s="1" t="s">
        <v>840</v>
      </c>
      <c r="D1461" s="1" t="s">
        <v>841</v>
      </c>
      <c r="E1461" s="1" t="n">
        <v>20171</v>
      </c>
      <c r="F1461" s="1" t="s">
        <v>208</v>
      </c>
      <c r="G1461" s="1" t="s">
        <v>101</v>
      </c>
      <c r="H1461" s="1" t="n">
        <v>2.5</v>
      </c>
      <c r="I1461" s="1" t="n">
        <v>0</v>
      </c>
      <c r="J1461" s="1" t="n">
        <v>20201</v>
      </c>
      <c r="L1461" s="1" t="str">
        <f aca="false">IF(D1460&lt;&gt;D1461,D1461,"")</f>
        <v/>
      </c>
      <c r="M1461" s="1" t="str">
        <f aca="false">IF(F1460&lt;&gt;F1461,F1461,"")</f>
        <v/>
      </c>
    </row>
    <row r="1462" customFormat="false" ht="15" hidden="false" customHeight="false" outlineLevel="0" collapsed="false">
      <c r="A1462" s="1" t="s">
        <v>547</v>
      </c>
      <c r="B1462" s="1" t="s">
        <v>548</v>
      </c>
      <c r="C1462" s="1" t="s">
        <v>840</v>
      </c>
      <c r="D1462" s="1" t="s">
        <v>841</v>
      </c>
      <c r="E1462" s="1" t="n">
        <v>20171</v>
      </c>
      <c r="F1462" s="1" t="s">
        <v>208</v>
      </c>
      <c r="G1462" s="1" t="s">
        <v>15</v>
      </c>
      <c r="H1462" s="1" t="n">
        <v>3.5</v>
      </c>
      <c r="I1462" s="1" t="n">
        <v>0</v>
      </c>
      <c r="J1462" s="1" t="n">
        <v>20201</v>
      </c>
      <c r="L1462" s="1" t="str">
        <f aca="false">IF(D1461&lt;&gt;D1462,D1462,"")</f>
        <v/>
      </c>
      <c r="M1462" s="1" t="str">
        <f aca="false">IF(F1461&lt;&gt;F1462,F1462,"")</f>
        <v/>
      </c>
    </row>
    <row r="1463" customFormat="false" ht="15" hidden="false" customHeight="false" outlineLevel="0" collapsed="false">
      <c r="A1463" s="1" t="s">
        <v>549</v>
      </c>
      <c r="B1463" s="1" t="s">
        <v>550</v>
      </c>
      <c r="C1463" s="1" t="s">
        <v>840</v>
      </c>
      <c r="D1463" s="1" t="s">
        <v>841</v>
      </c>
      <c r="E1463" s="1" t="n">
        <v>20171</v>
      </c>
      <c r="F1463" s="1" t="s">
        <v>208</v>
      </c>
      <c r="G1463" s="1" t="s">
        <v>15</v>
      </c>
      <c r="H1463" s="1" t="n">
        <v>3.5</v>
      </c>
      <c r="I1463" s="1" t="n">
        <v>0</v>
      </c>
      <c r="J1463" s="1" t="n">
        <v>20201</v>
      </c>
      <c r="L1463" s="1" t="str">
        <f aca="false">IF(D1462&lt;&gt;D1463,D1463,"")</f>
        <v/>
      </c>
      <c r="M1463" s="1" t="str">
        <f aca="false">IF(F1462&lt;&gt;F1463,F1463,"")</f>
        <v/>
      </c>
    </row>
    <row r="1464" customFormat="false" ht="15" hidden="false" customHeight="false" outlineLevel="0" collapsed="false">
      <c r="A1464" s="1" t="s">
        <v>645</v>
      </c>
      <c r="B1464" s="1" t="s">
        <v>646</v>
      </c>
      <c r="C1464" s="1" t="s">
        <v>842</v>
      </c>
      <c r="D1464" s="1" t="s">
        <v>843</v>
      </c>
      <c r="E1464" s="1" t="n">
        <v>20171</v>
      </c>
      <c r="F1464" s="1" t="s">
        <v>14</v>
      </c>
      <c r="G1464" s="1" t="s">
        <v>514</v>
      </c>
      <c r="H1464" s="1" t="n">
        <v>1</v>
      </c>
      <c r="I1464" s="1" t="n">
        <v>0</v>
      </c>
      <c r="J1464" s="1" t="n">
        <v>20201</v>
      </c>
      <c r="L1464" s="1" t="str">
        <f aca="false">IF(D1463&lt;&gt;D1464,D1464,"")</f>
        <v>MATEMATIKA TEKNIK I</v>
      </c>
      <c r="M1464" s="1" t="str">
        <f aca="false">IF(F1463&lt;&gt;F1464,F1464,"")</f>
        <v>A</v>
      </c>
    </row>
    <row r="1465" customFormat="false" ht="15" hidden="false" customHeight="false" outlineLevel="0" collapsed="false">
      <c r="A1465" s="1" t="s">
        <v>585</v>
      </c>
      <c r="B1465" s="1" t="s">
        <v>586</v>
      </c>
      <c r="C1465" s="1" t="s">
        <v>842</v>
      </c>
      <c r="D1465" s="1" t="s">
        <v>843</v>
      </c>
      <c r="E1465" s="1" t="n">
        <v>20171</v>
      </c>
      <c r="F1465" s="1" t="s">
        <v>14</v>
      </c>
      <c r="G1465" s="1" t="s">
        <v>18</v>
      </c>
      <c r="H1465" s="1" t="n">
        <v>3</v>
      </c>
      <c r="I1465" s="1" t="n">
        <v>0</v>
      </c>
      <c r="J1465" s="1" t="n">
        <v>20201</v>
      </c>
      <c r="L1465" s="1" t="str">
        <f aca="false">IF(D1464&lt;&gt;D1465,D1465,"")</f>
        <v/>
      </c>
      <c r="M1465" s="1" t="str">
        <f aca="false">IF(F1464&lt;&gt;F1465,F1465,"")</f>
        <v/>
      </c>
    </row>
    <row r="1466" customFormat="false" ht="15" hidden="false" customHeight="false" outlineLevel="0" collapsed="false">
      <c r="A1466" s="1" t="s">
        <v>512</v>
      </c>
      <c r="B1466" s="1" t="s">
        <v>513</v>
      </c>
      <c r="C1466" s="1" t="s">
        <v>842</v>
      </c>
      <c r="D1466" s="1" t="s">
        <v>843</v>
      </c>
      <c r="E1466" s="1" t="n">
        <v>20171</v>
      </c>
      <c r="F1466" s="1" t="s">
        <v>14</v>
      </c>
      <c r="G1466" s="1" t="s">
        <v>30</v>
      </c>
      <c r="H1466" s="1" t="n">
        <v>1.5</v>
      </c>
      <c r="I1466" s="1" t="n">
        <v>0</v>
      </c>
      <c r="J1466" s="1" t="n">
        <v>20201</v>
      </c>
      <c r="L1466" s="1" t="str">
        <f aca="false">IF(D1465&lt;&gt;D1466,D1466,"")</f>
        <v/>
      </c>
      <c r="M1466" s="1" t="str">
        <f aca="false">IF(F1465&lt;&gt;F1466,F1466,"")</f>
        <v/>
      </c>
    </row>
    <row r="1467" customFormat="false" ht="15" hidden="false" customHeight="false" outlineLevel="0" collapsed="false">
      <c r="A1467" s="1" t="s">
        <v>647</v>
      </c>
      <c r="B1467" s="1" t="s">
        <v>648</v>
      </c>
      <c r="C1467" s="1" t="s">
        <v>842</v>
      </c>
      <c r="D1467" s="1" t="s">
        <v>843</v>
      </c>
      <c r="E1467" s="1" t="n">
        <v>20171</v>
      </c>
      <c r="F1467" s="1" t="s">
        <v>14</v>
      </c>
      <c r="G1467" s="1" t="s">
        <v>127</v>
      </c>
      <c r="H1467" s="1" t="n">
        <v>2</v>
      </c>
      <c r="I1467" s="1" t="n">
        <v>0</v>
      </c>
      <c r="J1467" s="1" t="n">
        <v>20201</v>
      </c>
      <c r="L1467" s="1" t="str">
        <f aca="false">IF(D1466&lt;&gt;D1467,D1467,"")</f>
        <v/>
      </c>
      <c r="M1467" s="1" t="str">
        <f aca="false">IF(F1466&lt;&gt;F1467,F1467,"")</f>
        <v/>
      </c>
    </row>
    <row r="1468" customFormat="false" ht="15" hidden="false" customHeight="false" outlineLevel="0" collapsed="false">
      <c r="A1468" s="1" t="s">
        <v>595</v>
      </c>
      <c r="B1468" s="1" t="s">
        <v>596</v>
      </c>
      <c r="C1468" s="1" t="s">
        <v>842</v>
      </c>
      <c r="D1468" s="1" t="s">
        <v>843</v>
      </c>
      <c r="E1468" s="1" t="n">
        <v>20171</v>
      </c>
      <c r="F1468" s="1" t="s">
        <v>14</v>
      </c>
      <c r="G1468" s="1" t="s">
        <v>15</v>
      </c>
      <c r="H1468" s="1" t="n">
        <v>3.5</v>
      </c>
      <c r="I1468" s="1" t="n">
        <v>0</v>
      </c>
      <c r="J1468" s="1" t="n">
        <v>20201</v>
      </c>
      <c r="L1468" s="1" t="str">
        <f aca="false">IF(D1467&lt;&gt;D1468,D1468,"")</f>
        <v/>
      </c>
      <c r="M1468" s="1" t="str">
        <f aca="false">IF(F1467&lt;&gt;F1468,F1468,"")</f>
        <v/>
      </c>
    </row>
    <row r="1469" customFormat="false" ht="15" hidden="false" customHeight="false" outlineLevel="0" collapsed="false">
      <c r="A1469" s="1" t="s">
        <v>24</v>
      </c>
      <c r="B1469" s="1" t="s">
        <v>25</v>
      </c>
      <c r="C1469" s="1" t="s">
        <v>842</v>
      </c>
      <c r="D1469" s="1" t="s">
        <v>843</v>
      </c>
      <c r="E1469" s="1" t="n">
        <v>20171</v>
      </c>
      <c r="F1469" s="1" t="s">
        <v>14</v>
      </c>
      <c r="G1469" s="1" t="s">
        <v>15</v>
      </c>
      <c r="H1469" s="1" t="n">
        <v>3.5</v>
      </c>
      <c r="I1469" s="1" t="n">
        <v>0</v>
      </c>
      <c r="J1469" s="1" t="n">
        <v>20201</v>
      </c>
      <c r="L1469" s="1" t="str">
        <f aca="false">IF(D1468&lt;&gt;D1469,D1469,"")</f>
        <v/>
      </c>
      <c r="M1469" s="1" t="str">
        <f aca="false">IF(F1468&lt;&gt;F1469,F1469,"")</f>
        <v/>
      </c>
    </row>
    <row r="1470" customFormat="false" ht="15" hidden="false" customHeight="false" outlineLevel="0" collapsed="false">
      <c r="A1470" s="1" t="s">
        <v>116</v>
      </c>
      <c r="B1470" s="1" t="s">
        <v>117</v>
      </c>
      <c r="C1470" s="1" t="s">
        <v>842</v>
      </c>
      <c r="D1470" s="1" t="s">
        <v>843</v>
      </c>
      <c r="E1470" s="1" t="n">
        <v>20171</v>
      </c>
      <c r="F1470" s="1" t="s">
        <v>14</v>
      </c>
      <c r="G1470" s="1" t="s">
        <v>14</v>
      </c>
      <c r="H1470" s="1" t="n">
        <v>4</v>
      </c>
      <c r="I1470" s="1" t="n">
        <v>0</v>
      </c>
      <c r="J1470" s="1" t="n">
        <v>20201</v>
      </c>
      <c r="L1470" s="1" t="str">
        <f aca="false">IF(D1469&lt;&gt;D1470,D1470,"")</f>
        <v/>
      </c>
      <c r="M1470" s="1" t="str">
        <f aca="false">IF(F1469&lt;&gt;F1470,F1470,"")</f>
        <v/>
      </c>
    </row>
    <row r="1471" customFormat="false" ht="15" hidden="false" customHeight="false" outlineLevel="0" collapsed="false">
      <c r="A1471" s="1" t="s">
        <v>26</v>
      </c>
      <c r="B1471" s="1" t="s">
        <v>27</v>
      </c>
      <c r="C1471" s="1" t="s">
        <v>842</v>
      </c>
      <c r="D1471" s="1" t="s">
        <v>843</v>
      </c>
      <c r="E1471" s="1" t="n">
        <v>20171</v>
      </c>
      <c r="F1471" s="1" t="s">
        <v>14</v>
      </c>
      <c r="G1471" s="1" t="s">
        <v>18</v>
      </c>
      <c r="H1471" s="1" t="n">
        <v>3</v>
      </c>
      <c r="I1471" s="1" t="n">
        <v>0</v>
      </c>
      <c r="J1471" s="1" t="n">
        <v>20201</v>
      </c>
      <c r="L1471" s="1" t="str">
        <f aca="false">IF(D1470&lt;&gt;D1471,D1471,"")</f>
        <v/>
      </c>
      <c r="M1471" s="1" t="str">
        <f aca="false">IF(F1470&lt;&gt;F1471,F1471,"")</f>
        <v/>
      </c>
    </row>
    <row r="1472" customFormat="false" ht="15" hidden="false" customHeight="false" outlineLevel="0" collapsed="false">
      <c r="A1472" s="1" t="s">
        <v>122</v>
      </c>
      <c r="B1472" s="1" t="s">
        <v>123</v>
      </c>
      <c r="C1472" s="1" t="s">
        <v>842</v>
      </c>
      <c r="D1472" s="1" t="s">
        <v>843</v>
      </c>
      <c r="E1472" s="1" t="n">
        <v>20171</v>
      </c>
      <c r="F1472" s="1" t="s">
        <v>14</v>
      </c>
      <c r="G1472" s="1" t="s">
        <v>124</v>
      </c>
      <c r="H1472" s="1" t="n">
        <v>0</v>
      </c>
      <c r="I1472" s="1" t="n">
        <v>0</v>
      </c>
      <c r="J1472" s="1" t="n">
        <v>20201</v>
      </c>
      <c r="L1472" s="1" t="str">
        <f aca="false">IF(D1471&lt;&gt;D1472,D1472,"")</f>
        <v/>
      </c>
      <c r="M1472" s="1" t="str">
        <f aca="false">IF(F1471&lt;&gt;F1472,F1472,"")</f>
        <v/>
      </c>
    </row>
    <row r="1473" customFormat="false" ht="15" hidden="false" customHeight="false" outlineLevel="0" collapsed="false">
      <c r="A1473" s="1" t="s">
        <v>125</v>
      </c>
      <c r="B1473" s="1" t="s">
        <v>126</v>
      </c>
      <c r="C1473" s="1" t="s">
        <v>842</v>
      </c>
      <c r="D1473" s="1" t="s">
        <v>843</v>
      </c>
      <c r="E1473" s="1" t="n">
        <v>20171</v>
      </c>
      <c r="F1473" s="1" t="s">
        <v>14</v>
      </c>
      <c r="G1473" s="1" t="s">
        <v>30</v>
      </c>
      <c r="H1473" s="1" t="n">
        <v>1.5</v>
      </c>
      <c r="I1473" s="1" t="n">
        <v>0</v>
      </c>
      <c r="J1473" s="1" t="n">
        <v>20201</v>
      </c>
      <c r="L1473" s="1" t="str">
        <f aca="false">IF(D1472&lt;&gt;D1473,D1473,"")</f>
        <v/>
      </c>
      <c r="M1473" s="1" t="str">
        <f aca="false">IF(F1472&lt;&gt;F1473,F1473,"")</f>
        <v/>
      </c>
    </row>
    <row r="1474" customFormat="false" ht="15" hidden="false" customHeight="false" outlineLevel="0" collapsed="false">
      <c r="A1474" s="1" t="s">
        <v>35</v>
      </c>
      <c r="B1474" s="1" t="s">
        <v>36</v>
      </c>
      <c r="C1474" s="1" t="s">
        <v>842</v>
      </c>
      <c r="D1474" s="1" t="s">
        <v>843</v>
      </c>
      <c r="E1474" s="1" t="n">
        <v>20171</v>
      </c>
      <c r="F1474" s="1" t="s">
        <v>14</v>
      </c>
      <c r="G1474" s="1" t="s">
        <v>18</v>
      </c>
      <c r="H1474" s="1" t="n">
        <v>3</v>
      </c>
      <c r="I1474" s="1" t="n">
        <v>0</v>
      </c>
      <c r="J1474" s="1" t="n">
        <v>20201</v>
      </c>
      <c r="L1474" s="1" t="str">
        <f aca="false">IF(D1473&lt;&gt;D1474,D1474,"")</f>
        <v/>
      </c>
      <c r="M1474" s="1" t="str">
        <f aca="false">IF(F1473&lt;&gt;F1474,F1474,"")</f>
        <v/>
      </c>
    </row>
    <row r="1475" customFormat="false" ht="15" hidden="false" customHeight="false" outlineLevel="0" collapsed="false">
      <c r="A1475" s="1" t="s">
        <v>132</v>
      </c>
      <c r="B1475" s="1" t="s">
        <v>133</v>
      </c>
      <c r="C1475" s="1" t="s">
        <v>842</v>
      </c>
      <c r="D1475" s="1" t="s">
        <v>843</v>
      </c>
      <c r="E1475" s="1" t="n">
        <v>20171</v>
      </c>
      <c r="F1475" s="1" t="s">
        <v>14</v>
      </c>
      <c r="G1475" s="1" t="s">
        <v>101</v>
      </c>
      <c r="H1475" s="1" t="n">
        <v>2.5</v>
      </c>
      <c r="I1475" s="1" t="n">
        <v>0</v>
      </c>
      <c r="J1475" s="1" t="n">
        <v>20201</v>
      </c>
      <c r="L1475" s="1" t="str">
        <f aca="false">IF(D1474&lt;&gt;D1475,D1475,"")</f>
        <v/>
      </c>
      <c r="M1475" s="1" t="str">
        <f aca="false">IF(F1474&lt;&gt;F1475,F1475,"")</f>
        <v/>
      </c>
    </row>
    <row r="1476" customFormat="false" ht="15" hidden="false" customHeight="false" outlineLevel="0" collapsed="false">
      <c r="A1476" s="1" t="s">
        <v>41</v>
      </c>
      <c r="B1476" s="1" t="s">
        <v>42</v>
      </c>
      <c r="C1476" s="1" t="s">
        <v>842</v>
      </c>
      <c r="D1476" s="1" t="s">
        <v>843</v>
      </c>
      <c r="E1476" s="1" t="n">
        <v>20171</v>
      </c>
      <c r="F1476" s="1" t="s">
        <v>14</v>
      </c>
      <c r="G1476" s="1" t="s">
        <v>14</v>
      </c>
      <c r="H1476" s="1" t="n">
        <v>4</v>
      </c>
      <c r="I1476" s="1" t="n">
        <v>0</v>
      </c>
      <c r="J1476" s="1" t="n">
        <v>20201</v>
      </c>
      <c r="L1476" s="1" t="str">
        <f aca="false">IF(D1475&lt;&gt;D1476,D1476,"")</f>
        <v/>
      </c>
      <c r="M1476" s="1" t="str">
        <f aca="false">IF(F1475&lt;&gt;F1476,F1476,"")</f>
        <v/>
      </c>
    </row>
    <row r="1477" customFormat="false" ht="15" hidden="false" customHeight="false" outlineLevel="0" collapsed="false">
      <c r="A1477" s="1" t="s">
        <v>134</v>
      </c>
      <c r="B1477" s="1" t="s">
        <v>135</v>
      </c>
      <c r="C1477" s="1" t="s">
        <v>842</v>
      </c>
      <c r="D1477" s="1" t="s">
        <v>843</v>
      </c>
      <c r="E1477" s="1" t="n">
        <v>20171</v>
      </c>
      <c r="F1477" s="1" t="s">
        <v>14</v>
      </c>
      <c r="G1477" s="1" t="s">
        <v>30</v>
      </c>
      <c r="H1477" s="1" t="n">
        <v>1.5</v>
      </c>
      <c r="I1477" s="1" t="n">
        <v>0</v>
      </c>
      <c r="J1477" s="1" t="n">
        <v>20201</v>
      </c>
      <c r="L1477" s="1" t="str">
        <f aca="false">IF(D1476&lt;&gt;D1477,D1477,"")</f>
        <v/>
      </c>
      <c r="M1477" s="1" t="str">
        <f aca="false">IF(F1476&lt;&gt;F1477,F1477,"")</f>
        <v/>
      </c>
    </row>
    <row r="1478" customFormat="false" ht="15" hidden="false" customHeight="false" outlineLevel="0" collapsed="false">
      <c r="A1478" s="1" t="s">
        <v>43</v>
      </c>
      <c r="B1478" s="1" t="s">
        <v>44</v>
      </c>
      <c r="C1478" s="1" t="s">
        <v>842</v>
      </c>
      <c r="D1478" s="1" t="s">
        <v>843</v>
      </c>
      <c r="E1478" s="1" t="n">
        <v>20171</v>
      </c>
      <c r="F1478" s="1" t="s">
        <v>14</v>
      </c>
      <c r="G1478" s="1" t="s">
        <v>15</v>
      </c>
      <c r="H1478" s="1" t="n">
        <v>3.5</v>
      </c>
      <c r="I1478" s="1" t="n">
        <v>0</v>
      </c>
      <c r="J1478" s="1" t="n">
        <v>20201</v>
      </c>
      <c r="L1478" s="1" t="str">
        <f aca="false">IF(D1477&lt;&gt;D1478,D1478,"")</f>
        <v/>
      </c>
      <c r="M1478" s="1" t="str">
        <f aca="false">IF(F1477&lt;&gt;F1478,F1478,"")</f>
        <v/>
      </c>
    </row>
    <row r="1479" customFormat="false" ht="15" hidden="false" customHeight="false" outlineLevel="0" collapsed="false">
      <c r="A1479" s="1" t="s">
        <v>142</v>
      </c>
      <c r="B1479" s="1" t="s">
        <v>143</v>
      </c>
      <c r="C1479" s="1" t="s">
        <v>842</v>
      </c>
      <c r="D1479" s="1" t="s">
        <v>843</v>
      </c>
      <c r="E1479" s="1" t="n">
        <v>20171</v>
      </c>
      <c r="F1479" s="1" t="s">
        <v>14</v>
      </c>
      <c r="G1479" s="1" t="s">
        <v>15</v>
      </c>
      <c r="H1479" s="1" t="n">
        <v>3.5</v>
      </c>
      <c r="I1479" s="1" t="n">
        <v>0</v>
      </c>
      <c r="J1479" s="1" t="n">
        <v>20201</v>
      </c>
      <c r="L1479" s="1" t="str">
        <f aca="false">IF(D1478&lt;&gt;D1479,D1479,"")</f>
        <v/>
      </c>
      <c r="M1479" s="1" t="str">
        <f aca="false">IF(F1478&lt;&gt;F1479,F1479,"")</f>
        <v/>
      </c>
    </row>
    <row r="1480" customFormat="false" ht="15" hidden="false" customHeight="false" outlineLevel="0" collapsed="false">
      <c r="A1480" s="1" t="s">
        <v>49</v>
      </c>
      <c r="B1480" s="1" t="s">
        <v>50</v>
      </c>
      <c r="C1480" s="1" t="s">
        <v>842</v>
      </c>
      <c r="D1480" s="1" t="s">
        <v>843</v>
      </c>
      <c r="E1480" s="1" t="n">
        <v>20171</v>
      </c>
      <c r="F1480" s="1" t="s">
        <v>14</v>
      </c>
      <c r="G1480" s="1" t="s">
        <v>101</v>
      </c>
      <c r="H1480" s="1" t="n">
        <v>2.5</v>
      </c>
      <c r="I1480" s="1" t="n">
        <v>0</v>
      </c>
      <c r="J1480" s="1" t="n">
        <v>20201</v>
      </c>
      <c r="L1480" s="1" t="str">
        <f aca="false">IF(D1479&lt;&gt;D1480,D1480,"")</f>
        <v/>
      </c>
      <c r="M1480" s="1" t="str">
        <f aca="false">IF(F1479&lt;&gt;F1480,F1480,"")</f>
        <v/>
      </c>
    </row>
    <row r="1481" customFormat="false" ht="15" hidden="false" customHeight="false" outlineLevel="0" collapsed="false">
      <c r="A1481" s="1" t="s">
        <v>148</v>
      </c>
      <c r="B1481" s="1" t="s">
        <v>149</v>
      </c>
      <c r="C1481" s="1" t="s">
        <v>842</v>
      </c>
      <c r="D1481" s="1" t="s">
        <v>843</v>
      </c>
      <c r="E1481" s="1" t="n">
        <v>20171</v>
      </c>
      <c r="F1481" s="1" t="s">
        <v>14</v>
      </c>
      <c r="G1481" s="1" t="s">
        <v>18</v>
      </c>
      <c r="H1481" s="1" t="n">
        <v>3</v>
      </c>
      <c r="I1481" s="1" t="n">
        <v>0</v>
      </c>
      <c r="J1481" s="1" t="n">
        <v>20201</v>
      </c>
      <c r="L1481" s="1" t="str">
        <f aca="false">IF(D1480&lt;&gt;D1481,D1481,"")</f>
        <v/>
      </c>
      <c r="M1481" s="1" t="str">
        <f aca="false">IF(F1480&lt;&gt;F1481,F1481,"")</f>
        <v/>
      </c>
    </row>
    <row r="1482" customFormat="false" ht="15" hidden="false" customHeight="false" outlineLevel="0" collapsed="false">
      <c r="A1482" s="1" t="s">
        <v>57</v>
      </c>
      <c r="B1482" s="1" t="s">
        <v>58</v>
      </c>
      <c r="C1482" s="1" t="s">
        <v>842</v>
      </c>
      <c r="D1482" s="1" t="s">
        <v>843</v>
      </c>
      <c r="E1482" s="1" t="n">
        <v>20171</v>
      </c>
      <c r="F1482" s="1" t="s">
        <v>14</v>
      </c>
      <c r="G1482" s="1" t="s">
        <v>14</v>
      </c>
      <c r="H1482" s="1" t="n">
        <v>4</v>
      </c>
      <c r="I1482" s="1" t="n">
        <v>0</v>
      </c>
      <c r="J1482" s="1" t="n">
        <v>20201</v>
      </c>
      <c r="L1482" s="1" t="str">
        <f aca="false">IF(D1481&lt;&gt;D1482,D1482,"")</f>
        <v/>
      </c>
      <c r="M1482" s="1" t="str">
        <f aca="false">IF(F1481&lt;&gt;F1482,F1482,"")</f>
        <v/>
      </c>
    </row>
    <row r="1483" customFormat="false" ht="15" hidden="false" customHeight="false" outlineLevel="0" collapsed="false">
      <c r="A1483" s="1" t="s">
        <v>150</v>
      </c>
      <c r="B1483" s="1" t="s">
        <v>151</v>
      </c>
      <c r="C1483" s="1" t="s">
        <v>842</v>
      </c>
      <c r="D1483" s="1" t="s">
        <v>843</v>
      </c>
      <c r="E1483" s="1" t="n">
        <v>20171</v>
      </c>
      <c r="F1483" s="1" t="s">
        <v>14</v>
      </c>
      <c r="G1483" s="1" t="s">
        <v>18</v>
      </c>
      <c r="H1483" s="1" t="n">
        <v>3</v>
      </c>
      <c r="I1483" s="1" t="n">
        <v>0</v>
      </c>
      <c r="J1483" s="1" t="n">
        <v>20201</v>
      </c>
      <c r="L1483" s="1" t="str">
        <f aca="false">IF(D1482&lt;&gt;D1483,D1483,"")</f>
        <v/>
      </c>
      <c r="M1483" s="1" t="str">
        <f aca="false">IF(F1482&lt;&gt;F1483,F1483,"")</f>
        <v/>
      </c>
    </row>
    <row r="1484" customFormat="false" ht="15" hidden="false" customHeight="false" outlineLevel="0" collapsed="false">
      <c r="A1484" s="1" t="s">
        <v>156</v>
      </c>
      <c r="B1484" s="1" t="s">
        <v>157</v>
      </c>
      <c r="C1484" s="1" t="s">
        <v>842</v>
      </c>
      <c r="D1484" s="1" t="s">
        <v>843</v>
      </c>
      <c r="E1484" s="1" t="n">
        <v>20171</v>
      </c>
      <c r="F1484" s="1" t="s">
        <v>14</v>
      </c>
      <c r="G1484" s="1" t="s">
        <v>127</v>
      </c>
      <c r="H1484" s="1" t="n">
        <v>2</v>
      </c>
      <c r="I1484" s="1" t="n">
        <v>0</v>
      </c>
      <c r="J1484" s="1" t="n">
        <v>20201</v>
      </c>
      <c r="L1484" s="1" t="str">
        <f aca="false">IF(D1483&lt;&gt;D1484,D1484,"")</f>
        <v/>
      </c>
      <c r="M1484" s="1" t="str">
        <f aca="false">IF(F1483&lt;&gt;F1484,F1484,"")</f>
        <v/>
      </c>
    </row>
    <row r="1485" customFormat="false" ht="15" hidden="false" customHeight="false" outlineLevel="0" collapsed="false">
      <c r="A1485" s="1" t="s">
        <v>65</v>
      </c>
      <c r="B1485" s="1" t="s">
        <v>66</v>
      </c>
      <c r="C1485" s="1" t="s">
        <v>842</v>
      </c>
      <c r="D1485" s="1" t="s">
        <v>843</v>
      </c>
      <c r="E1485" s="1" t="n">
        <v>20171</v>
      </c>
      <c r="F1485" s="1" t="s">
        <v>14</v>
      </c>
      <c r="G1485" s="1" t="s">
        <v>101</v>
      </c>
      <c r="H1485" s="1" t="n">
        <v>2.5</v>
      </c>
      <c r="I1485" s="1" t="n">
        <v>0</v>
      </c>
      <c r="J1485" s="1" t="n">
        <v>20201</v>
      </c>
      <c r="L1485" s="1" t="str">
        <f aca="false">IF(D1484&lt;&gt;D1485,D1485,"")</f>
        <v/>
      </c>
      <c r="M1485" s="1" t="str">
        <f aca="false">IF(F1484&lt;&gt;F1485,F1485,"")</f>
        <v/>
      </c>
    </row>
    <row r="1486" customFormat="false" ht="15" hidden="false" customHeight="false" outlineLevel="0" collapsed="false">
      <c r="A1486" s="1" t="s">
        <v>158</v>
      </c>
      <c r="B1486" s="1" t="s">
        <v>159</v>
      </c>
      <c r="C1486" s="1" t="s">
        <v>842</v>
      </c>
      <c r="D1486" s="1" t="s">
        <v>843</v>
      </c>
      <c r="E1486" s="1" t="n">
        <v>20171</v>
      </c>
      <c r="F1486" s="1" t="s">
        <v>14</v>
      </c>
      <c r="G1486" s="1" t="s">
        <v>127</v>
      </c>
      <c r="H1486" s="1" t="n">
        <v>2</v>
      </c>
      <c r="I1486" s="1" t="n">
        <v>0</v>
      </c>
      <c r="J1486" s="1" t="n">
        <v>20201</v>
      </c>
      <c r="L1486" s="1" t="str">
        <f aca="false">IF(D1485&lt;&gt;D1486,D1486,"")</f>
        <v/>
      </c>
      <c r="M1486" s="1" t="str">
        <f aca="false">IF(F1485&lt;&gt;F1486,F1486,"")</f>
        <v/>
      </c>
    </row>
    <row r="1487" customFormat="false" ht="15" hidden="false" customHeight="false" outlineLevel="0" collapsed="false">
      <c r="A1487" s="1" t="s">
        <v>160</v>
      </c>
      <c r="B1487" s="1" t="s">
        <v>161</v>
      </c>
      <c r="C1487" s="1" t="s">
        <v>842</v>
      </c>
      <c r="D1487" s="1" t="s">
        <v>843</v>
      </c>
      <c r="E1487" s="1" t="n">
        <v>20171</v>
      </c>
      <c r="F1487" s="1" t="s">
        <v>14</v>
      </c>
      <c r="G1487" s="1" t="s">
        <v>15</v>
      </c>
      <c r="H1487" s="1" t="n">
        <v>3.5</v>
      </c>
      <c r="I1487" s="1" t="n">
        <v>0</v>
      </c>
      <c r="J1487" s="1" t="n">
        <v>20201</v>
      </c>
      <c r="L1487" s="1" t="str">
        <f aca="false">IF(D1486&lt;&gt;D1487,D1487,"")</f>
        <v/>
      </c>
      <c r="M1487" s="1" t="str">
        <f aca="false">IF(F1486&lt;&gt;F1487,F1487,"")</f>
        <v/>
      </c>
    </row>
    <row r="1488" customFormat="false" ht="15" hidden="false" customHeight="false" outlineLevel="0" collapsed="false">
      <c r="A1488" s="1" t="s">
        <v>162</v>
      </c>
      <c r="B1488" s="1" t="s">
        <v>163</v>
      </c>
      <c r="C1488" s="1" t="s">
        <v>842</v>
      </c>
      <c r="D1488" s="1" t="s">
        <v>843</v>
      </c>
      <c r="E1488" s="1" t="n">
        <v>20171</v>
      </c>
      <c r="F1488" s="1" t="s">
        <v>14</v>
      </c>
      <c r="G1488" s="1" t="s">
        <v>15</v>
      </c>
      <c r="H1488" s="1" t="n">
        <v>3.5</v>
      </c>
      <c r="I1488" s="1" t="n">
        <v>0</v>
      </c>
      <c r="J1488" s="1" t="n">
        <v>20201</v>
      </c>
      <c r="L1488" s="1" t="str">
        <f aca="false">IF(D1487&lt;&gt;D1488,D1488,"")</f>
        <v/>
      </c>
      <c r="M1488" s="1" t="str">
        <f aca="false">IF(F1487&lt;&gt;F1488,F1488,"")</f>
        <v/>
      </c>
    </row>
    <row r="1489" customFormat="false" ht="15" hidden="false" customHeight="false" outlineLevel="0" collapsed="false">
      <c r="A1489" s="1" t="s">
        <v>73</v>
      </c>
      <c r="B1489" s="1" t="s">
        <v>74</v>
      </c>
      <c r="C1489" s="1" t="s">
        <v>842</v>
      </c>
      <c r="D1489" s="1" t="s">
        <v>843</v>
      </c>
      <c r="E1489" s="1" t="n">
        <v>20171</v>
      </c>
      <c r="F1489" s="1" t="s">
        <v>14</v>
      </c>
      <c r="G1489" s="1" t="s">
        <v>127</v>
      </c>
      <c r="H1489" s="1" t="n">
        <v>2</v>
      </c>
      <c r="I1489" s="1" t="n">
        <v>0</v>
      </c>
      <c r="J1489" s="1" t="n">
        <v>20201</v>
      </c>
      <c r="L1489" s="1" t="str">
        <f aca="false">IF(D1488&lt;&gt;D1489,D1489,"")</f>
        <v/>
      </c>
      <c r="M1489" s="1" t="str">
        <f aca="false">IF(F1488&lt;&gt;F1489,F1489,"")</f>
        <v/>
      </c>
    </row>
    <row r="1490" customFormat="false" ht="15" hidden="false" customHeight="false" outlineLevel="0" collapsed="false">
      <c r="A1490" s="1" t="s">
        <v>170</v>
      </c>
      <c r="B1490" s="1" t="s">
        <v>171</v>
      </c>
      <c r="C1490" s="1" t="s">
        <v>842</v>
      </c>
      <c r="D1490" s="1" t="s">
        <v>843</v>
      </c>
      <c r="E1490" s="1" t="n">
        <v>20171</v>
      </c>
      <c r="F1490" s="1" t="s">
        <v>14</v>
      </c>
      <c r="G1490" s="1" t="s">
        <v>127</v>
      </c>
      <c r="H1490" s="1" t="n">
        <v>2</v>
      </c>
      <c r="I1490" s="1" t="n">
        <v>0</v>
      </c>
      <c r="J1490" s="1" t="n">
        <v>20201</v>
      </c>
      <c r="L1490" s="1" t="str">
        <f aca="false">IF(D1489&lt;&gt;D1490,D1490,"")</f>
        <v/>
      </c>
      <c r="M1490" s="1" t="str">
        <f aca="false">IF(F1489&lt;&gt;F1490,F1490,"")</f>
        <v/>
      </c>
    </row>
    <row r="1491" customFormat="false" ht="15" hidden="false" customHeight="false" outlineLevel="0" collapsed="false">
      <c r="A1491" s="1" t="s">
        <v>172</v>
      </c>
      <c r="B1491" s="1" t="s">
        <v>173</v>
      </c>
      <c r="C1491" s="1" t="s">
        <v>842</v>
      </c>
      <c r="D1491" s="1" t="s">
        <v>843</v>
      </c>
      <c r="E1491" s="1" t="n">
        <v>20171</v>
      </c>
      <c r="F1491" s="1" t="s">
        <v>14</v>
      </c>
      <c r="G1491" s="1" t="s">
        <v>30</v>
      </c>
      <c r="H1491" s="1" t="n">
        <v>1.5</v>
      </c>
      <c r="I1491" s="1" t="n">
        <v>0</v>
      </c>
      <c r="J1491" s="1" t="n">
        <v>20201</v>
      </c>
      <c r="L1491" s="1" t="str">
        <f aca="false">IF(D1490&lt;&gt;D1491,D1491,"")</f>
        <v/>
      </c>
      <c r="M1491" s="1" t="str">
        <f aca="false">IF(F1490&lt;&gt;F1491,F1491,"")</f>
        <v/>
      </c>
    </row>
    <row r="1492" customFormat="false" ht="15" hidden="false" customHeight="false" outlineLevel="0" collapsed="false">
      <c r="A1492" s="1" t="s">
        <v>178</v>
      </c>
      <c r="B1492" s="1" t="s">
        <v>179</v>
      </c>
      <c r="C1492" s="1" t="s">
        <v>842</v>
      </c>
      <c r="D1492" s="1" t="s">
        <v>843</v>
      </c>
      <c r="E1492" s="1" t="n">
        <v>20171</v>
      </c>
      <c r="F1492" s="1" t="s">
        <v>14</v>
      </c>
      <c r="G1492" s="1" t="s">
        <v>15</v>
      </c>
      <c r="H1492" s="1" t="n">
        <v>3.5</v>
      </c>
      <c r="I1492" s="1" t="n">
        <v>0</v>
      </c>
      <c r="J1492" s="1" t="n">
        <v>20201</v>
      </c>
      <c r="L1492" s="1" t="str">
        <f aca="false">IF(D1491&lt;&gt;D1492,D1492,"")</f>
        <v/>
      </c>
      <c r="M1492" s="1" t="str">
        <f aca="false">IF(F1491&lt;&gt;F1492,F1492,"")</f>
        <v/>
      </c>
    </row>
    <row r="1493" customFormat="false" ht="15" hidden="false" customHeight="false" outlineLevel="0" collapsed="false">
      <c r="A1493" s="1" t="s">
        <v>180</v>
      </c>
      <c r="B1493" s="1" t="s">
        <v>181</v>
      </c>
      <c r="C1493" s="1" t="s">
        <v>842</v>
      </c>
      <c r="D1493" s="1" t="s">
        <v>843</v>
      </c>
      <c r="E1493" s="1" t="n">
        <v>20171</v>
      </c>
      <c r="F1493" s="1" t="s">
        <v>14</v>
      </c>
      <c r="G1493" s="1" t="s">
        <v>124</v>
      </c>
      <c r="H1493" s="1" t="n">
        <v>0</v>
      </c>
      <c r="I1493" s="1" t="n">
        <v>0</v>
      </c>
      <c r="J1493" s="1" t="n">
        <v>20201</v>
      </c>
      <c r="L1493" s="1" t="str">
        <f aca="false">IF(D1492&lt;&gt;D1493,D1493,"")</f>
        <v/>
      </c>
      <c r="M1493" s="1" t="str">
        <f aca="false">IF(F1492&lt;&gt;F1493,F1493,"")</f>
        <v/>
      </c>
    </row>
    <row r="1494" customFormat="false" ht="15" hidden="false" customHeight="false" outlineLevel="0" collapsed="false">
      <c r="A1494" s="1" t="s">
        <v>85</v>
      </c>
      <c r="B1494" s="1" t="s">
        <v>86</v>
      </c>
      <c r="C1494" s="1" t="s">
        <v>842</v>
      </c>
      <c r="D1494" s="1" t="s">
        <v>843</v>
      </c>
      <c r="E1494" s="1" t="n">
        <v>20171</v>
      </c>
      <c r="F1494" s="1" t="s">
        <v>14</v>
      </c>
      <c r="G1494" s="1" t="s">
        <v>14</v>
      </c>
      <c r="H1494" s="1" t="n">
        <v>4</v>
      </c>
      <c r="I1494" s="1" t="n">
        <v>0</v>
      </c>
      <c r="J1494" s="1" t="n">
        <v>20201</v>
      </c>
      <c r="L1494" s="1" t="str">
        <f aca="false">IF(D1493&lt;&gt;D1494,D1494,"")</f>
        <v/>
      </c>
      <c r="M1494" s="1" t="str">
        <f aca="false">IF(F1493&lt;&gt;F1494,F1494,"")</f>
        <v/>
      </c>
    </row>
    <row r="1495" customFormat="false" ht="15" hidden="false" customHeight="false" outlineLevel="0" collapsed="false">
      <c r="A1495" s="1" t="s">
        <v>186</v>
      </c>
      <c r="B1495" s="1" t="s">
        <v>187</v>
      </c>
      <c r="C1495" s="1" t="s">
        <v>842</v>
      </c>
      <c r="D1495" s="1" t="s">
        <v>843</v>
      </c>
      <c r="E1495" s="1" t="n">
        <v>20171</v>
      </c>
      <c r="F1495" s="1" t="s">
        <v>14</v>
      </c>
      <c r="G1495" s="1" t="s">
        <v>15</v>
      </c>
      <c r="H1495" s="1" t="n">
        <v>3.5</v>
      </c>
      <c r="I1495" s="1" t="n">
        <v>0</v>
      </c>
      <c r="J1495" s="1" t="n">
        <v>20201</v>
      </c>
      <c r="L1495" s="1" t="str">
        <f aca="false">IF(D1494&lt;&gt;D1495,D1495,"")</f>
        <v/>
      </c>
      <c r="M1495" s="1" t="str">
        <f aca="false">IF(F1494&lt;&gt;F1495,F1495,"")</f>
        <v/>
      </c>
    </row>
    <row r="1496" customFormat="false" ht="15" hidden="false" customHeight="false" outlineLevel="0" collapsed="false">
      <c r="A1496" s="1" t="s">
        <v>93</v>
      </c>
      <c r="B1496" s="1" t="s">
        <v>94</v>
      </c>
      <c r="C1496" s="1" t="s">
        <v>842</v>
      </c>
      <c r="D1496" s="1" t="s">
        <v>843</v>
      </c>
      <c r="E1496" s="1" t="n">
        <v>20171</v>
      </c>
      <c r="F1496" s="1" t="s">
        <v>14</v>
      </c>
      <c r="G1496" s="1" t="s">
        <v>15</v>
      </c>
      <c r="H1496" s="1" t="n">
        <v>3.5</v>
      </c>
      <c r="I1496" s="1" t="n">
        <v>0</v>
      </c>
      <c r="J1496" s="1" t="n">
        <v>20201</v>
      </c>
      <c r="L1496" s="1" t="str">
        <f aca="false">IF(D1495&lt;&gt;D1496,D1496,"")</f>
        <v/>
      </c>
      <c r="M1496" s="1" t="str">
        <f aca="false">IF(F1495&lt;&gt;F1496,F1496,"")</f>
        <v/>
      </c>
    </row>
    <row r="1497" customFormat="false" ht="15" hidden="false" customHeight="false" outlineLevel="0" collapsed="false">
      <c r="A1497" s="1" t="s">
        <v>188</v>
      </c>
      <c r="B1497" s="1" t="s">
        <v>189</v>
      </c>
      <c r="C1497" s="1" t="s">
        <v>842</v>
      </c>
      <c r="D1497" s="1" t="s">
        <v>843</v>
      </c>
      <c r="E1497" s="1" t="n">
        <v>20171</v>
      </c>
      <c r="F1497" s="1" t="s">
        <v>14</v>
      </c>
      <c r="G1497" s="1" t="s">
        <v>101</v>
      </c>
      <c r="H1497" s="1" t="n">
        <v>2.5</v>
      </c>
      <c r="I1497" s="1" t="n">
        <v>0</v>
      </c>
      <c r="J1497" s="1" t="n">
        <v>20201</v>
      </c>
      <c r="L1497" s="1" t="str">
        <f aca="false">IF(D1496&lt;&gt;D1497,D1497,"")</f>
        <v/>
      </c>
      <c r="M1497" s="1" t="str">
        <f aca="false">IF(F1496&lt;&gt;F1497,F1497,"")</f>
        <v/>
      </c>
    </row>
    <row r="1498" customFormat="false" ht="15" hidden="false" customHeight="false" outlineLevel="0" collapsed="false">
      <c r="A1498" s="1" t="s">
        <v>95</v>
      </c>
      <c r="B1498" s="1" t="s">
        <v>96</v>
      </c>
      <c r="C1498" s="1" t="s">
        <v>842</v>
      </c>
      <c r="D1498" s="1" t="s">
        <v>843</v>
      </c>
      <c r="E1498" s="1" t="n">
        <v>20171</v>
      </c>
      <c r="F1498" s="1" t="s">
        <v>14</v>
      </c>
      <c r="G1498" s="1" t="s">
        <v>101</v>
      </c>
      <c r="H1498" s="1" t="n">
        <v>2.5</v>
      </c>
      <c r="I1498" s="1" t="n">
        <v>0</v>
      </c>
      <c r="J1498" s="1" t="n">
        <v>20201</v>
      </c>
      <c r="L1498" s="1" t="str">
        <f aca="false">IF(D1497&lt;&gt;D1498,D1498,"")</f>
        <v/>
      </c>
      <c r="M1498" s="1" t="str">
        <f aca="false">IF(F1497&lt;&gt;F1498,F1498,"")</f>
        <v/>
      </c>
    </row>
    <row r="1499" customFormat="false" ht="15" hidden="false" customHeight="false" outlineLevel="0" collapsed="false">
      <c r="A1499" s="1" t="s">
        <v>104</v>
      </c>
      <c r="B1499" s="1" t="s">
        <v>105</v>
      </c>
      <c r="C1499" s="1" t="s">
        <v>842</v>
      </c>
      <c r="D1499" s="1" t="s">
        <v>843</v>
      </c>
      <c r="E1499" s="1" t="n">
        <v>20171</v>
      </c>
      <c r="F1499" s="1" t="s">
        <v>14</v>
      </c>
      <c r="G1499" s="1" t="s">
        <v>101</v>
      </c>
      <c r="H1499" s="1" t="n">
        <v>2.5</v>
      </c>
      <c r="I1499" s="1" t="n">
        <v>0</v>
      </c>
      <c r="J1499" s="1" t="n">
        <v>20201</v>
      </c>
      <c r="L1499" s="1" t="str">
        <f aca="false">IF(D1498&lt;&gt;D1499,D1499,"")</f>
        <v/>
      </c>
      <c r="M1499" s="1" t="str">
        <f aca="false">IF(F1498&lt;&gt;F1499,F1499,"")</f>
        <v/>
      </c>
    </row>
    <row r="1500" customFormat="false" ht="15" hidden="false" customHeight="false" outlineLevel="0" collapsed="false">
      <c r="A1500" s="1" t="s">
        <v>196</v>
      </c>
      <c r="B1500" s="1" t="s">
        <v>197</v>
      </c>
      <c r="C1500" s="1" t="s">
        <v>842</v>
      </c>
      <c r="D1500" s="1" t="s">
        <v>843</v>
      </c>
      <c r="E1500" s="1" t="n">
        <v>20171</v>
      </c>
      <c r="F1500" s="1" t="s">
        <v>14</v>
      </c>
      <c r="G1500" s="1" t="s">
        <v>124</v>
      </c>
      <c r="H1500" s="1" t="n">
        <v>0</v>
      </c>
      <c r="I1500" s="1" t="n">
        <v>0</v>
      </c>
      <c r="J1500" s="1" t="n">
        <v>20201</v>
      </c>
      <c r="L1500" s="1" t="str">
        <f aca="false">IF(D1499&lt;&gt;D1500,D1500,"")</f>
        <v/>
      </c>
      <c r="M1500" s="1" t="str">
        <f aca="false">IF(F1499&lt;&gt;F1500,F1500,"")</f>
        <v/>
      </c>
    </row>
    <row r="1501" customFormat="false" ht="15" hidden="false" customHeight="false" outlineLevel="0" collapsed="false">
      <c r="A1501" s="1" t="s">
        <v>106</v>
      </c>
      <c r="B1501" s="1" t="s">
        <v>107</v>
      </c>
      <c r="C1501" s="1" t="s">
        <v>842</v>
      </c>
      <c r="D1501" s="1" t="s">
        <v>843</v>
      </c>
      <c r="E1501" s="1" t="n">
        <v>20171</v>
      </c>
      <c r="F1501" s="1" t="s">
        <v>14</v>
      </c>
      <c r="G1501" s="1" t="s">
        <v>15</v>
      </c>
      <c r="H1501" s="1" t="n">
        <v>3.5</v>
      </c>
      <c r="I1501" s="1" t="n">
        <v>0</v>
      </c>
      <c r="J1501" s="1" t="n">
        <v>20201</v>
      </c>
      <c r="L1501" s="1" t="str">
        <f aca="false">IF(D1500&lt;&gt;D1501,D1501,"")</f>
        <v/>
      </c>
      <c r="M1501" s="1" t="str">
        <f aca="false">IF(F1500&lt;&gt;F1501,F1501,"")</f>
        <v/>
      </c>
    </row>
    <row r="1502" customFormat="false" ht="15" hidden="false" customHeight="false" outlineLevel="0" collapsed="false">
      <c r="A1502" s="1" t="s">
        <v>679</v>
      </c>
      <c r="B1502" s="1" t="s">
        <v>680</v>
      </c>
      <c r="C1502" s="1" t="s">
        <v>842</v>
      </c>
      <c r="D1502" s="1" t="s">
        <v>843</v>
      </c>
      <c r="E1502" s="1" t="n">
        <v>20171</v>
      </c>
      <c r="F1502" s="1" t="s">
        <v>18</v>
      </c>
      <c r="G1502" s="1" t="s">
        <v>23</v>
      </c>
      <c r="H1502" s="1" t="n">
        <v>0</v>
      </c>
      <c r="I1502" s="1" t="n">
        <v>0</v>
      </c>
      <c r="J1502" s="1" t="n">
        <v>20201</v>
      </c>
      <c r="L1502" s="1" t="str">
        <f aca="false">IF(D1501&lt;&gt;D1502,D1502,"")</f>
        <v/>
      </c>
      <c r="M1502" s="1" t="str">
        <f aca="false">IF(F1501&lt;&gt;F1502,F1502,"")</f>
        <v>B</v>
      </c>
    </row>
    <row r="1503" customFormat="false" ht="15" hidden="false" customHeight="false" outlineLevel="0" collapsed="false">
      <c r="A1503" s="1" t="s">
        <v>569</v>
      </c>
      <c r="B1503" s="1" t="s">
        <v>570</v>
      </c>
      <c r="C1503" s="1" t="s">
        <v>842</v>
      </c>
      <c r="D1503" s="1" t="s">
        <v>843</v>
      </c>
      <c r="E1503" s="1" t="n">
        <v>20171</v>
      </c>
      <c r="F1503" s="1" t="s">
        <v>18</v>
      </c>
      <c r="G1503" s="1" t="s">
        <v>23</v>
      </c>
      <c r="H1503" s="1" t="n">
        <v>0</v>
      </c>
      <c r="I1503" s="1" t="n">
        <v>0</v>
      </c>
      <c r="J1503" s="1" t="n">
        <v>20201</v>
      </c>
      <c r="L1503" s="1" t="str">
        <f aca="false">IF(D1502&lt;&gt;D1503,D1503,"")</f>
        <v/>
      </c>
      <c r="M1503" s="1" t="str">
        <f aca="false">IF(F1502&lt;&gt;F1503,F1503,"")</f>
        <v/>
      </c>
    </row>
    <row r="1504" customFormat="false" ht="15" hidden="false" customHeight="false" outlineLevel="0" collapsed="false">
      <c r="A1504" s="1" t="s">
        <v>653</v>
      </c>
      <c r="B1504" s="1" t="s">
        <v>654</v>
      </c>
      <c r="C1504" s="1" t="s">
        <v>842</v>
      </c>
      <c r="D1504" s="1" t="s">
        <v>843</v>
      </c>
      <c r="E1504" s="1" t="n">
        <v>20171</v>
      </c>
      <c r="F1504" s="1" t="s">
        <v>18</v>
      </c>
      <c r="G1504" s="1" t="s">
        <v>101</v>
      </c>
      <c r="H1504" s="1" t="n">
        <v>2.5</v>
      </c>
      <c r="I1504" s="1" t="n">
        <v>0</v>
      </c>
      <c r="J1504" s="1" t="n">
        <v>20201</v>
      </c>
      <c r="L1504" s="1" t="str">
        <f aca="false">IF(D1503&lt;&gt;D1504,D1504,"")</f>
        <v/>
      </c>
      <c r="M1504" s="1" t="str">
        <f aca="false">IF(F1503&lt;&gt;F1504,F1504,"")</f>
        <v/>
      </c>
    </row>
    <row r="1505" customFormat="false" ht="15" hidden="false" customHeight="false" outlineLevel="0" collapsed="false">
      <c r="A1505" s="1" t="s">
        <v>844</v>
      </c>
      <c r="B1505" s="1" t="s">
        <v>845</v>
      </c>
      <c r="C1505" s="1" t="s">
        <v>842</v>
      </c>
      <c r="D1505" s="1" t="s">
        <v>843</v>
      </c>
      <c r="E1505" s="1" t="n">
        <v>20171</v>
      </c>
      <c r="F1505" s="1" t="s">
        <v>18</v>
      </c>
      <c r="G1505" s="1" t="s">
        <v>15</v>
      </c>
      <c r="H1505" s="1" t="n">
        <v>3.5</v>
      </c>
      <c r="I1505" s="1" t="n">
        <v>0</v>
      </c>
      <c r="J1505" s="1" t="n">
        <v>20201</v>
      </c>
      <c r="L1505" s="1" t="str">
        <f aca="false">IF(D1504&lt;&gt;D1505,D1505,"")</f>
        <v/>
      </c>
      <c r="M1505" s="1" t="str">
        <f aca="false">IF(F1504&lt;&gt;F1505,F1505,"")</f>
        <v/>
      </c>
    </row>
    <row r="1506" customFormat="false" ht="15" hidden="false" customHeight="false" outlineLevel="0" collapsed="false">
      <c r="A1506" s="1" t="s">
        <v>818</v>
      </c>
      <c r="B1506" s="1" t="s">
        <v>819</v>
      </c>
      <c r="C1506" s="1" t="s">
        <v>842</v>
      </c>
      <c r="D1506" s="1" t="s">
        <v>843</v>
      </c>
      <c r="E1506" s="1" t="n">
        <v>20171</v>
      </c>
      <c r="F1506" s="1" t="s">
        <v>18</v>
      </c>
      <c r="G1506" s="1" t="s">
        <v>30</v>
      </c>
      <c r="H1506" s="1" t="n">
        <v>1.5</v>
      </c>
      <c r="I1506" s="1" t="n">
        <v>0</v>
      </c>
      <c r="J1506" s="1" t="n">
        <v>20201</v>
      </c>
      <c r="L1506" s="1" t="str">
        <f aca="false">IF(D1505&lt;&gt;D1506,D1506,"")</f>
        <v/>
      </c>
      <c r="M1506" s="1" t="str">
        <f aca="false">IF(F1505&lt;&gt;F1506,F1506,"")</f>
        <v/>
      </c>
    </row>
    <row r="1507" customFormat="false" ht="15" hidden="false" customHeight="false" outlineLevel="0" collapsed="false">
      <c r="A1507" s="1" t="s">
        <v>577</v>
      </c>
      <c r="B1507" s="1" t="s">
        <v>578</v>
      </c>
      <c r="C1507" s="1" t="s">
        <v>842</v>
      </c>
      <c r="D1507" s="1" t="s">
        <v>843</v>
      </c>
      <c r="E1507" s="1" t="n">
        <v>20171</v>
      </c>
      <c r="F1507" s="1" t="s">
        <v>18</v>
      </c>
      <c r="G1507" s="1" t="s">
        <v>23</v>
      </c>
      <c r="H1507" s="1" t="n">
        <v>0</v>
      </c>
      <c r="I1507" s="1" t="n">
        <v>0</v>
      </c>
      <c r="J1507" s="1" t="n">
        <v>20201</v>
      </c>
      <c r="L1507" s="1" t="str">
        <f aca="false">IF(D1506&lt;&gt;D1507,D1507,"")</f>
        <v/>
      </c>
      <c r="M1507" s="1" t="str">
        <f aca="false">IF(F1506&lt;&gt;F1507,F1507,"")</f>
        <v/>
      </c>
    </row>
    <row r="1508" customFormat="false" ht="15" hidden="false" customHeight="false" outlineLevel="0" collapsed="false">
      <c r="A1508" s="1" t="s">
        <v>631</v>
      </c>
      <c r="B1508" s="1" t="s">
        <v>632</v>
      </c>
      <c r="C1508" s="1" t="s">
        <v>842</v>
      </c>
      <c r="D1508" s="1" t="s">
        <v>843</v>
      </c>
      <c r="E1508" s="1" t="n">
        <v>20171</v>
      </c>
      <c r="F1508" s="1" t="s">
        <v>18</v>
      </c>
      <c r="G1508" s="1" t="s">
        <v>23</v>
      </c>
      <c r="H1508" s="1" t="n">
        <v>0</v>
      </c>
      <c r="I1508" s="1" t="n">
        <v>0</v>
      </c>
      <c r="J1508" s="1" t="n">
        <v>20201</v>
      </c>
      <c r="L1508" s="1" t="str">
        <f aca="false">IF(D1507&lt;&gt;D1508,D1508,"")</f>
        <v/>
      </c>
      <c r="M1508" s="1" t="str">
        <f aca="false">IF(F1507&lt;&gt;F1508,F1508,"")</f>
        <v/>
      </c>
    </row>
    <row r="1509" customFormat="false" ht="15" hidden="false" customHeight="false" outlineLevel="0" collapsed="false">
      <c r="A1509" s="1" t="s">
        <v>633</v>
      </c>
      <c r="B1509" s="1" t="s">
        <v>634</v>
      </c>
      <c r="C1509" s="1" t="s">
        <v>842</v>
      </c>
      <c r="D1509" s="1" t="s">
        <v>843</v>
      </c>
      <c r="E1509" s="1" t="n">
        <v>20171</v>
      </c>
      <c r="F1509" s="1" t="s">
        <v>18</v>
      </c>
      <c r="G1509" s="1" t="s">
        <v>18</v>
      </c>
      <c r="H1509" s="1" t="n">
        <v>3</v>
      </c>
      <c r="I1509" s="1" t="n">
        <v>0</v>
      </c>
      <c r="J1509" s="1" t="n">
        <v>20201</v>
      </c>
      <c r="L1509" s="1" t="str">
        <f aca="false">IF(D1508&lt;&gt;D1509,D1509,"")</f>
        <v/>
      </c>
      <c r="M1509" s="1" t="str">
        <f aca="false">IF(F1508&lt;&gt;F1509,F1509,"")</f>
        <v/>
      </c>
    </row>
    <row r="1510" customFormat="false" ht="15" hidden="false" customHeight="false" outlineLevel="0" collapsed="false">
      <c r="A1510" s="1" t="s">
        <v>701</v>
      </c>
      <c r="B1510" s="1" t="s">
        <v>702</v>
      </c>
      <c r="C1510" s="1" t="s">
        <v>842</v>
      </c>
      <c r="D1510" s="1" t="s">
        <v>843</v>
      </c>
      <c r="E1510" s="1" t="n">
        <v>20171</v>
      </c>
      <c r="F1510" s="1" t="s">
        <v>18</v>
      </c>
      <c r="G1510" s="1" t="s">
        <v>30</v>
      </c>
      <c r="H1510" s="1" t="n">
        <v>1.5</v>
      </c>
      <c r="I1510" s="1" t="n">
        <v>0</v>
      </c>
      <c r="J1510" s="1" t="n">
        <v>20201</v>
      </c>
      <c r="L1510" s="1" t="str">
        <f aca="false">IF(D1509&lt;&gt;D1510,D1510,"")</f>
        <v/>
      </c>
      <c r="M1510" s="1" t="str">
        <f aca="false">IF(F1509&lt;&gt;F1510,F1510,"")</f>
        <v/>
      </c>
    </row>
    <row r="1511" customFormat="false" ht="15" hidden="false" customHeight="false" outlineLevel="0" collapsed="false">
      <c r="A1511" s="1" t="s">
        <v>118</v>
      </c>
      <c r="B1511" s="1" t="s">
        <v>119</v>
      </c>
      <c r="C1511" s="1" t="s">
        <v>842</v>
      </c>
      <c r="D1511" s="1" t="s">
        <v>843</v>
      </c>
      <c r="E1511" s="1" t="n">
        <v>20171</v>
      </c>
      <c r="F1511" s="1" t="s">
        <v>18</v>
      </c>
      <c r="G1511" s="1" t="s">
        <v>101</v>
      </c>
      <c r="H1511" s="1" t="n">
        <v>2.5</v>
      </c>
      <c r="I1511" s="1" t="n">
        <v>0</v>
      </c>
      <c r="J1511" s="1" t="n">
        <v>20201</v>
      </c>
      <c r="L1511" s="1" t="str">
        <f aca="false">IF(D1510&lt;&gt;D1511,D1511,"")</f>
        <v/>
      </c>
      <c r="M1511" s="1" t="str">
        <f aca="false">IF(F1510&lt;&gt;F1511,F1511,"")</f>
        <v/>
      </c>
    </row>
    <row r="1512" customFormat="false" ht="15" hidden="false" customHeight="false" outlineLevel="0" collapsed="false">
      <c r="A1512" s="1" t="s">
        <v>128</v>
      </c>
      <c r="B1512" s="1" t="s">
        <v>129</v>
      </c>
      <c r="C1512" s="1" t="s">
        <v>842</v>
      </c>
      <c r="D1512" s="1" t="s">
        <v>843</v>
      </c>
      <c r="E1512" s="1" t="n">
        <v>20171</v>
      </c>
      <c r="F1512" s="1" t="s">
        <v>18</v>
      </c>
      <c r="G1512" s="1" t="s">
        <v>127</v>
      </c>
      <c r="H1512" s="1" t="n">
        <v>2</v>
      </c>
      <c r="I1512" s="1" t="n">
        <v>0</v>
      </c>
      <c r="J1512" s="1" t="n">
        <v>20201</v>
      </c>
      <c r="L1512" s="1" t="str">
        <f aca="false">IF(D1511&lt;&gt;D1512,D1512,"")</f>
        <v/>
      </c>
      <c r="M1512" s="1" t="str">
        <f aca="false">IF(F1511&lt;&gt;F1512,F1512,"")</f>
        <v/>
      </c>
    </row>
    <row r="1513" customFormat="false" ht="15" hidden="false" customHeight="false" outlineLevel="0" collapsed="false">
      <c r="A1513" s="1" t="s">
        <v>37</v>
      </c>
      <c r="B1513" s="1" t="s">
        <v>38</v>
      </c>
      <c r="C1513" s="1" t="s">
        <v>842</v>
      </c>
      <c r="D1513" s="1" t="s">
        <v>843</v>
      </c>
      <c r="E1513" s="1" t="n">
        <v>20171</v>
      </c>
      <c r="F1513" s="1" t="s">
        <v>18</v>
      </c>
      <c r="G1513" s="1" t="s">
        <v>30</v>
      </c>
      <c r="H1513" s="1" t="n">
        <v>1.5</v>
      </c>
      <c r="I1513" s="1" t="n">
        <v>0</v>
      </c>
      <c r="J1513" s="1" t="n">
        <v>20201</v>
      </c>
      <c r="L1513" s="1" t="str">
        <f aca="false">IF(D1512&lt;&gt;D1513,D1513,"")</f>
        <v/>
      </c>
      <c r="M1513" s="1" t="str">
        <f aca="false">IF(F1512&lt;&gt;F1513,F1513,"")</f>
        <v/>
      </c>
    </row>
    <row r="1514" customFormat="false" ht="15" hidden="false" customHeight="false" outlineLevel="0" collapsed="false">
      <c r="A1514" s="1" t="s">
        <v>579</v>
      </c>
      <c r="B1514" s="1" t="s">
        <v>580</v>
      </c>
      <c r="C1514" s="1" t="s">
        <v>842</v>
      </c>
      <c r="D1514" s="1" t="s">
        <v>843</v>
      </c>
      <c r="E1514" s="1" t="n">
        <v>20171</v>
      </c>
      <c r="F1514" s="1" t="s">
        <v>18</v>
      </c>
      <c r="G1514" s="1" t="s">
        <v>30</v>
      </c>
      <c r="H1514" s="1" t="n">
        <v>1.5</v>
      </c>
      <c r="I1514" s="1" t="n">
        <v>0</v>
      </c>
      <c r="J1514" s="1" t="n">
        <v>20201</v>
      </c>
      <c r="L1514" s="1" t="str">
        <f aca="false">IF(D1513&lt;&gt;D1514,D1514,"")</f>
        <v/>
      </c>
      <c r="M1514" s="1" t="str">
        <f aca="false">IF(F1513&lt;&gt;F1514,F1514,"")</f>
        <v/>
      </c>
    </row>
    <row r="1515" customFormat="false" ht="15" hidden="false" customHeight="false" outlineLevel="0" collapsed="false">
      <c r="A1515" s="1" t="s">
        <v>136</v>
      </c>
      <c r="B1515" s="1" t="s">
        <v>137</v>
      </c>
      <c r="C1515" s="1" t="s">
        <v>842</v>
      </c>
      <c r="D1515" s="1" t="s">
        <v>843</v>
      </c>
      <c r="E1515" s="1" t="n">
        <v>20171</v>
      </c>
      <c r="F1515" s="1" t="s">
        <v>18</v>
      </c>
      <c r="G1515" s="1" t="s">
        <v>23</v>
      </c>
      <c r="H1515" s="1" t="n">
        <v>0</v>
      </c>
      <c r="I1515" s="1" t="n">
        <v>0</v>
      </c>
      <c r="J1515" s="1" t="n">
        <v>20201</v>
      </c>
      <c r="L1515" s="1" t="str">
        <f aca="false">IF(D1514&lt;&gt;D1515,D1515,"")</f>
        <v/>
      </c>
      <c r="M1515" s="1" t="str">
        <f aca="false">IF(F1514&lt;&gt;F1515,F1515,"")</f>
        <v/>
      </c>
    </row>
    <row r="1516" customFormat="false" ht="15" hidden="false" customHeight="false" outlineLevel="0" collapsed="false">
      <c r="A1516" s="1" t="s">
        <v>138</v>
      </c>
      <c r="B1516" s="1" t="s">
        <v>139</v>
      </c>
      <c r="C1516" s="1" t="s">
        <v>842</v>
      </c>
      <c r="D1516" s="1" t="s">
        <v>843</v>
      </c>
      <c r="E1516" s="1" t="n">
        <v>20171</v>
      </c>
      <c r="F1516" s="1" t="s">
        <v>18</v>
      </c>
      <c r="G1516" s="1" t="s">
        <v>23</v>
      </c>
      <c r="H1516" s="1" t="n">
        <v>0</v>
      </c>
      <c r="I1516" s="1" t="n">
        <v>0</v>
      </c>
      <c r="J1516" s="1" t="n">
        <v>20201</v>
      </c>
      <c r="L1516" s="1" t="str">
        <f aca="false">IF(D1515&lt;&gt;D1516,D1516,"")</f>
        <v/>
      </c>
      <c r="M1516" s="1" t="str">
        <f aca="false">IF(F1515&lt;&gt;F1516,F1516,"")</f>
        <v/>
      </c>
    </row>
    <row r="1517" customFormat="false" ht="15" hidden="false" customHeight="false" outlineLevel="0" collapsed="false">
      <c r="A1517" s="1" t="s">
        <v>51</v>
      </c>
      <c r="B1517" s="1" t="s">
        <v>52</v>
      </c>
      <c r="C1517" s="1" t="s">
        <v>842</v>
      </c>
      <c r="D1517" s="1" t="s">
        <v>843</v>
      </c>
      <c r="E1517" s="1" t="n">
        <v>20171</v>
      </c>
      <c r="F1517" s="1" t="s">
        <v>18</v>
      </c>
      <c r="G1517" s="1" t="s">
        <v>14</v>
      </c>
      <c r="H1517" s="1" t="n">
        <v>4</v>
      </c>
      <c r="I1517" s="1" t="n">
        <v>0</v>
      </c>
      <c r="J1517" s="1" t="n">
        <v>20201</v>
      </c>
      <c r="L1517" s="1" t="str">
        <f aca="false">IF(D1516&lt;&gt;D1517,D1517,"")</f>
        <v/>
      </c>
      <c r="M1517" s="1" t="str">
        <f aca="false">IF(F1516&lt;&gt;F1517,F1517,"")</f>
        <v/>
      </c>
    </row>
    <row r="1518" customFormat="false" ht="15" hidden="false" customHeight="false" outlineLevel="0" collapsed="false">
      <c r="A1518" s="1" t="s">
        <v>146</v>
      </c>
      <c r="B1518" s="1" t="s">
        <v>147</v>
      </c>
      <c r="C1518" s="1" t="s">
        <v>842</v>
      </c>
      <c r="D1518" s="1" t="s">
        <v>843</v>
      </c>
      <c r="E1518" s="1" t="n">
        <v>20171</v>
      </c>
      <c r="F1518" s="1" t="s">
        <v>18</v>
      </c>
      <c r="G1518" s="1" t="s">
        <v>101</v>
      </c>
      <c r="H1518" s="1" t="n">
        <v>2.5</v>
      </c>
      <c r="I1518" s="1" t="n">
        <v>0</v>
      </c>
      <c r="J1518" s="1" t="n">
        <v>20201</v>
      </c>
      <c r="L1518" s="1" t="str">
        <f aca="false">IF(D1517&lt;&gt;D1518,D1518,"")</f>
        <v/>
      </c>
      <c r="M1518" s="1" t="str">
        <f aca="false">IF(F1517&lt;&gt;F1518,F1518,"")</f>
        <v/>
      </c>
    </row>
    <row r="1519" customFormat="false" ht="15" hidden="false" customHeight="false" outlineLevel="0" collapsed="false">
      <c r="A1519" s="1" t="s">
        <v>59</v>
      </c>
      <c r="B1519" s="1" t="s">
        <v>60</v>
      </c>
      <c r="C1519" s="1" t="s">
        <v>842</v>
      </c>
      <c r="D1519" s="1" t="s">
        <v>843</v>
      </c>
      <c r="E1519" s="1" t="n">
        <v>20171</v>
      </c>
      <c r="F1519" s="1" t="s">
        <v>18</v>
      </c>
      <c r="G1519" s="1" t="s">
        <v>30</v>
      </c>
      <c r="H1519" s="1" t="n">
        <v>1.5</v>
      </c>
      <c r="I1519" s="1" t="n">
        <v>0</v>
      </c>
      <c r="J1519" s="1" t="n">
        <v>20201</v>
      </c>
      <c r="L1519" s="1" t="str">
        <f aca="false">IF(D1518&lt;&gt;D1519,D1519,"")</f>
        <v/>
      </c>
      <c r="M1519" s="1" t="str">
        <f aca="false">IF(F1518&lt;&gt;F1519,F1519,"")</f>
        <v/>
      </c>
    </row>
    <row r="1520" customFormat="false" ht="15" hidden="false" customHeight="false" outlineLevel="0" collapsed="false">
      <c r="A1520" s="1" t="s">
        <v>152</v>
      </c>
      <c r="B1520" s="1" t="s">
        <v>153</v>
      </c>
      <c r="C1520" s="1" t="s">
        <v>842</v>
      </c>
      <c r="D1520" s="1" t="s">
        <v>843</v>
      </c>
      <c r="E1520" s="1" t="n">
        <v>20171</v>
      </c>
      <c r="F1520" s="1" t="s">
        <v>18</v>
      </c>
      <c r="G1520" s="1" t="s">
        <v>15</v>
      </c>
      <c r="H1520" s="1" t="n">
        <v>3.5</v>
      </c>
      <c r="I1520" s="1" t="n">
        <v>0</v>
      </c>
      <c r="J1520" s="1" t="n">
        <v>20201</v>
      </c>
      <c r="L1520" s="1" t="str">
        <f aca="false">IF(D1519&lt;&gt;D1520,D1520,"")</f>
        <v/>
      </c>
      <c r="M1520" s="1" t="str">
        <f aca="false">IF(F1519&lt;&gt;F1520,F1520,"")</f>
        <v/>
      </c>
    </row>
    <row r="1521" customFormat="false" ht="15" hidden="false" customHeight="false" outlineLevel="0" collapsed="false">
      <c r="A1521" s="1" t="s">
        <v>67</v>
      </c>
      <c r="B1521" s="1" t="s">
        <v>68</v>
      </c>
      <c r="C1521" s="1" t="s">
        <v>842</v>
      </c>
      <c r="D1521" s="1" t="s">
        <v>843</v>
      </c>
      <c r="E1521" s="1" t="n">
        <v>20171</v>
      </c>
      <c r="F1521" s="1" t="s">
        <v>18</v>
      </c>
      <c r="G1521" s="1" t="s">
        <v>18</v>
      </c>
      <c r="H1521" s="1" t="n">
        <v>3</v>
      </c>
      <c r="I1521" s="1" t="n">
        <v>0</v>
      </c>
      <c r="J1521" s="1" t="n">
        <v>20201</v>
      </c>
      <c r="L1521" s="1" t="str">
        <f aca="false">IF(D1520&lt;&gt;D1521,D1521,"")</f>
        <v/>
      </c>
      <c r="M1521" s="1" t="str">
        <f aca="false">IF(F1520&lt;&gt;F1521,F1521,"")</f>
        <v/>
      </c>
    </row>
    <row r="1522" customFormat="false" ht="15" hidden="false" customHeight="false" outlineLevel="0" collapsed="false">
      <c r="A1522" s="1" t="s">
        <v>164</v>
      </c>
      <c r="B1522" s="1" t="s">
        <v>165</v>
      </c>
      <c r="C1522" s="1" t="s">
        <v>842</v>
      </c>
      <c r="D1522" s="1" t="s">
        <v>843</v>
      </c>
      <c r="E1522" s="1" t="n">
        <v>20171</v>
      </c>
      <c r="F1522" s="1" t="s">
        <v>18</v>
      </c>
      <c r="G1522" s="1" t="s">
        <v>30</v>
      </c>
      <c r="H1522" s="1" t="n">
        <v>1.5</v>
      </c>
      <c r="I1522" s="1" t="n">
        <v>0</v>
      </c>
      <c r="J1522" s="1" t="n">
        <v>20201</v>
      </c>
      <c r="L1522" s="1" t="str">
        <f aca="false">IF(D1521&lt;&gt;D1522,D1522,"")</f>
        <v/>
      </c>
      <c r="M1522" s="1" t="str">
        <f aca="false">IF(F1521&lt;&gt;F1522,F1522,"")</f>
        <v/>
      </c>
    </row>
    <row r="1523" customFormat="false" ht="15" hidden="false" customHeight="false" outlineLevel="0" collapsed="false">
      <c r="A1523" s="1" t="s">
        <v>75</v>
      </c>
      <c r="B1523" s="1" t="s">
        <v>76</v>
      </c>
      <c r="C1523" s="1" t="s">
        <v>842</v>
      </c>
      <c r="D1523" s="1" t="s">
        <v>843</v>
      </c>
      <c r="E1523" s="1" t="n">
        <v>20171</v>
      </c>
      <c r="F1523" s="1" t="s">
        <v>18</v>
      </c>
      <c r="G1523" s="1" t="s">
        <v>30</v>
      </c>
      <c r="H1523" s="1" t="n">
        <v>1.5</v>
      </c>
      <c r="I1523" s="1" t="n">
        <v>0</v>
      </c>
      <c r="J1523" s="1" t="n">
        <v>20201</v>
      </c>
      <c r="L1523" s="1" t="str">
        <f aca="false">IF(D1522&lt;&gt;D1523,D1523,"")</f>
        <v/>
      </c>
      <c r="M1523" s="1" t="str">
        <f aca="false">IF(F1522&lt;&gt;F1523,F1523,"")</f>
        <v/>
      </c>
    </row>
    <row r="1524" customFormat="false" ht="15" hidden="false" customHeight="false" outlineLevel="0" collapsed="false">
      <c r="A1524" s="1" t="s">
        <v>174</v>
      </c>
      <c r="B1524" s="1" t="s">
        <v>175</v>
      </c>
      <c r="C1524" s="1" t="s">
        <v>842</v>
      </c>
      <c r="D1524" s="1" t="s">
        <v>843</v>
      </c>
      <c r="E1524" s="1" t="n">
        <v>20171</v>
      </c>
      <c r="F1524" s="1" t="s">
        <v>18</v>
      </c>
      <c r="G1524" s="1" t="s">
        <v>23</v>
      </c>
      <c r="H1524" s="1" t="n">
        <v>0</v>
      </c>
      <c r="I1524" s="1" t="n">
        <v>0</v>
      </c>
      <c r="J1524" s="1" t="n">
        <v>20201</v>
      </c>
      <c r="L1524" s="1" t="str">
        <f aca="false">IF(D1523&lt;&gt;D1524,D1524,"")</f>
        <v/>
      </c>
      <c r="M1524" s="1" t="str">
        <f aca="false">IF(F1523&lt;&gt;F1524,F1524,"")</f>
        <v/>
      </c>
    </row>
    <row r="1525" customFormat="false" ht="15" hidden="false" customHeight="false" outlineLevel="0" collapsed="false">
      <c r="A1525" s="1" t="s">
        <v>81</v>
      </c>
      <c r="B1525" s="1" t="s">
        <v>82</v>
      </c>
      <c r="C1525" s="1" t="s">
        <v>842</v>
      </c>
      <c r="D1525" s="1" t="s">
        <v>843</v>
      </c>
      <c r="E1525" s="1" t="n">
        <v>20171</v>
      </c>
      <c r="F1525" s="1" t="s">
        <v>18</v>
      </c>
      <c r="G1525" s="1" t="s">
        <v>18</v>
      </c>
      <c r="H1525" s="1" t="n">
        <v>3</v>
      </c>
      <c r="I1525" s="1" t="n">
        <v>0</v>
      </c>
      <c r="J1525" s="1" t="n">
        <v>20201</v>
      </c>
      <c r="L1525" s="1" t="str">
        <f aca="false">IF(D1524&lt;&gt;D1525,D1525,"")</f>
        <v/>
      </c>
      <c r="M1525" s="1" t="str">
        <f aca="false">IF(F1524&lt;&gt;F1525,F1525,"")</f>
        <v/>
      </c>
    </row>
    <row r="1526" customFormat="false" ht="15" hidden="false" customHeight="false" outlineLevel="0" collapsed="false">
      <c r="A1526" s="1" t="s">
        <v>176</v>
      </c>
      <c r="B1526" s="1" t="s">
        <v>177</v>
      </c>
      <c r="C1526" s="1" t="s">
        <v>842</v>
      </c>
      <c r="D1526" s="1" t="s">
        <v>843</v>
      </c>
      <c r="E1526" s="1" t="n">
        <v>20171</v>
      </c>
      <c r="F1526" s="1" t="s">
        <v>18</v>
      </c>
      <c r="G1526" s="1" t="s">
        <v>15</v>
      </c>
      <c r="H1526" s="1" t="n">
        <v>3.5</v>
      </c>
      <c r="I1526" s="1" t="n">
        <v>0</v>
      </c>
      <c r="J1526" s="1" t="n">
        <v>20201</v>
      </c>
      <c r="L1526" s="1" t="str">
        <f aca="false">IF(D1525&lt;&gt;D1526,D1526,"")</f>
        <v/>
      </c>
      <c r="M1526" s="1" t="str">
        <f aca="false">IF(F1525&lt;&gt;F1526,F1526,"")</f>
        <v/>
      </c>
    </row>
    <row r="1527" customFormat="false" ht="15" hidden="false" customHeight="false" outlineLevel="0" collapsed="false">
      <c r="A1527" s="1" t="s">
        <v>87</v>
      </c>
      <c r="B1527" s="1" t="s">
        <v>88</v>
      </c>
      <c r="C1527" s="1" t="s">
        <v>842</v>
      </c>
      <c r="D1527" s="1" t="s">
        <v>843</v>
      </c>
      <c r="E1527" s="1" t="n">
        <v>20171</v>
      </c>
      <c r="F1527" s="1" t="s">
        <v>18</v>
      </c>
      <c r="G1527" s="1" t="s">
        <v>101</v>
      </c>
      <c r="H1527" s="1" t="n">
        <v>2.5</v>
      </c>
      <c r="I1527" s="1" t="n">
        <v>0</v>
      </c>
      <c r="J1527" s="1" t="n">
        <v>20201</v>
      </c>
      <c r="L1527" s="1" t="str">
        <f aca="false">IF(D1526&lt;&gt;D1527,D1527,"")</f>
        <v/>
      </c>
      <c r="M1527" s="1" t="str">
        <f aca="false">IF(F1526&lt;&gt;F1527,F1527,"")</f>
        <v/>
      </c>
    </row>
    <row r="1528" customFormat="false" ht="15" hidden="false" customHeight="false" outlineLevel="0" collapsed="false">
      <c r="A1528" s="1" t="s">
        <v>182</v>
      </c>
      <c r="B1528" s="1" t="s">
        <v>183</v>
      </c>
      <c r="C1528" s="1" t="s">
        <v>842</v>
      </c>
      <c r="D1528" s="1" t="s">
        <v>843</v>
      </c>
      <c r="E1528" s="1" t="n">
        <v>20171</v>
      </c>
      <c r="F1528" s="1" t="s">
        <v>18</v>
      </c>
      <c r="G1528" s="1" t="s">
        <v>15</v>
      </c>
      <c r="H1528" s="1" t="n">
        <v>3.5</v>
      </c>
      <c r="I1528" s="1" t="n">
        <v>0</v>
      </c>
      <c r="J1528" s="1" t="n">
        <v>20201</v>
      </c>
      <c r="L1528" s="1" t="str">
        <f aca="false">IF(D1527&lt;&gt;D1528,D1528,"")</f>
        <v/>
      </c>
      <c r="M1528" s="1" t="str">
        <f aca="false">IF(F1527&lt;&gt;F1528,F1528,"")</f>
        <v/>
      </c>
    </row>
    <row r="1529" customFormat="false" ht="15" hidden="false" customHeight="false" outlineLevel="0" collapsed="false">
      <c r="A1529" s="1" t="s">
        <v>190</v>
      </c>
      <c r="B1529" s="1" t="s">
        <v>191</v>
      </c>
      <c r="C1529" s="1" t="s">
        <v>842</v>
      </c>
      <c r="D1529" s="1" t="s">
        <v>843</v>
      </c>
      <c r="E1529" s="1" t="n">
        <v>20171</v>
      </c>
      <c r="F1529" s="1" t="s">
        <v>18</v>
      </c>
      <c r="G1529" s="1" t="s">
        <v>14</v>
      </c>
      <c r="H1529" s="1" t="n">
        <v>4</v>
      </c>
      <c r="I1529" s="1" t="n">
        <v>0</v>
      </c>
      <c r="J1529" s="1" t="n">
        <v>20201</v>
      </c>
      <c r="L1529" s="1" t="str">
        <f aca="false">IF(D1528&lt;&gt;D1529,D1529,"")</f>
        <v/>
      </c>
      <c r="M1529" s="1" t="str">
        <f aca="false">IF(F1528&lt;&gt;F1529,F1529,"")</f>
        <v/>
      </c>
    </row>
    <row r="1530" customFormat="false" ht="15" hidden="false" customHeight="false" outlineLevel="0" collapsed="false">
      <c r="A1530" s="1" t="s">
        <v>97</v>
      </c>
      <c r="B1530" s="1" t="s">
        <v>98</v>
      </c>
      <c r="C1530" s="1" t="s">
        <v>842</v>
      </c>
      <c r="D1530" s="1" t="s">
        <v>843</v>
      </c>
      <c r="E1530" s="1" t="n">
        <v>20171</v>
      </c>
      <c r="F1530" s="1" t="s">
        <v>18</v>
      </c>
      <c r="G1530" s="1" t="s">
        <v>30</v>
      </c>
      <c r="H1530" s="1" t="n">
        <v>1.5</v>
      </c>
      <c r="I1530" s="1" t="n">
        <v>0</v>
      </c>
      <c r="J1530" s="1" t="n">
        <v>20201</v>
      </c>
      <c r="L1530" s="1" t="str">
        <f aca="false">IF(D1529&lt;&gt;D1530,D1530,"")</f>
        <v/>
      </c>
      <c r="M1530" s="1" t="str">
        <f aca="false">IF(F1529&lt;&gt;F1530,F1530,"")</f>
        <v/>
      </c>
    </row>
    <row r="1531" customFormat="false" ht="15" hidden="false" customHeight="false" outlineLevel="0" collapsed="false">
      <c r="A1531" s="1" t="s">
        <v>192</v>
      </c>
      <c r="B1531" s="1" t="s">
        <v>193</v>
      </c>
      <c r="C1531" s="1" t="s">
        <v>842</v>
      </c>
      <c r="D1531" s="1" t="s">
        <v>843</v>
      </c>
      <c r="E1531" s="1" t="n">
        <v>20171</v>
      </c>
      <c r="F1531" s="1" t="s">
        <v>18</v>
      </c>
      <c r="G1531" s="1" t="s">
        <v>15</v>
      </c>
      <c r="H1531" s="1" t="n">
        <v>3.5</v>
      </c>
      <c r="I1531" s="1" t="n">
        <v>0</v>
      </c>
      <c r="J1531" s="1" t="n">
        <v>20201</v>
      </c>
      <c r="L1531" s="1" t="str">
        <f aca="false">IF(D1530&lt;&gt;D1531,D1531,"")</f>
        <v/>
      </c>
      <c r="M1531" s="1" t="str">
        <f aca="false">IF(F1530&lt;&gt;F1531,F1531,"")</f>
        <v/>
      </c>
    </row>
    <row r="1532" customFormat="false" ht="15" hidden="false" customHeight="false" outlineLevel="0" collapsed="false">
      <c r="A1532" s="1" t="s">
        <v>846</v>
      </c>
      <c r="B1532" s="1" t="s">
        <v>847</v>
      </c>
      <c r="C1532" s="1" t="s">
        <v>842</v>
      </c>
      <c r="D1532" s="1" t="s">
        <v>843</v>
      </c>
      <c r="E1532" s="1" t="n">
        <v>20171</v>
      </c>
      <c r="F1532" s="1" t="s">
        <v>18</v>
      </c>
      <c r="G1532" s="1" t="s">
        <v>23</v>
      </c>
      <c r="H1532" s="1" t="n">
        <v>0</v>
      </c>
      <c r="I1532" s="1" t="n">
        <v>0</v>
      </c>
      <c r="J1532" s="1" t="n">
        <v>20201</v>
      </c>
      <c r="L1532" s="1" t="str">
        <f aca="false">IF(D1531&lt;&gt;D1532,D1532,"")</f>
        <v/>
      </c>
      <c r="M1532" s="1" t="str">
        <f aca="false">IF(F1531&lt;&gt;F1532,F1532,"")</f>
        <v/>
      </c>
    </row>
    <row r="1533" customFormat="false" ht="15" hidden="false" customHeight="false" outlineLevel="0" collapsed="false">
      <c r="A1533" s="1" t="s">
        <v>785</v>
      </c>
      <c r="B1533" s="1" t="s">
        <v>786</v>
      </c>
      <c r="C1533" s="1" t="s">
        <v>842</v>
      </c>
      <c r="D1533" s="1" t="s">
        <v>843</v>
      </c>
      <c r="E1533" s="1" t="n">
        <v>20171</v>
      </c>
      <c r="F1533" s="1" t="s">
        <v>127</v>
      </c>
      <c r="G1533" s="1" t="s">
        <v>30</v>
      </c>
      <c r="H1533" s="1" t="n">
        <v>1.5</v>
      </c>
      <c r="I1533" s="1" t="n">
        <v>0</v>
      </c>
      <c r="J1533" s="1" t="n">
        <v>20201</v>
      </c>
      <c r="L1533" s="1" t="str">
        <f aca="false">IF(D1532&lt;&gt;D1533,D1533,"")</f>
        <v/>
      </c>
      <c r="M1533" s="1" t="str">
        <f aca="false">IF(F1532&lt;&gt;F1533,F1533,"")</f>
        <v>C</v>
      </c>
    </row>
    <row r="1534" customFormat="false" ht="15" hidden="false" customHeight="false" outlineLevel="0" collapsed="false">
      <c r="A1534" s="1" t="s">
        <v>635</v>
      </c>
      <c r="B1534" s="1" t="s">
        <v>636</v>
      </c>
      <c r="C1534" s="1" t="s">
        <v>842</v>
      </c>
      <c r="D1534" s="1" t="s">
        <v>843</v>
      </c>
      <c r="E1534" s="1" t="n">
        <v>20171</v>
      </c>
      <c r="F1534" s="1" t="s">
        <v>127</v>
      </c>
      <c r="G1534" s="1" t="s">
        <v>124</v>
      </c>
      <c r="H1534" s="1" t="n">
        <v>0</v>
      </c>
      <c r="I1534" s="1" t="n">
        <v>0</v>
      </c>
      <c r="J1534" s="1" t="n">
        <v>20201</v>
      </c>
      <c r="L1534" s="1" t="str">
        <f aca="false">IF(D1533&lt;&gt;D1534,D1534,"")</f>
        <v/>
      </c>
      <c r="M1534" s="1" t="str">
        <f aca="false">IF(F1533&lt;&gt;F1534,F1534,"")</f>
        <v/>
      </c>
    </row>
    <row r="1535" customFormat="false" ht="15" hidden="false" customHeight="false" outlineLevel="0" collapsed="false">
      <c r="A1535" s="1" t="s">
        <v>619</v>
      </c>
      <c r="B1535" s="1" t="s">
        <v>620</v>
      </c>
      <c r="C1535" s="1" t="s">
        <v>842</v>
      </c>
      <c r="D1535" s="1" t="s">
        <v>843</v>
      </c>
      <c r="E1535" s="1" t="n">
        <v>20171</v>
      </c>
      <c r="F1535" s="1" t="s">
        <v>127</v>
      </c>
      <c r="G1535" s="1" t="s">
        <v>30</v>
      </c>
      <c r="H1535" s="1" t="n">
        <v>1.5</v>
      </c>
      <c r="I1535" s="1" t="n">
        <v>0</v>
      </c>
      <c r="J1535" s="1" t="n">
        <v>20201</v>
      </c>
      <c r="L1535" s="1" t="str">
        <f aca="false">IF(D1534&lt;&gt;D1535,D1535,"")</f>
        <v/>
      </c>
      <c r="M1535" s="1" t="str">
        <f aca="false">IF(F1534&lt;&gt;F1535,F1535,"")</f>
        <v/>
      </c>
    </row>
    <row r="1536" customFormat="false" ht="15" hidden="false" customHeight="false" outlineLevel="0" collapsed="false">
      <c r="A1536" s="1" t="s">
        <v>581</v>
      </c>
      <c r="B1536" s="1" t="s">
        <v>582</v>
      </c>
      <c r="C1536" s="1" t="s">
        <v>842</v>
      </c>
      <c r="D1536" s="1" t="s">
        <v>843</v>
      </c>
      <c r="E1536" s="1" t="n">
        <v>20171</v>
      </c>
      <c r="F1536" s="1" t="s">
        <v>127</v>
      </c>
      <c r="G1536" s="1" t="s">
        <v>101</v>
      </c>
      <c r="H1536" s="1" t="n">
        <v>2.5</v>
      </c>
      <c r="I1536" s="1" t="n">
        <v>0</v>
      </c>
      <c r="J1536" s="1" t="n">
        <v>20201</v>
      </c>
      <c r="L1536" s="1" t="str">
        <f aca="false">IF(D1535&lt;&gt;D1536,D1536,"")</f>
        <v/>
      </c>
      <c r="M1536" s="1" t="str">
        <f aca="false">IF(F1535&lt;&gt;F1536,F1536,"")</f>
        <v/>
      </c>
    </row>
    <row r="1537" customFormat="false" ht="15" hidden="false" customHeight="false" outlineLevel="0" collapsed="false">
      <c r="A1537" s="1" t="s">
        <v>669</v>
      </c>
      <c r="B1537" s="1" t="s">
        <v>670</v>
      </c>
      <c r="C1537" s="1" t="s">
        <v>842</v>
      </c>
      <c r="D1537" s="1" t="s">
        <v>843</v>
      </c>
      <c r="E1537" s="1" t="n">
        <v>20171</v>
      </c>
      <c r="F1537" s="1" t="s">
        <v>127</v>
      </c>
      <c r="G1537" s="1" t="s">
        <v>101</v>
      </c>
      <c r="H1537" s="1" t="n">
        <v>2.5</v>
      </c>
      <c r="I1537" s="1" t="n">
        <v>0</v>
      </c>
      <c r="J1537" s="1" t="n">
        <v>20201</v>
      </c>
      <c r="L1537" s="1" t="str">
        <f aca="false">IF(D1536&lt;&gt;D1537,D1537,"")</f>
        <v/>
      </c>
      <c r="M1537" s="1" t="str">
        <f aca="false">IF(F1536&lt;&gt;F1537,F1537,"")</f>
        <v/>
      </c>
    </row>
    <row r="1538" customFormat="false" ht="15" hidden="false" customHeight="false" outlineLevel="0" collapsed="false">
      <c r="A1538" s="1" t="s">
        <v>583</v>
      </c>
      <c r="B1538" s="1" t="s">
        <v>584</v>
      </c>
      <c r="C1538" s="1" t="s">
        <v>842</v>
      </c>
      <c r="D1538" s="1" t="s">
        <v>843</v>
      </c>
      <c r="E1538" s="1" t="n">
        <v>20171</v>
      </c>
      <c r="F1538" s="1" t="s">
        <v>127</v>
      </c>
      <c r="G1538" s="1" t="s">
        <v>101</v>
      </c>
      <c r="H1538" s="1" t="n">
        <v>2.5</v>
      </c>
      <c r="I1538" s="1" t="n">
        <v>0</v>
      </c>
      <c r="J1538" s="1" t="n">
        <v>20201</v>
      </c>
      <c r="L1538" s="1" t="str">
        <f aca="false">IF(D1537&lt;&gt;D1538,D1538,"")</f>
        <v/>
      </c>
      <c r="M1538" s="1" t="str">
        <f aca="false">IF(F1537&lt;&gt;F1538,F1538,"")</f>
        <v/>
      </c>
    </row>
    <row r="1539" customFormat="false" ht="15" hidden="false" customHeight="false" outlineLevel="0" collapsed="false">
      <c r="A1539" s="1" t="s">
        <v>848</v>
      </c>
      <c r="B1539" s="1" t="s">
        <v>849</v>
      </c>
      <c r="C1539" s="1" t="s">
        <v>842</v>
      </c>
      <c r="D1539" s="1" t="s">
        <v>843</v>
      </c>
      <c r="E1539" s="1" t="n">
        <v>20171</v>
      </c>
      <c r="F1539" s="1" t="s">
        <v>127</v>
      </c>
      <c r="G1539" s="1" t="s">
        <v>101</v>
      </c>
      <c r="H1539" s="1" t="n">
        <v>2.5</v>
      </c>
      <c r="I1539" s="1" t="n">
        <v>0</v>
      </c>
      <c r="J1539" s="1" t="n">
        <v>20201</v>
      </c>
      <c r="L1539" s="1" t="str">
        <f aca="false">IF(D1538&lt;&gt;D1539,D1539,"")</f>
        <v/>
      </c>
      <c r="M1539" s="1" t="str">
        <f aca="false">IF(F1538&lt;&gt;F1539,F1539,"")</f>
        <v/>
      </c>
    </row>
    <row r="1540" customFormat="false" ht="15" hidden="false" customHeight="false" outlineLevel="0" collapsed="false">
      <c r="A1540" s="1" t="s">
        <v>671</v>
      </c>
      <c r="B1540" s="1" t="s">
        <v>672</v>
      </c>
      <c r="C1540" s="1" t="s">
        <v>842</v>
      </c>
      <c r="D1540" s="1" t="s">
        <v>843</v>
      </c>
      <c r="E1540" s="1" t="n">
        <v>20171</v>
      </c>
      <c r="F1540" s="1" t="s">
        <v>127</v>
      </c>
      <c r="G1540" s="1" t="s">
        <v>15</v>
      </c>
      <c r="H1540" s="1" t="n">
        <v>3.5</v>
      </c>
      <c r="I1540" s="1" t="n">
        <v>0</v>
      </c>
      <c r="J1540" s="1" t="n">
        <v>20201</v>
      </c>
      <c r="L1540" s="1" t="str">
        <f aca="false">IF(D1539&lt;&gt;D1540,D1540,"")</f>
        <v/>
      </c>
      <c r="M1540" s="1" t="str">
        <f aca="false">IF(F1539&lt;&gt;F1540,F1540,"")</f>
        <v/>
      </c>
    </row>
    <row r="1541" customFormat="false" ht="15" hidden="false" customHeight="false" outlineLevel="0" collapsed="false">
      <c r="A1541" s="1" t="s">
        <v>525</v>
      </c>
      <c r="B1541" s="1" t="s">
        <v>526</v>
      </c>
      <c r="C1541" s="1" t="s">
        <v>842</v>
      </c>
      <c r="D1541" s="1" t="s">
        <v>843</v>
      </c>
      <c r="E1541" s="1" t="n">
        <v>20171</v>
      </c>
      <c r="F1541" s="1" t="s">
        <v>127</v>
      </c>
      <c r="G1541" s="1" t="s">
        <v>127</v>
      </c>
      <c r="H1541" s="1" t="n">
        <v>2</v>
      </c>
      <c r="I1541" s="1" t="n">
        <v>0</v>
      </c>
      <c r="J1541" s="1" t="n">
        <v>20201</v>
      </c>
      <c r="L1541" s="1" t="str">
        <f aca="false">IF(D1540&lt;&gt;D1541,D1541,"")</f>
        <v/>
      </c>
      <c r="M1541" s="1" t="str">
        <f aca="false">IF(F1540&lt;&gt;F1541,F1541,"")</f>
        <v/>
      </c>
    </row>
    <row r="1542" customFormat="false" ht="15" hidden="false" customHeight="false" outlineLevel="0" collapsed="false">
      <c r="A1542" s="1" t="s">
        <v>112</v>
      </c>
      <c r="B1542" s="1" t="s">
        <v>113</v>
      </c>
      <c r="C1542" s="1" t="s">
        <v>842</v>
      </c>
      <c r="D1542" s="1" t="s">
        <v>843</v>
      </c>
      <c r="E1542" s="1" t="n">
        <v>20171</v>
      </c>
      <c r="F1542" s="1" t="s">
        <v>127</v>
      </c>
      <c r="G1542" s="1" t="s">
        <v>101</v>
      </c>
      <c r="H1542" s="1" t="n">
        <v>2.5</v>
      </c>
      <c r="I1542" s="1" t="n">
        <v>0</v>
      </c>
      <c r="J1542" s="1" t="n">
        <v>20201</v>
      </c>
      <c r="L1542" s="1" t="str">
        <f aca="false">IF(D1541&lt;&gt;D1542,D1542,"")</f>
        <v/>
      </c>
      <c r="M1542" s="1" t="str">
        <f aca="false">IF(F1541&lt;&gt;F1542,F1542,"")</f>
        <v/>
      </c>
    </row>
    <row r="1543" customFormat="false" ht="15" hidden="false" customHeight="false" outlineLevel="0" collapsed="false">
      <c r="A1543" s="1" t="s">
        <v>601</v>
      </c>
      <c r="B1543" s="1" t="s">
        <v>602</v>
      </c>
      <c r="C1543" s="1" t="s">
        <v>842</v>
      </c>
      <c r="D1543" s="1" t="s">
        <v>843</v>
      </c>
      <c r="E1543" s="1" t="n">
        <v>20171</v>
      </c>
      <c r="F1543" s="1" t="s">
        <v>127</v>
      </c>
      <c r="G1543" s="1" t="s">
        <v>23</v>
      </c>
      <c r="H1543" s="1" t="n">
        <v>0</v>
      </c>
      <c r="I1543" s="1" t="n">
        <v>0</v>
      </c>
      <c r="J1543" s="1" t="n">
        <v>20201</v>
      </c>
      <c r="L1543" s="1" t="str">
        <f aca="false">IF(D1542&lt;&gt;D1543,D1543,"")</f>
        <v/>
      </c>
      <c r="M1543" s="1" t="str">
        <f aca="false">IF(F1542&lt;&gt;F1543,F1543,"")</f>
        <v/>
      </c>
    </row>
    <row r="1544" customFormat="false" ht="15" hidden="false" customHeight="false" outlineLevel="0" collapsed="false">
      <c r="A1544" s="1" t="s">
        <v>737</v>
      </c>
      <c r="B1544" s="1" t="s">
        <v>738</v>
      </c>
      <c r="C1544" s="1" t="s">
        <v>842</v>
      </c>
      <c r="D1544" s="1" t="s">
        <v>843</v>
      </c>
      <c r="E1544" s="1" t="n">
        <v>20171</v>
      </c>
      <c r="F1544" s="1" t="s">
        <v>127</v>
      </c>
      <c r="G1544" s="1" t="s">
        <v>127</v>
      </c>
      <c r="H1544" s="1" t="n">
        <v>2</v>
      </c>
      <c r="I1544" s="1" t="n">
        <v>0</v>
      </c>
      <c r="J1544" s="1" t="n">
        <v>20201</v>
      </c>
      <c r="L1544" s="1" t="str">
        <f aca="false">IF(D1543&lt;&gt;D1544,D1544,"")</f>
        <v/>
      </c>
      <c r="M1544" s="1" t="str">
        <f aca="false">IF(F1543&lt;&gt;F1544,F1544,"")</f>
        <v/>
      </c>
    </row>
    <row r="1545" customFormat="false" ht="15" hidden="false" customHeight="false" outlineLevel="0" collapsed="false">
      <c r="A1545" s="1" t="s">
        <v>808</v>
      </c>
      <c r="B1545" s="1" t="s">
        <v>809</v>
      </c>
      <c r="C1545" s="1" t="s">
        <v>842</v>
      </c>
      <c r="D1545" s="1" t="s">
        <v>843</v>
      </c>
      <c r="E1545" s="1" t="n">
        <v>20171</v>
      </c>
      <c r="F1545" s="1" t="s">
        <v>127</v>
      </c>
      <c r="G1545" s="1" t="s">
        <v>15</v>
      </c>
      <c r="H1545" s="1" t="n">
        <v>3.5</v>
      </c>
      <c r="I1545" s="1" t="n">
        <v>0</v>
      </c>
      <c r="J1545" s="1" t="n">
        <v>20201</v>
      </c>
      <c r="L1545" s="1" t="str">
        <f aca="false">IF(D1544&lt;&gt;D1545,D1545,"")</f>
        <v/>
      </c>
      <c r="M1545" s="1" t="str">
        <f aca="false">IF(F1544&lt;&gt;F1545,F1545,"")</f>
        <v/>
      </c>
    </row>
    <row r="1546" customFormat="false" ht="15" hidden="false" customHeight="false" outlineLevel="0" collapsed="false">
      <c r="A1546" s="1" t="s">
        <v>251</v>
      </c>
      <c r="B1546" s="1" t="s">
        <v>252</v>
      </c>
      <c r="C1546" s="1" t="s">
        <v>842</v>
      </c>
      <c r="D1546" s="1" t="s">
        <v>843</v>
      </c>
      <c r="E1546" s="1" t="n">
        <v>20171</v>
      </c>
      <c r="F1546" s="1" t="s">
        <v>127</v>
      </c>
      <c r="G1546" s="1" t="s">
        <v>30</v>
      </c>
      <c r="H1546" s="1" t="n">
        <v>1.5</v>
      </c>
      <c r="I1546" s="1" t="n">
        <v>0</v>
      </c>
      <c r="J1546" s="1" t="n">
        <v>20201</v>
      </c>
      <c r="L1546" s="1" t="str">
        <f aca="false">IF(D1545&lt;&gt;D1546,D1546,"")</f>
        <v/>
      </c>
      <c r="M1546" s="1" t="str">
        <f aca="false">IF(F1545&lt;&gt;F1546,F1546,"")</f>
        <v/>
      </c>
    </row>
    <row r="1547" customFormat="false" ht="15" hidden="false" customHeight="false" outlineLevel="0" collapsed="false">
      <c r="A1547" s="1" t="s">
        <v>28</v>
      </c>
      <c r="B1547" s="1" t="s">
        <v>29</v>
      </c>
      <c r="C1547" s="1" t="s">
        <v>842</v>
      </c>
      <c r="D1547" s="1" t="s">
        <v>843</v>
      </c>
      <c r="E1547" s="1" t="n">
        <v>20171</v>
      </c>
      <c r="F1547" s="1" t="s">
        <v>127</v>
      </c>
      <c r="G1547" s="1" t="s">
        <v>23</v>
      </c>
      <c r="H1547" s="1" t="n">
        <v>0</v>
      </c>
      <c r="I1547" s="1" t="n">
        <v>0</v>
      </c>
      <c r="J1547" s="1" t="n">
        <v>20201</v>
      </c>
      <c r="L1547" s="1" t="str">
        <f aca="false">IF(D1546&lt;&gt;D1547,D1547,"")</f>
        <v/>
      </c>
      <c r="M1547" s="1" t="str">
        <f aca="false">IF(F1546&lt;&gt;F1547,F1547,"")</f>
        <v/>
      </c>
    </row>
    <row r="1548" customFormat="false" ht="15" hidden="false" customHeight="false" outlineLevel="0" collapsed="false">
      <c r="A1548" s="1" t="s">
        <v>120</v>
      </c>
      <c r="B1548" s="1" t="s">
        <v>121</v>
      </c>
      <c r="C1548" s="1" t="s">
        <v>842</v>
      </c>
      <c r="D1548" s="1" t="s">
        <v>843</v>
      </c>
      <c r="E1548" s="1" t="n">
        <v>20171</v>
      </c>
      <c r="F1548" s="1" t="s">
        <v>127</v>
      </c>
      <c r="G1548" s="1" t="s">
        <v>101</v>
      </c>
      <c r="H1548" s="1" t="n">
        <v>2.5</v>
      </c>
      <c r="I1548" s="1" t="n">
        <v>0</v>
      </c>
      <c r="J1548" s="1" t="n">
        <v>20201</v>
      </c>
      <c r="L1548" s="1" t="str">
        <f aca="false">IF(D1547&lt;&gt;D1548,D1548,"")</f>
        <v/>
      </c>
      <c r="M1548" s="1" t="str">
        <f aca="false">IF(F1547&lt;&gt;F1548,F1548,"")</f>
        <v/>
      </c>
    </row>
    <row r="1549" customFormat="false" ht="15" hidden="false" customHeight="false" outlineLevel="0" collapsed="false">
      <c r="A1549" s="1" t="s">
        <v>31</v>
      </c>
      <c r="B1549" s="1" t="s">
        <v>32</v>
      </c>
      <c r="C1549" s="1" t="s">
        <v>842</v>
      </c>
      <c r="D1549" s="1" t="s">
        <v>843</v>
      </c>
      <c r="E1549" s="1" t="n">
        <v>20171</v>
      </c>
      <c r="F1549" s="1" t="s">
        <v>127</v>
      </c>
      <c r="G1549" s="1" t="s">
        <v>514</v>
      </c>
      <c r="H1549" s="1" t="n">
        <v>1</v>
      </c>
      <c r="I1549" s="1" t="n">
        <v>0</v>
      </c>
      <c r="J1549" s="1" t="n">
        <v>20201</v>
      </c>
      <c r="L1549" s="1" t="str">
        <f aca="false">IF(D1548&lt;&gt;D1549,D1549,"")</f>
        <v/>
      </c>
      <c r="M1549" s="1" t="str">
        <f aca="false">IF(F1548&lt;&gt;F1549,F1549,"")</f>
        <v/>
      </c>
    </row>
    <row r="1550" customFormat="false" ht="15" hidden="false" customHeight="false" outlineLevel="0" collapsed="false">
      <c r="A1550" s="1" t="s">
        <v>39</v>
      </c>
      <c r="B1550" s="1" t="s">
        <v>40</v>
      </c>
      <c r="C1550" s="1" t="s">
        <v>842</v>
      </c>
      <c r="D1550" s="1" t="s">
        <v>843</v>
      </c>
      <c r="E1550" s="1" t="n">
        <v>20171</v>
      </c>
      <c r="F1550" s="1" t="s">
        <v>127</v>
      </c>
      <c r="G1550" s="1" t="s">
        <v>30</v>
      </c>
      <c r="H1550" s="1" t="n">
        <v>1.5</v>
      </c>
      <c r="I1550" s="1" t="n">
        <v>0</v>
      </c>
      <c r="J1550" s="1" t="n">
        <v>20201</v>
      </c>
      <c r="L1550" s="1" t="str">
        <f aca="false">IF(D1549&lt;&gt;D1550,D1550,"")</f>
        <v/>
      </c>
      <c r="M1550" s="1" t="str">
        <f aca="false">IF(F1549&lt;&gt;F1550,F1550,"")</f>
        <v/>
      </c>
    </row>
    <row r="1551" customFormat="false" ht="15" hidden="false" customHeight="false" outlineLevel="0" collapsed="false">
      <c r="A1551" s="1" t="s">
        <v>130</v>
      </c>
      <c r="B1551" s="1" t="s">
        <v>131</v>
      </c>
      <c r="C1551" s="1" t="s">
        <v>842</v>
      </c>
      <c r="D1551" s="1" t="s">
        <v>843</v>
      </c>
      <c r="E1551" s="1" t="n">
        <v>20171</v>
      </c>
      <c r="F1551" s="1" t="s">
        <v>127</v>
      </c>
      <c r="G1551" s="1" t="s">
        <v>101</v>
      </c>
      <c r="H1551" s="1" t="n">
        <v>2.5</v>
      </c>
      <c r="I1551" s="1" t="n">
        <v>0</v>
      </c>
      <c r="J1551" s="1" t="n">
        <v>20201</v>
      </c>
      <c r="L1551" s="1" t="str">
        <f aca="false">IF(D1550&lt;&gt;D1551,D1551,"")</f>
        <v/>
      </c>
      <c r="M1551" s="1" t="str">
        <f aca="false">IF(F1550&lt;&gt;F1551,F1551,"")</f>
        <v/>
      </c>
    </row>
    <row r="1552" customFormat="false" ht="15" hidden="false" customHeight="false" outlineLevel="0" collapsed="false">
      <c r="A1552" s="1" t="s">
        <v>45</v>
      </c>
      <c r="B1552" s="1" t="s">
        <v>46</v>
      </c>
      <c r="C1552" s="1" t="s">
        <v>842</v>
      </c>
      <c r="D1552" s="1" t="s">
        <v>843</v>
      </c>
      <c r="E1552" s="1" t="n">
        <v>20171</v>
      </c>
      <c r="F1552" s="1" t="s">
        <v>127</v>
      </c>
      <c r="G1552" s="1" t="s">
        <v>15</v>
      </c>
      <c r="H1552" s="1" t="n">
        <v>3.5</v>
      </c>
      <c r="I1552" s="1" t="n">
        <v>0</v>
      </c>
      <c r="J1552" s="1" t="n">
        <v>20201</v>
      </c>
      <c r="L1552" s="1" t="str">
        <f aca="false">IF(D1551&lt;&gt;D1552,D1552,"")</f>
        <v/>
      </c>
      <c r="M1552" s="1" t="str">
        <f aca="false">IF(F1551&lt;&gt;F1552,F1552,"")</f>
        <v/>
      </c>
    </row>
    <row r="1553" customFormat="false" ht="15" hidden="false" customHeight="false" outlineLevel="0" collapsed="false">
      <c r="A1553" s="1" t="s">
        <v>140</v>
      </c>
      <c r="B1553" s="1" t="s">
        <v>141</v>
      </c>
      <c r="C1553" s="1" t="s">
        <v>842</v>
      </c>
      <c r="D1553" s="1" t="s">
        <v>843</v>
      </c>
      <c r="E1553" s="1" t="n">
        <v>20171</v>
      </c>
      <c r="F1553" s="1" t="s">
        <v>127</v>
      </c>
      <c r="G1553" s="1" t="s">
        <v>127</v>
      </c>
      <c r="H1553" s="1" t="n">
        <v>2</v>
      </c>
      <c r="I1553" s="1" t="n">
        <v>0</v>
      </c>
      <c r="J1553" s="1" t="n">
        <v>20201</v>
      </c>
      <c r="L1553" s="1" t="str">
        <f aca="false">IF(D1552&lt;&gt;D1553,D1553,"")</f>
        <v/>
      </c>
      <c r="M1553" s="1" t="str">
        <f aca="false">IF(F1552&lt;&gt;F1553,F1553,"")</f>
        <v/>
      </c>
    </row>
    <row r="1554" customFormat="false" ht="15" hidden="false" customHeight="false" outlineLevel="0" collapsed="false">
      <c r="A1554" s="1" t="s">
        <v>47</v>
      </c>
      <c r="B1554" s="1" t="s">
        <v>48</v>
      </c>
      <c r="C1554" s="1" t="s">
        <v>842</v>
      </c>
      <c r="D1554" s="1" t="s">
        <v>843</v>
      </c>
      <c r="E1554" s="1" t="n">
        <v>20171</v>
      </c>
      <c r="F1554" s="1" t="s">
        <v>127</v>
      </c>
      <c r="G1554" s="1" t="s">
        <v>30</v>
      </c>
      <c r="H1554" s="1" t="n">
        <v>1.5</v>
      </c>
      <c r="I1554" s="1" t="n">
        <v>0</v>
      </c>
      <c r="J1554" s="1" t="n">
        <v>20201</v>
      </c>
      <c r="L1554" s="1" t="str">
        <f aca="false">IF(D1553&lt;&gt;D1554,D1554,"")</f>
        <v/>
      </c>
      <c r="M1554" s="1" t="str">
        <f aca="false">IF(F1553&lt;&gt;F1554,F1554,"")</f>
        <v/>
      </c>
    </row>
    <row r="1555" customFormat="false" ht="15" hidden="false" customHeight="false" outlineLevel="0" collapsed="false">
      <c r="A1555" s="1" t="s">
        <v>53</v>
      </c>
      <c r="B1555" s="1" t="s">
        <v>54</v>
      </c>
      <c r="C1555" s="1" t="s">
        <v>842</v>
      </c>
      <c r="D1555" s="1" t="s">
        <v>843</v>
      </c>
      <c r="E1555" s="1" t="n">
        <v>20171</v>
      </c>
      <c r="F1555" s="1" t="s">
        <v>127</v>
      </c>
      <c r="G1555" s="1" t="s">
        <v>514</v>
      </c>
      <c r="H1555" s="1" t="n">
        <v>1</v>
      </c>
      <c r="I1555" s="1" t="n">
        <v>0</v>
      </c>
      <c r="J1555" s="1" t="n">
        <v>20201</v>
      </c>
      <c r="L1555" s="1" t="str">
        <f aca="false">IF(D1554&lt;&gt;D1555,D1555,"")</f>
        <v/>
      </c>
      <c r="M1555" s="1" t="str">
        <f aca="false">IF(F1554&lt;&gt;F1555,F1555,"")</f>
        <v/>
      </c>
    </row>
    <row r="1556" customFormat="false" ht="15" hidden="false" customHeight="false" outlineLevel="0" collapsed="false">
      <c r="A1556" s="1" t="s">
        <v>55</v>
      </c>
      <c r="B1556" s="1" t="s">
        <v>56</v>
      </c>
      <c r="C1556" s="1" t="s">
        <v>842</v>
      </c>
      <c r="D1556" s="1" t="s">
        <v>843</v>
      </c>
      <c r="E1556" s="1" t="n">
        <v>20171</v>
      </c>
      <c r="F1556" s="1" t="s">
        <v>127</v>
      </c>
      <c r="G1556" s="1" t="s">
        <v>30</v>
      </c>
      <c r="H1556" s="1" t="n">
        <v>1.5</v>
      </c>
      <c r="I1556" s="1" t="n">
        <v>0</v>
      </c>
      <c r="J1556" s="1" t="n">
        <v>20201</v>
      </c>
      <c r="L1556" s="1" t="str">
        <f aca="false">IF(D1555&lt;&gt;D1556,D1556,"")</f>
        <v/>
      </c>
      <c r="M1556" s="1" t="str">
        <f aca="false">IF(F1555&lt;&gt;F1556,F1556,"")</f>
        <v/>
      </c>
    </row>
    <row r="1557" customFormat="false" ht="15" hidden="false" customHeight="false" outlineLevel="0" collapsed="false">
      <c r="A1557" s="1" t="s">
        <v>61</v>
      </c>
      <c r="B1557" s="1" t="s">
        <v>62</v>
      </c>
      <c r="C1557" s="1" t="s">
        <v>842</v>
      </c>
      <c r="D1557" s="1" t="s">
        <v>843</v>
      </c>
      <c r="E1557" s="1" t="n">
        <v>20171</v>
      </c>
      <c r="F1557" s="1" t="s">
        <v>127</v>
      </c>
      <c r="G1557" s="1" t="s">
        <v>23</v>
      </c>
      <c r="H1557" s="1" t="n">
        <v>0</v>
      </c>
      <c r="I1557" s="1" t="n">
        <v>0</v>
      </c>
      <c r="J1557" s="1" t="n">
        <v>20201</v>
      </c>
      <c r="L1557" s="1" t="str">
        <f aca="false">IF(D1556&lt;&gt;D1557,D1557,"")</f>
        <v/>
      </c>
      <c r="M1557" s="1" t="str">
        <f aca="false">IF(F1556&lt;&gt;F1557,F1557,"")</f>
        <v/>
      </c>
    </row>
    <row r="1558" customFormat="false" ht="15" hidden="false" customHeight="false" outlineLevel="0" collapsed="false">
      <c r="A1558" s="1" t="s">
        <v>154</v>
      </c>
      <c r="B1558" s="1" t="s">
        <v>155</v>
      </c>
      <c r="C1558" s="1" t="s">
        <v>842</v>
      </c>
      <c r="D1558" s="1" t="s">
        <v>843</v>
      </c>
      <c r="E1558" s="1" t="n">
        <v>20171</v>
      </c>
      <c r="F1558" s="1" t="s">
        <v>127</v>
      </c>
      <c r="G1558" s="1" t="s">
        <v>124</v>
      </c>
      <c r="H1558" s="1" t="n">
        <v>0</v>
      </c>
      <c r="I1558" s="1" t="n">
        <v>0</v>
      </c>
      <c r="J1558" s="1" t="n">
        <v>20201</v>
      </c>
      <c r="L1558" s="1" t="str">
        <f aca="false">IF(D1557&lt;&gt;D1558,D1558,"")</f>
        <v/>
      </c>
      <c r="M1558" s="1" t="str">
        <f aca="false">IF(F1557&lt;&gt;F1558,F1558,"")</f>
        <v/>
      </c>
    </row>
    <row r="1559" customFormat="false" ht="15" hidden="false" customHeight="false" outlineLevel="0" collapsed="false">
      <c r="A1559" s="1" t="s">
        <v>63</v>
      </c>
      <c r="B1559" s="1" t="s">
        <v>64</v>
      </c>
      <c r="C1559" s="1" t="s">
        <v>842</v>
      </c>
      <c r="D1559" s="1" t="s">
        <v>843</v>
      </c>
      <c r="E1559" s="1" t="n">
        <v>20171</v>
      </c>
      <c r="F1559" s="1" t="s">
        <v>127</v>
      </c>
      <c r="G1559" s="1" t="s">
        <v>30</v>
      </c>
      <c r="H1559" s="1" t="n">
        <v>1.5</v>
      </c>
      <c r="I1559" s="1" t="n">
        <v>0</v>
      </c>
      <c r="J1559" s="1" t="n">
        <v>20201</v>
      </c>
      <c r="L1559" s="1" t="str">
        <f aca="false">IF(D1558&lt;&gt;D1559,D1559,"")</f>
        <v/>
      </c>
      <c r="M1559" s="1" t="str">
        <f aca="false">IF(F1558&lt;&gt;F1559,F1559,"")</f>
        <v/>
      </c>
    </row>
    <row r="1560" customFormat="false" ht="15" hidden="false" customHeight="false" outlineLevel="0" collapsed="false">
      <c r="A1560" s="1" t="s">
        <v>69</v>
      </c>
      <c r="B1560" s="1" t="s">
        <v>70</v>
      </c>
      <c r="C1560" s="1" t="s">
        <v>842</v>
      </c>
      <c r="D1560" s="1" t="s">
        <v>843</v>
      </c>
      <c r="E1560" s="1" t="n">
        <v>20171</v>
      </c>
      <c r="F1560" s="1" t="s">
        <v>127</v>
      </c>
      <c r="G1560" s="1" t="s">
        <v>15</v>
      </c>
      <c r="H1560" s="1" t="n">
        <v>3.5</v>
      </c>
      <c r="I1560" s="1" t="n">
        <v>0</v>
      </c>
      <c r="J1560" s="1" t="n">
        <v>20201</v>
      </c>
      <c r="L1560" s="1" t="str">
        <f aca="false">IF(D1559&lt;&gt;D1560,D1560,"")</f>
        <v/>
      </c>
      <c r="M1560" s="1" t="str">
        <f aca="false">IF(F1559&lt;&gt;F1560,F1560,"")</f>
        <v/>
      </c>
    </row>
    <row r="1561" customFormat="false" ht="15" hidden="false" customHeight="false" outlineLevel="0" collapsed="false">
      <c r="A1561" s="1" t="s">
        <v>71</v>
      </c>
      <c r="B1561" s="1" t="s">
        <v>72</v>
      </c>
      <c r="C1561" s="1" t="s">
        <v>842</v>
      </c>
      <c r="D1561" s="1" t="s">
        <v>843</v>
      </c>
      <c r="E1561" s="1" t="n">
        <v>20171</v>
      </c>
      <c r="F1561" s="1" t="s">
        <v>127</v>
      </c>
      <c r="G1561" s="1" t="s">
        <v>15</v>
      </c>
      <c r="H1561" s="1" t="n">
        <v>3.5</v>
      </c>
      <c r="I1561" s="1" t="n">
        <v>0</v>
      </c>
      <c r="J1561" s="1" t="n">
        <v>20201</v>
      </c>
      <c r="L1561" s="1" t="str">
        <f aca="false">IF(D1560&lt;&gt;D1561,D1561,"")</f>
        <v/>
      </c>
      <c r="M1561" s="1" t="str">
        <f aca="false">IF(F1560&lt;&gt;F1561,F1561,"")</f>
        <v/>
      </c>
    </row>
    <row r="1562" customFormat="false" ht="15" hidden="false" customHeight="false" outlineLevel="0" collapsed="false">
      <c r="A1562" s="1" t="s">
        <v>77</v>
      </c>
      <c r="B1562" s="1" t="s">
        <v>78</v>
      </c>
      <c r="C1562" s="1" t="s">
        <v>842</v>
      </c>
      <c r="D1562" s="1" t="s">
        <v>843</v>
      </c>
      <c r="E1562" s="1" t="n">
        <v>20171</v>
      </c>
      <c r="F1562" s="1" t="s">
        <v>127</v>
      </c>
      <c r="G1562" s="1" t="s">
        <v>127</v>
      </c>
      <c r="H1562" s="1" t="n">
        <v>2</v>
      </c>
      <c r="I1562" s="1" t="n">
        <v>0</v>
      </c>
      <c r="J1562" s="1" t="n">
        <v>20201</v>
      </c>
      <c r="L1562" s="1" t="str">
        <f aca="false">IF(D1561&lt;&gt;D1562,D1562,"")</f>
        <v/>
      </c>
      <c r="M1562" s="1" t="str">
        <f aca="false">IF(F1561&lt;&gt;F1562,F1562,"")</f>
        <v/>
      </c>
    </row>
    <row r="1563" customFormat="false" ht="15" hidden="false" customHeight="false" outlineLevel="0" collapsed="false">
      <c r="A1563" s="1" t="s">
        <v>168</v>
      </c>
      <c r="B1563" s="1" t="s">
        <v>169</v>
      </c>
      <c r="C1563" s="1" t="s">
        <v>842</v>
      </c>
      <c r="D1563" s="1" t="s">
        <v>843</v>
      </c>
      <c r="E1563" s="1" t="n">
        <v>20171</v>
      </c>
      <c r="F1563" s="1" t="s">
        <v>127</v>
      </c>
      <c r="G1563" s="1" t="s">
        <v>23</v>
      </c>
      <c r="H1563" s="1" t="n">
        <v>0</v>
      </c>
      <c r="I1563" s="1" t="n">
        <v>0</v>
      </c>
      <c r="J1563" s="1" t="n">
        <v>20201</v>
      </c>
      <c r="L1563" s="1" t="str">
        <f aca="false">IF(D1562&lt;&gt;D1563,D1563,"")</f>
        <v/>
      </c>
      <c r="M1563" s="1" t="str">
        <f aca="false">IF(F1562&lt;&gt;F1563,F1563,"")</f>
        <v/>
      </c>
    </row>
    <row r="1564" customFormat="false" ht="15" hidden="false" customHeight="false" outlineLevel="0" collapsed="false">
      <c r="A1564" s="1" t="s">
        <v>79</v>
      </c>
      <c r="B1564" s="1" t="s">
        <v>80</v>
      </c>
      <c r="C1564" s="1" t="s">
        <v>842</v>
      </c>
      <c r="D1564" s="1" t="s">
        <v>843</v>
      </c>
      <c r="E1564" s="1" t="n">
        <v>20171</v>
      </c>
      <c r="F1564" s="1" t="s">
        <v>127</v>
      </c>
      <c r="G1564" s="1" t="s">
        <v>127</v>
      </c>
      <c r="H1564" s="1" t="n">
        <v>2</v>
      </c>
      <c r="I1564" s="1" t="n">
        <v>0</v>
      </c>
      <c r="J1564" s="1" t="n">
        <v>20201</v>
      </c>
      <c r="L1564" s="1" t="str">
        <f aca="false">IF(D1563&lt;&gt;D1564,D1564,"")</f>
        <v/>
      </c>
      <c r="M1564" s="1" t="str">
        <f aca="false">IF(F1563&lt;&gt;F1564,F1564,"")</f>
        <v/>
      </c>
    </row>
    <row r="1565" customFormat="false" ht="15" hidden="false" customHeight="false" outlineLevel="0" collapsed="false">
      <c r="A1565" s="1" t="s">
        <v>83</v>
      </c>
      <c r="B1565" s="1" t="s">
        <v>84</v>
      </c>
      <c r="C1565" s="1" t="s">
        <v>842</v>
      </c>
      <c r="D1565" s="1" t="s">
        <v>843</v>
      </c>
      <c r="E1565" s="1" t="n">
        <v>20171</v>
      </c>
      <c r="F1565" s="1" t="s">
        <v>127</v>
      </c>
      <c r="G1565" s="1" t="s">
        <v>514</v>
      </c>
      <c r="H1565" s="1" t="n">
        <v>1</v>
      </c>
      <c r="I1565" s="1" t="n">
        <v>0</v>
      </c>
      <c r="J1565" s="1" t="n">
        <v>20201</v>
      </c>
      <c r="L1565" s="1" t="str">
        <f aca="false">IF(D1564&lt;&gt;D1565,D1565,"")</f>
        <v/>
      </c>
      <c r="M1565" s="1" t="str">
        <f aca="false">IF(F1564&lt;&gt;F1565,F1565,"")</f>
        <v/>
      </c>
    </row>
    <row r="1566" customFormat="false" ht="15" hidden="false" customHeight="false" outlineLevel="0" collapsed="false">
      <c r="A1566" s="1" t="s">
        <v>89</v>
      </c>
      <c r="B1566" s="1" t="s">
        <v>90</v>
      </c>
      <c r="C1566" s="1" t="s">
        <v>842</v>
      </c>
      <c r="D1566" s="1" t="s">
        <v>843</v>
      </c>
      <c r="E1566" s="1" t="n">
        <v>20171</v>
      </c>
      <c r="F1566" s="1" t="s">
        <v>127</v>
      </c>
      <c r="G1566" s="1" t="s">
        <v>15</v>
      </c>
      <c r="H1566" s="1" t="n">
        <v>3.5</v>
      </c>
      <c r="I1566" s="1" t="n">
        <v>0</v>
      </c>
      <c r="J1566" s="1" t="n">
        <v>20201</v>
      </c>
      <c r="L1566" s="1" t="str">
        <f aca="false">IF(D1565&lt;&gt;D1566,D1566,"")</f>
        <v/>
      </c>
      <c r="M1566" s="1" t="str">
        <f aca="false">IF(F1565&lt;&gt;F1566,F1566,"")</f>
        <v/>
      </c>
    </row>
    <row r="1567" customFormat="false" ht="15" hidden="false" customHeight="false" outlineLevel="0" collapsed="false">
      <c r="A1567" s="1" t="s">
        <v>184</v>
      </c>
      <c r="B1567" s="1" t="s">
        <v>185</v>
      </c>
      <c r="C1567" s="1" t="s">
        <v>842</v>
      </c>
      <c r="D1567" s="1" t="s">
        <v>843</v>
      </c>
      <c r="E1567" s="1" t="n">
        <v>20171</v>
      </c>
      <c r="F1567" s="1" t="s">
        <v>127</v>
      </c>
      <c r="G1567" s="1" t="s">
        <v>23</v>
      </c>
      <c r="H1567" s="1" t="n">
        <v>0</v>
      </c>
      <c r="I1567" s="1" t="n">
        <v>0</v>
      </c>
      <c r="J1567" s="1" t="n">
        <v>20201</v>
      </c>
      <c r="L1567" s="1" t="str">
        <f aca="false">IF(D1566&lt;&gt;D1567,D1567,"")</f>
        <v/>
      </c>
      <c r="M1567" s="1" t="str">
        <f aca="false">IF(F1566&lt;&gt;F1567,F1567,"")</f>
        <v/>
      </c>
    </row>
    <row r="1568" customFormat="false" ht="15" hidden="false" customHeight="false" outlineLevel="0" collapsed="false">
      <c r="A1568" s="1" t="s">
        <v>91</v>
      </c>
      <c r="B1568" s="1" t="s">
        <v>92</v>
      </c>
      <c r="C1568" s="1" t="s">
        <v>842</v>
      </c>
      <c r="D1568" s="1" t="s">
        <v>843</v>
      </c>
      <c r="E1568" s="1" t="n">
        <v>20171</v>
      </c>
      <c r="F1568" s="1" t="s">
        <v>127</v>
      </c>
      <c r="G1568" s="1" t="s">
        <v>127</v>
      </c>
      <c r="H1568" s="1" t="n">
        <v>2</v>
      </c>
      <c r="I1568" s="1" t="n">
        <v>0</v>
      </c>
      <c r="J1568" s="1" t="n">
        <v>20201</v>
      </c>
      <c r="L1568" s="1" t="str">
        <f aca="false">IF(D1567&lt;&gt;D1568,D1568,"")</f>
        <v/>
      </c>
      <c r="M1568" s="1" t="str">
        <f aca="false">IF(F1567&lt;&gt;F1568,F1568,"")</f>
        <v/>
      </c>
    </row>
    <row r="1569" customFormat="false" ht="15" hidden="false" customHeight="false" outlineLevel="0" collapsed="false">
      <c r="A1569" s="1" t="s">
        <v>99</v>
      </c>
      <c r="B1569" s="1" t="s">
        <v>100</v>
      </c>
      <c r="C1569" s="1" t="s">
        <v>842</v>
      </c>
      <c r="D1569" s="1" t="s">
        <v>843</v>
      </c>
      <c r="E1569" s="1" t="n">
        <v>20171</v>
      </c>
      <c r="F1569" s="1" t="s">
        <v>127</v>
      </c>
      <c r="G1569" s="1" t="s">
        <v>23</v>
      </c>
      <c r="H1569" s="1" t="n">
        <v>0</v>
      </c>
      <c r="I1569" s="1" t="n">
        <v>0</v>
      </c>
      <c r="J1569" s="1" t="n">
        <v>20201</v>
      </c>
      <c r="L1569" s="1" t="str">
        <f aca="false">IF(D1568&lt;&gt;D1569,D1569,"")</f>
        <v/>
      </c>
      <c r="M1569" s="1" t="str">
        <f aca="false">IF(F1568&lt;&gt;F1569,F1569,"")</f>
        <v/>
      </c>
    </row>
    <row r="1570" customFormat="false" ht="15" hidden="false" customHeight="false" outlineLevel="0" collapsed="false">
      <c r="A1570" s="1" t="s">
        <v>194</v>
      </c>
      <c r="B1570" s="1" t="s">
        <v>195</v>
      </c>
      <c r="C1570" s="1" t="s">
        <v>842</v>
      </c>
      <c r="D1570" s="1" t="s">
        <v>843</v>
      </c>
      <c r="E1570" s="1" t="n">
        <v>20171</v>
      </c>
      <c r="F1570" s="1" t="s">
        <v>127</v>
      </c>
      <c r="G1570" s="1" t="s">
        <v>127</v>
      </c>
      <c r="H1570" s="1" t="n">
        <v>2</v>
      </c>
      <c r="I1570" s="1" t="n">
        <v>0</v>
      </c>
      <c r="J1570" s="1" t="n">
        <v>20201</v>
      </c>
      <c r="L1570" s="1" t="str">
        <f aca="false">IF(D1569&lt;&gt;D1570,D1570,"")</f>
        <v/>
      </c>
      <c r="M1570" s="1" t="str">
        <f aca="false">IF(F1569&lt;&gt;F1570,F1570,"")</f>
        <v/>
      </c>
    </row>
    <row r="1571" customFormat="false" ht="15" hidden="false" customHeight="false" outlineLevel="0" collapsed="false">
      <c r="A1571" s="1" t="s">
        <v>102</v>
      </c>
      <c r="B1571" s="1" t="s">
        <v>103</v>
      </c>
      <c r="C1571" s="1" t="s">
        <v>842</v>
      </c>
      <c r="D1571" s="1" t="s">
        <v>843</v>
      </c>
      <c r="E1571" s="1" t="n">
        <v>20171</v>
      </c>
      <c r="F1571" s="1" t="s">
        <v>127</v>
      </c>
      <c r="G1571" s="1" t="s">
        <v>23</v>
      </c>
      <c r="H1571" s="1" t="n">
        <v>0</v>
      </c>
      <c r="I1571" s="1" t="n">
        <v>0</v>
      </c>
      <c r="J1571" s="1" t="n">
        <v>20201</v>
      </c>
      <c r="L1571" s="1" t="str">
        <f aca="false">IF(D1570&lt;&gt;D1571,D1571,"")</f>
        <v/>
      </c>
      <c r="M1571" s="1" t="str">
        <f aca="false">IF(F1570&lt;&gt;F1571,F1571,"")</f>
        <v/>
      </c>
    </row>
    <row r="1572" customFormat="false" ht="15" hidden="false" customHeight="false" outlineLevel="0" collapsed="false">
      <c r="A1572" s="1" t="s">
        <v>657</v>
      </c>
      <c r="B1572" s="1" t="s">
        <v>658</v>
      </c>
      <c r="C1572" s="1" t="s">
        <v>842</v>
      </c>
      <c r="D1572" s="1" t="s">
        <v>843</v>
      </c>
      <c r="E1572" s="1" t="n">
        <v>20171</v>
      </c>
      <c r="F1572" s="1" t="s">
        <v>18</v>
      </c>
      <c r="G1572" s="1" t="s">
        <v>101</v>
      </c>
      <c r="H1572" s="1" t="n">
        <v>2.5</v>
      </c>
      <c r="I1572" s="1" t="n">
        <v>0</v>
      </c>
      <c r="J1572" s="1" t="n">
        <v>20201</v>
      </c>
      <c r="L1572" s="1" t="str">
        <f aca="false">IF(D1571&lt;&gt;D1572,D1572,"")</f>
        <v/>
      </c>
      <c r="M1572" s="1" t="str">
        <f aca="false">IF(F1571&lt;&gt;F1572,F1572,"")</f>
        <v>B</v>
      </c>
    </row>
    <row r="1573" customFormat="false" ht="15" hidden="false" customHeight="false" outlineLevel="0" collapsed="false">
      <c r="A1573" s="1" t="s">
        <v>751</v>
      </c>
      <c r="B1573" s="1" t="s">
        <v>752</v>
      </c>
      <c r="C1573" s="1" t="s">
        <v>842</v>
      </c>
      <c r="D1573" s="1" t="s">
        <v>843</v>
      </c>
      <c r="E1573" s="1" t="n">
        <v>20171</v>
      </c>
      <c r="F1573" s="1" t="s">
        <v>14</v>
      </c>
      <c r="G1573" s="1" t="s">
        <v>14</v>
      </c>
      <c r="H1573" s="1" t="n">
        <v>4</v>
      </c>
      <c r="I1573" s="1" t="n">
        <v>0</v>
      </c>
      <c r="J1573" s="1" t="n">
        <v>20201</v>
      </c>
      <c r="L1573" s="1" t="str">
        <f aca="false">IF(D1572&lt;&gt;D1573,D1573,"")</f>
        <v/>
      </c>
      <c r="M1573" s="1" t="str">
        <f aca="false">IF(F1572&lt;&gt;F1573,F1573,"")</f>
        <v>A</v>
      </c>
    </row>
    <row r="1574" customFormat="false" ht="15" hidden="false" customHeight="false" outlineLevel="0" collapsed="false">
      <c r="A1574" s="1" t="s">
        <v>737</v>
      </c>
      <c r="B1574" s="1" t="s">
        <v>738</v>
      </c>
      <c r="C1574" s="1" t="s">
        <v>850</v>
      </c>
      <c r="D1574" s="1" t="s">
        <v>851</v>
      </c>
      <c r="E1574" s="1" t="n">
        <v>20171</v>
      </c>
      <c r="F1574" s="1" t="s">
        <v>208</v>
      </c>
      <c r="G1574" s="1" t="s">
        <v>101</v>
      </c>
      <c r="H1574" s="1" t="n">
        <v>2.5</v>
      </c>
      <c r="I1574" s="1" t="n">
        <v>0</v>
      </c>
      <c r="J1574" s="1" t="n">
        <v>20201</v>
      </c>
      <c r="L1574" s="1" t="str">
        <f aca="false">IF(D1573&lt;&gt;D1574,D1574,"")</f>
        <v>MESIN LISTRIK I</v>
      </c>
      <c r="M1574" s="1" t="str">
        <f aca="false">IF(F1573&lt;&gt;F1574,F1574,"")</f>
        <v>P</v>
      </c>
    </row>
    <row r="1575" customFormat="false" ht="15" hidden="false" customHeight="false" outlineLevel="0" collapsed="false">
      <c r="A1575" s="1" t="s">
        <v>211</v>
      </c>
      <c r="B1575" s="1" t="s">
        <v>212</v>
      </c>
      <c r="C1575" s="1" t="s">
        <v>850</v>
      </c>
      <c r="D1575" s="1" t="s">
        <v>851</v>
      </c>
      <c r="E1575" s="1" t="n">
        <v>20171</v>
      </c>
      <c r="F1575" s="1" t="s">
        <v>208</v>
      </c>
      <c r="G1575" s="1" t="s">
        <v>101</v>
      </c>
      <c r="H1575" s="1" t="n">
        <v>2.5</v>
      </c>
      <c r="I1575" s="1" t="n">
        <v>0</v>
      </c>
      <c r="J1575" s="1" t="n">
        <v>20201</v>
      </c>
      <c r="L1575" s="1" t="str">
        <f aca="false">IF(D1574&lt;&gt;D1575,D1575,"")</f>
        <v/>
      </c>
      <c r="M1575" s="1" t="str">
        <f aca="false">IF(F1574&lt;&gt;F1575,F1575,"")</f>
        <v/>
      </c>
    </row>
    <row r="1576" customFormat="false" ht="15" hidden="false" customHeight="false" outlineLevel="0" collapsed="false">
      <c r="A1576" s="1" t="s">
        <v>213</v>
      </c>
      <c r="B1576" s="1" t="s">
        <v>214</v>
      </c>
      <c r="C1576" s="1" t="s">
        <v>850</v>
      </c>
      <c r="D1576" s="1" t="s">
        <v>851</v>
      </c>
      <c r="E1576" s="1" t="n">
        <v>20171</v>
      </c>
      <c r="F1576" s="1" t="s">
        <v>208</v>
      </c>
      <c r="G1576" s="1" t="s">
        <v>18</v>
      </c>
      <c r="H1576" s="1" t="n">
        <v>3</v>
      </c>
      <c r="I1576" s="1" t="n">
        <v>0</v>
      </c>
      <c r="J1576" s="1" t="n">
        <v>20201</v>
      </c>
      <c r="L1576" s="1" t="str">
        <f aca="false">IF(D1575&lt;&gt;D1576,D1576,"")</f>
        <v/>
      </c>
      <c r="M1576" s="1" t="str">
        <f aca="false">IF(F1575&lt;&gt;F1576,F1576,"")</f>
        <v/>
      </c>
    </row>
    <row r="1577" customFormat="false" ht="15" hidden="false" customHeight="false" outlineLevel="0" collapsed="false">
      <c r="A1577" s="1" t="s">
        <v>215</v>
      </c>
      <c r="B1577" s="1" t="s">
        <v>216</v>
      </c>
      <c r="C1577" s="1" t="s">
        <v>850</v>
      </c>
      <c r="D1577" s="1" t="s">
        <v>851</v>
      </c>
      <c r="E1577" s="1" t="n">
        <v>20171</v>
      </c>
      <c r="F1577" s="1" t="s">
        <v>208</v>
      </c>
      <c r="G1577" s="1" t="s">
        <v>127</v>
      </c>
      <c r="H1577" s="1" t="n">
        <v>2</v>
      </c>
      <c r="I1577" s="1" t="n">
        <v>0</v>
      </c>
      <c r="J1577" s="1" t="n">
        <v>20201</v>
      </c>
      <c r="L1577" s="1" t="str">
        <f aca="false">IF(D1576&lt;&gt;D1577,D1577,"")</f>
        <v/>
      </c>
      <c r="M1577" s="1" t="str">
        <f aca="false">IF(F1576&lt;&gt;F1577,F1577,"")</f>
        <v/>
      </c>
    </row>
    <row r="1578" customFormat="false" ht="15" hidden="false" customHeight="false" outlineLevel="0" collapsed="false">
      <c r="A1578" s="1" t="s">
        <v>217</v>
      </c>
      <c r="B1578" s="1" t="s">
        <v>218</v>
      </c>
      <c r="C1578" s="1" t="s">
        <v>850</v>
      </c>
      <c r="D1578" s="1" t="s">
        <v>851</v>
      </c>
      <c r="E1578" s="1" t="n">
        <v>20171</v>
      </c>
      <c r="F1578" s="1" t="s">
        <v>208</v>
      </c>
      <c r="G1578" s="1" t="s">
        <v>14</v>
      </c>
      <c r="H1578" s="1" t="n">
        <v>4</v>
      </c>
      <c r="I1578" s="1" t="n">
        <v>0</v>
      </c>
      <c r="J1578" s="1" t="n">
        <v>20201</v>
      </c>
      <c r="L1578" s="1" t="str">
        <f aca="false">IF(D1577&lt;&gt;D1578,D1578,"")</f>
        <v/>
      </c>
      <c r="M1578" s="1" t="str">
        <f aca="false">IF(F1577&lt;&gt;F1578,F1578,"")</f>
        <v/>
      </c>
    </row>
    <row r="1579" customFormat="false" ht="15" hidden="false" customHeight="false" outlineLevel="0" collapsed="false">
      <c r="A1579" s="1" t="s">
        <v>219</v>
      </c>
      <c r="B1579" s="1" t="s">
        <v>220</v>
      </c>
      <c r="C1579" s="1" t="s">
        <v>850</v>
      </c>
      <c r="D1579" s="1" t="s">
        <v>851</v>
      </c>
      <c r="E1579" s="1" t="n">
        <v>20171</v>
      </c>
      <c r="F1579" s="1" t="s">
        <v>208</v>
      </c>
      <c r="G1579" s="1" t="s">
        <v>101</v>
      </c>
      <c r="H1579" s="1" t="n">
        <v>2.5</v>
      </c>
      <c r="I1579" s="1" t="n">
        <v>0</v>
      </c>
      <c r="J1579" s="1" t="n">
        <v>20201</v>
      </c>
      <c r="L1579" s="1" t="str">
        <f aca="false">IF(D1578&lt;&gt;D1579,D1579,"")</f>
        <v/>
      </c>
      <c r="M1579" s="1" t="str">
        <f aca="false">IF(F1578&lt;&gt;F1579,F1579,"")</f>
        <v/>
      </c>
    </row>
    <row r="1580" customFormat="false" ht="15" hidden="false" customHeight="false" outlineLevel="0" collapsed="false">
      <c r="A1580" s="1" t="s">
        <v>221</v>
      </c>
      <c r="B1580" s="1" t="s">
        <v>222</v>
      </c>
      <c r="C1580" s="1" t="s">
        <v>850</v>
      </c>
      <c r="D1580" s="1" t="s">
        <v>851</v>
      </c>
      <c r="E1580" s="1" t="n">
        <v>20171</v>
      </c>
      <c r="F1580" s="1" t="s">
        <v>208</v>
      </c>
      <c r="G1580" s="1" t="s">
        <v>101</v>
      </c>
      <c r="H1580" s="1" t="n">
        <v>2.5</v>
      </c>
      <c r="I1580" s="1" t="n">
        <v>0</v>
      </c>
      <c r="J1580" s="1" t="n">
        <v>20201</v>
      </c>
      <c r="L1580" s="1" t="str">
        <f aca="false">IF(D1579&lt;&gt;D1580,D1580,"")</f>
        <v/>
      </c>
      <c r="M1580" s="1" t="str">
        <f aca="false">IF(F1579&lt;&gt;F1580,F1580,"")</f>
        <v/>
      </c>
    </row>
    <row r="1581" customFormat="false" ht="15" hidden="false" customHeight="false" outlineLevel="0" collapsed="false">
      <c r="A1581" s="1" t="s">
        <v>223</v>
      </c>
      <c r="B1581" s="1" t="s">
        <v>224</v>
      </c>
      <c r="C1581" s="1" t="s">
        <v>850</v>
      </c>
      <c r="D1581" s="1" t="s">
        <v>851</v>
      </c>
      <c r="E1581" s="1" t="n">
        <v>20171</v>
      </c>
      <c r="F1581" s="1" t="s">
        <v>208</v>
      </c>
      <c r="G1581" s="1" t="s">
        <v>14</v>
      </c>
      <c r="H1581" s="1" t="n">
        <v>4</v>
      </c>
      <c r="I1581" s="1" t="n">
        <v>0</v>
      </c>
      <c r="J1581" s="1" t="n">
        <v>20201</v>
      </c>
      <c r="L1581" s="1" t="str">
        <f aca="false">IF(D1580&lt;&gt;D1581,D1581,"")</f>
        <v/>
      </c>
      <c r="M1581" s="1" t="str">
        <f aca="false">IF(F1580&lt;&gt;F1581,F1581,"")</f>
        <v/>
      </c>
    </row>
    <row r="1582" customFormat="false" ht="15" hidden="false" customHeight="false" outlineLevel="0" collapsed="false">
      <c r="A1582" s="1" t="s">
        <v>225</v>
      </c>
      <c r="B1582" s="1" t="s">
        <v>226</v>
      </c>
      <c r="C1582" s="1" t="s">
        <v>850</v>
      </c>
      <c r="D1582" s="1" t="s">
        <v>851</v>
      </c>
      <c r="E1582" s="1" t="n">
        <v>20171</v>
      </c>
      <c r="F1582" s="1" t="s">
        <v>208</v>
      </c>
      <c r="G1582" s="1" t="s">
        <v>23</v>
      </c>
      <c r="H1582" s="1" t="n">
        <v>0</v>
      </c>
      <c r="I1582" s="1" t="n">
        <v>0</v>
      </c>
      <c r="J1582" s="1" t="n">
        <v>20201</v>
      </c>
      <c r="L1582" s="1" t="str">
        <f aca="false">IF(D1581&lt;&gt;D1582,D1582,"")</f>
        <v/>
      </c>
      <c r="M1582" s="1" t="str">
        <f aca="false">IF(F1581&lt;&gt;F1582,F1582,"")</f>
        <v/>
      </c>
    </row>
    <row r="1583" customFormat="false" ht="15" hidden="false" customHeight="false" outlineLevel="0" collapsed="false">
      <c r="A1583" s="1" t="s">
        <v>227</v>
      </c>
      <c r="B1583" s="1" t="s">
        <v>228</v>
      </c>
      <c r="C1583" s="1" t="s">
        <v>850</v>
      </c>
      <c r="D1583" s="1" t="s">
        <v>851</v>
      </c>
      <c r="E1583" s="1" t="n">
        <v>20171</v>
      </c>
      <c r="F1583" s="1" t="s">
        <v>208</v>
      </c>
      <c r="G1583" s="1" t="s">
        <v>514</v>
      </c>
      <c r="H1583" s="1" t="n">
        <v>1</v>
      </c>
      <c r="I1583" s="1" t="n">
        <v>0</v>
      </c>
      <c r="J1583" s="1" t="n">
        <v>20201</v>
      </c>
      <c r="L1583" s="1" t="str">
        <f aca="false">IF(D1582&lt;&gt;D1583,D1583,"")</f>
        <v/>
      </c>
      <c r="M1583" s="1" t="str">
        <f aca="false">IF(F1582&lt;&gt;F1583,F1583,"")</f>
        <v/>
      </c>
    </row>
    <row r="1584" customFormat="false" ht="15" hidden="false" customHeight="false" outlineLevel="0" collapsed="false">
      <c r="A1584" s="1" t="s">
        <v>229</v>
      </c>
      <c r="B1584" s="1" t="s">
        <v>230</v>
      </c>
      <c r="C1584" s="1" t="s">
        <v>850</v>
      </c>
      <c r="D1584" s="1" t="s">
        <v>851</v>
      </c>
      <c r="E1584" s="1" t="n">
        <v>20171</v>
      </c>
      <c r="F1584" s="1" t="s">
        <v>208</v>
      </c>
      <c r="G1584" s="1" t="s">
        <v>15</v>
      </c>
      <c r="H1584" s="1" t="n">
        <v>3.5</v>
      </c>
      <c r="I1584" s="1" t="n">
        <v>0</v>
      </c>
      <c r="J1584" s="1" t="n">
        <v>20201</v>
      </c>
      <c r="L1584" s="1" t="str">
        <f aca="false">IF(D1583&lt;&gt;D1584,D1584,"")</f>
        <v/>
      </c>
      <c r="M1584" s="1" t="str">
        <f aca="false">IF(F1583&lt;&gt;F1584,F1584,"")</f>
        <v/>
      </c>
    </row>
    <row r="1585" customFormat="false" ht="15" hidden="false" customHeight="false" outlineLevel="0" collapsed="false">
      <c r="A1585" s="1" t="s">
        <v>231</v>
      </c>
      <c r="B1585" s="1" t="s">
        <v>232</v>
      </c>
      <c r="C1585" s="1" t="s">
        <v>850</v>
      </c>
      <c r="D1585" s="1" t="s">
        <v>851</v>
      </c>
      <c r="E1585" s="1" t="n">
        <v>20171</v>
      </c>
      <c r="F1585" s="1" t="s">
        <v>208</v>
      </c>
      <c r="G1585" s="1" t="s">
        <v>127</v>
      </c>
      <c r="H1585" s="1" t="n">
        <v>2</v>
      </c>
      <c r="I1585" s="1" t="n">
        <v>0</v>
      </c>
      <c r="J1585" s="1" t="n">
        <v>20201</v>
      </c>
      <c r="L1585" s="1" t="str">
        <f aca="false">IF(D1584&lt;&gt;D1585,D1585,"")</f>
        <v/>
      </c>
      <c r="M1585" s="1" t="str">
        <f aca="false">IF(F1584&lt;&gt;F1585,F1585,"")</f>
        <v/>
      </c>
    </row>
    <row r="1586" customFormat="false" ht="15" hidden="false" customHeight="false" outlineLevel="0" collapsed="false">
      <c r="A1586" s="1" t="s">
        <v>233</v>
      </c>
      <c r="B1586" s="1" t="s">
        <v>234</v>
      </c>
      <c r="C1586" s="1" t="s">
        <v>850</v>
      </c>
      <c r="D1586" s="1" t="s">
        <v>851</v>
      </c>
      <c r="E1586" s="1" t="n">
        <v>20171</v>
      </c>
      <c r="F1586" s="1" t="s">
        <v>208</v>
      </c>
      <c r="G1586" s="1" t="s">
        <v>14</v>
      </c>
      <c r="H1586" s="1" t="n">
        <v>4</v>
      </c>
      <c r="I1586" s="1" t="n">
        <v>0</v>
      </c>
      <c r="J1586" s="1" t="n">
        <v>20201</v>
      </c>
      <c r="L1586" s="1" t="str">
        <f aca="false">IF(D1585&lt;&gt;D1586,D1586,"")</f>
        <v/>
      </c>
      <c r="M1586" s="1" t="str">
        <f aca="false">IF(F1585&lt;&gt;F1586,F1586,"")</f>
        <v/>
      </c>
    </row>
    <row r="1587" customFormat="false" ht="15" hidden="false" customHeight="false" outlineLevel="0" collapsed="false">
      <c r="A1587" s="1" t="s">
        <v>235</v>
      </c>
      <c r="B1587" s="1" t="s">
        <v>236</v>
      </c>
      <c r="C1587" s="1" t="s">
        <v>850</v>
      </c>
      <c r="D1587" s="1" t="s">
        <v>851</v>
      </c>
      <c r="E1587" s="1" t="n">
        <v>20171</v>
      </c>
      <c r="F1587" s="1" t="s">
        <v>208</v>
      </c>
      <c r="G1587" s="1" t="s">
        <v>14</v>
      </c>
      <c r="H1587" s="1" t="n">
        <v>4</v>
      </c>
      <c r="I1587" s="1" t="n">
        <v>0</v>
      </c>
      <c r="J1587" s="1" t="n">
        <v>20201</v>
      </c>
      <c r="L1587" s="1" t="str">
        <f aca="false">IF(D1586&lt;&gt;D1587,D1587,"")</f>
        <v/>
      </c>
      <c r="M1587" s="1" t="str">
        <f aca="false">IF(F1586&lt;&gt;F1587,F1587,"")</f>
        <v/>
      </c>
    </row>
    <row r="1588" customFormat="false" ht="15" hidden="false" customHeight="false" outlineLevel="0" collapsed="false">
      <c r="A1588" s="1" t="s">
        <v>237</v>
      </c>
      <c r="B1588" s="1" t="s">
        <v>238</v>
      </c>
      <c r="C1588" s="1" t="s">
        <v>850</v>
      </c>
      <c r="D1588" s="1" t="s">
        <v>851</v>
      </c>
      <c r="E1588" s="1" t="n">
        <v>20171</v>
      </c>
      <c r="F1588" s="1" t="s">
        <v>208</v>
      </c>
      <c r="G1588" s="1" t="s">
        <v>15</v>
      </c>
      <c r="H1588" s="1" t="n">
        <v>3.5</v>
      </c>
      <c r="I1588" s="1" t="n">
        <v>0</v>
      </c>
      <c r="J1588" s="1" t="n">
        <v>20201</v>
      </c>
      <c r="L1588" s="1" t="str">
        <f aca="false">IF(D1587&lt;&gt;D1588,D1588,"")</f>
        <v/>
      </c>
      <c r="M1588" s="1" t="str">
        <f aca="false">IF(F1587&lt;&gt;F1588,F1588,"")</f>
        <v/>
      </c>
    </row>
    <row r="1589" customFormat="false" ht="15" hidden="false" customHeight="false" outlineLevel="0" collapsed="false">
      <c r="A1589" s="1" t="s">
        <v>239</v>
      </c>
      <c r="B1589" s="1" t="s">
        <v>240</v>
      </c>
      <c r="C1589" s="1" t="s">
        <v>850</v>
      </c>
      <c r="D1589" s="1" t="s">
        <v>851</v>
      </c>
      <c r="E1589" s="1" t="n">
        <v>20171</v>
      </c>
      <c r="F1589" s="1" t="s">
        <v>208</v>
      </c>
      <c r="G1589" s="1" t="s">
        <v>30</v>
      </c>
      <c r="H1589" s="1" t="n">
        <v>1.5</v>
      </c>
      <c r="I1589" s="1" t="n">
        <v>0</v>
      </c>
      <c r="J1589" s="1" t="n">
        <v>20201</v>
      </c>
      <c r="L1589" s="1" t="str">
        <f aca="false">IF(D1588&lt;&gt;D1589,D1589,"")</f>
        <v/>
      </c>
      <c r="M1589" s="1" t="str">
        <f aca="false">IF(F1588&lt;&gt;F1589,F1589,"")</f>
        <v/>
      </c>
    </row>
    <row r="1590" customFormat="false" ht="15" hidden="false" customHeight="false" outlineLevel="0" collapsed="false">
      <c r="A1590" s="1" t="s">
        <v>241</v>
      </c>
      <c r="B1590" s="1" t="s">
        <v>242</v>
      </c>
      <c r="C1590" s="1" t="s">
        <v>850</v>
      </c>
      <c r="D1590" s="1" t="s">
        <v>851</v>
      </c>
      <c r="E1590" s="1" t="n">
        <v>20171</v>
      </c>
      <c r="F1590" s="1" t="s">
        <v>208</v>
      </c>
      <c r="G1590" s="1" t="s">
        <v>101</v>
      </c>
      <c r="H1590" s="1" t="n">
        <v>2.5</v>
      </c>
      <c r="I1590" s="1" t="n">
        <v>0</v>
      </c>
      <c r="J1590" s="1" t="n">
        <v>20201</v>
      </c>
      <c r="L1590" s="1" t="str">
        <f aca="false">IF(D1589&lt;&gt;D1590,D1590,"")</f>
        <v/>
      </c>
      <c r="M1590" s="1" t="str">
        <f aca="false">IF(F1589&lt;&gt;F1590,F1590,"")</f>
        <v/>
      </c>
    </row>
    <row r="1591" customFormat="false" ht="15" hidden="false" customHeight="false" outlineLevel="0" collapsed="false">
      <c r="A1591" s="1" t="s">
        <v>243</v>
      </c>
      <c r="B1591" s="1" t="s">
        <v>244</v>
      </c>
      <c r="C1591" s="1" t="s">
        <v>850</v>
      </c>
      <c r="D1591" s="1" t="s">
        <v>851</v>
      </c>
      <c r="E1591" s="1" t="n">
        <v>20171</v>
      </c>
      <c r="F1591" s="1" t="s">
        <v>208</v>
      </c>
      <c r="G1591" s="1" t="s">
        <v>127</v>
      </c>
      <c r="H1591" s="1" t="n">
        <v>2</v>
      </c>
      <c r="I1591" s="1" t="n">
        <v>0</v>
      </c>
      <c r="J1591" s="1" t="n">
        <v>20201</v>
      </c>
      <c r="L1591" s="1" t="str">
        <f aca="false">IF(D1590&lt;&gt;D1591,D1591,"")</f>
        <v/>
      </c>
      <c r="M1591" s="1" t="str">
        <f aca="false">IF(F1590&lt;&gt;F1591,F1591,"")</f>
        <v/>
      </c>
    </row>
    <row r="1592" customFormat="false" ht="15" hidden="false" customHeight="false" outlineLevel="0" collapsed="false">
      <c r="A1592" s="1" t="s">
        <v>245</v>
      </c>
      <c r="B1592" s="1" t="s">
        <v>246</v>
      </c>
      <c r="C1592" s="1" t="s">
        <v>850</v>
      </c>
      <c r="D1592" s="1" t="s">
        <v>851</v>
      </c>
      <c r="E1592" s="1" t="n">
        <v>20171</v>
      </c>
      <c r="F1592" s="1" t="s">
        <v>208</v>
      </c>
      <c r="G1592" s="1" t="s">
        <v>15</v>
      </c>
      <c r="H1592" s="1" t="n">
        <v>3.5</v>
      </c>
      <c r="I1592" s="1" t="n">
        <v>0</v>
      </c>
      <c r="J1592" s="1" t="n">
        <v>20201</v>
      </c>
      <c r="L1592" s="1" t="str">
        <f aca="false">IF(D1591&lt;&gt;D1592,D1592,"")</f>
        <v/>
      </c>
      <c r="M1592" s="1" t="str">
        <f aca="false">IF(F1591&lt;&gt;F1592,F1592,"")</f>
        <v/>
      </c>
    </row>
    <row r="1593" customFormat="false" ht="15" hidden="false" customHeight="false" outlineLevel="0" collapsed="false">
      <c r="A1593" s="1" t="s">
        <v>247</v>
      </c>
      <c r="B1593" s="1" t="s">
        <v>248</v>
      </c>
      <c r="C1593" s="1" t="s">
        <v>850</v>
      </c>
      <c r="D1593" s="1" t="s">
        <v>851</v>
      </c>
      <c r="E1593" s="1" t="n">
        <v>20171</v>
      </c>
      <c r="F1593" s="1" t="s">
        <v>208</v>
      </c>
      <c r="G1593" s="1" t="s">
        <v>15</v>
      </c>
      <c r="H1593" s="1" t="n">
        <v>3.5</v>
      </c>
      <c r="I1593" s="1" t="n">
        <v>0</v>
      </c>
      <c r="J1593" s="1" t="n">
        <v>20201</v>
      </c>
      <c r="L1593" s="1" t="str">
        <f aca="false">IF(D1592&lt;&gt;D1593,D1593,"")</f>
        <v/>
      </c>
      <c r="M1593" s="1" t="str">
        <f aca="false">IF(F1592&lt;&gt;F1593,F1593,"")</f>
        <v/>
      </c>
    </row>
    <row r="1594" customFormat="false" ht="15" hidden="false" customHeight="false" outlineLevel="0" collapsed="false">
      <c r="A1594" s="1" t="s">
        <v>249</v>
      </c>
      <c r="B1594" s="1" t="s">
        <v>250</v>
      </c>
      <c r="C1594" s="1" t="s">
        <v>850</v>
      </c>
      <c r="D1594" s="1" t="s">
        <v>851</v>
      </c>
      <c r="E1594" s="1" t="n">
        <v>20171</v>
      </c>
      <c r="F1594" s="1" t="s">
        <v>208</v>
      </c>
      <c r="G1594" s="1" t="s">
        <v>15</v>
      </c>
      <c r="H1594" s="1" t="n">
        <v>3.5</v>
      </c>
      <c r="I1594" s="1" t="n">
        <v>0</v>
      </c>
      <c r="J1594" s="1" t="n">
        <v>20201</v>
      </c>
      <c r="L1594" s="1" t="str">
        <f aca="false">IF(D1593&lt;&gt;D1594,D1594,"")</f>
        <v/>
      </c>
      <c r="M1594" s="1" t="str">
        <f aca="false">IF(F1593&lt;&gt;F1594,F1594,"")</f>
        <v/>
      </c>
    </row>
    <row r="1595" customFormat="false" ht="15" hidden="false" customHeight="false" outlineLevel="0" collapsed="false">
      <c r="A1595" s="1" t="s">
        <v>251</v>
      </c>
      <c r="B1595" s="1" t="s">
        <v>252</v>
      </c>
      <c r="C1595" s="1" t="s">
        <v>850</v>
      </c>
      <c r="D1595" s="1" t="s">
        <v>851</v>
      </c>
      <c r="E1595" s="1" t="n">
        <v>20171</v>
      </c>
      <c r="F1595" s="1" t="s">
        <v>208</v>
      </c>
      <c r="G1595" s="1" t="s">
        <v>14</v>
      </c>
      <c r="H1595" s="1" t="n">
        <v>4</v>
      </c>
      <c r="I1595" s="1" t="n">
        <v>0</v>
      </c>
      <c r="J1595" s="1" t="n">
        <v>20201</v>
      </c>
      <c r="L1595" s="1" t="str">
        <f aca="false">IF(D1594&lt;&gt;D1595,D1595,"")</f>
        <v/>
      </c>
      <c r="M1595" s="1" t="str">
        <f aca="false">IF(F1594&lt;&gt;F1595,F1595,"")</f>
        <v/>
      </c>
    </row>
    <row r="1596" customFormat="false" ht="15" hidden="false" customHeight="false" outlineLevel="0" collapsed="false">
      <c r="A1596" s="1" t="s">
        <v>253</v>
      </c>
      <c r="B1596" s="1" t="s">
        <v>254</v>
      </c>
      <c r="C1596" s="1" t="s">
        <v>850</v>
      </c>
      <c r="D1596" s="1" t="s">
        <v>851</v>
      </c>
      <c r="E1596" s="1" t="n">
        <v>20171</v>
      </c>
      <c r="F1596" s="1" t="s">
        <v>208</v>
      </c>
      <c r="G1596" s="1" t="s">
        <v>14</v>
      </c>
      <c r="H1596" s="1" t="n">
        <v>4</v>
      </c>
      <c r="I1596" s="1" t="n">
        <v>0</v>
      </c>
      <c r="J1596" s="1" t="n">
        <v>20201</v>
      </c>
      <c r="L1596" s="1" t="str">
        <f aca="false">IF(D1595&lt;&gt;D1596,D1596,"")</f>
        <v/>
      </c>
      <c r="M1596" s="1" t="str">
        <f aca="false">IF(F1595&lt;&gt;F1596,F1596,"")</f>
        <v/>
      </c>
    </row>
    <row r="1597" customFormat="false" ht="15" hidden="false" customHeight="false" outlineLevel="0" collapsed="false">
      <c r="A1597" s="1" t="s">
        <v>255</v>
      </c>
      <c r="B1597" s="1" t="s">
        <v>256</v>
      </c>
      <c r="C1597" s="1" t="s">
        <v>850</v>
      </c>
      <c r="D1597" s="1" t="s">
        <v>851</v>
      </c>
      <c r="E1597" s="1" t="n">
        <v>20171</v>
      </c>
      <c r="F1597" s="1" t="s">
        <v>208</v>
      </c>
      <c r="G1597" s="1" t="s">
        <v>101</v>
      </c>
      <c r="H1597" s="1" t="n">
        <v>2.5</v>
      </c>
      <c r="I1597" s="1" t="n">
        <v>0</v>
      </c>
      <c r="J1597" s="1" t="n">
        <v>20201</v>
      </c>
      <c r="L1597" s="1" t="str">
        <f aca="false">IF(D1596&lt;&gt;D1597,D1597,"")</f>
        <v/>
      </c>
      <c r="M1597" s="1" t="str">
        <f aca="false">IF(F1596&lt;&gt;F1597,F1597,"")</f>
        <v/>
      </c>
    </row>
    <row r="1598" customFormat="false" ht="15" hidden="false" customHeight="false" outlineLevel="0" collapsed="false">
      <c r="A1598" s="1" t="s">
        <v>257</v>
      </c>
      <c r="B1598" s="1" t="s">
        <v>258</v>
      </c>
      <c r="C1598" s="1" t="s">
        <v>850</v>
      </c>
      <c r="D1598" s="1" t="s">
        <v>851</v>
      </c>
      <c r="E1598" s="1" t="n">
        <v>20171</v>
      </c>
      <c r="F1598" s="1" t="s">
        <v>208</v>
      </c>
      <c r="G1598" s="1" t="s">
        <v>18</v>
      </c>
      <c r="H1598" s="1" t="n">
        <v>3</v>
      </c>
      <c r="I1598" s="1" t="n">
        <v>0</v>
      </c>
      <c r="J1598" s="1" t="n">
        <v>20201</v>
      </c>
      <c r="L1598" s="1" t="str">
        <f aca="false">IF(D1597&lt;&gt;D1598,D1598,"")</f>
        <v/>
      </c>
      <c r="M1598" s="1" t="str">
        <f aca="false">IF(F1597&lt;&gt;F1598,F1598,"")</f>
        <v/>
      </c>
    </row>
    <row r="1599" customFormat="false" ht="15" hidden="false" customHeight="false" outlineLevel="0" collapsed="false">
      <c r="A1599" s="1" t="s">
        <v>304</v>
      </c>
      <c r="B1599" s="1" t="s">
        <v>305</v>
      </c>
      <c r="C1599" s="1" t="s">
        <v>852</v>
      </c>
      <c r="D1599" s="1" t="s">
        <v>853</v>
      </c>
      <c r="E1599" s="1" t="n">
        <v>20171</v>
      </c>
      <c r="F1599" s="1" t="s">
        <v>303</v>
      </c>
      <c r="G1599" s="1" t="s">
        <v>18</v>
      </c>
      <c r="H1599" s="1" t="n">
        <v>3</v>
      </c>
      <c r="I1599" s="1" t="n">
        <v>0</v>
      </c>
      <c r="J1599" s="1" t="n">
        <v>20201</v>
      </c>
      <c r="L1599" s="1" t="str">
        <f aca="false">IF(D1598&lt;&gt;D1599,D1599,"")</f>
        <v>PANCASILA</v>
      </c>
      <c r="M1599" s="1" t="str">
        <f aca="false">IF(F1598&lt;&gt;F1599,F1599,"")</f>
        <v>TPB</v>
      </c>
    </row>
    <row r="1600" customFormat="false" ht="15" hidden="false" customHeight="false" outlineLevel="0" collapsed="false">
      <c r="A1600" s="1" t="s">
        <v>733</v>
      </c>
      <c r="B1600" s="1" t="s">
        <v>734</v>
      </c>
      <c r="C1600" s="1" t="s">
        <v>852</v>
      </c>
      <c r="D1600" s="1" t="s">
        <v>853</v>
      </c>
      <c r="E1600" s="1" t="n">
        <v>20171</v>
      </c>
      <c r="F1600" s="1" t="s">
        <v>303</v>
      </c>
      <c r="G1600" s="1" t="s">
        <v>18</v>
      </c>
      <c r="H1600" s="1" t="n">
        <v>3</v>
      </c>
      <c r="I1600" s="1" t="n">
        <v>0</v>
      </c>
      <c r="J1600" s="1" t="n">
        <v>20201</v>
      </c>
      <c r="L1600" s="1" t="str">
        <f aca="false">IF(D1599&lt;&gt;D1600,D1600,"")</f>
        <v/>
      </c>
      <c r="M1600" s="1" t="str">
        <f aca="false">IF(F1599&lt;&gt;F1600,F1600,"")</f>
        <v/>
      </c>
    </row>
    <row r="1601" customFormat="false" ht="15" hidden="false" customHeight="false" outlineLevel="0" collapsed="false">
      <c r="A1601" s="1" t="s">
        <v>21</v>
      </c>
      <c r="B1601" s="1" t="s">
        <v>22</v>
      </c>
      <c r="C1601" s="1" t="s">
        <v>852</v>
      </c>
      <c r="D1601" s="1" t="s">
        <v>853</v>
      </c>
      <c r="E1601" s="1" t="n">
        <v>20171</v>
      </c>
      <c r="F1601" s="1" t="s">
        <v>303</v>
      </c>
      <c r="G1601" s="1" t="s">
        <v>18</v>
      </c>
      <c r="H1601" s="1" t="n">
        <v>3</v>
      </c>
      <c r="I1601" s="1" t="n">
        <v>0</v>
      </c>
      <c r="J1601" s="1" t="n">
        <v>20201</v>
      </c>
      <c r="L1601" s="1" t="str">
        <f aca="false">IF(D1600&lt;&gt;D1601,D1601,"")</f>
        <v/>
      </c>
      <c r="M1601" s="1" t="str">
        <f aca="false">IF(F1600&lt;&gt;F1601,F1601,"")</f>
        <v/>
      </c>
    </row>
    <row r="1602" customFormat="false" ht="15" hidden="false" customHeight="false" outlineLevel="0" collapsed="false">
      <c r="A1602" s="1" t="s">
        <v>816</v>
      </c>
      <c r="B1602" s="1" t="s">
        <v>817</v>
      </c>
      <c r="C1602" s="1" t="s">
        <v>852</v>
      </c>
      <c r="D1602" s="1" t="s">
        <v>853</v>
      </c>
      <c r="E1602" s="1" t="n">
        <v>20171</v>
      </c>
      <c r="F1602" s="1" t="s">
        <v>303</v>
      </c>
      <c r="G1602" s="1" t="s">
        <v>18</v>
      </c>
      <c r="H1602" s="1" t="n">
        <v>3</v>
      </c>
      <c r="I1602" s="1" t="n">
        <v>0</v>
      </c>
      <c r="J1602" s="1" t="n">
        <v>20201</v>
      </c>
      <c r="L1602" s="1" t="str">
        <f aca="false">IF(D1601&lt;&gt;D1602,D1602,"")</f>
        <v/>
      </c>
      <c r="M1602" s="1" t="str">
        <f aca="false">IF(F1601&lt;&gt;F1602,F1602,"")</f>
        <v/>
      </c>
    </row>
    <row r="1603" customFormat="false" ht="15" hidden="false" customHeight="false" outlineLevel="0" collapsed="false">
      <c r="A1603" s="1" t="s">
        <v>673</v>
      </c>
      <c r="B1603" s="1" t="s">
        <v>674</v>
      </c>
      <c r="C1603" s="1" t="s">
        <v>852</v>
      </c>
      <c r="D1603" s="1" t="s">
        <v>853</v>
      </c>
      <c r="E1603" s="1" t="n">
        <v>20171</v>
      </c>
      <c r="F1603" s="1" t="s">
        <v>303</v>
      </c>
      <c r="G1603" s="1" t="s">
        <v>18</v>
      </c>
      <c r="H1603" s="1" t="n">
        <v>3</v>
      </c>
      <c r="I1603" s="1" t="n">
        <v>0</v>
      </c>
      <c r="J1603" s="1" t="n">
        <v>20201</v>
      </c>
      <c r="L1603" s="1" t="str">
        <f aca="false">IF(D1602&lt;&gt;D1603,D1603,"")</f>
        <v/>
      </c>
      <c r="M1603" s="1" t="str">
        <f aca="false">IF(F1602&lt;&gt;F1603,F1603,"")</f>
        <v/>
      </c>
    </row>
    <row r="1604" customFormat="false" ht="15" hidden="false" customHeight="false" outlineLevel="0" collapsed="false">
      <c r="A1604" s="1" t="s">
        <v>689</v>
      </c>
      <c r="B1604" s="1" t="s">
        <v>690</v>
      </c>
      <c r="C1604" s="1" t="s">
        <v>852</v>
      </c>
      <c r="D1604" s="1" t="s">
        <v>853</v>
      </c>
      <c r="E1604" s="1" t="n">
        <v>20171</v>
      </c>
      <c r="F1604" s="1" t="s">
        <v>303</v>
      </c>
      <c r="G1604" s="1" t="s">
        <v>18</v>
      </c>
      <c r="H1604" s="1" t="n">
        <v>3</v>
      </c>
      <c r="I1604" s="1" t="n">
        <v>0</v>
      </c>
      <c r="J1604" s="1" t="n">
        <v>20201</v>
      </c>
      <c r="L1604" s="1" t="str">
        <f aca="false">IF(D1603&lt;&gt;D1604,D1604,"")</f>
        <v/>
      </c>
      <c r="M1604" s="1" t="str">
        <f aca="false">IF(F1603&lt;&gt;F1604,F1604,"")</f>
        <v/>
      </c>
    </row>
    <row r="1605" customFormat="false" ht="15" hidden="false" customHeight="false" outlineLevel="0" collapsed="false">
      <c r="A1605" s="1" t="s">
        <v>695</v>
      </c>
      <c r="B1605" s="1" t="s">
        <v>696</v>
      </c>
      <c r="C1605" s="1" t="s">
        <v>852</v>
      </c>
      <c r="D1605" s="1" t="s">
        <v>853</v>
      </c>
      <c r="E1605" s="1" t="n">
        <v>20171</v>
      </c>
      <c r="F1605" s="1" t="s">
        <v>303</v>
      </c>
      <c r="G1605" s="1" t="s">
        <v>18</v>
      </c>
      <c r="H1605" s="1" t="n">
        <v>3</v>
      </c>
      <c r="I1605" s="1" t="n">
        <v>0</v>
      </c>
      <c r="J1605" s="1" t="n">
        <v>20201</v>
      </c>
      <c r="L1605" s="1" t="str">
        <f aca="false">IF(D1604&lt;&gt;D1605,D1605,"")</f>
        <v/>
      </c>
      <c r="M1605" s="1" t="str">
        <f aca="false">IF(F1604&lt;&gt;F1605,F1605,"")</f>
        <v/>
      </c>
    </row>
    <row r="1606" customFormat="false" ht="15" hidden="false" customHeight="false" outlineLevel="0" collapsed="false">
      <c r="A1606" s="1" t="s">
        <v>529</v>
      </c>
      <c r="B1606" s="1" t="s">
        <v>530</v>
      </c>
      <c r="C1606" s="1" t="s">
        <v>852</v>
      </c>
      <c r="D1606" s="1" t="s">
        <v>853</v>
      </c>
      <c r="E1606" s="1" t="n">
        <v>20171</v>
      </c>
      <c r="F1606" s="1" t="s">
        <v>303</v>
      </c>
      <c r="G1606" s="1" t="s">
        <v>18</v>
      </c>
      <c r="H1606" s="1" t="n">
        <v>3</v>
      </c>
      <c r="I1606" s="1" t="n">
        <v>0</v>
      </c>
      <c r="J1606" s="1" t="n">
        <v>20201</v>
      </c>
      <c r="L1606" s="1" t="str">
        <f aca="false">IF(D1605&lt;&gt;D1606,D1606,"")</f>
        <v/>
      </c>
      <c r="M1606" s="1" t="str">
        <f aca="false">IF(F1605&lt;&gt;F1606,F1606,"")</f>
        <v/>
      </c>
    </row>
    <row r="1607" customFormat="false" ht="15" hidden="false" customHeight="false" outlineLevel="0" collapsed="false">
      <c r="A1607" s="1" t="s">
        <v>310</v>
      </c>
      <c r="B1607" s="1" t="s">
        <v>311</v>
      </c>
      <c r="C1607" s="1" t="s">
        <v>852</v>
      </c>
      <c r="D1607" s="1" t="s">
        <v>853</v>
      </c>
      <c r="E1607" s="1" t="n">
        <v>20171</v>
      </c>
      <c r="F1607" s="1" t="s">
        <v>303</v>
      </c>
      <c r="G1607" s="1" t="s">
        <v>124</v>
      </c>
      <c r="H1607" s="1" t="n">
        <v>0</v>
      </c>
      <c r="I1607" s="1" t="n">
        <v>0</v>
      </c>
      <c r="J1607" s="1" t="n">
        <v>20201</v>
      </c>
      <c r="L1607" s="1" t="str">
        <f aca="false">IF(D1606&lt;&gt;D1607,D1607,"")</f>
        <v/>
      </c>
      <c r="M1607" s="1" t="str">
        <f aca="false">IF(F1606&lt;&gt;F1607,F1607,"")</f>
        <v/>
      </c>
    </row>
    <row r="1608" customFormat="false" ht="15" hidden="false" customHeight="false" outlineLevel="0" collapsed="false">
      <c r="A1608" s="1" t="s">
        <v>537</v>
      </c>
      <c r="B1608" s="1" t="s">
        <v>538</v>
      </c>
      <c r="C1608" s="1" t="s">
        <v>852</v>
      </c>
      <c r="D1608" s="1" t="s">
        <v>853</v>
      </c>
      <c r="E1608" s="1" t="n">
        <v>20171</v>
      </c>
      <c r="F1608" s="1" t="s">
        <v>303</v>
      </c>
      <c r="G1608" s="1" t="s">
        <v>18</v>
      </c>
      <c r="H1608" s="1" t="n">
        <v>3</v>
      </c>
      <c r="I1608" s="1" t="n">
        <v>0</v>
      </c>
      <c r="J1608" s="1" t="n">
        <v>20201</v>
      </c>
      <c r="L1608" s="1" t="str">
        <f aca="false">IF(D1607&lt;&gt;D1608,D1608,"")</f>
        <v/>
      </c>
      <c r="M1608" s="1" t="str">
        <f aca="false">IF(F1607&lt;&gt;F1608,F1608,"")</f>
        <v/>
      </c>
    </row>
    <row r="1609" customFormat="false" ht="15" hidden="false" customHeight="false" outlineLevel="0" collapsed="false">
      <c r="A1609" s="1" t="s">
        <v>681</v>
      </c>
      <c r="B1609" s="1" t="s">
        <v>682</v>
      </c>
      <c r="C1609" s="1" t="s">
        <v>852</v>
      </c>
      <c r="D1609" s="1" t="s">
        <v>853</v>
      </c>
      <c r="E1609" s="1" t="n">
        <v>20171</v>
      </c>
      <c r="F1609" s="1" t="s">
        <v>303</v>
      </c>
      <c r="G1609" s="1" t="s">
        <v>18</v>
      </c>
      <c r="H1609" s="1" t="n">
        <v>3</v>
      </c>
      <c r="I1609" s="1" t="n">
        <v>0</v>
      </c>
      <c r="J1609" s="1" t="n">
        <v>20201</v>
      </c>
      <c r="L1609" s="1" t="str">
        <f aca="false">IF(D1608&lt;&gt;D1609,D1609,"")</f>
        <v/>
      </c>
      <c r="M1609" s="1" t="str">
        <f aca="false">IF(F1608&lt;&gt;F1609,F1609,"")</f>
        <v/>
      </c>
    </row>
    <row r="1610" customFormat="false" ht="15" hidden="false" customHeight="false" outlineLevel="0" collapsed="false">
      <c r="A1610" s="1" t="s">
        <v>215</v>
      </c>
      <c r="B1610" s="1" t="s">
        <v>216</v>
      </c>
      <c r="C1610" s="1" t="s">
        <v>852</v>
      </c>
      <c r="D1610" s="1" t="s">
        <v>853</v>
      </c>
      <c r="E1610" s="1" t="n">
        <v>20171</v>
      </c>
      <c r="F1610" s="1" t="s">
        <v>303</v>
      </c>
      <c r="G1610" s="1" t="s">
        <v>124</v>
      </c>
      <c r="H1610" s="1" t="n">
        <v>0</v>
      </c>
      <c r="I1610" s="1" t="n">
        <v>0</v>
      </c>
      <c r="J1610" s="1" t="n">
        <v>20201</v>
      </c>
      <c r="L1610" s="1" t="str">
        <f aca="false">IF(D1609&lt;&gt;D1610,D1610,"")</f>
        <v/>
      </c>
      <c r="M1610" s="1" t="str">
        <f aca="false">IF(F1609&lt;&gt;F1610,F1610,"")</f>
        <v/>
      </c>
    </row>
    <row r="1611" customFormat="false" ht="15" hidden="false" customHeight="false" outlineLevel="0" collapsed="false">
      <c r="A1611" s="1" t="s">
        <v>701</v>
      </c>
      <c r="B1611" s="1" t="s">
        <v>702</v>
      </c>
      <c r="C1611" s="1" t="s">
        <v>852</v>
      </c>
      <c r="D1611" s="1" t="s">
        <v>853</v>
      </c>
      <c r="E1611" s="1" t="n">
        <v>20171</v>
      </c>
      <c r="F1611" s="1" t="s">
        <v>303</v>
      </c>
      <c r="G1611" s="1" t="s">
        <v>18</v>
      </c>
      <c r="H1611" s="1" t="n">
        <v>3</v>
      </c>
      <c r="I1611" s="1" t="n">
        <v>0</v>
      </c>
      <c r="J1611" s="1" t="n">
        <v>20201</v>
      </c>
      <c r="L1611" s="1" t="str">
        <f aca="false">IF(D1610&lt;&gt;D1611,D1611,"")</f>
        <v/>
      </c>
      <c r="M1611" s="1" t="str">
        <f aca="false">IF(F1610&lt;&gt;F1611,F1611,"")</f>
        <v/>
      </c>
    </row>
    <row r="1612" customFormat="false" ht="15" hidden="false" customHeight="false" outlineLevel="0" collapsed="false">
      <c r="A1612" s="1" t="s">
        <v>312</v>
      </c>
      <c r="B1612" s="1" t="s">
        <v>313</v>
      </c>
      <c r="C1612" s="1" t="s">
        <v>852</v>
      </c>
      <c r="D1612" s="1" t="s">
        <v>853</v>
      </c>
      <c r="E1612" s="1" t="n">
        <v>20171</v>
      </c>
      <c r="F1612" s="1" t="s">
        <v>303</v>
      </c>
      <c r="G1612" s="1" t="s">
        <v>18</v>
      </c>
      <c r="H1612" s="1" t="n">
        <v>3</v>
      </c>
      <c r="I1612" s="1" t="n">
        <v>0</v>
      </c>
      <c r="J1612" s="1" t="n">
        <v>20201</v>
      </c>
      <c r="L1612" s="1" t="str">
        <f aca="false">IF(D1611&lt;&gt;D1612,D1612,"")</f>
        <v/>
      </c>
      <c r="M1612" s="1" t="str">
        <f aca="false">IF(F1611&lt;&gt;F1612,F1612,"")</f>
        <v/>
      </c>
    </row>
    <row r="1613" customFormat="false" ht="15" hidden="false" customHeight="false" outlineLevel="0" collapsed="false">
      <c r="A1613" s="1" t="s">
        <v>719</v>
      </c>
      <c r="B1613" s="1" t="s">
        <v>720</v>
      </c>
      <c r="C1613" s="1" t="s">
        <v>852</v>
      </c>
      <c r="D1613" s="1" t="s">
        <v>853</v>
      </c>
      <c r="E1613" s="1" t="n">
        <v>20171</v>
      </c>
      <c r="F1613" s="1" t="s">
        <v>303</v>
      </c>
      <c r="G1613" s="1" t="s">
        <v>18</v>
      </c>
      <c r="H1613" s="1" t="n">
        <v>3</v>
      </c>
      <c r="I1613" s="1" t="n">
        <v>0</v>
      </c>
      <c r="J1613" s="1" t="n">
        <v>20201</v>
      </c>
      <c r="L1613" s="1" t="str">
        <f aca="false">IF(D1612&lt;&gt;D1613,D1613,"")</f>
        <v/>
      </c>
      <c r="M1613" s="1" t="str">
        <f aca="false">IF(F1612&lt;&gt;F1613,F1613,"")</f>
        <v/>
      </c>
    </row>
    <row r="1614" customFormat="false" ht="15" hidden="false" customHeight="false" outlineLevel="0" collapsed="false">
      <c r="A1614" s="1" t="s">
        <v>721</v>
      </c>
      <c r="B1614" s="1" t="s">
        <v>722</v>
      </c>
      <c r="C1614" s="1" t="s">
        <v>852</v>
      </c>
      <c r="D1614" s="1" t="s">
        <v>853</v>
      </c>
      <c r="E1614" s="1" t="n">
        <v>20171</v>
      </c>
      <c r="F1614" s="1" t="s">
        <v>303</v>
      </c>
      <c r="G1614" s="1" t="s">
        <v>18</v>
      </c>
      <c r="H1614" s="1" t="n">
        <v>3</v>
      </c>
      <c r="I1614" s="1" t="n">
        <v>0</v>
      </c>
      <c r="J1614" s="1" t="n">
        <v>20201</v>
      </c>
      <c r="L1614" s="1" t="str">
        <f aca="false">IF(D1613&lt;&gt;D1614,D1614,"")</f>
        <v/>
      </c>
      <c r="M1614" s="1" t="str">
        <f aca="false">IF(F1613&lt;&gt;F1614,F1614,"")</f>
        <v/>
      </c>
    </row>
    <row r="1615" customFormat="false" ht="15" hidden="false" customHeight="false" outlineLevel="0" collapsed="false">
      <c r="A1615" s="1" t="s">
        <v>247</v>
      </c>
      <c r="B1615" s="1" t="s">
        <v>248</v>
      </c>
      <c r="C1615" s="1" t="s">
        <v>852</v>
      </c>
      <c r="D1615" s="1" t="s">
        <v>853</v>
      </c>
      <c r="E1615" s="1" t="n">
        <v>20171</v>
      </c>
      <c r="F1615" s="1" t="s">
        <v>303</v>
      </c>
      <c r="G1615" s="1" t="s">
        <v>18</v>
      </c>
      <c r="H1615" s="1" t="n">
        <v>3</v>
      </c>
      <c r="I1615" s="1" t="n">
        <v>0</v>
      </c>
      <c r="J1615" s="1" t="n">
        <v>20201</v>
      </c>
      <c r="L1615" s="1" t="str">
        <f aca="false">IF(D1614&lt;&gt;D1615,D1615,"")</f>
        <v/>
      </c>
      <c r="M1615" s="1" t="str">
        <f aca="false">IF(F1614&lt;&gt;F1615,F1615,"")</f>
        <v/>
      </c>
    </row>
    <row r="1616" customFormat="false" ht="15" hidden="false" customHeight="false" outlineLevel="0" collapsed="false">
      <c r="A1616" s="1" t="s">
        <v>683</v>
      </c>
      <c r="B1616" s="1" t="s">
        <v>684</v>
      </c>
      <c r="C1616" s="1" t="s">
        <v>852</v>
      </c>
      <c r="D1616" s="1" t="s">
        <v>853</v>
      </c>
      <c r="E1616" s="1" t="n">
        <v>20171</v>
      </c>
      <c r="F1616" s="1" t="s">
        <v>303</v>
      </c>
      <c r="G1616" s="1" t="s">
        <v>124</v>
      </c>
      <c r="H1616" s="1" t="n">
        <v>0</v>
      </c>
      <c r="I1616" s="1" t="n">
        <v>0</v>
      </c>
      <c r="J1616" s="1" t="n">
        <v>20201</v>
      </c>
      <c r="L1616" s="1" t="str">
        <f aca="false">IF(D1615&lt;&gt;D1616,D1616,"")</f>
        <v/>
      </c>
      <c r="M1616" s="1" t="str">
        <f aca="false">IF(F1615&lt;&gt;F1616,F1616,"")</f>
        <v/>
      </c>
    </row>
    <row r="1617" customFormat="false" ht="15" hidden="false" customHeight="false" outlineLevel="0" collapsed="false">
      <c r="A1617" s="1" t="s">
        <v>314</v>
      </c>
      <c r="B1617" s="1" t="s">
        <v>315</v>
      </c>
      <c r="C1617" s="1" t="s">
        <v>852</v>
      </c>
      <c r="D1617" s="1" t="s">
        <v>853</v>
      </c>
      <c r="E1617" s="1" t="n">
        <v>20171</v>
      </c>
      <c r="F1617" s="1" t="s">
        <v>303</v>
      </c>
      <c r="G1617" s="1" t="s">
        <v>15</v>
      </c>
      <c r="H1617" s="1" t="n">
        <v>3.5</v>
      </c>
      <c r="I1617" s="1" t="n">
        <v>0</v>
      </c>
      <c r="J1617" s="1" t="n">
        <v>20201</v>
      </c>
      <c r="L1617" s="1" t="str">
        <f aca="false">IF(D1616&lt;&gt;D1617,D1617,"")</f>
        <v/>
      </c>
      <c r="M1617" s="1" t="str">
        <f aca="false">IF(F1616&lt;&gt;F1617,F1617,"")</f>
        <v/>
      </c>
    </row>
    <row r="1618" customFormat="false" ht="15" hidden="false" customHeight="false" outlineLevel="0" collapsed="false">
      <c r="A1618" s="1" t="s">
        <v>316</v>
      </c>
      <c r="B1618" s="1" t="s">
        <v>317</v>
      </c>
      <c r="C1618" s="1" t="s">
        <v>852</v>
      </c>
      <c r="D1618" s="1" t="s">
        <v>853</v>
      </c>
      <c r="E1618" s="1" t="n">
        <v>20171</v>
      </c>
      <c r="F1618" s="1" t="s">
        <v>303</v>
      </c>
      <c r="G1618" s="1" t="s">
        <v>15</v>
      </c>
      <c r="H1618" s="1" t="n">
        <v>3.5</v>
      </c>
      <c r="I1618" s="1" t="n">
        <v>0</v>
      </c>
      <c r="J1618" s="1" t="n">
        <v>20201</v>
      </c>
      <c r="L1618" s="1" t="str">
        <f aca="false">IF(D1617&lt;&gt;D1618,D1618,"")</f>
        <v/>
      </c>
      <c r="M1618" s="1" t="str">
        <f aca="false">IF(F1617&lt;&gt;F1618,F1618,"")</f>
        <v/>
      </c>
    </row>
    <row r="1619" customFormat="false" ht="15" hidden="false" customHeight="false" outlineLevel="0" collapsed="false">
      <c r="A1619" s="1" t="s">
        <v>318</v>
      </c>
      <c r="B1619" s="1" t="s">
        <v>319</v>
      </c>
      <c r="C1619" s="1" t="s">
        <v>852</v>
      </c>
      <c r="D1619" s="1" t="s">
        <v>853</v>
      </c>
      <c r="E1619" s="1" t="n">
        <v>20171</v>
      </c>
      <c r="F1619" s="1" t="s">
        <v>303</v>
      </c>
      <c r="G1619" s="1" t="s">
        <v>14</v>
      </c>
      <c r="H1619" s="1" t="n">
        <v>4</v>
      </c>
      <c r="I1619" s="1" t="n">
        <v>0</v>
      </c>
      <c r="J1619" s="1" t="n">
        <v>20201</v>
      </c>
      <c r="L1619" s="1" t="str">
        <f aca="false">IF(D1618&lt;&gt;D1619,D1619,"")</f>
        <v/>
      </c>
      <c r="M1619" s="1" t="str">
        <f aca="false">IF(F1618&lt;&gt;F1619,F1619,"")</f>
        <v/>
      </c>
    </row>
    <row r="1620" customFormat="false" ht="15" hidden="false" customHeight="false" outlineLevel="0" collapsed="false">
      <c r="A1620" s="1" t="s">
        <v>320</v>
      </c>
      <c r="B1620" s="1" t="s">
        <v>321</v>
      </c>
      <c r="C1620" s="1" t="s">
        <v>852</v>
      </c>
      <c r="D1620" s="1" t="s">
        <v>853</v>
      </c>
      <c r="E1620" s="1" t="n">
        <v>20171</v>
      </c>
      <c r="F1620" s="1" t="s">
        <v>303</v>
      </c>
      <c r="G1620" s="1" t="s">
        <v>15</v>
      </c>
      <c r="H1620" s="1" t="n">
        <v>3.5</v>
      </c>
      <c r="I1620" s="1" t="n">
        <v>0</v>
      </c>
      <c r="J1620" s="1" t="n">
        <v>20201</v>
      </c>
      <c r="L1620" s="1" t="str">
        <f aca="false">IF(D1619&lt;&gt;D1620,D1620,"")</f>
        <v/>
      </c>
      <c r="M1620" s="1" t="str">
        <f aca="false">IF(F1619&lt;&gt;F1620,F1620,"")</f>
        <v/>
      </c>
    </row>
    <row r="1621" customFormat="false" ht="15" hidden="false" customHeight="false" outlineLevel="0" collapsed="false">
      <c r="A1621" s="1" t="s">
        <v>322</v>
      </c>
      <c r="B1621" s="1" t="s">
        <v>323</v>
      </c>
      <c r="C1621" s="1" t="s">
        <v>852</v>
      </c>
      <c r="D1621" s="1" t="s">
        <v>853</v>
      </c>
      <c r="E1621" s="1" t="n">
        <v>20171</v>
      </c>
      <c r="F1621" s="1" t="s">
        <v>303</v>
      </c>
      <c r="G1621" s="1" t="s">
        <v>15</v>
      </c>
      <c r="H1621" s="1" t="n">
        <v>3.5</v>
      </c>
      <c r="I1621" s="1" t="n">
        <v>0</v>
      </c>
      <c r="J1621" s="1" t="n">
        <v>20201</v>
      </c>
      <c r="L1621" s="1" t="str">
        <f aca="false">IF(D1620&lt;&gt;D1621,D1621,"")</f>
        <v/>
      </c>
      <c r="M1621" s="1" t="str">
        <f aca="false">IF(F1620&lt;&gt;F1621,F1621,"")</f>
        <v/>
      </c>
    </row>
    <row r="1622" customFormat="false" ht="15" hidden="false" customHeight="false" outlineLevel="0" collapsed="false">
      <c r="A1622" s="1" t="s">
        <v>324</v>
      </c>
      <c r="B1622" s="1" t="s">
        <v>325</v>
      </c>
      <c r="C1622" s="1" t="s">
        <v>852</v>
      </c>
      <c r="D1622" s="1" t="s">
        <v>853</v>
      </c>
      <c r="E1622" s="1" t="n">
        <v>20171</v>
      </c>
      <c r="F1622" s="1" t="s">
        <v>303</v>
      </c>
      <c r="G1622" s="1" t="s">
        <v>18</v>
      </c>
      <c r="H1622" s="1" t="n">
        <v>3</v>
      </c>
      <c r="I1622" s="1" t="n">
        <v>0</v>
      </c>
      <c r="J1622" s="1" t="n">
        <v>20201</v>
      </c>
      <c r="L1622" s="1" t="str">
        <f aca="false">IF(D1621&lt;&gt;D1622,D1622,"")</f>
        <v/>
      </c>
      <c r="M1622" s="1" t="str">
        <f aca="false">IF(F1621&lt;&gt;F1622,F1622,"")</f>
        <v/>
      </c>
    </row>
    <row r="1623" customFormat="false" ht="15" hidden="false" customHeight="false" outlineLevel="0" collapsed="false">
      <c r="A1623" s="1" t="s">
        <v>326</v>
      </c>
      <c r="B1623" s="1" t="s">
        <v>327</v>
      </c>
      <c r="C1623" s="1" t="s">
        <v>852</v>
      </c>
      <c r="D1623" s="1" t="s">
        <v>853</v>
      </c>
      <c r="E1623" s="1" t="n">
        <v>20171</v>
      </c>
      <c r="F1623" s="1" t="s">
        <v>303</v>
      </c>
      <c r="G1623" s="1" t="s">
        <v>18</v>
      </c>
      <c r="H1623" s="1" t="n">
        <v>3</v>
      </c>
      <c r="I1623" s="1" t="n">
        <v>0</v>
      </c>
      <c r="J1623" s="1" t="n">
        <v>20201</v>
      </c>
      <c r="L1623" s="1" t="str">
        <f aca="false">IF(D1622&lt;&gt;D1623,D1623,"")</f>
        <v/>
      </c>
      <c r="M1623" s="1" t="str">
        <f aca="false">IF(F1622&lt;&gt;F1623,F1623,"")</f>
        <v/>
      </c>
    </row>
    <row r="1624" customFormat="false" ht="15" hidden="false" customHeight="false" outlineLevel="0" collapsed="false">
      <c r="A1624" s="1" t="s">
        <v>328</v>
      </c>
      <c r="B1624" s="1" t="s">
        <v>329</v>
      </c>
      <c r="C1624" s="1" t="s">
        <v>852</v>
      </c>
      <c r="D1624" s="1" t="s">
        <v>853</v>
      </c>
      <c r="E1624" s="1" t="n">
        <v>20171</v>
      </c>
      <c r="F1624" s="1" t="s">
        <v>303</v>
      </c>
      <c r="G1624" s="1" t="s">
        <v>18</v>
      </c>
      <c r="H1624" s="1" t="n">
        <v>3</v>
      </c>
      <c r="I1624" s="1" t="n">
        <v>0</v>
      </c>
      <c r="J1624" s="1" t="n">
        <v>20201</v>
      </c>
      <c r="L1624" s="1" t="str">
        <f aca="false">IF(D1623&lt;&gt;D1624,D1624,"")</f>
        <v/>
      </c>
      <c r="M1624" s="1" t="str">
        <f aca="false">IF(F1623&lt;&gt;F1624,F1624,"")</f>
        <v/>
      </c>
    </row>
    <row r="1625" customFormat="false" ht="15" hidden="false" customHeight="false" outlineLevel="0" collapsed="false">
      <c r="A1625" s="1" t="s">
        <v>330</v>
      </c>
      <c r="B1625" s="1" t="s">
        <v>331</v>
      </c>
      <c r="C1625" s="1" t="s">
        <v>852</v>
      </c>
      <c r="D1625" s="1" t="s">
        <v>853</v>
      </c>
      <c r="E1625" s="1" t="n">
        <v>20171</v>
      </c>
      <c r="F1625" s="1" t="s">
        <v>303</v>
      </c>
      <c r="G1625" s="1" t="s">
        <v>14</v>
      </c>
      <c r="H1625" s="1" t="n">
        <v>4</v>
      </c>
      <c r="I1625" s="1" t="n">
        <v>0</v>
      </c>
      <c r="J1625" s="1" t="n">
        <v>20201</v>
      </c>
      <c r="L1625" s="1" t="str">
        <f aca="false">IF(D1624&lt;&gt;D1625,D1625,"")</f>
        <v/>
      </c>
      <c r="M1625" s="1" t="str">
        <f aca="false">IF(F1624&lt;&gt;F1625,F1625,"")</f>
        <v/>
      </c>
    </row>
    <row r="1626" customFormat="false" ht="15" hidden="false" customHeight="false" outlineLevel="0" collapsed="false">
      <c r="A1626" s="1" t="s">
        <v>332</v>
      </c>
      <c r="B1626" s="1" t="s">
        <v>333</v>
      </c>
      <c r="C1626" s="1" t="s">
        <v>852</v>
      </c>
      <c r="D1626" s="1" t="s">
        <v>853</v>
      </c>
      <c r="E1626" s="1" t="n">
        <v>20171</v>
      </c>
      <c r="F1626" s="1" t="s">
        <v>303</v>
      </c>
      <c r="G1626" s="1" t="s">
        <v>101</v>
      </c>
      <c r="H1626" s="1" t="n">
        <v>2.5</v>
      </c>
      <c r="I1626" s="1" t="n">
        <v>0</v>
      </c>
      <c r="J1626" s="1" t="n">
        <v>20201</v>
      </c>
      <c r="L1626" s="1" t="str">
        <f aca="false">IF(D1625&lt;&gt;D1626,D1626,"")</f>
        <v/>
      </c>
      <c r="M1626" s="1" t="str">
        <f aca="false">IF(F1625&lt;&gt;F1626,F1626,"")</f>
        <v/>
      </c>
    </row>
    <row r="1627" customFormat="false" ht="15" hidden="false" customHeight="false" outlineLevel="0" collapsed="false">
      <c r="A1627" s="1" t="s">
        <v>334</v>
      </c>
      <c r="B1627" s="1" t="s">
        <v>335</v>
      </c>
      <c r="C1627" s="1" t="s">
        <v>852</v>
      </c>
      <c r="D1627" s="1" t="s">
        <v>853</v>
      </c>
      <c r="E1627" s="1" t="n">
        <v>20171</v>
      </c>
      <c r="F1627" s="1" t="s">
        <v>303</v>
      </c>
      <c r="G1627" s="1" t="s">
        <v>18</v>
      </c>
      <c r="H1627" s="1" t="n">
        <v>3</v>
      </c>
      <c r="I1627" s="1" t="n">
        <v>0</v>
      </c>
      <c r="J1627" s="1" t="n">
        <v>20201</v>
      </c>
      <c r="L1627" s="1" t="str">
        <f aca="false">IF(D1626&lt;&gt;D1627,D1627,"")</f>
        <v/>
      </c>
      <c r="M1627" s="1" t="str">
        <f aca="false">IF(F1626&lt;&gt;F1627,F1627,"")</f>
        <v/>
      </c>
    </row>
    <row r="1628" customFormat="false" ht="15" hidden="false" customHeight="false" outlineLevel="0" collapsed="false">
      <c r="A1628" s="1" t="s">
        <v>336</v>
      </c>
      <c r="B1628" s="1" t="s">
        <v>337</v>
      </c>
      <c r="C1628" s="1" t="s">
        <v>852</v>
      </c>
      <c r="D1628" s="1" t="s">
        <v>853</v>
      </c>
      <c r="E1628" s="1" t="n">
        <v>20171</v>
      </c>
      <c r="F1628" s="1" t="s">
        <v>303</v>
      </c>
      <c r="G1628" s="1" t="s">
        <v>15</v>
      </c>
      <c r="H1628" s="1" t="n">
        <v>3.5</v>
      </c>
      <c r="I1628" s="1" t="n">
        <v>0</v>
      </c>
      <c r="J1628" s="1" t="n">
        <v>20201</v>
      </c>
      <c r="L1628" s="1" t="str">
        <f aca="false">IF(D1627&lt;&gt;D1628,D1628,"")</f>
        <v/>
      </c>
      <c r="M1628" s="1" t="str">
        <f aca="false">IF(F1627&lt;&gt;F1628,F1628,"")</f>
        <v/>
      </c>
    </row>
    <row r="1629" customFormat="false" ht="15" hidden="false" customHeight="false" outlineLevel="0" collapsed="false">
      <c r="A1629" s="1" t="s">
        <v>338</v>
      </c>
      <c r="B1629" s="1" t="s">
        <v>339</v>
      </c>
      <c r="C1629" s="1" t="s">
        <v>852</v>
      </c>
      <c r="D1629" s="1" t="s">
        <v>853</v>
      </c>
      <c r="E1629" s="1" t="n">
        <v>20171</v>
      </c>
      <c r="F1629" s="1" t="s">
        <v>303</v>
      </c>
      <c r="G1629" s="1" t="s">
        <v>14</v>
      </c>
      <c r="H1629" s="1" t="n">
        <v>4</v>
      </c>
      <c r="I1629" s="1" t="n">
        <v>0</v>
      </c>
      <c r="J1629" s="1" t="n">
        <v>20201</v>
      </c>
      <c r="L1629" s="1" t="str">
        <f aca="false">IF(D1628&lt;&gt;D1629,D1629,"")</f>
        <v/>
      </c>
      <c r="M1629" s="1" t="str">
        <f aca="false">IF(F1628&lt;&gt;F1629,F1629,"")</f>
        <v/>
      </c>
    </row>
    <row r="1630" customFormat="false" ht="15" hidden="false" customHeight="false" outlineLevel="0" collapsed="false">
      <c r="A1630" s="1" t="s">
        <v>340</v>
      </c>
      <c r="B1630" s="1" t="s">
        <v>341</v>
      </c>
      <c r="C1630" s="1" t="s">
        <v>852</v>
      </c>
      <c r="D1630" s="1" t="s">
        <v>853</v>
      </c>
      <c r="E1630" s="1" t="n">
        <v>20171</v>
      </c>
      <c r="F1630" s="1" t="s">
        <v>303</v>
      </c>
      <c r="G1630" s="1" t="s">
        <v>15</v>
      </c>
      <c r="H1630" s="1" t="n">
        <v>3.5</v>
      </c>
      <c r="I1630" s="1" t="n">
        <v>0</v>
      </c>
      <c r="J1630" s="1" t="n">
        <v>20201</v>
      </c>
      <c r="L1630" s="1" t="str">
        <f aca="false">IF(D1629&lt;&gt;D1630,D1630,"")</f>
        <v/>
      </c>
      <c r="M1630" s="1" t="str">
        <f aca="false">IF(F1629&lt;&gt;F1630,F1630,"")</f>
        <v/>
      </c>
    </row>
    <row r="1631" customFormat="false" ht="15" hidden="false" customHeight="false" outlineLevel="0" collapsed="false">
      <c r="A1631" s="1" t="s">
        <v>342</v>
      </c>
      <c r="B1631" s="1" t="s">
        <v>343</v>
      </c>
      <c r="C1631" s="1" t="s">
        <v>852</v>
      </c>
      <c r="D1631" s="1" t="s">
        <v>853</v>
      </c>
      <c r="E1631" s="1" t="n">
        <v>20171</v>
      </c>
      <c r="F1631" s="1" t="s">
        <v>303</v>
      </c>
      <c r="G1631" s="1" t="s">
        <v>15</v>
      </c>
      <c r="H1631" s="1" t="n">
        <v>3.5</v>
      </c>
      <c r="I1631" s="1" t="n">
        <v>0</v>
      </c>
      <c r="J1631" s="1" t="n">
        <v>20201</v>
      </c>
      <c r="L1631" s="1" t="str">
        <f aca="false">IF(D1630&lt;&gt;D1631,D1631,"")</f>
        <v/>
      </c>
      <c r="M1631" s="1" t="str">
        <f aca="false">IF(F1630&lt;&gt;F1631,F1631,"")</f>
        <v/>
      </c>
    </row>
    <row r="1632" customFormat="false" ht="15" hidden="false" customHeight="false" outlineLevel="0" collapsed="false">
      <c r="A1632" s="1" t="s">
        <v>344</v>
      </c>
      <c r="B1632" s="1" t="s">
        <v>345</v>
      </c>
      <c r="C1632" s="1" t="s">
        <v>852</v>
      </c>
      <c r="D1632" s="1" t="s">
        <v>853</v>
      </c>
      <c r="E1632" s="1" t="n">
        <v>20171</v>
      </c>
      <c r="F1632" s="1" t="s">
        <v>303</v>
      </c>
      <c r="G1632" s="1" t="s">
        <v>15</v>
      </c>
      <c r="H1632" s="1" t="n">
        <v>3.5</v>
      </c>
      <c r="I1632" s="1" t="n">
        <v>0</v>
      </c>
      <c r="J1632" s="1" t="n">
        <v>20201</v>
      </c>
      <c r="L1632" s="1" t="str">
        <f aca="false">IF(D1631&lt;&gt;D1632,D1632,"")</f>
        <v/>
      </c>
      <c r="M1632" s="1" t="str">
        <f aca="false">IF(F1631&lt;&gt;F1632,F1632,"")</f>
        <v/>
      </c>
    </row>
    <row r="1633" customFormat="false" ht="15" hidden="false" customHeight="false" outlineLevel="0" collapsed="false">
      <c r="A1633" s="1" t="s">
        <v>346</v>
      </c>
      <c r="B1633" s="1" t="s">
        <v>347</v>
      </c>
      <c r="C1633" s="1" t="s">
        <v>852</v>
      </c>
      <c r="D1633" s="1" t="s">
        <v>853</v>
      </c>
      <c r="E1633" s="1" t="n">
        <v>20171</v>
      </c>
      <c r="F1633" s="1" t="s">
        <v>303</v>
      </c>
      <c r="G1633" s="1" t="s">
        <v>15</v>
      </c>
      <c r="H1633" s="1" t="n">
        <v>3.5</v>
      </c>
      <c r="I1633" s="1" t="n">
        <v>0</v>
      </c>
      <c r="J1633" s="1" t="n">
        <v>20201</v>
      </c>
      <c r="L1633" s="1" t="str">
        <f aca="false">IF(D1632&lt;&gt;D1633,D1633,"")</f>
        <v/>
      </c>
      <c r="M1633" s="1" t="str">
        <f aca="false">IF(F1632&lt;&gt;F1633,F1633,"")</f>
        <v/>
      </c>
    </row>
    <row r="1634" customFormat="false" ht="15" hidden="false" customHeight="false" outlineLevel="0" collapsed="false">
      <c r="A1634" s="1" t="s">
        <v>348</v>
      </c>
      <c r="B1634" s="1" t="s">
        <v>349</v>
      </c>
      <c r="C1634" s="1" t="s">
        <v>852</v>
      </c>
      <c r="D1634" s="1" t="s">
        <v>853</v>
      </c>
      <c r="E1634" s="1" t="n">
        <v>20171</v>
      </c>
      <c r="F1634" s="1" t="s">
        <v>303</v>
      </c>
      <c r="G1634" s="1" t="s">
        <v>15</v>
      </c>
      <c r="H1634" s="1" t="n">
        <v>3.5</v>
      </c>
      <c r="I1634" s="1" t="n">
        <v>0</v>
      </c>
      <c r="J1634" s="1" t="n">
        <v>20201</v>
      </c>
      <c r="L1634" s="1" t="str">
        <f aca="false">IF(D1633&lt;&gt;D1634,D1634,"")</f>
        <v/>
      </c>
      <c r="M1634" s="1" t="str">
        <f aca="false">IF(F1633&lt;&gt;F1634,F1634,"")</f>
        <v/>
      </c>
    </row>
    <row r="1635" customFormat="false" ht="15" hidden="false" customHeight="false" outlineLevel="0" collapsed="false">
      <c r="A1635" s="1" t="s">
        <v>350</v>
      </c>
      <c r="B1635" s="1" t="s">
        <v>351</v>
      </c>
      <c r="C1635" s="1" t="s">
        <v>852</v>
      </c>
      <c r="D1635" s="1" t="s">
        <v>853</v>
      </c>
      <c r="E1635" s="1" t="n">
        <v>20171</v>
      </c>
      <c r="F1635" s="1" t="s">
        <v>303</v>
      </c>
      <c r="G1635" s="1" t="s">
        <v>14</v>
      </c>
      <c r="H1635" s="1" t="n">
        <v>4</v>
      </c>
      <c r="I1635" s="1" t="n">
        <v>0</v>
      </c>
      <c r="J1635" s="1" t="n">
        <v>20201</v>
      </c>
      <c r="L1635" s="1" t="str">
        <f aca="false">IF(D1634&lt;&gt;D1635,D1635,"")</f>
        <v/>
      </c>
      <c r="M1635" s="1" t="str">
        <f aca="false">IF(F1634&lt;&gt;F1635,F1635,"")</f>
        <v/>
      </c>
    </row>
    <row r="1636" customFormat="false" ht="15" hidden="false" customHeight="false" outlineLevel="0" collapsed="false">
      <c r="A1636" s="1" t="s">
        <v>352</v>
      </c>
      <c r="B1636" s="1" t="s">
        <v>353</v>
      </c>
      <c r="C1636" s="1" t="s">
        <v>852</v>
      </c>
      <c r="D1636" s="1" t="s">
        <v>853</v>
      </c>
      <c r="E1636" s="1" t="n">
        <v>20171</v>
      </c>
      <c r="F1636" s="1" t="s">
        <v>303</v>
      </c>
      <c r="G1636" s="1" t="s">
        <v>14</v>
      </c>
      <c r="H1636" s="1" t="n">
        <v>4</v>
      </c>
      <c r="I1636" s="1" t="n">
        <v>0</v>
      </c>
      <c r="J1636" s="1" t="n">
        <v>20201</v>
      </c>
      <c r="L1636" s="1" t="str">
        <f aca="false">IF(D1635&lt;&gt;D1636,D1636,"")</f>
        <v/>
      </c>
      <c r="M1636" s="1" t="str">
        <f aca="false">IF(F1635&lt;&gt;F1636,F1636,"")</f>
        <v/>
      </c>
    </row>
    <row r="1637" customFormat="false" ht="15" hidden="false" customHeight="false" outlineLevel="0" collapsed="false">
      <c r="A1637" s="1" t="s">
        <v>354</v>
      </c>
      <c r="B1637" s="1" t="s">
        <v>355</v>
      </c>
      <c r="C1637" s="1" t="s">
        <v>852</v>
      </c>
      <c r="D1637" s="1" t="s">
        <v>853</v>
      </c>
      <c r="E1637" s="1" t="n">
        <v>20171</v>
      </c>
      <c r="F1637" s="1" t="s">
        <v>303</v>
      </c>
      <c r="G1637" s="1" t="s">
        <v>124</v>
      </c>
      <c r="H1637" s="1" t="n">
        <v>0</v>
      </c>
      <c r="I1637" s="1" t="n">
        <v>0</v>
      </c>
      <c r="J1637" s="1" t="n">
        <v>20201</v>
      </c>
      <c r="L1637" s="1" t="str">
        <f aca="false">IF(D1636&lt;&gt;D1637,D1637,"")</f>
        <v/>
      </c>
      <c r="M1637" s="1" t="str">
        <f aca="false">IF(F1636&lt;&gt;F1637,F1637,"")</f>
        <v/>
      </c>
    </row>
    <row r="1638" customFormat="false" ht="15" hidden="false" customHeight="false" outlineLevel="0" collapsed="false">
      <c r="A1638" s="1" t="s">
        <v>356</v>
      </c>
      <c r="B1638" s="1" t="s">
        <v>357</v>
      </c>
      <c r="C1638" s="1" t="s">
        <v>852</v>
      </c>
      <c r="D1638" s="1" t="s">
        <v>853</v>
      </c>
      <c r="E1638" s="1" t="n">
        <v>20171</v>
      </c>
      <c r="F1638" s="1" t="s">
        <v>303</v>
      </c>
      <c r="G1638" s="1" t="s">
        <v>15</v>
      </c>
      <c r="H1638" s="1" t="n">
        <v>3.5</v>
      </c>
      <c r="I1638" s="1" t="n">
        <v>0</v>
      </c>
      <c r="J1638" s="1" t="n">
        <v>20201</v>
      </c>
      <c r="L1638" s="1" t="str">
        <f aca="false">IF(D1637&lt;&gt;D1638,D1638,"")</f>
        <v/>
      </c>
      <c r="M1638" s="1" t="str">
        <f aca="false">IF(F1637&lt;&gt;F1638,F1638,"")</f>
        <v/>
      </c>
    </row>
    <row r="1639" customFormat="false" ht="15" hidden="false" customHeight="false" outlineLevel="0" collapsed="false">
      <c r="A1639" s="1" t="s">
        <v>358</v>
      </c>
      <c r="B1639" s="1" t="s">
        <v>359</v>
      </c>
      <c r="C1639" s="1" t="s">
        <v>852</v>
      </c>
      <c r="D1639" s="1" t="s">
        <v>853</v>
      </c>
      <c r="E1639" s="1" t="n">
        <v>20171</v>
      </c>
      <c r="F1639" s="1" t="s">
        <v>303</v>
      </c>
      <c r="G1639" s="1" t="s">
        <v>124</v>
      </c>
      <c r="H1639" s="1" t="n">
        <v>0</v>
      </c>
      <c r="I1639" s="1" t="n">
        <v>0</v>
      </c>
      <c r="J1639" s="1" t="n">
        <v>20201</v>
      </c>
      <c r="L1639" s="1" t="str">
        <f aca="false">IF(D1638&lt;&gt;D1639,D1639,"")</f>
        <v/>
      </c>
      <c r="M1639" s="1" t="str">
        <f aca="false">IF(F1638&lt;&gt;F1639,F1639,"")</f>
        <v/>
      </c>
    </row>
    <row r="1640" customFormat="false" ht="15" hidden="false" customHeight="false" outlineLevel="0" collapsed="false">
      <c r="A1640" s="1" t="s">
        <v>360</v>
      </c>
      <c r="B1640" s="1" t="s">
        <v>361</v>
      </c>
      <c r="C1640" s="1" t="s">
        <v>852</v>
      </c>
      <c r="D1640" s="1" t="s">
        <v>853</v>
      </c>
      <c r="E1640" s="1" t="n">
        <v>20171</v>
      </c>
      <c r="F1640" s="1" t="s">
        <v>303</v>
      </c>
      <c r="G1640" s="1" t="s">
        <v>15</v>
      </c>
      <c r="H1640" s="1" t="n">
        <v>3.5</v>
      </c>
      <c r="I1640" s="1" t="n">
        <v>0</v>
      </c>
      <c r="J1640" s="1" t="n">
        <v>20201</v>
      </c>
      <c r="L1640" s="1" t="str">
        <f aca="false">IF(D1639&lt;&gt;D1640,D1640,"")</f>
        <v/>
      </c>
      <c r="M1640" s="1" t="str">
        <f aca="false">IF(F1639&lt;&gt;F1640,F1640,"")</f>
        <v/>
      </c>
    </row>
    <row r="1641" customFormat="false" ht="15" hidden="false" customHeight="false" outlineLevel="0" collapsed="false">
      <c r="A1641" s="1" t="s">
        <v>362</v>
      </c>
      <c r="B1641" s="1" t="s">
        <v>363</v>
      </c>
      <c r="C1641" s="1" t="s">
        <v>852</v>
      </c>
      <c r="D1641" s="1" t="s">
        <v>853</v>
      </c>
      <c r="E1641" s="1" t="n">
        <v>20171</v>
      </c>
      <c r="F1641" s="1" t="s">
        <v>303</v>
      </c>
      <c r="G1641" s="1" t="s">
        <v>15</v>
      </c>
      <c r="H1641" s="1" t="n">
        <v>3.5</v>
      </c>
      <c r="I1641" s="1" t="n">
        <v>0</v>
      </c>
      <c r="J1641" s="1" t="n">
        <v>20201</v>
      </c>
      <c r="L1641" s="1" t="str">
        <f aca="false">IF(D1640&lt;&gt;D1641,D1641,"")</f>
        <v/>
      </c>
      <c r="M1641" s="1" t="str">
        <f aca="false">IF(F1640&lt;&gt;F1641,F1641,"")</f>
        <v/>
      </c>
    </row>
    <row r="1642" customFormat="false" ht="15" hidden="false" customHeight="false" outlineLevel="0" collapsed="false">
      <c r="A1642" s="1" t="s">
        <v>364</v>
      </c>
      <c r="B1642" s="1" t="s">
        <v>365</v>
      </c>
      <c r="C1642" s="1" t="s">
        <v>852</v>
      </c>
      <c r="D1642" s="1" t="s">
        <v>853</v>
      </c>
      <c r="E1642" s="1" t="n">
        <v>20171</v>
      </c>
      <c r="F1642" s="1" t="s">
        <v>303</v>
      </c>
      <c r="G1642" s="1" t="s">
        <v>15</v>
      </c>
      <c r="H1642" s="1" t="n">
        <v>3.5</v>
      </c>
      <c r="I1642" s="1" t="n">
        <v>0</v>
      </c>
      <c r="J1642" s="1" t="n">
        <v>20201</v>
      </c>
      <c r="L1642" s="1" t="str">
        <f aca="false">IF(D1641&lt;&gt;D1642,D1642,"")</f>
        <v/>
      </c>
      <c r="M1642" s="1" t="str">
        <f aca="false">IF(F1641&lt;&gt;F1642,F1642,"")</f>
        <v/>
      </c>
    </row>
    <row r="1643" customFormat="false" ht="15" hidden="false" customHeight="false" outlineLevel="0" collapsed="false">
      <c r="A1643" s="1" t="s">
        <v>366</v>
      </c>
      <c r="B1643" s="1" t="s">
        <v>367</v>
      </c>
      <c r="C1643" s="1" t="s">
        <v>852</v>
      </c>
      <c r="D1643" s="1" t="s">
        <v>853</v>
      </c>
      <c r="E1643" s="1" t="n">
        <v>20171</v>
      </c>
      <c r="F1643" s="1" t="s">
        <v>303</v>
      </c>
      <c r="G1643" s="1" t="s">
        <v>15</v>
      </c>
      <c r="H1643" s="1" t="n">
        <v>3.5</v>
      </c>
      <c r="I1643" s="1" t="n">
        <v>0</v>
      </c>
      <c r="J1643" s="1" t="n">
        <v>20201</v>
      </c>
      <c r="L1643" s="1" t="str">
        <f aca="false">IF(D1642&lt;&gt;D1643,D1643,"")</f>
        <v/>
      </c>
      <c r="M1643" s="1" t="str">
        <f aca="false">IF(F1642&lt;&gt;F1643,F1643,"")</f>
        <v/>
      </c>
    </row>
    <row r="1644" customFormat="false" ht="15" hidden="false" customHeight="false" outlineLevel="0" collapsed="false">
      <c r="A1644" s="1" t="s">
        <v>368</v>
      </c>
      <c r="B1644" s="1" t="s">
        <v>369</v>
      </c>
      <c r="C1644" s="1" t="s">
        <v>852</v>
      </c>
      <c r="D1644" s="1" t="s">
        <v>853</v>
      </c>
      <c r="E1644" s="1" t="n">
        <v>20171</v>
      </c>
      <c r="F1644" s="1" t="s">
        <v>303</v>
      </c>
      <c r="G1644" s="1" t="s">
        <v>15</v>
      </c>
      <c r="H1644" s="1" t="n">
        <v>3.5</v>
      </c>
      <c r="I1644" s="1" t="n">
        <v>0</v>
      </c>
      <c r="J1644" s="1" t="n">
        <v>20201</v>
      </c>
      <c r="L1644" s="1" t="str">
        <f aca="false">IF(D1643&lt;&gt;D1644,D1644,"")</f>
        <v/>
      </c>
      <c r="M1644" s="1" t="str">
        <f aca="false">IF(F1643&lt;&gt;F1644,F1644,"")</f>
        <v/>
      </c>
    </row>
    <row r="1645" customFormat="false" ht="15" hidden="false" customHeight="false" outlineLevel="0" collapsed="false">
      <c r="A1645" s="1" t="s">
        <v>370</v>
      </c>
      <c r="B1645" s="1" t="s">
        <v>371</v>
      </c>
      <c r="C1645" s="1" t="s">
        <v>852</v>
      </c>
      <c r="D1645" s="1" t="s">
        <v>853</v>
      </c>
      <c r="E1645" s="1" t="n">
        <v>20171</v>
      </c>
      <c r="F1645" s="1" t="s">
        <v>303</v>
      </c>
      <c r="G1645" s="1" t="s">
        <v>15</v>
      </c>
      <c r="H1645" s="1" t="n">
        <v>3.5</v>
      </c>
      <c r="I1645" s="1" t="n">
        <v>0</v>
      </c>
      <c r="J1645" s="1" t="n">
        <v>20201</v>
      </c>
      <c r="L1645" s="1" t="str">
        <f aca="false">IF(D1644&lt;&gt;D1645,D1645,"")</f>
        <v/>
      </c>
      <c r="M1645" s="1" t="str">
        <f aca="false">IF(F1644&lt;&gt;F1645,F1645,"")</f>
        <v/>
      </c>
    </row>
    <row r="1646" customFormat="false" ht="15" hidden="false" customHeight="false" outlineLevel="0" collapsed="false">
      <c r="A1646" s="1" t="s">
        <v>372</v>
      </c>
      <c r="B1646" s="1" t="s">
        <v>373</v>
      </c>
      <c r="C1646" s="1" t="s">
        <v>852</v>
      </c>
      <c r="D1646" s="1" t="s">
        <v>853</v>
      </c>
      <c r="E1646" s="1" t="n">
        <v>20171</v>
      </c>
      <c r="F1646" s="1" t="s">
        <v>303</v>
      </c>
      <c r="G1646" s="1" t="s">
        <v>15</v>
      </c>
      <c r="H1646" s="1" t="n">
        <v>3.5</v>
      </c>
      <c r="I1646" s="1" t="n">
        <v>0</v>
      </c>
      <c r="J1646" s="1" t="n">
        <v>20201</v>
      </c>
      <c r="L1646" s="1" t="str">
        <f aca="false">IF(D1645&lt;&gt;D1646,D1646,"")</f>
        <v/>
      </c>
      <c r="M1646" s="1" t="str">
        <f aca="false">IF(F1645&lt;&gt;F1646,F1646,"")</f>
        <v/>
      </c>
    </row>
    <row r="1647" customFormat="false" ht="15" hidden="false" customHeight="false" outlineLevel="0" collapsed="false">
      <c r="A1647" s="1" t="s">
        <v>374</v>
      </c>
      <c r="B1647" s="1" t="s">
        <v>375</v>
      </c>
      <c r="C1647" s="1" t="s">
        <v>852</v>
      </c>
      <c r="D1647" s="1" t="s">
        <v>853</v>
      </c>
      <c r="E1647" s="1" t="n">
        <v>20171</v>
      </c>
      <c r="F1647" s="1" t="s">
        <v>303</v>
      </c>
      <c r="G1647" s="1" t="s">
        <v>15</v>
      </c>
      <c r="H1647" s="1" t="n">
        <v>3.5</v>
      </c>
      <c r="I1647" s="1" t="n">
        <v>0</v>
      </c>
      <c r="J1647" s="1" t="n">
        <v>20201</v>
      </c>
      <c r="L1647" s="1" t="str">
        <f aca="false">IF(D1646&lt;&gt;D1647,D1647,"")</f>
        <v/>
      </c>
      <c r="M1647" s="1" t="str">
        <f aca="false">IF(F1646&lt;&gt;F1647,F1647,"")</f>
        <v/>
      </c>
    </row>
    <row r="1648" customFormat="false" ht="15" hidden="false" customHeight="false" outlineLevel="0" collapsed="false">
      <c r="A1648" s="1" t="s">
        <v>376</v>
      </c>
      <c r="B1648" s="1" t="s">
        <v>377</v>
      </c>
      <c r="C1648" s="1" t="s">
        <v>852</v>
      </c>
      <c r="D1648" s="1" t="s">
        <v>853</v>
      </c>
      <c r="E1648" s="1" t="n">
        <v>20171</v>
      </c>
      <c r="F1648" s="1" t="s">
        <v>303</v>
      </c>
      <c r="G1648" s="1" t="s">
        <v>15</v>
      </c>
      <c r="H1648" s="1" t="n">
        <v>3.5</v>
      </c>
      <c r="I1648" s="1" t="n">
        <v>0</v>
      </c>
      <c r="J1648" s="1" t="n">
        <v>20201</v>
      </c>
      <c r="L1648" s="1" t="str">
        <f aca="false">IF(D1647&lt;&gt;D1648,D1648,"")</f>
        <v/>
      </c>
      <c r="M1648" s="1" t="str">
        <f aca="false">IF(F1647&lt;&gt;F1648,F1648,"")</f>
        <v/>
      </c>
    </row>
    <row r="1649" customFormat="false" ht="15" hidden="false" customHeight="false" outlineLevel="0" collapsed="false">
      <c r="A1649" s="1" t="s">
        <v>378</v>
      </c>
      <c r="B1649" s="1" t="s">
        <v>379</v>
      </c>
      <c r="C1649" s="1" t="s">
        <v>852</v>
      </c>
      <c r="D1649" s="1" t="s">
        <v>853</v>
      </c>
      <c r="E1649" s="1" t="n">
        <v>20171</v>
      </c>
      <c r="F1649" s="1" t="s">
        <v>303</v>
      </c>
      <c r="G1649" s="1" t="s">
        <v>18</v>
      </c>
      <c r="H1649" s="1" t="n">
        <v>3</v>
      </c>
      <c r="I1649" s="1" t="n">
        <v>0</v>
      </c>
      <c r="J1649" s="1" t="n">
        <v>20201</v>
      </c>
      <c r="L1649" s="1" t="str">
        <f aca="false">IF(D1648&lt;&gt;D1649,D1649,"")</f>
        <v/>
      </c>
      <c r="M1649" s="1" t="str">
        <f aca="false">IF(F1648&lt;&gt;F1649,F1649,"")</f>
        <v/>
      </c>
    </row>
    <row r="1650" customFormat="false" ht="15" hidden="false" customHeight="false" outlineLevel="0" collapsed="false">
      <c r="A1650" s="1" t="s">
        <v>380</v>
      </c>
      <c r="B1650" s="1" t="s">
        <v>381</v>
      </c>
      <c r="C1650" s="1" t="s">
        <v>852</v>
      </c>
      <c r="D1650" s="1" t="s">
        <v>853</v>
      </c>
      <c r="E1650" s="1" t="n">
        <v>20171</v>
      </c>
      <c r="F1650" s="1" t="s">
        <v>303</v>
      </c>
      <c r="G1650" s="1" t="s">
        <v>15</v>
      </c>
      <c r="H1650" s="1" t="n">
        <v>3.5</v>
      </c>
      <c r="I1650" s="1" t="n">
        <v>0</v>
      </c>
      <c r="J1650" s="1" t="n">
        <v>20201</v>
      </c>
      <c r="L1650" s="1" t="str">
        <f aca="false">IF(D1649&lt;&gt;D1650,D1650,"")</f>
        <v/>
      </c>
      <c r="M1650" s="1" t="str">
        <f aca="false">IF(F1649&lt;&gt;F1650,F1650,"")</f>
        <v/>
      </c>
    </row>
    <row r="1651" customFormat="false" ht="15" hidden="false" customHeight="false" outlineLevel="0" collapsed="false">
      <c r="A1651" s="1" t="s">
        <v>382</v>
      </c>
      <c r="B1651" s="1" t="s">
        <v>383</v>
      </c>
      <c r="C1651" s="1" t="s">
        <v>852</v>
      </c>
      <c r="D1651" s="1" t="s">
        <v>853</v>
      </c>
      <c r="E1651" s="1" t="n">
        <v>20171</v>
      </c>
      <c r="F1651" s="1" t="s">
        <v>303</v>
      </c>
      <c r="G1651" s="1" t="s">
        <v>15</v>
      </c>
      <c r="H1651" s="1" t="n">
        <v>3.5</v>
      </c>
      <c r="I1651" s="1" t="n">
        <v>0</v>
      </c>
      <c r="J1651" s="1" t="n">
        <v>20201</v>
      </c>
      <c r="L1651" s="1" t="str">
        <f aca="false">IF(D1650&lt;&gt;D1651,D1651,"")</f>
        <v/>
      </c>
      <c r="M1651" s="1" t="str">
        <f aca="false">IF(F1650&lt;&gt;F1651,F1651,"")</f>
        <v/>
      </c>
    </row>
    <row r="1652" customFormat="false" ht="15" hidden="false" customHeight="false" outlineLevel="0" collapsed="false">
      <c r="A1652" s="1" t="s">
        <v>384</v>
      </c>
      <c r="B1652" s="1" t="s">
        <v>385</v>
      </c>
      <c r="C1652" s="1" t="s">
        <v>852</v>
      </c>
      <c r="D1652" s="1" t="s">
        <v>853</v>
      </c>
      <c r="E1652" s="1" t="n">
        <v>20171</v>
      </c>
      <c r="F1652" s="1" t="s">
        <v>303</v>
      </c>
      <c r="G1652" s="1" t="s">
        <v>15</v>
      </c>
      <c r="H1652" s="1" t="n">
        <v>3.5</v>
      </c>
      <c r="I1652" s="1" t="n">
        <v>0</v>
      </c>
      <c r="J1652" s="1" t="n">
        <v>20201</v>
      </c>
      <c r="L1652" s="1" t="str">
        <f aca="false">IF(D1651&lt;&gt;D1652,D1652,"")</f>
        <v/>
      </c>
      <c r="M1652" s="1" t="str">
        <f aca="false">IF(F1651&lt;&gt;F1652,F1652,"")</f>
        <v/>
      </c>
    </row>
    <row r="1653" customFormat="false" ht="15" hidden="false" customHeight="false" outlineLevel="0" collapsed="false">
      <c r="A1653" s="1" t="s">
        <v>386</v>
      </c>
      <c r="B1653" s="1" t="s">
        <v>387</v>
      </c>
      <c r="C1653" s="1" t="s">
        <v>852</v>
      </c>
      <c r="D1653" s="1" t="s">
        <v>853</v>
      </c>
      <c r="E1653" s="1" t="n">
        <v>20171</v>
      </c>
      <c r="F1653" s="1" t="s">
        <v>303</v>
      </c>
      <c r="G1653" s="1" t="s">
        <v>15</v>
      </c>
      <c r="H1653" s="1" t="n">
        <v>3.5</v>
      </c>
      <c r="I1653" s="1" t="n">
        <v>0</v>
      </c>
      <c r="J1653" s="1" t="n">
        <v>20201</v>
      </c>
      <c r="L1653" s="1" t="str">
        <f aca="false">IF(D1652&lt;&gt;D1653,D1653,"")</f>
        <v/>
      </c>
      <c r="M1653" s="1" t="str">
        <f aca="false">IF(F1652&lt;&gt;F1653,F1653,"")</f>
        <v/>
      </c>
    </row>
    <row r="1654" customFormat="false" ht="15" hidden="false" customHeight="false" outlineLevel="0" collapsed="false">
      <c r="A1654" s="1" t="s">
        <v>388</v>
      </c>
      <c r="B1654" s="1" t="s">
        <v>389</v>
      </c>
      <c r="C1654" s="1" t="s">
        <v>852</v>
      </c>
      <c r="D1654" s="1" t="s">
        <v>853</v>
      </c>
      <c r="E1654" s="1" t="n">
        <v>20171</v>
      </c>
      <c r="F1654" s="1" t="s">
        <v>303</v>
      </c>
      <c r="G1654" s="1" t="s">
        <v>15</v>
      </c>
      <c r="H1654" s="1" t="n">
        <v>3.5</v>
      </c>
      <c r="I1654" s="1" t="n">
        <v>0</v>
      </c>
      <c r="J1654" s="1" t="n">
        <v>20201</v>
      </c>
      <c r="L1654" s="1" t="str">
        <f aca="false">IF(D1653&lt;&gt;D1654,D1654,"")</f>
        <v/>
      </c>
      <c r="M1654" s="1" t="str">
        <f aca="false">IF(F1653&lt;&gt;F1654,F1654,"")</f>
        <v/>
      </c>
    </row>
    <row r="1655" customFormat="false" ht="15" hidden="false" customHeight="false" outlineLevel="0" collapsed="false">
      <c r="A1655" s="1" t="s">
        <v>390</v>
      </c>
      <c r="B1655" s="1" t="s">
        <v>391</v>
      </c>
      <c r="C1655" s="1" t="s">
        <v>852</v>
      </c>
      <c r="D1655" s="1" t="s">
        <v>853</v>
      </c>
      <c r="E1655" s="1" t="n">
        <v>20171</v>
      </c>
      <c r="F1655" s="1" t="s">
        <v>303</v>
      </c>
      <c r="G1655" s="1" t="s">
        <v>15</v>
      </c>
      <c r="H1655" s="1" t="n">
        <v>3.5</v>
      </c>
      <c r="I1655" s="1" t="n">
        <v>0</v>
      </c>
      <c r="J1655" s="1" t="n">
        <v>20201</v>
      </c>
      <c r="L1655" s="1" t="str">
        <f aca="false">IF(D1654&lt;&gt;D1655,D1655,"")</f>
        <v/>
      </c>
      <c r="M1655" s="1" t="str">
        <f aca="false">IF(F1654&lt;&gt;F1655,F1655,"")</f>
        <v/>
      </c>
    </row>
    <row r="1656" customFormat="false" ht="15" hidden="false" customHeight="false" outlineLevel="0" collapsed="false">
      <c r="A1656" s="1" t="s">
        <v>392</v>
      </c>
      <c r="B1656" s="1" t="s">
        <v>393</v>
      </c>
      <c r="C1656" s="1" t="s">
        <v>852</v>
      </c>
      <c r="D1656" s="1" t="s">
        <v>853</v>
      </c>
      <c r="E1656" s="1" t="n">
        <v>20171</v>
      </c>
      <c r="F1656" s="1" t="s">
        <v>303</v>
      </c>
      <c r="G1656" s="1" t="s">
        <v>101</v>
      </c>
      <c r="H1656" s="1" t="n">
        <v>2.5</v>
      </c>
      <c r="I1656" s="1" t="n">
        <v>0</v>
      </c>
      <c r="J1656" s="1" t="n">
        <v>20201</v>
      </c>
      <c r="L1656" s="1" t="str">
        <f aca="false">IF(D1655&lt;&gt;D1656,D1656,"")</f>
        <v/>
      </c>
      <c r="M1656" s="1" t="str">
        <f aca="false">IF(F1655&lt;&gt;F1656,F1656,"")</f>
        <v/>
      </c>
    </row>
    <row r="1657" customFormat="false" ht="15" hidden="false" customHeight="false" outlineLevel="0" collapsed="false">
      <c r="A1657" s="1" t="s">
        <v>394</v>
      </c>
      <c r="B1657" s="1" t="s">
        <v>395</v>
      </c>
      <c r="C1657" s="1" t="s">
        <v>852</v>
      </c>
      <c r="D1657" s="1" t="s">
        <v>853</v>
      </c>
      <c r="E1657" s="1" t="n">
        <v>20171</v>
      </c>
      <c r="F1657" s="1" t="s">
        <v>303</v>
      </c>
      <c r="G1657" s="1" t="s">
        <v>18</v>
      </c>
      <c r="H1657" s="1" t="n">
        <v>3</v>
      </c>
      <c r="I1657" s="1" t="n">
        <v>0</v>
      </c>
      <c r="J1657" s="1" t="n">
        <v>20201</v>
      </c>
      <c r="L1657" s="1" t="str">
        <f aca="false">IF(D1656&lt;&gt;D1657,D1657,"")</f>
        <v/>
      </c>
      <c r="M1657" s="1" t="str">
        <f aca="false">IF(F1656&lt;&gt;F1657,F1657,"")</f>
        <v/>
      </c>
    </row>
    <row r="1658" customFormat="false" ht="15" hidden="false" customHeight="false" outlineLevel="0" collapsed="false">
      <c r="A1658" s="1" t="s">
        <v>396</v>
      </c>
      <c r="B1658" s="1" t="s">
        <v>397</v>
      </c>
      <c r="C1658" s="1" t="s">
        <v>852</v>
      </c>
      <c r="D1658" s="1" t="s">
        <v>853</v>
      </c>
      <c r="E1658" s="1" t="n">
        <v>20171</v>
      </c>
      <c r="F1658" s="1" t="s">
        <v>303</v>
      </c>
      <c r="G1658" s="1" t="s">
        <v>14</v>
      </c>
      <c r="H1658" s="1" t="n">
        <v>4</v>
      </c>
      <c r="I1658" s="1" t="n">
        <v>0</v>
      </c>
      <c r="J1658" s="1" t="n">
        <v>20201</v>
      </c>
      <c r="L1658" s="1" t="str">
        <f aca="false">IF(D1657&lt;&gt;D1658,D1658,"")</f>
        <v/>
      </c>
      <c r="M1658" s="1" t="str">
        <f aca="false">IF(F1657&lt;&gt;F1658,F1658,"")</f>
        <v/>
      </c>
    </row>
    <row r="1659" customFormat="false" ht="15" hidden="false" customHeight="false" outlineLevel="0" collapsed="false">
      <c r="A1659" s="1" t="s">
        <v>398</v>
      </c>
      <c r="B1659" s="1" t="s">
        <v>399</v>
      </c>
      <c r="C1659" s="1" t="s">
        <v>852</v>
      </c>
      <c r="D1659" s="1" t="s">
        <v>853</v>
      </c>
      <c r="E1659" s="1" t="n">
        <v>20171</v>
      </c>
      <c r="F1659" s="1" t="s">
        <v>303</v>
      </c>
      <c r="G1659" s="1" t="s">
        <v>18</v>
      </c>
      <c r="H1659" s="1" t="n">
        <v>3</v>
      </c>
      <c r="I1659" s="1" t="n">
        <v>0</v>
      </c>
      <c r="J1659" s="1" t="n">
        <v>20201</v>
      </c>
      <c r="L1659" s="1" t="str">
        <f aca="false">IF(D1658&lt;&gt;D1659,D1659,"")</f>
        <v/>
      </c>
      <c r="M1659" s="1" t="str">
        <f aca="false">IF(F1658&lt;&gt;F1659,F1659,"")</f>
        <v/>
      </c>
    </row>
    <row r="1660" customFormat="false" ht="15" hidden="false" customHeight="false" outlineLevel="0" collapsed="false">
      <c r="A1660" s="1" t="s">
        <v>400</v>
      </c>
      <c r="B1660" s="1" t="s">
        <v>401</v>
      </c>
      <c r="C1660" s="1" t="s">
        <v>852</v>
      </c>
      <c r="D1660" s="1" t="s">
        <v>853</v>
      </c>
      <c r="E1660" s="1" t="n">
        <v>20171</v>
      </c>
      <c r="F1660" s="1" t="s">
        <v>303</v>
      </c>
      <c r="G1660" s="1" t="s">
        <v>18</v>
      </c>
      <c r="H1660" s="1" t="n">
        <v>3</v>
      </c>
      <c r="I1660" s="1" t="n">
        <v>0</v>
      </c>
      <c r="J1660" s="1" t="n">
        <v>20201</v>
      </c>
      <c r="L1660" s="1" t="str">
        <f aca="false">IF(D1659&lt;&gt;D1660,D1660,"")</f>
        <v/>
      </c>
      <c r="M1660" s="1" t="str">
        <f aca="false">IF(F1659&lt;&gt;F1660,F1660,"")</f>
        <v/>
      </c>
    </row>
    <row r="1661" customFormat="false" ht="15" hidden="false" customHeight="false" outlineLevel="0" collapsed="false">
      <c r="A1661" s="1" t="s">
        <v>402</v>
      </c>
      <c r="B1661" s="1" t="s">
        <v>403</v>
      </c>
      <c r="C1661" s="1" t="s">
        <v>852</v>
      </c>
      <c r="D1661" s="1" t="s">
        <v>853</v>
      </c>
      <c r="E1661" s="1" t="n">
        <v>20171</v>
      </c>
      <c r="F1661" s="1" t="s">
        <v>303</v>
      </c>
      <c r="G1661" s="1" t="s">
        <v>124</v>
      </c>
      <c r="H1661" s="1" t="n">
        <v>0</v>
      </c>
      <c r="I1661" s="1" t="n">
        <v>0</v>
      </c>
      <c r="J1661" s="1" t="n">
        <v>20201</v>
      </c>
      <c r="L1661" s="1" t="str">
        <f aca="false">IF(D1660&lt;&gt;D1661,D1661,"")</f>
        <v/>
      </c>
      <c r="M1661" s="1" t="str">
        <f aca="false">IF(F1660&lt;&gt;F1661,F1661,"")</f>
        <v/>
      </c>
    </row>
    <row r="1662" customFormat="false" ht="15" hidden="false" customHeight="false" outlineLevel="0" collapsed="false">
      <c r="A1662" s="1" t="s">
        <v>404</v>
      </c>
      <c r="B1662" s="1" t="s">
        <v>405</v>
      </c>
      <c r="C1662" s="1" t="s">
        <v>852</v>
      </c>
      <c r="D1662" s="1" t="s">
        <v>853</v>
      </c>
      <c r="E1662" s="1" t="n">
        <v>20171</v>
      </c>
      <c r="F1662" s="1" t="s">
        <v>303</v>
      </c>
      <c r="G1662" s="1" t="s">
        <v>14</v>
      </c>
      <c r="H1662" s="1" t="n">
        <v>4</v>
      </c>
      <c r="I1662" s="1" t="n">
        <v>0</v>
      </c>
      <c r="J1662" s="1" t="n">
        <v>20201</v>
      </c>
      <c r="L1662" s="1" t="str">
        <f aca="false">IF(D1661&lt;&gt;D1662,D1662,"")</f>
        <v/>
      </c>
      <c r="M1662" s="1" t="str">
        <f aca="false">IF(F1661&lt;&gt;F1662,F1662,"")</f>
        <v/>
      </c>
    </row>
    <row r="1663" customFormat="false" ht="15" hidden="false" customHeight="false" outlineLevel="0" collapsed="false">
      <c r="A1663" s="1" t="s">
        <v>406</v>
      </c>
      <c r="B1663" s="1" t="s">
        <v>407</v>
      </c>
      <c r="C1663" s="1" t="s">
        <v>852</v>
      </c>
      <c r="D1663" s="1" t="s">
        <v>853</v>
      </c>
      <c r="E1663" s="1" t="n">
        <v>20171</v>
      </c>
      <c r="F1663" s="1" t="s">
        <v>303</v>
      </c>
      <c r="G1663" s="1" t="s">
        <v>18</v>
      </c>
      <c r="H1663" s="1" t="n">
        <v>3</v>
      </c>
      <c r="I1663" s="1" t="n">
        <v>0</v>
      </c>
      <c r="J1663" s="1" t="n">
        <v>20201</v>
      </c>
      <c r="L1663" s="1" t="str">
        <f aca="false">IF(D1662&lt;&gt;D1663,D1663,"")</f>
        <v/>
      </c>
      <c r="M1663" s="1" t="str">
        <f aca="false">IF(F1662&lt;&gt;F1663,F1663,"")</f>
        <v/>
      </c>
    </row>
    <row r="1664" customFormat="false" ht="15" hidden="false" customHeight="false" outlineLevel="0" collapsed="false">
      <c r="A1664" s="1" t="s">
        <v>408</v>
      </c>
      <c r="B1664" s="1" t="s">
        <v>409</v>
      </c>
      <c r="C1664" s="1" t="s">
        <v>852</v>
      </c>
      <c r="D1664" s="1" t="s">
        <v>853</v>
      </c>
      <c r="E1664" s="1" t="n">
        <v>20171</v>
      </c>
      <c r="F1664" s="1" t="s">
        <v>303</v>
      </c>
      <c r="G1664" s="1" t="s">
        <v>101</v>
      </c>
      <c r="H1664" s="1" t="n">
        <v>2.5</v>
      </c>
      <c r="I1664" s="1" t="n">
        <v>0</v>
      </c>
      <c r="J1664" s="1" t="n">
        <v>20201</v>
      </c>
      <c r="L1664" s="1" t="str">
        <f aca="false">IF(D1663&lt;&gt;D1664,D1664,"")</f>
        <v/>
      </c>
      <c r="M1664" s="1" t="str">
        <f aca="false">IF(F1663&lt;&gt;F1664,F1664,"")</f>
        <v/>
      </c>
    </row>
    <row r="1665" customFormat="false" ht="15" hidden="false" customHeight="false" outlineLevel="0" collapsed="false">
      <c r="A1665" s="1" t="s">
        <v>410</v>
      </c>
      <c r="B1665" s="1" t="s">
        <v>411</v>
      </c>
      <c r="C1665" s="1" t="s">
        <v>852</v>
      </c>
      <c r="D1665" s="1" t="s">
        <v>853</v>
      </c>
      <c r="E1665" s="1" t="n">
        <v>20171</v>
      </c>
      <c r="F1665" s="1" t="s">
        <v>303</v>
      </c>
      <c r="G1665" s="1" t="s">
        <v>14</v>
      </c>
      <c r="H1665" s="1" t="n">
        <v>4</v>
      </c>
      <c r="I1665" s="1" t="n">
        <v>0</v>
      </c>
      <c r="J1665" s="1" t="n">
        <v>20201</v>
      </c>
      <c r="L1665" s="1" t="str">
        <f aca="false">IF(D1664&lt;&gt;D1665,D1665,"")</f>
        <v/>
      </c>
      <c r="M1665" s="1" t="str">
        <f aca="false">IF(F1664&lt;&gt;F1665,F1665,"")</f>
        <v/>
      </c>
    </row>
    <row r="1666" customFormat="false" ht="15" hidden="false" customHeight="false" outlineLevel="0" collapsed="false">
      <c r="A1666" s="1" t="s">
        <v>412</v>
      </c>
      <c r="B1666" s="1" t="s">
        <v>413</v>
      </c>
      <c r="C1666" s="1" t="s">
        <v>852</v>
      </c>
      <c r="D1666" s="1" t="s">
        <v>853</v>
      </c>
      <c r="E1666" s="1" t="n">
        <v>20171</v>
      </c>
      <c r="F1666" s="1" t="s">
        <v>303</v>
      </c>
      <c r="G1666" s="1" t="s">
        <v>101</v>
      </c>
      <c r="H1666" s="1" t="n">
        <v>2.5</v>
      </c>
      <c r="I1666" s="1" t="n">
        <v>0</v>
      </c>
      <c r="J1666" s="1" t="n">
        <v>20201</v>
      </c>
      <c r="L1666" s="1" t="str">
        <f aca="false">IF(D1665&lt;&gt;D1666,D1666,"")</f>
        <v/>
      </c>
      <c r="M1666" s="1" t="str">
        <f aca="false">IF(F1665&lt;&gt;F1666,F1666,"")</f>
        <v/>
      </c>
    </row>
    <row r="1667" customFormat="false" ht="15" hidden="false" customHeight="false" outlineLevel="0" collapsed="false">
      <c r="A1667" s="1" t="s">
        <v>414</v>
      </c>
      <c r="B1667" s="1" t="s">
        <v>415</v>
      </c>
      <c r="C1667" s="1" t="s">
        <v>852</v>
      </c>
      <c r="D1667" s="1" t="s">
        <v>853</v>
      </c>
      <c r="E1667" s="1" t="n">
        <v>20171</v>
      </c>
      <c r="F1667" s="1" t="s">
        <v>303</v>
      </c>
      <c r="G1667" s="1" t="s">
        <v>15</v>
      </c>
      <c r="H1667" s="1" t="n">
        <v>3.5</v>
      </c>
      <c r="I1667" s="1" t="n">
        <v>0</v>
      </c>
      <c r="J1667" s="1" t="n">
        <v>20201</v>
      </c>
      <c r="L1667" s="1" t="str">
        <f aca="false">IF(D1666&lt;&gt;D1667,D1667,"")</f>
        <v/>
      </c>
      <c r="M1667" s="1" t="str">
        <f aca="false">IF(F1666&lt;&gt;F1667,F1667,"")</f>
        <v/>
      </c>
    </row>
    <row r="1668" customFormat="false" ht="15" hidden="false" customHeight="false" outlineLevel="0" collapsed="false">
      <c r="A1668" s="1" t="s">
        <v>416</v>
      </c>
      <c r="B1668" s="1" t="s">
        <v>417</v>
      </c>
      <c r="C1668" s="1" t="s">
        <v>852</v>
      </c>
      <c r="D1668" s="1" t="s">
        <v>853</v>
      </c>
      <c r="E1668" s="1" t="n">
        <v>20171</v>
      </c>
      <c r="F1668" s="1" t="s">
        <v>303</v>
      </c>
      <c r="G1668" s="1" t="s">
        <v>14</v>
      </c>
      <c r="H1668" s="1" t="n">
        <v>4</v>
      </c>
      <c r="I1668" s="1" t="n">
        <v>0</v>
      </c>
      <c r="J1668" s="1" t="n">
        <v>20201</v>
      </c>
      <c r="L1668" s="1" t="str">
        <f aca="false">IF(D1667&lt;&gt;D1668,D1668,"")</f>
        <v/>
      </c>
      <c r="M1668" s="1" t="str">
        <f aca="false">IF(F1667&lt;&gt;F1668,F1668,"")</f>
        <v/>
      </c>
    </row>
    <row r="1669" customFormat="false" ht="15" hidden="false" customHeight="false" outlineLevel="0" collapsed="false">
      <c r="A1669" s="1" t="s">
        <v>418</v>
      </c>
      <c r="B1669" s="1" t="s">
        <v>419</v>
      </c>
      <c r="C1669" s="1" t="s">
        <v>852</v>
      </c>
      <c r="D1669" s="1" t="s">
        <v>853</v>
      </c>
      <c r="E1669" s="1" t="n">
        <v>20171</v>
      </c>
      <c r="F1669" s="1" t="s">
        <v>303</v>
      </c>
      <c r="G1669" s="1" t="s">
        <v>14</v>
      </c>
      <c r="H1669" s="1" t="n">
        <v>4</v>
      </c>
      <c r="I1669" s="1" t="n">
        <v>0</v>
      </c>
      <c r="J1669" s="1" t="n">
        <v>20201</v>
      </c>
      <c r="L1669" s="1" t="str">
        <f aca="false">IF(D1668&lt;&gt;D1669,D1669,"")</f>
        <v/>
      </c>
      <c r="M1669" s="1" t="str">
        <f aca="false">IF(F1668&lt;&gt;F1669,F1669,"")</f>
        <v/>
      </c>
    </row>
    <row r="1670" customFormat="false" ht="15" hidden="false" customHeight="false" outlineLevel="0" collapsed="false">
      <c r="A1670" s="1" t="s">
        <v>420</v>
      </c>
      <c r="B1670" s="1" t="s">
        <v>421</v>
      </c>
      <c r="C1670" s="1" t="s">
        <v>852</v>
      </c>
      <c r="D1670" s="1" t="s">
        <v>853</v>
      </c>
      <c r="E1670" s="1" t="n">
        <v>20171</v>
      </c>
      <c r="F1670" s="1" t="s">
        <v>303</v>
      </c>
      <c r="G1670" s="1" t="s">
        <v>124</v>
      </c>
      <c r="H1670" s="1" t="n">
        <v>0</v>
      </c>
      <c r="I1670" s="1" t="n">
        <v>0</v>
      </c>
      <c r="J1670" s="1" t="n">
        <v>20201</v>
      </c>
      <c r="L1670" s="1" t="str">
        <f aca="false">IF(D1669&lt;&gt;D1670,D1670,"")</f>
        <v/>
      </c>
      <c r="M1670" s="1" t="str">
        <f aca="false">IF(F1669&lt;&gt;F1670,F1670,"")</f>
        <v/>
      </c>
    </row>
    <row r="1671" customFormat="false" ht="15" hidden="false" customHeight="false" outlineLevel="0" collapsed="false">
      <c r="A1671" s="1" t="s">
        <v>422</v>
      </c>
      <c r="B1671" s="1" t="s">
        <v>423</v>
      </c>
      <c r="C1671" s="1" t="s">
        <v>852</v>
      </c>
      <c r="D1671" s="1" t="s">
        <v>853</v>
      </c>
      <c r="E1671" s="1" t="n">
        <v>20171</v>
      </c>
      <c r="F1671" s="1" t="s">
        <v>303</v>
      </c>
      <c r="G1671" s="1" t="s">
        <v>18</v>
      </c>
      <c r="H1671" s="1" t="n">
        <v>3</v>
      </c>
      <c r="I1671" s="1" t="n">
        <v>0</v>
      </c>
      <c r="J1671" s="1" t="n">
        <v>20201</v>
      </c>
      <c r="L1671" s="1" t="str">
        <f aca="false">IF(D1670&lt;&gt;D1671,D1671,"")</f>
        <v/>
      </c>
      <c r="M1671" s="1" t="str">
        <f aca="false">IF(F1670&lt;&gt;F1671,F1671,"")</f>
        <v/>
      </c>
    </row>
    <row r="1672" customFormat="false" ht="15" hidden="false" customHeight="false" outlineLevel="0" collapsed="false">
      <c r="A1672" s="1" t="s">
        <v>424</v>
      </c>
      <c r="B1672" s="1" t="s">
        <v>425</v>
      </c>
      <c r="C1672" s="1" t="s">
        <v>852</v>
      </c>
      <c r="D1672" s="1" t="s">
        <v>853</v>
      </c>
      <c r="E1672" s="1" t="n">
        <v>20171</v>
      </c>
      <c r="F1672" s="1" t="s">
        <v>303</v>
      </c>
      <c r="G1672" s="1" t="s">
        <v>15</v>
      </c>
      <c r="H1672" s="1" t="n">
        <v>3.5</v>
      </c>
      <c r="I1672" s="1" t="n">
        <v>0</v>
      </c>
      <c r="J1672" s="1" t="n">
        <v>20201</v>
      </c>
      <c r="L1672" s="1" t="str">
        <f aca="false">IF(D1671&lt;&gt;D1672,D1672,"")</f>
        <v/>
      </c>
      <c r="M1672" s="1" t="str">
        <f aca="false">IF(F1671&lt;&gt;F1672,F1672,"")</f>
        <v/>
      </c>
    </row>
    <row r="1673" customFormat="false" ht="15" hidden="false" customHeight="false" outlineLevel="0" collapsed="false">
      <c r="A1673" s="1" t="s">
        <v>426</v>
      </c>
      <c r="B1673" s="1" t="s">
        <v>427</v>
      </c>
      <c r="C1673" s="1" t="s">
        <v>852</v>
      </c>
      <c r="D1673" s="1" t="s">
        <v>853</v>
      </c>
      <c r="E1673" s="1" t="n">
        <v>20171</v>
      </c>
      <c r="F1673" s="1" t="s">
        <v>303</v>
      </c>
      <c r="G1673" s="1" t="s">
        <v>15</v>
      </c>
      <c r="H1673" s="1" t="n">
        <v>3.5</v>
      </c>
      <c r="I1673" s="1" t="n">
        <v>0</v>
      </c>
      <c r="J1673" s="1" t="n">
        <v>20201</v>
      </c>
      <c r="L1673" s="1" t="str">
        <f aca="false">IF(D1672&lt;&gt;D1673,D1673,"")</f>
        <v/>
      </c>
      <c r="M1673" s="1" t="str">
        <f aca="false">IF(F1672&lt;&gt;F1673,F1673,"")</f>
        <v/>
      </c>
    </row>
    <row r="1674" customFormat="false" ht="15" hidden="false" customHeight="false" outlineLevel="0" collapsed="false">
      <c r="A1674" s="1" t="s">
        <v>428</v>
      </c>
      <c r="B1674" s="1" t="s">
        <v>429</v>
      </c>
      <c r="C1674" s="1" t="s">
        <v>852</v>
      </c>
      <c r="D1674" s="1" t="s">
        <v>853</v>
      </c>
      <c r="E1674" s="1" t="n">
        <v>20171</v>
      </c>
      <c r="F1674" s="1" t="s">
        <v>303</v>
      </c>
      <c r="G1674" s="1" t="s">
        <v>15</v>
      </c>
      <c r="H1674" s="1" t="n">
        <v>3.5</v>
      </c>
      <c r="I1674" s="1" t="n">
        <v>0</v>
      </c>
      <c r="J1674" s="1" t="n">
        <v>20201</v>
      </c>
      <c r="L1674" s="1" t="str">
        <f aca="false">IF(D1673&lt;&gt;D1674,D1674,"")</f>
        <v/>
      </c>
      <c r="M1674" s="1" t="str">
        <f aca="false">IF(F1673&lt;&gt;F1674,F1674,"")</f>
        <v/>
      </c>
    </row>
    <row r="1675" customFormat="false" ht="15" hidden="false" customHeight="false" outlineLevel="0" collapsed="false">
      <c r="A1675" s="1" t="s">
        <v>430</v>
      </c>
      <c r="B1675" s="1" t="s">
        <v>431</v>
      </c>
      <c r="C1675" s="1" t="s">
        <v>852</v>
      </c>
      <c r="D1675" s="1" t="s">
        <v>853</v>
      </c>
      <c r="E1675" s="1" t="n">
        <v>20171</v>
      </c>
      <c r="F1675" s="1" t="s">
        <v>303</v>
      </c>
      <c r="G1675" s="1" t="s">
        <v>15</v>
      </c>
      <c r="H1675" s="1" t="n">
        <v>3.5</v>
      </c>
      <c r="I1675" s="1" t="n">
        <v>0</v>
      </c>
      <c r="J1675" s="1" t="n">
        <v>20201</v>
      </c>
      <c r="L1675" s="1" t="str">
        <f aca="false">IF(D1674&lt;&gt;D1675,D1675,"")</f>
        <v/>
      </c>
      <c r="M1675" s="1" t="str">
        <f aca="false">IF(F1674&lt;&gt;F1675,F1675,"")</f>
        <v/>
      </c>
    </row>
    <row r="1676" customFormat="false" ht="15" hidden="false" customHeight="false" outlineLevel="0" collapsed="false">
      <c r="A1676" s="1" t="s">
        <v>432</v>
      </c>
      <c r="B1676" s="1" t="s">
        <v>433</v>
      </c>
      <c r="C1676" s="1" t="s">
        <v>852</v>
      </c>
      <c r="D1676" s="1" t="s">
        <v>853</v>
      </c>
      <c r="E1676" s="1" t="n">
        <v>20171</v>
      </c>
      <c r="F1676" s="1" t="s">
        <v>303</v>
      </c>
      <c r="G1676" s="1" t="s">
        <v>14</v>
      </c>
      <c r="H1676" s="1" t="n">
        <v>4</v>
      </c>
      <c r="I1676" s="1" t="n">
        <v>0</v>
      </c>
      <c r="J1676" s="1" t="n">
        <v>20201</v>
      </c>
      <c r="L1676" s="1" t="str">
        <f aca="false">IF(D1675&lt;&gt;D1676,D1676,"")</f>
        <v/>
      </c>
      <c r="M1676" s="1" t="str">
        <f aca="false">IF(F1675&lt;&gt;F1676,F1676,"")</f>
        <v/>
      </c>
    </row>
    <row r="1677" customFormat="false" ht="15" hidden="false" customHeight="false" outlineLevel="0" collapsed="false">
      <c r="A1677" s="1" t="s">
        <v>434</v>
      </c>
      <c r="B1677" s="1" t="s">
        <v>435</v>
      </c>
      <c r="C1677" s="1" t="s">
        <v>852</v>
      </c>
      <c r="D1677" s="1" t="s">
        <v>853</v>
      </c>
      <c r="E1677" s="1" t="n">
        <v>20171</v>
      </c>
      <c r="F1677" s="1" t="s">
        <v>303</v>
      </c>
      <c r="G1677" s="1" t="s">
        <v>14</v>
      </c>
      <c r="H1677" s="1" t="n">
        <v>4</v>
      </c>
      <c r="I1677" s="1" t="n">
        <v>0</v>
      </c>
      <c r="J1677" s="1" t="n">
        <v>20201</v>
      </c>
      <c r="L1677" s="1" t="str">
        <f aca="false">IF(D1676&lt;&gt;D1677,D1677,"")</f>
        <v/>
      </c>
      <c r="M1677" s="1" t="str">
        <f aca="false">IF(F1676&lt;&gt;F1677,F1677,"")</f>
        <v/>
      </c>
    </row>
    <row r="1678" customFormat="false" ht="15" hidden="false" customHeight="false" outlineLevel="0" collapsed="false">
      <c r="A1678" s="1" t="s">
        <v>436</v>
      </c>
      <c r="B1678" s="1" t="s">
        <v>437</v>
      </c>
      <c r="C1678" s="1" t="s">
        <v>852</v>
      </c>
      <c r="D1678" s="1" t="s">
        <v>853</v>
      </c>
      <c r="E1678" s="1" t="n">
        <v>20171</v>
      </c>
      <c r="F1678" s="1" t="s">
        <v>303</v>
      </c>
      <c r="G1678" s="1" t="s">
        <v>14</v>
      </c>
      <c r="H1678" s="1" t="n">
        <v>4</v>
      </c>
      <c r="I1678" s="1" t="n">
        <v>0</v>
      </c>
      <c r="J1678" s="1" t="n">
        <v>20201</v>
      </c>
      <c r="L1678" s="1" t="str">
        <f aca="false">IF(D1677&lt;&gt;D1678,D1678,"")</f>
        <v/>
      </c>
      <c r="M1678" s="1" t="str">
        <f aca="false">IF(F1677&lt;&gt;F1678,F1678,"")</f>
        <v/>
      </c>
    </row>
    <row r="1679" customFormat="false" ht="15" hidden="false" customHeight="false" outlineLevel="0" collapsed="false">
      <c r="A1679" s="1" t="s">
        <v>438</v>
      </c>
      <c r="B1679" s="1" t="s">
        <v>439</v>
      </c>
      <c r="C1679" s="1" t="s">
        <v>852</v>
      </c>
      <c r="D1679" s="1" t="s">
        <v>853</v>
      </c>
      <c r="E1679" s="1" t="n">
        <v>20171</v>
      </c>
      <c r="F1679" s="1" t="s">
        <v>303</v>
      </c>
      <c r="G1679" s="1" t="s">
        <v>15</v>
      </c>
      <c r="H1679" s="1" t="n">
        <v>3.5</v>
      </c>
      <c r="I1679" s="1" t="n">
        <v>0</v>
      </c>
      <c r="J1679" s="1" t="n">
        <v>20201</v>
      </c>
      <c r="L1679" s="1" t="str">
        <f aca="false">IF(D1678&lt;&gt;D1679,D1679,"")</f>
        <v/>
      </c>
      <c r="M1679" s="1" t="str">
        <f aca="false">IF(F1678&lt;&gt;F1679,F1679,"")</f>
        <v/>
      </c>
    </row>
    <row r="1680" customFormat="false" ht="15" hidden="false" customHeight="false" outlineLevel="0" collapsed="false">
      <c r="A1680" s="1" t="s">
        <v>440</v>
      </c>
      <c r="B1680" s="1" t="s">
        <v>441</v>
      </c>
      <c r="C1680" s="1" t="s">
        <v>852</v>
      </c>
      <c r="D1680" s="1" t="s">
        <v>853</v>
      </c>
      <c r="E1680" s="1" t="n">
        <v>20171</v>
      </c>
      <c r="F1680" s="1" t="s">
        <v>303</v>
      </c>
      <c r="G1680" s="1" t="s">
        <v>15</v>
      </c>
      <c r="H1680" s="1" t="n">
        <v>3.5</v>
      </c>
      <c r="I1680" s="1" t="n">
        <v>0</v>
      </c>
      <c r="J1680" s="1" t="n">
        <v>20201</v>
      </c>
      <c r="L1680" s="1" t="str">
        <f aca="false">IF(D1679&lt;&gt;D1680,D1680,"")</f>
        <v/>
      </c>
      <c r="M1680" s="1" t="str">
        <f aca="false">IF(F1679&lt;&gt;F1680,F1680,"")</f>
        <v/>
      </c>
    </row>
    <row r="1681" customFormat="false" ht="15" hidden="false" customHeight="false" outlineLevel="0" collapsed="false">
      <c r="A1681" s="1" t="s">
        <v>442</v>
      </c>
      <c r="B1681" s="1" t="s">
        <v>443</v>
      </c>
      <c r="C1681" s="1" t="s">
        <v>852</v>
      </c>
      <c r="D1681" s="1" t="s">
        <v>853</v>
      </c>
      <c r="E1681" s="1" t="n">
        <v>20171</v>
      </c>
      <c r="F1681" s="1" t="s">
        <v>303</v>
      </c>
      <c r="G1681" s="1" t="s">
        <v>14</v>
      </c>
      <c r="H1681" s="1" t="n">
        <v>4</v>
      </c>
      <c r="I1681" s="1" t="n">
        <v>0</v>
      </c>
      <c r="J1681" s="1" t="n">
        <v>20201</v>
      </c>
      <c r="L1681" s="1" t="str">
        <f aca="false">IF(D1680&lt;&gt;D1681,D1681,"")</f>
        <v/>
      </c>
      <c r="M1681" s="1" t="str">
        <f aca="false">IF(F1680&lt;&gt;F1681,F1681,"")</f>
        <v/>
      </c>
    </row>
    <row r="1682" customFormat="false" ht="15" hidden="false" customHeight="false" outlineLevel="0" collapsed="false">
      <c r="A1682" s="1" t="s">
        <v>444</v>
      </c>
      <c r="B1682" s="1" t="s">
        <v>445</v>
      </c>
      <c r="C1682" s="1" t="s">
        <v>852</v>
      </c>
      <c r="D1682" s="1" t="s">
        <v>853</v>
      </c>
      <c r="E1682" s="1" t="n">
        <v>20171</v>
      </c>
      <c r="F1682" s="1" t="s">
        <v>303</v>
      </c>
      <c r="G1682" s="1" t="s">
        <v>30</v>
      </c>
      <c r="H1682" s="1" t="n">
        <v>1.5</v>
      </c>
      <c r="I1682" s="1" t="n">
        <v>0</v>
      </c>
      <c r="J1682" s="1" t="n">
        <v>20201</v>
      </c>
      <c r="L1682" s="1" t="str">
        <f aca="false">IF(D1681&lt;&gt;D1682,D1682,"")</f>
        <v/>
      </c>
      <c r="M1682" s="1" t="str">
        <f aca="false">IF(F1681&lt;&gt;F1682,F1682,"")</f>
        <v/>
      </c>
    </row>
    <row r="1683" customFormat="false" ht="15" hidden="false" customHeight="false" outlineLevel="0" collapsed="false">
      <c r="A1683" s="1" t="s">
        <v>446</v>
      </c>
      <c r="B1683" s="1" t="s">
        <v>447</v>
      </c>
      <c r="C1683" s="1" t="s">
        <v>852</v>
      </c>
      <c r="D1683" s="1" t="s">
        <v>853</v>
      </c>
      <c r="E1683" s="1" t="n">
        <v>20171</v>
      </c>
      <c r="F1683" s="1" t="s">
        <v>303</v>
      </c>
      <c r="G1683" s="1" t="s">
        <v>101</v>
      </c>
      <c r="H1683" s="1" t="n">
        <v>2.5</v>
      </c>
      <c r="I1683" s="1" t="n">
        <v>0</v>
      </c>
      <c r="J1683" s="1" t="n">
        <v>20201</v>
      </c>
      <c r="L1683" s="1" t="str">
        <f aca="false">IF(D1682&lt;&gt;D1683,D1683,"")</f>
        <v/>
      </c>
      <c r="M1683" s="1" t="str">
        <f aca="false">IF(F1682&lt;&gt;F1683,F1683,"")</f>
        <v/>
      </c>
    </row>
    <row r="1684" customFormat="false" ht="15" hidden="false" customHeight="false" outlineLevel="0" collapsed="false">
      <c r="A1684" s="1" t="s">
        <v>448</v>
      </c>
      <c r="B1684" s="1" t="s">
        <v>449</v>
      </c>
      <c r="C1684" s="1" t="s">
        <v>852</v>
      </c>
      <c r="D1684" s="1" t="s">
        <v>853</v>
      </c>
      <c r="E1684" s="1" t="n">
        <v>20171</v>
      </c>
      <c r="F1684" s="1" t="s">
        <v>303</v>
      </c>
      <c r="G1684" s="1" t="s">
        <v>15</v>
      </c>
      <c r="H1684" s="1" t="n">
        <v>3.5</v>
      </c>
      <c r="I1684" s="1" t="n">
        <v>0</v>
      </c>
      <c r="J1684" s="1" t="n">
        <v>20201</v>
      </c>
      <c r="L1684" s="1" t="str">
        <f aca="false">IF(D1683&lt;&gt;D1684,D1684,"")</f>
        <v/>
      </c>
      <c r="M1684" s="1" t="str">
        <f aca="false">IF(F1683&lt;&gt;F1684,F1684,"")</f>
        <v/>
      </c>
    </row>
    <row r="1685" customFormat="false" ht="15" hidden="false" customHeight="false" outlineLevel="0" collapsed="false">
      <c r="A1685" s="1" t="s">
        <v>450</v>
      </c>
      <c r="B1685" s="1" t="s">
        <v>451</v>
      </c>
      <c r="C1685" s="1" t="s">
        <v>852</v>
      </c>
      <c r="D1685" s="1" t="s">
        <v>853</v>
      </c>
      <c r="E1685" s="1" t="n">
        <v>20171</v>
      </c>
      <c r="F1685" s="1" t="s">
        <v>303</v>
      </c>
      <c r="G1685" s="1" t="s">
        <v>124</v>
      </c>
      <c r="H1685" s="1" t="n">
        <v>0</v>
      </c>
      <c r="I1685" s="1" t="n">
        <v>0</v>
      </c>
      <c r="J1685" s="1" t="n">
        <v>20201</v>
      </c>
      <c r="L1685" s="1" t="str">
        <f aca="false">IF(D1684&lt;&gt;D1685,D1685,"")</f>
        <v/>
      </c>
      <c r="M1685" s="1" t="str">
        <f aca="false">IF(F1684&lt;&gt;F1685,F1685,"")</f>
        <v/>
      </c>
    </row>
    <row r="1686" customFormat="false" ht="15" hidden="false" customHeight="false" outlineLevel="0" collapsed="false">
      <c r="A1686" s="1" t="s">
        <v>452</v>
      </c>
      <c r="B1686" s="1" t="s">
        <v>453</v>
      </c>
      <c r="C1686" s="1" t="s">
        <v>852</v>
      </c>
      <c r="D1686" s="1" t="s">
        <v>853</v>
      </c>
      <c r="E1686" s="1" t="n">
        <v>20171</v>
      </c>
      <c r="F1686" s="1" t="s">
        <v>303</v>
      </c>
      <c r="G1686" s="1" t="s">
        <v>15</v>
      </c>
      <c r="H1686" s="1" t="n">
        <v>3.5</v>
      </c>
      <c r="I1686" s="1" t="n">
        <v>0</v>
      </c>
      <c r="J1686" s="1" t="n">
        <v>20201</v>
      </c>
      <c r="L1686" s="1" t="str">
        <f aca="false">IF(D1685&lt;&gt;D1686,D1686,"")</f>
        <v/>
      </c>
      <c r="M1686" s="1" t="str">
        <f aca="false">IF(F1685&lt;&gt;F1686,F1686,"")</f>
        <v/>
      </c>
    </row>
    <row r="1687" customFormat="false" ht="15" hidden="false" customHeight="false" outlineLevel="0" collapsed="false">
      <c r="A1687" s="1" t="s">
        <v>454</v>
      </c>
      <c r="B1687" s="1" t="s">
        <v>455</v>
      </c>
      <c r="C1687" s="1" t="s">
        <v>852</v>
      </c>
      <c r="D1687" s="1" t="s">
        <v>853</v>
      </c>
      <c r="E1687" s="1" t="n">
        <v>20171</v>
      </c>
      <c r="F1687" s="1" t="s">
        <v>303</v>
      </c>
      <c r="G1687" s="1" t="s">
        <v>101</v>
      </c>
      <c r="H1687" s="1" t="n">
        <v>2.5</v>
      </c>
      <c r="I1687" s="1" t="n">
        <v>0</v>
      </c>
      <c r="J1687" s="1" t="n">
        <v>20201</v>
      </c>
      <c r="L1687" s="1" t="str">
        <f aca="false">IF(D1686&lt;&gt;D1687,D1687,"")</f>
        <v/>
      </c>
      <c r="M1687" s="1" t="str">
        <f aca="false">IF(F1686&lt;&gt;F1687,F1687,"")</f>
        <v/>
      </c>
    </row>
    <row r="1688" customFormat="false" ht="15" hidden="false" customHeight="false" outlineLevel="0" collapsed="false">
      <c r="A1688" s="1" t="s">
        <v>456</v>
      </c>
      <c r="B1688" s="1" t="s">
        <v>457</v>
      </c>
      <c r="C1688" s="1" t="s">
        <v>852</v>
      </c>
      <c r="D1688" s="1" t="s">
        <v>853</v>
      </c>
      <c r="E1688" s="1" t="n">
        <v>20171</v>
      </c>
      <c r="F1688" s="1" t="s">
        <v>303</v>
      </c>
      <c r="G1688" s="1" t="s">
        <v>30</v>
      </c>
      <c r="H1688" s="1" t="n">
        <v>1.5</v>
      </c>
      <c r="I1688" s="1" t="n">
        <v>0</v>
      </c>
      <c r="J1688" s="1" t="n">
        <v>20201</v>
      </c>
      <c r="L1688" s="1" t="str">
        <f aca="false">IF(D1687&lt;&gt;D1688,D1688,"")</f>
        <v/>
      </c>
      <c r="M1688" s="1" t="str">
        <f aca="false">IF(F1687&lt;&gt;F1688,F1688,"")</f>
        <v/>
      </c>
    </row>
    <row r="1689" customFormat="false" ht="15" hidden="false" customHeight="false" outlineLevel="0" collapsed="false">
      <c r="A1689" s="1" t="s">
        <v>458</v>
      </c>
      <c r="B1689" s="1" t="s">
        <v>459</v>
      </c>
      <c r="C1689" s="1" t="s">
        <v>852</v>
      </c>
      <c r="D1689" s="1" t="s">
        <v>853</v>
      </c>
      <c r="E1689" s="1" t="n">
        <v>20171</v>
      </c>
      <c r="F1689" s="1" t="s">
        <v>303</v>
      </c>
      <c r="G1689" s="1" t="s">
        <v>514</v>
      </c>
      <c r="H1689" s="1" t="n">
        <v>1</v>
      </c>
      <c r="I1689" s="1" t="n">
        <v>0</v>
      </c>
      <c r="J1689" s="1" t="n">
        <v>20201</v>
      </c>
      <c r="L1689" s="1" t="str">
        <f aca="false">IF(D1688&lt;&gt;D1689,D1689,"")</f>
        <v/>
      </c>
      <c r="M1689" s="1" t="str">
        <f aca="false">IF(F1688&lt;&gt;F1689,F1689,"")</f>
        <v/>
      </c>
    </row>
    <row r="1690" customFormat="false" ht="15" hidden="false" customHeight="false" outlineLevel="0" collapsed="false">
      <c r="A1690" s="1" t="s">
        <v>460</v>
      </c>
      <c r="B1690" s="1" t="s">
        <v>461</v>
      </c>
      <c r="C1690" s="1" t="s">
        <v>852</v>
      </c>
      <c r="D1690" s="1" t="s">
        <v>853</v>
      </c>
      <c r="E1690" s="1" t="n">
        <v>20171</v>
      </c>
      <c r="F1690" s="1" t="s">
        <v>303</v>
      </c>
      <c r="G1690" s="1" t="s">
        <v>30</v>
      </c>
      <c r="H1690" s="1" t="n">
        <v>1.5</v>
      </c>
      <c r="I1690" s="1" t="n">
        <v>0</v>
      </c>
      <c r="J1690" s="1" t="n">
        <v>20201</v>
      </c>
      <c r="L1690" s="1" t="str">
        <f aca="false">IF(D1689&lt;&gt;D1690,D1690,"")</f>
        <v/>
      </c>
      <c r="M1690" s="1" t="str">
        <f aca="false">IF(F1689&lt;&gt;F1690,F1690,"")</f>
        <v/>
      </c>
    </row>
    <row r="1691" customFormat="false" ht="15" hidden="false" customHeight="false" outlineLevel="0" collapsed="false">
      <c r="A1691" s="1" t="s">
        <v>462</v>
      </c>
      <c r="B1691" s="1" t="s">
        <v>463</v>
      </c>
      <c r="C1691" s="1" t="s">
        <v>852</v>
      </c>
      <c r="D1691" s="1" t="s">
        <v>853</v>
      </c>
      <c r="E1691" s="1" t="n">
        <v>20171</v>
      </c>
      <c r="F1691" s="1" t="s">
        <v>303</v>
      </c>
      <c r="G1691" s="1" t="s">
        <v>15</v>
      </c>
      <c r="H1691" s="1" t="n">
        <v>3.5</v>
      </c>
      <c r="I1691" s="1" t="n">
        <v>0</v>
      </c>
      <c r="J1691" s="1" t="n">
        <v>20201</v>
      </c>
      <c r="L1691" s="1" t="str">
        <f aca="false">IF(D1690&lt;&gt;D1691,D1691,"")</f>
        <v/>
      </c>
      <c r="M1691" s="1" t="str">
        <f aca="false">IF(F1690&lt;&gt;F1691,F1691,"")</f>
        <v/>
      </c>
    </row>
    <row r="1692" customFormat="false" ht="15" hidden="false" customHeight="false" outlineLevel="0" collapsed="false">
      <c r="A1692" s="1" t="s">
        <v>464</v>
      </c>
      <c r="B1692" s="1" t="s">
        <v>465</v>
      </c>
      <c r="C1692" s="1" t="s">
        <v>852</v>
      </c>
      <c r="D1692" s="1" t="s">
        <v>853</v>
      </c>
      <c r="E1692" s="1" t="n">
        <v>20171</v>
      </c>
      <c r="F1692" s="1" t="s">
        <v>303</v>
      </c>
      <c r="G1692" s="1" t="s">
        <v>101</v>
      </c>
      <c r="H1692" s="1" t="n">
        <v>2.5</v>
      </c>
      <c r="I1692" s="1" t="n">
        <v>0</v>
      </c>
      <c r="J1692" s="1" t="n">
        <v>20201</v>
      </c>
      <c r="L1692" s="1" t="str">
        <f aca="false">IF(D1691&lt;&gt;D1692,D1692,"")</f>
        <v/>
      </c>
      <c r="M1692" s="1" t="str">
        <f aca="false">IF(F1691&lt;&gt;F1692,F1692,"")</f>
        <v/>
      </c>
    </row>
    <row r="1693" customFormat="false" ht="15" hidden="false" customHeight="false" outlineLevel="0" collapsed="false">
      <c r="A1693" s="1" t="s">
        <v>466</v>
      </c>
      <c r="B1693" s="1" t="s">
        <v>467</v>
      </c>
      <c r="C1693" s="1" t="s">
        <v>852</v>
      </c>
      <c r="D1693" s="1" t="s">
        <v>853</v>
      </c>
      <c r="E1693" s="1" t="n">
        <v>20171</v>
      </c>
      <c r="F1693" s="1" t="s">
        <v>303</v>
      </c>
      <c r="G1693" s="1" t="s">
        <v>15</v>
      </c>
      <c r="H1693" s="1" t="n">
        <v>3.5</v>
      </c>
      <c r="I1693" s="1" t="n">
        <v>0</v>
      </c>
      <c r="J1693" s="1" t="n">
        <v>20201</v>
      </c>
      <c r="L1693" s="1" t="str">
        <f aca="false">IF(D1692&lt;&gt;D1693,D1693,"")</f>
        <v/>
      </c>
      <c r="M1693" s="1" t="str">
        <f aca="false">IF(F1692&lt;&gt;F1693,F1693,"")</f>
        <v/>
      </c>
    </row>
    <row r="1694" customFormat="false" ht="15" hidden="false" customHeight="false" outlineLevel="0" collapsed="false">
      <c r="A1694" s="1" t="s">
        <v>468</v>
      </c>
      <c r="B1694" s="1" t="s">
        <v>469</v>
      </c>
      <c r="C1694" s="1" t="s">
        <v>852</v>
      </c>
      <c r="D1694" s="1" t="s">
        <v>853</v>
      </c>
      <c r="E1694" s="1" t="n">
        <v>20171</v>
      </c>
      <c r="F1694" s="1" t="s">
        <v>303</v>
      </c>
      <c r="G1694" s="1" t="s">
        <v>15</v>
      </c>
      <c r="H1694" s="1" t="n">
        <v>3.5</v>
      </c>
      <c r="I1694" s="1" t="n">
        <v>0</v>
      </c>
      <c r="J1694" s="1" t="n">
        <v>20201</v>
      </c>
      <c r="L1694" s="1" t="str">
        <f aca="false">IF(D1693&lt;&gt;D1694,D1694,"")</f>
        <v/>
      </c>
      <c r="M1694" s="1" t="str">
        <f aca="false">IF(F1693&lt;&gt;F1694,F1694,"")</f>
        <v/>
      </c>
    </row>
    <row r="1695" customFormat="false" ht="15" hidden="false" customHeight="false" outlineLevel="0" collapsed="false">
      <c r="A1695" s="1" t="s">
        <v>470</v>
      </c>
      <c r="B1695" s="1" t="s">
        <v>471</v>
      </c>
      <c r="C1695" s="1" t="s">
        <v>852</v>
      </c>
      <c r="D1695" s="1" t="s">
        <v>853</v>
      </c>
      <c r="E1695" s="1" t="n">
        <v>20171</v>
      </c>
      <c r="F1695" s="1" t="s">
        <v>303</v>
      </c>
      <c r="G1695" s="1" t="s">
        <v>14</v>
      </c>
      <c r="H1695" s="1" t="n">
        <v>4</v>
      </c>
      <c r="I1695" s="1" t="n">
        <v>0</v>
      </c>
      <c r="J1695" s="1" t="n">
        <v>20201</v>
      </c>
      <c r="L1695" s="1" t="str">
        <f aca="false">IF(D1694&lt;&gt;D1695,D1695,"")</f>
        <v/>
      </c>
      <c r="M1695" s="1" t="str">
        <f aca="false">IF(F1694&lt;&gt;F1695,F1695,"")</f>
        <v/>
      </c>
    </row>
    <row r="1696" customFormat="false" ht="15" hidden="false" customHeight="false" outlineLevel="0" collapsed="false">
      <c r="A1696" s="1" t="s">
        <v>472</v>
      </c>
      <c r="B1696" s="1" t="s">
        <v>473</v>
      </c>
      <c r="C1696" s="1" t="s">
        <v>852</v>
      </c>
      <c r="D1696" s="1" t="s">
        <v>853</v>
      </c>
      <c r="E1696" s="1" t="n">
        <v>20171</v>
      </c>
      <c r="F1696" s="1" t="s">
        <v>303</v>
      </c>
      <c r="G1696" s="1" t="s">
        <v>15</v>
      </c>
      <c r="H1696" s="1" t="n">
        <v>3.5</v>
      </c>
      <c r="I1696" s="1" t="n">
        <v>0</v>
      </c>
      <c r="J1696" s="1" t="n">
        <v>20201</v>
      </c>
      <c r="L1696" s="1" t="str">
        <f aca="false">IF(D1695&lt;&gt;D1696,D1696,"")</f>
        <v/>
      </c>
      <c r="M1696" s="1" t="str">
        <f aca="false">IF(F1695&lt;&gt;F1696,F1696,"")</f>
        <v/>
      </c>
    </row>
    <row r="1697" customFormat="false" ht="15" hidden="false" customHeight="false" outlineLevel="0" collapsed="false">
      <c r="A1697" s="1" t="s">
        <v>474</v>
      </c>
      <c r="B1697" s="1" t="s">
        <v>475</v>
      </c>
      <c r="C1697" s="1" t="s">
        <v>852</v>
      </c>
      <c r="D1697" s="1" t="s">
        <v>853</v>
      </c>
      <c r="E1697" s="1" t="n">
        <v>20171</v>
      </c>
      <c r="F1697" s="1" t="s">
        <v>303</v>
      </c>
      <c r="G1697" s="1" t="s">
        <v>15</v>
      </c>
      <c r="H1697" s="1" t="n">
        <v>3.5</v>
      </c>
      <c r="I1697" s="1" t="n">
        <v>0</v>
      </c>
      <c r="J1697" s="1" t="n">
        <v>20201</v>
      </c>
      <c r="L1697" s="1" t="str">
        <f aca="false">IF(D1696&lt;&gt;D1697,D1697,"")</f>
        <v/>
      </c>
      <c r="M1697" s="1" t="str">
        <f aca="false">IF(F1696&lt;&gt;F1697,F1697,"")</f>
        <v/>
      </c>
    </row>
    <row r="1698" customFormat="false" ht="15" hidden="false" customHeight="false" outlineLevel="0" collapsed="false">
      <c r="A1698" s="1" t="s">
        <v>476</v>
      </c>
      <c r="B1698" s="1" t="s">
        <v>477</v>
      </c>
      <c r="C1698" s="1" t="s">
        <v>852</v>
      </c>
      <c r="D1698" s="1" t="s">
        <v>853</v>
      </c>
      <c r="E1698" s="1" t="n">
        <v>20171</v>
      </c>
      <c r="F1698" s="1" t="s">
        <v>303</v>
      </c>
      <c r="G1698" s="1" t="s">
        <v>15</v>
      </c>
      <c r="H1698" s="1" t="n">
        <v>3.5</v>
      </c>
      <c r="I1698" s="1" t="n">
        <v>0</v>
      </c>
      <c r="J1698" s="1" t="n">
        <v>20201</v>
      </c>
      <c r="L1698" s="1" t="str">
        <f aca="false">IF(D1697&lt;&gt;D1698,D1698,"")</f>
        <v/>
      </c>
      <c r="M1698" s="1" t="str">
        <f aca="false">IF(F1697&lt;&gt;F1698,F1698,"")</f>
        <v/>
      </c>
    </row>
    <row r="1699" customFormat="false" ht="15" hidden="false" customHeight="false" outlineLevel="0" collapsed="false">
      <c r="A1699" s="1" t="s">
        <v>478</v>
      </c>
      <c r="B1699" s="1" t="s">
        <v>479</v>
      </c>
      <c r="C1699" s="1" t="s">
        <v>852</v>
      </c>
      <c r="D1699" s="1" t="s">
        <v>853</v>
      </c>
      <c r="E1699" s="1" t="n">
        <v>20171</v>
      </c>
      <c r="F1699" s="1" t="s">
        <v>303</v>
      </c>
      <c r="G1699" s="1" t="s">
        <v>14</v>
      </c>
      <c r="H1699" s="1" t="n">
        <v>4</v>
      </c>
      <c r="I1699" s="1" t="n">
        <v>0</v>
      </c>
      <c r="J1699" s="1" t="n">
        <v>20201</v>
      </c>
      <c r="L1699" s="1" t="str">
        <f aca="false">IF(D1698&lt;&gt;D1699,D1699,"")</f>
        <v/>
      </c>
      <c r="M1699" s="1" t="str">
        <f aca="false">IF(F1698&lt;&gt;F1699,F1699,"")</f>
        <v/>
      </c>
    </row>
    <row r="1700" customFormat="false" ht="15" hidden="false" customHeight="false" outlineLevel="0" collapsed="false">
      <c r="A1700" s="1" t="s">
        <v>480</v>
      </c>
      <c r="B1700" s="1" t="s">
        <v>481</v>
      </c>
      <c r="C1700" s="1" t="s">
        <v>852</v>
      </c>
      <c r="D1700" s="1" t="s">
        <v>853</v>
      </c>
      <c r="E1700" s="1" t="n">
        <v>20171</v>
      </c>
      <c r="F1700" s="1" t="s">
        <v>303</v>
      </c>
      <c r="G1700" s="1" t="s">
        <v>14</v>
      </c>
      <c r="H1700" s="1" t="n">
        <v>4</v>
      </c>
      <c r="I1700" s="1" t="n">
        <v>0</v>
      </c>
      <c r="J1700" s="1" t="n">
        <v>20201</v>
      </c>
      <c r="L1700" s="1" t="str">
        <f aca="false">IF(D1699&lt;&gt;D1700,D1700,"")</f>
        <v/>
      </c>
      <c r="M1700" s="1" t="str">
        <f aca="false">IF(F1699&lt;&gt;F1700,F1700,"")</f>
        <v/>
      </c>
    </row>
    <row r="1701" customFormat="false" ht="15" hidden="false" customHeight="false" outlineLevel="0" collapsed="false">
      <c r="A1701" s="1" t="s">
        <v>482</v>
      </c>
      <c r="B1701" s="1" t="s">
        <v>483</v>
      </c>
      <c r="C1701" s="1" t="s">
        <v>852</v>
      </c>
      <c r="D1701" s="1" t="s">
        <v>853</v>
      </c>
      <c r="E1701" s="1" t="n">
        <v>20171</v>
      </c>
      <c r="F1701" s="1" t="s">
        <v>303</v>
      </c>
      <c r="G1701" s="1" t="s">
        <v>14</v>
      </c>
      <c r="H1701" s="1" t="n">
        <v>4</v>
      </c>
      <c r="I1701" s="1" t="n">
        <v>0</v>
      </c>
      <c r="J1701" s="1" t="n">
        <v>20201</v>
      </c>
      <c r="L1701" s="1" t="str">
        <f aca="false">IF(D1700&lt;&gt;D1701,D1701,"")</f>
        <v/>
      </c>
      <c r="M1701" s="1" t="str">
        <f aca="false">IF(F1700&lt;&gt;F1701,F1701,"")</f>
        <v/>
      </c>
    </row>
    <row r="1702" customFormat="false" ht="15" hidden="false" customHeight="false" outlineLevel="0" collapsed="false">
      <c r="A1702" s="1" t="s">
        <v>484</v>
      </c>
      <c r="B1702" s="1" t="s">
        <v>485</v>
      </c>
      <c r="C1702" s="1" t="s">
        <v>852</v>
      </c>
      <c r="D1702" s="1" t="s">
        <v>853</v>
      </c>
      <c r="E1702" s="1" t="n">
        <v>20171</v>
      </c>
      <c r="F1702" s="1" t="s">
        <v>303</v>
      </c>
      <c r="G1702" s="1" t="s">
        <v>14</v>
      </c>
      <c r="H1702" s="1" t="n">
        <v>4</v>
      </c>
      <c r="I1702" s="1" t="n">
        <v>0</v>
      </c>
      <c r="J1702" s="1" t="n">
        <v>20201</v>
      </c>
      <c r="L1702" s="1" t="str">
        <f aca="false">IF(D1701&lt;&gt;D1702,D1702,"")</f>
        <v/>
      </c>
      <c r="M1702" s="1" t="str">
        <f aca="false">IF(F1701&lt;&gt;F1702,F1702,"")</f>
        <v/>
      </c>
    </row>
    <row r="1703" customFormat="false" ht="15" hidden="false" customHeight="false" outlineLevel="0" collapsed="false">
      <c r="A1703" s="1" t="s">
        <v>486</v>
      </c>
      <c r="B1703" s="1" t="s">
        <v>487</v>
      </c>
      <c r="C1703" s="1" t="s">
        <v>852</v>
      </c>
      <c r="D1703" s="1" t="s">
        <v>853</v>
      </c>
      <c r="E1703" s="1" t="n">
        <v>20171</v>
      </c>
      <c r="F1703" s="1" t="s">
        <v>303</v>
      </c>
      <c r="G1703" s="1" t="s">
        <v>14</v>
      </c>
      <c r="H1703" s="1" t="n">
        <v>4</v>
      </c>
      <c r="I1703" s="1" t="n">
        <v>0</v>
      </c>
      <c r="J1703" s="1" t="n">
        <v>20201</v>
      </c>
      <c r="L1703" s="1" t="str">
        <f aca="false">IF(D1702&lt;&gt;D1703,D1703,"")</f>
        <v/>
      </c>
      <c r="M1703" s="1" t="str">
        <f aca="false">IF(F1702&lt;&gt;F1703,F1703,"")</f>
        <v/>
      </c>
    </row>
    <row r="1704" customFormat="false" ht="15" hidden="false" customHeight="false" outlineLevel="0" collapsed="false">
      <c r="A1704" s="1" t="s">
        <v>488</v>
      </c>
      <c r="B1704" s="1" t="s">
        <v>489</v>
      </c>
      <c r="C1704" s="1" t="s">
        <v>852</v>
      </c>
      <c r="D1704" s="1" t="s">
        <v>853</v>
      </c>
      <c r="E1704" s="1" t="n">
        <v>20171</v>
      </c>
      <c r="F1704" s="1" t="s">
        <v>303</v>
      </c>
      <c r="G1704" s="1" t="s">
        <v>14</v>
      </c>
      <c r="H1704" s="1" t="n">
        <v>4</v>
      </c>
      <c r="I1704" s="1" t="n">
        <v>0</v>
      </c>
      <c r="J1704" s="1" t="n">
        <v>20201</v>
      </c>
      <c r="L1704" s="1" t="str">
        <f aca="false">IF(D1703&lt;&gt;D1704,D1704,"")</f>
        <v/>
      </c>
      <c r="M1704" s="1" t="str">
        <f aca="false">IF(F1703&lt;&gt;F1704,F1704,"")</f>
        <v/>
      </c>
    </row>
    <row r="1705" customFormat="false" ht="15" hidden="false" customHeight="false" outlineLevel="0" collapsed="false">
      <c r="A1705" s="1" t="s">
        <v>490</v>
      </c>
      <c r="B1705" s="1" t="s">
        <v>491</v>
      </c>
      <c r="C1705" s="1" t="s">
        <v>852</v>
      </c>
      <c r="D1705" s="1" t="s">
        <v>853</v>
      </c>
      <c r="E1705" s="1" t="n">
        <v>20171</v>
      </c>
      <c r="F1705" s="1" t="s">
        <v>303</v>
      </c>
      <c r="G1705" s="1" t="s">
        <v>14</v>
      </c>
      <c r="H1705" s="1" t="n">
        <v>4</v>
      </c>
      <c r="I1705" s="1" t="n">
        <v>0</v>
      </c>
      <c r="J1705" s="1" t="n">
        <v>20201</v>
      </c>
      <c r="L1705" s="1" t="str">
        <f aca="false">IF(D1704&lt;&gt;D1705,D1705,"")</f>
        <v/>
      </c>
      <c r="M1705" s="1" t="str">
        <f aca="false">IF(F1704&lt;&gt;F1705,F1705,"")</f>
        <v/>
      </c>
    </row>
    <row r="1706" customFormat="false" ht="15" hidden="false" customHeight="false" outlineLevel="0" collapsed="false">
      <c r="A1706" s="1" t="s">
        <v>492</v>
      </c>
      <c r="B1706" s="1" t="s">
        <v>493</v>
      </c>
      <c r="C1706" s="1" t="s">
        <v>852</v>
      </c>
      <c r="D1706" s="1" t="s">
        <v>853</v>
      </c>
      <c r="E1706" s="1" t="n">
        <v>20171</v>
      </c>
      <c r="F1706" s="1" t="s">
        <v>303</v>
      </c>
      <c r="G1706" s="1" t="s">
        <v>14</v>
      </c>
      <c r="H1706" s="1" t="n">
        <v>4</v>
      </c>
      <c r="I1706" s="1" t="n">
        <v>0</v>
      </c>
      <c r="J1706" s="1" t="n">
        <v>20201</v>
      </c>
      <c r="L1706" s="1" t="str">
        <f aca="false">IF(D1705&lt;&gt;D1706,D1706,"")</f>
        <v/>
      </c>
      <c r="M1706" s="1" t="str">
        <f aca="false">IF(F1705&lt;&gt;F1706,F1706,"")</f>
        <v/>
      </c>
    </row>
    <row r="1707" customFormat="false" ht="15" hidden="false" customHeight="false" outlineLevel="0" collapsed="false">
      <c r="A1707" s="1" t="s">
        <v>494</v>
      </c>
      <c r="B1707" s="1" t="s">
        <v>495</v>
      </c>
      <c r="C1707" s="1" t="s">
        <v>852</v>
      </c>
      <c r="D1707" s="1" t="s">
        <v>853</v>
      </c>
      <c r="E1707" s="1" t="n">
        <v>20171</v>
      </c>
      <c r="F1707" s="1" t="s">
        <v>303</v>
      </c>
      <c r="G1707" s="1" t="s">
        <v>14</v>
      </c>
      <c r="H1707" s="1" t="n">
        <v>4</v>
      </c>
      <c r="I1707" s="1" t="n">
        <v>0</v>
      </c>
      <c r="J1707" s="1" t="n">
        <v>20201</v>
      </c>
      <c r="L1707" s="1" t="str">
        <f aca="false">IF(D1706&lt;&gt;D1707,D1707,"")</f>
        <v/>
      </c>
      <c r="M1707" s="1" t="str">
        <f aca="false">IF(F1706&lt;&gt;F1707,F1707,"")</f>
        <v/>
      </c>
    </row>
    <row r="1708" customFormat="false" ht="15" hidden="false" customHeight="false" outlineLevel="0" collapsed="false">
      <c r="A1708" s="1" t="s">
        <v>496</v>
      </c>
      <c r="B1708" s="1" t="s">
        <v>497</v>
      </c>
      <c r="C1708" s="1" t="s">
        <v>852</v>
      </c>
      <c r="D1708" s="1" t="s">
        <v>853</v>
      </c>
      <c r="E1708" s="1" t="n">
        <v>20171</v>
      </c>
      <c r="F1708" s="1" t="s">
        <v>303</v>
      </c>
      <c r="G1708" s="1" t="s">
        <v>14</v>
      </c>
      <c r="H1708" s="1" t="n">
        <v>4</v>
      </c>
      <c r="I1708" s="1" t="n">
        <v>0</v>
      </c>
      <c r="J1708" s="1" t="n">
        <v>20201</v>
      </c>
      <c r="L1708" s="1" t="str">
        <f aca="false">IF(D1707&lt;&gt;D1708,D1708,"")</f>
        <v/>
      </c>
      <c r="M1708" s="1" t="str">
        <f aca="false">IF(F1707&lt;&gt;F1708,F1708,"")</f>
        <v/>
      </c>
    </row>
    <row r="1709" customFormat="false" ht="15" hidden="false" customHeight="false" outlineLevel="0" collapsed="false">
      <c r="A1709" s="1" t="s">
        <v>498</v>
      </c>
      <c r="B1709" s="1" t="s">
        <v>499</v>
      </c>
      <c r="C1709" s="1" t="s">
        <v>852</v>
      </c>
      <c r="D1709" s="1" t="s">
        <v>853</v>
      </c>
      <c r="E1709" s="1" t="n">
        <v>20171</v>
      </c>
      <c r="F1709" s="1" t="s">
        <v>303</v>
      </c>
      <c r="G1709" s="1" t="s">
        <v>18</v>
      </c>
      <c r="H1709" s="1" t="n">
        <v>3</v>
      </c>
      <c r="I1709" s="1" t="n">
        <v>0</v>
      </c>
      <c r="J1709" s="1" t="n">
        <v>20201</v>
      </c>
      <c r="L1709" s="1" t="str">
        <f aca="false">IF(D1708&lt;&gt;D1709,D1709,"")</f>
        <v/>
      </c>
      <c r="M1709" s="1" t="str">
        <f aca="false">IF(F1708&lt;&gt;F1709,F1709,"")</f>
        <v/>
      </c>
    </row>
    <row r="1710" customFormat="false" ht="15" hidden="false" customHeight="false" outlineLevel="0" collapsed="false">
      <c r="A1710" s="1" t="s">
        <v>500</v>
      </c>
      <c r="B1710" s="1" t="s">
        <v>501</v>
      </c>
      <c r="C1710" s="1" t="s">
        <v>852</v>
      </c>
      <c r="D1710" s="1" t="s">
        <v>853</v>
      </c>
      <c r="E1710" s="1" t="n">
        <v>20171</v>
      </c>
      <c r="F1710" s="1" t="s">
        <v>303</v>
      </c>
      <c r="G1710" s="1" t="s">
        <v>18</v>
      </c>
      <c r="H1710" s="1" t="n">
        <v>3</v>
      </c>
      <c r="I1710" s="1" t="n">
        <v>0</v>
      </c>
      <c r="J1710" s="1" t="n">
        <v>20201</v>
      </c>
      <c r="L1710" s="1" t="str">
        <f aca="false">IF(D1709&lt;&gt;D1710,D1710,"")</f>
        <v/>
      </c>
      <c r="M1710" s="1" t="str">
        <f aca="false">IF(F1709&lt;&gt;F1710,F1710,"")</f>
        <v/>
      </c>
    </row>
    <row r="1711" customFormat="false" ht="15" hidden="false" customHeight="false" outlineLevel="0" collapsed="false">
      <c r="A1711" s="1" t="s">
        <v>502</v>
      </c>
      <c r="B1711" s="1" t="s">
        <v>503</v>
      </c>
      <c r="C1711" s="1" t="s">
        <v>852</v>
      </c>
      <c r="D1711" s="1" t="s">
        <v>853</v>
      </c>
      <c r="E1711" s="1" t="n">
        <v>20171</v>
      </c>
      <c r="F1711" s="1" t="s">
        <v>303</v>
      </c>
      <c r="G1711" s="1" t="s">
        <v>15</v>
      </c>
      <c r="H1711" s="1" t="n">
        <v>3.5</v>
      </c>
      <c r="I1711" s="1" t="n">
        <v>0</v>
      </c>
      <c r="J1711" s="1" t="n">
        <v>20201</v>
      </c>
      <c r="L1711" s="1" t="str">
        <f aca="false">IF(D1710&lt;&gt;D1711,D1711,"")</f>
        <v/>
      </c>
      <c r="M1711" s="1" t="str">
        <f aca="false">IF(F1710&lt;&gt;F1711,F1711,"")</f>
        <v/>
      </c>
    </row>
    <row r="1712" customFormat="false" ht="15" hidden="false" customHeight="false" outlineLevel="0" collapsed="false">
      <c r="A1712" s="1" t="s">
        <v>504</v>
      </c>
      <c r="B1712" s="1" t="s">
        <v>505</v>
      </c>
      <c r="C1712" s="1" t="s">
        <v>852</v>
      </c>
      <c r="D1712" s="1" t="s">
        <v>853</v>
      </c>
      <c r="E1712" s="1" t="n">
        <v>20171</v>
      </c>
      <c r="F1712" s="1" t="s">
        <v>303</v>
      </c>
      <c r="G1712" s="1" t="s">
        <v>14</v>
      </c>
      <c r="H1712" s="1" t="n">
        <v>4</v>
      </c>
      <c r="I1712" s="1" t="n">
        <v>0</v>
      </c>
      <c r="J1712" s="1" t="n">
        <v>20201</v>
      </c>
      <c r="L1712" s="1" t="str">
        <f aca="false">IF(D1711&lt;&gt;D1712,D1712,"")</f>
        <v/>
      </c>
      <c r="M1712" s="1" t="str">
        <f aca="false">IF(F1711&lt;&gt;F1712,F1712,"")</f>
        <v/>
      </c>
    </row>
    <row r="1713" customFormat="false" ht="15" hidden="false" customHeight="false" outlineLevel="0" collapsed="false">
      <c r="A1713" s="1" t="s">
        <v>506</v>
      </c>
      <c r="B1713" s="1" t="s">
        <v>507</v>
      </c>
      <c r="C1713" s="1" t="s">
        <v>852</v>
      </c>
      <c r="D1713" s="1" t="s">
        <v>853</v>
      </c>
      <c r="E1713" s="1" t="n">
        <v>20171</v>
      </c>
      <c r="F1713" s="1" t="s">
        <v>303</v>
      </c>
      <c r="G1713" s="1" t="s">
        <v>15</v>
      </c>
      <c r="H1713" s="1" t="n">
        <v>3.5</v>
      </c>
      <c r="I1713" s="1" t="n">
        <v>0</v>
      </c>
      <c r="J1713" s="1" t="n">
        <v>20201</v>
      </c>
      <c r="L1713" s="1" t="str">
        <f aca="false">IF(D1712&lt;&gt;D1713,D1713,"")</f>
        <v/>
      </c>
      <c r="M1713" s="1" t="str">
        <f aca="false">IF(F1712&lt;&gt;F1713,F1713,"")</f>
        <v/>
      </c>
    </row>
    <row r="1714" customFormat="false" ht="15" hidden="false" customHeight="false" outlineLevel="0" collapsed="false">
      <c r="A1714" s="1" t="s">
        <v>508</v>
      </c>
      <c r="B1714" s="1" t="s">
        <v>509</v>
      </c>
      <c r="C1714" s="1" t="s">
        <v>852</v>
      </c>
      <c r="D1714" s="1" t="s">
        <v>853</v>
      </c>
      <c r="E1714" s="1" t="n">
        <v>20171</v>
      </c>
      <c r="F1714" s="1" t="s">
        <v>303</v>
      </c>
      <c r="G1714" s="1" t="s">
        <v>18</v>
      </c>
      <c r="H1714" s="1" t="n">
        <v>3</v>
      </c>
      <c r="I1714" s="1" t="n">
        <v>0</v>
      </c>
      <c r="J1714" s="1" t="n">
        <v>20201</v>
      </c>
      <c r="L1714" s="1" t="str">
        <f aca="false">IF(D1713&lt;&gt;D1714,D1714,"")</f>
        <v/>
      </c>
      <c r="M1714" s="1" t="str">
        <f aca="false">IF(F1713&lt;&gt;F1714,F1714,"")</f>
        <v/>
      </c>
    </row>
    <row r="1715" customFormat="false" ht="15" hidden="false" customHeight="false" outlineLevel="0" collapsed="false">
      <c r="A1715" s="1" t="s">
        <v>854</v>
      </c>
      <c r="B1715" s="1" t="s">
        <v>855</v>
      </c>
      <c r="C1715" s="1" t="s">
        <v>852</v>
      </c>
      <c r="D1715" s="1" t="s">
        <v>853</v>
      </c>
      <c r="E1715" s="1" t="n">
        <v>20171</v>
      </c>
      <c r="F1715" s="1" t="s">
        <v>303</v>
      </c>
      <c r="G1715" s="1" t="s">
        <v>18</v>
      </c>
      <c r="H1715" s="1" t="n">
        <v>3</v>
      </c>
      <c r="I1715" s="1" t="n">
        <v>0</v>
      </c>
      <c r="J1715" s="1" t="n">
        <v>20201</v>
      </c>
      <c r="L1715" s="1" t="str">
        <f aca="false">IF(D1714&lt;&gt;D1715,D1715,"")</f>
        <v/>
      </c>
      <c r="M1715" s="1" t="str">
        <f aca="false">IF(F1714&lt;&gt;F1715,F1715,"")</f>
        <v/>
      </c>
    </row>
    <row r="1716" customFormat="false" ht="15" hidden="false" customHeight="false" outlineLevel="0" collapsed="false">
      <c r="A1716" s="1" t="s">
        <v>19</v>
      </c>
      <c r="B1716" s="1" t="s">
        <v>20</v>
      </c>
      <c r="C1716" s="1" t="s">
        <v>856</v>
      </c>
      <c r="D1716" s="1" t="s">
        <v>857</v>
      </c>
      <c r="E1716" s="1" t="n">
        <v>20171</v>
      </c>
      <c r="F1716" s="1" t="s">
        <v>208</v>
      </c>
      <c r="G1716" s="1" t="s">
        <v>127</v>
      </c>
      <c r="H1716" s="1" t="n">
        <v>2</v>
      </c>
      <c r="I1716" s="1" t="n">
        <v>0</v>
      </c>
      <c r="J1716" s="1" t="n">
        <v>20201</v>
      </c>
      <c r="L1716" s="1" t="str">
        <f aca="false">IF(D1715&lt;&gt;D1716,D1716,"")</f>
        <v>PEMBANGKIT TENAGA LISTRIK</v>
      </c>
      <c r="M1716" s="1" t="str">
        <f aca="false">IF(F1715&lt;&gt;F1716,F1716,"")</f>
        <v>P</v>
      </c>
    </row>
    <row r="1717" customFormat="false" ht="15" hidden="false" customHeight="false" outlineLevel="0" collapsed="false">
      <c r="A1717" s="1" t="s">
        <v>555</v>
      </c>
      <c r="B1717" s="1" t="s">
        <v>556</v>
      </c>
      <c r="C1717" s="1" t="s">
        <v>856</v>
      </c>
      <c r="D1717" s="1" t="s">
        <v>857</v>
      </c>
      <c r="E1717" s="1" t="n">
        <v>20171</v>
      </c>
      <c r="F1717" s="1" t="s">
        <v>208</v>
      </c>
      <c r="G1717" s="1" t="s">
        <v>18</v>
      </c>
      <c r="H1717" s="1" t="n">
        <v>3</v>
      </c>
      <c r="I1717" s="1" t="n">
        <v>0</v>
      </c>
      <c r="J1717" s="1" t="n">
        <v>20201</v>
      </c>
      <c r="L1717" s="1" t="str">
        <f aca="false">IF(D1716&lt;&gt;D1717,D1717,"")</f>
        <v/>
      </c>
      <c r="M1717" s="1" t="str">
        <f aca="false">IF(F1716&lt;&gt;F1717,F1717,"")</f>
        <v/>
      </c>
    </row>
    <row r="1718" customFormat="false" ht="15" hidden="false" customHeight="false" outlineLevel="0" collapsed="false">
      <c r="A1718" s="1" t="s">
        <v>204</v>
      </c>
      <c r="B1718" s="1" t="s">
        <v>205</v>
      </c>
      <c r="C1718" s="1" t="s">
        <v>856</v>
      </c>
      <c r="D1718" s="1" t="s">
        <v>857</v>
      </c>
      <c r="E1718" s="1" t="n">
        <v>20171</v>
      </c>
      <c r="F1718" s="1" t="s">
        <v>208</v>
      </c>
      <c r="G1718" s="1" t="s">
        <v>18</v>
      </c>
      <c r="H1718" s="1" t="n">
        <v>3</v>
      </c>
      <c r="I1718" s="1" t="n">
        <v>0</v>
      </c>
      <c r="J1718" s="1" t="n">
        <v>20201</v>
      </c>
      <c r="L1718" s="1" t="str">
        <f aca="false">IF(D1717&lt;&gt;D1718,D1718,"")</f>
        <v/>
      </c>
      <c r="M1718" s="1" t="str">
        <f aca="false">IF(F1717&lt;&gt;F1718,F1718,"")</f>
        <v/>
      </c>
    </row>
    <row r="1719" customFormat="false" ht="15" hidden="false" customHeight="false" outlineLevel="0" collapsed="false">
      <c r="A1719" s="1" t="s">
        <v>729</v>
      </c>
      <c r="B1719" s="1" t="s">
        <v>730</v>
      </c>
      <c r="C1719" s="1" t="s">
        <v>856</v>
      </c>
      <c r="D1719" s="1" t="s">
        <v>857</v>
      </c>
      <c r="E1719" s="1" t="n">
        <v>20171</v>
      </c>
      <c r="F1719" s="1" t="s">
        <v>208</v>
      </c>
      <c r="G1719" s="1" t="s">
        <v>124</v>
      </c>
      <c r="H1719" s="1" t="n">
        <v>0</v>
      </c>
      <c r="I1719" s="1" t="n">
        <v>0</v>
      </c>
      <c r="J1719" s="1" t="n">
        <v>20201</v>
      </c>
      <c r="L1719" s="1" t="str">
        <f aca="false">IF(D1718&lt;&gt;D1719,D1719,"")</f>
        <v/>
      </c>
      <c r="M1719" s="1" t="str">
        <f aca="false">IF(F1718&lt;&gt;F1719,F1719,"")</f>
        <v/>
      </c>
    </row>
    <row r="1720" customFormat="false" ht="15" hidden="false" customHeight="false" outlineLevel="0" collapsed="false">
      <c r="A1720" s="1" t="s">
        <v>211</v>
      </c>
      <c r="B1720" s="1" t="s">
        <v>212</v>
      </c>
      <c r="C1720" s="1" t="s">
        <v>856</v>
      </c>
      <c r="D1720" s="1" t="s">
        <v>857</v>
      </c>
      <c r="E1720" s="1" t="n">
        <v>20171</v>
      </c>
      <c r="F1720" s="1" t="s">
        <v>208</v>
      </c>
      <c r="G1720" s="1" t="s">
        <v>15</v>
      </c>
      <c r="H1720" s="1" t="n">
        <v>3.5</v>
      </c>
      <c r="I1720" s="1" t="n">
        <v>0</v>
      </c>
      <c r="J1720" s="1" t="n">
        <v>20201</v>
      </c>
      <c r="L1720" s="1" t="str">
        <f aca="false">IF(D1719&lt;&gt;D1720,D1720,"")</f>
        <v/>
      </c>
      <c r="M1720" s="1" t="str">
        <f aca="false">IF(F1719&lt;&gt;F1720,F1720,"")</f>
        <v/>
      </c>
    </row>
    <row r="1721" customFormat="false" ht="15" hidden="false" customHeight="false" outlineLevel="0" collapsed="false">
      <c r="A1721" s="1" t="s">
        <v>213</v>
      </c>
      <c r="B1721" s="1" t="s">
        <v>214</v>
      </c>
      <c r="C1721" s="1" t="s">
        <v>856</v>
      </c>
      <c r="D1721" s="1" t="s">
        <v>857</v>
      </c>
      <c r="E1721" s="1" t="n">
        <v>20171</v>
      </c>
      <c r="F1721" s="1" t="s">
        <v>208</v>
      </c>
      <c r="G1721" s="1" t="s">
        <v>18</v>
      </c>
      <c r="H1721" s="1" t="n">
        <v>3</v>
      </c>
      <c r="I1721" s="1" t="n">
        <v>0</v>
      </c>
      <c r="J1721" s="1" t="n">
        <v>20201</v>
      </c>
      <c r="L1721" s="1" t="str">
        <f aca="false">IF(D1720&lt;&gt;D1721,D1721,"")</f>
        <v/>
      </c>
      <c r="M1721" s="1" t="str">
        <f aca="false">IF(F1720&lt;&gt;F1721,F1721,"")</f>
        <v/>
      </c>
    </row>
    <row r="1722" customFormat="false" ht="15" hidden="false" customHeight="false" outlineLevel="0" collapsed="false">
      <c r="A1722" s="1" t="s">
        <v>215</v>
      </c>
      <c r="B1722" s="1" t="s">
        <v>216</v>
      </c>
      <c r="C1722" s="1" t="s">
        <v>856</v>
      </c>
      <c r="D1722" s="1" t="s">
        <v>857</v>
      </c>
      <c r="E1722" s="1" t="n">
        <v>20171</v>
      </c>
      <c r="F1722" s="1" t="s">
        <v>208</v>
      </c>
      <c r="G1722" s="1" t="s">
        <v>101</v>
      </c>
      <c r="H1722" s="1" t="n">
        <v>2.5</v>
      </c>
      <c r="I1722" s="1" t="n">
        <v>0</v>
      </c>
      <c r="J1722" s="1" t="n">
        <v>20201</v>
      </c>
      <c r="L1722" s="1" t="str">
        <f aca="false">IF(D1721&lt;&gt;D1722,D1722,"")</f>
        <v/>
      </c>
      <c r="M1722" s="1" t="str">
        <f aca="false">IF(F1721&lt;&gt;F1722,F1722,"")</f>
        <v/>
      </c>
    </row>
    <row r="1723" customFormat="false" ht="15" hidden="false" customHeight="false" outlineLevel="0" collapsed="false">
      <c r="A1723" s="1" t="s">
        <v>217</v>
      </c>
      <c r="B1723" s="1" t="s">
        <v>218</v>
      </c>
      <c r="C1723" s="1" t="s">
        <v>856</v>
      </c>
      <c r="D1723" s="1" t="s">
        <v>857</v>
      </c>
      <c r="E1723" s="1" t="n">
        <v>20171</v>
      </c>
      <c r="F1723" s="1" t="s">
        <v>208</v>
      </c>
      <c r="G1723" s="1" t="s">
        <v>15</v>
      </c>
      <c r="H1723" s="1" t="n">
        <v>3.5</v>
      </c>
      <c r="I1723" s="1" t="n">
        <v>0</v>
      </c>
      <c r="J1723" s="1" t="n">
        <v>20201</v>
      </c>
      <c r="L1723" s="1" t="str">
        <f aca="false">IF(D1722&lt;&gt;D1723,D1723,"")</f>
        <v/>
      </c>
      <c r="M1723" s="1" t="str">
        <f aca="false">IF(F1722&lt;&gt;F1723,F1723,"")</f>
        <v/>
      </c>
    </row>
    <row r="1724" customFormat="false" ht="15" hidden="false" customHeight="false" outlineLevel="0" collapsed="false">
      <c r="A1724" s="1" t="s">
        <v>219</v>
      </c>
      <c r="B1724" s="1" t="s">
        <v>220</v>
      </c>
      <c r="C1724" s="1" t="s">
        <v>856</v>
      </c>
      <c r="D1724" s="1" t="s">
        <v>857</v>
      </c>
      <c r="E1724" s="1" t="n">
        <v>20171</v>
      </c>
      <c r="F1724" s="1" t="s">
        <v>208</v>
      </c>
      <c r="G1724" s="1" t="s">
        <v>18</v>
      </c>
      <c r="H1724" s="1" t="n">
        <v>3</v>
      </c>
      <c r="I1724" s="1" t="n">
        <v>0</v>
      </c>
      <c r="J1724" s="1" t="n">
        <v>20201</v>
      </c>
      <c r="L1724" s="1" t="str">
        <f aca="false">IF(D1723&lt;&gt;D1724,D1724,"")</f>
        <v/>
      </c>
      <c r="M1724" s="1" t="str">
        <f aca="false">IF(F1723&lt;&gt;F1724,F1724,"")</f>
        <v/>
      </c>
    </row>
    <row r="1725" customFormat="false" ht="15" hidden="false" customHeight="false" outlineLevel="0" collapsed="false">
      <c r="A1725" s="1" t="s">
        <v>221</v>
      </c>
      <c r="B1725" s="1" t="s">
        <v>222</v>
      </c>
      <c r="C1725" s="1" t="s">
        <v>856</v>
      </c>
      <c r="D1725" s="1" t="s">
        <v>857</v>
      </c>
      <c r="E1725" s="1" t="n">
        <v>20171</v>
      </c>
      <c r="F1725" s="1" t="s">
        <v>208</v>
      </c>
      <c r="G1725" s="1" t="s">
        <v>18</v>
      </c>
      <c r="H1725" s="1" t="n">
        <v>3</v>
      </c>
      <c r="I1725" s="1" t="n">
        <v>0</v>
      </c>
      <c r="J1725" s="1" t="n">
        <v>20201</v>
      </c>
      <c r="L1725" s="1" t="str">
        <f aca="false">IF(D1724&lt;&gt;D1725,D1725,"")</f>
        <v/>
      </c>
      <c r="M1725" s="1" t="str">
        <f aca="false">IF(F1724&lt;&gt;F1725,F1725,"")</f>
        <v/>
      </c>
    </row>
    <row r="1726" customFormat="false" ht="15" hidden="false" customHeight="false" outlineLevel="0" collapsed="false">
      <c r="A1726" s="1" t="s">
        <v>223</v>
      </c>
      <c r="B1726" s="1" t="s">
        <v>224</v>
      </c>
      <c r="C1726" s="1" t="s">
        <v>856</v>
      </c>
      <c r="D1726" s="1" t="s">
        <v>857</v>
      </c>
      <c r="E1726" s="1" t="n">
        <v>20171</v>
      </c>
      <c r="F1726" s="1" t="s">
        <v>208</v>
      </c>
      <c r="G1726" s="1" t="s">
        <v>14</v>
      </c>
      <c r="H1726" s="1" t="n">
        <v>4</v>
      </c>
      <c r="I1726" s="1" t="n">
        <v>0</v>
      </c>
      <c r="J1726" s="1" t="n">
        <v>20201</v>
      </c>
      <c r="L1726" s="1" t="str">
        <f aca="false">IF(D1725&lt;&gt;D1726,D1726,"")</f>
        <v/>
      </c>
      <c r="M1726" s="1" t="str">
        <f aca="false">IF(F1725&lt;&gt;F1726,F1726,"")</f>
        <v/>
      </c>
    </row>
    <row r="1727" customFormat="false" ht="15" hidden="false" customHeight="false" outlineLevel="0" collapsed="false">
      <c r="A1727" s="1" t="s">
        <v>225</v>
      </c>
      <c r="B1727" s="1" t="s">
        <v>226</v>
      </c>
      <c r="C1727" s="1" t="s">
        <v>856</v>
      </c>
      <c r="D1727" s="1" t="s">
        <v>857</v>
      </c>
      <c r="E1727" s="1" t="n">
        <v>20171</v>
      </c>
      <c r="F1727" s="1" t="s">
        <v>208</v>
      </c>
      <c r="G1727" s="1" t="s">
        <v>30</v>
      </c>
      <c r="H1727" s="1" t="n">
        <v>1.5</v>
      </c>
      <c r="I1727" s="1" t="n">
        <v>0</v>
      </c>
      <c r="J1727" s="1" t="n">
        <v>20201</v>
      </c>
      <c r="L1727" s="1" t="str">
        <f aca="false">IF(D1726&lt;&gt;D1727,D1727,"")</f>
        <v/>
      </c>
      <c r="M1727" s="1" t="str">
        <f aca="false">IF(F1726&lt;&gt;F1727,F1727,"")</f>
        <v/>
      </c>
    </row>
    <row r="1728" customFormat="false" ht="15" hidden="false" customHeight="false" outlineLevel="0" collapsed="false">
      <c r="A1728" s="1" t="s">
        <v>227</v>
      </c>
      <c r="B1728" s="1" t="s">
        <v>228</v>
      </c>
      <c r="C1728" s="1" t="s">
        <v>856</v>
      </c>
      <c r="D1728" s="1" t="s">
        <v>857</v>
      </c>
      <c r="E1728" s="1" t="n">
        <v>20171</v>
      </c>
      <c r="F1728" s="1" t="s">
        <v>208</v>
      </c>
      <c r="G1728" s="1" t="s">
        <v>101</v>
      </c>
      <c r="H1728" s="1" t="n">
        <v>2.5</v>
      </c>
      <c r="I1728" s="1" t="n">
        <v>0</v>
      </c>
      <c r="J1728" s="1" t="n">
        <v>20201</v>
      </c>
      <c r="L1728" s="1" t="str">
        <f aca="false">IF(D1727&lt;&gt;D1728,D1728,"")</f>
        <v/>
      </c>
      <c r="M1728" s="1" t="str">
        <f aca="false">IF(F1727&lt;&gt;F1728,F1728,"")</f>
        <v/>
      </c>
    </row>
    <row r="1729" customFormat="false" ht="15" hidden="false" customHeight="false" outlineLevel="0" collapsed="false">
      <c r="A1729" s="1" t="s">
        <v>229</v>
      </c>
      <c r="B1729" s="1" t="s">
        <v>230</v>
      </c>
      <c r="C1729" s="1" t="s">
        <v>856</v>
      </c>
      <c r="D1729" s="1" t="s">
        <v>857</v>
      </c>
      <c r="E1729" s="1" t="n">
        <v>20171</v>
      </c>
      <c r="F1729" s="1" t="s">
        <v>208</v>
      </c>
      <c r="G1729" s="1" t="s">
        <v>15</v>
      </c>
      <c r="H1729" s="1" t="n">
        <v>3.5</v>
      </c>
      <c r="I1729" s="1" t="n">
        <v>0</v>
      </c>
      <c r="J1729" s="1" t="n">
        <v>20201</v>
      </c>
      <c r="L1729" s="1" t="str">
        <f aca="false">IF(D1728&lt;&gt;D1729,D1729,"")</f>
        <v/>
      </c>
      <c r="M1729" s="1" t="str">
        <f aca="false">IF(F1728&lt;&gt;F1729,F1729,"")</f>
        <v/>
      </c>
    </row>
    <row r="1730" customFormat="false" ht="15" hidden="false" customHeight="false" outlineLevel="0" collapsed="false">
      <c r="A1730" s="1" t="s">
        <v>231</v>
      </c>
      <c r="B1730" s="1" t="s">
        <v>232</v>
      </c>
      <c r="C1730" s="1" t="s">
        <v>856</v>
      </c>
      <c r="D1730" s="1" t="s">
        <v>857</v>
      </c>
      <c r="E1730" s="1" t="n">
        <v>20171</v>
      </c>
      <c r="F1730" s="1" t="s">
        <v>208</v>
      </c>
      <c r="G1730" s="1" t="s">
        <v>30</v>
      </c>
      <c r="H1730" s="1" t="n">
        <v>1.5</v>
      </c>
      <c r="I1730" s="1" t="n">
        <v>0</v>
      </c>
      <c r="J1730" s="1" t="n">
        <v>20201</v>
      </c>
      <c r="L1730" s="1" t="str">
        <f aca="false">IF(D1729&lt;&gt;D1730,D1730,"")</f>
        <v/>
      </c>
      <c r="M1730" s="1" t="str">
        <f aca="false">IF(F1729&lt;&gt;F1730,F1730,"")</f>
        <v/>
      </c>
    </row>
    <row r="1731" customFormat="false" ht="15" hidden="false" customHeight="false" outlineLevel="0" collapsed="false">
      <c r="A1731" s="1" t="s">
        <v>233</v>
      </c>
      <c r="B1731" s="1" t="s">
        <v>234</v>
      </c>
      <c r="C1731" s="1" t="s">
        <v>856</v>
      </c>
      <c r="D1731" s="1" t="s">
        <v>857</v>
      </c>
      <c r="E1731" s="1" t="n">
        <v>20171</v>
      </c>
      <c r="F1731" s="1" t="s">
        <v>208</v>
      </c>
      <c r="G1731" s="1" t="s">
        <v>14</v>
      </c>
      <c r="H1731" s="1" t="n">
        <v>4</v>
      </c>
      <c r="I1731" s="1" t="n">
        <v>0</v>
      </c>
      <c r="J1731" s="1" t="n">
        <v>20201</v>
      </c>
      <c r="L1731" s="1" t="str">
        <f aca="false">IF(D1730&lt;&gt;D1731,D1731,"")</f>
        <v/>
      </c>
      <c r="M1731" s="1" t="str">
        <f aca="false">IF(F1730&lt;&gt;F1731,F1731,"")</f>
        <v/>
      </c>
    </row>
    <row r="1732" customFormat="false" ht="15" hidden="false" customHeight="false" outlineLevel="0" collapsed="false">
      <c r="A1732" s="1" t="s">
        <v>235</v>
      </c>
      <c r="B1732" s="1" t="s">
        <v>236</v>
      </c>
      <c r="C1732" s="1" t="s">
        <v>856</v>
      </c>
      <c r="D1732" s="1" t="s">
        <v>857</v>
      </c>
      <c r="E1732" s="1" t="n">
        <v>20171</v>
      </c>
      <c r="F1732" s="1" t="s">
        <v>208</v>
      </c>
      <c r="G1732" s="1" t="s">
        <v>14</v>
      </c>
      <c r="H1732" s="1" t="n">
        <v>4</v>
      </c>
      <c r="I1732" s="1" t="n">
        <v>0</v>
      </c>
      <c r="J1732" s="1" t="n">
        <v>20201</v>
      </c>
      <c r="L1732" s="1" t="str">
        <f aca="false">IF(D1731&lt;&gt;D1732,D1732,"")</f>
        <v/>
      </c>
      <c r="M1732" s="1" t="str">
        <f aca="false">IF(F1731&lt;&gt;F1732,F1732,"")</f>
        <v/>
      </c>
    </row>
    <row r="1733" customFormat="false" ht="15" hidden="false" customHeight="false" outlineLevel="0" collapsed="false">
      <c r="A1733" s="1" t="s">
        <v>237</v>
      </c>
      <c r="B1733" s="1" t="s">
        <v>238</v>
      </c>
      <c r="C1733" s="1" t="s">
        <v>856</v>
      </c>
      <c r="D1733" s="1" t="s">
        <v>857</v>
      </c>
      <c r="E1733" s="1" t="n">
        <v>20171</v>
      </c>
      <c r="F1733" s="1" t="s">
        <v>208</v>
      </c>
      <c r="G1733" s="1" t="s">
        <v>15</v>
      </c>
      <c r="H1733" s="1" t="n">
        <v>3.5</v>
      </c>
      <c r="I1733" s="1" t="n">
        <v>0</v>
      </c>
      <c r="J1733" s="1" t="n">
        <v>20201</v>
      </c>
      <c r="L1733" s="1" t="str">
        <f aca="false">IF(D1732&lt;&gt;D1733,D1733,"")</f>
        <v/>
      </c>
      <c r="M1733" s="1" t="str">
        <f aca="false">IF(F1732&lt;&gt;F1733,F1733,"")</f>
        <v/>
      </c>
    </row>
    <row r="1734" customFormat="false" ht="15" hidden="false" customHeight="false" outlineLevel="0" collapsed="false">
      <c r="A1734" s="1" t="s">
        <v>239</v>
      </c>
      <c r="B1734" s="1" t="s">
        <v>240</v>
      </c>
      <c r="C1734" s="1" t="s">
        <v>856</v>
      </c>
      <c r="D1734" s="1" t="s">
        <v>857</v>
      </c>
      <c r="E1734" s="1" t="n">
        <v>20171</v>
      </c>
      <c r="F1734" s="1" t="s">
        <v>208</v>
      </c>
      <c r="G1734" s="1" t="s">
        <v>18</v>
      </c>
      <c r="H1734" s="1" t="n">
        <v>3</v>
      </c>
      <c r="I1734" s="1" t="n">
        <v>0</v>
      </c>
      <c r="J1734" s="1" t="n">
        <v>20201</v>
      </c>
      <c r="L1734" s="1" t="str">
        <f aca="false">IF(D1733&lt;&gt;D1734,D1734,"")</f>
        <v/>
      </c>
      <c r="M1734" s="1" t="str">
        <f aca="false">IF(F1733&lt;&gt;F1734,F1734,"")</f>
        <v/>
      </c>
    </row>
    <row r="1735" customFormat="false" ht="15" hidden="false" customHeight="false" outlineLevel="0" collapsed="false">
      <c r="A1735" s="1" t="s">
        <v>241</v>
      </c>
      <c r="B1735" s="1" t="s">
        <v>242</v>
      </c>
      <c r="C1735" s="1" t="s">
        <v>856</v>
      </c>
      <c r="D1735" s="1" t="s">
        <v>857</v>
      </c>
      <c r="E1735" s="1" t="n">
        <v>20171</v>
      </c>
      <c r="F1735" s="1" t="s">
        <v>208</v>
      </c>
      <c r="G1735" s="1" t="s">
        <v>15</v>
      </c>
      <c r="H1735" s="1" t="n">
        <v>3.5</v>
      </c>
      <c r="I1735" s="1" t="n">
        <v>0</v>
      </c>
      <c r="J1735" s="1" t="n">
        <v>20201</v>
      </c>
      <c r="L1735" s="1" t="str">
        <f aca="false">IF(D1734&lt;&gt;D1735,D1735,"")</f>
        <v/>
      </c>
      <c r="M1735" s="1" t="str">
        <f aca="false">IF(F1734&lt;&gt;F1735,F1735,"")</f>
        <v/>
      </c>
    </row>
    <row r="1736" customFormat="false" ht="15" hidden="false" customHeight="false" outlineLevel="0" collapsed="false">
      <c r="A1736" s="1" t="s">
        <v>245</v>
      </c>
      <c r="B1736" s="1" t="s">
        <v>246</v>
      </c>
      <c r="C1736" s="1" t="s">
        <v>856</v>
      </c>
      <c r="D1736" s="1" t="s">
        <v>857</v>
      </c>
      <c r="E1736" s="1" t="n">
        <v>20171</v>
      </c>
      <c r="F1736" s="1" t="s">
        <v>208</v>
      </c>
      <c r="G1736" s="1" t="s">
        <v>15</v>
      </c>
      <c r="H1736" s="1" t="n">
        <v>3.5</v>
      </c>
      <c r="I1736" s="1" t="n">
        <v>0</v>
      </c>
      <c r="J1736" s="1" t="n">
        <v>20201</v>
      </c>
      <c r="L1736" s="1" t="str">
        <f aca="false">IF(D1735&lt;&gt;D1736,D1736,"")</f>
        <v/>
      </c>
      <c r="M1736" s="1" t="str">
        <f aca="false">IF(F1735&lt;&gt;F1736,F1736,"")</f>
        <v/>
      </c>
    </row>
    <row r="1737" customFormat="false" ht="15" hidden="false" customHeight="false" outlineLevel="0" collapsed="false">
      <c r="A1737" s="1" t="s">
        <v>247</v>
      </c>
      <c r="B1737" s="1" t="s">
        <v>248</v>
      </c>
      <c r="C1737" s="1" t="s">
        <v>856</v>
      </c>
      <c r="D1737" s="1" t="s">
        <v>857</v>
      </c>
      <c r="E1737" s="1" t="n">
        <v>20171</v>
      </c>
      <c r="F1737" s="1" t="s">
        <v>208</v>
      </c>
      <c r="G1737" s="1" t="s">
        <v>14</v>
      </c>
      <c r="H1737" s="1" t="n">
        <v>4</v>
      </c>
      <c r="I1737" s="1" t="n">
        <v>0</v>
      </c>
      <c r="J1737" s="1" t="n">
        <v>20201</v>
      </c>
      <c r="L1737" s="1" t="str">
        <f aca="false">IF(D1736&lt;&gt;D1737,D1737,"")</f>
        <v/>
      </c>
      <c r="M1737" s="1" t="str">
        <f aca="false">IF(F1736&lt;&gt;F1737,F1737,"")</f>
        <v/>
      </c>
    </row>
    <row r="1738" customFormat="false" ht="15" hidden="false" customHeight="false" outlineLevel="0" collapsed="false">
      <c r="A1738" s="1" t="s">
        <v>249</v>
      </c>
      <c r="B1738" s="1" t="s">
        <v>250</v>
      </c>
      <c r="C1738" s="1" t="s">
        <v>856</v>
      </c>
      <c r="D1738" s="1" t="s">
        <v>857</v>
      </c>
      <c r="E1738" s="1" t="n">
        <v>20171</v>
      </c>
      <c r="F1738" s="1" t="s">
        <v>208</v>
      </c>
      <c r="G1738" s="1" t="s">
        <v>14</v>
      </c>
      <c r="H1738" s="1" t="n">
        <v>4</v>
      </c>
      <c r="I1738" s="1" t="n">
        <v>0</v>
      </c>
      <c r="J1738" s="1" t="n">
        <v>20201</v>
      </c>
      <c r="L1738" s="1" t="str">
        <f aca="false">IF(D1737&lt;&gt;D1738,D1738,"")</f>
        <v/>
      </c>
      <c r="M1738" s="1" t="str">
        <f aca="false">IF(F1737&lt;&gt;F1738,F1738,"")</f>
        <v/>
      </c>
    </row>
    <row r="1739" customFormat="false" ht="15" hidden="false" customHeight="false" outlineLevel="0" collapsed="false">
      <c r="A1739" s="1" t="s">
        <v>251</v>
      </c>
      <c r="B1739" s="1" t="s">
        <v>252</v>
      </c>
      <c r="C1739" s="1" t="s">
        <v>856</v>
      </c>
      <c r="D1739" s="1" t="s">
        <v>857</v>
      </c>
      <c r="E1739" s="1" t="n">
        <v>20171</v>
      </c>
      <c r="F1739" s="1" t="s">
        <v>208</v>
      </c>
      <c r="G1739" s="1" t="s">
        <v>15</v>
      </c>
      <c r="H1739" s="1" t="n">
        <v>3.5</v>
      </c>
      <c r="I1739" s="1" t="n">
        <v>0</v>
      </c>
      <c r="J1739" s="1" t="n">
        <v>20201</v>
      </c>
      <c r="L1739" s="1" t="str">
        <f aca="false">IF(D1738&lt;&gt;D1739,D1739,"")</f>
        <v/>
      </c>
      <c r="M1739" s="1" t="str">
        <f aca="false">IF(F1738&lt;&gt;F1739,F1739,"")</f>
        <v/>
      </c>
    </row>
    <row r="1740" customFormat="false" ht="15" hidden="false" customHeight="false" outlineLevel="0" collapsed="false">
      <c r="A1740" s="1" t="s">
        <v>253</v>
      </c>
      <c r="B1740" s="1" t="s">
        <v>254</v>
      </c>
      <c r="C1740" s="1" t="s">
        <v>856</v>
      </c>
      <c r="D1740" s="1" t="s">
        <v>857</v>
      </c>
      <c r="E1740" s="1" t="n">
        <v>20171</v>
      </c>
      <c r="F1740" s="1" t="s">
        <v>208</v>
      </c>
      <c r="G1740" s="1" t="s">
        <v>18</v>
      </c>
      <c r="H1740" s="1" t="n">
        <v>3</v>
      </c>
      <c r="I1740" s="1" t="n">
        <v>0</v>
      </c>
      <c r="J1740" s="1" t="n">
        <v>20201</v>
      </c>
      <c r="L1740" s="1" t="str">
        <f aca="false">IF(D1739&lt;&gt;D1740,D1740,"")</f>
        <v/>
      </c>
      <c r="M1740" s="1" t="str">
        <f aca="false">IF(F1739&lt;&gt;F1740,F1740,"")</f>
        <v/>
      </c>
    </row>
    <row r="1741" customFormat="false" ht="15" hidden="false" customHeight="false" outlineLevel="0" collapsed="false">
      <c r="A1741" s="1" t="s">
        <v>255</v>
      </c>
      <c r="B1741" s="1" t="s">
        <v>256</v>
      </c>
      <c r="C1741" s="1" t="s">
        <v>856</v>
      </c>
      <c r="D1741" s="1" t="s">
        <v>857</v>
      </c>
      <c r="E1741" s="1" t="n">
        <v>20171</v>
      </c>
      <c r="F1741" s="1" t="s">
        <v>208</v>
      </c>
      <c r="G1741" s="1" t="s">
        <v>15</v>
      </c>
      <c r="H1741" s="1" t="n">
        <v>3.5</v>
      </c>
      <c r="I1741" s="1" t="n">
        <v>0</v>
      </c>
      <c r="J1741" s="1" t="n">
        <v>20201</v>
      </c>
      <c r="L1741" s="1" t="str">
        <f aca="false">IF(D1740&lt;&gt;D1741,D1741,"")</f>
        <v/>
      </c>
      <c r="M1741" s="1" t="str">
        <f aca="false">IF(F1740&lt;&gt;F1741,F1741,"")</f>
        <v/>
      </c>
    </row>
    <row r="1742" customFormat="false" ht="15" hidden="false" customHeight="false" outlineLevel="0" collapsed="false">
      <c r="A1742" s="1" t="s">
        <v>257</v>
      </c>
      <c r="B1742" s="1" t="s">
        <v>258</v>
      </c>
      <c r="C1742" s="1" t="s">
        <v>856</v>
      </c>
      <c r="D1742" s="1" t="s">
        <v>857</v>
      </c>
      <c r="E1742" s="1" t="n">
        <v>20171</v>
      </c>
      <c r="F1742" s="1" t="s">
        <v>208</v>
      </c>
      <c r="G1742" s="1" t="s">
        <v>15</v>
      </c>
      <c r="H1742" s="1" t="n">
        <v>3.5</v>
      </c>
      <c r="I1742" s="1" t="n">
        <v>0</v>
      </c>
      <c r="J1742" s="1" t="n">
        <v>20201</v>
      </c>
      <c r="L1742" s="1" t="str">
        <f aca="false">IF(D1741&lt;&gt;D1742,D1742,"")</f>
        <v/>
      </c>
      <c r="M1742" s="1" t="str">
        <f aca="false">IF(F1741&lt;&gt;F1742,F1742,"")</f>
        <v/>
      </c>
    </row>
    <row r="1743" customFormat="false" ht="15" hidden="false" customHeight="false" outlineLevel="0" collapsed="false">
      <c r="A1743" s="1" t="s">
        <v>529</v>
      </c>
      <c r="B1743" s="1" t="s">
        <v>530</v>
      </c>
      <c r="C1743" s="1" t="s">
        <v>858</v>
      </c>
      <c r="D1743" s="1" t="s">
        <v>859</v>
      </c>
      <c r="E1743" s="1" t="n">
        <v>20171</v>
      </c>
      <c r="F1743" s="1" t="s">
        <v>208</v>
      </c>
      <c r="G1743" s="1" t="s">
        <v>14</v>
      </c>
      <c r="H1743" s="1" t="n">
        <v>4</v>
      </c>
      <c r="I1743" s="1" t="n">
        <v>0</v>
      </c>
      <c r="J1743" s="1" t="n">
        <v>20201</v>
      </c>
      <c r="L1743" s="1" t="str">
        <f aca="false">IF(D1742&lt;&gt;D1743,D1743,"")</f>
        <v>PEMROGRAMAN BERORIENTASI OBYEK</v>
      </c>
      <c r="M1743" s="1" t="str">
        <f aca="false">IF(F1742&lt;&gt;F1743,F1743,"")</f>
        <v/>
      </c>
    </row>
    <row r="1744" customFormat="false" ht="15" hidden="false" customHeight="false" outlineLevel="0" collapsed="false">
      <c r="A1744" s="1" t="s">
        <v>531</v>
      </c>
      <c r="B1744" s="1" t="s">
        <v>532</v>
      </c>
      <c r="C1744" s="1" t="s">
        <v>858</v>
      </c>
      <c r="D1744" s="1" t="s">
        <v>859</v>
      </c>
      <c r="E1744" s="1" t="n">
        <v>20171</v>
      </c>
      <c r="F1744" s="1" t="s">
        <v>208</v>
      </c>
      <c r="G1744" s="1" t="s">
        <v>14</v>
      </c>
      <c r="H1744" s="1" t="n">
        <v>4</v>
      </c>
      <c r="I1744" s="1" t="n">
        <v>0</v>
      </c>
      <c r="J1744" s="1" t="n">
        <v>20201</v>
      </c>
      <c r="L1744" s="1" t="str">
        <f aca="false">IF(D1743&lt;&gt;D1744,D1744,"")</f>
        <v/>
      </c>
      <c r="M1744" s="1" t="str">
        <f aca="false">IF(F1743&lt;&gt;F1744,F1744,"")</f>
        <v/>
      </c>
    </row>
    <row r="1745" customFormat="false" ht="15" hidden="false" customHeight="false" outlineLevel="0" collapsed="false">
      <c r="A1745" s="1" t="s">
        <v>533</v>
      </c>
      <c r="B1745" s="1" t="s">
        <v>534</v>
      </c>
      <c r="C1745" s="1" t="s">
        <v>858</v>
      </c>
      <c r="D1745" s="1" t="s">
        <v>859</v>
      </c>
      <c r="E1745" s="1" t="n">
        <v>20171</v>
      </c>
      <c r="F1745" s="1" t="s">
        <v>208</v>
      </c>
      <c r="G1745" s="1" t="s">
        <v>14</v>
      </c>
      <c r="H1745" s="1" t="n">
        <v>4</v>
      </c>
      <c r="I1745" s="1" t="n">
        <v>0</v>
      </c>
      <c r="J1745" s="1" t="n">
        <v>20201</v>
      </c>
      <c r="L1745" s="1" t="str">
        <f aca="false">IF(D1744&lt;&gt;D1745,D1745,"")</f>
        <v/>
      </c>
      <c r="M1745" s="1" t="str">
        <f aca="false">IF(F1744&lt;&gt;F1745,F1745,"")</f>
        <v/>
      </c>
    </row>
    <row r="1746" customFormat="false" ht="15" hidden="false" customHeight="false" outlineLevel="0" collapsed="false">
      <c r="A1746" s="1" t="s">
        <v>535</v>
      </c>
      <c r="B1746" s="1" t="s">
        <v>536</v>
      </c>
      <c r="C1746" s="1" t="s">
        <v>858</v>
      </c>
      <c r="D1746" s="1" t="s">
        <v>859</v>
      </c>
      <c r="E1746" s="1" t="n">
        <v>20171</v>
      </c>
      <c r="F1746" s="1" t="s">
        <v>208</v>
      </c>
      <c r="G1746" s="1" t="s">
        <v>14</v>
      </c>
      <c r="H1746" s="1" t="n">
        <v>4</v>
      </c>
      <c r="I1746" s="1" t="n">
        <v>0</v>
      </c>
      <c r="J1746" s="1" t="n">
        <v>20201</v>
      </c>
      <c r="L1746" s="1" t="str">
        <f aca="false">IF(D1745&lt;&gt;D1746,D1746,"")</f>
        <v/>
      </c>
      <c r="M1746" s="1" t="str">
        <f aca="false">IF(F1745&lt;&gt;F1746,F1746,"")</f>
        <v/>
      </c>
    </row>
    <row r="1747" customFormat="false" ht="15" hidden="false" customHeight="false" outlineLevel="0" collapsed="false">
      <c r="A1747" s="1" t="s">
        <v>537</v>
      </c>
      <c r="B1747" s="1" t="s">
        <v>538</v>
      </c>
      <c r="C1747" s="1" t="s">
        <v>858</v>
      </c>
      <c r="D1747" s="1" t="s">
        <v>859</v>
      </c>
      <c r="E1747" s="1" t="n">
        <v>20171</v>
      </c>
      <c r="F1747" s="1" t="s">
        <v>208</v>
      </c>
      <c r="G1747" s="1" t="s">
        <v>14</v>
      </c>
      <c r="H1747" s="1" t="n">
        <v>4</v>
      </c>
      <c r="I1747" s="1" t="n">
        <v>0</v>
      </c>
      <c r="J1747" s="1" t="n">
        <v>20201</v>
      </c>
      <c r="L1747" s="1" t="str">
        <f aca="false">IF(D1746&lt;&gt;D1747,D1747,"")</f>
        <v/>
      </c>
      <c r="M1747" s="1" t="str">
        <f aca="false">IF(F1746&lt;&gt;F1747,F1747,"")</f>
        <v/>
      </c>
    </row>
    <row r="1748" customFormat="false" ht="15" hidden="false" customHeight="false" outlineLevel="0" collapsed="false">
      <c r="A1748" s="1" t="s">
        <v>312</v>
      </c>
      <c r="B1748" s="1" t="s">
        <v>313</v>
      </c>
      <c r="C1748" s="1" t="s">
        <v>858</v>
      </c>
      <c r="D1748" s="1" t="s">
        <v>859</v>
      </c>
      <c r="E1748" s="1" t="n">
        <v>20171</v>
      </c>
      <c r="F1748" s="1" t="s">
        <v>208</v>
      </c>
      <c r="G1748" s="1" t="s">
        <v>15</v>
      </c>
      <c r="H1748" s="1" t="n">
        <v>3.5</v>
      </c>
      <c r="I1748" s="1" t="n">
        <v>0</v>
      </c>
      <c r="J1748" s="1" t="n">
        <v>20201</v>
      </c>
      <c r="L1748" s="1" t="str">
        <f aca="false">IF(D1747&lt;&gt;D1748,D1748,"")</f>
        <v/>
      </c>
      <c r="M1748" s="1" t="str">
        <f aca="false">IF(F1747&lt;&gt;F1748,F1748,"")</f>
        <v/>
      </c>
    </row>
    <row r="1749" customFormat="false" ht="15" hidden="false" customHeight="false" outlineLevel="0" collapsed="false">
      <c r="A1749" s="1" t="s">
        <v>539</v>
      </c>
      <c r="B1749" s="1" t="s">
        <v>540</v>
      </c>
      <c r="C1749" s="1" t="s">
        <v>858</v>
      </c>
      <c r="D1749" s="1" t="s">
        <v>859</v>
      </c>
      <c r="E1749" s="1" t="n">
        <v>20171</v>
      </c>
      <c r="F1749" s="1" t="s">
        <v>208</v>
      </c>
      <c r="G1749" s="1" t="s">
        <v>15</v>
      </c>
      <c r="H1749" s="1" t="n">
        <v>3.5</v>
      </c>
      <c r="I1749" s="1" t="n">
        <v>0</v>
      </c>
      <c r="J1749" s="1" t="n">
        <v>20201</v>
      </c>
      <c r="L1749" s="1" t="str">
        <f aca="false">IF(D1748&lt;&gt;D1749,D1749,"")</f>
        <v/>
      </c>
      <c r="M1749" s="1" t="str">
        <f aca="false">IF(F1748&lt;&gt;F1749,F1749,"")</f>
        <v/>
      </c>
    </row>
    <row r="1750" customFormat="false" ht="15" hidden="false" customHeight="false" outlineLevel="0" collapsed="false">
      <c r="A1750" s="1" t="s">
        <v>541</v>
      </c>
      <c r="B1750" s="1" t="s">
        <v>542</v>
      </c>
      <c r="C1750" s="1" t="s">
        <v>858</v>
      </c>
      <c r="D1750" s="1" t="s">
        <v>859</v>
      </c>
      <c r="E1750" s="1" t="n">
        <v>20171</v>
      </c>
      <c r="F1750" s="1" t="s">
        <v>208</v>
      </c>
      <c r="G1750" s="1" t="s">
        <v>14</v>
      </c>
      <c r="H1750" s="1" t="n">
        <v>4</v>
      </c>
      <c r="I1750" s="1" t="n">
        <v>0</v>
      </c>
      <c r="J1750" s="1" t="n">
        <v>20201</v>
      </c>
      <c r="L1750" s="1" t="str">
        <f aca="false">IF(D1749&lt;&gt;D1750,D1750,"")</f>
        <v/>
      </c>
      <c r="M1750" s="1" t="str">
        <f aca="false">IF(F1749&lt;&gt;F1750,F1750,"")</f>
        <v/>
      </c>
    </row>
    <row r="1751" customFormat="false" ht="15" hidden="false" customHeight="false" outlineLevel="0" collapsed="false">
      <c r="A1751" s="1" t="s">
        <v>543</v>
      </c>
      <c r="B1751" s="1" t="s">
        <v>544</v>
      </c>
      <c r="C1751" s="1" t="s">
        <v>858</v>
      </c>
      <c r="D1751" s="1" t="s">
        <v>859</v>
      </c>
      <c r="E1751" s="1" t="n">
        <v>20171</v>
      </c>
      <c r="F1751" s="1" t="s">
        <v>208</v>
      </c>
      <c r="G1751" s="1" t="s">
        <v>15</v>
      </c>
      <c r="H1751" s="1" t="n">
        <v>3.5</v>
      </c>
      <c r="I1751" s="1" t="n">
        <v>0</v>
      </c>
      <c r="J1751" s="1" t="n">
        <v>20201</v>
      </c>
      <c r="L1751" s="1" t="str">
        <f aca="false">IF(D1750&lt;&gt;D1751,D1751,"")</f>
        <v/>
      </c>
      <c r="M1751" s="1" t="str">
        <f aca="false">IF(F1750&lt;&gt;F1751,F1751,"")</f>
        <v/>
      </c>
    </row>
    <row r="1752" customFormat="false" ht="15" hidden="false" customHeight="false" outlineLevel="0" collapsed="false">
      <c r="A1752" s="1" t="s">
        <v>545</v>
      </c>
      <c r="B1752" s="1" t="s">
        <v>546</v>
      </c>
      <c r="C1752" s="1" t="s">
        <v>858</v>
      </c>
      <c r="D1752" s="1" t="s">
        <v>859</v>
      </c>
      <c r="E1752" s="1" t="n">
        <v>20171</v>
      </c>
      <c r="F1752" s="1" t="s">
        <v>208</v>
      </c>
      <c r="G1752" s="1" t="s">
        <v>14</v>
      </c>
      <c r="H1752" s="1" t="n">
        <v>4</v>
      </c>
      <c r="I1752" s="1" t="n">
        <v>0</v>
      </c>
      <c r="J1752" s="1" t="n">
        <v>20201</v>
      </c>
      <c r="L1752" s="1" t="str">
        <f aca="false">IF(D1751&lt;&gt;D1752,D1752,"")</f>
        <v/>
      </c>
      <c r="M1752" s="1" t="str">
        <f aca="false">IF(F1751&lt;&gt;F1752,F1752,"")</f>
        <v/>
      </c>
    </row>
    <row r="1753" customFormat="false" ht="15" hidden="false" customHeight="false" outlineLevel="0" collapsed="false">
      <c r="A1753" s="1" t="s">
        <v>547</v>
      </c>
      <c r="B1753" s="1" t="s">
        <v>548</v>
      </c>
      <c r="C1753" s="1" t="s">
        <v>858</v>
      </c>
      <c r="D1753" s="1" t="s">
        <v>859</v>
      </c>
      <c r="E1753" s="1" t="n">
        <v>20171</v>
      </c>
      <c r="F1753" s="1" t="s">
        <v>208</v>
      </c>
      <c r="G1753" s="1" t="s">
        <v>14</v>
      </c>
      <c r="H1753" s="1" t="n">
        <v>4</v>
      </c>
      <c r="I1753" s="1" t="n">
        <v>0</v>
      </c>
      <c r="J1753" s="1" t="n">
        <v>20201</v>
      </c>
      <c r="L1753" s="1" t="str">
        <f aca="false">IF(D1752&lt;&gt;D1753,D1753,"")</f>
        <v/>
      </c>
      <c r="M1753" s="1" t="str">
        <f aca="false">IF(F1752&lt;&gt;F1753,F1753,"")</f>
        <v/>
      </c>
    </row>
    <row r="1754" customFormat="false" ht="15" hidden="false" customHeight="false" outlineLevel="0" collapsed="false">
      <c r="A1754" s="1" t="s">
        <v>549</v>
      </c>
      <c r="B1754" s="1" t="s">
        <v>550</v>
      </c>
      <c r="C1754" s="1" t="s">
        <v>858</v>
      </c>
      <c r="D1754" s="1" t="s">
        <v>859</v>
      </c>
      <c r="E1754" s="1" t="n">
        <v>20171</v>
      </c>
      <c r="F1754" s="1" t="s">
        <v>208</v>
      </c>
      <c r="G1754" s="1" t="s">
        <v>14</v>
      </c>
      <c r="H1754" s="1" t="n">
        <v>4</v>
      </c>
      <c r="I1754" s="1" t="n">
        <v>0</v>
      </c>
      <c r="J1754" s="1" t="n">
        <v>20201</v>
      </c>
      <c r="L1754" s="1" t="str">
        <f aca="false">IF(D1753&lt;&gt;D1754,D1754,"")</f>
        <v/>
      </c>
      <c r="M1754" s="1" t="str">
        <f aca="false">IF(F1753&lt;&gt;F1754,F1754,"")</f>
        <v/>
      </c>
    </row>
    <row r="1755" customFormat="false" ht="15" hidden="false" customHeight="false" outlineLevel="0" collapsed="false">
      <c r="A1755" s="1" t="s">
        <v>198</v>
      </c>
      <c r="B1755" s="1" t="s">
        <v>199</v>
      </c>
      <c r="C1755" s="1" t="s">
        <v>858</v>
      </c>
      <c r="D1755" s="1" t="s">
        <v>859</v>
      </c>
      <c r="E1755" s="1" t="n">
        <v>20171</v>
      </c>
      <c r="F1755" s="1" t="s">
        <v>208</v>
      </c>
      <c r="G1755" s="1" t="s">
        <v>15</v>
      </c>
      <c r="H1755" s="1" t="n">
        <v>3.5</v>
      </c>
      <c r="I1755" s="1" t="n">
        <v>0</v>
      </c>
      <c r="J1755" s="1" t="n">
        <v>20201</v>
      </c>
      <c r="L1755" s="1" t="str">
        <f aca="false">IF(D1754&lt;&gt;D1755,D1755,"")</f>
        <v/>
      </c>
      <c r="M1755" s="1" t="str">
        <f aca="false">IF(F1754&lt;&gt;F1755,F1755,"")</f>
        <v/>
      </c>
    </row>
    <row r="1756" customFormat="false" ht="15" hidden="false" customHeight="false" outlineLevel="0" collapsed="false">
      <c r="A1756" s="1" t="s">
        <v>785</v>
      </c>
      <c r="B1756" s="1" t="s">
        <v>786</v>
      </c>
      <c r="C1756" s="1" t="s">
        <v>860</v>
      </c>
      <c r="D1756" s="1" t="s">
        <v>861</v>
      </c>
      <c r="E1756" s="1" t="n">
        <v>20171</v>
      </c>
      <c r="F1756" s="1" t="s">
        <v>208</v>
      </c>
      <c r="G1756" s="1" t="s">
        <v>14</v>
      </c>
      <c r="H1756" s="1" t="n">
        <v>4</v>
      </c>
      <c r="I1756" s="1" t="n">
        <v>0</v>
      </c>
      <c r="J1756" s="1" t="n">
        <v>20201</v>
      </c>
      <c r="L1756" s="1" t="str">
        <f aca="false">IF(D1755&lt;&gt;D1756,D1756,"")</f>
        <v>PEMROGRAMAN PLATFORM INDEPENDENT</v>
      </c>
      <c r="M1756" s="1" t="str">
        <f aca="false">IF(F1755&lt;&gt;F1756,F1756,"")</f>
        <v/>
      </c>
    </row>
    <row r="1757" customFormat="false" ht="15" hidden="false" customHeight="false" outlineLevel="0" collapsed="false">
      <c r="A1757" s="1" t="s">
        <v>525</v>
      </c>
      <c r="B1757" s="1" t="s">
        <v>526</v>
      </c>
      <c r="C1757" s="1" t="s">
        <v>860</v>
      </c>
      <c r="D1757" s="1" t="s">
        <v>861</v>
      </c>
      <c r="E1757" s="1" t="n">
        <v>20171</v>
      </c>
      <c r="F1757" s="1" t="s">
        <v>208</v>
      </c>
      <c r="G1757" s="1" t="s">
        <v>14</v>
      </c>
      <c r="H1757" s="1" t="n">
        <v>4</v>
      </c>
      <c r="I1757" s="1" t="n">
        <v>0</v>
      </c>
      <c r="J1757" s="1" t="n">
        <v>20201</v>
      </c>
      <c r="L1757" s="1" t="str">
        <f aca="false">IF(D1756&lt;&gt;D1757,D1757,"")</f>
        <v/>
      </c>
      <c r="M1757" s="1" t="str">
        <f aca="false">IF(F1756&lt;&gt;F1757,F1757,"")</f>
        <v/>
      </c>
    </row>
    <row r="1758" customFormat="false" ht="15" hidden="false" customHeight="false" outlineLevel="0" collapsed="false">
      <c r="A1758" s="1" t="s">
        <v>802</v>
      </c>
      <c r="B1758" s="1" t="s">
        <v>803</v>
      </c>
      <c r="C1758" s="1" t="s">
        <v>860</v>
      </c>
      <c r="D1758" s="1" t="s">
        <v>861</v>
      </c>
      <c r="E1758" s="1" t="n">
        <v>20171</v>
      </c>
      <c r="F1758" s="1" t="s">
        <v>208</v>
      </c>
      <c r="G1758" s="1" t="s">
        <v>14</v>
      </c>
      <c r="H1758" s="1" t="n">
        <v>4</v>
      </c>
      <c r="I1758" s="1" t="n">
        <v>0</v>
      </c>
      <c r="J1758" s="1" t="n">
        <v>20201</v>
      </c>
      <c r="L1758" s="1" t="str">
        <f aca="false">IF(D1757&lt;&gt;D1758,D1758,"")</f>
        <v/>
      </c>
      <c r="M1758" s="1" t="str">
        <f aca="false">IF(F1757&lt;&gt;F1758,F1758,"")</f>
        <v/>
      </c>
    </row>
    <row r="1759" customFormat="false" ht="15" hidden="false" customHeight="false" outlineLevel="0" collapsed="false">
      <c r="A1759" s="1" t="s">
        <v>844</v>
      </c>
      <c r="B1759" s="1" t="s">
        <v>845</v>
      </c>
      <c r="C1759" s="1" t="s">
        <v>860</v>
      </c>
      <c r="D1759" s="1" t="s">
        <v>861</v>
      </c>
      <c r="E1759" s="1" t="n">
        <v>20171</v>
      </c>
      <c r="F1759" s="1" t="s">
        <v>208</v>
      </c>
      <c r="G1759" s="1" t="s">
        <v>14</v>
      </c>
      <c r="H1759" s="1" t="n">
        <v>4</v>
      </c>
      <c r="I1759" s="1" t="n">
        <v>0</v>
      </c>
      <c r="J1759" s="1" t="n">
        <v>20201</v>
      </c>
      <c r="L1759" s="1" t="str">
        <f aca="false">IF(D1758&lt;&gt;D1759,D1759,"")</f>
        <v/>
      </c>
      <c r="M1759" s="1" t="str">
        <f aca="false">IF(F1758&lt;&gt;F1759,F1759,"")</f>
        <v/>
      </c>
    </row>
    <row r="1760" customFormat="false" ht="15" hidden="false" customHeight="false" outlineLevel="0" collapsed="false">
      <c r="A1760" s="1" t="s">
        <v>623</v>
      </c>
      <c r="B1760" s="1" t="s">
        <v>624</v>
      </c>
      <c r="C1760" s="1" t="s">
        <v>860</v>
      </c>
      <c r="D1760" s="1" t="s">
        <v>861</v>
      </c>
      <c r="E1760" s="1" t="n">
        <v>20171</v>
      </c>
      <c r="F1760" s="1" t="s">
        <v>208</v>
      </c>
      <c r="G1760" s="1" t="s">
        <v>14</v>
      </c>
      <c r="H1760" s="1" t="n">
        <v>4</v>
      </c>
      <c r="I1760" s="1" t="n">
        <v>0</v>
      </c>
      <c r="J1760" s="1" t="n">
        <v>20201</v>
      </c>
      <c r="L1760" s="1" t="str">
        <f aca="false">IF(D1759&lt;&gt;D1760,D1760,"")</f>
        <v/>
      </c>
      <c r="M1760" s="1" t="str">
        <f aca="false">IF(F1759&lt;&gt;F1760,F1760,"")</f>
        <v/>
      </c>
    </row>
    <row r="1761" customFormat="false" ht="15" hidden="false" customHeight="false" outlineLevel="0" collapsed="false">
      <c r="A1761" s="1" t="s">
        <v>585</v>
      </c>
      <c r="B1761" s="1" t="s">
        <v>586</v>
      </c>
      <c r="C1761" s="1" t="s">
        <v>860</v>
      </c>
      <c r="D1761" s="1" t="s">
        <v>861</v>
      </c>
      <c r="E1761" s="1" t="n">
        <v>20171</v>
      </c>
      <c r="F1761" s="1" t="s">
        <v>208</v>
      </c>
      <c r="G1761" s="1" t="s">
        <v>14</v>
      </c>
      <c r="H1761" s="1" t="n">
        <v>4</v>
      </c>
      <c r="I1761" s="1" t="n">
        <v>0</v>
      </c>
      <c r="J1761" s="1" t="n">
        <v>20201</v>
      </c>
      <c r="L1761" s="1" t="str">
        <f aca="false">IF(D1760&lt;&gt;D1761,D1761,"")</f>
        <v/>
      </c>
      <c r="M1761" s="1" t="str">
        <f aca="false">IF(F1760&lt;&gt;F1761,F1761,"")</f>
        <v/>
      </c>
    </row>
    <row r="1762" customFormat="false" ht="15" hidden="false" customHeight="false" outlineLevel="0" collapsed="false">
      <c r="A1762" s="1" t="s">
        <v>587</v>
      </c>
      <c r="B1762" s="1" t="s">
        <v>588</v>
      </c>
      <c r="C1762" s="1" t="s">
        <v>860</v>
      </c>
      <c r="D1762" s="1" t="s">
        <v>861</v>
      </c>
      <c r="E1762" s="1" t="n">
        <v>20171</v>
      </c>
      <c r="F1762" s="1" t="s">
        <v>208</v>
      </c>
      <c r="G1762" s="1" t="s">
        <v>14</v>
      </c>
      <c r="H1762" s="1" t="n">
        <v>4</v>
      </c>
      <c r="I1762" s="1" t="n">
        <v>0</v>
      </c>
      <c r="J1762" s="1" t="n">
        <v>20201</v>
      </c>
      <c r="L1762" s="1" t="str">
        <f aca="false">IF(D1761&lt;&gt;D1762,D1762,"")</f>
        <v/>
      </c>
      <c r="M1762" s="1" t="str">
        <f aca="false">IF(F1761&lt;&gt;F1762,F1762,"")</f>
        <v/>
      </c>
    </row>
    <row r="1763" customFormat="false" ht="15" hidden="false" customHeight="false" outlineLevel="0" collapsed="false">
      <c r="A1763" s="1" t="s">
        <v>814</v>
      </c>
      <c r="B1763" s="1" t="s">
        <v>815</v>
      </c>
      <c r="C1763" s="1" t="s">
        <v>860</v>
      </c>
      <c r="D1763" s="1" t="s">
        <v>861</v>
      </c>
      <c r="E1763" s="1" t="n">
        <v>20171</v>
      </c>
      <c r="F1763" s="1" t="s">
        <v>208</v>
      </c>
      <c r="G1763" s="1" t="s">
        <v>14</v>
      </c>
      <c r="H1763" s="1" t="n">
        <v>4</v>
      </c>
      <c r="I1763" s="1" t="n">
        <v>0</v>
      </c>
      <c r="J1763" s="1" t="n">
        <v>20201</v>
      </c>
      <c r="L1763" s="1" t="str">
        <f aca="false">IF(D1762&lt;&gt;D1763,D1763,"")</f>
        <v/>
      </c>
      <c r="M1763" s="1" t="str">
        <f aca="false">IF(F1762&lt;&gt;F1763,F1763,"")</f>
        <v/>
      </c>
    </row>
    <row r="1764" customFormat="false" ht="15" hidden="false" customHeight="false" outlineLevel="0" collapsed="false">
      <c r="A1764" s="1" t="s">
        <v>512</v>
      </c>
      <c r="B1764" s="1" t="s">
        <v>513</v>
      </c>
      <c r="C1764" s="1" t="s">
        <v>860</v>
      </c>
      <c r="D1764" s="1" t="s">
        <v>861</v>
      </c>
      <c r="E1764" s="1" t="n">
        <v>20171</v>
      </c>
      <c r="F1764" s="1" t="s">
        <v>208</v>
      </c>
      <c r="G1764" s="1" t="s">
        <v>14</v>
      </c>
      <c r="H1764" s="1" t="n">
        <v>4</v>
      </c>
      <c r="I1764" s="1" t="n">
        <v>0</v>
      </c>
      <c r="J1764" s="1" t="n">
        <v>20201</v>
      </c>
      <c r="L1764" s="1" t="str">
        <f aca="false">IF(D1763&lt;&gt;D1764,D1764,"")</f>
        <v/>
      </c>
      <c r="M1764" s="1" t="str">
        <f aca="false">IF(F1763&lt;&gt;F1764,F1764,"")</f>
        <v/>
      </c>
    </row>
    <row r="1765" customFormat="false" ht="15" hidden="false" customHeight="false" outlineLevel="0" collapsed="false">
      <c r="A1765" s="1" t="s">
        <v>818</v>
      </c>
      <c r="B1765" s="1" t="s">
        <v>819</v>
      </c>
      <c r="C1765" s="1" t="s">
        <v>860</v>
      </c>
      <c r="D1765" s="1" t="s">
        <v>861</v>
      </c>
      <c r="E1765" s="1" t="n">
        <v>20171</v>
      </c>
      <c r="F1765" s="1" t="s">
        <v>208</v>
      </c>
      <c r="G1765" s="1" t="s">
        <v>14</v>
      </c>
      <c r="H1765" s="1" t="n">
        <v>4</v>
      </c>
      <c r="I1765" s="1" t="n">
        <v>0</v>
      </c>
      <c r="J1765" s="1" t="n">
        <v>20201</v>
      </c>
      <c r="L1765" s="1" t="str">
        <f aca="false">IF(D1764&lt;&gt;D1765,D1765,"")</f>
        <v/>
      </c>
      <c r="M1765" s="1" t="str">
        <f aca="false">IF(F1764&lt;&gt;F1765,F1765,"")</f>
        <v/>
      </c>
    </row>
    <row r="1766" customFormat="false" ht="15" hidden="false" customHeight="false" outlineLevel="0" collapsed="false">
      <c r="A1766" s="1" t="s">
        <v>673</v>
      </c>
      <c r="B1766" s="1" t="s">
        <v>674</v>
      </c>
      <c r="C1766" s="1" t="s">
        <v>860</v>
      </c>
      <c r="D1766" s="1" t="s">
        <v>861</v>
      </c>
      <c r="E1766" s="1" t="n">
        <v>20171</v>
      </c>
      <c r="F1766" s="1" t="s">
        <v>208</v>
      </c>
      <c r="G1766" s="1" t="s">
        <v>14</v>
      </c>
      <c r="H1766" s="1" t="n">
        <v>4</v>
      </c>
      <c r="I1766" s="1" t="n">
        <v>0</v>
      </c>
      <c r="J1766" s="1" t="n">
        <v>20201</v>
      </c>
      <c r="L1766" s="1" t="str">
        <f aca="false">IF(D1765&lt;&gt;D1766,D1766,"")</f>
        <v/>
      </c>
      <c r="M1766" s="1" t="str">
        <f aca="false">IF(F1765&lt;&gt;F1766,F1766,"")</f>
        <v/>
      </c>
    </row>
    <row r="1767" customFormat="false" ht="15" hidden="false" customHeight="false" outlineLevel="0" collapsed="false">
      <c r="A1767" s="1" t="s">
        <v>527</v>
      </c>
      <c r="B1767" s="1" t="s">
        <v>528</v>
      </c>
      <c r="C1767" s="1" t="s">
        <v>860</v>
      </c>
      <c r="D1767" s="1" t="s">
        <v>861</v>
      </c>
      <c r="E1767" s="1" t="n">
        <v>20171</v>
      </c>
      <c r="F1767" s="1" t="s">
        <v>208</v>
      </c>
      <c r="G1767" s="1" t="s">
        <v>14</v>
      </c>
      <c r="H1767" s="1" t="n">
        <v>4</v>
      </c>
      <c r="I1767" s="1" t="n">
        <v>0</v>
      </c>
      <c r="J1767" s="1" t="n">
        <v>20201</v>
      </c>
      <c r="L1767" s="1" t="str">
        <f aca="false">IF(D1766&lt;&gt;D1767,D1767,"")</f>
        <v/>
      </c>
      <c r="M1767" s="1" t="str">
        <f aca="false">IF(F1766&lt;&gt;F1767,F1767,"")</f>
        <v/>
      </c>
    </row>
    <row r="1768" customFormat="false" ht="15" hidden="false" customHeight="false" outlineLevel="0" collapsed="false">
      <c r="A1768" s="1" t="s">
        <v>820</v>
      </c>
      <c r="B1768" s="1" t="s">
        <v>821</v>
      </c>
      <c r="C1768" s="1" t="s">
        <v>860</v>
      </c>
      <c r="D1768" s="1" t="s">
        <v>861</v>
      </c>
      <c r="E1768" s="1" t="n">
        <v>20171</v>
      </c>
      <c r="F1768" s="1" t="s">
        <v>208</v>
      </c>
      <c r="G1768" s="1" t="s">
        <v>18</v>
      </c>
      <c r="H1768" s="1" t="n">
        <v>3</v>
      </c>
      <c r="I1768" s="1" t="n">
        <v>0</v>
      </c>
      <c r="J1768" s="1" t="n">
        <v>20201</v>
      </c>
      <c r="L1768" s="1" t="str">
        <f aca="false">IF(D1767&lt;&gt;D1768,D1768,"")</f>
        <v/>
      </c>
      <c r="M1768" s="1" t="str">
        <f aca="false">IF(F1767&lt;&gt;F1768,F1768,"")</f>
        <v/>
      </c>
    </row>
    <row r="1769" customFormat="false" ht="15" hidden="false" customHeight="false" outlineLevel="0" collapsed="false">
      <c r="A1769" s="1" t="s">
        <v>659</v>
      </c>
      <c r="B1769" s="1" t="s">
        <v>660</v>
      </c>
      <c r="C1769" s="1" t="s">
        <v>860</v>
      </c>
      <c r="D1769" s="1" t="s">
        <v>861</v>
      </c>
      <c r="E1769" s="1" t="n">
        <v>20171</v>
      </c>
      <c r="F1769" s="1" t="s">
        <v>208</v>
      </c>
      <c r="G1769" s="1" t="s">
        <v>14</v>
      </c>
      <c r="H1769" s="1" t="n">
        <v>4</v>
      </c>
      <c r="I1769" s="1" t="n">
        <v>0</v>
      </c>
      <c r="J1769" s="1" t="n">
        <v>20201</v>
      </c>
      <c r="L1769" s="1" t="str">
        <f aca="false">IF(D1768&lt;&gt;D1769,D1769,"")</f>
        <v/>
      </c>
      <c r="M1769" s="1" t="str">
        <f aca="false">IF(F1768&lt;&gt;F1769,F1769,"")</f>
        <v/>
      </c>
    </row>
    <row r="1770" customFormat="false" ht="15" hidden="false" customHeight="false" outlineLevel="0" collapsed="false">
      <c r="A1770" s="1" t="s">
        <v>629</v>
      </c>
      <c r="B1770" s="1" t="s">
        <v>630</v>
      </c>
      <c r="C1770" s="1" t="s">
        <v>860</v>
      </c>
      <c r="D1770" s="1" t="s">
        <v>861</v>
      </c>
      <c r="E1770" s="1" t="n">
        <v>20171</v>
      </c>
      <c r="F1770" s="1" t="s">
        <v>208</v>
      </c>
      <c r="G1770" s="1" t="s">
        <v>14</v>
      </c>
      <c r="H1770" s="1" t="n">
        <v>4</v>
      </c>
      <c r="I1770" s="1" t="n">
        <v>0</v>
      </c>
      <c r="J1770" s="1" t="n">
        <v>20201</v>
      </c>
      <c r="L1770" s="1" t="str">
        <f aca="false">IF(D1769&lt;&gt;D1770,D1770,"")</f>
        <v/>
      </c>
      <c r="M1770" s="1" t="str">
        <f aca="false">IF(F1769&lt;&gt;F1770,F1770,"")</f>
        <v/>
      </c>
    </row>
    <row r="1771" customFormat="false" ht="15" hidden="false" customHeight="false" outlineLevel="0" collapsed="false">
      <c r="A1771" s="1" t="s">
        <v>631</v>
      </c>
      <c r="B1771" s="1" t="s">
        <v>632</v>
      </c>
      <c r="C1771" s="1" t="s">
        <v>860</v>
      </c>
      <c r="D1771" s="1" t="s">
        <v>861</v>
      </c>
      <c r="E1771" s="1" t="n">
        <v>20171</v>
      </c>
      <c r="F1771" s="1" t="s">
        <v>208</v>
      </c>
      <c r="G1771" s="1" t="s">
        <v>14</v>
      </c>
      <c r="H1771" s="1" t="n">
        <v>4</v>
      </c>
      <c r="I1771" s="1" t="n">
        <v>0</v>
      </c>
      <c r="J1771" s="1" t="n">
        <v>20201</v>
      </c>
      <c r="L1771" s="1" t="str">
        <f aca="false">IF(D1770&lt;&gt;D1771,D1771,"")</f>
        <v/>
      </c>
      <c r="M1771" s="1" t="str">
        <f aca="false">IF(F1770&lt;&gt;F1771,F1771,"")</f>
        <v/>
      </c>
    </row>
    <row r="1772" customFormat="false" ht="15" hidden="false" customHeight="false" outlineLevel="0" collapsed="false">
      <c r="A1772" s="1" t="s">
        <v>633</v>
      </c>
      <c r="B1772" s="1" t="s">
        <v>634</v>
      </c>
      <c r="C1772" s="1" t="s">
        <v>860</v>
      </c>
      <c r="D1772" s="1" t="s">
        <v>861</v>
      </c>
      <c r="E1772" s="1" t="n">
        <v>20171</v>
      </c>
      <c r="F1772" s="1" t="s">
        <v>208</v>
      </c>
      <c r="G1772" s="1" t="s">
        <v>18</v>
      </c>
      <c r="H1772" s="1" t="n">
        <v>3</v>
      </c>
      <c r="I1772" s="1" t="n">
        <v>0</v>
      </c>
      <c r="J1772" s="1" t="n">
        <v>20201</v>
      </c>
      <c r="L1772" s="1" t="str">
        <f aca="false">IF(D1771&lt;&gt;D1772,D1772,"")</f>
        <v/>
      </c>
      <c r="M1772" s="1" t="str">
        <f aca="false">IF(F1771&lt;&gt;F1772,F1772,"")</f>
        <v/>
      </c>
    </row>
    <row r="1773" customFormat="false" ht="15" hidden="false" customHeight="false" outlineLevel="0" collapsed="false">
      <c r="A1773" s="1" t="s">
        <v>615</v>
      </c>
      <c r="B1773" s="1" t="s">
        <v>616</v>
      </c>
      <c r="C1773" s="1" t="s">
        <v>860</v>
      </c>
      <c r="D1773" s="1" t="s">
        <v>861</v>
      </c>
      <c r="E1773" s="1" t="n">
        <v>20171</v>
      </c>
      <c r="F1773" s="1" t="s">
        <v>208</v>
      </c>
      <c r="G1773" s="1" t="s">
        <v>18</v>
      </c>
      <c r="H1773" s="1" t="n">
        <v>3</v>
      </c>
      <c r="I1773" s="1" t="n">
        <v>0</v>
      </c>
      <c r="J1773" s="1" t="n">
        <v>20201</v>
      </c>
      <c r="L1773" s="1" t="str">
        <f aca="false">IF(D1772&lt;&gt;D1773,D1773,"")</f>
        <v/>
      </c>
      <c r="M1773" s="1" t="str">
        <f aca="false">IF(F1772&lt;&gt;F1773,F1773,"")</f>
        <v/>
      </c>
    </row>
    <row r="1774" customFormat="false" ht="15" hidden="false" customHeight="false" outlineLevel="0" collapsed="false">
      <c r="A1774" s="1" t="s">
        <v>824</v>
      </c>
      <c r="B1774" s="1" t="s">
        <v>825</v>
      </c>
      <c r="C1774" s="1" t="s">
        <v>860</v>
      </c>
      <c r="D1774" s="1" t="s">
        <v>861</v>
      </c>
      <c r="E1774" s="1" t="n">
        <v>20171</v>
      </c>
      <c r="F1774" s="1" t="s">
        <v>208</v>
      </c>
      <c r="G1774" s="1" t="s">
        <v>14</v>
      </c>
      <c r="H1774" s="1" t="n">
        <v>4</v>
      </c>
      <c r="I1774" s="1" t="n">
        <v>0</v>
      </c>
      <c r="J1774" s="1" t="n">
        <v>20201</v>
      </c>
      <c r="L1774" s="1" t="str">
        <f aca="false">IF(D1773&lt;&gt;D1774,D1774,"")</f>
        <v/>
      </c>
      <c r="M1774" s="1" t="str">
        <f aca="false">IF(F1773&lt;&gt;F1774,F1774,"")</f>
        <v/>
      </c>
    </row>
    <row r="1775" customFormat="false" ht="15" hidden="false" customHeight="false" outlineLevel="0" collapsed="false">
      <c r="A1775" s="1" t="s">
        <v>535</v>
      </c>
      <c r="B1775" s="1" t="s">
        <v>536</v>
      </c>
      <c r="C1775" s="1" t="s">
        <v>860</v>
      </c>
      <c r="D1775" s="1" t="s">
        <v>861</v>
      </c>
      <c r="E1775" s="1" t="n">
        <v>20171</v>
      </c>
      <c r="F1775" s="1" t="s">
        <v>208</v>
      </c>
      <c r="G1775" s="1" t="s">
        <v>14</v>
      </c>
      <c r="H1775" s="1" t="n">
        <v>4</v>
      </c>
      <c r="I1775" s="1" t="n">
        <v>0</v>
      </c>
      <c r="J1775" s="1" t="n">
        <v>20201</v>
      </c>
      <c r="L1775" s="1" t="str">
        <f aca="false">IF(D1774&lt;&gt;D1775,D1775,"")</f>
        <v/>
      </c>
      <c r="M1775" s="1" t="str">
        <f aca="false">IF(F1774&lt;&gt;F1775,F1775,"")</f>
        <v/>
      </c>
    </row>
    <row r="1776" customFormat="false" ht="15" hidden="false" customHeight="false" outlineLevel="0" collapsed="false">
      <c r="A1776" s="1" t="s">
        <v>537</v>
      </c>
      <c r="B1776" s="1" t="s">
        <v>538</v>
      </c>
      <c r="C1776" s="1" t="s">
        <v>860</v>
      </c>
      <c r="D1776" s="1" t="s">
        <v>861</v>
      </c>
      <c r="E1776" s="1" t="n">
        <v>20171</v>
      </c>
      <c r="F1776" s="1" t="s">
        <v>208</v>
      </c>
      <c r="G1776" s="1" t="s">
        <v>14</v>
      </c>
      <c r="H1776" s="1" t="n">
        <v>4</v>
      </c>
      <c r="I1776" s="1" t="n">
        <v>0</v>
      </c>
      <c r="J1776" s="1" t="n">
        <v>20201</v>
      </c>
      <c r="L1776" s="1" t="str">
        <f aca="false">IF(D1775&lt;&gt;D1776,D1776,"")</f>
        <v/>
      </c>
      <c r="M1776" s="1" t="str">
        <f aca="false">IF(F1775&lt;&gt;F1776,F1776,"")</f>
        <v/>
      </c>
    </row>
    <row r="1777" customFormat="false" ht="15" hidden="false" customHeight="false" outlineLevel="0" collapsed="false">
      <c r="A1777" s="1" t="s">
        <v>312</v>
      </c>
      <c r="B1777" s="1" t="s">
        <v>313</v>
      </c>
      <c r="C1777" s="1" t="s">
        <v>860</v>
      </c>
      <c r="D1777" s="1" t="s">
        <v>861</v>
      </c>
      <c r="E1777" s="1" t="n">
        <v>20171</v>
      </c>
      <c r="F1777" s="1" t="s">
        <v>208</v>
      </c>
      <c r="G1777" s="1" t="s">
        <v>14</v>
      </c>
      <c r="H1777" s="1" t="n">
        <v>4</v>
      </c>
      <c r="I1777" s="1" t="n">
        <v>0</v>
      </c>
      <c r="J1777" s="1" t="n">
        <v>20201</v>
      </c>
      <c r="L1777" s="1" t="str">
        <f aca="false">IF(D1776&lt;&gt;D1777,D1777,"")</f>
        <v/>
      </c>
      <c r="M1777" s="1" t="str">
        <f aca="false">IF(F1776&lt;&gt;F1777,F1777,"")</f>
        <v/>
      </c>
    </row>
    <row r="1778" customFormat="false" ht="15" hidden="false" customHeight="false" outlineLevel="0" collapsed="false">
      <c r="A1778" s="1" t="s">
        <v>539</v>
      </c>
      <c r="B1778" s="1" t="s">
        <v>540</v>
      </c>
      <c r="C1778" s="1" t="s">
        <v>860</v>
      </c>
      <c r="D1778" s="1" t="s">
        <v>861</v>
      </c>
      <c r="E1778" s="1" t="n">
        <v>20171</v>
      </c>
      <c r="F1778" s="1" t="s">
        <v>208</v>
      </c>
      <c r="G1778" s="1" t="s">
        <v>14</v>
      </c>
      <c r="H1778" s="1" t="n">
        <v>4</v>
      </c>
      <c r="I1778" s="1" t="n">
        <v>0</v>
      </c>
      <c r="J1778" s="1" t="n">
        <v>20201</v>
      </c>
      <c r="L1778" s="1" t="str">
        <f aca="false">IF(D1777&lt;&gt;D1778,D1778,"")</f>
        <v/>
      </c>
      <c r="M1778" s="1" t="str">
        <f aca="false">IF(F1777&lt;&gt;F1778,F1778,"")</f>
        <v/>
      </c>
    </row>
    <row r="1779" customFormat="false" ht="15" hidden="false" customHeight="false" outlineLevel="0" collapsed="false">
      <c r="A1779" s="1" t="s">
        <v>541</v>
      </c>
      <c r="B1779" s="1" t="s">
        <v>542</v>
      </c>
      <c r="C1779" s="1" t="s">
        <v>860</v>
      </c>
      <c r="D1779" s="1" t="s">
        <v>861</v>
      </c>
      <c r="E1779" s="1" t="n">
        <v>20171</v>
      </c>
      <c r="F1779" s="1" t="s">
        <v>208</v>
      </c>
      <c r="G1779" s="1" t="s">
        <v>14</v>
      </c>
      <c r="H1779" s="1" t="n">
        <v>4</v>
      </c>
      <c r="I1779" s="1" t="n">
        <v>0</v>
      </c>
      <c r="J1779" s="1" t="n">
        <v>20201</v>
      </c>
      <c r="L1779" s="1" t="str">
        <f aca="false">IF(D1778&lt;&gt;D1779,D1779,"")</f>
        <v/>
      </c>
      <c r="M1779" s="1" t="str">
        <f aca="false">IF(F1778&lt;&gt;F1779,F1779,"")</f>
        <v/>
      </c>
    </row>
    <row r="1780" customFormat="false" ht="15" hidden="false" customHeight="false" outlineLevel="0" collapsed="false">
      <c r="A1780" s="1" t="s">
        <v>543</v>
      </c>
      <c r="B1780" s="1" t="s">
        <v>544</v>
      </c>
      <c r="C1780" s="1" t="s">
        <v>860</v>
      </c>
      <c r="D1780" s="1" t="s">
        <v>861</v>
      </c>
      <c r="E1780" s="1" t="n">
        <v>20171</v>
      </c>
      <c r="F1780" s="1" t="s">
        <v>208</v>
      </c>
      <c r="G1780" s="1" t="s">
        <v>14</v>
      </c>
      <c r="H1780" s="1" t="n">
        <v>4</v>
      </c>
      <c r="I1780" s="1" t="n">
        <v>0</v>
      </c>
      <c r="J1780" s="1" t="n">
        <v>20201</v>
      </c>
      <c r="L1780" s="1" t="str">
        <f aca="false">IF(D1779&lt;&gt;D1780,D1780,"")</f>
        <v/>
      </c>
      <c r="M1780" s="1" t="str">
        <f aca="false">IF(F1779&lt;&gt;F1780,F1780,"")</f>
        <v/>
      </c>
    </row>
    <row r="1781" customFormat="false" ht="15" hidden="false" customHeight="false" outlineLevel="0" collapsed="false">
      <c r="A1781" s="1" t="s">
        <v>547</v>
      </c>
      <c r="B1781" s="1" t="s">
        <v>548</v>
      </c>
      <c r="C1781" s="1" t="s">
        <v>860</v>
      </c>
      <c r="D1781" s="1" t="s">
        <v>861</v>
      </c>
      <c r="E1781" s="1" t="n">
        <v>20171</v>
      </c>
      <c r="F1781" s="1" t="s">
        <v>208</v>
      </c>
      <c r="G1781" s="1" t="s">
        <v>14</v>
      </c>
      <c r="H1781" s="1" t="n">
        <v>4</v>
      </c>
      <c r="I1781" s="1" t="n">
        <v>0</v>
      </c>
      <c r="J1781" s="1" t="n">
        <v>20201</v>
      </c>
      <c r="L1781" s="1" t="str">
        <f aca="false">IF(D1780&lt;&gt;D1781,D1781,"")</f>
        <v/>
      </c>
      <c r="M1781" s="1" t="str">
        <f aca="false">IF(F1780&lt;&gt;F1781,F1781,"")</f>
        <v/>
      </c>
    </row>
    <row r="1782" customFormat="false" ht="15" hidden="false" customHeight="false" outlineLevel="0" collapsed="false">
      <c r="A1782" s="1" t="s">
        <v>549</v>
      </c>
      <c r="B1782" s="1" t="s">
        <v>550</v>
      </c>
      <c r="C1782" s="1" t="s">
        <v>860</v>
      </c>
      <c r="D1782" s="1" t="s">
        <v>861</v>
      </c>
      <c r="E1782" s="1" t="n">
        <v>20171</v>
      </c>
      <c r="F1782" s="1" t="s">
        <v>208</v>
      </c>
      <c r="G1782" s="1" t="s">
        <v>14</v>
      </c>
      <c r="H1782" s="1" t="n">
        <v>4</v>
      </c>
      <c r="I1782" s="1" t="n">
        <v>0</v>
      </c>
      <c r="J1782" s="1" t="n">
        <v>20201</v>
      </c>
      <c r="L1782" s="1" t="str">
        <f aca="false">IF(D1781&lt;&gt;D1782,D1782,"")</f>
        <v/>
      </c>
      <c r="M1782" s="1" t="str">
        <f aca="false">IF(F1781&lt;&gt;F1782,F1782,"")</f>
        <v/>
      </c>
    </row>
    <row r="1783" customFormat="false" ht="15" hidden="false" customHeight="false" outlineLevel="0" collapsed="false">
      <c r="A1783" s="1" t="s">
        <v>862</v>
      </c>
      <c r="B1783" s="1" t="s">
        <v>863</v>
      </c>
      <c r="C1783" s="1" t="s">
        <v>864</v>
      </c>
      <c r="D1783" s="1" t="s">
        <v>865</v>
      </c>
      <c r="E1783" s="1" t="n">
        <v>20171</v>
      </c>
      <c r="F1783" s="1" t="s">
        <v>303</v>
      </c>
      <c r="G1783" s="1" t="s">
        <v>124</v>
      </c>
      <c r="H1783" s="1" t="n">
        <v>0</v>
      </c>
      <c r="I1783" s="1" t="n">
        <v>0</v>
      </c>
      <c r="J1783" s="1" t="n">
        <v>20201</v>
      </c>
      <c r="L1783" s="1" t="str">
        <f aca="false">IF(D1782&lt;&gt;D1783,D1783,"")</f>
        <v>PENDIDIKAN AGAMA</v>
      </c>
      <c r="M1783" s="1" t="str">
        <f aca="false">IF(F1782&lt;&gt;F1783,F1783,"")</f>
        <v>TPB</v>
      </c>
    </row>
    <row r="1784" customFormat="false" ht="15" hidden="false" customHeight="false" outlineLevel="0" collapsed="false">
      <c r="A1784" s="1" t="s">
        <v>314</v>
      </c>
      <c r="B1784" s="1" t="s">
        <v>315</v>
      </c>
      <c r="C1784" s="1" t="s">
        <v>864</v>
      </c>
      <c r="D1784" s="1" t="s">
        <v>865</v>
      </c>
      <c r="E1784" s="1" t="n">
        <v>20171</v>
      </c>
      <c r="F1784" s="1" t="s">
        <v>303</v>
      </c>
      <c r="G1784" s="1" t="s">
        <v>18</v>
      </c>
      <c r="H1784" s="1" t="n">
        <v>3</v>
      </c>
      <c r="I1784" s="1" t="n">
        <v>0</v>
      </c>
      <c r="J1784" s="1" t="n">
        <v>20201</v>
      </c>
      <c r="L1784" s="1" t="str">
        <f aca="false">IF(D1783&lt;&gt;D1784,D1784,"")</f>
        <v/>
      </c>
      <c r="M1784" s="1" t="str">
        <f aca="false">IF(F1783&lt;&gt;F1784,F1784,"")</f>
        <v/>
      </c>
    </row>
    <row r="1785" customFormat="false" ht="15" hidden="false" customHeight="false" outlineLevel="0" collapsed="false">
      <c r="A1785" s="1" t="s">
        <v>316</v>
      </c>
      <c r="B1785" s="1" t="s">
        <v>317</v>
      </c>
      <c r="C1785" s="1" t="s">
        <v>864</v>
      </c>
      <c r="D1785" s="1" t="s">
        <v>865</v>
      </c>
      <c r="E1785" s="1" t="n">
        <v>20171</v>
      </c>
      <c r="F1785" s="1" t="s">
        <v>303</v>
      </c>
      <c r="G1785" s="1" t="s">
        <v>18</v>
      </c>
      <c r="H1785" s="1" t="n">
        <v>3</v>
      </c>
      <c r="I1785" s="1" t="n">
        <v>0</v>
      </c>
      <c r="J1785" s="1" t="n">
        <v>20201</v>
      </c>
      <c r="L1785" s="1" t="str">
        <f aca="false">IF(D1784&lt;&gt;D1785,D1785,"")</f>
        <v/>
      </c>
      <c r="M1785" s="1" t="str">
        <f aca="false">IF(F1784&lt;&gt;F1785,F1785,"")</f>
        <v/>
      </c>
    </row>
    <row r="1786" customFormat="false" ht="15" hidden="false" customHeight="false" outlineLevel="0" collapsed="false">
      <c r="A1786" s="1" t="s">
        <v>318</v>
      </c>
      <c r="B1786" s="1" t="s">
        <v>319</v>
      </c>
      <c r="C1786" s="1" t="s">
        <v>864</v>
      </c>
      <c r="D1786" s="1" t="s">
        <v>865</v>
      </c>
      <c r="E1786" s="1" t="n">
        <v>20171</v>
      </c>
      <c r="F1786" s="1" t="s">
        <v>303</v>
      </c>
      <c r="G1786" s="1" t="s">
        <v>14</v>
      </c>
      <c r="H1786" s="1" t="n">
        <v>4</v>
      </c>
      <c r="I1786" s="1" t="n">
        <v>0</v>
      </c>
      <c r="J1786" s="1" t="n">
        <v>20201</v>
      </c>
      <c r="L1786" s="1" t="str">
        <f aca="false">IF(D1785&lt;&gt;D1786,D1786,"")</f>
        <v/>
      </c>
      <c r="M1786" s="1" t="str">
        <f aca="false">IF(F1785&lt;&gt;F1786,F1786,"")</f>
        <v/>
      </c>
    </row>
    <row r="1787" customFormat="false" ht="15" hidden="false" customHeight="false" outlineLevel="0" collapsed="false">
      <c r="A1787" s="1" t="s">
        <v>320</v>
      </c>
      <c r="B1787" s="1" t="s">
        <v>321</v>
      </c>
      <c r="C1787" s="1" t="s">
        <v>864</v>
      </c>
      <c r="D1787" s="1" t="s">
        <v>865</v>
      </c>
      <c r="E1787" s="1" t="n">
        <v>20171</v>
      </c>
      <c r="F1787" s="1" t="s">
        <v>303</v>
      </c>
      <c r="G1787" s="1" t="s">
        <v>14</v>
      </c>
      <c r="H1787" s="1" t="n">
        <v>4</v>
      </c>
      <c r="I1787" s="1" t="n">
        <v>0</v>
      </c>
      <c r="J1787" s="1" t="n">
        <v>20201</v>
      </c>
      <c r="L1787" s="1" t="str">
        <f aca="false">IF(D1786&lt;&gt;D1787,D1787,"")</f>
        <v/>
      </c>
      <c r="M1787" s="1" t="str">
        <f aca="false">IF(F1786&lt;&gt;F1787,F1787,"")</f>
        <v/>
      </c>
    </row>
    <row r="1788" customFormat="false" ht="15" hidden="false" customHeight="false" outlineLevel="0" collapsed="false">
      <c r="A1788" s="1" t="s">
        <v>322</v>
      </c>
      <c r="B1788" s="1" t="s">
        <v>323</v>
      </c>
      <c r="C1788" s="1" t="s">
        <v>864</v>
      </c>
      <c r="D1788" s="1" t="s">
        <v>865</v>
      </c>
      <c r="E1788" s="1" t="n">
        <v>20171</v>
      </c>
      <c r="F1788" s="1" t="s">
        <v>303</v>
      </c>
      <c r="G1788" s="1" t="s">
        <v>15</v>
      </c>
      <c r="H1788" s="1" t="n">
        <v>3.5</v>
      </c>
      <c r="I1788" s="1" t="n">
        <v>0</v>
      </c>
      <c r="J1788" s="1" t="n">
        <v>20201</v>
      </c>
      <c r="L1788" s="1" t="str">
        <f aca="false">IF(D1787&lt;&gt;D1788,D1788,"")</f>
        <v/>
      </c>
      <c r="M1788" s="1" t="str">
        <f aca="false">IF(F1787&lt;&gt;F1788,F1788,"")</f>
        <v/>
      </c>
    </row>
    <row r="1789" customFormat="false" ht="15" hidden="false" customHeight="false" outlineLevel="0" collapsed="false">
      <c r="A1789" s="1" t="s">
        <v>324</v>
      </c>
      <c r="B1789" s="1" t="s">
        <v>325</v>
      </c>
      <c r="C1789" s="1" t="s">
        <v>864</v>
      </c>
      <c r="D1789" s="1" t="s">
        <v>865</v>
      </c>
      <c r="E1789" s="1" t="n">
        <v>20171</v>
      </c>
      <c r="F1789" s="1" t="s">
        <v>303</v>
      </c>
      <c r="G1789" s="1" t="s">
        <v>18</v>
      </c>
      <c r="H1789" s="1" t="n">
        <v>3</v>
      </c>
      <c r="I1789" s="1" t="n">
        <v>0</v>
      </c>
      <c r="J1789" s="1" t="n">
        <v>20201</v>
      </c>
      <c r="L1789" s="1" t="str">
        <f aca="false">IF(D1788&lt;&gt;D1789,D1789,"")</f>
        <v/>
      </c>
      <c r="M1789" s="1" t="str">
        <f aca="false">IF(F1788&lt;&gt;F1789,F1789,"")</f>
        <v/>
      </c>
    </row>
    <row r="1790" customFormat="false" ht="15" hidden="false" customHeight="false" outlineLevel="0" collapsed="false">
      <c r="A1790" s="1" t="s">
        <v>326</v>
      </c>
      <c r="B1790" s="1" t="s">
        <v>327</v>
      </c>
      <c r="C1790" s="1" t="s">
        <v>864</v>
      </c>
      <c r="D1790" s="1" t="s">
        <v>865</v>
      </c>
      <c r="E1790" s="1" t="n">
        <v>20171</v>
      </c>
      <c r="F1790" s="1" t="s">
        <v>303</v>
      </c>
      <c r="G1790" s="1" t="s">
        <v>14</v>
      </c>
      <c r="H1790" s="1" t="n">
        <v>4</v>
      </c>
      <c r="I1790" s="1" t="n">
        <v>0</v>
      </c>
      <c r="J1790" s="1" t="n">
        <v>20201</v>
      </c>
      <c r="L1790" s="1" t="str">
        <f aca="false">IF(D1789&lt;&gt;D1790,D1790,"")</f>
        <v/>
      </c>
      <c r="M1790" s="1" t="str">
        <f aca="false">IF(F1789&lt;&gt;F1790,F1790,"")</f>
        <v/>
      </c>
    </row>
    <row r="1791" customFormat="false" ht="15" hidden="false" customHeight="false" outlineLevel="0" collapsed="false">
      <c r="A1791" s="1" t="s">
        <v>328</v>
      </c>
      <c r="B1791" s="1" t="s">
        <v>329</v>
      </c>
      <c r="C1791" s="1" t="s">
        <v>864</v>
      </c>
      <c r="D1791" s="1" t="s">
        <v>865</v>
      </c>
      <c r="E1791" s="1" t="n">
        <v>20171</v>
      </c>
      <c r="F1791" s="1" t="s">
        <v>303</v>
      </c>
      <c r="G1791" s="1" t="s">
        <v>14</v>
      </c>
      <c r="H1791" s="1" t="n">
        <v>4</v>
      </c>
      <c r="I1791" s="1" t="n">
        <v>0</v>
      </c>
      <c r="J1791" s="1" t="n">
        <v>20201</v>
      </c>
      <c r="L1791" s="1" t="str">
        <f aca="false">IF(D1790&lt;&gt;D1791,D1791,"")</f>
        <v/>
      </c>
      <c r="M1791" s="1" t="str">
        <f aca="false">IF(F1790&lt;&gt;F1791,F1791,"")</f>
        <v/>
      </c>
    </row>
    <row r="1792" customFormat="false" ht="15" hidden="false" customHeight="false" outlineLevel="0" collapsed="false">
      <c r="A1792" s="1" t="s">
        <v>330</v>
      </c>
      <c r="B1792" s="1" t="s">
        <v>331</v>
      </c>
      <c r="C1792" s="1" t="s">
        <v>864</v>
      </c>
      <c r="D1792" s="1" t="s">
        <v>865</v>
      </c>
      <c r="E1792" s="1" t="n">
        <v>20171</v>
      </c>
      <c r="F1792" s="1" t="s">
        <v>303</v>
      </c>
      <c r="G1792" s="1" t="s">
        <v>14</v>
      </c>
      <c r="H1792" s="1" t="n">
        <v>4</v>
      </c>
      <c r="I1792" s="1" t="n">
        <v>0</v>
      </c>
      <c r="J1792" s="1" t="n">
        <v>20201</v>
      </c>
      <c r="L1792" s="1" t="str">
        <f aca="false">IF(D1791&lt;&gt;D1792,D1792,"")</f>
        <v/>
      </c>
      <c r="M1792" s="1" t="str">
        <f aca="false">IF(F1791&lt;&gt;F1792,F1792,"")</f>
        <v/>
      </c>
    </row>
    <row r="1793" customFormat="false" ht="15" hidden="false" customHeight="false" outlineLevel="0" collapsed="false">
      <c r="A1793" s="1" t="s">
        <v>332</v>
      </c>
      <c r="B1793" s="1" t="s">
        <v>333</v>
      </c>
      <c r="C1793" s="1" t="s">
        <v>864</v>
      </c>
      <c r="D1793" s="1" t="s">
        <v>865</v>
      </c>
      <c r="E1793" s="1" t="n">
        <v>20171</v>
      </c>
      <c r="F1793" s="1" t="s">
        <v>303</v>
      </c>
      <c r="G1793" s="1" t="s">
        <v>15</v>
      </c>
      <c r="H1793" s="1" t="n">
        <v>3.5</v>
      </c>
      <c r="I1793" s="1" t="n">
        <v>0</v>
      </c>
      <c r="J1793" s="1" t="n">
        <v>20201</v>
      </c>
      <c r="L1793" s="1" t="str">
        <f aca="false">IF(D1792&lt;&gt;D1793,D1793,"")</f>
        <v/>
      </c>
      <c r="M1793" s="1" t="str">
        <f aca="false">IF(F1792&lt;&gt;F1793,F1793,"")</f>
        <v/>
      </c>
    </row>
    <row r="1794" customFormat="false" ht="15" hidden="false" customHeight="false" outlineLevel="0" collapsed="false">
      <c r="A1794" s="1" t="s">
        <v>334</v>
      </c>
      <c r="B1794" s="1" t="s">
        <v>335</v>
      </c>
      <c r="C1794" s="1" t="s">
        <v>864</v>
      </c>
      <c r="D1794" s="1" t="s">
        <v>865</v>
      </c>
      <c r="E1794" s="1" t="n">
        <v>20171</v>
      </c>
      <c r="F1794" s="1" t="s">
        <v>303</v>
      </c>
      <c r="G1794" s="1" t="s">
        <v>14</v>
      </c>
      <c r="H1794" s="1" t="n">
        <v>4</v>
      </c>
      <c r="I1794" s="1" t="n">
        <v>0</v>
      </c>
      <c r="J1794" s="1" t="n">
        <v>20201</v>
      </c>
      <c r="L1794" s="1" t="str">
        <f aca="false">IF(D1793&lt;&gt;D1794,D1794,"")</f>
        <v/>
      </c>
      <c r="M1794" s="1" t="str">
        <f aca="false">IF(F1793&lt;&gt;F1794,F1794,"")</f>
        <v/>
      </c>
    </row>
    <row r="1795" customFormat="false" ht="15" hidden="false" customHeight="false" outlineLevel="0" collapsed="false">
      <c r="A1795" s="1" t="s">
        <v>336</v>
      </c>
      <c r="B1795" s="1" t="s">
        <v>337</v>
      </c>
      <c r="C1795" s="1" t="s">
        <v>864</v>
      </c>
      <c r="D1795" s="1" t="s">
        <v>865</v>
      </c>
      <c r="E1795" s="1" t="n">
        <v>20171</v>
      </c>
      <c r="F1795" s="1" t="s">
        <v>303</v>
      </c>
      <c r="G1795" s="1" t="s">
        <v>14</v>
      </c>
      <c r="H1795" s="1" t="n">
        <v>4</v>
      </c>
      <c r="I1795" s="1" t="n">
        <v>0</v>
      </c>
      <c r="J1795" s="1" t="n">
        <v>20201</v>
      </c>
      <c r="L1795" s="1" t="str">
        <f aca="false">IF(D1794&lt;&gt;D1795,D1795,"")</f>
        <v/>
      </c>
      <c r="M1795" s="1" t="str">
        <f aca="false">IF(F1794&lt;&gt;F1795,F1795,"")</f>
        <v/>
      </c>
    </row>
    <row r="1796" customFormat="false" ht="15" hidden="false" customHeight="false" outlineLevel="0" collapsed="false">
      <c r="A1796" s="1" t="s">
        <v>338</v>
      </c>
      <c r="B1796" s="1" t="s">
        <v>339</v>
      </c>
      <c r="C1796" s="1" t="s">
        <v>864</v>
      </c>
      <c r="D1796" s="1" t="s">
        <v>865</v>
      </c>
      <c r="E1796" s="1" t="n">
        <v>20171</v>
      </c>
      <c r="F1796" s="1" t="s">
        <v>303</v>
      </c>
      <c r="G1796" s="1" t="s">
        <v>15</v>
      </c>
      <c r="H1796" s="1" t="n">
        <v>3.5</v>
      </c>
      <c r="I1796" s="1" t="n">
        <v>0</v>
      </c>
      <c r="J1796" s="1" t="n">
        <v>20201</v>
      </c>
      <c r="L1796" s="1" t="str">
        <f aca="false">IF(D1795&lt;&gt;D1796,D1796,"")</f>
        <v/>
      </c>
      <c r="M1796" s="1" t="str">
        <f aca="false">IF(F1795&lt;&gt;F1796,F1796,"")</f>
        <v/>
      </c>
    </row>
    <row r="1797" customFormat="false" ht="15" hidden="false" customHeight="false" outlineLevel="0" collapsed="false">
      <c r="A1797" s="1" t="s">
        <v>340</v>
      </c>
      <c r="B1797" s="1" t="s">
        <v>341</v>
      </c>
      <c r="C1797" s="1" t="s">
        <v>864</v>
      </c>
      <c r="D1797" s="1" t="s">
        <v>865</v>
      </c>
      <c r="E1797" s="1" t="n">
        <v>20171</v>
      </c>
      <c r="F1797" s="1" t="s">
        <v>303</v>
      </c>
      <c r="G1797" s="1" t="s">
        <v>14</v>
      </c>
      <c r="H1797" s="1" t="n">
        <v>4</v>
      </c>
      <c r="I1797" s="1" t="n">
        <v>0</v>
      </c>
      <c r="J1797" s="1" t="n">
        <v>20201</v>
      </c>
      <c r="L1797" s="1" t="str">
        <f aca="false">IF(D1796&lt;&gt;D1797,D1797,"")</f>
        <v/>
      </c>
      <c r="M1797" s="1" t="str">
        <f aca="false">IF(F1796&lt;&gt;F1797,F1797,"")</f>
        <v/>
      </c>
    </row>
    <row r="1798" customFormat="false" ht="15" hidden="false" customHeight="false" outlineLevel="0" collapsed="false">
      <c r="A1798" s="1" t="s">
        <v>342</v>
      </c>
      <c r="B1798" s="1" t="s">
        <v>343</v>
      </c>
      <c r="C1798" s="1" t="s">
        <v>864</v>
      </c>
      <c r="D1798" s="1" t="s">
        <v>865</v>
      </c>
      <c r="E1798" s="1" t="n">
        <v>20171</v>
      </c>
      <c r="F1798" s="1" t="s">
        <v>303</v>
      </c>
      <c r="G1798" s="1" t="s">
        <v>14</v>
      </c>
      <c r="H1798" s="1" t="n">
        <v>4</v>
      </c>
      <c r="I1798" s="1" t="n">
        <v>0</v>
      </c>
      <c r="J1798" s="1" t="n">
        <v>20201</v>
      </c>
      <c r="L1798" s="1" t="str">
        <f aca="false">IF(D1797&lt;&gt;D1798,D1798,"")</f>
        <v/>
      </c>
      <c r="M1798" s="1" t="str">
        <f aca="false">IF(F1797&lt;&gt;F1798,F1798,"")</f>
        <v/>
      </c>
    </row>
    <row r="1799" customFormat="false" ht="15" hidden="false" customHeight="false" outlineLevel="0" collapsed="false">
      <c r="A1799" s="1" t="s">
        <v>344</v>
      </c>
      <c r="B1799" s="1" t="s">
        <v>345</v>
      </c>
      <c r="C1799" s="1" t="s">
        <v>864</v>
      </c>
      <c r="D1799" s="1" t="s">
        <v>865</v>
      </c>
      <c r="E1799" s="1" t="n">
        <v>20171</v>
      </c>
      <c r="F1799" s="1" t="s">
        <v>303</v>
      </c>
      <c r="G1799" s="1" t="s">
        <v>15</v>
      </c>
      <c r="H1799" s="1" t="n">
        <v>3.5</v>
      </c>
      <c r="I1799" s="1" t="n">
        <v>0</v>
      </c>
      <c r="J1799" s="1" t="n">
        <v>20201</v>
      </c>
      <c r="L1799" s="1" t="str">
        <f aca="false">IF(D1798&lt;&gt;D1799,D1799,"")</f>
        <v/>
      </c>
      <c r="M1799" s="1" t="str">
        <f aca="false">IF(F1798&lt;&gt;F1799,F1799,"")</f>
        <v/>
      </c>
    </row>
    <row r="1800" customFormat="false" ht="15" hidden="false" customHeight="false" outlineLevel="0" collapsed="false">
      <c r="A1800" s="1" t="s">
        <v>346</v>
      </c>
      <c r="B1800" s="1" t="s">
        <v>347</v>
      </c>
      <c r="C1800" s="1" t="s">
        <v>864</v>
      </c>
      <c r="D1800" s="1" t="s">
        <v>865</v>
      </c>
      <c r="E1800" s="1" t="n">
        <v>20171</v>
      </c>
      <c r="F1800" s="1" t="s">
        <v>303</v>
      </c>
      <c r="G1800" s="1" t="s">
        <v>124</v>
      </c>
      <c r="H1800" s="1" t="n">
        <v>0</v>
      </c>
      <c r="I1800" s="1" t="n">
        <v>0</v>
      </c>
      <c r="J1800" s="1" t="n">
        <v>20201</v>
      </c>
      <c r="L1800" s="1" t="str">
        <f aca="false">IF(D1799&lt;&gt;D1800,D1800,"")</f>
        <v/>
      </c>
      <c r="M1800" s="1" t="str">
        <f aca="false">IF(F1799&lt;&gt;F1800,F1800,"")</f>
        <v/>
      </c>
    </row>
    <row r="1801" customFormat="false" ht="15" hidden="false" customHeight="false" outlineLevel="0" collapsed="false">
      <c r="A1801" s="1" t="s">
        <v>348</v>
      </c>
      <c r="B1801" s="1" t="s">
        <v>349</v>
      </c>
      <c r="C1801" s="1" t="s">
        <v>864</v>
      </c>
      <c r="D1801" s="1" t="s">
        <v>865</v>
      </c>
      <c r="E1801" s="1" t="n">
        <v>20171</v>
      </c>
      <c r="F1801" s="1" t="s">
        <v>303</v>
      </c>
      <c r="G1801" s="1" t="s">
        <v>15</v>
      </c>
      <c r="H1801" s="1" t="n">
        <v>3.5</v>
      </c>
      <c r="I1801" s="1" t="n">
        <v>0</v>
      </c>
      <c r="J1801" s="1" t="n">
        <v>20201</v>
      </c>
      <c r="L1801" s="1" t="str">
        <f aca="false">IF(D1800&lt;&gt;D1801,D1801,"")</f>
        <v/>
      </c>
      <c r="M1801" s="1" t="str">
        <f aca="false">IF(F1800&lt;&gt;F1801,F1801,"")</f>
        <v/>
      </c>
    </row>
    <row r="1802" customFormat="false" ht="15" hidden="false" customHeight="false" outlineLevel="0" collapsed="false">
      <c r="A1802" s="1" t="s">
        <v>350</v>
      </c>
      <c r="B1802" s="1" t="s">
        <v>351</v>
      </c>
      <c r="C1802" s="1" t="s">
        <v>864</v>
      </c>
      <c r="D1802" s="1" t="s">
        <v>865</v>
      </c>
      <c r="E1802" s="1" t="n">
        <v>20171</v>
      </c>
      <c r="F1802" s="1" t="s">
        <v>303</v>
      </c>
      <c r="G1802" s="1" t="s">
        <v>14</v>
      </c>
      <c r="H1802" s="1" t="n">
        <v>4</v>
      </c>
      <c r="I1802" s="1" t="n">
        <v>0</v>
      </c>
      <c r="J1802" s="1" t="n">
        <v>20201</v>
      </c>
      <c r="L1802" s="1" t="str">
        <f aca="false">IF(D1801&lt;&gt;D1802,D1802,"")</f>
        <v/>
      </c>
      <c r="M1802" s="1" t="str">
        <f aca="false">IF(F1801&lt;&gt;F1802,F1802,"")</f>
        <v/>
      </c>
    </row>
    <row r="1803" customFormat="false" ht="15" hidden="false" customHeight="false" outlineLevel="0" collapsed="false">
      <c r="A1803" s="1" t="s">
        <v>352</v>
      </c>
      <c r="B1803" s="1" t="s">
        <v>353</v>
      </c>
      <c r="C1803" s="1" t="s">
        <v>864</v>
      </c>
      <c r="D1803" s="1" t="s">
        <v>865</v>
      </c>
      <c r="E1803" s="1" t="n">
        <v>20171</v>
      </c>
      <c r="F1803" s="1" t="s">
        <v>303</v>
      </c>
      <c r="G1803" s="1" t="s">
        <v>14</v>
      </c>
      <c r="H1803" s="1" t="n">
        <v>4</v>
      </c>
      <c r="I1803" s="1" t="n">
        <v>0</v>
      </c>
      <c r="J1803" s="1" t="n">
        <v>20201</v>
      </c>
      <c r="L1803" s="1" t="str">
        <f aca="false">IF(D1802&lt;&gt;D1803,D1803,"")</f>
        <v/>
      </c>
      <c r="M1803" s="1" t="str">
        <f aca="false">IF(F1802&lt;&gt;F1803,F1803,"")</f>
        <v/>
      </c>
    </row>
    <row r="1804" customFormat="false" ht="15" hidden="false" customHeight="false" outlineLevel="0" collapsed="false">
      <c r="A1804" s="1" t="s">
        <v>354</v>
      </c>
      <c r="B1804" s="1" t="s">
        <v>355</v>
      </c>
      <c r="C1804" s="1" t="s">
        <v>864</v>
      </c>
      <c r="D1804" s="1" t="s">
        <v>865</v>
      </c>
      <c r="E1804" s="1" t="n">
        <v>20171</v>
      </c>
      <c r="F1804" s="1" t="s">
        <v>303</v>
      </c>
      <c r="G1804" s="1" t="s">
        <v>124</v>
      </c>
      <c r="H1804" s="1" t="n">
        <v>0</v>
      </c>
      <c r="I1804" s="1" t="n">
        <v>0</v>
      </c>
      <c r="J1804" s="1" t="n">
        <v>20201</v>
      </c>
      <c r="L1804" s="1" t="str">
        <f aca="false">IF(D1803&lt;&gt;D1804,D1804,"")</f>
        <v/>
      </c>
      <c r="M1804" s="1" t="str">
        <f aca="false">IF(F1803&lt;&gt;F1804,F1804,"")</f>
        <v/>
      </c>
    </row>
    <row r="1805" customFormat="false" ht="15" hidden="false" customHeight="false" outlineLevel="0" collapsed="false">
      <c r="A1805" s="1" t="s">
        <v>356</v>
      </c>
      <c r="B1805" s="1" t="s">
        <v>357</v>
      </c>
      <c r="C1805" s="1" t="s">
        <v>864</v>
      </c>
      <c r="D1805" s="1" t="s">
        <v>865</v>
      </c>
      <c r="E1805" s="1" t="n">
        <v>20171</v>
      </c>
      <c r="F1805" s="1" t="s">
        <v>303</v>
      </c>
      <c r="G1805" s="1" t="s">
        <v>18</v>
      </c>
      <c r="H1805" s="1" t="n">
        <v>3</v>
      </c>
      <c r="I1805" s="1" t="n">
        <v>0</v>
      </c>
      <c r="J1805" s="1" t="n">
        <v>20201</v>
      </c>
      <c r="L1805" s="1" t="str">
        <f aca="false">IF(D1804&lt;&gt;D1805,D1805,"")</f>
        <v/>
      </c>
      <c r="M1805" s="1" t="str">
        <f aca="false">IF(F1804&lt;&gt;F1805,F1805,"")</f>
        <v/>
      </c>
    </row>
    <row r="1806" customFormat="false" ht="15" hidden="false" customHeight="false" outlineLevel="0" collapsed="false">
      <c r="A1806" s="1" t="s">
        <v>358</v>
      </c>
      <c r="B1806" s="1" t="s">
        <v>359</v>
      </c>
      <c r="C1806" s="1" t="s">
        <v>864</v>
      </c>
      <c r="D1806" s="1" t="s">
        <v>865</v>
      </c>
      <c r="E1806" s="1" t="n">
        <v>20171</v>
      </c>
      <c r="F1806" s="1" t="s">
        <v>303</v>
      </c>
      <c r="G1806" s="1" t="s">
        <v>124</v>
      </c>
      <c r="H1806" s="1" t="n">
        <v>0</v>
      </c>
      <c r="I1806" s="1" t="n">
        <v>0</v>
      </c>
      <c r="J1806" s="1" t="n">
        <v>20201</v>
      </c>
      <c r="L1806" s="1" t="str">
        <f aca="false">IF(D1805&lt;&gt;D1806,D1806,"")</f>
        <v/>
      </c>
      <c r="M1806" s="1" t="str">
        <f aca="false">IF(F1805&lt;&gt;F1806,F1806,"")</f>
        <v/>
      </c>
    </row>
    <row r="1807" customFormat="false" ht="15" hidden="false" customHeight="false" outlineLevel="0" collapsed="false">
      <c r="A1807" s="1" t="s">
        <v>360</v>
      </c>
      <c r="B1807" s="1" t="s">
        <v>361</v>
      </c>
      <c r="C1807" s="1" t="s">
        <v>864</v>
      </c>
      <c r="D1807" s="1" t="s">
        <v>865</v>
      </c>
      <c r="E1807" s="1" t="n">
        <v>20171</v>
      </c>
      <c r="F1807" s="1" t="s">
        <v>303</v>
      </c>
      <c r="G1807" s="1" t="s">
        <v>18</v>
      </c>
      <c r="H1807" s="1" t="n">
        <v>3</v>
      </c>
      <c r="I1807" s="1" t="n">
        <v>0</v>
      </c>
      <c r="J1807" s="1" t="n">
        <v>20201</v>
      </c>
      <c r="L1807" s="1" t="str">
        <f aca="false">IF(D1806&lt;&gt;D1807,D1807,"")</f>
        <v/>
      </c>
      <c r="M1807" s="1" t="str">
        <f aca="false">IF(F1806&lt;&gt;F1807,F1807,"")</f>
        <v/>
      </c>
    </row>
    <row r="1808" customFormat="false" ht="15" hidden="false" customHeight="false" outlineLevel="0" collapsed="false">
      <c r="A1808" s="1" t="s">
        <v>362</v>
      </c>
      <c r="B1808" s="1" t="s">
        <v>363</v>
      </c>
      <c r="C1808" s="1" t="s">
        <v>864</v>
      </c>
      <c r="D1808" s="1" t="s">
        <v>865</v>
      </c>
      <c r="E1808" s="1" t="n">
        <v>20171</v>
      </c>
      <c r="F1808" s="1" t="s">
        <v>303</v>
      </c>
      <c r="G1808" s="1" t="s">
        <v>18</v>
      </c>
      <c r="H1808" s="1" t="n">
        <v>3</v>
      </c>
      <c r="I1808" s="1" t="n">
        <v>0</v>
      </c>
      <c r="J1808" s="1" t="n">
        <v>20201</v>
      </c>
      <c r="L1808" s="1" t="str">
        <f aca="false">IF(D1807&lt;&gt;D1808,D1808,"")</f>
        <v/>
      </c>
      <c r="M1808" s="1" t="str">
        <f aca="false">IF(F1807&lt;&gt;F1808,F1808,"")</f>
        <v/>
      </c>
    </row>
    <row r="1809" customFormat="false" ht="15" hidden="false" customHeight="false" outlineLevel="0" collapsed="false">
      <c r="A1809" s="1" t="s">
        <v>364</v>
      </c>
      <c r="B1809" s="1" t="s">
        <v>365</v>
      </c>
      <c r="C1809" s="1" t="s">
        <v>864</v>
      </c>
      <c r="D1809" s="1" t="s">
        <v>865</v>
      </c>
      <c r="E1809" s="1" t="n">
        <v>20171</v>
      </c>
      <c r="F1809" s="1" t="s">
        <v>303</v>
      </c>
      <c r="G1809" s="1" t="s">
        <v>15</v>
      </c>
      <c r="H1809" s="1" t="n">
        <v>3.5</v>
      </c>
      <c r="I1809" s="1" t="n">
        <v>0</v>
      </c>
      <c r="J1809" s="1" t="n">
        <v>20201</v>
      </c>
      <c r="L1809" s="1" t="str">
        <f aca="false">IF(D1808&lt;&gt;D1809,D1809,"")</f>
        <v/>
      </c>
      <c r="M1809" s="1" t="str">
        <f aca="false">IF(F1808&lt;&gt;F1809,F1809,"")</f>
        <v/>
      </c>
    </row>
    <row r="1810" customFormat="false" ht="15" hidden="false" customHeight="false" outlineLevel="0" collapsed="false">
      <c r="A1810" s="1" t="s">
        <v>366</v>
      </c>
      <c r="B1810" s="1" t="s">
        <v>367</v>
      </c>
      <c r="C1810" s="1" t="s">
        <v>864</v>
      </c>
      <c r="D1810" s="1" t="s">
        <v>865</v>
      </c>
      <c r="E1810" s="1" t="n">
        <v>20171</v>
      </c>
      <c r="F1810" s="1" t="s">
        <v>303</v>
      </c>
      <c r="G1810" s="1" t="s">
        <v>18</v>
      </c>
      <c r="H1810" s="1" t="n">
        <v>3</v>
      </c>
      <c r="I1810" s="1" t="n">
        <v>0</v>
      </c>
      <c r="J1810" s="1" t="n">
        <v>20201</v>
      </c>
      <c r="L1810" s="1" t="str">
        <f aca="false">IF(D1809&lt;&gt;D1810,D1810,"")</f>
        <v/>
      </c>
      <c r="M1810" s="1" t="str">
        <f aca="false">IF(F1809&lt;&gt;F1810,F1810,"")</f>
        <v/>
      </c>
    </row>
    <row r="1811" customFormat="false" ht="15" hidden="false" customHeight="false" outlineLevel="0" collapsed="false">
      <c r="A1811" s="1" t="s">
        <v>368</v>
      </c>
      <c r="B1811" s="1" t="s">
        <v>369</v>
      </c>
      <c r="C1811" s="1" t="s">
        <v>864</v>
      </c>
      <c r="D1811" s="1" t="s">
        <v>865</v>
      </c>
      <c r="E1811" s="1" t="n">
        <v>20171</v>
      </c>
      <c r="F1811" s="1" t="s">
        <v>303</v>
      </c>
      <c r="G1811" s="1" t="s">
        <v>18</v>
      </c>
      <c r="H1811" s="1" t="n">
        <v>3</v>
      </c>
      <c r="I1811" s="1" t="n">
        <v>0</v>
      </c>
      <c r="J1811" s="1" t="n">
        <v>20201</v>
      </c>
      <c r="L1811" s="1" t="str">
        <f aca="false">IF(D1810&lt;&gt;D1811,D1811,"")</f>
        <v/>
      </c>
      <c r="M1811" s="1" t="str">
        <f aca="false">IF(F1810&lt;&gt;F1811,F1811,"")</f>
        <v/>
      </c>
    </row>
    <row r="1812" customFormat="false" ht="15" hidden="false" customHeight="false" outlineLevel="0" collapsed="false">
      <c r="A1812" s="1" t="s">
        <v>370</v>
      </c>
      <c r="B1812" s="1" t="s">
        <v>371</v>
      </c>
      <c r="C1812" s="1" t="s">
        <v>864</v>
      </c>
      <c r="D1812" s="1" t="s">
        <v>865</v>
      </c>
      <c r="E1812" s="1" t="n">
        <v>20171</v>
      </c>
      <c r="F1812" s="1" t="s">
        <v>303</v>
      </c>
      <c r="G1812" s="1" t="s">
        <v>18</v>
      </c>
      <c r="H1812" s="1" t="n">
        <v>3</v>
      </c>
      <c r="I1812" s="1" t="n">
        <v>0</v>
      </c>
      <c r="J1812" s="1" t="n">
        <v>20201</v>
      </c>
      <c r="L1812" s="1" t="str">
        <f aca="false">IF(D1811&lt;&gt;D1812,D1812,"")</f>
        <v/>
      </c>
      <c r="M1812" s="1" t="str">
        <f aca="false">IF(F1811&lt;&gt;F1812,F1812,"")</f>
        <v/>
      </c>
    </row>
    <row r="1813" customFormat="false" ht="15" hidden="false" customHeight="false" outlineLevel="0" collapsed="false">
      <c r="A1813" s="1" t="s">
        <v>372</v>
      </c>
      <c r="B1813" s="1" t="s">
        <v>373</v>
      </c>
      <c r="C1813" s="1" t="s">
        <v>864</v>
      </c>
      <c r="D1813" s="1" t="s">
        <v>865</v>
      </c>
      <c r="E1813" s="1" t="n">
        <v>20171</v>
      </c>
      <c r="F1813" s="1" t="s">
        <v>303</v>
      </c>
      <c r="G1813" s="1" t="s">
        <v>101</v>
      </c>
      <c r="H1813" s="1" t="n">
        <v>2.5</v>
      </c>
      <c r="I1813" s="1" t="n">
        <v>0</v>
      </c>
      <c r="J1813" s="1" t="n">
        <v>20201</v>
      </c>
      <c r="L1813" s="1" t="str">
        <f aca="false">IF(D1812&lt;&gt;D1813,D1813,"")</f>
        <v/>
      </c>
      <c r="M1813" s="1" t="str">
        <f aca="false">IF(F1812&lt;&gt;F1813,F1813,"")</f>
        <v/>
      </c>
    </row>
    <row r="1814" customFormat="false" ht="15" hidden="false" customHeight="false" outlineLevel="0" collapsed="false">
      <c r="A1814" s="1" t="s">
        <v>374</v>
      </c>
      <c r="B1814" s="1" t="s">
        <v>375</v>
      </c>
      <c r="C1814" s="1" t="s">
        <v>864</v>
      </c>
      <c r="D1814" s="1" t="s">
        <v>865</v>
      </c>
      <c r="E1814" s="1" t="n">
        <v>20171</v>
      </c>
      <c r="F1814" s="1" t="s">
        <v>303</v>
      </c>
      <c r="G1814" s="1" t="s">
        <v>14</v>
      </c>
      <c r="H1814" s="1" t="n">
        <v>4</v>
      </c>
      <c r="I1814" s="1" t="n">
        <v>0</v>
      </c>
      <c r="J1814" s="1" t="n">
        <v>20201</v>
      </c>
      <c r="L1814" s="1" t="str">
        <f aca="false">IF(D1813&lt;&gt;D1814,D1814,"")</f>
        <v/>
      </c>
      <c r="M1814" s="1" t="str">
        <f aca="false">IF(F1813&lt;&gt;F1814,F1814,"")</f>
        <v/>
      </c>
    </row>
    <row r="1815" customFormat="false" ht="15" hidden="false" customHeight="false" outlineLevel="0" collapsed="false">
      <c r="A1815" s="1" t="s">
        <v>376</v>
      </c>
      <c r="B1815" s="1" t="s">
        <v>377</v>
      </c>
      <c r="C1815" s="1" t="s">
        <v>864</v>
      </c>
      <c r="D1815" s="1" t="s">
        <v>865</v>
      </c>
      <c r="E1815" s="1" t="n">
        <v>20171</v>
      </c>
      <c r="F1815" s="1" t="s">
        <v>303</v>
      </c>
      <c r="G1815" s="1" t="s">
        <v>18</v>
      </c>
      <c r="H1815" s="1" t="n">
        <v>3</v>
      </c>
      <c r="I1815" s="1" t="n">
        <v>0</v>
      </c>
      <c r="J1815" s="1" t="n">
        <v>20201</v>
      </c>
      <c r="L1815" s="1" t="str">
        <f aca="false">IF(D1814&lt;&gt;D1815,D1815,"")</f>
        <v/>
      </c>
      <c r="M1815" s="1" t="str">
        <f aca="false">IF(F1814&lt;&gt;F1815,F1815,"")</f>
        <v/>
      </c>
    </row>
    <row r="1816" customFormat="false" ht="15" hidden="false" customHeight="false" outlineLevel="0" collapsed="false">
      <c r="A1816" s="1" t="s">
        <v>378</v>
      </c>
      <c r="B1816" s="1" t="s">
        <v>379</v>
      </c>
      <c r="C1816" s="1" t="s">
        <v>864</v>
      </c>
      <c r="D1816" s="1" t="s">
        <v>865</v>
      </c>
      <c r="E1816" s="1" t="n">
        <v>20171</v>
      </c>
      <c r="F1816" s="1" t="s">
        <v>303</v>
      </c>
      <c r="G1816" s="1" t="s">
        <v>14</v>
      </c>
      <c r="H1816" s="1" t="n">
        <v>4</v>
      </c>
      <c r="I1816" s="1" t="n">
        <v>0</v>
      </c>
      <c r="J1816" s="1" t="n">
        <v>20201</v>
      </c>
      <c r="L1816" s="1" t="str">
        <f aca="false">IF(D1815&lt;&gt;D1816,D1816,"")</f>
        <v/>
      </c>
      <c r="M1816" s="1" t="str">
        <f aca="false">IF(F1815&lt;&gt;F1816,F1816,"")</f>
        <v/>
      </c>
    </row>
    <row r="1817" customFormat="false" ht="15" hidden="false" customHeight="false" outlineLevel="0" collapsed="false">
      <c r="A1817" s="1" t="s">
        <v>380</v>
      </c>
      <c r="B1817" s="1" t="s">
        <v>381</v>
      </c>
      <c r="C1817" s="1" t="s">
        <v>864</v>
      </c>
      <c r="D1817" s="1" t="s">
        <v>865</v>
      </c>
      <c r="E1817" s="1" t="n">
        <v>20171</v>
      </c>
      <c r="F1817" s="1" t="s">
        <v>303</v>
      </c>
      <c r="G1817" s="1" t="s">
        <v>14</v>
      </c>
      <c r="H1817" s="1" t="n">
        <v>4</v>
      </c>
      <c r="I1817" s="1" t="n">
        <v>0</v>
      </c>
      <c r="J1817" s="1" t="n">
        <v>20201</v>
      </c>
      <c r="L1817" s="1" t="str">
        <f aca="false">IF(D1816&lt;&gt;D1817,D1817,"")</f>
        <v/>
      </c>
      <c r="M1817" s="1" t="str">
        <f aca="false">IF(F1816&lt;&gt;F1817,F1817,"")</f>
        <v/>
      </c>
    </row>
    <row r="1818" customFormat="false" ht="15" hidden="false" customHeight="false" outlineLevel="0" collapsed="false">
      <c r="A1818" s="1" t="s">
        <v>382</v>
      </c>
      <c r="B1818" s="1" t="s">
        <v>383</v>
      </c>
      <c r="C1818" s="1" t="s">
        <v>864</v>
      </c>
      <c r="D1818" s="1" t="s">
        <v>865</v>
      </c>
      <c r="E1818" s="1" t="n">
        <v>20171</v>
      </c>
      <c r="F1818" s="1" t="s">
        <v>303</v>
      </c>
      <c r="G1818" s="1" t="s">
        <v>14</v>
      </c>
      <c r="H1818" s="1" t="n">
        <v>4</v>
      </c>
      <c r="I1818" s="1" t="n">
        <v>0</v>
      </c>
      <c r="J1818" s="1" t="n">
        <v>20201</v>
      </c>
      <c r="L1818" s="1" t="str">
        <f aca="false">IF(D1817&lt;&gt;D1818,D1818,"")</f>
        <v/>
      </c>
      <c r="M1818" s="1" t="str">
        <f aca="false">IF(F1817&lt;&gt;F1818,F1818,"")</f>
        <v/>
      </c>
    </row>
    <row r="1819" customFormat="false" ht="15" hidden="false" customHeight="false" outlineLevel="0" collapsed="false">
      <c r="A1819" s="1" t="s">
        <v>384</v>
      </c>
      <c r="B1819" s="1" t="s">
        <v>385</v>
      </c>
      <c r="C1819" s="1" t="s">
        <v>864</v>
      </c>
      <c r="D1819" s="1" t="s">
        <v>865</v>
      </c>
      <c r="E1819" s="1" t="n">
        <v>20171</v>
      </c>
      <c r="F1819" s="1" t="s">
        <v>303</v>
      </c>
      <c r="G1819" s="1" t="s">
        <v>14</v>
      </c>
      <c r="H1819" s="1" t="n">
        <v>4</v>
      </c>
      <c r="I1819" s="1" t="n">
        <v>0</v>
      </c>
      <c r="J1819" s="1" t="n">
        <v>20201</v>
      </c>
      <c r="L1819" s="1" t="str">
        <f aca="false">IF(D1818&lt;&gt;D1819,D1819,"")</f>
        <v/>
      </c>
      <c r="M1819" s="1" t="str">
        <f aca="false">IF(F1818&lt;&gt;F1819,F1819,"")</f>
        <v/>
      </c>
    </row>
    <row r="1820" customFormat="false" ht="15" hidden="false" customHeight="false" outlineLevel="0" collapsed="false">
      <c r="A1820" s="1" t="s">
        <v>386</v>
      </c>
      <c r="B1820" s="1" t="s">
        <v>387</v>
      </c>
      <c r="C1820" s="1" t="s">
        <v>864</v>
      </c>
      <c r="D1820" s="1" t="s">
        <v>865</v>
      </c>
      <c r="E1820" s="1" t="n">
        <v>20171</v>
      </c>
      <c r="F1820" s="1" t="s">
        <v>303</v>
      </c>
      <c r="G1820" s="1" t="s">
        <v>18</v>
      </c>
      <c r="H1820" s="1" t="n">
        <v>3</v>
      </c>
      <c r="I1820" s="1" t="n">
        <v>0</v>
      </c>
      <c r="J1820" s="1" t="n">
        <v>20201</v>
      </c>
      <c r="L1820" s="1" t="str">
        <f aca="false">IF(D1819&lt;&gt;D1820,D1820,"")</f>
        <v/>
      </c>
      <c r="M1820" s="1" t="str">
        <f aca="false">IF(F1819&lt;&gt;F1820,F1820,"")</f>
        <v/>
      </c>
    </row>
    <row r="1821" customFormat="false" ht="15" hidden="false" customHeight="false" outlineLevel="0" collapsed="false">
      <c r="A1821" s="1" t="s">
        <v>388</v>
      </c>
      <c r="B1821" s="1" t="s">
        <v>389</v>
      </c>
      <c r="C1821" s="1" t="s">
        <v>864</v>
      </c>
      <c r="D1821" s="1" t="s">
        <v>865</v>
      </c>
      <c r="E1821" s="1" t="n">
        <v>20171</v>
      </c>
      <c r="F1821" s="1" t="s">
        <v>303</v>
      </c>
      <c r="G1821" s="1" t="s">
        <v>18</v>
      </c>
      <c r="H1821" s="1" t="n">
        <v>3</v>
      </c>
      <c r="I1821" s="1" t="n">
        <v>0</v>
      </c>
      <c r="J1821" s="1" t="n">
        <v>20201</v>
      </c>
      <c r="L1821" s="1" t="str">
        <f aca="false">IF(D1820&lt;&gt;D1821,D1821,"")</f>
        <v/>
      </c>
      <c r="M1821" s="1" t="str">
        <f aca="false">IF(F1820&lt;&gt;F1821,F1821,"")</f>
        <v/>
      </c>
    </row>
    <row r="1822" customFormat="false" ht="15" hidden="false" customHeight="false" outlineLevel="0" collapsed="false">
      <c r="A1822" s="1" t="s">
        <v>390</v>
      </c>
      <c r="B1822" s="1" t="s">
        <v>391</v>
      </c>
      <c r="C1822" s="1" t="s">
        <v>864</v>
      </c>
      <c r="D1822" s="1" t="s">
        <v>865</v>
      </c>
      <c r="E1822" s="1" t="n">
        <v>20171</v>
      </c>
      <c r="F1822" s="1" t="s">
        <v>303</v>
      </c>
      <c r="G1822" s="1" t="s">
        <v>14</v>
      </c>
      <c r="H1822" s="1" t="n">
        <v>4</v>
      </c>
      <c r="I1822" s="1" t="n">
        <v>0</v>
      </c>
      <c r="J1822" s="1" t="n">
        <v>20201</v>
      </c>
      <c r="L1822" s="1" t="str">
        <f aca="false">IF(D1821&lt;&gt;D1822,D1822,"")</f>
        <v/>
      </c>
      <c r="M1822" s="1" t="str">
        <f aca="false">IF(F1821&lt;&gt;F1822,F1822,"")</f>
        <v/>
      </c>
    </row>
    <row r="1823" customFormat="false" ht="15" hidden="false" customHeight="false" outlineLevel="0" collapsed="false">
      <c r="A1823" s="1" t="s">
        <v>392</v>
      </c>
      <c r="B1823" s="1" t="s">
        <v>393</v>
      </c>
      <c r="C1823" s="1" t="s">
        <v>864</v>
      </c>
      <c r="D1823" s="1" t="s">
        <v>865</v>
      </c>
      <c r="E1823" s="1" t="n">
        <v>20171</v>
      </c>
      <c r="F1823" s="1" t="s">
        <v>303</v>
      </c>
      <c r="G1823" s="1" t="s">
        <v>14</v>
      </c>
      <c r="H1823" s="1" t="n">
        <v>4</v>
      </c>
      <c r="I1823" s="1" t="n">
        <v>0</v>
      </c>
      <c r="J1823" s="1" t="n">
        <v>20201</v>
      </c>
      <c r="L1823" s="1" t="str">
        <f aca="false">IF(D1822&lt;&gt;D1823,D1823,"")</f>
        <v/>
      </c>
      <c r="M1823" s="1" t="str">
        <f aca="false">IF(F1822&lt;&gt;F1823,F1823,"")</f>
        <v/>
      </c>
    </row>
    <row r="1824" customFormat="false" ht="15" hidden="false" customHeight="false" outlineLevel="0" collapsed="false">
      <c r="A1824" s="1" t="s">
        <v>394</v>
      </c>
      <c r="B1824" s="1" t="s">
        <v>395</v>
      </c>
      <c r="C1824" s="1" t="s">
        <v>864</v>
      </c>
      <c r="D1824" s="1" t="s">
        <v>865</v>
      </c>
      <c r="E1824" s="1" t="n">
        <v>20171</v>
      </c>
      <c r="F1824" s="1" t="s">
        <v>303</v>
      </c>
      <c r="G1824" s="1" t="s">
        <v>18</v>
      </c>
      <c r="H1824" s="1" t="n">
        <v>3</v>
      </c>
      <c r="I1824" s="1" t="n">
        <v>0</v>
      </c>
      <c r="J1824" s="1" t="n">
        <v>20201</v>
      </c>
      <c r="L1824" s="1" t="str">
        <f aca="false">IF(D1823&lt;&gt;D1824,D1824,"")</f>
        <v/>
      </c>
      <c r="M1824" s="1" t="str">
        <f aca="false">IF(F1823&lt;&gt;F1824,F1824,"")</f>
        <v/>
      </c>
    </row>
    <row r="1825" customFormat="false" ht="15" hidden="false" customHeight="false" outlineLevel="0" collapsed="false">
      <c r="A1825" s="1" t="s">
        <v>396</v>
      </c>
      <c r="B1825" s="1" t="s">
        <v>397</v>
      </c>
      <c r="C1825" s="1" t="s">
        <v>864</v>
      </c>
      <c r="D1825" s="1" t="s">
        <v>865</v>
      </c>
      <c r="E1825" s="1" t="n">
        <v>20171</v>
      </c>
      <c r="F1825" s="1" t="s">
        <v>303</v>
      </c>
      <c r="G1825" s="1" t="s">
        <v>14</v>
      </c>
      <c r="H1825" s="1" t="n">
        <v>4</v>
      </c>
      <c r="I1825" s="1" t="n">
        <v>0</v>
      </c>
      <c r="J1825" s="1" t="n">
        <v>20201</v>
      </c>
      <c r="L1825" s="1" t="str">
        <f aca="false">IF(D1824&lt;&gt;D1825,D1825,"")</f>
        <v/>
      </c>
      <c r="M1825" s="1" t="str">
        <f aca="false">IF(F1824&lt;&gt;F1825,F1825,"")</f>
        <v/>
      </c>
    </row>
    <row r="1826" customFormat="false" ht="15" hidden="false" customHeight="false" outlineLevel="0" collapsed="false">
      <c r="A1826" s="1" t="s">
        <v>398</v>
      </c>
      <c r="B1826" s="1" t="s">
        <v>399</v>
      </c>
      <c r="C1826" s="1" t="s">
        <v>864</v>
      </c>
      <c r="D1826" s="1" t="s">
        <v>865</v>
      </c>
      <c r="E1826" s="1" t="n">
        <v>20171</v>
      </c>
      <c r="F1826" s="1" t="s">
        <v>303</v>
      </c>
      <c r="G1826" s="1" t="s">
        <v>14</v>
      </c>
      <c r="H1826" s="1" t="n">
        <v>4</v>
      </c>
      <c r="I1826" s="1" t="n">
        <v>0</v>
      </c>
      <c r="J1826" s="1" t="n">
        <v>20201</v>
      </c>
      <c r="L1826" s="1" t="str">
        <f aca="false">IF(D1825&lt;&gt;D1826,D1826,"")</f>
        <v/>
      </c>
      <c r="M1826" s="1" t="str">
        <f aca="false">IF(F1825&lt;&gt;F1826,F1826,"")</f>
        <v/>
      </c>
    </row>
    <row r="1827" customFormat="false" ht="15" hidden="false" customHeight="false" outlineLevel="0" collapsed="false">
      <c r="A1827" s="1" t="s">
        <v>400</v>
      </c>
      <c r="B1827" s="1" t="s">
        <v>401</v>
      </c>
      <c r="C1827" s="1" t="s">
        <v>864</v>
      </c>
      <c r="D1827" s="1" t="s">
        <v>865</v>
      </c>
      <c r="E1827" s="1" t="n">
        <v>20171</v>
      </c>
      <c r="F1827" s="1" t="s">
        <v>303</v>
      </c>
      <c r="G1827" s="1" t="s">
        <v>14</v>
      </c>
      <c r="H1827" s="1" t="n">
        <v>4</v>
      </c>
      <c r="I1827" s="1" t="n">
        <v>0</v>
      </c>
      <c r="J1827" s="1" t="n">
        <v>20201</v>
      </c>
      <c r="L1827" s="1" t="str">
        <f aca="false">IF(D1826&lt;&gt;D1827,D1827,"")</f>
        <v/>
      </c>
      <c r="M1827" s="1" t="str">
        <f aca="false">IF(F1826&lt;&gt;F1827,F1827,"")</f>
        <v/>
      </c>
    </row>
    <row r="1828" customFormat="false" ht="15" hidden="false" customHeight="false" outlineLevel="0" collapsed="false">
      <c r="A1828" s="1" t="s">
        <v>402</v>
      </c>
      <c r="B1828" s="1" t="s">
        <v>403</v>
      </c>
      <c r="C1828" s="1" t="s">
        <v>864</v>
      </c>
      <c r="D1828" s="1" t="s">
        <v>865</v>
      </c>
      <c r="E1828" s="1" t="n">
        <v>20171</v>
      </c>
      <c r="F1828" s="1" t="s">
        <v>303</v>
      </c>
      <c r="G1828" s="1" t="s">
        <v>124</v>
      </c>
      <c r="H1828" s="1" t="n">
        <v>0</v>
      </c>
      <c r="I1828" s="1" t="n">
        <v>0</v>
      </c>
      <c r="J1828" s="1" t="n">
        <v>20201</v>
      </c>
      <c r="L1828" s="1" t="str">
        <f aca="false">IF(D1827&lt;&gt;D1828,D1828,"")</f>
        <v/>
      </c>
      <c r="M1828" s="1" t="str">
        <f aca="false">IF(F1827&lt;&gt;F1828,F1828,"")</f>
        <v/>
      </c>
    </row>
    <row r="1829" customFormat="false" ht="15" hidden="false" customHeight="false" outlineLevel="0" collapsed="false">
      <c r="A1829" s="1" t="s">
        <v>404</v>
      </c>
      <c r="B1829" s="1" t="s">
        <v>405</v>
      </c>
      <c r="C1829" s="1" t="s">
        <v>864</v>
      </c>
      <c r="D1829" s="1" t="s">
        <v>865</v>
      </c>
      <c r="E1829" s="1" t="n">
        <v>20171</v>
      </c>
      <c r="F1829" s="1" t="s">
        <v>303</v>
      </c>
      <c r="G1829" s="1" t="s">
        <v>14</v>
      </c>
      <c r="H1829" s="1" t="n">
        <v>4</v>
      </c>
      <c r="I1829" s="1" t="n">
        <v>0</v>
      </c>
      <c r="J1829" s="1" t="n">
        <v>20201</v>
      </c>
      <c r="L1829" s="1" t="str">
        <f aca="false">IF(D1828&lt;&gt;D1829,D1829,"")</f>
        <v/>
      </c>
      <c r="M1829" s="1" t="str">
        <f aca="false">IF(F1828&lt;&gt;F1829,F1829,"")</f>
        <v/>
      </c>
    </row>
    <row r="1830" customFormat="false" ht="15" hidden="false" customHeight="false" outlineLevel="0" collapsed="false">
      <c r="A1830" s="1" t="s">
        <v>406</v>
      </c>
      <c r="B1830" s="1" t="s">
        <v>407</v>
      </c>
      <c r="C1830" s="1" t="s">
        <v>864</v>
      </c>
      <c r="D1830" s="1" t="s">
        <v>865</v>
      </c>
      <c r="E1830" s="1" t="n">
        <v>20171</v>
      </c>
      <c r="F1830" s="1" t="s">
        <v>303</v>
      </c>
      <c r="G1830" s="1" t="s">
        <v>14</v>
      </c>
      <c r="H1830" s="1" t="n">
        <v>4</v>
      </c>
      <c r="I1830" s="1" t="n">
        <v>0</v>
      </c>
      <c r="J1830" s="1" t="n">
        <v>20201</v>
      </c>
      <c r="L1830" s="1" t="str">
        <f aca="false">IF(D1829&lt;&gt;D1830,D1830,"")</f>
        <v/>
      </c>
      <c r="M1830" s="1" t="str">
        <f aca="false">IF(F1829&lt;&gt;F1830,F1830,"")</f>
        <v/>
      </c>
    </row>
    <row r="1831" customFormat="false" ht="15" hidden="false" customHeight="false" outlineLevel="0" collapsed="false">
      <c r="A1831" s="1" t="s">
        <v>408</v>
      </c>
      <c r="B1831" s="1" t="s">
        <v>409</v>
      </c>
      <c r="C1831" s="1" t="s">
        <v>864</v>
      </c>
      <c r="D1831" s="1" t="s">
        <v>865</v>
      </c>
      <c r="E1831" s="1" t="n">
        <v>20171</v>
      </c>
      <c r="F1831" s="1" t="s">
        <v>303</v>
      </c>
      <c r="G1831" s="1" t="s">
        <v>18</v>
      </c>
      <c r="H1831" s="1" t="n">
        <v>3</v>
      </c>
      <c r="I1831" s="1" t="n">
        <v>0</v>
      </c>
      <c r="J1831" s="1" t="n">
        <v>20201</v>
      </c>
      <c r="L1831" s="1" t="str">
        <f aca="false">IF(D1830&lt;&gt;D1831,D1831,"")</f>
        <v/>
      </c>
      <c r="M1831" s="1" t="str">
        <f aca="false">IF(F1830&lt;&gt;F1831,F1831,"")</f>
        <v/>
      </c>
    </row>
    <row r="1832" customFormat="false" ht="15" hidden="false" customHeight="false" outlineLevel="0" collapsed="false">
      <c r="A1832" s="1" t="s">
        <v>410</v>
      </c>
      <c r="B1832" s="1" t="s">
        <v>411</v>
      </c>
      <c r="C1832" s="1" t="s">
        <v>864</v>
      </c>
      <c r="D1832" s="1" t="s">
        <v>865</v>
      </c>
      <c r="E1832" s="1" t="n">
        <v>20171</v>
      </c>
      <c r="F1832" s="1" t="s">
        <v>303</v>
      </c>
      <c r="G1832" s="1" t="s">
        <v>14</v>
      </c>
      <c r="H1832" s="1" t="n">
        <v>4</v>
      </c>
      <c r="I1832" s="1" t="n">
        <v>0</v>
      </c>
      <c r="J1832" s="1" t="n">
        <v>20201</v>
      </c>
      <c r="L1832" s="1" t="str">
        <f aca="false">IF(D1831&lt;&gt;D1832,D1832,"")</f>
        <v/>
      </c>
      <c r="M1832" s="1" t="str">
        <f aca="false">IF(F1831&lt;&gt;F1832,F1832,"")</f>
        <v/>
      </c>
    </row>
    <row r="1833" customFormat="false" ht="15" hidden="false" customHeight="false" outlineLevel="0" collapsed="false">
      <c r="A1833" s="1" t="s">
        <v>412</v>
      </c>
      <c r="B1833" s="1" t="s">
        <v>413</v>
      </c>
      <c r="C1833" s="1" t="s">
        <v>864</v>
      </c>
      <c r="D1833" s="1" t="s">
        <v>865</v>
      </c>
      <c r="E1833" s="1" t="n">
        <v>20171</v>
      </c>
      <c r="F1833" s="1" t="s">
        <v>303</v>
      </c>
      <c r="G1833" s="1" t="s">
        <v>18</v>
      </c>
      <c r="H1833" s="1" t="n">
        <v>3</v>
      </c>
      <c r="I1833" s="1" t="n">
        <v>0</v>
      </c>
      <c r="J1833" s="1" t="n">
        <v>20201</v>
      </c>
      <c r="L1833" s="1" t="str">
        <f aca="false">IF(D1832&lt;&gt;D1833,D1833,"")</f>
        <v/>
      </c>
      <c r="M1833" s="1" t="str">
        <f aca="false">IF(F1832&lt;&gt;F1833,F1833,"")</f>
        <v/>
      </c>
    </row>
    <row r="1834" customFormat="false" ht="15" hidden="false" customHeight="false" outlineLevel="0" collapsed="false">
      <c r="A1834" s="1" t="s">
        <v>414</v>
      </c>
      <c r="B1834" s="1" t="s">
        <v>415</v>
      </c>
      <c r="C1834" s="1" t="s">
        <v>864</v>
      </c>
      <c r="D1834" s="1" t="s">
        <v>865</v>
      </c>
      <c r="E1834" s="1" t="n">
        <v>20171</v>
      </c>
      <c r="F1834" s="1" t="s">
        <v>303</v>
      </c>
      <c r="G1834" s="1" t="s">
        <v>14</v>
      </c>
      <c r="H1834" s="1" t="n">
        <v>4</v>
      </c>
      <c r="I1834" s="1" t="n">
        <v>0</v>
      </c>
      <c r="J1834" s="1" t="n">
        <v>20201</v>
      </c>
      <c r="L1834" s="1" t="str">
        <f aca="false">IF(D1833&lt;&gt;D1834,D1834,"")</f>
        <v/>
      </c>
      <c r="M1834" s="1" t="str">
        <f aca="false">IF(F1833&lt;&gt;F1834,F1834,"")</f>
        <v/>
      </c>
    </row>
    <row r="1835" customFormat="false" ht="15" hidden="false" customHeight="false" outlineLevel="0" collapsed="false">
      <c r="A1835" s="1" t="s">
        <v>416</v>
      </c>
      <c r="B1835" s="1" t="s">
        <v>417</v>
      </c>
      <c r="C1835" s="1" t="s">
        <v>864</v>
      </c>
      <c r="D1835" s="1" t="s">
        <v>865</v>
      </c>
      <c r="E1835" s="1" t="n">
        <v>20171</v>
      </c>
      <c r="F1835" s="1" t="s">
        <v>303</v>
      </c>
      <c r="G1835" s="1" t="s">
        <v>14</v>
      </c>
      <c r="H1835" s="1" t="n">
        <v>4</v>
      </c>
      <c r="I1835" s="1" t="n">
        <v>0</v>
      </c>
      <c r="J1835" s="1" t="n">
        <v>20201</v>
      </c>
      <c r="L1835" s="1" t="str">
        <f aca="false">IF(D1834&lt;&gt;D1835,D1835,"")</f>
        <v/>
      </c>
      <c r="M1835" s="1" t="str">
        <f aca="false">IF(F1834&lt;&gt;F1835,F1835,"")</f>
        <v/>
      </c>
    </row>
    <row r="1836" customFormat="false" ht="15" hidden="false" customHeight="false" outlineLevel="0" collapsed="false">
      <c r="A1836" s="1" t="s">
        <v>418</v>
      </c>
      <c r="B1836" s="1" t="s">
        <v>419</v>
      </c>
      <c r="C1836" s="1" t="s">
        <v>864</v>
      </c>
      <c r="D1836" s="1" t="s">
        <v>865</v>
      </c>
      <c r="E1836" s="1" t="n">
        <v>20171</v>
      </c>
      <c r="F1836" s="1" t="s">
        <v>303</v>
      </c>
      <c r="G1836" s="1" t="s">
        <v>15</v>
      </c>
      <c r="H1836" s="1" t="n">
        <v>3.5</v>
      </c>
      <c r="I1836" s="1" t="n">
        <v>0</v>
      </c>
      <c r="J1836" s="1" t="n">
        <v>20201</v>
      </c>
      <c r="L1836" s="1" t="str">
        <f aca="false">IF(D1835&lt;&gt;D1836,D1836,"")</f>
        <v/>
      </c>
      <c r="M1836" s="1" t="str">
        <f aca="false">IF(F1835&lt;&gt;F1836,F1836,"")</f>
        <v/>
      </c>
    </row>
    <row r="1837" customFormat="false" ht="15" hidden="false" customHeight="false" outlineLevel="0" collapsed="false">
      <c r="A1837" s="1" t="s">
        <v>420</v>
      </c>
      <c r="B1837" s="1" t="s">
        <v>421</v>
      </c>
      <c r="C1837" s="1" t="s">
        <v>864</v>
      </c>
      <c r="D1837" s="1" t="s">
        <v>865</v>
      </c>
      <c r="E1837" s="1" t="n">
        <v>20171</v>
      </c>
      <c r="F1837" s="1" t="s">
        <v>303</v>
      </c>
      <c r="G1837" s="1" t="s">
        <v>124</v>
      </c>
      <c r="H1837" s="1" t="n">
        <v>0</v>
      </c>
      <c r="I1837" s="1" t="n">
        <v>0</v>
      </c>
      <c r="J1837" s="1" t="n">
        <v>20201</v>
      </c>
      <c r="L1837" s="1" t="str">
        <f aca="false">IF(D1836&lt;&gt;D1837,D1837,"")</f>
        <v/>
      </c>
      <c r="M1837" s="1" t="str">
        <f aca="false">IF(F1836&lt;&gt;F1837,F1837,"")</f>
        <v/>
      </c>
    </row>
    <row r="1838" customFormat="false" ht="15" hidden="false" customHeight="false" outlineLevel="0" collapsed="false">
      <c r="A1838" s="1" t="s">
        <v>422</v>
      </c>
      <c r="B1838" s="1" t="s">
        <v>423</v>
      </c>
      <c r="C1838" s="1" t="s">
        <v>864</v>
      </c>
      <c r="D1838" s="1" t="s">
        <v>865</v>
      </c>
      <c r="E1838" s="1" t="n">
        <v>20171</v>
      </c>
      <c r="F1838" s="1" t="s">
        <v>303</v>
      </c>
      <c r="G1838" s="1" t="s">
        <v>18</v>
      </c>
      <c r="H1838" s="1" t="n">
        <v>3</v>
      </c>
      <c r="I1838" s="1" t="n">
        <v>0</v>
      </c>
      <c r="J1838" s="1" t="n">
        <v>20201</v>
      </c>
      <c r="L1838" s="1" t="str">
        <f aca="false">IF(D1837&lt;&gt;D1838,D1838,"")</f>
        <v/>
      </c>
      <c r="M1838" s="1" t="str">
        <f aca="false">IF(F1837&lt;&gt;F1838,F1838,"")</f>
        <v/>
      </c>
    </row>
    <row r="1839" customFormat="false" ht="15" hidden="false" customHeight="false" outlineLevel="0" collapsed="false">
      <c r="A1839" s="1" t="s">
        <v>424</v>
      </c>
      <c r="B1839" s="1" t="s">
        <v>425</v>
      </c>
      <c r="C1839" s="1" t="s">
        <v>864</v>
      </c>
      <c r="D1839" s="1" t="s">
        <v>865</v>
      </c>
      <c r="E1839" s="1" t="n">
        <v>20171</v>
      </c>
      <c r="F1839" s="1" t="s">
        <v>303</v>
      </c>
      <c r="G1839" s="1" t="s">
        <v>18</v>
      </c>
      <c r="H1839" s="1" t="n">
        <v>3</v>
      </c>
      <c r="I1839" s="1" t="n">
        <v>0</v>
      </c>
      <c r="J1839" s="1" t="n">
        <v>20201</v>
      </c>
      <c r="L1839" s="1" t="str">
        <f aca="false">IF(D1838&lt;&gt;D1839,D1839,"")</f>
        <v/>
      </c>
      <c r="M1839" s="1" t="str">
        <f aca="false">IF(F1838&lt;&gt;F1839,F1839,"")</f>
        <v/>
      </c>
    </row>
    <row r="1840" customFormat="false" ht="15" hidden="false" customHeight="false" outlineLevel="0" collapsed="false">
      <c r="A1840" s="1" t="s">
        <v>426</v>
      </c>
      <c r="B1840" s="1" t="s">
        <v>427</v>
      </c>
      <c r="C1840" s="1" t="s">
        <v>864</v>
      </c>
      <c r="D1840" s="1" t="s">
        <v>865</v>
      </c>
      <c r="E1840" s="1" t="n">
        <v>20171</v>
      </c>
      <c r="F1840" s="1" t="s">
        <v>303</v>
      </c>
      <c r="G1840" s="1" t="s">
        <v>18</v>
      </c>
      <c r="H1840" s="1" t="n">
        <v>3</v>
      </c>
      <c r="I1840" s="1" t="n">
        <v>0</v>
      </c>
      <c r="J1840" s="1" t="n">
        <v>20201</v>
      </c>
      <c r="L1840" s="1" t="str">
        <f aca="false">IF(D1839&lt;&gt;D1840,D1840,"")</f>
        <v/>
      </c>
      <c r="M1840" s="1" t="str">
        <f aca="false">IF(F1839&lt;&gt;F1840,F1840,"")</f>
        <v/>
      </c>
    </row>
    <row r="1841" customFormat="false" ht="15" hidden="false" customHeight="false" outlineLevel="0" collapsed="false">
      <c r="A1841" s="1" t="s">
        <v>428</v>
      </c>
      <c r="B1841" s="1" t="s">
        <v>429</v>
      </c>
      <c r="C1841" s="1" t="s">
        <v>864</v>
      </c>
      <c r="D1841" s="1" t="s">
        <v>865</v>
      </c>
      <c r="E1841" s="1" t="n">
        <v>20171</v>
      </c>
      <c r="F1841" s="1" t="s">
        <v>303</v>
      </c>
      <c r="G1841" s="1" t="s">
        <v>101</v>
      </c>
      <c r="H1841" s="1" t="n">
        <v>2.5</v>
      </c>
      <c r="I1841" s="1" t="n">
        <v>0</v>
      </c>
      <c r="J1841" s="1" t="n">
        <v>20201</v>
      </c>
      <c r="L1841" s="1" t="str">
        <f aca="false">IF(D1840&lt;&gt;D1841,D1841,"")</f>
        <v/>
      </c>
      <c r="M1841" s="1" t="str">
        <f aca="false">IF(F1840&lt;&gt;F1841,F1841,"")</f>
        <v/>
      </c>
    </row>
    <row r="1842" customFormat="false" ht="15" hidden="false" customHeight="false" outlineLevel="0" collapsed="false">
      <c r="A1842" s="1" t="s">
        <v>430</v>
      </c>
      <c r="B1842" s="1" t="s">
        <v>431</v>
      </c>
      <c r="C1842" s="1" t="s">
        <v>864</v>
      </c>
      <c r="D1842" s="1" t="s">
        <v>865</v>
      </c>
      <c r="E1842" s="1" t="n">
        <v>20171</v>
      </c>
      <c r="F1842" s="1" t="s">
        <v>303</v>
      </c>
      <c r="G1842" s="1" t="s">
        <v>18</v>
      </c>
      <c r="H1842" s="1" t="n">
        <v>3</v>
      </c>
      <c r="I1842" s="1" t="n">
        <v>0</v>
      </c>
      <c r="J1842" s="1" t="n">
        <v>20201</v>
      </c>
      <c r="L1842" s="1" t="str">
        <f aca="false">IF(D1841&lt;&gt;D1842,D1842,"")</f>
        <v/>
      </c>
      <c r="M1842" s="1" t="str">
        <f aca="false">IF(F1841&lt;&gt;F1842,F1842,"")</f>
        <v/>
      </c>
    </row>
    <row r="1843" customFormat="false" ht="15" hidden="false" customHeight="false" outlineLevel="0" collapsed="false">
      <c r="A1843" s="1" t="s">
        <v>432</v>
      </c>
      <c r="B1843" s="1" t="s">
        <v>433</v>
      </c>
      <c r="C1843" s="1" t="s">
        <v>864</v>
      </c>
      <c r="D1843" s="1" t="s">
        <v>865</v>
      </c>
      <c r="E1843" s="1" t="n">
        <v>20171</v>
      </c>
      <c r="F1843" s="1" t="s">
        <v>303</v>
      </c>
      <c r="G1843" s="1" t="s">
        <v>18</v>
      </c>
      <c r="H1843" s="1" t="n">
        <v>3</v>
      </c>
      <c r="I1843" s="1" t="n">
        <v>0</v>
      </c>
      <c r="J1843" s="1" t="n">
        <v>20201</v>
      </c>
      <c r="L1843" s="1" t="str">
        <f aca="false">IF(D1842&lt;&gt;D1843,D1843,"")</f>
        <v/>
      </c>
      <c r="M1843" s="1" t="str">
        <f aca="false">IF(F1842&lt;&gt;F1843,F1843,"")</f>
        <v/>
      </c>
    </row>
    <row r="1844" customFormat="false" ht="15" hidden="false" customHeight="false" outlineLevel="0" collapsed="false">
      <c r="A1844" s="1" t="s">
        <v>434</v>
      </c>
      <c r="B1844" s="1" t="s">
        <v>435</v>
      </c>
      <c r="C1844" s="1" t="s">
        <v>864</v>
      </c>
      <c r="D1844" s="1" t="s">
        <v>865</v>
      </c>
      <c r="E1844" s="1" t="n">
        <v>20171</v>
      </c>
      <c r="F1844" s="1" t="s">
        <v>303</v>
      </c>
      <c r="G1844" s="1" t="s">
        <v>15</v>
      </c>
      <c r="H1844" s="1" t="n">
        <v>3.5</v>
      </c>
      <c r="I1844" s="1" t="n">
        <v>0</v>
      </c>
      <c r="J1844" s="1" t="n">
        <v>20201</v>
      </c>
      <c r="L1844" s="1" t="str">
        <f aca="false">IF(D1843&lt;&gt;D1844,D1844,"")</f>
        <v/>
      </c>
      <c r="M1844" s="1" t="str">
        <f aca="false">IF(F1843&lt;&gt;F1844,F1844,"")</f>
        <v/>
      </c>
    </row>
    <row r="1845" customFormat="false" ht="15" hidden="false" customHeight="false" outlineLevel="0" collapsed="false">
      <c r="A1845" s="1" t="s">
        <v>436</v>
      </c>
      <c r="B1845" s="1" t="s">
        <v>437</v>
      </c>
      <c r="C1845" s="1" t="s">
        <v>864</v>
      </c>
      <c r="D1845" s="1" t="s">
        <v>865</v>
      </c>
      <c r="E1845" s="1" t="n">
        <v>20171</v>
      </c>
      <c r="F1845" s="1" t="s">
        <v>303</v>
      </c>
      <c r="G1845" s="1" t="s">
        <v>15</v>
      </c>
      <c r="H1845" s="1" t="n">
        <v>3.5</v>
      </c>
      <c r="I1845" s="1" t="n">
        <v>0</v>
      </c>
      <c r="J1845" s="1" t="n">
        <v>20201</v>
      </c>
      <c r="L1845" s="1" t="str">
        <f aca="false">IF(D1844&lt;&gt;D1845,D1845,"")</f>
        <v/>
      </c>
      <c r="M1845" s="1" t="str">
        <f aca="false">IF(F1844&lt;&gt;F1845,F1845,"")</f>
        <v/>
      </c>
    </row>
    <row r="1846" customFormat="false" ht="15" hidden="false" customHeight="false" outlineLevel="0" collapsed="false">
      <c r="A1846" s="1" t="s">
        <v>438</v>
      </c>
      <c r="B1846" s="1" t="s">
        <v>439</v>
      </c>
      <c r="C1846" s="1" t="s">
        <v>864</v>
      </c>
      <c r="D1846" s="1" t="s">
        <v>865</v>
      </c>
      <c r="E1846" s="1" t="n">
        <v>20171</v>
      </c>
      <c r="F1846" s="1" t="s">
        <v>303</v>
      </c>
      <c r="G1846" s="1" t="s">
        <v>18</v>
      </c>
      <c r="H1846" s="1" t="n">
        <v>3</v>
      </c>
      <c r="I1846" s="1" t="n">
        <v>0</v>
      </c>
      <c r="J1846" s="1" t="n">
        <v>20201</v>
      </c>
      <c r="L1846" s="1" t="str">
        <f aca="false">IF(D1845&lt;&gt;D1846,D1846,"")</f>
        <v/>
      </c>
      <c r="M1846" s="1" t="str">
        <f aca="false">IF(F1845&lt;&gt;F1846,F1846,"")</f>
        <v/>
      </c>
    </row>
    <row r="1847" customFormat="false" ht="15" hidden="false" customHeight="false" outlineLevel="0" collapsed="false">
      <c r="A1847" s="1" t="s">
        <v>440</v>
      </c>
      <c r="B1847" s="1" t="s">
        <v>441</v>
      </c>
      <c r="C1847" s="1" t="s">
        <v>864</v>
      </c>
      <c r="D1847" s="1" t="s">
        <v>865</v>
      </c>
      <c r="E1847" s="1" t="n">
        <v>20171</v>
      </c>
      <c r="F1847" s="1" t="s">
        <v>303</v>
      </c>
      <c r="G1847" s="1" t="s">
        <v>15</v>
      </c>
      <c r="H1847" s="1" t="n">
        <v>3.5</v>
      </c>
      <c r="I1847" s="1" t="n">
        <v>0</v>
      </c>
      <c r="J1847" s="1" t="n">
        <v>20201</v>
      </c>
      <c r="L1847" s="1" t="str">
        <f aca="false">IF(D1846&lt;&gt;D1847,D1847,"")</f>
        <v/>
      </c>
      <c r="M1847" s="1" t="str">
        <f aca="false">IF(F1846&lt;&gt;F1847,F1847,"")</f>
        <v/>
      </c>
    </row>
    <row r="1848" customFormat="false" ht="15" hidden="false" customHeight="false" outlineLevel="0" collapsed="false">
      <c r="A1848" s="1" t="s">
        <v>442</v>
      </c>
      <c r="B1848" s="1" t="s">
        <v>443</v>
      </c>
      <c r="C1848" s="1" t="s">
        <v>864</v>
      </c>
      <c r="D1848" s="1" t="s">
        <v>865</v>
      </c>
      <c r="E1848" s="1" t="n">
        <v>20171</v>
      </c>
      <c r="F1848" s="1" t="s">
        <v>303</v>
      </c>
      <c r="G1848" s="1" t="s">
        <v>14</v>
      </c>
      <c r="H1848" s="1" t="n">
        <v>4</v>
      </c>
      <c r="I1848" s="1" t="n">
        <v>0</v>
      </c>
      <c r="J1848" s="1" t="n">
        <v>20201</v>
      </c>
      <c r="L1848" s="1" t="str">
        <f aca="false">IF(D1847&lt;&gt;D1848,D1848,"")</f>
        <v/>
      </c>
      <c r="M1848" s="1" t="str">
        <f aca="false">IF(F1847&lt;&gt;F1848,F1848,"")</f>
        <v/>
      </c>
    </row>
    <row r="1849" customFormat="false" ht="15" hidden="false" customHeight="false" outlineLevel="0" collapsed="false">
      <c r="A1849" s="1" t="s">
        <v>444</v>
      </c>
      <c r="B1849" s="1" t="s">
        <v>445</v>
      </c>
      <c r="C1849" s="1" t="s">
        <v>864</v>
      </c>
      <c r="D1849" s="1" t="s">
        <v>865</v>
      </c>
      <c r="E1849" s="1" t="n">
        <v>20171</v>
      </c>
      <c r="F1849" s="1" t="s">
        <v>303</v>
      </c>
      <c r="G1849" s="1" t="s">
        <v>18</v>
      </c>
      <c r="H1849" s="1" t="n">
        <v>3</v>
      </c>
      <c r="I1849" s="1" t="n">
        <v>0</v>
      </c>
      <c r="J1849" s="1" t="n">
        <v>20201</v>
      </c>
      <c r="L1849" s="1" t="str">
        <f aca="false">IF(D1848&lt;&gt;D1849,D1849,"")</f>
        <v/>
      </c>
      <c r="M1849" s="1" t="str">
        <f aca="false">IF(F1848&lt;&gt;F1849,F1849,"")</f>
        <v/>
      </c>
    </row>
    <row r="1850" customFormat="false" ht="15" hidden="false" customHeight="false" outlineLevel="0" collapsed="false">
      <c r="A1850" s="1" t="s">
        <v>446</v>
      </c>
      <c r="B1850" s="1" t="s">
        <v>447</v>
      </c>
      <c r="C1850" s="1" t="s">
        <v>864</v>
      </c>
      <c r="D1850" s="1" t="s">
        <v>865</v>
      </c>
      <c r="E1850" s="1" t="n">
        <v>20171</v>
      </c>
      <c r="F1850" s="1" t="s">
        <v>303</v>
      </c>
      <c r="G1850" s="1" t="s">
        <v>15</v>
      </c>
      <c r="H1850" s="1" t="n">
        <v>3.5</v>
      </c>
      <c r="I1850" s="1" t="n">
        <v>0</v>
      </c>
      <c r="J1850" s="1" t="n">
        <v>20201</v>
      </c>
      <c r="L1850" s="1" t="str">
        <f aca="false">IF(D1849&lt;&gt;D1850,D1850,"")</f>
        <v/>
      </c>
      <c r="M1850" s="1" t="str">
        <f aca="false">IF(F1849&lt;&gt;F1850,F1850,"")</f>
        <v/>
      </c>
    </row>
    <row r="1851" customFormat="false" ht="15" hidden="false" customHeight="false" outlineLevel="0" collapsed="false">
      <c r="A1851" s="1" t="s">
        <v>448</v>
      </c>
      <c r="B1851" s="1" t="s">
        <v>449</v>
      </c>
      <c r="C1851" s="1" t="s">
        <v>864</v>
      </c>
      <c r="D1851" s="1" t="s">
        <v>865</v>
      </c>
      <c r="E1851" s="1" t="n">
        <v>20171</v>
      </c>
      <c r="F1851" s="1" t="s">
        <v>303</v>
      </c>
      <c r="G1851" s="1" t="s">
        <v>23</v>
      </c>
      <c r="H1851" s="1" t="n">
        <v>0</v>
      </c>
      <c r="I1851" s="1" t="n">
        <v>0</v>
      </c>
      <c r="J1851" s="1" t="n">
        <v>20201</v>
      </c>
      <c r="L1851" s="1" t="str">
        <f aca="false">IF(D1850&lt;&gt;D1851,D1851,"")</f>
        <v/>
      </c>
      <c r="M1851" s="1" t="str">
        <f aca="false">IF(F1850&lt;&gt;F1851,F1851,"")</f>
        <v/>
      </c>
    </row>
    <row r="1852" customFormat="false" ht="15" hidden="false" customHeight="false" outlineLevel="0" collapsed="false">
      <c r="A1852" s="1" t="s">
        <v>450</v>
      </c>
      <c r="B1852" s="1" t="s">
        <v>451</v>
      </c>
      <c r="C1852" s="1" t="s">
        <v>864</v>
      </c>
      <c r="D1852" s="1" t="s">
        <v>865</v>
      </c>
      <c r="E1852" s="1" t="n">
        <v>20171</v>
      </c>
      <c r="F1852" s="1" t="s">
        <v>303</v>
      </c>
      <c r="G1852" s="1" t="s">
        <v>23</v>
      </c>
      <c r="H1852" s="1" t="n">
        <v>0</v>
      </c>
      <c r="I1852" s="1" t="n">
        <v>0</v>
      </c>
      <c r="J1852" s="1" t="n">
        <v>20201</v>
      </c>
      <c r="L1852" s="1" t="str">
        <f aca="false">IF(D1851&lt;&gt;D1852,D1852,"")</f>
        <v/>
      </c>
      <c r="M1852" s="1" t="str">
        <f aca="false">IF(F1851&lt;&gt;F1852,F1852,"")</f>
        <v/>
      </c>
    </row>
    <row r="1853" customFormat="false" ht="15" hidden="false" customHeight="false" outlineLevel="0" collapsed="false">
      <c r="A1853" s="1" t="s">
        <v>452</v>
      </c>
      <c r="B1853" s="1" t="s">
        <v>453</v>
      </c>
      <c r="C1853" s="1" t="s">
        <v>864</v>
      </c>
      <c r="D1853" s="1" t="s">
        <v>865</v>
      </c>
      <c r="E1853" s="1" t="n">
        <v>20171</v>
      </c>
      <c r="F1853" s="1" t="s">
        <v>303</v>
      </c>
      <c r="G1853" s="1" t="s">
        <v>14</v>
      </c>
      <c r="H1853" s="1" t="n">
        <v>4</v>
      </c>
      <c r="I1853" s="1" t="n">
        <v>0</v>
      </c>
      <c r="J1853" s="1" t="n">
        <v>20201</v>
      </c>
      <c r="L1853" s="1" t="str">
        <f aca="false">IF(D1852&lt;&gt;D1853,D1853,"")</f>
        <v/>
      </c>
      <c r="M1853" s="1" t="str">
        <f aca="false">IF(F1852&lt;&gt;F1853,F1853,"")</f>
        <v/>
      </c>
    </row>
    <row r="1854" customFormat="false" ht="15" hidden="false" customHeight="false" outlineLevel="0" collapsed="false">
      <c r="A1854" s="1" t="s">
        <v>454</v>
      </c>
      <c r="B1854" s="1" t="s">
        <v>455</v>
      </c>
      <c r="C1854" s="1" t="s">
        <v>864</v>
      </c>
      <c r="D1854" s="1" t="s">
        <v>865</v>
      </c>
      <c r="E1854" s="1" t="n">
        <v>20171</v>
      </c>
      <c r="F1854" s="1" t="s">
        <v>303</v>
      </c>
      <c r="G1854" s="1" t="s">
        <v>18</v>
      </c>
      <c r="H1854" s="1" t="n">
        <v>3</v>
      </c>
      <c r="I1854" s="1" t="n">
        <v>0</v>
      </c>
      <c r="J1854" s="1" t="n">
        <v>20201</v>
      </c>
      <c r="L1854" s="1" t="str">
        <f aca="false">IF(D1853&lt;&gt;D1854,D1854,"")</f>
        <v/>
      </c>
      <c r="M1854" s="1" t="str">
        <f aca="false">IF(F1853&lt;&gt;F1854,F1854,"")</f>
        <v/>
      </c>
    </row>
    <row r="1855" customFormat="false" ht="15" hidden="false" customHeight="false" outlineLevel="0" collapsed="false">
      <c r="A1855" s="1" t="s">
        <v>456</v>
      </c>
      <c r="B1855" s="1" t="s">
        <v>457</v>
      </c>
      <c r="C1855" s="1" t="s">
        <v>864</v>
      </c>
      <c r="D1855" s="1" t="s">
        <v>865</v>
      </c>
      <c r="E1855" s="1" t="n">
        <v>20171</v>
      </c>
      <c r="F1855" s="1" t="s">
        <v>303</v>
      </c>
      <c r="G1855" s="1" t="s">
        <v>14</v>
      </c>
      <c r="H1855" s="1" t="n">
        <v>4</v>
      </c>
      <c r="I1855" s="1" t="n">
        <v>0</v>
      </c>
      <c r="J1855" s="1" t="n">
        <v>20201</v>
      </c>
      <c r="L1855" s="1" t="str">
        <f aca="false">IF(D1854&lt;&gt;D1855,D1855,"")</f>
        <v/>
      </c>
      <c r="M1855" s="1" t="str">
        <f aca="false">IF(F1854&lt;&gt;F1855,F1855,"")</f>
        <v/>
      </c>
    </row>
    <row r="1856" customFormat="false" ht="15" hidden="false" customHeight="false" outlineLevel="0" collapsed="false">
      <c r="A1856" s="1" t="s">
        <v>458</v>
      </c>
      <c r="B1856" s="1" t="s">
        <v>459</v>
      </c>
      <c r="C1856" s="1" t="s">
        <v>864</v>
      </c>
      <c r="D1856" s="1" t="s">
        <v>865</v>
      </c>
      <c r="E1856" s="1" t="n">
        <v>20171</v>
      </c>
      <c r="F1856" s="1" t="s">
        <v>303</v>
      </c>
      <c r="G1856" s="1" t="s">
        <v>23</v>
      </c>
      <c r="H1856" s="1" t="n">
        <v>0</v>
      </c>
      <c r="I1856" s="1" t="n">
        <v>0</v>
      </c>
      <c r="J1856" s="1" t="n">
        <v>20201</v>
      </c>
      <c r="L1856" s="1" t="str">
        <f aca="false">IF(D1855&lt;&gt;D1856,D1856,"")</f>
        <v/>
      </c>
      <c r="M1856" s="1" t="str">
        <f aca="false">IF(F1855&lt;&gt;F1856,F1856,"")</f>
        <v/>
      </c>
    </row>
    <row r="1857" customFormat="false" ht="15" hidden="false" customHeight="false" outlineLevel="0" collapsed="false">
      <c r="A1857" s="1" t="s">
        <v>460</v>
      </c>
      <c r="B1857" s="1" t="s">
        <v>461</v>
      </c>
      <c r="C1857" s="1" t="s">
        <v>864</v>
      </c>
      <c r="D1857" s="1" t="s">
        <v>865</v>
      </c>
      <c r="E1857" s="1" t="n">
        <v>20171</v>
      </c>
      <c r="F1857" s="1" t="s">
        <v>303</v>
      </c>
      <c r="G1857" s="1" t="s">
        <v>14</v>
      </c>
      <c r="H1857" s="1" t="n">
        <v>4</v>
      </c>
      <c r="I1857" s="1" t="n">
        <v>0</v>
      </c>
      <c r="J1857" s="1" t="n">
        <v>20201</v>
      </c>
      <c r="L1857" s="1" t="str">
        <f aca="false">IF(D1856&lt;&gt;D1857,D1857,"")</f>
        <v/>
      </c>
      <c r="M1857" s="1" t="str">
        <f aca="false">IF(F1856&lt;&gt;F1857,F1857,"")</f>
        <v/>
      </c>
    </row>
    <row r="1858" customFormat="false" ht="15" hidden="false" customHeight="false" outlineLevel="0" collapsed="false">
      <c r="A1858" s="1" t="s">
        <v>462</v>
      </c>
      <c r="B1858" s="1" t="s">
        <v>463</v>
      </c>
      <c r="C1858" s="1" t="s">
        <v>864</v>
      </c>
      <c r="D1858" s="1" t="s">
        <v>865</v>
      </c>
      <c r="E1858" s="1" t="n">
        <v>20171</v>
      </c>
      <c r="F1858" s="1" t="s">
        <v>303</v>
      </c>
      <c r="G1858" s="1" t="s">
        <v>14</v>
      </c>
      <c r="H1858" s="1" t="n">
        <v>4</v>
      </c>
      <c r="I1858" s="1" t="n">
        <v>0</v>
      </c>
      <c r="J1858" s="1" t="n">
        <v>20201</v>
      </c>
      <c r="L1858" s="1" t="str">
        <f aca="false">IF(D1857&lt;&gt;D1858,D1858,"")</f>
        <v/>
      </c>
      <c r="M1858" s="1" t="str">
        <f aca="false">IF(F1857&lt;&gt;F1858,F1858,"")</f>
        <v/>
      </c>
    </row>
    <row r="1859" customFormat="false" ht="15" hidden="false" customHeight="false" outlineLevel="0" collapsed="false">
      <c r="A1859" s="1" t="s">
        <v>464</v>
      </c>
      <c r="B1859" s="1" t="s">
        <v>465</v>
      </c>
      <c r="C1859" s="1" t="s">
        <v>864</v>
      </c>
      <c r="D1859" s="1" t="s">
        <v>865</v>
      </c>
      <c r="E1859" s="1" t="n">
        <v>20171</v>
      </c>
      <c r="F1859" s="1" t="s">
        <v>303</v>
      </c>
      <c r="G1859" s="1" t="s">
        <v>14</v>
      </c>
      <c r="H1859" s="1" t="n">
        <v>4</v>
      </c>
      <c r="I1859" s="1" t="n">
        <v>0</v>
      </c>
      <c r="J1859" s="1" t="n">
        <v>20201</v>
      </c>
      <c r="L1859" s="1" t="str">
        <f aca="false">IF(D1858&lt;&gt;D1859,D1859,"")</f>
        <v/>
      </c>
      <c r="M1859" s="1" t="str">
        <f aca="false">IF(F1858&lt;&gt;F1859,F1859,"")</f>
        <v/>
      </c>
    </row>
    <row r="1860" customFormat="false" ht="15" hidden="false" customHeight="false" outlineLevel="0" collapsed="false">
      <c r="A1860" s="1" t="s">
        <v>466</v>
      </c>
      <c r="B1860" s="1" t="s">
        <v>467</v>
      </c>
      <c r="C1860" s="1" t="s">
        <v>864</v>
      </c>
      <c r="D1860" s="1" t="s">
        <v>865</v>
      </c>
      <c r="E1860" s="1" t="n">
        <v>20171</v>
      </c>
      <c r="F1860" s="1" t="s">
        <v>303</v>
      </c>
      <c r="G1860" s="1" t="s">
        <v>15</v>
      </c>
      <c r="H1860" s="1" t="n">
        <v>3.5</v>
      </c>
      <c r="I1860" s="1" t="n">
        <v>0</v>
      </c>
      <c r="J1860" s="1" t="n">
        <v>20201</v>
      </c>
      <c r="L1860" s="1" t="str">
        <f aca="false">IF(D1859&lt;&gt;D1860,D1860,"")</f>
        <v/>
      </c>
      <c r="M1860" s="1" t="str">
        <f aca="false">IF(F1859&lt;&gt;F1860,F1860,"")</f>
        <v/>
      </c>
    </row>
    <row r="1861" customFormat="false" ht="15" hidden="false" customHeight="false" outlineLevel="0" collapsed="false">
      <c r="A1861" s="1" t="s">
        <v>468</v>
      </c>
      <c r="B1861" s="1" t="s">
        <v>469</v>
      </c>
      <c r="C1861" s="1" t="s">
        <v>864</v>
      </c>
      <c r="D1861" s="1" t="s">
        <v>865</v>
      </c>
      <c r="E1861" s="1" t="n">
        <v>20171</v>
      </c>
      <c r="F1861" s="1" t="s">
        <v>303</v>
      </c>
      <c r="G1861" s="1" t="s">
        <v>15</v>
      </c>
      <c r="H1861" s="1" t="n">
        <v>3.5</v>
      </c>
      <c r="I1861" s="1" t="n">
        <v>0</v>
      </c>
      <c r="J1861" s="1" t="n">
        <v>20201</v>
      </c>
      <c r="L1861" s="1" t="str">
        <f aca="false">IF(D1860&lt;&gt;D1861,D1861,"")</f>
        <v/>
      </c>
      <c r="M1861" s="1" t="str">
        <f aca="false">IF(F1860&lt;&gt;F1861,F1861,"")</f>
        <v/>
      </c>
    </row>
    <row r="1862" customFormat="false" ht="15" hidden="false" customHeight="false" outlineLevel="0" collapsed="false">
      <c r="A1862" s="1" t="s">
        <v>470</v>
      </c>
      <c r="B1862" s="1" t="s">
        <v>471</v>
      </c>
      <c r="C1862" s="1" t="s">
        <v>864</v>
      </c>
      <c r="D1862" s="1" t="s">
        <v>865</v>
      </c>
      <c r="E1862" s="1" t="n">
        <v>20171</v>
      </c>
      <c r="F1862" s="1" t="s">
        <v>303</v>
      </c>
      <c r="G1862" s="1" t="s">
        <v>14</v>
      </c>
      <c r="H1862" s="1" t="n">
        <v>4</v>
      </c>
      <c r="I1862" s="1" t="n">
        <v>0</v>
      </c>
      <c r="J1862" s="1" t="n">
        <v>20201</v>
      </c>
      <c r="L1862" s="1" t="str">
        <f aca="false">IF(D1861&lt;&gt;D1862,D1862,"")</f>
        <v/>
      </c>
      <c r="M1862" s="1" t="str">
        <f aca="false">IF(F1861&lt;&gt;F1862,F1862,"")</f>
        <v/>
      </c>
    </row>
    <row r="1863" customFormat="false" ht="15" hidden="false" customHeight="false" outlineLevel="0" collapsed="false">
      <c r="A1863" s="1" t="s">
        <v>472</v>
      </c>
      <c r="B1863" s="1" t="s">
        <v>473</v>
      </c>
      <c r="C1863" s="1" t="s">
        <v>864</v>
      </c>
      <c r="D1863" s="1" t="s">
        <v>865</v>
      </c>
      <c r="E1863" s="1" t="n">
        <v>20171</v>
      </c>
      <c r="F1863" s="1" t="s">
        <v>303</v>
      </c>
      <c r="G1863" s="1" t="s">
        <v>15</v>
      </c>
      <c r="H1863" s="1" t="n">
        <v>3.5</v>
      </c>
      <c r="I1863" s="1" t="n">
        <v>0</v>
      </c>
      <c r="J1863" s="1" t="n">
        <v>20201</v>
      </c>
      <c r="L1863" s="1" t="str">
        <f aca="false">IF(D1862&lt;&gt;D1863,D1863,"")</f>
        <v/>
      </c>
      <c r="M1863" s="1" t="str">
        <f aca="false">IF(F1862&lt;&gt;F1863,F1863,"")</f>
        <v/>
      </c>
    </row>
    <row r="1864" customFormat="false" ht="15" hidden="false" customHeight="false" outlineLevel="0" collapsed="false">
      <c r="A1864" s="1" t="s">
        <v>474</v>
      </c>
      <c r="B1864" s="1" t="s">
        <v>475</v>
      </c>
      <c r="C1864" s="1" t="s">
        <v>864</v>
      </c>
      <c r="D1864" s="1" t="s">
        <v>865</v>
      </c>
      <c r="E1864" s="1" t="n">
        <v>20171</v>
      </c>
      <c r="F1864" s="1" t="s">
        <v>303</v>
      </c>
      <c r="G1864" s="1" t="s">
        <v>15</v>
      </c>
      <c r="H1864" s="1" t="n">
        <v>3.5</v>
      </c>
      <c r="I1864" s="1" t="n">
        <v>0</v>
      </c>
      <c r="J1864" s="1" t="n">
        <v>20201</v>
      </c>
      <c r="L1864" s="1" t="str">
        <f aca="false">IF(D1863&lt;&gt;D1864,D1864,"")</f>
        <v/>
      </c>
      <c r="M1864" s="1" t="str">
        <f aca="false">IF(F1863&lt;&gt;F1864,F1864,"")</f>
        <v/>
      </c>
    </row>
    <row r="1865" customFormat="false" ht="15" hidden="false" customHeight="false" outlineLevel="0" collapsed="false">
      <c r="A1865" s="1" t="s">
        <v>476</v>
      </c>
      <c r="B1865" s="1" t="s">
        <v>477</v>
      </c>
      <c r="C1865" s="1" t="s">
        <v>864</v>
      </c>
      <c r="D1865" s="1" t="s">
        <v>865</v>
      </c>
      <c r="E1865" s="1" t="n">
        <v>20171</v>
      </c>
      <c r="F1865" s="1" t="s">
        <v>303</v>
      </c>
      <c r="G1865" s="1" t="s">
        <v>15</v>
      </c>
      <c r="H1865" s="1" t="n">
        <v>3.5</v>
      </c>
      <c r="I1865" s="1" t="n">
        <v>0</v>
      </c>
      <c r="J1865" s="1" t="n">
        <v>20201</v>
      </c>
      <c r="L1865" s="1" t="str">
        <f aca="false">IF(D1864&lt;&gt;D1865,D1865,"")</f>
        <v/>
      </c>
      <c r="M1865" s="1" t="str">
        <f aca="false">IF(F1864&lt;&gt;F1865,F1865,"")</f>
        <v/>
      </c>
    </row>
    <row r="1866" customFormat="false" ht="15" hidden="false" customHeight="false" outlineLevel="0" collapsed="false">
      <c r="A1866" s="1" t="s">
        <v>478</v>
      </c>
      <c r="B1866" s="1" t="s">
        <v>479</v>
      </c>
      <c r="C1866" s="1" t="s">
        <v>864</v>
      </c>
      <c r="D1866" s="1" t="s">
        <v>865</v>
      </c>
      <c r="E1866" s="1" t="n">
        <v>20171</v>
      </c>
      <c r="F1866" s="1" t="s">
        <v>303</v>
      </c>
      <c r="G1866" s="1" t="s">
        <v>15</v>
      </c>
      <c r="H1866" s="1" t="n">
        <v>3.5</v>
      </c>
      <c r="I1866" s="1" t="n">
        <v>0</v>
      </c>
      <c r="J1866" s="1" t="n">
        <v>20201</v>
      </c>
      <c r="L1866" s="1" t="str">
        <f aca="false">IF(D1865&lt;&gt;D1866,D1866,"")</f>
        <v/>
      </c>
      <c r="M1866" s="1" t="str">
        <f aca="false">IF(F1865&lt;&gt;F1866,F1866,"")</f>
        <v/>
      </c>
    </row>
    <row r="1867" customFormat="false" ht="15" hidden="false" customHeight="false" outlineLevel="0" collapsed="false">
      <c r="A1867" s="1" t="s">
        <v>480</v>
      </c>
      <c r="B1867" s="1" t="s">
        <v>481</v>
      </c>
      <c r="C1867" s="1" t="s">
        <v>864</v>
      </c>
      <c r="D1867" s="1" t="s">
        <v>865</v>
      </c>
      <c r="E1867" s="1" t="n">
        <v>20171</v>
      </c>
      <c r="F1867" s="1" t="s">
        <v>303</v>
      </c>
      <c r="G1867" s="1" t="s">
        <v>101</v>
      </c>
      <c r="H1867" s="1" t="n">
        <v>2.5</v>
      </c>
      <c r="I1867" s="1" t="n">
        <v>0</v>
      </c>
      <c r="J1867" s="1" t="n">
        <v>20201</v>
      </c>
      <c r="L1867" s="1" t="str">
        <f aca="false">IF(D1866&lt;&gt;D1867,D1867,"")</f>
        <v/>
      </c>
      <c r="M1867" s="1" t="str">
        <f aca="false">IF(F1866&lt;&gt;F1867,F1867,"")</f>
        <v/>
      </c>
    </row>
    <row r="1868" customFormat="false" ht="15" hidden="false" customHeight="false" outlineLevel="0" collapsed="false">
      <c r="A1868" s="1" t="s">
        <v>482</v>
      </c>
      <c r="B1868" s="1" t="s">
        <v>483</v>
      </c>
      <c r="C1868" s="1" t="s">
        <v>864</v>
      </c>
      <c r="D1868" s="1" t="s">
        <v>865</v>
      </c>
      <c r="E1868" s="1" t="n">
        <v>20171</v>
      </c>
      <c r="F1868" s="1" t="s">
        <v>303</v>
      </c>
      <c r="G1868" s="1" t="s">
        <v>101</v>
      </c>
      <c r="H1868" s="1" t="n">
        <v>2.5</v>
      </c>
      <c r="I1868" s="1" t="n">
        <v>0</v>
      </c>
      <c r="J1868" s="1" t="n">
        <v>20201</v>
      </c>
      <c r="L1868" s="1" t="str">
        <f aca="false">IF(D1867&lt;&gt;D1868,D1868,"")</f>
        <v/>
      </c>
      <c r="M1868" s="1" t="str">
        <f aca="false">IF(F1867&lt;&gt;F1868,F1868,"")</f>
        <v/>
      </c>
    </row>
    <row r="1869" customFormat="false" ht="15" hidden="false" customHeight="false" outlineLevel="0" collapsed="false">
      <c r="A1869" s="1" t="s">
        <v>484</v>
      </c>
      <c r="B1869" s="1" t="s">
        <v>485</v>
      </c>
      <c r="C1869" s="1" t="s">
        <v>864</v>
      </c>
      <c r="D1869" s="1" t="s">
        <v>865</v>
      </c>
      <c r="E1869" s="1" t="n">
        <v>20171</v>
      </c>
      <c r="F1869" s="1" t="s">
        <v>303</v>
      </c>
      <c r="G1869" s="1" t="s">
        <v>15</v>
      </c>
      <c r="H1869" s="1" t="n">
        <v>3.5</v>
      </c>
      <c r="I1869" s="1" t="n">
        <v>0</v>
      </c>
      <c r="J1869" s="1" t="n">
        <v>20201</v>
      </c>
      <c r="L1869" s="1" t="str">
        <f aca="false">IF(D1868&lt;&gt;D1869,D1869,"")</f>
        <v/>
      </c>
      <c r="M1869" s="1" t="str">
        <f aca="false">IF(F1868&lt;&gt;F1869,F1869,"")</f>
        <v/>
      </c>
    </row>
    <row r="1870" customFormat="false" ht="15" hidden="false" customHeight="false" outlineLevel="0" collapsed="false">
      <c r="A1870" s="1" t="s">
        <v>486</v>
      </c>
      <c r="B1870" s="1" t="s">
        <v>487</v>
      </c>
      <c r="C1870" s="1" t="s">
        <v>864</v>
      </c>
      <c r="D1870" s="1" t="s">
        <v>865</v>
      </c>
      <c r="E1870" s="1" t="n">
        <v>20171</v>
      </c>
      <c r="F1870" s="1" t="s">
        <v>303</v>
      </c>
      <c r="G1870" s="1" t="s">
        <v>18</v>
      </c>
      <c r="H1870" s="1" t="n">
        <v>3</v>
      </c>
      <c r="I1870" s="1" t="n">
        <v>0</v>
      </c>
      <c r="J1870" s="1" t="n">
        <v>20201</v>
      </c>
      <c r="L1870" s="1" t="str">
        <f aca="false">IF(D1869&lt;&gt;D1870,D1870,"")</f>
        <v/>
      </c>
      <c r="M1870" s="1" t="str">
        <f aca="false">IF(F1869&lt;&gt;F1870,F1870,"")</f>
        <v/>
      </c>
    </row>
    <row r="1871" customFormat="false" ht="15" hidden="false" customHeight="false" outlineLevel="0" collapsed="false">
      <c r="A1871" s="1" t="s">
        <v>488</v>
      </c>
      <c r="B1871" s="1" t="s">
        <v>489</v>
      </c>
      <c r="C1871" s="1" t="s">
        <v>864</v>
      </c>
      <c r="D1871" s="1" t="s">
        <v>865</v>
      </c>
      <c r="E1871" s="1" t="n">
        <v>20171</v>
      </c>
      <c r="F1871" s="1" t="s">
        <v>303</v>
      </c>
      <c r="G1871" s="1" t="s">
        <v>101</v>
      </c>
      <c r="H1871" s="1" t="n">
        <v>2.5</v>
      </c>
      <c r="I1871" s="1" t="n">
        <v>0</v>
      </c>
      <c r="J1871" s="1" t="n">
        <v>20201</v>
      </c>
      <c r="L1871" s="1" t="str">
        <f aca="false">IF(D1870&lt;&gt;D1871,D1871,"")</f>
        <v/>
      </c>
      <c r="M1871" s="1" t="str">
        <f aca="false">IF(F1870&lt;&gt;F1871,F1871,"")</f>
        <v/>
      </c>
    </row>
    <row r="1872" customFormat="false" ht="15" hidden="false" customHeight="false" outlineLevel="0" collapsed="false">
      <c r="A1872" s="1" t="s">
        <v>490</v>
      </c>
      <c r="B1872" s="1" t="s">
        <v>491</v>
      </c>
      <c r="C1872" s="1" t="s">
        <v>864</v>
      </c>
      <c r="D1872" s="1" t="s">
        <v>865</v>
      </c>
      <c r="E1872" s="1" t="n">
        <v>20171</v>
      </c>
      <c r="F1872" s="1" t="s">
        <v>303</v>
      </c>
      <c r="G1872" s="1" t="s">
        <v>514</v>
      </c>
      <c r="H1872" s="1" t="n">
        <v>1</v>
      </c>
      <c r="I1872" s="1" t="n">
        <v>0</v>
      </c>
      <c r="J1872" s="1" t="n">
        <v>20201</v>
      </c>
      <c r="L1872" s="1" t="str">
        <f aca="false">IF(D1871&lt;&gt;D1872,D1872,"")</f>
        <v/>
      </c>
      <c r="M1872" s="1" t="str">
        <f aca="false">IF(F1871&lt;&gt;F1872,F1872,"")</f>
        <v/>
      </c>
    </row>
    <row r="1873" customFormat="false" ht="15" hidden="false" customHeight="false" outlineLevel="0" collapsed="false">
      <c r="A1873" s="1" t="s">
        <v>492</v>
      </c>
      <c r="B1873" s="1" t="s">
        <v>493</v>
      </c>
      <c r="C1873" s="1" t="s">
        <v>864</v>
      </c>
      <c r="D1873" s="1" t="s">
        <v>865</v>
      </c>
      <c r="E1873" s="1" t="n">
        <v>20171</v>
      </c>
      <c r="F1873" s="1" t="s">
        <v>303</v>
      </c>
      <c r="G1873" s="1" t="s">
        <v>101</v>
      </c>
      <c r="H1873" s="1" t="n">
        <v>2.5</v>
      </c>
      <c r="I1873" s="1" t="n">
        <v>0</v>
      </c>
      <c r="J1873" s="1" t="n">
        <v>20201</v>
      </c>
      <c r="L1873" s="1" t="str">
        <f aca="false">IF(D1872&lt;&gt;D1873,D1873,"")</f>
        <v/>
      </c>
      <c r="M1873" s="1" t="str">
        <f aca="false">IF(F1872&lt;&gt;F1873,F1873,"")</f>
        <v/>
      </c>
    </row>
    <row r="1874" customFormat="false" ht="15" hidden="false" customHeight="false" outlineLevel="0" collapsed="false">
      <c r="A1874" s="1" t="s">
        <v>494</v>
      </c>
      <c r="B1874" s="1" t="s">
        <v>495</v>
      </c>
      <c r="C1874" s="1" t="s">
        <v>864</v>
      </c>
      <c r="D1874" s="1" t="s">
        <v>865</v>
      </c>
      <c r="E1874" s="1" t="n">
        <v>20171</v>
      </c>
      <c r="F1874" s="1" t="s">
        <v>303</v>
      </c>
      <c r="G1874" s="1" t="s">
        <v>30</v>
      </c>
      <c r="H1874" s="1" t="n">
        <v>1.5</v>
      </c>
      <c r="I1874" s="1" t="n">
        <v>0</v>
      </c>
      <c r="J1874" s="1" t="n">
        <v>20201</v>
      </c>
      <c r="L1874" s="1" t="str">
        <f aca="false">IF(D1873&lt;&gt;D1874,D1874,"")</f>
        <v/>
      </c>
      <c r="M1874" s="1" t="str">
        <f aca="false">IF(F1873&lt;&gt;F1874,F1874,"")</f>
        <v/>
      </c>
    </row>
    <row r="1875" customFormat="false" ht="15" hidden="false" customHeight="false" outlineLevel="0" collapsed="false">
      <c r="A1875" s="1" t="s">
        <v>496</v>
      </c>
      <c r="B1875" s="1" t="s">
        <v>497</v>
      </c>
      <c r="C1875" s="1" t="s">
        <v>864</v>
      </c>
      <c r="D1875" s="1" t="s">
        <v>865</v>
      </c>
      <c r="E1875" s="1" t="n">
        <v>20171</v>
      </c>
      <c r="F1875" s="1" t="s">
        <v>303</v>
      </c>
      <c r="G1875" s="1" t="s">
        <v>101</v>
      </c>
      <c r="H1875" s="1" t="n">
        <v>2.5</v>
      </c>
      <c r="I1875" s="1" t="n">
        <v>0</v>
      </c>
      <c r="J1875" s="1" t="n">
        <v>20201</v>
      </c>
      <c r="L1875" s="1" t="str">
        <f aca="false">IF(D1874&lt;&gt;D1875,D1875,"")</f>
        <v/>
      </c>
      <c r="M1875" s="1" t="str">
        <f aca="false">IF(F1874&lt;&gt;F1875,F1875,"")</f>
        <v/>
      </c>
    </row>
    <row r="1876" customFormat="false" ht="15" hidden="false" customHeight="false" outlineLevel="0" collapsed="false">
      <c r="A1876" s="1" t="s">
        <v>498</v>
      </c>
      <c r="B1876" s="1" t="s">
        <v>499</v>
      </c>
      <c r="C1876" s="1" t="s">
        <v>864</v>
      </c>
      <c r="D1876" s="1" t="s">
        <v>865</v>
      </c>
      <c r="E1876" s="1" t="n">
        <v>20171</v>
      </c>
      <c r="F1876" s="1" t="s">
        <v>303</v>
      </c>
      <c r="G1876" s="1" t="s">
        <v>14</v>
      </c>
      <c r="H1876" s="1" t="n">
        <v>4</v>
      </c>
      <c r="I1876" s="1" t="n">
        <v>0</v>
      </c>
      <c r="J1876" s="1" t="n">
        <v>20201</v>
      </c>
      <c r="L1876" s="1" t="str">
        <f aca="false">IF(D1875&lt;&gt;D1876,D1876,"")</f>
        <v/>
      </c>
      <c r="M1876" s="1" t="str">
        <f aca="false">IF(F1875&lt;&gt;F1876,F1876,"")</f>
        <v/>
      </c>
    </row>
    <row r="1877" customFormat="false" ht="15" hidden="false" customHeight="false" outlineLevel="0" collapsed="false">
      <c r="A1877" s="1" t="s">
        <v>500</v>
      </c>
      <c r="B1877" s="1" t="s">
        <v>501</v>
      </c>
      <c r="C1877" s="1" t="s">
        <v>864</v>
      </c>
      <c r="D1877" s="1" t="s">
        <v>865</v>
      </c>
      <c r="E1877" s="1" t="n">
        <v>20171</v>
      </c>
      <c r="F1877" s="1" t="s">
        <v>303</v>
      </c>
      <c r="G1877" s="1" t="s">
        <v>101</v>
      </c>
      <c r="H1877" s="1" t="n">
        <v>2.5</v>
      </c>
      <c r="I1877" s="1" t="n">
        <v>0</v>
      </c>
      <c r="J1877" s="1" t="n">
        <v>20201</v>
      </c>
      <c r="L1877" s="1" t="str">
        <f aca="false">IF(D1876&lt;&gt;D1877,D1877,"")</f>
        <v/>
      </c>
      <c r="M1877" s="1" t="str">
        <f aca="false">IF(F1876&lt;&gt;F1877,F1877,"")</f>
        <v/>
      </c>
    </row>
    <row r="1878" customFormat="false" ht="15" hidden="false" customHeight="false" outlineLevel="0" collapsed="false">
      <c r="A1878" s="1" t="s">
        <v>502</v>
      </c>
      <c r="B1878" s="1" t="s">
        <v>503</v>
      </c>
      <c r="C1878" s="1" t="s">
        <v>864</v>
      </c>
      <c r="D1878" s="1" t="s">
        <v>865</v>
      </c>
      <c r="E1878" s="1" t="n">
        <v>20171</v>
      </c>
      <c r="F1878" s="1" t="s">
        <v>303</v>
      </c>
      <c r="G1878" s="1" t="s">
        <v>18</v>
      </c>
      <c r="H1878" s="1" t="n">
        <v>3</v>
      </c>
      <c r="I1878" s="1" t="n">
        <v>0</v>
      </c>
      <c r="J1878" s="1" t="n">
        <v>20201</v>
      </c>
      <c r="L1878" s="1" t="str">
        <f aca="false">IF(D1877&lt;&gt;D1878,D1878,"")</f>
        <v/>
      </c>
      <c r="M1878" s="1" t="str">
        <f aca="false">IF(F1877&lt;&gt;F1878,F1878,"")</f>
        <v/>
      </c>
    </row>
    <row r="1879" customFormat="false" ht="15" hidden="false" customHeight="false" outlineLevel="0" collapsed="false">
      <c r="A1879" s="1" t="s">
        <v>504</v>
      </c>
      <c r="B1879" s="1" t="s">
        <v>505</v>
      </c>
      <c r="C1879" s="1" t="s">
        <v>864</v>
      </c>
      <c r="D1879" s="1" t="s">
        <v>865</v>
      </c>
      <c r="E1879" s="1" t="n">
        <v>20171</v>
      </c>
      <c r="F1879" s="1" t="s">
        <v>303</v>
      </c>
      <c r="G1879" s="1" t="s">
        <v>18</v>
      </c>
      <c r="H1879" s="1" t="n">
        <v>3</v>
      </c>
      <c r="I1879" s="1" t="n">
        <v>0</v>
      </c>
      <c r="J1879" s="1" t="n">
        <v>20201</v>
      </c>
      <c r="L1879" s="1" t="str">
        <f aca="false">IF(D1878&lt;&gt;D1879,D1879,"")</f>
        <v/>
      </c>
      <c r="M1879" s="1" t="str">
        <f aca="false">IF(F1878&lt;&gt;F1879,F1879,"")</f>
        <v/>
      </c>
    </row>
    <row r="1880" customFormat="false" ht="15" hidden="false" customHeight="false" outlineLevel="0" collapsed="false">
      <c r="A1880" s="1" t="s">
        <v>506</v>
      </c>
      <c r="B1880" s="1" t="s">
        <v>507</v>
      </c>
      <c r="C1880" s="1" t="s">
        <v>864</v>
      </c>
      <c r="D1880" s="1" t="s">
        <v>865</v>
      </c>
      <c r="E1880" s="1" t="n">
        <v>20171</v>
      </c>
      <c r="F1880" s="1" t="s">
        <v>303</v>
      </c>
      <c r="G1880" s="1" t="s">
        <v>101</v>
      </c>
      <c r="H1880" s="1" t="n">
        <v>2.5</v>
      </c>
      <c r="I1880" s="1" t="n">
        <v>0</v>
      </c>
      <c r="J1880" s="1" t="n">
        <v>20201</v>
      </c>
      <c r="L1880" s="1" t="str">
        <f aca="false">IF(D1879&lt;&gt;D1880,D1880,"")</f>
        <v/>
      </c>
      <c r="M1880" s="1" t="str">
        <f aca="false">IF(F1879&lt;&gt;F1880,F1880,"")</f>
        <v/>
      </c>
    </row>
    <row r="1881" customFormat="false" ht="15" hidden="false" customHeight="false" outlineLevel="0" collapsed="false">
      <c r="A1881" s="1" t="s">
        <v>508</v>
      </c>
      <c r="B1881" s="1" t="s">
        <v>509</v>
      </c>
      <c r="C1881" s="1" t="s">
        <v>864</v>
      </c>
      <c r="D1881" s="1" t="s">
        <v>865</v>
      </c>
      <c r="E1881" s="1" t="n">
        <v>20171</v>
      </c>
      <c r="F1881" s="1" t="s">
        <v>303</v>
      </c>
      <c r="G1881" s="1" t="s">
        <v>15</v>
      </c>
      <c r="H1881" s="1" t="n">
        <v>3.5</v>
      </c>
      <c r="I1881" s="1" t="n">
        <v>0</v>
      </c>
      <c r="J1881" s="1" t="n">
        <v>20201</v>
      </c>
      <c r="L1881" s="1" t="str">
        <f aca="false">IF(D1880&lt;&gt;D1881,D1881,"")</f>
        <v/>
      </c>
      <c r="M1881" s="1" t="str">
        <f aca="false">IF(F1880&lt;&gt;F1881,F1881,"")</f>
        <v/>
      </c>
    </row>
    <row r="1882" customFormat="false" ht="15" hidden="false" customHeight="false" outlineLevel="0" collapsed="false">
      <c r="A1882" s="1" t="s">
        <v>866</v>
      </c>
      <c r="B1882" s="1" t="s">
        <v>867</v>
      </c>
      <c r="C1882" s="1" t="s">
        <v>864</v>
      </c>
      <c r="D1882" s="1" t="s">
        <v>865</v>
      </c>
      <c r="E1882" s="1" t="n">
        <v>20171</v>
      </c>
      <c r="F1882" s="1" t="s">
        <v>303</v>
      </c>
      <c r="G1882" s="1" t="s">
        <v>124</v>
      </c>
      <c r="H1882" s="1" t="n">
        <v>0</v>
      </c>
      <c r="I1882" s="1" t="n">
        <v>0</v>
      </c>
      <c r="J1882" s="1" t="n">
        <v>20201</v>
      </c>
      <c r="L1882" s="1" t="str">
        <f aca="false">IF(D1881&lt;&gt;D1882,D1882,"")</f>
        <v/>
      </c>
      <c r="M1882" s="1" t="str">
        <f aca="false">IF(F1881&lt;&gt;F1882,F1882,"")</f>
        <v/>
      </c>
    </row>
    <row r="1883" customFormat="false" ht="15" hidden="false" customHeight="false" outlineLevel="0" collapsed="false">
      <c r="A1883" s="1" t="s">
        <v>198</v>
      </c>
      <c r="B1883" s="1" t="s">
        <v>199</v>
      </c>
      <c r="C1883" s="1" t="s">
        <v>864</v>
      </c>
      <c r="D1883" s="1" t="s">
        <v>865</v>
      </c>
      <c r="E1883" s="1" t="n">
        <v>20171</v>
      </c>
      <c r="F1883" s="1" t="s">
        <v>303</v>
      </c>
      <c r="G1883" s="1" t="s">
        <v>124</v>
      </c>
      <c r="H1883" s="1" t="n">
        <v>0</v>
      </c>
      <c r="I1883" s="1" t="n">
        <v>0</v>
      </c>
      <c r="J1883" s="1" t="n">
        <v>20201</v>
      </c>
      <c r="L1883" s="1" t="str">
        <f aca="false">IF(D1882&lt;&gt;D1883,D1883,"")</f>
        <v/>
      </c>
      <c r="M1883" s="1" t="str">
        <f aca="false">IF(F1882&lt;&gt;F1883,F1883,"")</f>
        <v/>
      </c>
    </row>
    <row r="1884" customFormat="false" ht="15" hidden="false" customHeight="false" outlineLevel="0" collapsed="false">
      <c r="A1884" s="1" t="s">
        <v>846</v>
      </c>
      <c r="B1884" s="1" t="s">
        <v>847</v>
      </c>
      <c r="C1884" s="1" t="s">
        <v>864</v>
      </c>
      <c r="D1884" s="1" t="s">
        <v>865</v>
      </c>
      <c r="E1884" s="1" t="n">
        <v>20171</v>
      </c>
      <c r="F1884" s="1" t="s">
        <v>303</v>
      </c>
      <c r="G1884" s="1" t="s">
        <v>124</v>
      </c>
      <c r="H1884" s="1" t="n">
        <v>0</v>
      </c>
      <c r="I1884" s="1" t="n">
        <v>0</v>
      </c>
      <c r="J1884" s="1" t="n">
        <v>20201</v>
      </c>
      <c r="L1884" s="1" t="str">
        <f aca="false">IF(D1883&lt;&gt;D1884,D1884,"")</f>
        <v/>
      </c>
      <c r="M1884" s="1" t="str">
        <f aca="false">IF(F1883&lt;&gt;F1884,F1884,"")</f>
        <v/>
      </c>
    </row>
    <row r="1885" customFormat="false" ht="15" hidden="false" customHeight="false" outlineLevel="0" collapsed="false">
      <c r="A1885" s="1" t="s">
        <v>304</v>
      </c>
      <c r="B1885" s="1" t="s">
        <v>305</v>
      </c>
      <c r="C1885" s="1" t="s">
        <v>868</v>
      </c>
      <c r="D1885" s="1" t="s">
        <v>869</v>
      </c>
      <c r="E1885" s="1" t="n">
        <v>20171</v>
      </c>
      <c r="F1885" s="1" t="s">
        <v>208</v>
      </c>
      <c r="G1885" s="1" t="s">
        <v>127</v>
      </c>
      <c r="H1885" s="1" t="n">
        <v>2</v>
      </c>
      <c r="I1885" s="1" t="n">
        <v>0</v>
      </c>
      <c r="J1885" s="1" t="n">
        <v>20201</v>
      </c>
      <c r="L1885" s="1" t="str">
        <f aca="false">IF(D1884&lt;&gt;D1885,D1885,"")</f>
        <v>PENGOLAHAN CITRA DIGITAL</v>
      </c>
      <c r="M1885" s="1" t="str">
        <f aca="false">IF(F1884&lt;&gt;F1885,F1885,"")</f>
        <v>P</v>
      </c>
    </row>
    <row r="1886" customFormat="false" ht="15" hidden="false" customHeight="false" outlineLevel="0" collapsed="false">
      <c r="A1886" s="1" t="s">
        <v>788</v>
      </c>
      <c r="B1886" s="1" t="s">
        <v>789</v>
      </c>
      <c r="C1886" s="1" t="s">
        <v>868</v>
      </c>
      <c r="D1886" s="1" t="s">
        <v>869</v>
      </c>
      <c r="E1886" s="1" t="n">
        <v>20171</v>
      </c>
      <c r="F1886" s="1" t="s">
        <v>208</v>
      </c>
      <c r="G1886" s="1" t="s">
        <v>23</v>
      </c>
      <c r="H1886" s="1" t="n">
        <v>0</v>
      </c>
      <c r="I1886" s="1" t="n">
        <v>0</v>
      </c>
      <c r="J1886" s="1" t="n">
        <v>20201</v>
      </c>
      <c r="L1886" s="1" t="str">
        <f aca="false">IF(D1885&lt;&gt;D1886,D1886,"")</f>
        <v/>
      </c>
      <c r="M1886" s="1" t="str">
        <f aca="false">IF(F1885&lt;&gt;F1886,F1886,"")</f>
        <v/>
      </c>
    </row>
    <row r="1887" customFormat="false" ht="15" hidden="false" customHeight="false" outlineLevel="0" collapsed="false">
      <c r="A1887" s="1" t="s">
        <v>583</v>
      </c>
      <c r="B1887" s="1" t="s">
        <v>584</v>
      </c>
      <c r="C1887" s="1" t="s">
        <v>868</v>
      </c>
      <c r="D1887" s="1" t="s">
        <v>869</v>
      </c>
      <c r="E1887" s="1" t="n">
        <v>20171</v>
      </c>
      <c r="F1887" s="1" t="s">
        <v>208</v>
      </c>
      <c r="G1887" s="1" t="s">
        <v>514</v>
      </c>
      <c r="H1887" s="1" t="n">
        <v>1</v>
      </c>
      <c r="I1887" s="1" t="n">
        <v>0</v>
      </c>
      <c r="J1887" s="1" t="n">
        <v>20201</v>
      </c>
      <c r="L1887" s="1" t="str">
        <f aca="false">IF(D1886&lt;&gt;D1887,D1887,"")</f>
        <v/>
      </c>
      <c r="M1887" s="1" t="str">
        <f aca="false">IF(F1886&lt;&gt;F1887,F1887,"")</f>
        <v/>
      </c>
    </row>
    <row r="1888" customFormat="false" ht="15" hidden="false" customHeight="false" outlineLevel="0" collapsed="false">
      <c r="A1888" s="1" t="s">
        <v>565</v>
      </c>
      <c r="B1888" s="1" t="s">
        <v>566</v>
      </c>
      <c r="C1888" s="1" t="s">
        <v>868</v>
      </c>
      <c r="D1888" s="1" t="s">
        <v>869</v>
      </c>
      <c r="E1888" s="1" t="n">
        <v>20171</v>
      </c>
      <c r="F1888" s="1" t="s">
        <v>208</v>
      </c>
      <c r="G1888" s="1" t="s">
        <v>23</v>
      </c>
      <c r="H1888" s="1" t="n">
        <v>0</v>
      </c>
      <c r="I1888" s="1" t="n">
        <v>0</v>
      </c>
      <c r="J1888" s="1" t="n">
        <v>20201</v>
      </c>
      <c r="L1888" s="1" t="str">
        <f aca="false">IF(D1887&lt;&gt;D1888,D1888,"")</f>
        <v/>
      </c>
      <c r="M1888" s="1" t="str">
        <f aca="false">IF(F1887&lt;&gt;F1888,F1888,"")</f>
        <v/>
      </c>
    </row>
    <row r="1889" customFormat="false" ht="15" hidden="false" customHeight="false" outlineLevel="0" collapsed="false">
      <c r="A1889" s="1" t="s">
        <v>759</v>
      </c>
      <c r="B1889" s="1" t="s">
        <v>760</v>
      </c>
      <c r="C1889" s="1" t="s">
        <v>868</v>
      </c>
      <c r="D1889" s="1" t="s">
        <v>869</v>
      </c>
      <c r="E1889" s="1" t="n">
        <v>20171</v>
      </c>
      <c r="F1889" s="1" t="s">
        <v>208</v>
      </c>
      <c r="G1889" s="1" t="s">
        <v>18</v>
      </c>
      <c r="H1889" s="1" t="n">
        <v>3</v>
      </c>
      <c r="I1889" s="1" t="n">
        <v>0</v>
      </c>
      <c r="J1889" s="1" t="n">
        <v>20201</v>
      </c>
      <c r="L1889" s="1" t="str">
        <f aca="false">IF(D1888&lt;&gt;D1889,D1889,"")</f>
        <v/>
      </c>
      <c r="M1889" s="1" t="str">
        <f aca="false">IF(F1888&lt;&gt;F1889,F1889,"")</f>
        <v/>
      </c>
    </row>
    <row r="1890" customFormat="false" ht="15" hidden="false" customHeight="false" outlineLevel="0" collapsed="false">
      <c r="A1890" s="1" t="s">
        <v>777</v>
      </c>
      <c r="B1890" s="1" t="s">
        <v>778</v>
      </c>
      <c r="C1890" s="1" t="s">
        <v>868</v>
      </c>
      <c r="D1890" s="1" t="s">
        <v>869</v>
      </c>
      <c r="E1890" s="1" t="n">
        <v>20171</v>
      </c>
      <c r="F1890" s="1" t="s">
        <v>208</v>
      </c>
      <c r="G1890" s="1" t="s">
        <v>101</v>
      </c>
      <c r="H1890" s="1" t="n">
        <v>2.5</v>
      </c>
      <c r="I1890" s="1" t="n">
        <v>0</v>
      </c>
      <c r="J1890" s="1" t="n">
        <v>20201</v>
      </c>
      <c r="L1890" s="1" t="str">
        <f aca="false">IF(D1889&lt;&gt;D1890,D1890,"")</f>
        <v/>
      </c>
      <c r="M1890" s="1" t="str">
        <f aca="false">IF(F1889&lt;&gt;F1890,F1890,"")</f>
        <v/>
      </c>
    </row>
    <row r="1891" customFormat="false" ht="15" hidden="false" customHeight="false" outlineLevel="0" collapsed="false">
      <c r="A1891" s="1" t="s">
        <v>800</v>
      </c>
      <c r="B1891" s="1" t="s">
        <v>801</v>
      </c>
      <c r="C1891" s="1" t="s">
        <v>868</v>
      </c>
      <c r="D1891" s="1" t="s">
        <v>869</v>
      </c>
      <c r="E1891" s="1" t="n">
        <v>20171</v>
      </c>
      <c r="F1891" s="1" t="s">
        <v>208</v>
      </c>
      <c r="G1891" s="1" t="s">
        <v>18</v>
      </c>
      <c r="H1891" s="1" t="n">
        <v>3</v>
      </c>
      <c r="I1891" s="1" t="n">
        <v>0</v>
      </c>
      <c r="J1891" s="1" t="n">
        <v>20201</v>
      </c>
      <c r="L1891" s="1" t="str">
        <f aca="false">IF(D1890&lt;&gt;D1891,D1891,"")</f>
        <v/>
      </c>
      <c r="M1891" s="1" t="str">
        <f aca="false">IF(F1890&lt;&gt;F1891,F1891,"")</f>
        <v/>
      </c>
    </row>
    <row r="1892" customFormat="false" ht="15" hidden="false" customHeight="false" outlineLevel="0" collapsed="false">
      <c r="A1892" s="1" t="s">
        <v>802</v>
      </c>
      <c r="B1892" s="1" t="s">
        <v>803</v>
      </c>
      <c r="C1892" s="1" t="s">
        <v>868</v>
      </c>
      <c r="D1892" s="1" t="s">
        <v>869</v>
      </c>
      <c r="E1892" s="1" t="n">
        <v>20171</v>
      </c>
      <c r="F1892" s="1" t="s">
        <v>208</v>
      </c>
      <c r="G1892" s="1" t="s">
        <v>30</v>
      </c>
      <c r="H1892" s="1" t="n">
        <v>1.5</v>
      </c>
      <c r="I1892" s="1" t="n">
        <v>0</v>
      </c>
      <c r="J1892" s="1" t="n">
        <v>20201</v>
      </c>
      <c r="L1892" s="1" t="str">
        <f aca="false">IF(D1891&lt;&gt;D1892,D1892,"")</f>
        <v/>
      </c>
      <c r="M1892" s="1" t="str">
        <f aca="false">IF(F1891&lt;&gt;F1892,F1892,"")</f>
        <v/>
      </c>
    </row>
    <row r="1893" customFormat="false" ht="15" hidden="false" customHeight="false" outlineLevel="0" collapsed="false">
      <c r="A1893" s="1" t="s">
        <v>806</v>
      </c>
      <c r="B1893" s="1" t="s">
        <v>807</v>
      </c>
      <c r="C1893" s="1" t="s">
        <v>868</v>
      </c>
      <c r="D1893" s="1" t="s">
        <v>869</v>
      </c>
      <c r="E1893" s="1" t="n">
        <v>20171</v>
      </c>
      <c r="F1893" s="1" t="s">
        <v>208</v>
      </c>
      <c r="G1893" s="1" t="s">
        <v>18</v>
      </c>
      <c r="H1893" s="1" t="n">
        <v>3</v>
      </c>
      <c r="I1893" s="1" t="n">
        <v>0</v>
      </c>
      <c r="J1893" s="1" t="n">
        <v>20201</v>
      </c>
      <c r="L1893" s="1" t="str">
        <f aca="false">IF(D1892&lt;&gt;D1893,D1893,"")</f>
        <v/>
      </c>
      <c r="M1893" s="1" t="str">
        <f aca="false">IF(F1892&lt;&gt;F1893,F1893,"")</f>
        <v/>
      </c>
    </row>
    <row r="1894" customFormat="false" ht="15" hidden="false" customHeight="false" outlineLevel="0" collapsed="false">
      <c r="A1894" s="1" t="s">
        <v>761</v>
      </c>
      <c r="B1894" s="1" t="s">
        <v>762</v>
      </c>
      <c r="C1894" s="1" t="s">
        <v>868</v>
      </c>
      <c r="D1894" s="1" t="s">
        <v>869</v>
      </c>
      <c r="E1894" s="1" t="n">
        <v>20171</v>
      </c>
      <c r="F1894" s="1" t="s">
        <v>208</v>
      </c>
      <c r="G1894" s="1" t="s">
        <v>18</v>
      </c>
      <c r="H1894" s="1" t="n">
        <v>3</v>
      </c>
      <c r="I1894" s="1" t="n">
        <v>0</v>
      </c>
      <c r="J1894" s="1" t="n">
        <v>20201</v>
      </c>
      <c r="L1894" s="1" t="str">
        <f aca="false">IF(D1893&lt;&gt;D1894,D1894,"")</f>
        <v/>
      </c>
      <c r="M1894" s="1" t="str">
        <f aca="false">IF(F1893&lt;&gt;F1894,F1894,"")</f>
        <v/>
      </c>
    </row>
    <row r="1895" customFormat="false" ht="15" hidden="false" customHeight="false" outlineLevel="0" collapsed="false">
      <c r="A1895" s="1" t="s">
        <v>112</v>
      </c>
      <c r="B1895" s="1" t="s">
        <v>113</v>
      </c>
      <c r="C1895" s="1" t="s">
        <v>868</v>
      </c>
      <c r="D1895" s="1" t="s">
        <v>869</v>
      </c>
      <c r="E1895" s="1" t="n">
        <v>20171</v>
      </c>
      <c r="F1895" s="1" t="s">
        <v>208</v>
      </c>
      <c r="G1895" s="1" t="s">
        <v>18</v>
      </c>
      <c r="H1895" s="1" t="n">
        <v>3</v>
      </c>
      <c r="I1895" s="1" t="n">
        <v>0</v>
      </c>
      <c r="J1895" s="1" t="n">
        <v>20201</v>
      </c>
      <c r="L1895" s="1" t="str">
        <f aca="false">IF(D1894&lt;&gt;D1895,D1895,"")</f>
        <v/>
      </c>
      <c r="M1895" s="1" t="str">
        <f aca="false">IF(F1894&lt;&gt;F1895,F1895,"")</f>
        <v/>
      </c>
    </row>
    <row r="1896" customFormat="false" ht="15" hidden="false" customHeight="false" outlineLevel="0" collapsed="false">
      <c r="A1896" s="1" t="s">
        <v>613</v>
      </c>
      <c r="B1896" s="1" t="s">
        <v>614</v>
      </c>
      <c r="C1896" s="1" t="s">
        <v>868</v>
      </c>
      <c r="D1896" s="1" t="s">
        <v>869</v>
      </c>
      <c r="E1896" s="1" t="n">
        <v>20171</v>
      </c>
      <c r="F1896" s="1" t="s">
        <v>208</v>
      </c>
      <c r="G1896" s="1" t="s">
        <v>127</v>
      </c>
      <c r="H1896" s="1" t="n">
        <v>2</v>
      </c>
      <c r="I1896" s="1" t="n">
        <v>0</v>
      </c>
      <c r="J1896" s="1" t="n">
        <v>20201</v>
      </c>
      <c r="L1896" s="1" t="str">
        <f aca="false">IF(D1895&lt;&gt;D1896,D1896,"")</f>
        <v/>
      </c>
      <c r="M1896" s="1" t="str">
        <f aca="false">IF(F1895&lt;&gt;F1896,F1896,"")</f>
        <v/>
      </c>
    </row>
    <row r="1897" customFormat="false" ht="15" hidden="false" customHeight="false" outlineLevel="0" collapsed="false">
      <c r="A1897" s="1" t="s">
        <v>645</v>
      </c>
      <c r="B1897" s="1" t="s">
        <v>646</v>
      </c>
      <c r="C1897" s="1" t="s">
        <v>868</v>
      </c>
      <c r="D1897" s="1" t="s">
        <v>869</v>
      </c>
      <c r="E1897" s="1" t="n">
        <v>20171</v>
      </c>
      <c r="F1897" s="1" t="s">
        <v>208</v>
      </c>
      <c r="G1897" s="1" t="s">
        <v>23</v>
      </c>
      <c r="H1897" s="1" t="n">
        <v>0</v>
      </c>
      <c r="I1897" s="1" t="n">
        <v>0</v>
      </c>
      <c r="J1897" s="1" t="n">
        <v>20201</v>
      </c>
      <c r="L1897" s="1" t="str">
        <f aca="false">IF(D1896&lt;&gt;D1897,D1897,"")</f>
        <v/>
      </c>
      <c r="M1897" s="1" t="str">
        <f aca="false">IF(F1896&lt;&gt;F1897,F1897,"")</f>
        <v/>
      </c>
    </row>
    <row r="1898" customFormat="false" ht="15" hidden="false" customHeight="false" outlineLevel="0" collapsed="false">
      <c r="A1898" s="1" t="s">
        <v>814</v>
      </c>
      <c r="B1898" s="1" t="s">
        <v>815</v>
      </c>
      <c r="C1898" s="1" t="s">
        <v>868</v>
      </c>
      <c r="D1898" s="1" t="s">
        <v>869</v>
      </c>
      <c r="E1898" s="1" t="n">
        <v>20171</v>
      </c>
      <c r="F1898" s="1" t="s">
        <v>208</v>
      </c>
      <c r="G1898" s="1" t="s">
        <v>30</v>
      </c>
      <c r="H1898" s="1" t="n">
        <v>1.5</v>
      </c>
      <c r="I1898" s="1" t="n">
        <v>0</v>
      </c>
      <c r="J1898" s="1" t="n">
        <v>20201</v>
      </c>
      <c r="L1898" s="1" t="str">
        <f aca="false">IF(D1897&lt;&gt;D1898,D1898,"")</f>
        <v/>
      </c>
      <c r="M1898" s="1" t="str">
        <f aca="false">IF(F1897&lt;&gt;F1898,F1898,"")</f>
        <v/>
      </c>
    </row>
    <row r="1899" customFormat="false" ht="15" hidden="false" customHeight="false" outlineLevel="0" collapsed="false">
      <c r="A1899" s="1" t="s">
        <v>816</v>
      </c>
      <c r="B1899" s="1" t="s">
        <v>817</v>
      </c>
      <c r="C1899" s="1" t="s">
        <v>868</v>
      </c>
      <c r="D1899" s="1" t="s">
        <v>869</v>
      </c>
      <c r="E1899" s="1" t="n">
        <v>20171</v>
      </c>
      <c r="F1899" s="1" t="s">
        <v>208</v>
      </c>
      <c r="G1899" s="1" t="s">
        <v>18</v>
      </c>
      <c r="H1899" s="1" t="n">
        <v>3</v>
      </c>
      <c r="I1899" s="1" t="n">
        <v>0</v>
      </c>
      <c r="J1899" s="1" t="n">
        <v>20201</v>
      </c>
      <c r="L1899" s="1" t="str">
        <f aca="false">IF(D1898&lt;&gt;D1899,D1899,"")</f>
        <v/>
      </c>
      <c r="M1899" s="1" t="str">
        <f aca="false">IF(F1898&lt;&gt;F1899,F1899,"")</f>
        <v/>
      </c>
    </row>
    <row r="1900" customFormat="false" ht="15" hidden="false" customHeight="false" outlineLevel="0" collapsed="false">
      <c r="A1900" s="1" t="s">
        <v>577</v>
      </c>
      <c r="B1900" s="1" t="s">
        <v>578</v>
      </c>
      <c r="C1900" s="1" t="s">
        <v>868</v>
      </c>
      <c r="D1900" s="1" t="s">
        <v>869</v>
      </c>
      <c r="E1900" s="1" t="n">
        <v>20171</v>
      </c>
      <c r="F1900" s="1" t="s">
        <v>208</v>
      </c>
      <c r="G1900" s="1" t="s">
        <v>514</v>
      </c>
      <c r="H1900" s="1" t="n">
        <v>1</v>
      </c>
      <c r="I1900" s="1" t="n">
        <v>0</v>
      </c>
      <c r="J1900" s="1" t="n">
        <v>20201</v>
      </c>
      <c r="L1900" s="1" t="str">
        <f aca="false">IF(D1899&lt;&gt;D1900,D1900,"")</f>
        <v/>
      </c>
      <c r="M1900" s="1" t="str">
        <f aca="false">IF(F1899&lt;&gt;F1900,F1900,"")</f>
        <v/>
      </c>
    </row>
    <row r="1901" customFormat="false" ht="15" hidden="false" customHeight="false" outlineLevel="0" collapsed="false">
      <c r="A1901" s="1" t="s">
        <v>633</v>
      </c>
      <c r="B1901" s="1" t="s">
        <v>634</v>
      </c>
      <c r="C1901" s="1" t="s">
        <v>868</v>
      </c>
      <c r="D1901" s="1" t="s">
        <v>869</v>
      </c>
      <c r="E1901" s="1" t="n">
        <v>20171</v>
      </c>
      <c r="F1901" s="1" t="s">
        <v>208</v>
      </c>
      <c r="G1901" s="1" t="s">
        <v>23</v>
      </c>
      <c r="H1901" s="1" t="n">
        <v>0</v>
      </c>
      <c r="I1901" s="1" t="n">
        <v>0</v>
      </c>
      <c r="J1901" s="1" t="n">
        <v>20201</v>
      </c>
      <c r="L1901" s="1" t="str">
        <f aca="false">IF(D1900&lt;&gt;D1901,D1901,"")</f>
        <v/>
      </c>
      <c r="M1901" s="1" t="str">
        <f aca="false">IF(F1900&lt;&gt;F1901,F1901,"")</f>
        <v/>
      </c>
    </row>
    <row r="1902" customFormat="false" ht="15" hidden="false" customHeight="false" outlineLevel="0" collapsed="false">
      <c r="A1902" s="1" t="s">
        <v>822</v>
      </c>
      <c r="B1902" s="1" t="s">
        <v>823</v>
      </c>
      <c r="C1902" s="1" t="s">
        <v>868</v>
      </c>
      <c r="D1902" s="1" t="s">
        <v>869</v>
      </c>
      <c r="E1902" s="1" t="n">
        <v>20171</v>
      </c>
      <c r="F1902" s="1" t="s">
        <v>208</v>
      </c>
      <c r="G1902" s="1" t="s">
        <v>23</v>
      </c>
      <c r="H1902" s="1" t="n">
        <v>0</v>
      </c>
      <c r="I1902" s="1" t="n">
        <v>0</v>
      </c>
      <c r="J1902" s="1" t="n">
        <v>20201</v>
      </c>
      <c r="L1902" s="1" t="str">
        <f aca="false">IF(D1901&lt;&gt;D1902,D1902,"")</f>
        <v/>
      </c>
      <c r="M1902" s="1" t="str">
        <f aca="false">IF(F1901&lt;&gt;F1902,F1902,"")</f>
        <v/>
      </c>
    </row>
    <row r="1903" customFormat="false" ht="15" hidden="false" customHeight="false" outlineLevel="0" collapsed="false">
      <c r="A1903" s="1" t="s">
        <v>824</v>
      </c>
      <c r="B1903" s="1" t="s">
        <v>825</v>
      </c>
      <c r="C1903" s="1" t="s">
        <v>868</v>
      </c>
      <c r="D1903" s="1" t="s">
        <v>869</v>
      </c>
      <c r="E1903" s="1" t="n">
        <v>20171</v>
      </c>
      <c r="F1903" s="1" t="s">
        <v>208</v>
      </c>
      <c r="G1903" s="1" t="s">
        <v>18</v>
      </c>
      <c r="H1903" s="1" t="n">
        <v>3</v>
      </c>
      <c r="I1903" s="1" t="n">
        <v>0</v>
      </c>
      <c r="J1903" s="1" t="n">
        <v>20201</v>
      </c>
      <c r="L1903" s="1" t="str">
        <f aca="false">IF(D1902&lt;&gt;D1903,D1903,"")</f>
        <v/>
      </c>
      <c r="M1903" s="1" t="str">
        <f aca="false">IF(F1902&lt;&gt;F1903,F1903,"")</f>
        <v/>
      </c>
    </row>
    <row r="1904" customFormat="false" ht="15" hidden="false" customHeight="false" outlineLevel="0" collapsed="false">
      <c r="A1904" s="1" t="s">
        <v>269</v>
      </c>
      <c r="B1904" s="1" t="s">
        <v>270</v>
      </c>
      <c r="C1904" s="1" t="s">
        <v>868</v>
      </c>
      <c r="D1904" s="1" t="s">
        <v>869</v>
      </c>
      <c r="E1904" s="1" t="n">
        <v>20171</v>
      </c>
      <c r="F1904" s="1" t="s">
        <v>208</v>
      </c>
      <c r="G1904" s="1" t="s">
        <v>18</v>
      </c>
      <c r="H1904" s="1" t="n">
        <v>3</v>
      </c>
      <c r="I1904" s="1" t="n">
        <v>0</v>
      </c>
      <c r="J1904" s="1" t="n">
        <v>20201</v>
      </c>
      <c r="L1904" s="1" t="str">
        <f aca="false">IF(D1903&lt;&gt;D1904,D1904,"")</f>
        <v/>
      </c>
      <c r="M1904" s="1" t="str">
        <f aca="false">IF(F1903&lt;&gt;F1904,F1904,"")</f>
        <v/>
      </c>
    </row>
    <row r="1905" customFormat="false" ht="15" hidden="false" customHeight="false" outlineLevel="0" collapsed="false">
      <c r="A1905" s="1" t="s">
        <v>114</v>
      </c>
      <c r="B1905" s="1" t="s">
        <v>115</v>
      </c>
      <c r="C1905" s="1" t="s">
        <v>868</v>
      </c>
      <c r="D1905" s="1" t="s">
        <v>869</v>
      </c>
      <c r="E1905" s="1" t="n">
        <v>20171</v>
      </c>
      <c r="F1905" s="1" t="s">
        <v>208</v>
      </c>
      <c r="G1905" s="1" t="s">
        <v>101</v>
      </c>
      <c r="H1905" s="1" t="n">
        <v>2.5</v>
      </c>
      <c r="I1905" s="1" t="n">
        <v>0</v>
      </c>
      <c r="J1905" s="1" t="n">
        <v>20201</v>
      </c>
      <c r="L1905" s="1" t="str">
        <f aca="false">IF(D1904&lt;&gt;D1905,D1905,"")</f>
        <v/>
      </c>
      <c r="M1905" s="1" t="str">
        <f aca="false">IF(F1904&lt;&gt;F1905,F1905,"")</f>
        <v/>
      </c>
    </row>
    <row r="1906" customFormat="false" ht="15" hidden="false" customHeight="false" outlineLevel="0" collapsed="false">
      <c r="A1906" s="1" t="s">
        <v>828</v>
      </c>
      <c r="B1906" s="1" t="s">
        <v>829</v>
      </c>
      <c r="C1906" s="1" t="s">
        <v>868</v>
      </c>
      <c r="D1906" s="1" t="s">
        <v>869</v>
      </c>
      <c r="E1906" s="1" t="n">
        <v>20171</v>
      </c>
      <c r="F1906" s="1" t="s">
        <v>208</v>
      </c>
      <c r="G1906" s="1" t="s">
        <v>18</v>
      </c>
      <c r="H1906" s="1" t="n">
        <v>3</v>
      </c>
      <c r="I1906" s="1" t="n">
        <v>0</v>
      </c>
      <c r="J1906" s="1" t="n">
        <v>20201</v>
      </c>
      <c r="L1906" s="1" t="str">
        <f aca="false">IF(D1905&lt;&gt;D1906,D1906,"")</f>
        <v/>
      </c>
      <c r="M1906" s="1" t="str">
        <f aca="false">IF(F1905&lt;&gt;F1906,F1906,"")</f>
        <v/>
      </c>
    </row>
    <row r="1907" customFormat="false" ht="15" hidden="false" customHeight="false" outlineLevel="0" collapsed="false">
      <c r="A1907" s="1" t="s">
        <v>693</v>
      </c>
      <c r="B1907" s="1" t="s">
        <v>694</v>
      </c>
      <c r="C1907" s="1" t="s">
        <v>868</v>
      </c>
      <c r="D1907" s="1" t="s">
        <v>869</v>
      </c>
      <c r="E1907" s="1" t="n">
        <v>20171</v>
      </c>
      <c r="F1907" s="1" t="s">
        <v>208</v>
      </c>
      <c r="G1907" s="1" t="s">
        <v>18</v>
      </c>
      <c r="H1907" s="1" t="n">
        <v>3</v>
      </c>
      <c r="I1907" s="1" t="n">
        <v>0</v>
      </c>
      <c r="J1907" s="1" t="n">
        <v>20201</v>
      </c>
      <c r="L1907" s="1" t="str">
        <f aca="false">IF(D1906&lt;&gt;D1907,D1907,"")</f>
        <v/>
      </c>
      <c r="M1907" s="1" t="str">
        <f aca="false">IF(F1906&lt;&gt;F1907,F1907,"")</f>
        <v/>
      </c>
    </row>
    <row r="1908" customFormat="false" ht="15" hidden="false" customHeight="false" outlineLevel="0" collapsed="false">
      <c r="A1908" s="1" t="s">
        <v>279</v>
      </c>
      <c r="B1908" s="1" t="s">
        <v>280</v>
      </c>
      <c r="C1908" s="1" t="s">
        <v>868</v>
      </c>
      <c r="D1908" s="1" t="s">
        <v>869</v>
      </c>
      <c r="E1908" s="1" t="n">
        <v>20171</v>
      </c>
      <c r="F1908" s="1" t="s">
        <v>208</v>
      </c>
      <c r="G1908" s="1" t="s">
        <v>14</v>
      </c>
      <c r="H1908" s="1" t="n">
        <v>4</v>
      </c>
      <c r="I1908" s="1" t="n">
        <v>0</v>
      </c>
      <c r="J1908" s="1" t="n">
        <v>20201</v>
      </c>
      <c r="L1908" s="1" t="str">
        <f aca="false">IF(D1907&lt;&gt;D1908,D1908,"")</f>
        <v/>
      </c>
      <c r="M1908" s="1" t="str">
        <f aca="false">IF(F1907&lt;&gt;F1908,F1908,"")</f>
        <v/>
      </c>
    </row>
    <row r="1909" customFormat="false" ht="15" hidden="false" customHeight="false" outlineLevel="0" collapsed="false">
      <c r="A1909" s="1" t="s">
        <v>281</v>
      </c>
      <c r="B1909" s="1" t="s">
        <v>282</v>
      </c>
      <c r="C1909" s="1" t="s">
        <v>868</v>
      </c>
      <c r="D1909" s="1" t="s">
        <v>869</v>
      </c>
      <c r="E1909" s="1" t="n">
        <v>20171</v>
      </c>
      <c r="F1909" s="1" t="s">
        <v>208</v>
      </c>
      <c r="G1909" s="1" t="s">
        <v>15</v>
      </c>
      <c r="H1909" s="1" t="n">
        <v>3.5</v>
      </c>
      <c r="I1909" s="1" t="n">
        <v>0</v>
      </c>
      <c r="J1909" s="1" t="n">
        <v>20201</v>
      </c>
      <c r="L1909" s="1" t="str">
        <f aca="false">IF(D1908&lt;&gt;D1909,D1909,"")</f>
        <v/>
      </c>
      <c r="M1909" s="1" t="str">
        <f aca="false">IF(F1908&lt;&gt;F1909,F1909,"")</f>
        <v/>
      </c>
    </row>
    <row r="1910" customFormat="false" ht="15" hidden="false" customHeight="false" outlineLevel="0" collapsed="false">
      <c r="A1910" s="1" t="s">
        <v>287</v>
      </c>
      <c r="B1910" s="1" t="s">
        <v>288</v>
      </c>
      <c r="C1910" s="1" t="s">
        <v>868</v>
      </c>
      <c r="D1910" s="1" t="s">
        <v>869</v>
      </c>
      <c r="E1910" s="1" t="n">
        <v>20171</v>
      </c>
      <c r="F1910" s="1" t="s">
        <v>208</v>
      </c>
      <c r="G1910" s="1" t="s">
        <v>15</v>
      </c>
      <c r="H1910" s="1" t="n">
        <v>3.5</v>
      </c>
      <c r="I1910" s="1" t="n">
        <v>0</v>
      </c>
      <c r="J1910" s="1" t="n">
        <v>20201</v>
      </c>
      <c r="L1910" s="1" t="str">
        <f aca="false">IF(D1909&lt;&gt;D1910,D1910,"")</f>
        <v/>
      </c>
      <c r="M1910" s="1" t="str">
        <f aca="false">IF(F1909&lt;&gt;F1910,F1910,"")</f>
        <v/>
      </c>
    </row>
    <row r="1911" customFormat="false" ht="15" hidden="false" customHeight="false" outlineLevel="0" collapsed="false">
      <c r="A1911" s="1" t="s">
        <v>289</v>
      </c>
      <c r="B1911" s="1" t="s">
        <v>290</v>
      </c>
      <c r="C1911" s="1" t="s">
        <v>868</v>
      </c>
      <c r="D1911" s="1" t="s">
        <v>869</v>
      </c>
      <c r="E1911" s="1" t="n">
        <v>20171</v>
      </c>
      <c r="F1911" s="1" t="s">
        <v>208</v>
      </c>
      <c r="G1911" s="1" t="s">
        <v>14</v>
      </c>
      <c r="H1911" s="1" t="n">
        <v>4</v>
      </c>
      <c r="I1911" s="1" t="n">
        <v>0</v>
      </c>
      <c r="J1911" s="1" t="n">
        <v>20201</v>
      </c>
      <c r="L1911" s="1" t="str">
        <f aca="false">IF(D1910&lt;&gt;D1911,D1911,"")</f>
        <v/>
      </c>
      <c r="M1911" s="1" t="str">
        <f aca="false">IF(F1910&lt;&gt;F1911,F1911,"")</f>
        <v/>
      </c>
    </row>
    <row r="1912" customFormat="false" ht="15" hidden="false" customHeight="false" outlineLevel="0" collapsed="false">
      <c r="A1912" s="1" t="s">
        <v>291</v>
      </c>
      <c r="B1912" s="1" t="s">
        <v>292</v>
      </c>
      <c r="C1912" s="1" t="s">
        <v>868</v>
      </c>
      <c r="D1912" s="1" t="s">
        <v>869</v>
      </c>
      <c r="E1912" s="1" t="n">
        <v>20171</v>
      </c>
      <c r="F1912" s="1" t="s">
        <v>208</v>
      </c>
      <c r="G1912" s="1" t="s">
        <v>14</v>
      </c>
      <c r="H1912" s="1" t="n">
        <v>4</v>
      </c>
      <c r="I1912" s="1" t="n">
        <v>0</v>
      </c>
      <c r="J1912" s="1" t="n">
        <v>20201</v>
      </c>
      <c r="L1912" s="1" t="str">
        <f aca="false">IF(D1911&lt;&gt;D1912,D1912,"")</f>
        <v/>
      </c>
      <c r="M1912" s="1" t="str">
        <f aca="false">IF(F1911&lt;&gt;F1912,F1912,"")</f>
        <v/>
      </c>
    </row>
    <row r="1913" customFormat="false" ht="15" hidden="false" customHeight="false" outlineLevel="0" collapsed="false">
      <c r="A1913" s="1" t="s">
        <v>293</v>
      </c>
      <c r="B1913" s="1" t="s">
        <v>294</v>
      </c>
      <c r="C1913" s="1" t="s">
        <v>868</v>
      </c>
      <c r="D1913" s="1" t="s">
        <v>869</v>
      </c>
      <c r="E1913" s="1" t="n">
        <v>20171</v>
      </c>
      <c r="F1913" s="1" t="s">
        <v>208</v>
      </c>
      <c r="G1913" s="1" t="s">
        <v>15</v>
      </c>
      <c r="H1913" s="1" t="n">
        <v>3.5</v>
      </c>
      <c r="I1913" s="1" t="n">
        <v>0</v>
      </c>
      <c r="J1913" s="1" t="n">
        <v>20201</v>
      </c>
      <c r="L1913" s="1" t="str">
        <f aca="false">IF(D1912&lt;&gt;D1913,D1913,"")</f>
        <v/>
      </c>
      <c r="M1913" s="1" t="str">
        <f aca="false">IF(F1912&lt;&gt;F1913,F1913,"")</f>
        <v/>
      </c>
    </row>
    <row r="1914" customFormat="false" ht="15" hidden="false" customHeight="false" outlineLevel="0" collapsed="false">
      <c r="A1914" s="1" t="s">
        <v>295</v>
      </c>
      <c r="B1914" s="1" t="s">
        <v>296</v>
      </c>
      <c r="C1914" s="1" t="s">
        <v>868</v>
      </c>
      <c r="D1914" s="1" t="s">
        <v>869</v>
      </c>
      <c r="E1914" s="1" t="n">
        <v>20171</v>
      </c>
      <c r="F1914" s="1" t="s">
        <v>208</v>
      </c>
      <c r="G1914" s="1" t="s">
        <v>15</v>
      </c>
      <c r="H1914" s="1" t="n">
        <v>3.5</v>
      </c>
      <c r="I1914" s="1" t="n">
        <v>0</v>
      </c>
      <c r="J1914" s="1" t="n">
        <v>20201</v>
      </c>
      <c r="L1914" s="1" t="str">
        <f aca="false">IF(D1913&lt;&gt;D1914,D1914,"")</f>
        <v/>
      </c>
      <c r="M1914" s="1" t="str">
        <f aca="false">IF(F1913&lt;&gt;F1914,F1914,"")</f>
        <v/>
      </c>
    </row>
    <row r="1915" customFormat="false" ht="15" hidden="false" customHeight="false" outlineLevel="0" collapsed="false">
      <c r="A1915" s="1" t="s">
        <v>10</v>
      </c>
      <c r="B1915" s="1" t="s">
        <v>11</v>
      </c>
      <c r="C1915" s="1" t="s">
        <v>870</v>
      </c>
      <c r="D1915" s="1" t="s">
        <v>871</v>
      </c>
      <c r="E1915" s="1" t="n">
        <v>20171</v>
      </c>
      <c r="F1915" s="1" t="s">
        <v>14</v>
      </c>
      <c r="G1915" s="1" t="s">
        <v>127</v>
      </c>
      <c r="H1915" s="1" t="n">
        <v>2</v>
      </c>
      <c r="I1915" s="1" t="n">
        <v>0</v>
      </c>
      <c r="J1915" s="1" t="n">
        <v>20201</v>
      </c>
      <c r="L1915" s="1" t="str">
        <f aca="false">IF(D1914&lt;&gt;D1915,D1915,"")</f>
        <v>PENGUKURAN BESARAN LISTRIK</v>
      </c>
      <c r="M1915" s="1" t="str">
        <f aca="false">IF(F1914&lt;&gt;F1915,F1915,"")</f>
        <v>A</v>
      </c>
    </row>
    <row r="1916" customFormat="false" ht="15" hidden="false" customHeight="false" outlineLevel="0" collapsed="false">
      <c r="A1916" s="1" t="s">
        <v>565</v>
      </c>
      <c r="B1916" s="1" t="s">
        <v>566</v>
      </c>
      <c r="C1916" s="1" t="s">
        <v>870</v>
      </c>
      <c r="D1916" s="1" t="s">
        <v>871</v>
      </c>
      <c r="E1916" s="1" t="n">
        <v>20171</v>
      </c>
      <c r="F1916" s="1" t="s">
        <v>14</v>
      </c>
      <c r="G1916" s="1" t="s">
        <v>127</v>
      </c>
      <c r="H1916" s="1" t="n">
        <v>2</v>
      </c>
      <c r="I1916" s="1" t="n">
        <v>0</v>
      </c>
      <c r="J1916" s="1" t="n">
        <v>20201</v>
      </c>
      <c r="L1916" s="1" t="str">
        <f aca="false">IF(D1915&lt;&gt;D1916,D1916,"")</f>
        <v/>
      </c>
      <c r="M1916" s="1" t="str">
        <f aca="false">IF(F1915&lt;&gt;F1916,F1916,"")</f>
        <v/>
      </c>
    </row>
    <row r="1917" customFormat="false" ht="15" hidden="false" customHeight="false" outlineLevel="0" collapsed="false">
      <c r="A1917" s="1" t="s">
        <v>731</v>
      </c>
      <c r="B1917" s="1" t="s">
        <v>732</v>
      </c>
      <c r="C1917" s="1" t="s">
        <v>870</v>
      </c>
      <c r="D1917" s="1" t="s">
        <v>871</v>
      </c>
      <c r="E1917" s="1" t="n">
        <v>20171</v>
      </c>
      <c r="F1917" s="1" t="s">
        <v>14</v>
      </c>
      <c r="G1917" s="1" t="s">
        <v>127</v>
      </c>
      <c r="H1917" s="1" t="n">
        <v>2</v>
      </c>
      <c r="I1917" s="1" t="n">
        <v>0</v>
      </c>
      <c r="J1917" s="1" t="n">
        <v>20201</v>
      </c>
      <c r="L1917" s="1" t="str">
        <f aca="false">IF(D1916&lt;&gt;D1917,D1917,"")</f>
        <v/>
      </c>
      <c r="M1917" s="1" t="str">
        <f aca="false">IF(F1916&lt;&gt;F1917,F1917,"")</f>
        <v/>
      </c>
    </row>
    <row r="1918" customFormat="false" ht="15" hidden="false" customHeight="false" outlineLevel="0" collapsed="false">
      <c r="A1918" s="1" t="s">
        <v>265</v>
      </c>
      <c r="B1918" s="1" t="s">
        <v>266</v>
      </c>
      <c r="C1918" s="1" t="s">
        <v>870</v>
      </c>
      <c r="D1918" s="1" t="s">
        <v>871</v>
      </c>
      <c r="E1918" s="1" t="n">
        <v>20171</v>
      </c>
      <c r="F1918" s="1" t="s">
        <v>14</v>
      </c>
      <c r="G1918" s="1" t="s">
        <v>127</v>
      </c>
      <c r="H1918" s="1" t="n">
        <v>2</v>
      </c>
      <c r="I1918" s="1" t="n">
        <v>0</v>
      </c>
      <c r="J1918" s="1" t="n">
        <v>20201</v>
      </c>
      <c r="L1918" s="1" t="str">
        <f aca="false">IF(D1917&lt;&gt;D1918,D1918,"")</f>
        <v/>
      </c>
      <c r="M1918" s="1" t="str">
        <f aca="false">IF(F1917&lt;&gt;F1918,F1918,"")</f>
        <v/>
      </c>
    </row>
    <row r="1919" customFormat="false" ht="15" hidden="false" customHeight="false" outlineLevel="0" collapsed="false">
      <c r="A1919" s="1" t="s">
        <v>24</v>
      </c>
      <c r="B1919" s="1" t="s">
        <v>25</v>
      </c>
      <c r="C1919" s="1" t="s">
        <v>870</v>
      </c>
      <c r="D1919" s="1" t="s">
        <v>871</v>
      </c>
      <c r="E1919" s="1" t="n">
        <v>20171</v>
      </c>
      <c r="F1919" s="1" t="s">
        <v>14</v>
      </c>
      <c r="G1919" s="1" t="s">
        <v>127</v>
      </c>
      <c r="H1919" s="1" t="n">
        <v>2</v>
      </c>
      <c r="I1919" s="1" t="n">
        <v>0</v>
      </c>
      <c r="J1919" s="1" t="n">
        <v>20201</v>
      </c>
      <c r="L1919" s="1" t="str">
        <f aca="false">IF(D1918&lt;&gt;D1919,D1919,"")</f>
        <v/>
      </c>
      <c r="M1919" s="1" t="str">
        <f aca="false">IF(F1918&lt;&gt;F1919,F1919,"")</f>
        <v/>
      </c>
    </row>
    <row r="1920" customFormat="false" ht="15" hidden="false" customHeight="false" outlineLevel="0" collapsed="false">
      <c r="A1920" s="1" t="s">
        <v>116</v>
      </c>
      <c r="B1920" s="1" t="s">
        <v>117</v>
      </c>
      <c r="C1920" s="1" t="s">
        <v>870</v>
      </c>
      <c r="D1920" s="1" t="s">
        <v>871</v>
      </c>
      <c r="E1920" s="1" t="n">
        <v>20171</v>
      </c>
      <c r="F1920" s="1" t="s">
        <v>14</v>
      </c>
      <c r="G1920" s="1" t="s">
        <v>30</v>
      </c>
      <c r="H1920" s="1" t="n">
        <v>1.5</v>
      </c>
      <c r="I1920" s="1" t="n">
        <v>0</v>
      </c>
      <c r="J1920" s="1" t="n">
        <v>20201</v>
      </c>
      <c r="L1920" s="1" t="str">
        <f aca="false">IF(D1919&lt;&gt;D1920,D1920,"")</f>
        <v/>
      </c>
      <c r="M1920" s="1" t="str">
        <f aca="false">IF(F1919&lt;&gt;F1920,F1920,"")</f>
        <v/>
      </c>
    </row>
    <row r="1921" customFormat="false" ht="15" hidden="false" customHeight="false" outlineLevel="0" collapsed="false">
      <c r="A1921" s="1" t="s">
        <v>26</v>
      </c>
      <c r="B1921" s="1" t="s">
        <v>27</v>
      </c>
      <c r="C1921" s="1" t="s">
        <v>870</v>
      </c>
      <c r="D1921" s="1" t="s">
        <v>871</v>
      </c>
      <c r="E1921" s="1" t="n">
        <v>20171</v>
      </c>
      <c r="F1921" s="1" t="s">
        <v>14</v>
      </c>
      <c r="G1921" s="1" t="s">
        <v>30</v>
      </c>
      <c r="H1921" s="1" t="n">
        <v>1.5</v>
      </c>
      <c r="I1921" s="1" t="n">
        <v>0</v>
      </c>
      <c r="J1921" s="1" t="n">
        <v>20201</v>
      </c>
      <c r="L1921" s="1" t="str">
        <f aca="false">IF(D1920&lt;&gt;D1921,D1921,"")</f>
        <v/>
      </c>
      <c r="M1921" s="1" t="str">
        <f aca="false">IF(F1920&lt;&gt;F1921,F1921,"")</f>
        <v/>
      </c>
    </row>
    <row r="1922" customFormat="false" ht="15" hidden="false" customHeight="false" outlineLevel="0" collapsed="false">
      <c r="A1922" s="1" t="s">
        <v>122</v>
      </c>
      <c r="B1922" s="1" t="s">
        <v>123</v>
      </c>
      <c r="C1922" s="1" t="s">
        <v>870</v>
      </c>
      <c r="D1922" s="1" t="s">
        <v>871</v>
      </c>
      <c r="E1922" s="1" t="n">
        <v>20171</v>
      </c>
      <c r="F1922" s="1" t="s">
        <v>14</v>
      </c>
      <c r="G1922" s="1" t="s">
        <v>23</v>
      </c>
      <c r="H1922" s="1" t="n">
        <v>0</v>
      </c>
      <c r="I1922" s="1" t="n">
        <v>0</v>
      </c>
      <c r="J1922" s="1" t="n">
        <v>20201</v>
      </c>
      <c r="L1922" s="1" t="str">
        <f aca="false">IF(D1921&lt;&gt;D1922,D1922,"")</f>
        <v/>
      </c>
      <c r="M1922" s="1" t="str">
        <f aca="false">IF(F1921&lt;&gt;F1922,F1922,"")</f>
        <v/>
      </c>
    </row>
    <row r="1923" customFormat="false" ht="15" hidden="false" customHeight="false" outlineLevel="0" collapsed="false">
      <c r="A1923" s="1" t="s">
        <v>33</v>
      </c>
      <c r="B1923" s="1" t="s">
        <v>34</v>
      </c>
      <c r="C1923" s="1" t="s">
        <v>870</v>
      </c>
      <c r="D1923" s="1" t="s">
        <v>871</v>
      </c>
      <c r="E1923" s="1" t="n">
        <v>20171</v>
      </c>
      <c r="F1923" s="1" t="s">
        <v>14</v>
      </c>
      <c r="G1923" s="1" t="s">
        <v>30</v>
      </c>
      <c r="H1923" s="1" t="n">
        <v>1.5</v>
      </c>
      <c r="I1923" s="1" t="n">
        <v>0</v>
      </c>
      <c r="J1923" s="1" t="n">
        <v>20201</v>
      </c>
      <c r="L1923" s="1" t="str">
        <f aca="false">IF(D1922&lt;&gt;D1923,D1923,"")</f>
        <v/>
      </c>
      <c r="M1923" s="1" t="str">
        <f aca="false">IF(F1922&lt;&gt;F1923,F1923,"")</f>
        <v/>
      </c>
    </row>
    <row r="1924" customFormat="false" ht="15" hidden="false" customHeight="false" outlineLevel="0" collapsed="false">
      <c r="A1924" s="1" t="s">
        <v>125</v>
      </c>
      <c r="B1924" s="1" t="s">
        <v>126</v>
      </c>
      <c r="C1924" s="1" t="s">
        <v>870</v>
      </c>
      <c r="D1924" s="1" t="s">
        <v>871</v>
      </c>
      <c r="E1924" s="1" t="n">
        <v>20171</v>
      </c>
      <c r="F1924" s="1" t="s">
        <v>14</v>
      </c>
      <c r="G1924" s="1" t="s">
        <v>127</v>
      </c>
      <c r="H1924" s="1" t="n">
        <v>2</v>
      </c>
      <c r="I1924" s="1" t="n">
        <v>0</v>
      </c>
      <c r="J1924" s="1" t="n">
        <v>20201</v>
      </c>
      <c r="L1924" s="1" t="str">
        <f aca="false">IF(D1923&lt;&gt;D1924,D1924,"")</f>
        <v/>
      </c>
      <c r="M1924" s="1" t="str">
        <f aca="false">IF(F1923&lt;&gt;F1924,F1924,"")</f>
        <v/>
      </c>
    </row>
    <row r="1925" customFormat="false" ht="15" hidden="false" customHeight="false" outlineLevel="0" collapsed="false">
      <c r="A1925" s="1" t="s">
        <v>35</v>
      </c>
      <c r="B1925" s="1" t="s">
        <v>36</v>
      </c>
      <c r="C1925" s="1" t="s">
        <v>870</v>
      </c>
      <c r="D1925" s="1" t="s">
        <v>871</v>
      </c>
      <c r="E1925" s="1" t="n">
        <v>20171</v>
      </c>
      <c r="F1925" s="1" t="s">
        <v>14</v>
      </c>
      <c r="G1925" s="1" t="s">
        <v>30</v>
      </c>
      <c r="H1925" s="1" t="n">
        <v>1.5</v>
      </c>
      <c r="I1925" s="1" t="n">
        <v>0</v>
      </c>
      <c r="J1925" s="1" t="n">
        <v>20201</v>
      </c>
      <c r="L1925" s="1" t="str">
        <f aca="false">IF(D1924&lt;&gt;D1925,D1925,"")</f>
        <v/>
      </c>
      <c r="M1925" s="1" t="str">
        <f aca="false">IF(F1924&lt;&gt;F1925,F1925,"")</f>
        <v/>
      </c>
    </row>
    <row r="1926" customFormat="false" ht="15" hidden="false" customHeight="false" outlineLevel="0" collapsed="false">
      <c r="A1926" s="1" t="s">
        <v>132</v>
      </c>
      <c r="B1926" s="1" t="s">
        <v>133</v>
      </c>
      <c r="C1926" s="1" t="s">
        <v>870</v>
      </c>
      <c r="D1926" s="1" t="s">
        <v>871</v>
      </c>
      <c r="E1926" s="1" t="n">
        <v>20171</v>
      </c>
      <c r="F1926" s="1" t="s">
        <v>14</v>
      </c>
      <c r="G1926" s="1" t="s">
        <v>127</v>
      </c>
      <c r="H1926" s="1" t="n">
        <v>2</v>
      </c>
      <c r="I1926" s="1" t="n">
        <v>0</v>
      </c>
      <c r="J1926" s="1" t="n">
        <v>20201</v>
      </c>
      <c r="L1926" s="1" t="str">
        <f aca="false">IF(D1925&lt;&gt;D1926,D1926,"")</f>
        <v/>
      </c>
      <c r="M1926" s="1" t="str">
        <f aca="false">IF(F1925&lt;&gt;F1926,F1926,"")</f>
        <v/>
      </c>
    </row>
    <row r="1927" customFormat="false" ht="15" hidden="false" customHeight="false" outlineLevel="0" collapsed="false">
      <c r="A1927" s="1" t="s">
        <v>41</v>
      </c>
      <c r="B1927" s="1" t="s">
        <v>42</v>
      </c>
      <c r="C1927" s="1" t="s">
        <v>870</v>
      </c>
      <c r="D1927" s="1" t="s">
        <v>871</v>
      </c>
      <c r="E1927" s="1" t="n">
        <v>20171</v>
      </c>
      <c r="F1927" s="1" t="s">
        <v>14</v>
      </c>
      <c r="G1927" s="1" t="s">
        <v>127</v>
      </c>
      <c r="H1927" s="1" t="n">
        <v>2</v>
      </c>
      <c r="I1927" s="1" t="n">
        <v>0</v>
      </c>
      <c r="J1927" s="1" t="n">
        <v>20201</v>
      </c>
      <c r="L1927" s="1" t="str">
        <f aca="false">IF(D1926&lt;&gt;D1927,D1927,"")</f>
        <v/>
      </c>
      <c r="M1927" s="1" t="str">
        <f aca="false">IF(F1926&lt;&gt;F1927,F1927,"")</f>
        <v/>
      </c>
    </row>
    <row r="1928" customFormat="false" ht="15" hidden="false" customHeight="false" outlineLevel="0" collapsed="false">
      <c r="A1928" s="1" t="s">
        <v>134</v>
      </c>
      <c r="B1928" s="1" t="s">
        <v>135</v>
      </c>
      <c r="C1928" s="1" t="s">
        <v>870</v>
      </c>
      <c r="D1928" s="1" t="s">
        <v>871</v>
      </c>
      <c r="E1928" s="1" t="n">
        <v>20171</v>
      </c>
      <c r="F1928" s="1" t="s">
        <v>14</v>
      </c>
      <c r="G1928" s="1" t="s">
        <v>127</v>
      </c>
      <c r="H1928" s="1" t="n">
        <v>2</v>
      </c>
      <c r="I1928" s="1" t="n">
        <v>0</v>
      </c>
      <c r="J1928" s="1" t="n">
        <v>20201</v>
      </c>
      <c r="L1928" s="1" t="str">
        <f aca="false">IF(D1927&lt;&gt;D1928,D1928,"")</f>
        <v/>
      </c>
      <c r="M1928" s="1" t="str">
        <f aca="false">IF(F1927&lt;&gt;F1928,F1928,"")</f>
        <v/>
      </c>
    </row>
    <row r="1929" customFormat="false" ht="15" hidden="false" customHeight="false" outlineLevel="0" collapsed="false">
      <c r="A1929" s="1" t="s">
        <v>43</v>
      </c>
      <c r="B1929" s="1" t="s">
        <v>44</v>
      </c>
      <c r="C1929" s="1" t="s">
        <v>870</v>
      </c>
      <c r="D1929" s="1" t="s">
        <v>871</v>
      </c>
      <c r="E1929" s="1" t="n">
        <v>20171</v>
      </c>
      <c r="F1929" s="1" t="s">
        <v>14</v>
      </c>
      <c r="G1929" s="1" t="s">
        <v>18</v>
      </c>
      <c r="H1929" s="1" t="n">
        <v>3</v>
      </c>
      <c r="I1929" s="1" t="n">
        <v>0</v>
      </c>
      <c r="J1929" s="1" t="n">
        <v>20201</v>
      </c>
      <c r="L1929" s="1" t="str">
        <f aca="false">IF(D1928&lt;&gt;D1929,D1929,"")</f>
        <v/>
      </c>
      <c r="M1929" s="1" t="str">
        <f aca="false">IF(F1928&lt;&gt;F1929,F1929,"")</f>
        <v/>
      </c>
    </row>
    <row r="1930" customFormat="false" ht="15" hidden="false" customHeight="false" outlineLevel="0" collapsed="false">
      <c r="A1930" s="1" t="s">
        <v>142</v>
      </c>
      <c r="B1930" s="1" t="s">
        <v>143</v>
      </c>
      <c r="C1930" s="1" t="s">
        <v>870</v>
      </c>
      <c r="D1930" s="1" t="s">
        <v>871</v>
      </c>
      <c r="E1930" s="1" t="n">
        <v>20171</v>
      </c>
      <c r="F1930" s="1" t="s">
        <v>14</v>
      </c>
      <c r="G1930" s="1" t="s">
        <v>127</v>
      </c>
      <c r="H1930" s="1" t="n">
        <v>2</v>
      </c>
      <c r="I1930" s="1" t="n">
        <v>0</v>
      </c>
      <c r="J1930" s="1" t="n">
        <v>20201</v>
      </c>
      <c r="L1930" s="1" t="str">
        <f aca="false">IF(D1929&lt;&gt;D1930,D1930,"")</f>
        <v/>
      </c>
      <c r="M1930" s="1" t="str">
        <f aca="false">IF(F1929&lt;&gt;F1930,F1930,"")</f>
        <v/>
      </c>
    </row>
    <row r="1931" customFormat="false" ht="15" hidden="false" customHeight="false" outlineLevel="0" collapsed="false">
      <c r="A1931" s="1" t="s">
        <v>49</v>
      </c>
      <c r="B1931" s="1" t="s">
        <v>50</v>
      </c>
      <c r="C1931" s="1" t="s">
        <v>870</v>
      </c>
      <c r="D1931" s="1" t="s">
        <v>871</v>
      </c>
      <c r="E1931" s="1" t="n">
        <v>20171</v>
      </c>
      <c r="F1931" s="1" t="s">
        <v>14</v>
      </c>
      <c r="G1931" s="1" t="s">
        <v>127</v>
      </c>
      <c r="H1931" s="1" t="n">
        <v>2</v>
      </c>
      <c r="I1931" s="1" t="n">
        <v>0</v>
      </c>
      <c r="J1931" s="1" t="n">
        <v>20201</v>
      </c>
      <c r="L1931" s="1" t="str">
        <f aca="false">IF(D1930&lt;&gt;D1931,D1931,"")</f>
        <v/>
      </c>
      <c r="M1931" s="1" t="str">
        <f aca="false">IF(F1930&lt;&gt;F1931,F1931,"")</f>
        <v/>
      </c>
    </row>
    <row r="1932" customFormat="false" ht="15" hidden="false" customHeight="false" outlineLevel="0" collapsed="false">
      <c r="A1932" s="1" t="s">
        <v>148</v>
      </c>
      <c r="B1932" s="1" t="s">
        <v>149</v>
      </c>
      <c r="C1932" s="1" t="s">
        <v>870</v>
      </c>
      <c r="D1932" s="1" t="s">
        <v>871</v>
      </c>
      <c r="E1932" s="1" t="n">
        <v>20171</v>
      </c>
      <c r="F1932" s="1" t="s">
        <v>14</v>
      </c>
      <c r="G1932" s="1" t="s">
        <v>30</v>
      </c>
      <c r="H1932" s="1" t="n">
        <v>1.5</v>
      </c>
      <c r="I1932" s="1" t="n">
        <v>0</v>
      </c>
      <c r="J1932" s="1" t="n">
        <v>20201</v>
      </c>
      <c r="L1932" s="1" t="str">
        <f aca="false">IF(D1931&lt;&gt;D1932,D1932,"")</f>
        <v/>
      </c>
      <c r="M1932" s="1" t="str">
        <f aca="false">IF(F1931&lt;&gt;F1932,F1932,"")</f>
        <v/>
      </c>
    </row>
    <row r="1933" customFormat="false" ht="15" hidden="false" customHeight="false" outlineLevel="0" collapsed="false">
      <c r="A1933" s="1" t="s">
        <v>57</v>
      </c>
      <c r="B1933" s="1" t="s">
        <v>58</v>
      </c>
      <c r="C1933" s="1" t="s">
        <v>870</v>
      </c>
      <c r="D1933" s="1" t="s">
        <v>871</v>
      </c>
      <c r="E1933" s="1" t="n">
        <v>20171</v>
      </c>
      <c r="F1933" s="1" t="s">
        <v>14</v>
      </c>
      <c r="G1933" s="1" t="s">
        <v>127</v>
      </c>
      <c r="H1933" s="1" t="n">
        <v>2</v>
      </c>
      <c r="I1933" s="1" t="n">
        <v>0</v>
      </c>
      <c r="J1933" s="1" t="n">
        <v>20201</v>
      </c>
      <c r="L1933" s="1" t="str">
        <f aca="false">IF(D1932&lt;&gt;D1933,D1933,"")</f>
        <v/>
      </c>
      <c r="M1933" s="1" t="str">
        <f aca="false">IF(F1932&lt;&gt;F1933,F1933,"")</f>
        <v/>
      </c>
    </row>
    <row r="1934" customFormat="false" ht="15" hidden="false" customHeight="false" outlineLevel="0" collapsed="false">
      <c r="A1934" s="1" t="s">
        <v>150</v>
      </c>
      <c r="B1934" s="1" t="s">
        <v>151</v>
      </c>
      <c r="C1934" s="1" t="s">
        <v>870</v>
      </c>
      <c r="D1934" s="1" t="s">
        <v>871</v>
      </c>
      <c r="E1934" s="1" t="n">
        <v>20171</v>
      </c>
      <c r="F1934" s="1" t="s">
        <v>14</v>
      </c>
      <c r="G1934" s="1" t="s">
        <v>127</v>
      </c>
      <c r="H1934" s="1" t="n">
        <v>2</v>
      </c>
      <c r="I1934" s="1" t="n">
        <v>0</v>
      </c>
      <c r="J1934" s="1" t="n">
        <v>20201</v>
      </c>
      <c r="L1934" s="1" t="str">
        <f aca="false">IF(D1933&lt;&gt;D1934,D1934,"")</f>
        <v/>
      </c>
      <c r="M1934" s="1" t="str">
        <f aca="false">IF(F1933&lt;&gt;F1934,F1934,"")</f>
        <v/>
      </c>
    </row>
    <row r="1935" customFormat="false" ht="15" hidden="false" customHeight="false" outlineLevel="0" collapsed="false">
      <c r="A1935" s="1" t="s">
        <v>156</v>
      </c>
      <c r="B1935" s="1" t="s">
        <v>157</v>
      </c>
      <c r="C1935" s="1" t="s">
        <v>870</v>
      </c>
      <c r="D1935" s="1" t="s">
        <v>871</v>
      </c>
      <c r="E1935" s="1" t="n">
        <v>20171</v>
      </c>
      <c r="F1935" s="1" t="s">
        <v>14</v>
      </c>
      <c r="G1935" s="1" t="s">
        <v>127</v>
      </c>
      <c r="H1935" s="1" t="n">
        <v>2</v>
      </c>
      <c r="I1935" s="1" t="n">
        <v>0</v>
      </c>
      <c r="J1935" s="1" t="n">
        <v>20201</v>
      </c>
      <c r="L1935" s="1" t="str">
        <f aca="false">IF(D1934&lt;&gt;D1935,D1935,"")</f>
        <v/>
      </c>
      <c r="M1935" s="1" t="str">
        <f aca="false">IF(F1934&lt;&gt;F1935,F1935,"")</f>
        <v/>
      </c>
    </row>
    <row r="1936" customFormat="false" ht="15" hidden="false" customHeight="false" outlineLevel="0" collapsed="false">
      <c r="A1936" s="1" t="s">
        <v>65</v>
      </c>
      <c r="B1936" s="1" t="s">
        <v>66</v>
      </c>
      <c r="C1936" s="1" t="s">
        <v>870</v>
      </c>
      <c r="D1936" s="1" t="s">
        <v>871</v>
      </c>
      <c r="E1936" s="1" t="n">
        <v>20171</v>
      </c>
      <c r="F1936" s="1" t="s">
        <v>14</v>
      </c>
      <c r="G1936" s="1" t="s">
        <v>30</v>
      </c>
      <c r="H1936" s="1" t="n">
        <v>1.5</v>
      </c>
      <c r="I1936" s="1" t="n">
        <v>0</v>
      </c>
      <c r="J1936" s="1" t="n">
        <v>20201</v>
      </c>
      <c r="L1936" s="1" t="str">
        <f aca="false">IF(D1935&lt;&gt;D1936,D1936,"")</f>
        <v/>
      </c>
      <c r="M1936" s="1" t="str">
        <f aca="false">IF(F1935&lt;&gt;F1936,F1936,"")</f>
        <v/>
      </c>
    </row>
    <row r="1937" customFormat="false" ht="15" hidden="false" customHeight="false" outlineLevel="0" collapsed="false">
      <c r="A1937" s="1" t="s">
        <v>158</v>
      </c>
      <c r="B1937" s="1" t="s">
        <v>159</v>
      </c>
      <c r="C1937" s="1" t="s">
        <v>870</v>
      </c>
      <c r="D1937" s="1" t="s">
        <v>871</v>
      </c>
      <c r="E1937" s="1" t="n">
        <v>20171</v>
      </c>
      <c r="F1937" s="1" t="s">
        <v>14</v>
      </c>
      <c r="G1937" s="1" t="s">
        <v>30</v>
      </c>
      <c r="H1937" s="1" t="n">
        <v>1.5</v>
      </c>
      <c r="I1937" s="1" t="n">
        <v>0</v>
      </c>
      <c r="J1937" s="1" t="n">
        <v>20201</v>
      </c>
      <c r="L1937" s="1" t="str">
        <f aca="false">IF(D1936&lt;&gt;D1937,D1937,"")</f>
        <v/>
      </c>
      <c r="M1937" s="1" t="str">
        <f aca="false">IF(F1936&lt;&gt;F1937,F1937,"")</f>
        <v/>
      </c>
    </row>
    <row r="1938" customFormat="false" ht="15" hidden="false" customHeight="false" outlineLevel="0" collapsed="false">
      <c r="A1938" s="1" t="s">
        <v>160</v>
      </c>
      <c r="B1938" s="1" t="s">
        <v>161</v>
      </c>
      <c r="C1938" s="1" t="s">
        <v>870</v>
      </c>
      <c r="D1938" s="1" t="s">
        <v>871</v>
      </c>
      <c r="E1938" s="1" t="n">
        <v>20171</v>
      </c>
      <c r="F1938" s="1" t="s">
        <v>14</v>
      </c>
      <c r="G1938" s="1" t="s">
        <v>30</v>
      </c>
      <c r="H1938" s="1" t="n">
        <v>1.5</v>
      </c>
      <c r="I1938" s="1" t="n">
        <v>0</v>
      </c>
      <c r="J1938" s="1" t="n">
        <v>20201</v>
      </c>
      <c r="L1938" s="1" t="str">
        <f aca="false">IF(D1937&lt;&gt;D1938,D1938,"")</f>
        <v/>
      </c>
      <c r="M1938" s="1" t="str">
        <f aca="false">IF(F1937&lt;&gt;F1938,F1938,"")</f>
        <v/>
      </c>
    </row>
    <row r="1939" customFormat="false" ht="15" hidden="false" customHeight="false" outlineLevel="0" collapsed="false">
      <c r="A1939" s="1" t="s">
        <v>162</v>
      </c>
      <c r="B1939" s="1" t="s">
        <v>163</v>
      </c>
      <c r="C1939" s="1" t="s">
        <v>870</v>
      </c>
      <c r="D1939" s="1" t="s">
        <v>871</v>
      </c>
      <c r="E1939" s="1" t="n">
        <v>20171</v>
      </c>
      <c r="F1939" s="1" t="s">
        <v>14</v>
      </c>
      <c r="G1939" s="1" t="s">
        <v>127</v>
      </c>
      <c r="H1939" s="1" t="n">
        <v>2</v>
      </c>
      <c r="I1939" s="1" t="n">
        <v>0</v>
      </c>
      <c r="J1939" s="1" t="n">
        <v>20201</v>
      </c>
      <c r="L1939" s="1" t="str">
        <f aca="false">IF(D1938&lt;&gt;D1939,D1939,"")</f>
        <v/>
      </c>
      <c r="M1939" s="1" t="str">
        <f aca="false">IF(F1938&lt;&gt;F1939,F1939,"")</f>
        <v/>
      </c>
    </row>
    <row r="1940" customFormat="false" ht="15" hidden="false" customHeight="false" outlineLevel="0" collapsed="false">
      <c r="A1940" s="1" t="s">
        <v>73</v>
      </c>
      <c r="B1940" s="1" t="s">
        <v>74</v>
      </c>
      <c r="C1940" s="1" t="s">
        <v>870</v>
      </c>
      <c r="D1940" s="1" t="s">
        <v>871</v>
      </c>
      <c r="E1940" s="1" t="n">
        <v>20171</v>
      </c>
      <c r="F1940" s="1" t="s">
        <v>14</v>
      </c>
      <c r="G1940" s="1" t="s">
        <v>30</v>
      </c>
      <c r="H1940" s="1" t="n">
        <v>1.5</v>
      </c>
      <c r="I1940" s="1" t="n">
        <v>0</v>
      </c>
      <c r="J1940" s="1" t="n">
        <v>20201</v>
      </c>
      <c r="L1940" s="1" t="str">
        <f aca="false">IF(D1939&lt;&gt;D1940,D1940,"")</f>
        <v/>
      </c>
      <c r="M1940" s="1" t="str">
        <f aca="false">IF(F1939&lt;&gt;F1940,F1940,"")</f>
        <v/>
      </c>
    </row>
    <row r="1941" customFormat="false" ht="15" hidden="false" customHeight="false" outlineLevel="0" collapsed="false">
      <c r="A1941" s="1" t="s">
        <v>170</v>
      </c>
      <c r="B1941" s="1" t="s">
        <v>171</v>
      </c>
      <c r="C1941" s="1" t="s">
        <v>870</v>
      </c>
      <c r="D1941" s="1" t="s">
        <v>871</v>
      </c>
      <c r="E1941" s="1" t="n">
        <v>20171</v>
      </c>
      <c r="F1941" s="1" t="s">
        <v>14</v>
      </c>
      <c r="G1941" s="1" t="s">
        <v>30</v>
      </c>
      <c r="H1941" s="1" t="n">
        <v>1.5</v>
      </c>
      <c r="I1941" s="1" t="n">
        <v>0</v>
      </c>
      <c r="J1941" s="1" t="n">
        <v>20201</v>
      </c>
      <c r="L1941" s="1" t="str">
        <f aca="false">IF(D1940&lt;&gt;D1941,D1941,"")</f>
        <v/>
      </c>
      <c r="M1941" s="1" t="str">
        <f aca="false">IF(F1940&lt;&gt;F1941,F1941,"")</f>
        <v/>
      </c>
    </row>
    <row r="1942" customFormat="false" ht="15" hidden="false" customHeight="false" outlineLevel="0" collapsed="false">
      <c r="A1942" s="1" t="s">
        <v>172</v>
      </c>
      <c r="B1942" s="1" t="s">
        <v>173</v>
      </c>
      <c r="C1942" s="1" t="s">
        <v>870</v>
      </c>
      <c r="D1942" s="1" t="s">
        <v>871</v>
      </c>
      <c r="E1942" s="1" t="n">
        <v>20171</v>
      </c>
      <c r="F1942" s="1" t="s">
        <v>14</v>
      </c>
      <c r="G1942" s="1" t="s">
        <v>30</v>
      </c>
      <c r="H1942" s="1" t="n">
        <v>1.5</v>
      </c>
      <c r="I1942" s="1" t="n">
        <v>0</v>
      </c>
      <c r="J1942" s="1" t="n">
        <v>20201</v>
      </c>
      <c r="L1942" s="1" t="str">
        <f aca="false">IF(D1941&lt;&gt;D1942,D1942,"")</f>
        <v/>
      </c>
      <c r="M1942" s="1" t="str">
        <f aca="false">IF(F1941&lt;&gt;F1942,F1942,"")</f>
        <v/>
      </c>
    </row>
    <row r="1943" customFormat="false" ht="15" hidden="false" customHeight="false" outlineLevel="0" collapsed="false">
      <c r="A1943" s="1" t="s">
        <v>178</v>
      </c>
      <c r="B1943" s="1" t="s">
        <v>179</v>
      </c>
      <c r="C1943" s="1" t="s">
        <v>870</v>
      </c>
      <c r="D1943" s="1" t="s">
        <v>871</v>
      </c>
      <c r="E1943" s="1" t="n">
        <v>20171</v>
      </c>
      <c r="F1943" s="1" t="s">
        <v>14</v>
      </c>
      <c r="G1943" s="1" t="s">
        <v>30</v>
      </c>
      <c r="H1943" s="1" t="n">
        <v>1.5</v>
      </c>
      <c r="I1943" s="1" t="n">
        <v>0</v>
      </c>
      <c r="J1943" s="1" t="n">
        <v>20201</v>
      </c>
      <c r="L1943" s="1" t="str">
        <f aca="false">IF(D1942&lt;&gt;D1943,D1943,"")</f>
        <v/>
      </c>
      <c r="M1943" s="1" t="str">
        <f aca="false">IF(F1942&lt;&gt;F1943,F1943,"")</f>
        <v/>
      </c>
    </row>
    <row r="1944" customFormat="false" ht="15" hidden="false" customHeight="false" outlineLevel="0" collapsed="false">
      <c r="A1944" s="1" t="s">
        <v>180</v>
      </c>
      <c r="B1944" s="1" t="s">
        <v>181</v>
      </c>
      <c r="C1944" s="1" t="s">
        <v>870</v>
      </c>
      <c r="D1944" s="1" t="s">
        <v>871</v>
      </c>
      <c r="E1944" s="1" t="n">
        <v>20171</v>
      </c>
      <c r="F1944" s="1" t="s">
        <v>14</v>
      </c>
      <c r="G1944" s="1" t="s">
        <v>23</v>
      </c>
      <c r="H1944" s="1" t="n">
        <v>0</v>
      </c>
      <c r="I1944" s="1" t="n">
        <v>0</v>
      </c>
      <c r="J1944" s="1" t="n">
        <v>20201</v>
      </c>
      <c r="L1944" s="1" t="str">
        <f aca="false">IF(D1943&lt;&gt;D1944,D1944,"")</f>
        <v/>
      </c>
      <c r="M1944" s="1" t="str">
        <f aca="false">IF(F1943&lt;&gt;F1944,F1944,"")</f>
        <v/>
      </c>
    </row>
    <row r="1945" customFormat="false" ht="15" hidden="false" customHeight="false" outlineLevel="0" collapsed="false">
      <c r="A1945" s="1" t="s">
        <v>85</v>
      </c>
      <c r="B1945" s="1" t="s">
        <v>86</v>
      </c>
      <c r="C1945" s="1" t="s">
        <v>870</v>
      </c>
      <c r="D1945" s="1" t="s">
        <v>871</v>
      </c>
      <c r="E1945" s="1" t="n">
        <v>20171</v>
      </c>
      <c r="F1945" s="1" t="s">
        <v>14</v>
      </c>
      <c r="G1945" s="1" t="s">
        <v>30</v>
      </c>
      <c r="H1945" s="1" t="n">
        <v>1.5</v>
      </c>
      <c r="I1945" s="1" t="n">
        <v>0</v>
      </c>
      <c r="J1945" s="1" t="n">
        <v>20201</v>
      </c>
      <c r="L1945" s="1" t="str">
        <f aca="false">IF(D1944&lt;&gt;D1945,D1945,"")</f>
        <v/>
      </c>
      <c r="M1945" s="1" t="str">
        <f aca="false">IF(F1944&lt;&gt;F1945,F1945,"")</f>
        <v/>
      </c>
    </row>
    <row r="1946" customFormat="false" ht="15" hidden="false" customHeight="false" outlineLevel="0" collapsed="false">
      <c r="A1946" s="1" t="s">
        <v>186</v>
      </c>
      <c r="B1946" s="1" t="s">
        <v>187</v>
      </c>
      <c r="C1946" s="1" t="s">
        <v>870</v>
      </c>
      <c r="D1946" s="1" t="s">
        <v>871</v>
      </c>
      <c r="E1946" s="1" t="n">
        <v>20171</v>
      </c>
      <c r="F1946" s="1" t="s">
        <v>14</v>
      </c>
      <c r="G1946" s="1" t="s">
        <v>127</v>
      </c>
      <c r="H1946" s="1" t="n">
        <v>2</v>
      </c>
      <c r="I1946" s="1" t="n">
        <v>0</v>
      </c>
      <c r="J1946" s="1" t="n">
        <v>20201</v>
      </c>
      <c r="L1946" s="1" t="str">
        <f aca="false">IF(D1945&lt;&gt;D1946,D1946,"")</f>
        <v/>
      </c>
      <c r="M1946" s="1" t="str">
        <f aca="false">IF(F1945&lt;&gt;F1946,F1946,"")</f>
        <v/>
      </c>
    </row>
    <row r="1947" customFormat="false" ht="15" hidden="false" customHeight="false" outlineLevel="0" collapsed="false">
      <c r="A1947" s="1" t="s">
        <v>93</v>
      </c>
      <c r="B1947" s="1" t="s">
        <v>94</v>
      </c>
      <c r="C1947" s="1" t="s">
        <v>870</v>
      </c>
      <c r="D1947" s="1" t="s">
        <v>871</v>
      </c>
      <c r="E1947" s="1" t="n">
        <v>20171</v>
      </c>
      <c r="F1947" s="1" t="s">
        <v>14</v>
      </c>
      <c r="G1947" s="1" t="s">
        <v>14</v>
      </c>
      <c r="H1947" s="1" t="n">
        <v>4</v>
      </c>
      <c r="I1947" s="1" t="n">
        <v>0</v>
      </c>
      <c r="J1947" s="1" t="n">
        <v>20201</v>
      </c>
      <c r="L1947" s="1" t="str">
        <f aca="false">IF(D1946&lt;&gt;D1947,D1947,"")</f>
        <v/>
      </c>
      <c r="M1947" s="1" t="str">
        <f aca="false">IF(F1946&lt;&gt;F1947,F1947,"")</f>
        <v/>
      </c>
    </row>
    <row r="1948" customFormat="false" ht="15" hidden="false" customHeight="false" outlineLevel="0" collapsed="false">
      <c r="A1948" s="1" t="s">
        <v>188</v>
      </c>
      <c r="B1948" s="1" t="s">
        <v>189</v>
      </c>
      <c r="C1948" s="1" t="s">
        <v>870</v>
      </c>
      <c r="D1948" s="1" t="s">
        <v>871</v>
      </c>
      <c r="E1948" s="1" t="n">
        <v>20171</v>
      </c>
      <c r="F1948" s="1" t="s">
        <v>14</v>
      </c>
      <c r="G1948" s="1" t="s">
        <v>127</v>
      </c>
      <c r="H1948" s="1" t="n">
        <v>2</v>
      </c>
      <c r="I1948" s="1" t="n">
        <v>0</v>
      </c>
      <c r="J1948" s="1" t="n">
        <v>20201</v>
      </c>
      <c r="L1948" s="1" t="str">
        <f aca="false">IF(D1947&lt;&gt;D1948,D1948,"")</f>
        <v/>
      </c>
      <c r="M1948" s="1" t="str">
        <f aca="false">IF(F1947&lt;&gt;F1948,F1948,"")</f>
        <v/>
      </c>
    </row>
    <row r="1949" customFormat="false" ht="15" hidden="false" customHeight="false" outlineLevel="0" collapsed="false">
      <c r="A1949" s="1" t="s">
        <v>95</v>
      </c>
      <c r="B1949" s="1" t="s">
        <v>96</v>
      </c>
      <c r="C1949" s="1" t="s">
        <v>870</v>
      </c>
      <c r="D1949" s="1" t="s">
        <v>871</v>
      </c>
      <c r="E1949" s="1" t="n">
        <v>20171</v>
      </c>
      <c r="F1949" s="1" t="s">
        <v>14</v>
      </c>
      <c r="G1949" s="1" t="s">
        <v>18</v>
      </c>
      <c r="H1949" s="1" t="n">
        <v>3</v>
      </c>
      <c r="I1949" s="1" t="n">
        <v>0</v>
      </c>
      <c r="J1949" s="1" t="n">
        <v>20201</v>
      </c>
      <c r="L1949" s="1" t="str">
        <f aca="false">IF(D1948&lt;&gt;D1949,D1949,"")</f>
        <v/>
      </c>
      <c r="M1949" s="1" t="str">
        <f aca="false">IF(F1948&lt;&gt;F1949,F1949,"")</f>
        <v/>
      </c>
    </row>
    <row r="1950" customFormat="false" ht="15" hidden="false" customHeight="false" outlineLevel="0" collapsed="false">
      <c r="A1950" s="1" t="s">
        <v>104</v>
      </c>
      <c r="B1950" s="1" t="s">
        <v>105</v>
      </c>
      <c r="C1950" s="1" t="s">
        <v>870</v>
      </c>
      <c r="D1950" s="1" t="s">
        <v>871</v>
      </c>
      <c r="E1950" s="1" t="n">
        <v>20171</v>
      </c>
      <c r="F1950" s="1" t="s">
        <v>14</v>
      </c>
      <c r="G1950" s="1" t="s">
        <v>30</v>
      </c>
      <c r="H1950" s="1" t="n">
        <v>1.5</v>
      </c>
      <c r="I1950" s="1" t="n">
        <v>0</v>
      </c>
      <c r="J1950" s="1" t="n">
        <v>20201</v>
      </c>
      <c r="L1950" s="1" t="str">
        <f aca="false">IF(D1949&lt;&gt;D1950,D1950,"")</f>
        <v/>
      </c>
      <c r="M1950" s="1" t="str">
        <f aca="false">IF(F1949&lt;&gt;F1950,F1950,"")</f>
        <v/>
      </c>
    </row>
    <row r="1951" customFormat="false" ht="15" hidden="false" customHeight="false" outlineLevel="0" collapsed="false">
      <c r="A1951" s="1" t="s">
        <v>196</v>
      </c>
      <c r="B1951" s="1" t="s">
        <v>197</v>
      </c>
      <c r="C1951" s="1" t="s">
        <v>870</v>
      </c>
      <c r="D1951" s="1" t="s">
        <v>871</v>
      </c>
      <c r="E1951" s="1" t="n">
        <v>20171</v>
      </c>
      <c r="F1951" s="1" t="s">
        <v>14</v>
      </c>
      <c r="G1951" s="1" t="s">
        <v>30</v>
      </c>
      <c r="H1951" s="1" t="n">
        <v>1.5</v>
      </c>
      <c r="I1951" s="1" t="n">
        <v>0</v>
      </c>
      <c r="J1951" s="1" t="n">
        <v>20201</v>
      </c>
      <c r="L1951" s="1" t="str">
        <f aca="false">IF(D1950&lt;&gt;D1951,D1951,"")</f>
        <v/>
      </c>
      <c r="M1951" s="1" t="str">
        <f aca="false">IF(F1950&lt;&gt;F1951,F1951,"")</f>
        <v/>
      </c>
    </row>
    <row r="1952" customFormat="false" ht="15" hidden="false" customHeight="false" outlineLevel="0" collapsed="false">
      <c r="A1952" s="1" t="s">
        <v>106</v>
      </c>
      <c r="B1952" s="1" t="s">
        <v>107</v>
      </c>
      <c r="C1952" s="1" t="s">
        <v>870</v>
      </c>
      <c r="D1952" s="1" t="s">
        <v>871</v>
      </c>
      <c r="E1952" s="1" t="n">
        <v>20171</v>
      </c>
      <c r="F1952" s="1" t="s">
        <v>14</v>
      </c>
      <c r="G1952" s="1" t="s">
        <v>127</v>
      </c>
      <c r="H1952" s="1" t="n">
        <v>2</v>
      </c>
      <c r="I1952" s="1" t="n">
        <v>0</v>
      </c>
      <c r="J1952" s="1" t="n">
        <v>20201</v>
      </c>
      <c r="L1952" s="1" t="str">
        <f aca="false">IF(D1951&lt;&gt;D1952,D1952,"")</f>
        <v/>
      </c>
      <c r="M1952" s="1" t="str">
        <f aca="false">IF(F1951&lt;&gt;F1952,F1952,"")</f>
        <v/>
      </c>
    </row>
    <row r="1953" customFormat="false" ht="15" hidden="false" customHeight="false" outlineLevel="0" collapsed="false">
      <c r="A1953" s="1" t="s">
        <v>679</v>
      </c>
      <c r="B1953" s="1" t="s">
        <v>680</v>
      </c>
      <c r="C1953" s="1" t="s">
        <v>870</v>
      </c>
      <c r="D1953" s="1" t="s">
        <v>871</v>
      </c>
      <c r="E1953" s="1" t="n">
        <v>20171</v>
      </c>
      <c r="F1953" s="1" t="s">
        <v>18</v>
      </c>
      <c r="G1953" s="1" t="s">
        <v>124</v>
      </c>
      <c r="H1953" s="1" t="n">
        <v>0</v>
      </c>
      <c r="I1953" s="1" t="n">
        <v>0</v>
      </c>
      <c r="J1953" s="1" t="n">
        <v>20201</v>
      </c>
      <c r="L1953" s="1" t="str">
        <f aca="false">IF(D1952&lt;&gt;D1953,D1953,"")</f>
        <v/>
      </c>
      <c r="M1953" s="1" t="str">
        <f aca="false">IF(F1952&lt;&gt;F1953,F1953,"")</f>
        <v>B</v>
      </c>
    </row>
    <row r="1954" customFormat="false" ht="15" hidden="false" customHeight="false" outlineLevel="0" collapsed="false">
      <c r="A1954" s="1" t="s">
        <v>567</v>
      </c>
      <c r="B1954" s="1" t="s">
        <v>568</v>
      </c>
      <c r="C1954" s="1" t="s">
        <v>870</v>
      </c>
      <c r="D1954" s="1" t="s">
        <v>871</v>
      </c>
      <c r="E1954" s="1" t="n">
        <v>20171</v>
      </c>
      <c r="F1954" s="1" t="s">
        <v>18</v>
      </c>
      <c r="G1954" s="1" t="s">
        <v>124</v>
      </c>
      <c r="H1954" s="1" t="n">
        <v>0</v>
      </c>
      <c r="I1954" s="1" t="n">
        <v>0</v>
      </c>
      <c r="J1954" s="1" t="n">
        <v>20201</v>
      </c>
      <c r="L1954" s="1" t="str">
        <f aca="false">IF(D1953&lt;&gt;D1954,D1954,"")</f>
        <v/>
      </c>
      <c r="M1954" s="1" t="str">
        <f aca="false">IF(F1953&lt;&gt;F1954,F1954,"")</f>
        <v/>
      </c>
    </row>
    <row r="1955" customFormat="false" ht="15" hidden="false" customHeight="false" outlineLevel="0" collapsed="false">
      <c r="A1955" s="1" t="s">
        <v>577</v>
      </c>
      <c r="B1955" s="1" t="s">
        <v>578</v>
      </c>
      <c r="C1955" s="1" t="s">
        <v>870</v>
      </c>
      <c r="D1955" s="1" t="s">
        <v>871</v>
      </c>
      <c r="E1955" s="1" t="n">
        <v>20171</v>
      </c>
      <c r="F1955" s="1" t="s">
        <v>18</v>
      </c>
      <c r="G1955" s="1" t="s">
        <v>124</v>
      </c>
      <c r="H1955" s="1" t="n">
        <v>0</v>
      </c>
      <c r="I1955" s="1" t="n">
        <v>0</v>
      </c>
      <c r="J1955" s="1" t="n">
        <v>20201</v>
      </c>
      <c r="L1955" s="1" t="str">
        <f aca="false">IF(D1954&lt;&gt;D1955,D1955,"")</f>
        <v/>
      </c>
      <c r="M1955" s="1" t="str">
        <f aca="false">IF(F1954&lt;&gt;F1955,F1955,"")</f>
        <v/>
      </c>
    </row>
    <row r="1956" customFormat="false" ht="15" hidden="false" customHeight="false" outlineLevel="0" collapsed="false">
      <c r="A1956" s="1" t="s">
        <v>773</v>
      </c>
      <c r="B1956" s="1" t="s">
        <v>774</v>
      </c>
      <c r="C1956" s="1" t="s">
        <v>870</v>
      </c>
      <c r="D1956" s="1" t="s">
        <v>871</v>
      </c>
      <c r="E1956" s="1" t="n">
        <v>20171</v>
      </c>
      <c r="F1956" s="1" t="s">
        <v>18</v>
      </c>
      <c r="G1956" s="1" t="s">
        <v>18</v>
      </c>
      <c r="H1956" s="1" t="n">
        <v>3</v>
      </c>
      <c r="I1956" s="1" t="n">
        <v>0</v>
      </c>
      <c r="J1956" s="1" t="n">
        <v>20201</v>
      </c>
      <c r="L1956" s="1" t="str">
        <f aca="false">IF(D1955&lt;&gt;D1956,D1956,"")</f>
        <v/>
      </c>
      <c r="M1956" s="1" t="str">
        <f aca="false">IF(F1955&lt;&gt;F1956,F1956,"")</f>
        <v/>
      </c>
    </row>
    <row r="1957" customFormat="false" ht="15" hidden="false" customHeight="false" outlineLevel="0" collapsed="false">
      <c r="A1957" s="1" t="s">
        <v>118</v>
      </c>
      <c r="B1957" s="1" t="s">
        <v>119</v>
      </c>
      <c r="C1957" s="1" t="s">
        <v>870</v>
      </c>
      <c r="D1957" s="1" t="s">
        <v>871</v>
      </c>
      <c r="E1957" s="1" t="n">
        <v>20171</v>
      </c>
      <c r="F1957" s="1" t="s">
        <v>18</v>
      </c>
      <c r="G1957" s="1" t="s">
        <v>18</v>
      </c>
      <c r="H1957" s="1" t="n">
        <v>3</v>
      </c>
      <c r="I1957" s="1" t="n">
        <v>0</v>
      </c>
      <c r="J1957" s="1" t="n">
        <v>20201</v>
      </c>
      <c r="L1957" s="1" t="str">
        <f aca="false">IF(D1956&lt;&gt;D1957,D1957,"")</f>
        <v/>
      </c>
      <c r="M1957" s="1" t="str">
        <f aca="false">IF(F1956&lt;&gt;F1957,F1957,"")</f>
        <v/>
      </c>
    </row>
    <row r="1958" customFormat="false" ht="15" hidden="false" customHeight="false" outlineLevel="0" collapsed="false">
      <c r="A1958" s="1" t="s">
        <v>128</v>
      </c>
      <c r="B1958" s="1" t="s">
        <v>129</v>
      </c>
      <c r="C1958" s="1" t="s">
        <v>870</v>
      </c>
      <c r="D1958" s="1" t="s">
        <v>871</v>
      </c>
      <c r="E1958" s="1" t="n">
        <v>20171</v>
      </c>
      <c r="F1958" s="1" t="s">
        <v>18</v>
      </c>
      <c r="G1958" s="1" t="s">
        <v>101</v>
      </c>
      <c r="H1958" s="1" t="n">
        <v>2.5</v>
      </c>
      <c r="I1958" s="1" t="n">
        <v>0</v>
      </c>
      <c r="J1958" s="1" t="n">
        <v>20201</v>
      </c>
      <c r="L1958" s="1" t="str">
        <f aca="false">IF(D1957&lt;&gt;D1958,D1958,"")</f>
        <v/>
      </c>
      <c r="M1958" s="1" t="str">
        <f aca="false">IF(F1957&lt;&gt;F1958,F1958,"")</f>
        <v/>
      </c>
    </row>
    <row r="1959" customFormat="false" ht="15" hidden="false" customHeight="false" outlineLevel="0" collapsed="false">
      <c r="A1959" s="1" t="s">
        <v>37</v>
      </c>
      <c r="B1959" s="1" t="s">
        <v>38</v>
      </c>
      <c r="C1959" s="1" t="s">
        <v>870</v>
      </c>
      <c r="D1959" s="1" t="s">
        <v>871</v>
      </c>
      <c r="E1959" s="1" t="n">
        <v>20171</v>
      </c>
      <c r="F1959" s="1" t="s">
        <v>18</v>
      </c>
      <c r="G1959" s="1" t="s">
        <v>127</v>
      </c>
      <c r="H1959" s="1" t="n">
        <v>2</v>
      </c>
      <c r="I1959" s="1" t="n">
        <v>0</v>
      </c>
      <c r="J1959" s="1" t="n">
        <v>20201</v>
      </c>
      <c r="L1959" s="1" t="str">
        <f aca="false">IF(D1958&lt;&gt;D1959,D1959,"")</f>
        <v/>
      </c>
      <c r="M1959" s="1" t="str">
        <f aca="false">IF(F1958&lt;&gt;F1959,F1959,"")</f>
        <v/>
      </c>
    </row>
    <row r="1960" customFormat="false" ht="15" hidden="false" customHeight="false" outlineLevel="0" collapsed="false">
      <c r="A1960" s="1" t="s">
        <v>579</v>
      </c>
      <c r="B1960" s="1" t="s">
        <v>580</v>
      </c>
      <c r="C1960" s="1" t="s">
        <v>870</v>
      </c>
      <c r="D1960" s="1" t="s">
        <v>871</v>
      </c>
      <c r="E1960" s="1" t="n">
        <v>20171</v>
      </c>
      <c r="F1960" s="1" t="s">
        <v>18</v>
      </c>
      <c r="G1960" s="1" t="s">
        <v>30</v>
      </c>
      <c r="H1960" s="1" t="n">
        <v>1.5</v>
      </c>
      <c r="I1960" s="1" t="n">
        <v>0</v>
      </c>
      <c r="J1960" s="1" t="n">
        <v>20201</v>
      </c>
      <c r="L1960" s="1" t="str">
        <f aca="false">IF(D1959&lt;&gt;D1960,D1960,"")</f>
        <v/>
      </c>
      <c r="M1960" s="1" t="str">
        <f aca="false">IF(F1959&lt;&gt;F1960,F1960,"")</f>
        <v/>
      </c>
    </row>
    <row r="1961" customFormat="false" ht="15" hidden="false" customHeight="false" outlineLevel="0" collapsed="false">
      <c r="A1961" s="1" t="s">
        <v>136</v>
      </c>
      <c r="B1961" s="1" t="s">
        <v>137</v>
      </c>
      <c r="C1961" s="1" t="s">
        <v>870</v>
      </c>
      <c r="D1961" s="1" t="s">
        <v>871</v>
      </c>
      <c r="E1961" s="1" t="n">
        <v>20171</v>
      </c>
      <c r="F1961" s="1" t="s">
        <v>18</v>
      </c>
      <c r="G1961" s="1" t="s">
        <v>124</v>
      </c>
      <c r="H1961" s="1" t="n">
        <v>0</v>
      </c>
      <c r="I1961" s="1" t="n">
        <v>0</v>
      </c>
      <c r="J1961" s="1" t="n">
        <v>20201</v>
      </c>
      <c r="L1961" s="1" t="str">
        <f aca="false">IF(D1960&lt;&gt;D1961,D1961,"")</f>
        <v/>
      </c>
      <c r="M1961" s="1" t="str">
        <f aca="false">IF(F1960&lt;&gt;F1961,F1961,"")</f>
        <v/>
      </c>
    </row>
    <row r="1962" customFormat="false" ht="15" hidden="false" customHeight="false" outlineLevel="0" collapsed="false">
      <c r="A1962" s="1" t="s">
        <v>138</v>
      </c>
      <c r="B1962" s="1" t="s">
        <v>139</v>
      </c>
      <c r="C1962" s="1" t="s">
        <v>870</v>
      </c>
      <c r="D1962" s="1" t="s">
        <v>871</v>
      </c>
      <c r="E1962" s="1" t="n">
        <v>20171</v>
      </c>
      <c r="F1962" s="1" t="s">
        <v>18</v>
      </c>
      <c r="G1962" s="1" t="s">
        <v>124</v>
      </c>
      <c r="H1962" s="1" t="n">
        <v>0</v>
      </c>
      <c r="I1962" s="1" t="n">
        <v>0</v>
      </c>
      <c r="J1962" s="1" t="n">
        <v>20201</v>
      </c>
      <c r="L1962" s="1" t="str">
        <f aca="false">IF(D1961&lt;&gt;D1962,D1962,"")</f>
        <v/>
      </c>
      <c r="M1962" s="1" t="str">
        <f aca="false">IF(F1961&lt;&gt;F1962,F1962,"")</f>
        <v/>
      </c>
    </row>
    <row r="1963" customFormat="false" ht="15" hidden="false" customHeight="false" outlineLevel="0" collapsed="false">
      <c r="A1963" s="1" t="s">
        <v>144</v>
      </c>
      <c r="B1963" s="1" t="s">
        <v>145</v>
      </c>
      <c r="C1963" s="1" t="s">
        <v>870</v>
      </c>
      <c r="D1963" s="1" t="s">
        <v>871</v>
      </c>
      <c r="E1963" s="1" t="n">
        <v>20171</v>
      </c>
      <c r="F1963" s="1" t="s">
        <v>18</v>
      </c>
      <c r="G1963" s="1" t="s">
        <v>124</v>
      </c>
      <c r="H1963" s="1" t="n">
        <v>0</v>
      </c>
      <c r="I1963" s="1" t="n">
        <v>0</v>
      </c>
      <c r="J1963" s="1" t="n">
        <v>20201</v>
      </c>
      <c r="L1963" s="1" t="str">
        <f aca="false">IF(D1962&lt;&gt;D1963,D1963,"")</f>
        <v/>
      </c>
      <c r="M1963" s="1" t="str">
        <f aca="false">IF(F1962&lt;&gt;F1963,F1963,"")</f>
        <v/>
      </c>
    </row>
    <row r="1964" customFormat="false" ht="15" hidden="false" customHeight="false" outlineLevel="0" collapsed="false">
      <c r="A1964" s="1" t="s">
        <v>51</v>
      </c>
      <c r="B1964" s="1" t="s">
        <v>52</v>
      </c>
      <c r="C1964" s="1" t="s">
        <v>870</v>
      </c>
      <c r="D1964" s="1" t="s">
        <v>871</v>
      </c>
      <c r="E1964" s="1" t="n">
        <v>20171</v>
      </c>
      <c r="F1964" s="1" t="s">
        <v>18</v>
      </c>
      <c r="G1964" s="1" t="s">
        <v>127</v>
      </c>
      <c r="H1964" s="1" t="n">
        <v>2</v>
      </c>
      <c r="I1964" s="1" t="n">
        <v>0</v>
      </c>
      <c r="J1964" s="1" t="n">
        <v>20201</v>
      </c>
      <c r="L1964" s="1" t="str">
        <f aca="false">IF(D1963&lt;&gt;D1964,D1964,"")</f>
        <v/>
      </c>
      <c r="M1964" s="1" t="str">
        <f aca="false">IF(F1963&lt;&gt;F1964,F1964,"")</f>
        <v/>
      </c>
    </row>
    <row r="1965" customFormat="false" ht="15" hidden="false" customHeight="false" outlineLevel="0" collapsed="false">
      <c r="A1965" s="1" t="s">
        <v>146</v>
      </c>
      <c r="B1965" s="1" t="s">
        <v>147</v>
      </c>
      <c r="C1965" s="1" t="s">
        <v>870</v>
      </c>
      <c r="D1965" s="1" t="s">
        <v>871</v>
      </c>
      <c r="E1965" s="1" t="n">
        <v>20171</v>
      </c>
      <c r="F1965" s="1" t="s">
        <v>18</v>
      </c>
      <c r="G1965" s="1" t="s">
        <v>127</v>
      </c>
      <c r="H1965" s="1" t="n">
        <v>2</v>
      </c>
      <c r="I1965" s="1" t="n">
        <v>0</v>
      </c>
      <c r="J1965" s="1" t="n">
        <v>20201</v>
      </c>
      <c r="L1965" s="1" t="str">
        <f aca="false">IF(D1964&lt;&gt;D1965,D1965,"")</f>
        <v/>
      </c>
      <c r="M1965" s="1" t="str">
        <f aca="false">IF(F1964&lt;&gt;F1965,F1965,"")</f>
        <v/>
      </c>
    </row>
    <row r="1966" customFormat="false" ht="15" hidden="false" customHeight="false" outlineLevel="0" collapsed="false">
      <c r="A1966" s="1" t="s">
        <v>59</v>
      </c>
      <c r="B1966" s="1" t="s">
        <v>60</v>
      </c>
      <c r="C1966" s="1" t="s">
        <v>870</v>
      </c>
      <c r="D1966" s="1" t="s">
        <v>871</v>
      </c>
      <c r="E1966" s="1" t="n">
        <v>20171</v>
      </c>
      <c r="F1966" s="1" t="s">
        <v>18</v>
      </c>
      <c r="G1966" s="1" t="s">
        <v>127</v>
      </c>
      <c r="H1966" s="1" t="n">
        <v>2</v>
      </c>
      <c r="I1966" s="1" t="n">
        <v>0</v>
      </c>
      <c r="J1966" s="1" t="n">
        <v>20201</v>
      </c>
      <c r="L1966" s="1" t="str">
        <f aca="false">IF(D1965&lt;&gt;D1966,D1966,"")</f>
        <v/>
      </c>
      <c r="M1966" s="1" t="str">
        <f aca="false">IF(F1965&lt;&gt;F1966,F1966,"")</f>
        <v/>
      </c>
    </row>
    <row r="1967" customFormat="false" ht="15" hidden="false" customHeight="false" outlineLevel="0" collapsed="false">
      <c r="A1967" s="1" t="s">
        <v>152</v>
      </c>
      <c r="B1967" s="1" t="s">
        <v>153</v>
      </c>
      <c r="C1967" s="1" t="s">
        <v>870</v>
      </c>
      <c r="D1967" s="1" t="s">
        <v>871</v>
      </c>
      <c r="E1967" s="1" t="n">
        <v>20171</v>
      </c>
      <c r="F1967" s="1" t="s">
        <v>18</v>
      </c>
      <c r="G1967" s="1" t="s">
        <v>127</v>
      </c>
      <c r="H1967" s="1" t="n">
        <v>2</v>
      </c>
      <c r="I1967" s="1" t="n">
        <v>0</v>
      </c>
      <c r="J1967" s="1" t="n">
        <v>20201</v>
      </c>
      <c r="L1967" s="1" t="str">
        <f aca="false">IF(D1966&lt;&gt;D1967,D1967,"")</f>
        <v/>
      </c>
      <c r="M1967" s="1" t="str">
        <f aca="false">IF(F1966&lt;&gt;F1967,F1967,"")</f>
        <v/>
      </c>
    </row>
    <row r="1968" customFormat="false" ht="15" hidden="false" customHeight="false" outlineLevel="0" collapsed="false">
      <c r="A1968" s="1" t="s">
        <v>67</v>
      </c>
      <c r="B1968" s="1" t="s">
        <v>68</v>
      </c>
      <c r="C1968" s="1" t="s">
        <v>870</v>
      </c>
      <c r="D1968" s="1" t="s">
        <v>871</v>
      </c>
      <c r="E1968" s="1" t="n">
        <v>20171</v>
      </c>
      <c r="F1968" s="1" t="s">
        <v>18</v>
      </c>
      <c r="G1968" s="1" t="s">
        <v>30</v>
      </c>
      <c r="H1968" s="1" t="n">
        <v>1.5</v>
      </c>
      <c r="I1968" s="1" t="n">
        <v>0</v>
      </c>
      <c r="J1968" s="1" t="n">
        <v>20201</v>
      </c>
      <c r="L1968" s="1" t="str">
        <f aca="false">IF(D1967&lt;&gt;D1968,D1968,"")</f>
        <v/>
      </c>
      <c r="M1968" s="1" t="str">
        <f aca="false">IF(F1967&lt;&gt;F1968,F1968,"")</f>
        <v/>
      </c>
    </row>
    <row r="1969" customFormat="false" ht="15" hidden="false" customHeight="false" outlineLevel="0" collapsed="false">
      <c r="A1969" s="1" t="s">
        <v>164</v>
      </c>
      <c r="B1969" s="1" t="s">
        <v>165</v>
      </c>
      <c r="C1969" s="1" t="s">
        <v>870</v>
      </c>
      <c r="D1969" s="1" t="s">
        <v>871</v>
      </c>
      <c r="E1969" s="1" t="n">
        <v>20171</v>
      </c>
      <c r="F1969" s="1" t="s">
        <v>18</v>
      </c>
      <c r="G1969" s="1" t="s">
        <v>124</v>
      </c>
      <c r="H1969" s="1" t="n">
        <v>0</v>
      </c>
      <c r="I1969" s="1" t="n">
        <v>0</v>
      </c>
      <c r="J1969" s="1" t="n">
        <v>20201</v>
      </c>
      <c r="L1969" s="1" t="str">
        <f aca="false">IF(D1968&lt;&gt;D1969,D1969,"")</f>
        <v/>
      </c>
      <c r="M1969" s="1" t="str">
        <f aca="false">IF(F1968&lt;&gt;F1969,F1969,"")</f>
        <v/>
      </c>
    </row>
    <row r="1970" customFormat="false" ht="15" hidden="false" customHeight="false" outlineLevel="0" collapsed="false">
      <c r="A1970" s="1" t="s">
        <v>75</v>
      </c>
      <c r="B1970" s="1" t="s">
        <v>76</v>
      </c>
      <c r="C1970" s="1" t="s">
        <v>870</v>
      </c>
      <c r="D1970" s="1" t="s">
        <v>871</v>
      </c>
      <c r="E1970" s="1" t="n">
        <v>20171</v>
      </c>
      <c r="F1970" s="1" t="s">
        <v>18</v>
      </c>
      <c r="G1970" s="1" t="s">
        <v>514</v>
      </c>
      <c r="H1970" s="1" t="n">
        <v>1</v>
      </c>
      <c r="I1970" s="1" t="n">
        <v>0</v>
      </c>
      <c r="J1970" s="1" t="n">
        <v>20201</v>
      </c>
      <c r="L1970" s="1" t="str">
        <f aca="false">IF(D1969&lt;&gt;D1970,D1970,"")</f>
        <v/>
      </c>
      <c r="M1970" s="1" t="str">
        <f aca="false">IF(F1969&lt;&gt;F1970,F1970,"")</f>
        <v/>
      </c>
    </row>
    <row r="1971" customFormat="false" ht="15" hidden="false" customHeight="false" outlineLevel="0" collapsed="false">
      <c r="A1971" s="1" t="s">
        <v>166</v>
      </c>
      <c r="B1971" s="1" t="s">
        <v>167</v>
      </c>
      <c r="C1971" s="1" t="s">
        <v>870</v>
      </c>
      <c r="D1971" s="1" t="s">
        <v>871</v>
      </c>
      <c r="E1971" s="1" t="n">
        <v>20171</v>
      </c>
      <c r="F1971" s="1" t="s">
        <v>18</v>
      </c>
      <c r="G1971" s="1" t="s">
        <v>30</v>
      </c>
      <c r="H1971" s="1" t="n">
        <v>1.5</v>
      </c>
      <c r="I1971" s="1" t="n">
        <v>0</v>
      </c>
      <c r="J1971" s="1" t="n">
        <v>20201</v>
      </c>
      <c r="L1971" s="1" t="str">
        <f aca="false">IF(D1970&lt;&gt;D1971,D1971,"")</f>
        <v/>
      </c>
      <c r="M1971" s="1" t="str">
        <f aca="false">IF(F1970&lt;&gt;F1971,F1971,"")</f>
        <v/>
      </c>
    </row>
    <row r="1972" customFormat="false" ht="15" hidden="false" customHeight="false" outlineLevel="0" collapsed="false">
      <c r="A1972" s="1" t="s">
        <v>174</v>
      </c>
      <c r="B1972" s="1" t="s">
        <v>175</v>
      </c>
      <c r="C1972" s="1" t="s">
        <v>870</v>
      </c>
      <c r="D1972" s="1" t="s">
        <v>871</v>
      </c>
      <c r="E1972" s="1" t="n">
        <v>20171</v>
      </c>
      <c r="F1972" s="1" t="s">
        <v>18</v>
      </c>
      <c r="G1972" s="1" t="s">
        <v>124</v>
      </c>
      <c r="H1972" s="1" t="n">
        <v>0</v>
      </c>
      <c r="I1972" s="1" t="n">
        <v>0</v>
      </c>
      <c r="J1972" s="1" t="n">
        <v>20201</v>
      </c>
      <c r="L1972" s="1" t="str">
        <f aca="false">IF(D1971&lt;&gt;D1972,D1972,"")</f>
        <v/>
      </c>
      <c r="M1972" s="1" t="str">
        <f aca="false">IF(F1971&lt;&gt;F1972,F1972,"")</f>
        <v/>
      </c>
    </row>
    <row r="1973" customFormat="false" ht="15" hidden="false" customHeight="false" outlineLevel="0" collapsed="false">
      <c r="A1973" s="1" t="s">
        <v>81</v>
      </c>
      <c r="B1973" s="1" t="s">
        <v>82</v>
      </c>
      <c r="C1973" s="1" t="s">
        <v>870</v>
      </c>
      <c r="D1973" s="1" t="s">
        <v>871</v>
      </c>
      <c r="E1973" s="1" t="n">
        <v>20171</v>
      </c>
      <c r="F1973" s="1" t="s">
        <v>18</v>
      </c>
      <c r="G1973" s="1" t="s">
        <v>101</v>
      </c>
      <c r="H1973" s="1" t="n">
        <v>2.5</v>
      </c>
      <c r="I1973" s="1" t="n">
        <v>0</v>
      </c>
      <c r="J1973" s="1" t="n">
        <v>20201</v>
      </c>
      <c r="L1973" s="1" t="str">
        <f aca="false">IF(D1972&lt;&gt;D1973,D1973,"")</f>
        <v/>
      </c>
      <c r="M1973" s="1" t="str">
        <f aca="false">IF(F1972&lt;&gt;F1973,F1973,"")</f>
        <v/>
      </c>
    </row>
    <row r="1974" customFormat="false" ht="15" hidden="false" customHeight="false" outlineLevel="0" collapsed="false">
      <c r="A1974" s="1" t="s">
        <v>176</v>
      </c>
      <c r="B1974" s="1" t="s">
        <v>177</v>
      </c>
      <c r="C1974" s="1" t="s">
        <v>870</v>
      </c>
      <c r="D1974" s="1" t="s">
        <v>871</v>
      </c>
      <c r="E1974" s="1" t="n">
        <v>20171</v>
      </c>
      <c r="F1974" s="1" t="s">
        <v>18</v>
      </c>
      <c r="G1974" s="1" t="s">
        <v>101</v>
      </c>
      <c r="H1974" s="1" t="n">
        <v>2.5</v>
      </c>
      <c r="I1974" s="1" t="n">
        <v>0</v>
      </c>
      <c r="J1974" s="1" t="n">
        <v>20201</v>
      </c>
      <c r="L1974" s="1" t="str">
        <f aca="false">IF(D1973&lt;&gt;D1974,D1974,"")</f>
        <v/>
      </c>
      <c r="M1974" s="1" t="str">
        <f aca="false">IF(F1973&lt;&gt;F1974,F1974,"")</f>
        <v/>
      </c>
    </row>
    <row r="1975" customFormat="false" ht="15" hidden="false" customHeight="false" outlineLevel="0" collapsed="false">
      <c r="A1975" s="1" t="s">
        <v>87</v>
      </c>
      <c r="B1975" s="1" t="s">
        <v>88</v>
      </c>
      <c r="C1975" s="1" t="s">
        <v>870</v>
      </c>
      <c r="D1975" s="1" t="s">
        <v>871</v>
      </c>
      <c r="E1975" s="1" t="n">
        <v>20171</v>
      </c>
      <c r="F1975" s="1" t="s">
        <v>18</v>
      </c>
      <c r="G1975" s="1" t="s">
        <v>127</v>
      </c>
      <c r="H1975" s="1" t="n">
        <v>2</v>
      </c>
      <c r="I1975" s="1" t="n">
        <v>0</v>
      </c>
      <c r="J1975" s="1" t="n">
        <v>20201</v>
      </c>
      <c r="L1975" s="1" t="str">
        <f aca="false">IF(D1974&lt;&gt;D1975,D1975,"")</f>
        <v/>
      </c>
      <c r="M1975" s="1" t="str">
        <f aca="false">IF(F1974&lt;&gt;F1975,F1975,"")</f>
        <v/>
      </c>
    </row>
    <row r="1976" customFormat="false" ht="15" hidden="false" customHeight="false" outlineLevel="0" collapsed="false">
      <c r="A1976" s="1" t="s">
        <v>182</v>
      </c>
      <c r="B1976" s="1" t="s">
        <v>183</v>
      </c>
      <c r="C1976" s="1" t="s">
        <v>870</v>
      </c>
      <c r="D1976" s="1" t="s">
        <v>871</v>
      </c>
      <c r="E1976" s="1" t="n">
        <v>20171</v>
      </c>
      <c r="F1976" s="1" t="s">
        <v>18</v>
      </c>
      <c r="G1976" s="1" t="s">
        <v>18</v>
      </c>
      <c r="H1976" s="1" t="n">
        <v>3</v>
      </c>
      <c r="I1976" s="1" t="n">
        <v>0</v>
      </c>
      <c r="J1976" s="1" t="n">
        <v>20201</v>
      </c>
      <c r="L1976" s="1" t="str">
        <f aca="false">IF(D1975&lt;&gt;D1976,D1976,"")</f>
        <v/>
      </c>
      <c r="M1976" s="1" t="str">
        <f aca="false">IF(F1975&lt;&gt;F1976,F1976,"")</f>
        <v/>
      </c>
    </row>
    <row r="1977" customFormat="false" ht="15" hidden="false" customHeight="false" outlineLevel="0" collapsed="false">
      <c r="A1977" s="1" t="s">
        <v>190</v>
      </c>
      <c r="B1977" s="1" t="s">
        <v>191</v>
      </c>
      <c r="C1977" s="1" t="s">
        <v>870</v>
      </c>
      <c r="D1977" s="1" t="s">
        <v>871</v>
      </c>
      <c r="E1977" s="1" t="n">
        <v>20171</v>
      </c>
      <c r="F1977" s="1" t="s">
        <v>18</v>
      </c>
      <c r="G1977" s="1" t="s">
        <v>18</v>
      </c>
      <c r="H1977" s="1" t="n">
        <v>3</v>
      </c>
      <c r="I1977" s="1" t="n">
        <v>0</v>
      </c>
      <c r="J1977" s="1" t="n">
        <v>20201</v>
      </c>
      <c r="L1977" s="1" t="str">
        <f aca="false">IF(D1976&lt;&gt;D1977,D1977,"")</f>
        <v/>
      </c>
      <c r="M1977" s="1" t="str">
        <f aca="false">IF(F1976&lt;&gt;F1977,F1977,"")</f>
        <v/>
      </c>
    </row>
    <row r="1978" customFormat="false" ht="15" hidden="false" customHeight="false" outlineLevel="0" collapsed="false">
      <c r="A1978" s="1" t="s">
        <v>97</v>
      </c>
      <c r="B1978" s="1" t="s">
        <v>98</v>
      </c>
      <c r="C1978" s="1" t="s">
        <v>870</v>
      </c>
      <c r="D1978" s="1" t="s">
        <v>871</v>
      </c>
      <c r="E1978" s="1" t="n">
        <v>20171</v>
      </c>
      <c r="F1978" s="1" t="s">
        <v>18</v>
      </c>
      <c r="G1978" s="1" t="s">
        <v>18</v>
      </c>
      <c r="H1978" s="1" t="n">
        <v>3</v>
      </c>
      <c r="I1978" s="1" t="n">
        <v>0</v>
      </c>
      <c r="J1978" s="1" t="n">
        <v>20201</v>
      </c>
      <c r="L1978" s="1" t="str">
        <f aca="false">IF(D1977&lt;&gt;D1978,D1978,"")</f>
        <v/>
      </c>
      <c r="M1978" s="1" t="str">
        <f aca="false">IF(F1977&lt;&gt;F1978,F1978,"")</f>
        <v/>
      </c>
    </row>
    <row r="1979" customFormat="false" ht="15" hidden="false" customHeight="false" outlineLevel="0" collapsed="false">
      <c r="A1979" s="1" t="s">
        <v>192</v>
      </c>
      <c r="B1979" s="1" t="s">
        <v>193</v>
      </c>
      <c r="C1979" s="1" t="s">
        <v>870</v>
      </c>
      <c r="D1979" s="1" t="s">
        <v>871</v>
      </c>
      <c r="E1979" s="1" t="n">
        <v>20171</v>
      </c>
      <c r="F1979" s="1" t="s">
        <v>18</v>
      </c>
      <c r="G1979" s="1" t="s">
        <v>18</v>
      </c>
      <c r="H1979" s="1" t="n">
        <v>3</v>
      </c>
      <c r="I1979" s="1" t="n">
        <v>0</v>
      </c>
      <c r="J1979" s="1" t="n">
        <v>20201</v>
      </c>
      <c r="L1979" s="1" t="str">
        <f aca="false">IF(D1978&lt;&gt;D1979,D1979,"")</f>
        <v/>
      </c>
      <c r="M1979" s="1" t="str">
        <f aca="false">IF(F1978&lt;&gt;F1979,F1979,"")</f>
        <v/>
      </c>
    </row>
    <row r="1980" customFormat="false" ht="15" hidden="false" customHeight="false" outlineLevel="0" collapsed="false">
      <c r="A1980" s="1" t="s">
        <v>16</v>
      </c>
      <c r="B1980" s="1" t="s">
        <v>17</v>
      </c>
      <c r="C1980" s="1" t="s">
        <v>870</v>
      </c>
      <c r="D1980" s="1" t="s">
        <v>871</v>
      </c>
      <c r="E1980" s="1" t="n">
        <v>20171</v>
      </c>
      <c r="F1980" s="1" t="s">
        <v>127</v>
      </c>
      <c r="G1980" s="1" t="s">
        <v>30</v>
      </c>
      <c r="H1980" s="1" t="n">
        <v>1.5</v>
      </c>
      <c r="I1980" s="1" t="n">
        <v>0</v>
      </c>
      <c r="J1980" s="1" t="n">
        <v>20201</v>
      </c>
      <c r="L1980" s="1" t="str">
        <f aca="false">IF(D1979&lt;&gt;D1980,D1980,"")</f>
        <v/>
      </c>
      <c r="M1980" s="1" t="str">
        <f aca="false">IF(F1979&lt;&gt;F1980,F1980,"")</f>
        <v>C</v>
      </c>
    </row>
    <row r="1981" customFormat="false" ht="15" hidden="false" customHeight="false" outlineLevel="0" collapsed="false">
      <c r="A1981" s="1" t="s">
        <v>21</v>
      </c>
      <c r="B1981" s="1" t="s">
        <v>22</v>
      </c>
      <c r="C1981" s="1" t="s">
        <v>870</v>
      </c>
      <c r="D1981" s="1" t="s">
        <v>871</v>
      </c>
      <c r="E1981" s="1" t="n">
        <v>20171</v>
      </c>
      <c r="F1981" s="1" t="s">
        <v>127</v>
      </c>
      <c r="G1981" s="1" t="s">
        <v>514</v>
      </c>
      <c r="H1981" s="1" t="n">
        <v>1</v>
      </c>
      <c r="I1981" s="1" t="n">
        <v>0</v>
      </c>
      <c r="J1981" s="1" t="n">
        <v>20201</v>
      </c>
      <c r="L1981" s="1" t="str">
        <f aca="false">IF(D1980&lt;&gt;D1981,D1981,"")</f>
        <v/>
      </c>
      <c r="M1981" s="1" t="str">
        <f aca="false">IF(F1980&lt;&gt;F1981,F1981,"")</f>
        <v/>
      </c>
    </row>
    <row r="1982" customFormat="false" ht="15" hidden="false" customHeight="false" outlineLevel="0" collapsed="false">
      <c r="A1982" s="1" t="s">
        <v>233</v>
      </c>
      <c r="B1982" s="1" t="s">
        <v>234</v>
      </c>
      <c r="C1982" s="1" t="s">
        <v>870</v>
      </c>
      <c r="D1982" s="1" t="s">
        <v>871</v>
      </c>
      <c r="E1982" s="1" t="n">
        <v>20171</v>
      </c>
      <c r="F1982" s="1" t="s">
        <v>127</v>
      </c>
      <c r="G1982" s="1" t="s">
        <v>23</v>
      </c>
      <c r="H1982" s="1" t="n">
        <v>0</v>
      </c>
      <c r="I1982" s="1" t="n">
        <v>0</v>
      </c>
      <c r="J1982" s="1" t="n">
        <v>20201</v>
      </c>
      <c r="L1982" s="1" t="str">
        <f aca="false">IF(D1981&lt;&gt;D1982,D1982,"")</f>
        <v/>
      </c>
      <c r="M1982" s="1" t="str">
        <f aca="false">IF(F1981&lt;&gt;F1982,F1982,"")</f>
        <v/>
      </c>
    </row>
    <row r="1983" customFormat="false" ht="15" hidden="false" customHeight="false" outlineLevel="0" collapsed="false">
      <c r="A1983" s="1" t="s">
        <v>28</v>
      </c>
      <c r="B1983" s="1" t="s">
        <v>29</v>
      </c>
      <c r="C1983" s="1" t="s">
        <v>870</v>
      </c>
      <c r="D1983" s="1" t="s">
        <v>871</v>
      </c>
      <c r="E1983" s="1" t="n">
        <v>20171</v>
      </c>
      <c r="F1983" s="1" t="s">
        <v>127</v>
      </c>
      <c r="G1983" s="1" t="s">
        <v>30</v>
      </c>
      <c r="H1983" s="1" t="n">
        <v>1.5</v>
      </c>
      <c r="I1983" s="1" t="n">
        <v>0</v>
      </c>
      <c r="J1983" s="1" t="n">
        <v>20201</v>
      </c>
      <c r="L1983" s="1" t="str">
        <f aca="false">IF(D1982&lt;&gt;D1983,D1983,"")</f>
        <v/>
      </c>
      <c r="M1983" s="1" t="str">
        <f aca="false">IF(F1982&lt;&gt;F1983,F1983,"")</f>
        <v/>
      </c>
    </row>
    <row r="1984" customFormat="false" ht="15" hidden="false" customHeight="false" outlineLevel="0" collapsed="false">
      <c r="A1984" s="1" t="s">
        <v>120</v>
      </c>
      <c r="B1984" s="1" t="s">
        <v>121</v>
      </c>
      <c r="C1984" s="1" t="s">
        <v>870</v>
      </c>
      <c r="D1984" s="1" t="s">
        <v>871</v>
      </c>
      <c r="E1984" s="1" t="n">
        <v>20171</v>
      </c>
      <c r="F1984" s="1" t="s">
        <v>127</v>
      </c>
      <c r="G1984" s="1" t="s">
        <v>127</v>
      </c>
      <c r="H1984" s="1" t="n">
        <v>2</v>
      </c>
      <c r="I1984" s="1" t="n">
        <v>0</v>
      </c>
      <c r="J1984" s="1" t="n">
        <v>20201</v>
      </c>
      <c r="L1984" s="1" t="str">
        <f aca="false">IF(D1983&lt;&gt;D1984,D1984,"")</f>
        <v/>
      </c>
      <c r="M1984" s="1" t="str">
        <f aca="false">IF(F1983&lt;&gt;F1984,F1984,"")</f>
        <v/>
      </c>
    </row>
    <row r="1985" customFormat="false" ht="15" hidden="false" customHeight="false" outlineLevel="0" collapsed="false">
      <c r="A1985" s="1" t="s">
        <v>31</v>
      </c>
      <c r="B1985" s="1" t="s">
        <v>32</v>
      </c>
      <c r="C1985" s="1" t="s">
        <v>870</v>
      </c>
      <c r="D1985" s="1" t="s">
        <v>871</v>
      </c>
      <c r="E1985" s="1" t="n">
        <v>20171</v>
      </c>
      <c r="F1985" s="1" t="s">
        <v>127</v>
      </c>
      <c r="G1985" s="1" t="s">
        <v>18</v>
      </c>
      <c r="H1985" s="1" t="n">
        <v>3</v>
      </c>
      <c r="I1985" s="1" t="n">
        <v>0</v>
      </c>
      <c r="J1985" s="1" t="n">
        <v>20201</v>
      </c>
      <c r="L1985" s="1" t="str">
        <f aca="false">IF(D1984&lt;&gt;D1985,D1985,"")</f>
        <v/>
      </c>
      <c r="M1985" s="1" t="str">
        <f aca="false">IF(F1984&lt;&gt;F1985,F1985,"")</f>
        <v/>
      </c>
    </row>
    <row r="1986" customFormat="false" ht="15" hidden="false" customHeight="false" outlineLevel="0" collapsed="false">
      <c r="A1986" s="1" t="s">
        <v>39</v>
      </c>
      <c r="B1986" s="1" t="s">
        <v>40</v>
      </c>
      <c r="C1986" s="1" t="s">
        <v>870</v>
      </c>
      <c r="D1986" s="1" t="s">
        <v>871</v>
      </c>
      <c r="E1986" s="1" t="n">
        <v>20171</v>
      </c>
      <c r="F1986" s="1" t="s">
        <v>127</v>
      </c>
      <c r="G1986" s="1" t="s">
        <v>15</v>
      </c>
      <c r="H1986" s="1" t="n">
        <v>3.5</v>
      </c>
      <c r="I1986" s="1" t="n">
        <v>0</v>
      </c>
      <c r="J1986" s="1" t="n">
        <v>20201</v>
      </c>
      <c r="L1986" s="1" t="str">
        <f aca="false">IF(D1985&lt;&gt;D1986,D1986,"")</f>
        <v/>
      </c>
      <c r="M1986" s="1" t="str">
        <f aca="false">IF(F1985&lt;&gt;F1986,F1986,"")</f>
        <v/>
      </c>
    </row>
    <row r="1987" customFormat="false" ht="15" hidden="false" customHeight="false" outlineLevel="0" collapsed="false">
      <c r="A1987" s="1" t="s">
        <v>130</v>
      </c>
      <c r="B1987" s="1" t="s">
        <v>131</v>
      </c>
      <c r="C1987" s="1" t="s">
        <v>870</v>
      </c>
      <c r="D1987" s="1" t="s">
        <v>871</v>
      </c>
      <c r="E1987" s="1" t="n">
        <v>20171</v>
      </c>
      <c r="F1987" s="1" t="s">
        <v>127</v>
      </c>
      <c r="G1987" s="1" t="s">
        <v>23</v>
      </c>
      <c r="H1987" s="1" t="n">
        <v>0</v>
      </c>
      <c r="I1987" s="1" t="n">
        <v>0</v>
      </c>
      <c r="J1987" s="1" t="n">
        <v>20201</v>
      </c>
      <c r="L1987" s="1" t="str">
        <f aca="false">IF(D1986&lt;&gt;D1987,D1987,"")</f>
        <v/>
      </c>
      <c r="M1987" s="1" t="str">
        <f aca="false">IF(F1986&lt;&gt;F1987,F1987,"")</f>
        <v/>
      </c>
    </row>
    <row r="1988" customFormat="false" ht="15" hidden="false" customHeight="false" outlineLevel="0" collapsed="false">
      <c r="A1988" s="1" t="s">
        <v>45</v>
      </c>
      <c r="B1988" s="1" t="s">
        <v>46</v>
      </c>
      <c r="C1988" s="1" t="s">
        <v>870</v>
      </c>
      <c r="D1988" s="1" t="s">
        <v>871</v>
      </c>
      <c r="E1988" s="1" t="n">
        <v>20171</v>
      </c>
      <c r="F1988" s="1" t="s">
        <v>127</v>
      </c>
      <c r="G1988" s="1" t="s">
        <v>14</v>
      </c>
      <c r="H1988" s="1" t="n">
        <v>4</v>
      </c>
      <c r="I1988" s="1" t="n">
        <v>0</v>
      </c>
      <c r="J1988" s="1" t="n">
        <v>20201</v>
      </c>
      <c r="L1988" s="1" t="str">
        <f aca="false">IF(D1987&lt;&gt;D1988,D1988,"")</f>
        <v/>
      </c>
      <c r="M1988" s="1" t="str">
        <f aca="false">IF(F1987&lt;&gt;F1988,F1988,"")</f>
        <v/>
      </c>
    </row>
    <row r="1989" customFormat="false" ht="15" hidden="false" customHeight="false" outlineLevel="0" collapsed="false">
      <c r="A1989" s="1" t="s">
        <v>140</v>
      </c>
      <c r="B1989" s="1" t="s">
        <v>141</v>
      </c>
      <c r="C1989" s="1" t="s">
        <v>870</v>
      </c>
      <c r="D1989" s="1" t="s">
        <v>871</v>
      </c>
      <c r="E1989" s="1" t="n">
        <v>20171</v>
      </c>
      <c r="F1989" s="1" t="s">
        <v>127</v>
      </c>
      <c r="G1989" s="1" t="s">
        <v>15</v>
      </c>
      <c r="H1989" s="1" t="n">
        <v>3.5</v>
      </c>
      <c r="I1989" s="1" t="n">
        <v>0</v>
      </c>
      <c r="J1989" s="1" t="n">
        <v>20201</v>
      </c>
      <c r="L1989" s="1" t="str">
        <f aca="false">IF(D1988&lt;&gt;D1989,D1989,"")</f>
        <v/>
      </c>
      <c r="M1989" s="1" t="str">
        <f aca="false">IF(F1988&lt;&gt;F1989,F1989,"")</f>
        <v/>
      </c>
    </row>
    <row r="1990" customFormat="false" ht="15" hidden="false" customHeight="false" outlineLevel="0" collapsed="false">
      <c r="A1990" s="1" t="s">
        <v>47</v>
      </c>
      <c r="B1990" s="1" t="s">
        <v>48</v>
      </c>
      <c r="C1990" s="1" t="s">
        <v>870</v>
      </c>
      <c r="D1990" s="1" t="s">
        <v>871</v>
      </c>
      <c r="E1990" s="1" t="n">
        <v>20171</v>
      </c>
      <c r="F1990" s="1" t="s">
        <v>127</v>
      </c>
      <c r="G1990" s="1" t="s">
        <v>18</v>
      </c>
      <c r="H1990" s="1" t="n">
        <v>3</v>
      </c>
      <c r="I1990" s="1" t="n">
        <v>0</v>
      </c>
      <c r="J1990" s="1" t="n">
        <v>20201</v>
      </c>
      <c r="L1990" s="1" t="str">
        <f aca="false">IF(D1989&lt;&gt;D1990,D1990,"")</f>
        <v/>
      </c>
      <c r="M1990" s="1" t="str">
        <f aca="false">IF(F1989&lt;&gt;F1990,F1990,"")</f>
        <v/>
      </c>
    </row>
    <row r="1991" customFormat="false" ht="15" hidden="false" customHeight="false" outlineLevel="0" collapsed="false">
      <c r="A1991" s="1" t="s">
        <v>53</v>
      </c>
      <c r="B1991" s="1" t="s">
        <v>54</v>
      </c>
      <c r="C1991" s="1" t="s">
        <v>870</v>
      </c>
      <c r="D1991" s="1" t="s">
        <v>871</v>
      </c>
      <c r="E1991" s="1" t="n">
        <v>20171</v>
      </c>
      <c r="F1991" s="1" t="s">
        <v>127</v>
      </c>
      <c r="G1991" s="1" t="s">
        <v>101</v>
      </c>
      <c r="H1991" s="1" t="n">
        <v>2.5</v>
      </c>
      <c r="I1991" s="1" t="n">
        <v>0</v>
      </c>
      <c r="J1991" s="1" t="n">
        <v>20201</v>
      </c>
      <c r="L1991" s="1" t="str">
        <f aca="false">IF(D1990&lt;&gt;D1991,D1991,"")</f>
        <v/>
      </c>
      <c r="M1991" s="1" t="str">
        <f aca="false">IF(F1990&lt;&gt;F1991,F1991,"")</f>
        <v/>
      </c>
    </row>
    <row r="1992" customFormat="false" ht="15" hidden="false" customHeight="false" outlineLevel="0" collapsed="false">
      <c r="A1992" s="1" t="s">
        <v>55</v>
      </c>
      <c r="B1992" s="1" t="s">
        <v>56</v>
      </c>
      <c r="C1992" s="1" t="s">
        <v>870</v>
      </c>
      <c r="D1992" s="1" t="s">
        <v>871</v>
      </c>
      <c r="E1992" s="1" t="n">
        <v>20171</v>
      </c>
      <c r="F1992" s="1" t="s">
        <v>127</v>
      </c>
      <c r="G1992" s="1" t="s">
        <v>127</v>
      </c>
      <c r="H1992" s="1" t="n">
        <v>2</v>
      </c>
      <c r="I1992" s="1" t="n">
        <v>0</v>
      </c>
      <c r="J1992" s="1" t="n">
        <v>20201</v>
      </c>
      <c r="L1992" s="1" t="str">
        <f aca="false">IF(D1991&lt;&gt;D1992,D1992,"")</f>
        <v/>
      </c>
      <c r="M1992" s="1" t="str">
        <f aca="false">IF(F1991&lt;&gt;F1992,F1992,"")</f>
        <v/>
      </c>
    </row>
    <row r="1993" customFormat="false" ht="15" hidden="false" customHeight="false" outlineLevel="0" collapsed="false">
      <c r="A1993" s="1" t="s">
        <v>61</v>
      </c>
      <c r="B1993" s="1" t="s">
        <v>62</v>
      </c>
      <c r="C1993" s="1" t="s">
        <v>870</v>
      </c>
      <c r="D1993" s="1" t="s">
        <v>871</v>
      </c>
      <c r="E1993" s="1" t="n">
        <v>20171</v>
      </c>
      <c r="F1993" s="1" t="s">
        <v>127</v>
      </c>
      <c r="G1993" s="1" t="s">
        <v>101</v>
      </c>
      <c r="H1993" s="1" t="n">
        <v>2.5</v>
      </c>
      <c r="I1993" s="1" t="n">
        <v>0</v>
      </c>
      <c r="J1993" s="1" t="n">
        <v>20201</v>
      </c>
      <c r="L1993" s="1" t="str">
        <f aca="false">IF(D1992&lt;&gt;D1993,D1993,"")</f>
        <v/>
      </c>
      <c r="M1993" s="1" t="str">
        <f aca="false">IF(F1992&lt;&gt;F1993,F1993,"")</f>
        <v/>
      </c>
    </row>
    <row r="1994" customFormat="false" ht="15" hidden="false" customHeight="false" outlineLevel="0" collapsed="false">
      <c r="A1994" s="1" t="s">
        <v>154</v>
      </c>
      <c r="B1994" s="1" t="s">
        <v>155</v>
      </c>
      <c r="C1994" s="1" t="s">
        <v>870</v>
      </c>
      <c r="D1994" s="1" t="s">
        <v>871</v>
      </c>
      <c r="E1994" s="1" t="n">
        <v>20171</v>
      </c>
      <c r="F1994" s="1" t="s">
        <v>127</v>
      </c>
      <c r="G1994" s="1" t="s">
        <v>23</v>
      </c>
      <c r="H1994" s="1" t="n">
        <v>0</v>
      </c>
      <c r="I1994" s="1" t="n">
        <v>0</v>
      </c>
      <c r="J1994" s="1" t="n">
        <v>20201</v>
      </c>
      <c r="L1994" s="1" t="str">
        <f aca="false">IF(D1993&lt;&gt;D1994,D1994,"")</f>
        <v/>
      </c>
      <c r="M1994" s="1" t="str">
        <f aca="false">IF(F1993&lt;&gt;F1994,F1994,"")</f>
        <v/>
      </c>
    </row>
    <row r="1995" customFormat="false" ht="15" hidden="false" customHeight="false" outlineLevel="0" collapsed="false">
      <c r="A1995" s="1" t="s">
        <v>63</v>
      </c>
      <c r="B1995" s="1" t="s">
        <v>64</v>
      </c>
      <c r="C1995" s="1" t="s">
        <v>870</v>
      </c>
      <c r="D1995" s="1" t="s">
        <v>871</v>
      </c>
      <c r="E1995" s="1" t="n">
        <v>20171</v>
      </c>
      <c r="F1995" s="1" t="s">
        <v>127</v>
      </c>
      <c r="G1995" s="1" t="s">
        <v>14</v>
      </c>
      <c r="H1995" s="1" t="n">
        <v>4</v>
      </c>
      <c r="I1995" s="1" t="n">
        <v>0</v>
      </c>
      <c r="J1995" s="1" t="n">
        <v>20201</v>
      </c>
      <c r="L1995" s="1" t="str">
        <f aca="false">IF(D1994&lt;&gt;D1995,D1995,"")</f>
        <v/>
      </c>
      <c r="M1995" s="1" t="str">
        <f aca="false">IF(F1994&lt;&gt;F1995,F1995,"")</f>
        <v/>
      </c>
    </row>
    <row r="1996" customFormat="false" ht="15" hidden="false" customHeight="false" outlineLevel="0" collapsed="false">
      <c r="A1996" s="1" t="s">
        <v>69</v>
      </c>
      <c r="B1996" s="1" t="s">
        <v>70</v>
      </c>
      <c r="C1996" s="1" t="s">
        <v>870</v>
      </c>
      <c r="D1996" s="1" t="s">
        <v>871</v>
      </c>
      <c r="E1996" s="1" t="n">
        <v>20171</v>
      </c>
      <c r="F1996" s="1" t="s">
        <v>127</v>
      </c>
      <c r="G1996" s="1" t="s">
        <v>14</v>
      </c>
      <c r="H1996" s="1" t="n">
        <v>4</v>
      </c>
      <c r="I1996" s="1" t="n">
        <v>0</v>
      </c>
      <c r="J1996" s="1" t="n">
        <v>20201</v>
      </c>
      <c r="L1996" s="1" t="str">
        <f aca="false">IF(D1995&lt;&gt;D1996,D1996,"")</f>
        <v/>
      </c>
      <c r="M1996" s="1" t="str">
        <f aca="false">IF(F1995&lt;&gt;F1996,F1996,"")</f>
        <v/>
      </c>
    </row>
    <row r="1997" customFormat="false" ht="15" hidden="false" customHeight="false" outlineLevel="0" collapsed="false">
      <c r="A1997" s="1" t="s">
        <v>71</v>
      </c>
      <c r="B1997" s="1" t="s">
        <v>72</v>
      </c>
      <c r="C1997" s="1" t="s">
        <v>870</v>
      </c>
      <c r="D1997" s="1" t="s">
        <v>871</v>
      </c>
      <c r="E1997" s="1" t="n">
        <v>20171</v>
      </c>
      <c r="F1997" s="1" t="s">
        <v>127</v>
      </c>
      <c r="G1997" s="1" t="s">
        <v>101</v>
      </c>
      <c r="H1997" s="1" t="n">
        <v>2.5</v>
      </c>
      <c r="I1997" s="1" t="n">
        <v>0</v>
      </c>
      <c r="J1997" s="1" t="n">
        <v>20201</v>
      </c>
      <c r="L1997" s="1" t="str">
        <f aca="false">IF(D1996&lt;&gt;D1997,D1997,"")</f>
        <v/>
      </c>
      <c r="M1997" s="1" t="str">
        <f aca="false">IF(F1996&lt;&gt;F1997,F1997,"")</f>
        <v/>
      </c>
    </row>
    <row r="1998" customFormat="false" ht="15" hidden="false" customHeight="false" outlineLevel="0" collapsed="false">
      <c r="A1998" s="1" t="s">
        <v>77</v>
      </c>
      <c r="B1998" s="1" t="s">
        <v>78</v>
      </c>
      <c r="C1998" s="1" t="s">
        <v>870</v>
      </c>
      <c r="D1998" s="1" t="s">
        <v>871</v>
      </c>
      <c r="E1998" s="1" t="n">
        <v>20171</v>
      </c>
      <c r="F1998" s="1" t="s">
        <v>127</v>
      </c>
      <c r="G1998" s="1" t="s">
        <v>15</v>
      </c>
      <c r="H1998" s="1" t="n">
        <v>3.5</v>
      </c>
      <c r="I1998" s="1" t="n">
        <v>0</v>
      </c>
      <c r="J1998" s="1" t="n">
        <v>20201</v>
      </c>
      <c r="L1998" s="1" t="str">
        <f aca="false">IF(D1997&lt;&gt;D1998,D1998,"")</f>
        <v/>
      </c>
      <c r="M1998" s="1" t="str">
        <f aca="false">IF(F1997&lt;&gt;F1998,F1998,"")</f>
        <v/>
      </c>
    </row>
    <row r="1999" customFormat="false" ht="15" hidden="false" customHeight="false" outlineLevel="0" collapsed="false">
      <c r="A1999" s="1" t="s">
        <v>168</v>
      </c>
      <c r="B1999" s="1" t="s">
        <v>169</v>
      </c>
      <c r="C1999" s="1" t="s">
        <v>870</v>
      </c>
      <c r="D1999" s="1" t="s">
        <v>871</v>
      </c>
      <c r="E1999" s="1" t="n">
        <v>20171</v>
      </c>
      <c r="F1999" s="1" t="s">
        <v>127</v>
      </c>
      <c r="G1999" s="1" t="s">
        <v>23</v>
      </c>
      <c r="H1999" s="1" t="n">
        <v>0</v>
      </c>
      <c r="I1999" s="1" t="n">
        <v>0</v>
      </c>
      <c r="J1999" s="1" t="n">
        <v>20201</v>
      </c>
      <c r="L1999" s="1" t="str">
        <f aca="false">IF(D1998&lt;&gt;D1999,D1999,"")</f>
        <v/>
      </c>
      <c r="M1999" s="1" t="str">
        <f aca="false">IF(F1998&lt;&gt;F1999,F1999,"")</f>
        <v/>
      </c>
    </row>
    <row r="2000" customFormat="false" ht="15" hidden="false" customHeight="false" outlineLevel="0" collapsed="false">
      <c r="A2000" s="1" t="s">
        <v>79</v>
      </c>
      <c r="B2000" s="1" t="s">
        <v>80</v>
      </c>
      <c r="C2000" s="1" t="s">
        <v>870</v>
      </c>
      <c r="D2000" s="1" t="s">
        <v>871</v>
      </c>
      <c r="E2000" s="1" t="n">
        <v>20171</v>
      </c>
      <c r="F2000" s="1" t="s">
        <v>127</v>
      </c>
      <c r="G2000" s="1" t="s">
        <v>101</v>
      </c>
      <c r="H2000" s="1" t="n">
        <v>2.5</v>
      </c>
      <c r="I2000" s="1" t="n">
        <v>0</v>
      </c>
      <c r="J2000" s="1" t="n">
        <v>20201</v>
      </c>
      <c r="L2000" s="1" t="str">
        <f aca="false">IF(D1999&lt;&gt;D2000,D2000,"")</f>
        <v/>
      </c>
      <c r="M2000" s="1" t="str">
        <f aca="false">IF(F1999&lt;&gt;F2000,F2000,"")</f>
        <v/>
      </c>
    </row>
    <row r="2001" customFormat="false" ht="15" hidden="false" customHeight="false" outlineLevel="0" collapsed="false">
      <c r="A2001" s="1" t="s">
        <v>83</v>
      </c>
      <c r="B2001" s="1" t="s">
        <v>84</v>
      </c>
      <c r="C2001" s="1" t="s">
        <v>870</v>
      </c>
      <c r="D2001" s="1" t="s">
        <v>871</v>
      </c>
      <c r="E2001" s="1" t="n">
        <v>20171</v>
      </c>
      <c r="F2001" s="1" t="s">
        <v>127</v>
      </c>
      <c r="G2001" s="1" t="s">
        <v>101</v>
      </c>
      <c r="H2001" s="1" t="n">
        <v>2.5</v>
      </c>
      <c r="I2001" s="1" t="n">
        <v>0</v>
      </c>
      <c r="J2001" s="1" t="n">
        <v>20201</v>
      </c>
      <c r="L2001" s="1" t="str">
        <f aca="false">IF(D2000&lt;&gt;D2001,D2001,"")</f>
        <v/>
      </c>
      <c r="M2001" s="1" t="str">
        <f aca="false">IF(F2000&lt;&gt;F2001,F2001,"")</f>
        <v/>
      </c>
    </row>
    <row r="2002" customFormat="false" ht="15" hidden="false" customHeight="false" outlineLevel="0" collapsed="false">
      <c r="A2002" s="1" t="s">
        <v>591</v>
      </c>
      <c r="B2002" s="1" t="s">
        <v>592</v>
      </c>
      <c r="C2002" s="1" t="s">
        <v>870</v>
      </c>
      <c r="D2002" s="1" t="s">
        <v>871</v>
      </c>
      <c r="E2002" s="1" t="n">
        <v>20171</v>
      </c>
      <c r="F2002" s="1" t="s">
        <v>127</v>
      </c>
      <c r="G2002" s="1" t="s">
        <v>23</v>
      </c>
      <c r="H2002" s="1" t="n">
        <v>0</v>
      </c>
      <c r="I2002" s="1" t="n">
        <v>0</v>
      </c>
      <c r="J2002" s="1" t="n">
        <v>20201</v>
      </c>
      <c r="L2002" s="1" t="str">
        <f aca="false">IF(D2001&lt;&gt;D2002,D2002,"")</f>
        <v/>
      </c>
      <c r="M2002" s="1" t="str">
        <f aca="false">IF(F2001&lt;&gt;F2002,F2002,"")</f>
        <v/>
      </c>
    </row>
    <row r="2003" customFormat="false" ht="15" hidden="false" customHeight="false" outlineLevel="0" collapsed="false">
      <c r="A2003" s="1" t="s">
        <v>89</v>
      </c>
      <c r="B2003" s="1" t="s">
        <v>90</v>
      </c>
      <c r="C2003" s="1" t="s">
        <v>870</v>
      </c>
      <c r="D2003" s="1" t="s">
        <v>871</v>
      </c>
      <c r="E2003" s="1" t="n">
        <v>20171</v>
      </c>
      <c r="F2003" s="1" t="s">
        <v>127</v>
      </c>
      <c r="G2003" s="1" t="s">
        <v>14</v>
      </c>
      <c r="H2003" s="1" t="n">
        <v>4</v>
      </c>
      <c r="I2003" s="1" t="n">
        <v>0</v>
      </c>
      <c r="J2003" s="1" t="n">
        <v>20201</v>
      </c>
      <c r="L2003" s="1" t="str">
        <f aca="false">IF(D2002&lt;&gt;D2003,D2003,"")</f>
        <v/>
      </c>
      <c r="M2003" s="1" t="str">
        <f aca="false">IF(F2002&lt;&gt;F2003,F2003,"")</f>
        <v/>
      </c>
    </row>
    <row r="2004" customFormat="false" ht="15" hidden="false" customHeight="false" outlineLevel="0" collapsed="false">
      <c r="A2004" s="1" t="s">
        <v>184</v>
      </c>
      <c r="B2004" s="1" t="s">
        <v>185</v>
      </c>
      <c r="C2004" s="1" t="s">
        <v>870</v>
      </c>
      <c r="D2004" s="1" t="s">
        <v>871</v>
      </c>
      <c r="E2004" s="1" t="n">
        <v>20171</v>
      </c>
      <c r="F2004" s="1" t="s">
        <v>127</v>
      </c>
      <c r="G2004" s="1" t="s">
        <v>30</v>
      </c>
      <c r="H2004" s="1" t="n">
        <v>1.5</v>
      </c>
      <c r="I2004" s="1" t="n">
        <v>0</v>
      </c>
      <c r="J2004" s="1" t="n">
        <v>20201</v>
      </c>
      <c r="L2004" s="1" t="str">
        <f aca="false">IF(D2003&lt;&gt;D2004,D2004,"")</f>
        <v/>
      </c>
      <c r="M2004" s="1" t="str">
        <f aca="false">IF(F2003&lt;&gt;F2004,F2004,"")</f>
        <v/>
      </c>
    </row>
    <row r="2005" customFormat="false" ht="15" hidden="false" customHeight="false" outlineLevel="0" collapsed="false">
      <c r="A2005" s="1" t="s">
        <v>91</v>
      </c>
      <c r="B2005" s="1" t="s">
        <v>92</v>
      </c>
      <c r="C2005" s="1" t="s">
        <v>870</v>
      </c>
      <c r="D2005" s="1" t="s">
        <v>871</v>
      </c>
      <c r="E2005" s="1" t="n">
        <v>20171</v>
      </c>
      <c r="F2005" s="1" t="s">
        <v>127</v>
      </c>
      <c r="G2005" s="1" t="s">
        <v>15</v>
      </c>
      <c r="H2005" s="1" t="n">
        <v>3.5</v>
      </c>
      <c r="I2005" s="1" t="n">
        <v>0</v>
      </c>
      <c r="J2005" s="1" t="n">
        <v>20201</v>
      </c>
      <c r="L2005" s="1" t="str">
        <f aca="false">IF(D2004&lt;&gt;D2005,D2005,"")</f>
        <v/>
      </c>
      <c r="M2005" s="1" t="str">
        <f aca="false">IF(F2004&lt;&gt;F2005,F2005,"")</f>
        <v/>
      </c>
    </row>
    <row r="2006" customFormat="false" ht="15" hidden="false" customHeight="false" outlineLevel="0" collapsed="false">
      <c r="A2006" s="1" t="s">
        <v>99</v>
      </c>
      <c r="B2006" s="1" t="s">
        <v>100</v>
      </c>
      <c r="C2006" s="1" t="s">
        <v>870</v>
      </c>
      <c r="D2006" s="1" t="s">
        <v>871</v>
      </c>
      <c r="E2006" s="1" t="n">
        <v>20171</v>
      </c>
      <c r="F2006" s="1" t="s">
        <v>127</v>
      </c>
      <c r="G2006" s="1" t="s">
        <v>514</v>
      </c>
      <c r="H2006" s="1" t="n">
        <v>1</v>
      </c>
      <c r="I2006" s="1" t="n">
        <v>0</v>
      </c>
      <c r="J2006" s="1" t="n">
        <v>20201</v>
      </c>
      <c r="L2006" s="1" t="str">
        <f aca="false">IF(D2005&lt;&gt;D2006,D2006,"")</f>
        <v/>
      </c>
      <c r="M2006" s="1" t="str">
        <f aca="false">IF(F2005&lt;&gt;F2006,F2006,"")</f>
        <v/>
      </c>
    </row>
    <row r="2007" customFormat="false" ht="15" hidden="false" customHeight="false" outlineLevel="0" collapsed="false">
      <c r="A2007" s="1" t="s">
        <v>194</v>
      </c>
      <c r="B2007" s="1" t="s">
        <v>195</v>
      </c>
      <c r="C2007" s="1" t="s">
        <v>870</v>
      </c>
      <c r="D2007" s="1" t="s">
        <v>871</v>
      </c>
      <c r="E2007" s="1" t="n">
        <v>20171</v>
      </c>
      <c r="F2007" s="1" t="s">
        <v>127</v>
      </c>
      <c r="G2007" s="1" t="s">
        <v>15</v>
      </c>
      <c r="H2007" s="1" t="n">
        <v>3.5</v>
      </c>
      <c r="I2007" s="1" t="n">
        <v>0</v>
      </c>
      <c r="J2007" s="1" t="n">
        <v>20201</v>
      </c>
      <c r="L2007" s="1" t="str">
        <f aca="false">IF(D2006&lt;&gt;D2007,D2007,"")</f>
        <v/>
      </c>
      <c r="M2007" s="1" t="str">
        <f aca="false">IF(F2006&lt;&gt;F2007,F2007,"")</f>
        <v/>
      </c>
    </row>
    <row r="2008" customFormat="false" ht="15" hidden="false" customHeight="false" outlineLevel="0" collapsed="false">
      <c r="A2008" s="1" t="s">
        <v>102</v>
      </c>
      <c r="B2008" s="1" t="s">
        <v>103</v>
      </c>
      <c r="C2008" s="1" t="s">
        <v>870</v>
      </c>
      <c r="D2008" s="1" t="s">
        <v>871</v>
      </c>
      <c r="E2008" s="1" t="n">
        <v>20171</v>
      </c>
      <c r="F2008" s="1" t="s">
        <v>127</v>
      </c>
      <c r="G2008" s="1" t="s">
        <v>18</v>
      </c>
      <c r="H2008" s="1" t="n">
        <v>3</v>
      </c>
      <c r="I2008" s="1" t="n">
        <v>0</v>
      </c>
      <c r="J2008" s="1" t="n">
        <v>20201</v>
      </c>
      <c r="L2008" s="1" t="str">
        <f aca="false">IF(D2007&lt;&gt;D2008,D2008,"")</f>
        <v/>
      </c>
      <c r="M2008" s="1" t="str">
        <f aca="false">IF(F2007&lt;&gt;F2008,F2008,"")</f>
        <v/>
      </c>
    </row>
    <row r="2009" customFormat="false" ht="15" hidden="false" customHeight="false" outlineLevel="0" collapsed="false">
      <c r="A2009" s="1" t="s">
        <v>832</v>
      </c>
      <c r="B2009" s="1" t="s">
        <v>833</v>
      </c>
      <c r="C2009" s="1" t="s">
        <v>870</v>
      </c>
      <c r="D2009" s="1" t="s">
        <v>871</v>
      </c>
      <c r="E2009" s="1" t="n">
        <v>20171</v>
      </c>
      <c r="F2009" s="1" t="s">
        <v>127</v>
      </c>
      <c r="G2009" s="1" t="s">
        <v>101</v>
      </c>
      <c r="H2009" s="1" t="n">
        <v>2.5</v>
      </c>
      <c r="I2009" s="1" t="n">
        <v>0</v>
      </c>
      <c r="J2009" s="1" t="n">
        <v>20201</v>
      </c>
      <c r="L2009" s="1" t="str">
        <f aca="false">IF(D2008&lt;&gt;D2009,D2009,"")</f>
        <v/>
      </c>
      <c r="M2009" s="1" t="str">
        <f aca="false">IF(F2008&lt;&gt;F2009,F2009,"")</f>
        <v/>
      </c>
    </row>
    <row r="2010" customFormat="false" ht="15" hidden="false" customHeight="false" outlineLevel="0" collapsed="false">
      <c r="A2010" s="1" t="s">
        <v>649</v>
      </c>
      <c r="B2010" s="1" t="s">
        <v>650</v>
      </c>
      <c r="C2010" s="1" t="s">
        <v>872</v>
      </c>
      <c r="D2010" s="1" t="s">
        <v>873</v>
      </c>
      <c r="E2010" s="1" t="n">
        <v>20171</v>
      </c>
      <c r="F2010" s="1" t="s">
        <v>208</v>
      </c>
      <c r="G2010" s="1" t="s">
        <v>30</v>
      </c>
      <c r="H2010" s="1" t="n">
        <v>1.5</v>
      </c>
      <c r="I2010" s="1" t="n">
        <v>0</v>
      </c>
      <c r="J2010" s="1" t="n">
        <v>20201</v>
      </c>
      <c r="L2010" s="1" t="str">
        <f aca="false">IF(D2009&lt;&gt;D2010,D2010,"")</f>
        <v>PENGUKURAN SISTEM TELEKOMUNIKASI</v>
      </c>
      <c r="M2010" s="1" t="str">
        <f aca="false">IF(F2009&lt;&gt;F2010,F2010,"")</f>
        <v>P</v>
      </c>
    </row>
    <row r="2011" customFormat="false" ht="15" hidden="false" customHeight="false" outlineLevel="0" collapsed="false">
      <c r="A2011" s="1" t="s">
        <v>611</v>
      </c>
      <c r="B2011" s="1" t="s">
        <v>612</v>
      </c>
      <c r="C2011" s="1" t="s">
        <v>872</v>
      </c>
      <c r="D2011" s="1" t="s">
        <v>873</v>
      </c>
      <c r="E2011" s="1" t="n">
        <v>20171</v>
      </c>
      <c r="F2011" s="1" t="s">
        <v>208</v>
      </c>
      <c r="G2011" s="1" t="s">
        <v>514</v>
      </c>
      <c r="H2011" s="1" t="n">
        <v>1</v>
      </c>
      <c r="I2011" s="1" t="n">
        <v>0</v>
      </c>
      <c r="J2011" s="1" t="n">
        <v>20201</v>
      </c>
      <c r="L2011" s="1" t="str">
        <f aca="false">IF(D2010&lt;&gt;D2011,D2011,"")</f>
        <v/>
      </c>
      <c r="M2011" s="1" t="str">
        <f aca="false">IF(F2010&lt;&gt;F2011,F2011,"")</f>
        <v/>
      </c>
    </row>
    <row r="2012" customFormat="false" ht="15" hidden="false" customHeight="false" outlineLevel="0" collapsed="false">
      <c r="A2012" s="1" t="s">
        <v>777</v>
      </c>
      <c r="B2012" s="1" t="s">
        <v>778</v>
      </c>
      <c r="C2012" s="1" t="s">
        <v>872</v>
      </c>
      <c r="D2012" s="1" t="s">
        <v>873</v>
      </c>
      <c r="E2012" s="1" t="n">
        <v>20171</v>
      </c>
      <c r="F2012" s="1" t="s">
        <v>208</v>
      </c>
      <c r="G2012" s="1" t="s">
        <v>101</v>
      </c>
      <c r="H2012" s="1" t="n">
        <v>2.5</v>
      </c>
      <c r="I2012" s="1" t="n">
        <v>0</v>
      </c>
      <c r="J2012" s="1" t="n">
        <v>20201</v>
      </c>
      <c r="L2012" s="1" t="str">
        <f aca="false">IF(D2011&lt;&gt;D2012,D2012,"")</f>
        <v/>
      </c>
      <c r="M2012" s="1" t="str">
        <f aca="false">IF(F2011&lt;&gt;F2012,F2012,"")</f>
        <v/>
      </c>
    </row>
    <row r="2013" customFormat="false" ht="15" hidden="false" customHeight="false" outlineLevel="0" collapsed="false">
      <c r="A2013" s="1" t="s">
        <v>655</v>
      </c>
      <c r="B2013" s="1" t="s">
        <v>656</v>
      </c>
      <c r="C2013" s="1" t="s">
        <v>872</v>
      </c>
      <c r="D2013" s="1" t="s">
        <v>873</v>
      </c>
      <c r="E2013" s="1" t="n">
        <v>20171</v>
      </c>
      <c r="F2013" s="1" t="s">
        <v>208</v>
      </c>
      <c r="G2013" s="1" t="s">
        <v>23</v>
      </c>
      <c r="H2013" s="1" t="n">
        <v>0</v>
      </c>
      <c r="I2013" s="1" t="n">
        <v>0</v>
      </c>
      <c r="J2013" s="1" t="n">
        <v>20201</v>
      </c>
      <c r="L2013" s="1" t="str">
        <f aca="false">IF(D2012&lt;&gt;D2013,D2013,"")</f>
        <v/>
      </c>
      <c r="M2013" s="1" t="str">
        <f aca="false">IF(F2012&lt;&gt;F2013,F2013,"")</f>
        <v/>
      </c>
    </row>
    <row r="2014" customFormat="false" ht="15" hidden="false" customHeight="false" outlineLevel="0" collapsed="false">
      <c r="A2014" s="1" t="s">
        <v>259</v>
      </c>
      <c r="B2014" s="1" t="s">
        <v>260</v>
      </c>
      <c r="C2014" s="1" t="s">
        <v>872</v>
      </c>
      <c r="D2014" s="1" t="s">
        <v>873</v>
      </c>
      <c r="E2014" s="1" t="n">
        <v>20171</v>
      </c>
      <c r="F2014" s="1" t="s">
        <v>208</v>
      </c>
      <c r="G2014" s="1" t="s">
        <v>514</v>
      </c>
      <c r="H2014" s="1" t="n">
        <v>1</v>
      </c>
      <c r="I2014" s="1" t="n">
        <v>0</v>
      </c>
      <c r="J2014" s="1" t="n">
        <v>20201</v>
      </c>
      <c r="L2014" s="1" t="str">
        <f aca="false">IF(D2013&lt;&gt;D2014,D2014,"")</f>
        <v/>
      </c>
      <c r="M2014" s="1" t="str">
        <f aca="false">IF(F2013&lt;&gt;F2014,F2014,"")</f>
        <v/>
      </c>
    </row>
    <row r="2015" customFormat="false" ht="15" hidden="false" customHeight="false" outlineLevel="0" collapsed="false">
      <c r="A2015" s="1" t="s">
        <v>804</v>
      </c>
      <c r="B2015" s="1" t="s">
        <v>805</v>
      </c>
      <c r="C2015" s="1" t="s">
        <v>872</v>
      </c>
      <c r="D2015" s="1" t="s">
        <v>873</v>
      </c>
      <c r="E2015" s="1" t="n">
        <v>20171</v>
      </c>
      <c r="F2015" s="1" t="s">
        <v>208</v>
      </c>
      <c r="G2015" s="1" t="s">
        <v>18</v>
      </c>
      <c r="H2015" s="1" t="n">
        <v>3</v>
      </c>
      <c r="I2015" s="1" t="n">
        <v>0</v>
      </c>
      <c r="J2015" s="1" t="n">
        <v>20201</v>
      </c>
      <c r="L2015" s="1" t="str">
        <f aca="false">IF(D2014&lt;&gt;D2015,D2015,"")</f>
        <v/>
      </c>
      <c r="M2015" s="1" t="str">
        <f aca="false">IF(F2014&lt;&gt;F2015,F2015,"")</f>
        <v/>
      </c>
    </row>
    <row r="2016" customFormat="false" ht="15" hidden="false" customHeight="false" outlineLevel="0" collapsed="false">
      <c r="A2016" s="1" t="s">
        <v>806</v>
      </c>
      <c r="B2016" s="1" t="s">
        <v>807</v>
      </c>
      <c r="C2016" s="1" t="s">
        <v>872</v>
      </c>
      <c r="D2016" s="1" t="s">
        <v>873</v>
      </c>
      <c r="E2016" s="1" t="n">
        <v>20171</v>
      </c>
      <c r="F2016" s="1" t="s">
        <v>208</v>
      </c>
      <c r="G2016" s="1" t="s">
        <v>18</v>
      </c>
      <c r="H2016" s="1" t="n">
        <v>3</v>
      </c>
      <c r="I2016" s="1" t="n">
        <v>0</v>
      </c>
      <c r="J2016" s="1" t="n">
        <v>20201</v>
      </c>
      <c r="L2016" s="1" t="str">
        <f aca="false">IF(D2015&lt;&gt;D2016,D2016,"")</f>
        <v/>
      </c>
      <c r="M2016" s="1" t="str">
        <f aca="false">IF(F2015&lt;&gt;F2016,F2016,"")</f>
        <v/>
      </c>
    </row>
    <row r="2017" customFormat="false" ht="15" hidden="false" customHeight="false" outlineLevel="0" collapsed="false">
      <c r="A2017" s="1" t="s">
        <v>21</v>
      </c>
      <c r="B2017" s="1" t="s">
        <v>22</v>
      </c>
      <c r="C2017" s="1" t="s">
        <v>872</v>
      </c>
      <c r="D2017" s="1" t="s">
        <v>873</v>
      </c>
      <c r="E2017" s="1" t="n">
        <v>20171</v>
      </c>
      <c r="F2017" s="1" t="s">
        <v>208</v>
      </c>
      <c r="G2017" s="1" t="s">
        <v>514</v>
      </c>
      <c r="H2017" s="1" t="n">
        <v>1</v>
      </c>
      <c r="I2017" s="1" t="n">
        <v>0</v>
      </c>
      <c r="J2017" s="1" t="n">
        <v>20201</v>
      </c>
      <c r="L2017" s="1" t="str">
        <f aca="false">IF(D2016&lt;&gt;D2017,D2017,"")</f>
        <v/>
      </c>
      <c r="M2017" s="1" t="str">
        <f aca="false">IF(F2016&lt;&gt;F2017,F2017,"")</f>
        <v/>
      </c>
    </row>
    <row r="2018" customFormat="false" ht="15" hidden="false" customHeight="false" outlineLevel="0" collapsed="false">
      <c r="A2018" s="1" t="s">
        <v>816</v>
      </c>
      <c r="B2018" s="1" t="s">
        <v>817</v>
      </c>
      <c r="C2018" s="1" t="s">
        <v>872</v>
      </c>
      <c r="D2018" s="1" t="s">
        <v>873</v>
      </c>
      <c r="E2018" s="1" t="n">
        <v>20171</v>
      </c>
      <c r="F2018" s="1" t="s">
        <v>208</v>
      </c>
      <c r="G2018" s="1" t="s">
        <v>101</v>
      </c>
      <c r="H2018" s="1" t="n">
        <v>2.5</v>
      </c>
      <c r="I2018" s="1" t="n">
        <v>0</v>
      </c>
      <c r="J2018" s="1" t="n">
        <v>20201</v>
      </c>
      <c r="L2018" s="1" t="str">
        <f aca="false">IF(D2017&lt;&gt;D2018,D2018,"")</f>
        <v/>
      </c>
      <c r="M2018" s="1" t="str">
        <f aca="false">IF(F2017&lt;&gt;F2018,F2018,"")</f>
        <v/>
      </c>
    </row>
    <row r="2019" customFormat="false" ht="15" hidden="false" customHeight="false" outlineLevel="0" collapsed="false">
      <c r="A2019" s="1" t="s">
        <v>263</v>
      </c>
      <c r="B2019" s="1" t="s">
        <v>264</v>
      </c>
      <c r="C2019" s="1" t="s">
        <v>872</v>
      </c>
      <c r="D2019" s="1" t="s">
        <v>873</v>
      </c>
      <c r="E2019" s="1" t="n">
        <v>20171</v>
      </c>
      <c r="F2019" s="1" t="s">
        <v>208</v>
      </c>
      <c r="G2019" s="1" t="s">
        <v>23</v>
      </c>
      <c r="H2019" s="1" t="n">
        <v>0</v>
      </c>
      <c r="I2019" s="1" t="n">
        <v>0</v>
      </c>
      <c r="J2019" s="1" t="n">
        <v>20201</v>
      </c>
      <c r="L2019" s="1" t="str">
        <f aca="false">IF(D2018&lt;&gt;D2019,D2019,"")</f>
        <v/>
      </c>
      <c r="M2019" s="1" t="str">
        <f aca="false">IF(F2018&lt;&gt;F2019,F2019,"")</f>
        <v/>
      </c>
    </row>
    <row r="2020" customFormat="false" ht="15" hidden="false" customHeight="false" outlineLevel="0" collapsed="false">
      <c r="A2020" s="1" t="s">
        <v>265</v>
      </c>
      <c r="B2020" s="1" t="s">
        <v>266</v>
      </c>
      <c r="C2020" s="1" t="s">
        <v>872</v>
      </c>
      <c r="D2020" s="1" t="s">
        <v>873</v>
      </c>
      <c r="E2020" s="1" t="n">
        <v>20171</v>
      </c>
      <c r="F2020" s="1" t="s">
        <v>208</v>
      </c>
      <c r="G2020" s="1" t="s">
        <v>514</v>
      </c>
      <c r="H2020" s="1" t="n">
        <v>1</v>
      </c>
      <c r="I2020" s="1" t="n">
        <v>0</v>
      </c>
      <c r="J2020" s="1" t="n">
        <v>20201</v>
      </c>
      <c r="L2020" s="1" t="str">
        <f aca="false">IF(D2019&lt;&gt;D2020,D2020,"")</f>
        <v/>
      </c>
      <c r="M2020" s="1" t="str">
        <f aca="false">IF(F2019&lt;&gt;F2020,F2020,"")</f>
        <v/>
      </c>
    </row>
    <row r="2021" customFormat="false" ht="15" hidden="false" customHeight="false" outlineLevel="0" collapsed="false">
      <c r="A2021" s="1" t="s">
        <v>267</v>
      </c>
      <c r="B2021" s="1" t="s">
        <v>268</v>
      </c>
      <c r="C2021" s="1" t="s">
        <v>872</v>
      </c>
      <c r="D2021" s="1" t="s">
        <v>873</v>
      </c>
      <c r="E2021" s="1" t="n">
        <v>20171</v>
      </c>
      <c r="F2021" s="1" t="s">
        <v>208</v>
      </c>
      <c r="G2021" s="1" t="s">
        <v>101</v>
      </c>
      <c r="H2021" s="1" t="n">
        <v>2.5</v>
      </c>
      <c r="I2021" s="1" t="n">
        <v>0</v>
      </c>
      <c r="J2021" s="1" t="n">
        <v>20201</v>
      </c>
      <c r="L2021" s="1" t="str">
        <f aca="false">IF(D2020&lt;&gt;D2021,D2021,"")</f>
        <v/>
      </c>
      <c r="M2021" s="1" t="str">
        <f aca="false">IF(F2020&lt;&gt;F2021,F2021,"")</f>
        <v/>
      </c>
    </row>
    <row r="2022" customFormat="false" ht="15" hidden="false" customHeight="false" outlineLevel="0" collapsed="false">
      <c r="A2022" s="1" t="s">
        <v>269</v>
      </c>
      <c r="B2022" s="1" t="s">
        <v>270</v>
      </c>
      <c r="C2022" s="1" t="s">
        <v>872</v>
      </c>
      <c r="D2022" s="1" t="s">
        <v>873</v>
      </c>
      <c r="E2022" s="1" t="n">
        <v>20171</v>
      </c>
      <c r="F2022" s="1" t="s">
        <v>208</v>
      </c>
      <c r="G2022" s="1" t="s">
        <v>30</v>
      </c>
      <c r="H2022" s="1" t="n">
        <v>1.5</v>
      </c>
      <c r="I2022" s="1" t="n">
        <v>0</v>
      </c>
      <c r="J2022" s="1" t="n">
        <v>20201</v>
      </c>
      <c r="L2022" s="1" t="str">
        <f aca="false">IF(D2021&lt;&gt;D2022,D2022,"")</f>
        <v/>
      </c>
      <c r="M2022" s="1" t="str">
        <f aca="false">IF(F2021&lt;&gt;F2022,F2022,"")</f>
        <v/>
      </c>
    </row>
    <row r="2023" customFormat="false" ht="15" hidden="false" customHeight="false" outlineLevel="0" collapsed="false">
      <c r="A2023" s="1" t="s">
        <v>271</v>
      </c>
      <c r="B2023" s="1" t="s">
        <v>272</v>
      </c>
      <c r="C2023" s="1" t="s">
        <v>872</v>
      </c>
      <c r="D2023" s="1" t="s">
        <v>873</v>
      </c>
      <c r="E2023" s="1" t="n">
        <v>20171</v>
      </c>
      <c r="F2023" s="1" t="s">
        <v>208</v>
      </c>
      <c r="G2023" s="1" t="s">
        <v>127</v>
      </c>
      <c r="H2023" s="1" t="n">
        <v>2</v>
      </c>
      <c r="I2023" s="1" t="n">
        <v>0</v>
      </c>
      <c r="J2023" s="1" t="n">
        <v>20201</v>
      </c>
      <c r="L2023" s="1" t="str">
        <f aca="false">IF(D2022&lt;&gt;D2023,D2023,"")</f>
        <v/>
      </c>
      <c r="M2023" s="1" t="str">
        <f aca="false">IF(F2022&lt;&gt;F2023,F2023,"")</f>
        <v/>
      </c>
    </row>
    <row r="2024" customFormat="false" ht="15" hidden="false" customHeight="false" outlineLevel="0" collapsed="false">
      <c r="A2024" s="1" t="s">
        <v>273</v>
      </c>
      <c r="B2024" s="1" t="s">
        <v>274</v>
      </c>
      <c r="C2024" s="1" t="s">
        <v>872</v>
      </c>
      <c r="D2024" s="1" t="s">
        <v>873</v>
      </c>
      <c r="E2024" s="1" t="n">
        <v>20171</v>
      </c>
      <c r="F2024" s="1" t="s">
        <v>208</v>
      </c>
      <c r="G2024" s="1" t="s">
        <v>127</v>
      </c>
      <c r="H2024" s="1" t="n">
        <v>2</v>
      </c>
      <c r="I2024" s="1" t="n">
        <v>0</v>
      </c>
      <c r="J2024" s="1" t="n">
        <v>20201</v>
      </c>
      <c r="L2024" s="1" t="str">
        <f aca="false">IF(D2023&lt;&gt;D2024,D2024,"")</f>
        <v/>
      </c>
      <c r="M2024" s="1" t="str">
        <f aca="false">IF(F2023&lt;&gt;F2024,F2024,"")</f>
        <v/>
      </c>
    </row>
    <row r="2025" customFormat="false" ht="15" hidden="false" customHeight="false" outlineLevel="0" collapsed="false">
      <c r="A2025" s="1" t="s">
        <v>16</v>
      </c>
      <c r="B2025" s="1" t="s">
        <v>17</v>
      </c>
      <c r="C2025" s="1" t="s">
        <v>874</v>
      </c>
      <c r="D2025" s="1" t="s">
        <v>875</v>
      </c>
      <c r="E2025" s="1" t="n">
        <v>20171</v>
      </c>
      <c r="F2025" s="1" t="s">
        <v>208</v>
      </c>
      <c r="G2025" s="1" t="s">
        <v>124</v>
      </c>
      <c r="H2025" s="1" t="n">
        <v>0</v>
      </c>
      <c r="I2025" s="1" t="n">
        <v>0</v>
      </c>
      <c r="J2025" s="1" t="n">
        <v>20201</v>
      </c>
      <c r="L2025" s="1" t="str">
        <f aca="false">IF(D2024&lt;&gt;D2025,D2025,"")</f>
        <v>PERANCANGAN SISTEM ELEKTRONIKA</v>
      </c>
      <c r="M2025" s="1" t="str">
        <f aca="false">IF(F2024&lt;&gt;F2025,F2025,"")</f>
        <v/>
      </c>
    </row>
    <row r="2026" customFormat="false" ht="15" hidden="false" customHeight="false" outlineLevel="0" collapsed="false">
      <c r="A2026" s="1" t="s">
        <v>862</v>
      </c>
      <c r="B2026" s="1" t="s">
        <v>863</v>
      </c>
      <c r="C2026" s="1" t="s">
        <v>874</v>
      </c>
      <c r="D2026" s="1" t="s">
        <v>875</v>
      </c>
      <c r="E2026" s="1" t="n">
        <v>20171</v>
      </c>
      <c r="F2026" s="1" t="s">
        <v>208</v>
      </c>
      <c r="G2026" s="1" t="s">
        <v>124</v>
      </c>
      <c r="H2026" s="1" t="n">
        <v>0</v>
      </c>
      <c r="I2026" s="1" t="n">
        <v>0</v>
      </c>
      <c r="J2026" s="1" t="n">
        <v>20201</v>
      </c>
      <c r="L2026" s="1" t="str">
        <f aca="false">IF(D2025&lt;&gt;D2026,D2026,"")</f>
        <v/>
      </c>
      <c r="M2026" s="1" t="str">
        <f aca="false">IF(F2025&lt;&gt;F2026,F2026,"")</f>
        <v/>
      </c>
    </row>
    <row r="2027" customFormat="false" ht="15" hidden="false" customHeight="false" outlineLevel="0" collapsed="false">
      <c r="A2027" s="1" t="s">
        <v>635</v>
      </c>
      <c r="B2027" s="1" t="s">
        <v>636</v>
      </c>
      <c r="C2027" s="1" t="s">
        <v>874</v>
      </c>
      <c r="D2027" s="1" t="s">
        <v>875</v>
      </c>
      <c r="E2027" s="1" t="n">
        <v>20171</v>
      </c>
      <c r="F2027" s="1" t="s">
        <v>208</v>
      </c>
      <c r="G2027" s="1" t="s">
        <v>124</v>
      </c>
      <c r="H2027" s="1" t="n">
        <v>0</v>
      </c>
      <c r="I2027" s="1" t="n">
        <v>0</v>
      </c>
      <c r="J2027" s="1" t="n">
        <v>20201</v>
      </c>
      <c r="L2027" s="1" t="str">
        <f aca="false">IF(D2026&lt;&gt;D2027,D2027,"")</f>
        <v/>
      </c>
      <c r="M2027" s="1" t="str">
        <f aca="false">IF(F2026&lt;&gt;F2027,F2027,"")</f>
        <v/>
      </c>
    </row>
    <row r="2028" customFormat="false" ht="15" hidden="false" customHeight="false" outlineLevel="0" collapsed="false">
      <c r="A2028" s="1" t="s">
        <v>790</v>
      </c>
      <c r="B2028" s="1" t="s">
        <v>791</v>
      </c>
      <c r="C2028" s="1" t="s">
        <v>874</v>
      </c>
      <c r="D2028" s="1" t="s">
        <v>875</v>
      </c>
      <c r="E2028" s="1" t="n">
        <v>20171</v>
      </c>
      <c r="F2028" s="1" t="s">
        <v>208</v>
      </c>
      <c r="G2028" s="1" t="s">
        <v>101</v>
      </c>
      <c r="H2028" s="1" t="n">
        <v>2.5</v>
      </c>
      <c r="I2028" s="1" t="n">
        <v>0</v>
      </c>
      <c r="J2028" s="1" t="n">
        <v>20201</v>
      </c>
      <c r="L2028" s="1" t="str">
        <f aca="false">IF(D2027&lt;&gt;D2028,D2028,"")</f>
        <v/>
      </c>
      <c r="M2028" s="1" t="str">
        <f aca="false">IF(F2027&lt;&gt;F2028,F2028,"")</f>
        <v/>
      </c>
    </row>
    <row r="2029" customFormat="false" ht="15" hidden="false" customHeight="false" outlineLevel="0" collapsed="false">
      <c r="A2029" s="1" t="s">
        <v>569</v>
      </c>
      <c r="B2029" s="1" t="s">
        <v>570</v>
      </c>
      <c r="C2029" s="1" t="s">
        <v>874</v>
      </c>
      <c r="D2029" s="1" t="s">
        <v>875</v>
      </c>
      <c r="E2029" s="1" t="n">
        <v>20171</v>
      </c>
      <c r="F2029" s="1" t="s">
        <v>208</v>
      </c>
      <c r="G2029" s="1" t="s">
        <v>18</v>
      </c>
      <c r="H2029" s="1" t="n">
        <v>3</v>
      </c>
      <c r="I2029" s="1" t="n">
        <v>0</v>
      </c>
      <c r="J2029" s="1" t="n">
        <v>20201</v>
      </c>
      <c r="L2029" s="1" t="str">
        <f aca="false">IF(D2028&lt;&gt;D2029,D2029,"")</f>
        <v/>
      </c>
      <c r="M2029" s="1" t="str">
        <f aca="false">IF(F2028&lt;&gt;F2029,F2029,"")</f>
        <v/>
      </c>
    </row>
    <row r="2030" customFormat="false" ht="15" hidden="false" customHeight="false" outlineLevel="0" collapsed="false">
      <c r="A2030" s="1" t="s">
        <v>583</v>
      </c>
      <c r="B2030" s="1" t="s">
        <v>584</v>
      </c>
      <c r="C2030" s="1" t="s">
        <v>874</v>
      </c>
      <c r="D2030" s="1" t="s">
        <v>875</v>
      </c>
      <c r="E2030" s="1" t="n">
        <v>20171</v>
      </c>
      <c r="F2030" s="1" t="s">
        <v>208</v>
      </c>
      <c r="G2030" s="1" t="s">
        <v>30</v>
      </c>
      <c r="H2030" s="1" t="n">
        <v>1.5</v>
      </c>
      <c r="I2030" s="1" t="n">
        <v>0</v>
      </c>
      <c r="J2030" s="1" t="n">
        <v>20201</v>
      </c>
      <c r="L2030" s="1" t="str">
        <f aca="false">IF(D2029&lt;&gt;D2030,D2030,"")</f>
        <v/>
      </c>
      <c r="M2030" s="1" t="str">
        <f aca="false">IF(F2029&lt;&gt;F2030,F2030,"")</f>
        <v/>
      </c>
    </row>
    <row r="2031" customFormat="false" ht="15" hidden="false" customHeight="false" outlineLevel="0" collapsed="false">
      <c r="A2031" s="1" t="s">
        <v>759</v>
      </c>
      <c r="B2031" s="1" t="s">
        <v>760</v>
      </c>
      <c r="C2031" s="1" t="s">
        <v>874</v>
      </c>
      <c r="D2031" s="1" t="s">
        <v>875</v>
      </c>
      <c r="E2031" s="1" t="n">
        <v>20171</v>
      </c>
      <c r="F2031" s="1" t="s">
        <v>208</v>
      </c>
      <c r="G2031" s="1" t="s">
        <v>15</v>
      </c>
      <c r="H2031" s="1" t="n">
        <v>3.5</v>
      </c>
      <c r="I2031" s="1" t="n">
        <v>0</v>
      </c>
      <c r="J2031" s="1" t="n">
        <v>20201</v>
      </c>
      <c r="L2031" s="1" t="str">
        <f aca="false">IF(D2030&lt;&gt;D2031,D2031,"")</f>
        <v/>
      </c>
      <c r="M2031" s="1" t="str">
        <f aca="false">IF(F2030&lt;&gt;F2031,F2031,"")</f>
        <v/>
      </c>
    </row>
    <row r="2032" customFormat="false" ht="15" hidden="false" customHeight="false" outlineLevel="0" collapsed="false">
      <c r="A2032" s="1" t="s">
        <v>653</v>
      </c>
      <c r="B2032" s="1" t="s">
        <v>654</v>
      </c>
      <c r="C2032" s="1" t="s">
        <v>874</v>
      </c>
      <c r="D2032" s="1" t="s">
        <v>875</v>
      </c>
      <c r="E2032" s="1" t="n">
        <v>20171</v>
      </c>
      <c r="F2032" s="1" t="s">
        <v>208</v>
      </c>
      <c r="G2032" s="1" t="s">
        <v>101</v>
      </c>
      <c r="H2032" s="1" t="n">
        <v>2.5</v>
      </c>
      <c r="I2032" s="1" t="n">
        <v>0</v>
      </c>
      <c r="J2032" s="1" t="n">
        <v>20201</v>
      </c>
      <c r="L2032" s="1" t="str">
        <f aca="false">IF(D2031&lt;&gt;D2032,D2032,"")</f>
        <v/>
      </c>
      <c r="M2032" s="1" t="str">
        <f aca="false">IF(F2031&lt;&gt;F2032,F2032,"")</f>
        <v/>
      </c>
    </row>
    <row r="2033" customFormat="false" ht="15" hidden="false" customHeight="false" outlineLevel="0" collapsed="false">
      <c r="A2033" s="1" t="s">
        <v>761</v>
      </c>
      <c r="B2033" s="1" t="s">
        <v>762</v>
      </c>
      <c r="C2033" s="1" t="s">
        <v>874</v>
      </c>
      <c r="D2033" s="1" t="s">
        <v>875</v>
      </c>
      <c r="E2033" s="1" t="n">
        <v>20171</v>
      </c>
      <c r="F2033" s="1" t="s">
        <v>208</v>
      </c>
      <c r="G2033" s="1" t="s">
        <v>101</v>
      </c>
      <c r="H2033" s="1" t="n">
        <v>2.5</v>
      </c>
      <c r="I2033" s="1" t="n">
        <v>0</v>
      </c>
      <c r="J2033" s="1" t="n">
        <v>20201</v>
      </c>
      <c r="L2033" s="1" t="str">
        <f aca="false">IF(D2032&lt;&gt;D2033,D2033,"")</f>
        <v/>
      </c>
      <c r="M2033" s="1" t="str">
        <f aca="false">IF(F2032&lt;&gt;F2033,F2033,"")</f>
        <v/>
      </c>
    </row>
    <row r="2034" customFormat="false" ht="15" hidden="false" customHeight="false" outlineLevel="0" collapsed="false">
      <c r="A2034" s="1" t="s">
        <v>112</v>
      </c>
      <c r="B2034" s="1" t="s">
        <v>113</v>
      </c>
      <c r="C2034" s="1" t="s">
        <v>874</v>
      </c>
      <c r="D2034" s="1" t="s">
        <v>875</v>
      </c>
      <c r="E2034" s="1" t="n">
        <v>20171</v>
      </c>
      <c r="F2034" s="1" t="s">
        <v>208</v>
      </c>
      <c r="G2034" s="1" t="s">
        <v>101</v>
      </c>
      <c r="H2034" s="1" t="n">
        <v>2.5</v>
      </c>
      <c r="I2034" s="1" t="n">
        <v>0</v>
      </c>
      <c r="J2034" s="1" t="n">
        <v>20201</v>
      </c>
      <c r="L2034" s="1" t="str">
        <f aca="false">IF(D2033&lt;&gt;D2034,D2034,"")</f>
        <v/>
      </c>
      <c r="M2034" s="1" t="str">
        <f aca="false">IF(F2033&lt;&gt;F2034,F2034,"")</f>
        <v/>
      </c>
    </row>
    <row r="2035" customFormat="false" ht="15" hidden="false" customHeight="false" outlineLevel="0" collapsed="false">
      <c r="A2035" s="1" t="s">
        <v>613</v>
      </c>
      <c r="B2035" s="1" t="s">
        <v>614</v>
      </c>
      <c r="C2035" s="1" t="s">
        <v>874</v>
      </c>
      <c r="D2035" s="1" t="s">
        <v>875</v>
      </c>
      <c r="E2035" s="1" t="n">
        <v>20171</v>
      </c>
      <c r="F2035" s="1" t="s">
        <v>208</v>
      </c>
      <c r="G2035" s="1" t="s">
        <v>18</v>
      </c>
      <c r="H2035" s="1" t="n">
        <v>3</v>
      </c>
      <c r="I2035" s="1" t="n">
        <v>0</v>
      </c>
      <c r="J2035" s="1" t="n">
        <v>20201</v>
      </c>
      <c r="L2035" s="1" t="str">
        <f aca="false">IF(D2034&lt;&gt;D2035,D2035,"")</f>
        <v/>
      </c>
      <c r="M2035" s="1" t="str">
        <f aca="false">IF(F2034&lt;&gt;F2035,F2035,"")</f>
        <v/>
      </c>
    </row>
    <row r="2036" customFormat="false" ht="15" hidden="false" customHeight="false" outlineLevel="0" collapsed="false">
      <c r="A2036" s="1" t="s">
        <v>808</v>
      </c>
      <c r="B2036" s="1" t="s">
        <v>809</v>
      </c>
      <c r="C2036" s="1" t="s">
        <v>874</v>
      </c>
      <c r="D2036" s="1" t="s">
        <v>875</v>
      </c>
      <c r="E2036" s="1" t="n">
        <v>20171</v>
      </c>
      <c r="F2036" s="1" t="s">
        <v>208</v>
      </c>
      <c r="G2036" s="1" t="s">
        <v>14</v>
      </c>
      <c r="H2036" s="1" t="n">
        <v>4</v>
      </c>
      <c r="I2036" s="1" t="n">
        <v>0</v>
      </c>
      <c r="J2036" s="1" t="n">
        <v>20201</v>
      </c>
      <c r="L2036" s="1" t="str">
        <f aca="false">IF(D2035&lt;&gt;D2036,D2036,"")</f>
        <v/>
      </c>
      <c r="M2036" s="1" t="str">
        <f aca="false">IF(F2035&lt;&gt;F2036,F2036,"")</f>
        <v/>
      </c>
    </row>
    <row r="2037" customFormat="false" ht="15" hidden="false" customHeight="false" outlineLevel="0" collapsed="false">
      <c r="A2037" s="1" t="s">
        <v>593</v>
      </c>
      <c r="B2037" s="1" t="s">
        <v>594</v>
      </c>
      <c r="C2037" s="1" t="s">
        <v>874</v>
      </c>
      <c r="D2037" s="1" t="s">
        <v>875</v>
      </c>
      <c r="E2037" s="1" t="n">
        <v>20171</v>
      </c>
      <c r="F2037" s="1" t="s">
        <v>208</v>
      </c>
      <c r="G2037" s="1" t="s">
        <v>14</v>
      </c>
      <c r="H2037" s="1" t="n">
        <v>4</v>
      </c>
      <c r="I2037" s="1" t="n">
        <v>0</v>
      </c>
      <c r="J2037" s="1" t="n">
        <v>20201</v>
      </c>
      <c r="L2037" s="1" t="str">
        <f aca="false">IF(D2036&lt;&gt;D2037,D2037,"")</f>
        <v/>
      </c>
      <c r="M2037" s="1" t="str">
        <f aca="false">IF(F2036&lt;&gt;F2037,F2037,"")</f>
        <v/>
      </c>
    </row>
    <row r="2038" customFormat="false" ht="15" hidden="false" customHeight="false" outlineLevel="0" collapsed="false">
      <c r="A2038" s="1" t="s">
        <v>645</v>
      </c>
      <c r="B2038" s="1" t="s">
        <v>646</v>
      </c>
      <c r="C2038" s="1" t="s">
        <v>874</v>
      </c>
      <c r="D2038" s="1" t="s">
        <v>875</v>
      </c>
      <c r="E2038" s="1" t="n">
        <v>20171</v>
      </c>
      <c r="F2038" s="1" t="s">
        <v>208</v>
      </c>
      <c r="G2038" s="1" t="s">
        <v>101</v>
      </c>
      <c r="H2038" s="1" t="n">
        <v>2.5</v>
      </c>
      <c r="I2038" s="1" t="n">
        <v>0</v>
      </c>
      <c r="J2038" s="1" t="n">
        <v>20201</v>
      </c>
      <c r="L2038" s="1" t="str">
        <f aca="false">IF(D2037&lt;&gt;D2038,D2038,"")</f>
        <v/>
      </c>
      <c r="M2038" s="1" t="str">
        <f aca="false">IF(F2037&lt;&gt;F2038,F2038,"")</f>
        <v/>
      </c>
    </row>
    <row r="2039" customFormat="false" ht="15" hidden="false" customHeight="false" outlineLevel="0" collapsed="false">
      <c r="A2039" s="1" t="s">
        <v>621</v>
      </c>
      <c r="B2039" s="1" t="s">
        <v>622</v>
      </c>
      <c r="C2039" s="1" t="s">
        <v>874</v>
      </c>
      <c r="D2039" s="1" t="s">
        <v>875</v>
      </c>
      <c r="E2039" s="1" t="n">
        <v>20171</v>
      </c>
      <c r="F2039" s="1" t="s">
        <v>208</v>
      </c>
      <c r="G2039" s="1" t="s">
        <v>15</v>
      </c>
      <c r="H2039" s="1" t="n">
        <v>3.5</v>
      </c>
      <c r="I2039" s="1" t="n">
        <v>0</v>
      </c>
      <c r="J2039" s="1" t="n">
        <v>20201</v>
      </c>
      <c r="L2039" s="1" t="str">
        <f aca="false">IF(D2038&lt;&gt;D2039,D2039,"")</f>
        <v/>
      </c>
      <c r="M2039" s="1" t="str">
        <f aca="false">IF(F2038&lt;&gt;F2039,F2039,"")</f>
        <v/>
      </c>
    </row>
    <row r="2040" customFormat="false" ht="15" hidden="false" customHeight="false" outlineLevel="0" collapsed="false">
      <c r="A2040" s="1" t="s">
        <v>647</v>
      </c>
      <c r="B2040" s="1" t="s">
        <v>648</v>
      </c>
      <c r="C2040" s="1" t="s">
        <v>874</v>
      </c>
      <c r="D2040" s="1" t="s">
        <v>875</v>
      </c>
      <c r="E2040" s="1" t="n">
        <v>20171</v>
      </c>
      <c r="F2040" s="1" t="s">
        <v>208</v>
      </c>
      <c r="G2040" s="1" t="s">
        <v>18</v>
      </c>
      <c r="H2040" s="1" t="n">
        <v>3</v>
      </c>
      <c r="I2040" s="1" t="n">
        <v>0</v>
      </c>
      <c r="J2040" s="1" t="n">
        <v>20201</v>
      </c>
      <c r="L2040" s="1" t="str">
        <f aca="false">IF(D2039&lt;&gt;D2040,D2040,"")</f>
        <v/>
      </c>
      <c r="M2040" s="1" t="str">
        <f aca="false">IF(F2039&lt;&gt;F2040,F2040,"")</f>
        <v/>
      </c>
    </row>
    <row r="2041" customFormat="false" ht="15" hidden="false" customHeight="false" outlineLevel="0" collapsed="false">
      <c r="A2041" s="1" t="s">
        <v>822</v>
      </c>
      <c r="B2041" s="1" t="s">
        <v>823</v>
      </c>
      <c r="C2041" s="1" t="s">
        <v>874</v>
      </c>
      <c r="D2041" s="1" t="s">
        <v>875</v>
      </c>
      <c r="E2041" s="1" t="n">
        <v>20171</v>
      </c>
      <c r="F2041" s="1" t="s">
        <v>208</v>
      </c>
      <c r="G2041" s="1" t="s">
        <v>101</v>
      </c>
      <c r="H2041" s="1" t="n">
        <v>2.5</v>
      </c>
      <c r="I2041" s="1" t="n">
        <v>0</v>
      </c>
      <c r="J2041" s="1" t="n">
        <v>20201</v>
      </c>
      <c r="L2041" s="1" t="str">
        <f aca="false">IF(D2040&lt;&gt;D2041,D2041,"")</f>
        <v/>
      </c>
      <c r="M2041" s="1" t="str">
        <f aca="false">IF(F2040&lt;&gt;F2041,F2041,"")</f>
        <v/>
      </c>
    </row>
    <row r="2042" customFormat="false" ht="15" hidden="false" customHeight="false" outlineLevel="0" collapsed="false">
      <c r="A2042" s="1" t="s">
        <v>661</v>
      </c>
      <c r="B2042" s="1" t="s">
        <v>662</v>
      </c>
      <c r="C2042" s="1" t="s">
        <v>874</v>
      </c>
      <c r="D2042" s="1" t="s">
        <v>875</v>
      </c>
      <c r="E2042" s="1" t="n">
        <v>20171</v>
      </c>
      <c r="F2042" s="1" t="s">
        <v>208</v>
      </c>
      <c r="G2042" s="1" t="s">
        <v>18</v>
      </c>
      <c r="H2042" s="1" t="n">
        <v>3</v>
      </c>
      <c r="I2042" s="1" t="n">
        <v>0</v>
      </c>
      <c r="J2042" s="1" t="n">
        <v>20201</v>
      </c>
      <c r="L2042" s="1" t="str">
        <f aca="false">IF(D2041&lt;&gt;D2042,D2042,"")</f>
        <v/>
      </c>
      <c r="M2042" s="1" t="str">
        <f aca="false">IF(F2041&lt;&gt;F2042,F2042,"")</f>
        <v/>
      </c>
    </row>
    <row r="2043" customFormat="false" ht="15" hidden="false" customHeight="false" outlineLevel="0" collapsed="false">
      <c r="A2043" s="1" t="s">
        <v>595</v>
      </c>
      <c r="B2043" s="1" t="s">
        <v>596</v>
      </c>
      <c r="C2043" s="1" t="s">
        <v>874</v>
      </c>
      <c r="D2043" s="1" t="s">
        <v>875</v>
      </c>
      <c r="E2043" s="1" t="n">
        <v>20171</v>
      </c>
      <c r="F2043" s="1" t="s">
        <v>208</v>
      </c>
      <c r="G2043" s="1" t="s">
        <v>18</v>
      </c>
      <c r="H2043" s="1" t="n">
        <v>3</v>
      </c>
      <c r="I2043" s="1" t="n">
        <v>0</v>
      </c>
      <c r="J2043" s="1" t="n">
        <v>20201</v>
      </c>
      <c r="L2043" s="1" t="str">
        <f aca="false">IF(D2042&lt;&gt;D2043,D2043,"")</f>
        <v/>
      </c>
      <c r="M2043" s="1" t="str">
        <f aca="false">IF(F2042&lt;&gt;F2043,F2043,"")</f>
        <v/>
      </c>
    </row>
    <row r="2044" customFormat="false" ht="15" hidden="false" customHeight="false" outlineLevel="0" collapsed="false">
      <c r="A2044" s="1" t="s">
        <v>114</v>
      </c>
      <c r="B2044" s="1" t="s">
        <v>115</v>
      </c>
      <c r="C2044" s="1" t="s">
        <v>874</v>
      </c>
      <c r="D2044" s="1" t="s">
        <v>875</v>
      </c>
      <c r="E2044" s="1" t="n">
        <v>20171</v>
      </c>
      <c r="F2044" s="1" t="s">
        <v>208</v>
      </c>
      <c r="G2044" s="1" t="s">
        <v>18</v>
      </c>
      <c r="H2044" s="1" t="n">
        <v>3</v>
      </c>
      <c r="I2044" s="1" t="n">
        <v>0</v>
      </c>
      <c r="J2044" s="1" t="n">
        <v>20201</v>
      </c>
      <c r="L2044" s="1" t="str">
        <f aca="false">IF(D2043&lt;&gt;D2044,D2044,"")</f>
        <v/>
      </c>
      <c r="M2044" s="1" t="str">
        <f aca="false">IF(F2043&lt;&gt;F2044,F2044,"")</f>
        <v/>
      </c>
    </row>
    <row r="2045" customFormat="false" ht="15" hidden="false" customHeight="false" outlineLevel="0" collapsed="false">
      <c r="A2045" s="1" t="s">
        <v>828</v>
      </c>
      <c r="B2045" s="1" t="s">
        <v>829</v>
      </c>
      <c r="C2045" s="1" t="s">
        <v>874</v>
      </c>
      <c r="D2045" s="1" t="s">
        <v>875</v>
      </c>
      <c r="E2045" s="1" t="n">
        <v>20171</v>
      </c>
      <c r="F2045" s="1" t="s">
        <v>208</v>
      </c>
      <c r="G2045" s="1" t="s">
        <v>101</v>
      </c>
      <c r="H2045" s="1" t="n">
        <v>2.5</v>
      </c>
      <c r="I2045" s="1" t="n">
        <v>0</v>
      </c>
      <c r="J2045" s="1" t="n">
        <v>20201</v>
      </c>
      <c r="L2045" s="1" t="str">
        <f aca="false">IF(D2044&lt;&gt;D2045,D2045,"")</f>
        <v/>
      </c>
      <c r="M2045" s="1" t="str">
        <f aca="false">IF(F2044&lt;&gt;F2045,F2045,"")</f>
        <v/>
      </c>
    </row>
    <row r="2046" customFormat="false" ht="15" hidden="false" customHeight="false" outlineLevel="0" collapsed="false">
      <c r="A2046" s="1" t="s">
        <v>830</v>
      </c>
      <c r="B2046" s="1" t="s">
        <v>831</v>
      </c>
      <c r="C2046" s="1" t="s">
        <v>874</v>
      </c>
      <c r="D2046" s="1" t="s">
        <v>875</v>
      </c>
      <c r="E2046" s="1" t="n">
        <v>20171</v>
      </c>
      <c r="F2046" s="1" t="s">
        <v>208</v>
      </c>
      <c r="G2046" s="1" t="s">
        <v>14</v>
      </c>
      <c r="H2046" s="1" t="n">
        <v>4</v>
      </c>
      <c r="I2046" s="1" t="n">
        <v>0</v>
      </c>
      <c r="J2046" s="1" t="n">
        <v>20201</v>
      </c>
      <c r="L2046" s="1" t="str">
        <f aca="false">IF(D2045&lt;&gt;D2046,D2046,"")</f>
        <v/>
      </c>
      <c r="M2046" s="1" t="str">
        <f aca="false">IF(F2045&lt;&gt;F2046,F2046,"")</f>
        <v/>
      </c>
    </row>
    <row r="2047" customFormat="false" ht="15" hidden="false" customHeight="false" outlineLevel="0" collapsed="false">
      <c r="A2047" s="1" t="s">
        <v>862</v>
      </c>
      <c r="B2047" s="1" t="s">
        <v>863</v>
      </c>
      <c r="C2047" s="1" t="s">
        <v>876</v>
      </c>
      <c r="D2047" s="1" t="s">
        <v>877</v>
      </c>
      <c r="E2047" s="1" t="n">
        <v>20171</v>
      </c>
      <c r="F2047" s="1" t="s">
        <v>208</v>
      </c>
      <c r="G2047" s="1" t="s">
        <v>14</v>
      </c>
      <c r="H2047" s="1" t="n">
        <v>4</v>
      </c>
      <c r="I2047" s="1" t="n">
        <v>0</v>
      </c>
      <c r="J2047" s="1" t="n">
        <v>20201</v>
      </c>
      <c r="L2047" s="1" t="str">
        <f aca="false">IF(D2046&lt;&gt;D2047,D2047,"")</f>
        <v>PIRANTI MIKROELEKTRONIKA</v>
      </c>
      <c r="M2047" s="1" t="str">
        <f aca="false">IF(F2046&lt;&gt;F2047,F2047,"")</f>
        <v/>
      </c>
    </row>
    <row r="2048" customFormat="false" ht="15" hidden="false" customHeight="false" outlineLevel="0" collapsed="false">
      <c r="A2048" s="1" t="s">
        <v>790</v>
      </c>
      <c r="B2048" s="1" t="s">
        <v>791</v>
      </c>
      <c r="C2048" s="1" t="s">
        <v>876</v>
      </c>
      <c r="D2048" s="1" t="s">
        <v>877</v>
      </c>
      <c r="E2048" s="1" t="n">
        <v>20171</v>
      </c>
      <c r="F2048" s="1" t="s">
        <v>208</v>
      </c>
      <c r="G2048" s="1" t="s">
        <v>15</v>
      </c>
      <c r="H2048" s="1" t="n">
        <v>3.5</v>
      </c>
      <c r="I2048" s="1" t="n">
        <v>0</v>
      </c>
      <c r="J2048" s="1" t="n">
        <v>20201</v>
      </c>
      <c r="L2048" s="1" t="str">
        <f aca="false">IF(D2047&lt;&gt;D2048,D2048,"")</f>
        <v/>
      </c>
      <c r="M2048" s="1" t="str">
        <f aca="false">IF(F2047&lt;&gt;F2048,F2048,"")</f>
        <v/>
      </c>
    </row>
    <row r="2049" customFormat="false" ht="15" hidden="false" customHeight="false" outlineLevel="0" collapsed="false">
      <c r="A2049" s="1" t="s">
        <v>759</v>
      </c>
      <c r="B2049" s="1" t="s">
        <v>760</v>
      </c>
      <c r="C2049" s="1" t="s">
        <v>876</v>
      </c>
      <c r="D2049" s="1" t="s">
        <v>877</v>
      </c>
      <c r="E2049" s="1" t="n">
        <v>20171</v>
      </c>
      <c r="F2049" s="1" t="s">
        <v>208</v>
      </c>
      <c r="G2049" s="1" t="s">
        <v>14</v>
      </c>
      <c r="H2049" s="1" t="n">
        <v>4</v>
      </c>
      <c r="I2049" s="1" t="n">
        <v>0</v>
      </c>
      <c r="J2049" s="1" t="n">
        <v>20201</v>
      </c>
      <c r="L2049" s="1" t="str">
        <f aca="false">IF(D2048&lt;&gt;D2049,D2049,"")</f>
        <v/>
      </c>
      <c r="M2049" s="1" t="str">
        <f aca="false">IF(F2048&lt;&gt;F2049,F2049,"")</f>
        <v/>
      </c>
    </row>
    <row r="2050" customFormat="false" ht="15" hidden="false" customHeight="false" outlineLevel="0" collapsed="false">
      <c r="A2050" s="1" t="s">
        <v>653</v>
      </c>
      <c r="B2050" s="1" t="s">
        <v>654</v>
      </c>
      <c r="C2050" s="1" t="s">
        <v>876</v>
      </c>
      <c r="D2050" s="1" t="s">
        <v>877</v>
      </c>
      <c r="E2050" s="1" t="n">
        <v>20171</v>
      </c>
      <c r="F2050" s="1" t="s">
        <v>208</v>
      </c>
      <c r="G2050" s="1" t="s">
        <v>14</v>
      </c>
      <c r="H2050" s="1" t="n">
        <v>4</v>
      </c>
      <c r="I2050" s="1" t="n">
        <v>0</v>
      </c>
      <c r="J2050" s="1" t="n">
        <v>20201</v>
      </c>
      <c r="L2050" s="1" t="str">
        <f aca="false">IF(D2049&lt;&gt;D2050,D2050,"")</f>
        <v/>
      </c>
      <c r="M2050" s="1" t="str">
        <f aca="false">IF(F2049&lt;&gt;F2050,F2050,"")</f>
        <v/>
      </c>
    </row>
    <row r="2051" customFormat="false" ht="15" hidden="false" customHeight="false" outlineLevel="0" collapsed="false">
      <c r="A2051" s="1" t="s">
        <v>593</v>
      </c>
      <c r="B2051" s="1" t="s">
        <v>594</v>
      </c>
      <c r="C2051" s="1" t="s">
        <v>876</v>
      </c>
      <c r="D2051" s="1" t="s">
        <v>877</v>
      </c>
      <c r="E2051" s="1" t="n">
        <v>20171</v>
      </c>
      <c r="F2051" s="1" t="s">
        <v>208</v>
      </c>
      <c r="G2051" s="1" t="s">
        <v>14</v>
      </c>
      <c r="H2051" s="1" t="n">
        <v>4</v>
      </c>
      <c r="I2051" s="1" t="n">
        <v>0</v>
      </c>
      <c r="J2051" s="1" t="n">
        <v>20201</v>
      </c>
      <c r="L2051" s="1" t="str">
        <f aca="false">IF(D2050&lt;&gt;D2051,D2051,"")</f>
        <v/>
      </c>
      <c r="M2051" s="1" t="str">
        <f aca="false">IF(F2050&lt;&gt;F2051,F2051,"")</f>
        <v/>
      </c>
    </row>
    <row r="2052" customFormat="false" ht="15" hidden="false" customHeight="false" outlineLevel="0" collapsed="false">
      <c r="A2052" s="1" t="s">
        <v>645</v>
      </c>
      <c r="B2052" s="1" t="s">
        <v>646</v>
      </c>
      <c r="C2052" s="1" t="s">
        <v>876</v>
      </c>
      <c r="D2052" s="1" t="s">
        <v>877</v>
      </c>
      <c r="E2052" s="1" t="n">
        <v>20171</v>
      </c>
      <c r="F2052" s="1" t="s">
        <v>208</v>
      </c>
      <c r="G2052" s="1" t="s">
        <v>14</v>
      </c>
      <c r="H2052" s="1" t="n">
        <v>4</v>
      </c>
      <c r="I2052" s="1" t="n">
        <v>0</v>
      </c>
      <c r="J2052" s="1" t="n">
        <v>20201</v>
      </c>
      <c r="L2052" s="1" t="str">
        <f aca="false">IF(D2051&lt;&gt;D2052,D2052,"")</f>
        <v/>
      </c>
      <c r="M2052" s="1" t="str">
        <f aca="false">IF(F2051&lt;&gt;F2052,F2052,"")</f>
        <v/>
      </c>
    </row>
    <row r="2053" customFormat="false" ht="15" hidden="false" customHeight="false" outlineLevel="0" collapsed="false">
      <c r="A2053" s="1" t="s">
        <v>621</v>
      </c>
      <c r="B2053" s="1" t="s">
        <v>622</v>
      </c>
      <c r="C2053" s="1" t="s">
        <v>876</v>
      </c>
      <c r="D2053" s="1" t="s">
        <v>877</v>
      </c>
      <c r="E2053" s="1" t="n">
        <v>20171</v>
      </c>
      <c r="F2053" s="1" t="s">
        <v>208</v>
      </c>
      <c r="G2053" s="1" t="s">
        <v>15</v>
      </c>
      <c r="H2053" s="1" t="n">
        <v>3.5</v>
      </c>
      <c r="I2053" s="1" t="n">
        <v>0</v>
      </c>
      <c r="J2053" s="1" t="n">
        <v>20201</v>
      </c>
      <c r="L2053" s="1" t="str">
        <f aca="false">IF(D2052&lt;&gt;D2053,D2053,"")</f>
        <v/>
      </c>
      <c r="M2053" s="1" t="str">
        <f aca="false">IF(F2052&lt;&gt;F2053,F2053,"")</f>
        <v/>
      </c>
    </row>
    <row r="2054" customFormat="false" ht="15" hidden="false" customHeight="false" outlineLevel="0" collapsed="false">
      <c r="A2054" s="1" t="s">
        <v>647</v>
      </c>
      <c r="B2054" s="1" t="s">
        <v>648</v>
      </c>
      <c r="C2054" s="1" t="s">
        <v>876</v>
      </c>
      <c r="D2054" s="1" t="s">
        <v>877</v>
      </c>
      <c r="E2054" s="1" t="n">
        <v>20171</v>
      </c>
      <c r="F2054" s="1" t="s">
        <v>208</v>
      </c>
      <c r="G2054" s="1" t="s">
        <v>14</v>
      </c>
      <c r="H2054" s="1" t="n">
        <v>4</v>
      </c>
      <c r="I2054" s="1" t="n">
        <v>0</v>
      </c>
      <c r="J2054" s="1" t="n">
        <v>20201</v>
      </c>
      <c r="L2054" s="1" t="str">
        <f aca="false">IF(D2053&lt;&gt;D2054,D2054,"")</f>
        <v/>
      </c>
      <c r="M2054" s="1" t="str">
        <f aca="false">IF(F2053&lt;&gt;F2054,F2054,"")</f>
        <v/>
      </c>
    </row>
    <row r="2055" customFormat="false" ht="15" hidden="false" customHeight="false" outlineLevel="0" collapsed="false">
      <c r="A2055" s="1" t="s">
        <v>657</v>
      </c>
      <c r="B2055" s="1" t="s">
        <v>658</v>
      </c>
      <c r="C2055" s="1" t="s">
        <v>876</v>
      </c>
      <c r="D2055" s="1" t="s">
        <v>877</v>
      </c>
      <c r="E2055" s="1" t="n">
        <v>20171</v>
      </c>
      <c r="F2055" s="1" t="s">
        <v>208</v>
      </c>
      <c r="G2055" s="1" t="s">
        <v>14</v>
      </c>
      <c r="H2055" s="1" t="n">
        <v>4</v>
      </c>
      <c r="I2055" s="1" t="n">
        <v>0</v>
      </c>
      <c r="J2055" s="1" t="n">
        <v>20201</v>
      </c>
      <c r="L2055" s="1" t="str">
        <f aca="false">IF(D2054&lt;&gt;D2055,D2055,"")</f>
        <v/>
      </c>
      <c r="M2055" s="1" t="str">
        <f aca="false">IF(F2054&lt;&gt;F2055,F2055,"")</f>
        <v/>
      </c>
    </row>
    <row r="2056" customFormat="false" ht="15" hidden="false" customHeight="false" outlineLevel="0" collapsed="false">
      <c r="A2056" s="1" t="s">
        <v>822</v>
      </c>
      <c r="B2056" s="1" t="s">
        <v>823</v>
      </c>
      <c r="C2056" s="1" t="s">
        <v>876</v>
      </c>
      <c r="D2056" s="1" t="s">
        <v>877</v>
      </c>
      <c r="E2056" s="1" t="n">
        <v>20171</v>
      </c>
      <c r="F2056" s="1" t="s">
        <v>208</v>
      </c>
      <c r="G2056" s="1" t="s">
        <v>18</v>
      </c>
      <c r="H2056" s="1" t="n">
        <v>3</v>
      </c>
      <c r="I2056" s="1" t="n">
        <v>0</v>
      </c>
      <c r="J2056" s="1" t="n">
        <v>20201</v>
      </c>
      <c r="L2056" s="1" t="str">
        <f aca="false">IF(D2055&lt;&gt;D2056,D2056,"")</f>
        <v/>
      </c>
      <c r="M2056" s="1" t="str">
        <f aca="false">IF(F2055&lt;&gt;F2056,F2056,"")</f>
        <v/>
      </c>
    </row>
    <row r="2057" customFormat="false" ht="15" hidden="false" customHeight="false" outlineLevel="0" collapsed="false">
      <c r="A2057" s="1" t="s">
        <v>689</v>
      </c>
      <c r="B2057" s="1" t="s">
        <v>690</v>
      </c>
      <c r="C2057" s="1" t="s">
        <v>876</v>
      </c>
      <c r="D2057" s="1" t="s">
        <v>877</v>
      </c>
      <c r="E2057" s="1" t="n">
        <v>20171</v>
      </c>
      <c r="F2057" s="1" t="s">
        <v>208</v>
      </c>
      <c r="G2057" s="1" t="s">
        <v>14</v>
      </c>
      <c r="H2057" s="1" t="n">
        <v>4</v>
      </c>
      <c r="I2057" s="1" t="n">
        <v>0</v>
      </c>
      <c r="J2057" s="1" t="n">
        <v>20201</v>
      </c>
      <c r="L2057" s="1" t="str">
        <f aca="false">IF(D2056&lt;&gt;D2057,D2057,"")</f>
        <v/>
      </c>
      <c r="M2057" s="1" t="str">
        <f aca="false">IF(F2056&lt;&gt;F2057,F2057,"")</f>
        <v/>
      </c>
    </row>
    <row r="2058" customFormat="false" ht="15" hidden="false" customHeight="false" outlineLevel="0" collapsed="false">
      <c r="A2058" s="1" t="s">
        <v>691</v>
      </c>
      <c r="B2058" s="1" t="s">
        <v>692</v>
      </c>
      <c r="C2058" s="1" t="s">
        <v>876</v>
      </c>
      <c r="D2058" s="1" t="s">
        <v>877</v>
      </c>
      <c r="E2058" s="1" t="n">
        <v>20171</v>
      </c>
      <c r="F2058" s="1" t="s">
        <v>208</v>
      </c>
      <c r="G2058" s="1" t="s">
        <v>15</v>
      </c>
      <c r="H2058" s="1" t="n">
        <v>3.5</v>
      </c>
      <c r="I2058" s="1" t="n">
        <v>0</v>
      </c>
      <c r="J2058" s="1" t="n">
        <v>20201</v>
      </c>
      <c r="L2058" s="1" t="str">
        <f aca="false">IF(D2057&lt;&gt;D2058,D2058,"")</f>
        <v/>
      </c>
      <c r="M2058" s="1" t="str">
        <f aca="false">IF(F2057&lt;&gt;F2058,F2058,"")</f>
        <v/>
      </c>
    </row>
    <row r="2059" customFormat="false" ht="15" hidden="false" customHeight="false" outlineLevel="0" collapsed="false">
      <c r="A2059" s="1" t="s">
        <v>693</v>
      </c>
      <c r="B2059" s="1" t="s">
        <v>694</v>
      </c>
      <c r="C2059" s="1" t="s">
        <v>876</v>
      </c>
      <c r="D2059" s="1" t="s">
        <v>877</v>
      </c>
      <c r="E2059" s="1" t="n">
        <v>20171</v>
      </c>
      <c r="F2059" s="1" t="s">
        <v>208</v>
      </c>
      <c r="G2059" s="1" t="s">
        <v>14</v>
      </c>
      <c r="H2059" s="1" t="n">
        <v>4</v>
      </c>
      <c r="I2059" s="1" t="n">
        <v>0</v>
      </c>
      <c r="J2059" s="1" t="n">
        <v>20201</v>
      </c>
      <c r="L2059" s="1" t="str">
        <f aca="false">IF(D2058&lt;&gt;D2059,D2059,"")</f>
        <v/>
      </c>
      <c r="M2059" s="1" t="str">
        <f aca="false">IF(F2058&lt;&gt;F2059,F2059,"")</f>
        <v/>
      </c>
    </row>
    <row r="2060" customFormat="false" ht="15" hidden="false" customHeight="false" outlineLevel="0" collapsed="false">
      <c r="A2060" s="1" t="s">
        <v>695</v>
      </c>
      <c r="B2060" s="1" t="s">
        <v>696</v>
      </c>
      <c r="C2060" s="1" t="s">
        <v>876</v>
      </c>
      <c r="D2060" s="1" t="s">
        <v>877</v>
      </c>
      <c r="E2060" s="1" t="n">
        <v>20171</v>
      </c>
      <c r="F2060" s="1" t="s">
        <v>208</v>
      </c>
      <c r="G2060" s="1" t="s">
        <v>15</v>
      </c>
      <c r="H2060" s="1" t="n">
        <v>3.5</v>
      </c>
      <c r="I2060" s="1" t="n">
        <v>0</v>
      </c>
      <c r="J2060" s="1" t="n">
        <v>20201</v>
      </c>
      <c r="L2060" s="1" t="str">
        <f aca="false">IF(D2059&lt;&gt;D2060,D2060,"")</f>
        <v/>
      </c>
      <c r="M2060" s="1" t="str">
        <f aca="false">IF(F2059&lt;&gt;F2060,F2060,"")</f>
        <v/>
      </c>
    </row>
    <row r="2061" customFormat="false" ht="15" hidden="false" customHeight="false" outlineLevel="0" collapsed="false">
      <c r="A2061" s="1" t="s">
        <v>697</v>
      </c>
      <c r="B2061" s="1" t="s">
        <v>698</v>
      </c>
      <c r="C2061" s="1" t="s">
        <v>876</v>
      </c>
      <c r="D2061" s="1" t="s">
        <v>877</v>
      </c>
      <c r="E2061" s="1" t="n">
        <v>20171</v>
      </c>
      <c r="F2061" s="1" t="s">
        <v>208</v>
      </c>
      <c r="G2061" s="1" t="s">
        <v>14</v>
      </c>
      <c r="H2061" s="1" t="n">
        <v>4</v>
      </c>
      <c r="I2061" s="1" t="n">
        <v>0</v>
      </c>
      <c r="J2061" s="1" t="n">
        <v>20201</v>
      </c>
      <c r="L2061" s="1" t="str">
        <f aca="false">IF(D2060&lt;&gt;D2061,D2061,"")</f>
        <v/>
      </c>
      <c r="M2061" s="1" t="str">
        <f aca="false">IF(F2060&lt;&gt;F2061,F2061,"")</f>
        <v/>
      </c>
    </row>
    <row r="2062" customFormat="false" ht="15" hidden="false" customHeight="false" outlineLevel="0" collapsed="false">
      <c r="A2062" s="1" t="s">
        <v>699</v>
      </c>
      <c r="B2062" s="1" t="s">
        <v>700</v>
      </c>
      <c r="C2062" s="1" t="s">
        <v>876</v>
      </c>
      <c r="D2062" s="1" t="s">
        <v>877</v>
      </c>
      <c r="E2062" s="1" t="n">
        <v>20171</v>
      </c>
      <c r="F2062" s="1" t="s">
        <v>208</v>
      </c>
      <c r="G2062" s="1" t="s">
        <v>14</v>
      </c>
      <c r="H2062" s="1" t="n">
        <v>4</v>
      </c>
      <c r="I2062" s="1" t="n">
        <v>0</v>
      </c>
      <c r="J2062" s="1" t="n">
        <v>20201</v>
      </c>
      <c r="L2062" s="1" t="str">
        <f aca="false">IF(D2061&lt;&gt;D2062,D2062,"")</f>
        <v/>
      </c>
      <c r="M2062" s="1" t="str">
        <f aca="false">IF(F2061&lt;&gt;F2062,F2062,"")</f>
        <v/>
      </c>
    </row>
    <row r="2063" customFormat="false" ht="15" hidden="false" customHeight="false" outlineLevel="0" collapsed="false">
      <c r="A2063" s="1" t="s">
        <v>703</v>
      </c>
      <c r="B2063" s="1" t="s">
        <v>704</v>
      </c>
      <c r="C2063" s="1" t="s">
        <v>876</v>
      </c>
      <c r="D2063" s="1" t="s">
        <v>877</v>
      </c>
      <c r="E2063" s="1" t="n">
        <v>20171</v>
      </c>
      <c r="F2063" s="1" t="s">
        <v>208</v>
      </c>
      <c r="G2063" s="1" t="s">
        <v>14</v>
      </c>
      <c r="H2063" s="1" t="n">
        <v>4</v>
      </c>
      <c r="I2063" s="1" t="n">
        <v>0</v>
      </c>
      <c r="J2063" s="1" t="n">
        <v>20201</v>
      </c>
      <c r="L2063" s="1" t="str">
        <f aca="false">IF(D2062&lt;&gt;D2063,D2063,"")</f>
        <v/>
      </c>
      <c r="M2063" s="1" t="str">
        <f aca="false">IF(F2062&lt;&gt;F2063,F2063,"")</f>
        <v/>
      </c>
    </row>
    <row r="2064" customFormat="false" ht="15" hidden="false" customHeight="false" outlineLevel="0" collapsed="false">
      <c r="A2064" s="1" t="s">
        <v>707</v>
      </c>
      <c r="B2064" s="1" t="s">
        <v>708</v>
      </c>
      <c r="C2064" s="1" t="s">
        <v>876</v>
      </c>
      <c r="D2064" s="1" t="s">
        <v>877</v>
      </c>
      <c r="E2064" s="1" t="n">
        <v>20171</v>
      </c>
      <c r="F2064" s="1" t="s">
        <v>208</v>
      </c>
      <c r="G2064" s="1" t="s">
        <v>15</v>
      </c>
      <c r="H2064" s="1" t="n">
        <v>3.5</v>
      </c>
      <c r="I2064" s="1" t="n">
        <v>0</v>
      </c>
      <c r="J2064" s="1" t="n">
        <v>20201</v>
      </c>
      <c r="L2064" s="1" t="str">
        <f aca="false">IF(D2063&lt;&gt;D2064,D2064,"")</f>
        <v/>
      </c>
      <c r="M2064" s="1" t="str">
        <f aca="false">IF(F2063&lt;&gt;F2064,F2064,"")</f>
        <v/>
      </c>
    </row>
    <row r="2065" customFormat="false" ht="15" hidden="false" customHeight="false" outlineLevel="0" collapsed="false">
      <c r="A2065" s="1" t="s">
        <v>709</v>
      </c>
      <c r="B2065" s="1" t="s">
        <v>710</v>
      </c>
      <c r="C2065" s="1" t="s">
        <v>876</v>
      </c>
      <c r="D2065" s="1" t="s">
        <v>877</v>
      </c>
      <c r="E2065" s="1" t="n">
        <v>20171</v>
      </c>
      <c r="F2065" s="1" t="s">
        <v>208</v>
      </c>
      <c r="G2065" s="1" t="s">
        <v>14</v>
      </c>
      <c r="H2065" s="1" t="n">
        <v>4</v>
      </c>
      <c r="I2065" s="1" t="n">
        <v>0</v>
      </c>
      <c r="J2065" s="1" t="n">
        <v>20201</v>
      </c>
      <c r="L2065" s="1" t="str">
        <f aca="false">IF(D2064&lt;&gt;D2065,D2065,"")</f>
        <v/>
      </c>
      <c r="M2065" s="1" t="str">
        <f aca="false">IF(F2064&lt;&gt;F2065,F2065,"")</f>
        <v/>
      </c>
    </row>
    <row r="2066" customFormat="false" ht="15" hidden="false" customHeight="false" outlineLevel="0" collapsed="false">
      <c r="A2066" s="1" t="s">
        <v>711</v>
      </c>
      <c r="B2066" s="1" t="s">
        <v>712</v>
      </c>
      <c r="C2066" s="1" t="s">
        <v>876</v>
      </c>
      <c r="D2066" s="1" t="s">
        <v>877</v>
      </c>
      <c r="E2066" s="1" t="n">
        <v>20171</v>
      </c>
      <c r="F2066" s="1" t="s">
        <v>208</v>
      </c>
      <c r="G2066" s="1" t="s">
        <v>15</v>
      </c>
      <c r="H2066" s="1" t="n">
        <v>3.5</v>
      </c>
      <c r="I2066" s="1" t="n">
        <v>0</v>
      </c>
      <c r="J2066" s="1" t="n">
        <v>20201</v>
      </c>
      <c r="L2066" s="1" t="str">
        <f aca="false">IF(D2065&lt;&gt;D2066,D2066,"")</f>
        <v/>
      </c>
      <c r="M2066" s="1" t="str">
        <f aca="false">IF(F2065&lt;&gt;F2066,F2066,"")</f>
        <v/>
      </c>
    </row>
    <row r="2067" customFormat="false" ht="15" hidden="false" customHeight="false" outlineLevel="0" collapsed="false">
      <c r="A2067" s="1" t="s">
        <v>713</v>
      </c>
      <c r="B2067" s="1" t="s">
        <v>714</v>
      </c>
      <c r="C2067" s="1" t="s">
        <v>876</v>
      </c>
      <c r="D2067" s="1" t="s">
        <v>877</v>
      </c>
      <c r="E2067" s="1" t="n">
        <v>20171</v>
      </c>
      <c r="F2067" s="1" t="s">
        <v>208</v>
      </c>
      <c r="G2067" s="1" t="s">
        <v>14</v>
      </c>
      <c r="H2067" s="1" t="n">
        <v>4</v>
      </c>
      <c r="I2067" s="1" t="n">
        <v>0</v>
      </c>
      <c r="J2067" s="1" t="n">
        <v>20201</v>
      </c>
      <c r="L2067" s="1" t="str">
        <f aca="false">IF(D2066&lt;&gt;D2067,D2067,"")</f>
        <v/>
      </c>
      <c r="M2067" s="1" t="str">
        <f aca="false">IF(F2066&lt;&gt;F2067,F2067,"")</f>
        <v/>
      </c>
    </row>
    <row r="2068" customFormat="false" ht="15" hidden="false" customHeight="false" outlineLevel="0" collapsed="false">
      <c r="A2068" s="1" t="s">
        <v>715</v>
      </c>
      <c r="B2068" s="1" t="s">
        <v>716</v>
      </c>
      <c r="C2068" s="1" t="s">
        <v>876</v>
      </c>
      <c r="D2068" s="1" t="s">
        <v>877</v>
      </c>
      <c r="E2068" s="1" t="n">
        <v>20171</v>
      </c>
      <c r="F2068" s="1" t="s">
        <v>208</v>
      </c>
      <c r="G2068" s="1" t="s">
        <v>14</v>
      </c>
      <c r="H2068" s="1" t="n">
        <v>4</v>
      </c>
      <c r="I2068" s="1" t="n">
        <v>0</v>
      </c>
      <c r="J2068" s="1" t="n">
        <v>20201</v>
      </c>
      <c r="L2068" s="1" t="str">
        <f aca="false">IF(D2067&lt;&gt;D2068,D2068,"")</f>
        <v/>
      </c>
      <c r="M2068" s="1" t="str">
        <f aca="false">IF(F2067&lt;&gt;F2068,F2068,"")</f>
        <v/>
      </c>
    </row>
    <row r="2069" customFormat="false" ht="15" hidden="false" customHeight="false" outlineLevel="0" collapsed="false">
      <c r="A2069" s="1" t="s">
        <v>717</v>
      </c>
      <c r="B2069" s="1" t="s">
        <v>718</v>
      </c>
      <c r="C2069" s="1" t="s">
        <v>876</v>
      </c>
      <c r="D2069" s="1" t="s">
        <v>877</v>
      </c>
      <c r="E2069" s="1" t="n">
        <v>20171</v>
      </c>
      <c r="F2069" s="1" t="s">
        <v>208</v>
      </c>
      <c r="G2069" s="1" t="s">
        <v>15</v>
      </c>
      <c r="H2069" s="1" t="n">
        <v>3.5</v>
      </c>
      <c r="I2069" s="1" t="n">
        <v>0</v>
      </c>
      <c r="J2069" s="1" t="n">
        <v>20201</v>
      </c>
      <c r="L2069" s="1" t="str">
        <f aca="false">IF(D2068&lt;&gt;D2069,D2069,"")</f>
        <v/>
      </c>
      <c r="M2069" s="1" t="str">
        <f aca="false">IF(F2068&lt;&gt;F2069,F2069,"")</f>
        <v/>
      </c>
    </row>
    <row r="2070" customFormat="false" ht="15" hidden="false" customHeight="false" outlineLevel="0" collapsed="false">
      <c r="A2070" s="1" t="s">
        <v>719</v>
      </c>
      <c r="B2070" s="1" t="s">
        <v>720</v>
      </c>
      <c r="C2070" s="1" t="s">
        <v>876</v>
      </c>
      <c r="D2070" s="1" t="s">
        <v>877</v>
      </c>
      <c r="E2070" s="1" t="n">
        <v>20171</v>
      </c>
      <c r="F2070" s="1" t="s">
        <v>208</v>
      </c>
      <c r="G2070" s="1" t="s">
        <v>14</v>
      </c>
      <c r="H2070" s="1" t="n">
        <v>4</v>
      </c>
      <c r="I2070" s="1" t="n">
        <v>0</v>
      </c>
      <c r="J2070" s="1" t="n">
        <v>20201</v>
      </c>
      <c r="L2070" s="1" t="str">
        <f aca="false">IF(D2069&lt;&gt;D2070,D2070,"")</f>
        <v/>
      </c>
      <c r="M2070" s="1" t="str">
        <f aca="false">IF(F2069&lt;&gt;F2070,F2070,"")</f>
        <v/>
      </c>
    </row>
    <row r="2071" customFormat="false" ht="15" hidden="false" customHeight="false" outlineLevel="0" collapsed="false">
      <c r="A2071" s="1" t="s">
        <v>663</v>
      </c>
      <c r="B2071" s="1" t="s">
        <v>664</v>
      </c>
      <c r="C2071" s="1" t="s">
        <v>876</v>
      </c>
      <c r="D2071" s="1" t="s">
        <v>877</v>
      </c>
      <c r="E2071" s="1" t="n">
        <v>20171</v>
      </c>
      <c r="F2071" s="1" t="s">
        <v>208</v>
      </c>
      <c r="G2071" s="1" t="s">
        <v>15</v>
      </c>
      <c r="H2071" s="1" t="n">
        <v>3.5</v>
      </c>
      <c r="I2071" s="1" t="n">
        <v>0</v>
      </c>
      <c r="J2071" s="1" t="n">
        <v>20201</v>
      </c>
      <c r="L2071" s="1" t="str">
        <f aca="false">IF(D2070&lt;&gt;D2071,D2071,"")</f>
        <v/>
      </c>
      <c r="M2071" s="1" t="str">
        <f aca="false">IF(F2070&lt;&gt;F2071,F2071,"")</f>
        <v/>
      </c>
    </row>
    <row r="2072" customFormat="false" ht="15" hidden="false" customHeight="false" outlineLevel="0" collapsed="false">
      <c r="A2072" s="1" t="s">
        <v>721</v>
      </c>
      <c r="B2072" s="1" t="s">
        <v>722</v>
      </c>
      <c r="C2072" s="1" t="s">
        <v>876</v>
      </c>
      <c r="D2072" s="1" t="s">
        <v>877</v>
      </c>
      <c r="E2072" s="1" t="n">
        <v>20171</v>
      </c>
      <c r="F2072" s="1" t="s">
        <v>208</v>
      </c>
      <c r="G2072" s="1" t="s">
        <v>15</v>
      </c>
      <c r="H2072" s="1" t="n">
        <v>3.5</v>
      </c>
      <c r="I2072" s="1" t="n">
        <v>0</v>
      </c>
      <c r="J2072" s="1" t="n">
        <v>20201</v>
      </c>
      <c r="L2072" s="1" t="str">
        <f aca="false">IF(D2071&lt;&gt;D2072,D2072,"")</f>
        <v/>
      </c>
      <c r="M2072" s="1" t="str">
        <f aca="false">IF(F2071&lt;&gt;F2072,F2072,"")</f>
        <v/>
      </c>
    </row>
    <row r="2073" customFormat="false" ht="15" hidden="false" customHeight="false" outlineLevel="0" collapsed="false">
      <c r="A2073" s="1" t="s">
        <v>665</v>
      </c>
      <c r="B2073" s="1" t="s">
        <v>666</v>
      </c>
      <c r="C2073" s="1" t="s">
        <v>876</v>
      </c>
      <c r="D2073" s="1" t="s">
        <v>877</v>
      </c>
      <c r="E2073" s="1" t="n">
        <v>20171</v>
      </c>
      <c r="F2073" s="1" t="s">
        <v>208</v>
      </c>
      <c r="G2073" s="1" t="s">
        <v>14</v>
      </c>
      <c r="H2073" s="1" t="n">
        <v>4</v>
      </c>
      <c r="I2073" s="1" t="n">
        <v>0</v>
      </c>
      <c r="J2073" s="1" t="n">
        <v>20201</v>
      </c>
      <c r="L2073" s="1" t="str">
        <f aca="false">IF(D2072&lt;&gt;D2073,D2073,"")</f>
        <v/>
      </c>
      <c r="M2073" s="1" t="str">
        <f aca="false">IF(F2072&lt;&gt;F2073,F2073,"")</f>
        <v/>
      </c>
    </row>
    <row r="2074" customFormat="false" ht="15" hidden="false" customHeight="false" outlineLevel="0" collapsed="false">
      <c r="A2074" s="1" t="s">
        <v>723</v>
      </c>
      <c r="B2074" s="1" t="s">
        <v>724</v>
      </c>
      <c r="C2074" s="1" t="s">
        <v>876</v>
      </c>
      <c r="D2074" s="1" t="s">
        <v>877</v>
      </c>
      <c r="E2074" s="1" t="n">
        <v>20171</v>
      </c>
      <c r="F2074" s="1" t="s">
        <v>208</v>
      </c>
      <c r="G2074" s="1" t="s">
        <v>15</v>
      </c>
      <c r="H2074" s="1" t="n">
        <v>3.5</v>
      </c>
      <c r="I2074" s="1" t="n">
        <v>0</v>
      </c>
      <c r="J2074" s="1" t="n">
        <v>20201</v>
      </c>
      <c r="L2074" s="1" t="str">
        <f aca="false">IF(D2073&lt;&gt;D2074,D2074,"")</f>
        <v/>
      </c>
      <c r="M2074" s="1" t="str">
        <f aca="false">IF(F2073&lt;&gt;F2074,F2074,"")</f>
        <v/>
      </c>
    </row>
    <row r="2075" customFormat="false" ht="15" hidden="false" customHeight="false" outlineLevel="0" collapsed="false">
      <c r="A2075" s="1" t="s">
        <v>725</v>
      </c>
      <c r="B2075" s="1" t="s">
        <v>726</v>
      </c>
      <c r="C2075" s="1" t="s">
        <v>876</v>
      </c>
      <c r="D2075" s="1" t="s">
        <v>877</v>
      </c>
      <c r="E2075" s="1" t="n">
        <v>20171</v>
      </c>
      <c r="F2075" s="1" t="s">
        <v>208</v>
      </c>
      <c r="G2075" s="1" t="s">
        <v>15</v>
      </c>
      <c r="H2075" s="1" t="n">
        <v>3.5</v>
      </c>
      <c r="I2075" s="1" t="n">
        <v>0</v>
      </c>
      <c r="J2075" s="1" t="n">
        <v>20201</v>
      </c>
      <c r="L2075" s="1" t="str">
        <f aca="false">IF(D2074&lt;&gt;D2075,D2075,"")</f>
        <v/>
      </c>
      <c r="M2075" s="1" t="str">
        <f aca="false">IF(F2074&lt;&gt;F2075,F2075,"")</f>
        <v/>
      </c>
    </row>
    <row r="2076" customFormat="false" ht="15" hidden="false" customHeight="false" outlineLevel="0" collapsed="false">
      <c r="A2076" s="1" t="s">
        <v>878</v>
      </c>
      <c r="B2076" s="1" t="s">
        <v>879</v>
      </c>
      <c r="C2076" s="1" t="s">
        <v>880</v>
      </c>
      <c r="D2076" s="1" t="s">
        <v>881</v>
      </c>
      <c r="E2076" s="1" t="n">
        <v>20171</v>
      </c>
      <c r="F2076" s="1" t="s">
        <v>14</v>
      </c>
      <c r="G2076" s="1" t="s">
        <v>124</v>
      </c>
      <c r="H2076" s="1" t="n">
        <v>0</v>
      </c>
      <c r="I2076" s="1" t="n">
        <v>0</v>
      </c>
      <c r="J2076" s="1" t="n">
        <v>20201</v>
      </c>
      <c r="L2076" s="1" t="str">
        <f aca="false">IF(D2075&lt;&gt;D2076,D2076,"")</f>
        <v>PRA TUGAS AKHIR</v>
      </c>
      <c r="M2076" s="1" t="str">
        <f aca="false">IF(F2075&lt;&gt;F2076,F2076,"")</f>
        <v>A</v>
      </c>
    </row>
    <row r="2077" customFormat="false" ht="15" hidden="false" customHeight="false" outlineLevel="0" collapsed="false">
      <c r="A2077" s="1" t="s">
        <v>675</v>
      </c>
      <c r="B2077" s="1" t="s">
        <v>676</v>
      </c>
      <c r="C2077" s="1" t="s">
        <v>880</v>
      </c>
      <c r="D2077" s="1" t="s">
        <v>881</v>
      </c>
      <c r="E2077" s="1" t="n">
        <v>20171</v>
      </c>
      <c r="F2077" s="1" t="s">
        <v>14</v>
      </c>
      <c r="G2077" s="1" t="s">
        <v>124</v>
      </c>
      <c r="H2077" s="1" t="n">
        <v>0</v>
      </c>
      <c r="I2077" s="1" t="n">
        <v>0</v>
      </c>
      <c r="J2077" s="1" t="n">
        <v>20201</v>
      </c>
      <c r="L2077" s="1" t="str">
        <f aca="false">IF(D2076&lt;&gt;D2077,D2077,"")</f>
        <v/>
      </c>
      <c r="M2077" s="1" t="str">
        <f aca="false">IF(F2076&lt;&gt;F2077,F2077,"")</f>
        <v/>
      </c>
    </row>
    <row r="2078" customFormat="false" ht="15" hidden="false" customHeight="false" outlineLevel="0" collapsed="false">
      <c r="A2078" s="1" t="s">
        <v>304</v>
      </c>
      <c r="B2078" s="1" t="s">
        <v>305</v>
      </c>
      <c r="C2078" s="1" t="s">
        <v>880</v>
      </c>
      <c r="D2078" s="1" t="s">
        <v>881</v>
      </c>
      <c r="E2078" s="1" t="n">
        <v>20171</v>
      </c>
      <c r="F2078" s="1" t="s">
        <v>14</v>
      </c>
      <c r="G2078" s="1" t="s">
        <v>124</v>
      </c>
      <c r="H2078" s="1" t="n">
        <v>0</v>
      </c>
      <c r="I2078" s="1" t="n">
        <v>0</v>
      </c>
      <c r="J2078" s="1" t="n">
        <v>20201</v>
      </c>
      <c r="L2078" s="1" t="str">
        <f aca="false">IF(D2077&lt;&gt;D2078,D2078,"")</f>
        <v/>
      </c>
      <c r="M2078" s="1" t="str">
        <f aca="false">IF(F2077&lt;&gt;F2078,F2078,"")</f>
        <v/>
      </c>
    </row>
    <row r="2079" customFormat="false" ht="15" hidden="false" customHeight="false" outlineLevel="0" collapsed="false">
      <c r="A2079" s="1" t="s">
        <v>788</v>
      </c>
      <c r="B2079" s="1" t="s">
        <v>789</v>
      </c>
      <c r="C2079" s="1" t="s">
        <v>880</v>
      </c>
      <c r="D2079" s="1" t="s">
        <v>881</v>
      </c>
      <c r="E2079" s="1" t="n">
        <v>20171</v>
      </c>
      <c r="F2079" s="1" t="s">
        <v>14</v>
      </c>
      <c r="G2079" s="1" t="s">
        <v>124</v>
      </c>
      <c r="H2079" s="1" t="n">
        <v>0</v>
      </c>
      <c r="I2079" s="1" t="n">
        <v>0</v>
      </c>
      <c r="J2079" s="1" t="n">
        <v>20201</v>
      </c>
      <c r="L2079" s="1" t="str">
        <f aca="false">IF(D2078&lt;&gt;D2079,D2079,"")</f>
        <v/>
      </c>
      <c r="M2079" s="1" t="str">
        <f aca="false">IF(F2078&lt;&gt;F2079,F2079,"")</f>
        <v/>
      </c>
    </row>
    <row r="2080" customFormat="false" ht="15" hidden="false" customHeight="false" outlineLevel="0" collapsed="false">
      <c r="A2080" s="1" t="s">
        <v>759</v>
      </c>
      <c r="B2080" s="1" t="s">
        <v>760</v>
      </c>
      <c r="C2080" s="1" t="s">
        <v>880</v>
      </c>
      <c r="D2080" s="1" t="s">
        <v>881</v>
      </c>
      <c r="E2080" s="1" t="n">
        <v>20171</v>
      </c>
      <c r="F2080" s="1" t="s">
        <v>14</v>
      </c>
      <c r="G2080" s="1" t="s">
        <v>14</v>
      </c>
      <c r="H2080" s="1" t="n">
        <v>4</v>
      </c>
      <c r="I2080" s="1" t="n">
        <v>0</v>
      </c>
      <c r="J2080" s="1" t="n">
        <v>20201</v>
      </c>
      <c r="L2080" s="1" t="str">
        <f aca="false">IF(D2079&lt;&gt;D2080,D2080,"")</f>
        <v/>
      </c>
      <c r="M2080" s="1" t="str">
        <f aca="false">IF(F2079&lt;&gt;F2080,F2080,"")</f>
        <v/>
      </c>
    </row>
    <row r="2081" customFormat="false" ht="15" hidden="false" customHeight="false" outlineLevel="0" collapsed="false">
      <c r="A2081" s="1" t="s">
        <v>798</v>
      </c>
      <c r="B2081" s="1" t="s">
        <v>799</v>
      </c>
      <c r="C2081" s="1" t="s">
        <v>880</v>
      </c>
      <c r="D2081" s="1" t="s">
        <v>881</v>
      </c>
      <c r="E2081" s="1" t="n">
        <v>20171</v>
      </c>
      <c r="F2081" s="1" t="s">
        <v>14</v>
      </c>
      <c r="G2081" s="1" t="s">
        <v>18</v>
      </c>
      <c r="H2081" s="1" t="n">
        <v>3</v>
      </c>
      <c r="I2081" s="1" t="n">
        <v>0</v>
      </c>
      <c r="J2081" s="1" t="n">
        <v>20201</v>
      </c>
      <c r="L2081" s="1" t="str">
        <f aca="false">IF(D2080&lt;&gt;D2081,D2081,"")</f>
        <v/>
      </c>
      <c r="M2081" s="1" t="str">
        <f aca="false">IF(F2080&lt;&gt;F2081,F2081,"")</f>
        <v/>
      </c>
    </row>
    <row r="2082" customFormat="false" ht="15" hidden="false" customHeight="false" outlineLevel="0" collapsed="false">
      <c r="A2082" s="1" t="s">
        <v>733</v>
      </c>
      <c r="B2082" s="1" t="s">
        <v>734</v>
      </c>
      <c r="C2082" s="1" t="s">
        <v>880</v>
      </c>
      <c r="D2082" s="1" t="s">
        <v>881</v>
      </c>
      <c r="E2082" s="1" t="n">
        <v>20171</v>
      </c>
      <c r="F2082" s="1" t="s">
        <v>14</v>
      </c>
      <c r="G2082" s="1" t="s">
        <v>101</v>
      </c>
      <c r="H2082" s="1" t="n">
        <v>2.5</v>
      </c>
      <c r="I2082" s="1" t="n">
        <v>0</v>
      </c>
      <c r="J2082" s="1" t="n">
        <v>20201</v>
      </c>
      <c r="L2082" s="1" t="str">
        <f aca="false">IF(D2081&lt;&gt;D2082,D2082,"")</f>
        <v/>
      </c>
      <c r="M2082" s="1" t="str">
        <f aca="false">IF(F2081&lt;&gt;F2082,F2082,"")</f>
        <v/>
      </c>
    </row>
    <row r="2083" customFormat="false" ht="15" hidden="false" customHeight="false" outlineLevel="0" collapsed="false">
      <c r="A2083" s="1" t="s">
        <v>651</v>
      </c>
      <c r="B2083" s="1" t="s">
        <v>652</v>
      </c>
      <c r="C2083" s="1" t="s">
        <v>880</v>
      </c>
      <c r="D2083" s="1" t="s">
        <v>881</v>
      </c>
      <c r="E2083" s="1" t="n">
        <v>20171</v>
      </c>
      <c r="F2083" s="1" t="s">
        <v>14</v>
      </c>
      <c r="G2083" s="1" t="s">
        <v>15</v>
      </c>
      <c r="H2083" s="1" t="n">
        <v>3.5</v>
      </c>
      <c r="I2083" s="1" t="n">
        <v>0</v>
      </c>
      <c r="J2083" s="1" t="n">
        <v>20201</v>
      </c>
      <c r="L2083" s="1" t="str">
        <f aca="false">IF(D2082&lt;&gt;D2083,D2083,"")</f>
        <v/>
      </c>
      <c r="M2083" s="1" t="str">
        <f aca="false">IF(F2082&lt;&gt;F2083,F2083,"")</f>
        <v/>
      </c>
    </row>
    <row r="2084" customFormat="false" ht="15" hidden="false" customHeight="false" outlineLevel="0" collapsed="false">
      <c r="A2084" s="1" t="s">
        <v>735</v>
      </c>
      <c r="B2084" s="1" t="s">
        <v>736</v>
      </c>
      <c r="C2084" s="1" t="s">
        <v>880</v>
      </c>
      <c r="D2084" s="1" t="s">
        <v>881</v>
      </c>
      <c r="E2084" s="1" t="n">
        <v>20171</v>
      </c>
      <c r="F2084" s="1" t="s">
        <v>14</v>
      </c>
      <c r="G2084" s="1" t="s">
        <v>14</v>
      </c>
      <c r="H2084" s="1" t="n">
        <v>4</v>
      </c>
      <c r="I2084" s="1" t="n">
        <v>0</v>
      </c>
      <c r="J2084" s="1" t="n">
        <v>20201</v>
      </c>
      <c r="L2084" s="1" t="str">
        <f aca="false">IF(D2083&lt;&gt;D2084,D2084,"")</f>
        <v/>
      </c>
      <c r="M2084" s="1" t="str">
        <f aca="false">IF(F2083&lt;&gt;F2084,F2084,"")</f>
        <v/>
      </c>
    </row>
    <row r="2085" customFormat="false" ht="15" hidden="false" customHeight="false" outlineLevel="0" collapsed="false">
      <c r="A2085" s="1" t="s">
        <v>755</v>
      </c>
      <c r="B2085" s="1" t="s">
        <v>756</v>
      </c>
      <c r="C2085" s="1" t="s">
        <v>880</v>
      </c>
      <c r="D2085" s="1" t="s">
        <v>881</v>
      </c>
      <c r="E2085" s="1" t="n">
        <v>20171</v>
      </c>
      <c r="F2085" s="1" t="s">
        <v>14</v>
      </c>
      <c r="G2085" s="1" t="s">
        <v>101</v>
      </c>
      <c r="H2085" s="1" t="n">
        <v>2.5</v>
      </c>
      <c r="I2085" s="1" t="n">
        <v>0</v>
      </c>
      <c r="J2085" s="1" t="n">
        <v>20201</v>
      </c>
      <c r="L2085" s="1" t="str">
        <f aca="false">IF(D2084&lt;&gt;D2085,D2085,"")</f>
        <v/>
      </c>
      <c r="M2085" s="1" t="str">
        <f aca="false">IF(F2084&lt;&gt;F2085,F2085,"")</f>
        <v/>
      </c>
    </row>
    <row r="2086" customFormat="false" ht="15" hidden="false" customHeight="false" outlineLevel="0" collapsed="false">
      <c r="A2086" s="1" t="s">
        <v>777</v>
      </c>
      <c r="B2086" s="1" t="s">
        <v>778</v>
      </c>
      <c r="C2086" s="1" t="s">
        <v>880</v>
      </c>
      <c r="D2086" s="1" t="s">
        <v>881</v>
      </c>
      <c r="E2086" s="1" t="n">
        <v>20171</v>
      </c>
      <c r="F2086" s="1" t="s">
        <v>14</v>
      </c>
      <c r="G2086" s="1" t="s">
        <v>23</v>
      </c>
      <c r="H2086" s="1" t="n">
        <v>0</v>
      </c>
      <c r="I2086" s="1" t="n">
        <v>0</v>
      </c>
      <c r="J2086" s="1" t="n">
        <v>20201</v>
      </c>
      <c r="L2086" s="1" t="str">
        <f aca="false">IF(D2085&lt;&gt;D2086,D2086,"")</f>
        <v/>
      </c>
      <c r="M2086" s="1" t="str">
        <f aca="false">IF(F2085&lt;&gt;F2086,F2086,"")</f>
        <v/>
      </c>
    </row>
    <row r="2087" customFormat="false" ht="15" hidden="false" customHeight="false" outlineLevel="0" collapsed="false">
      <c r="A2087" s="1" t="s">
        <v>800</v>
      </c>
      <c r="B2087" s="1" t="s">
        <v>801</v>
      </c>
      <c r="C2087" s="1" t="s">
        <v>880</v>
      </c>
      <c r="D2087" s="1" t="s">
        <v>881</v>
      </c>
      <c r="E2087" s="1" t="n">
        <v>20171</v>
      </c>
      <c r="F2087" s="1" t="s">
        <v>14</v>
      </c>
      <c r="G2087" s="1" t="s">
        <v>14</v>
      </c>
      <c r="H2087" s="1" t="n">
        <v>4</v>
      </c>
      <c r="I2087" s="1" t="n">
        <v>0</v>
      </c>
      <c r="J2087" s="1" t="n">
        <v>20201</v>
      </c>
      <c r="L2087" s="1" t="str">
        <f aca="false">IF(D2086&lt;&gt;D2087,D2087,"")</f>
        <v/>
      </c>
      <c r="M2087" s="1" t="str">
        <f aca="false">IF(F2086&lt;&gt;F2087,F2087,"")</f>
        <v/>
      </c>
    </row>
    <row r="2088" customFormat="false" ht="15" hidden="false" customHeight="false" outlineLevel="0" collapsed="false">
      <c r="A2088" s="1" t="s">
        <v>653</v>
      </c>
      <c r="B2088" s="1" t="s">
        <v>654</v>
      </c>
      <c r="C2088" s="1" t="s">
        <v>880</v>
      </c>
      <c r="D2088" s="1" t="s">
        <v>881</v>
      </c>
      <c r="E2088" s="1" t="n">
        <v>20171</v>
      </c>
      <c r="F2088" s="1" t="s">
        <v>14</v>
      </c>
      <c r="G2088" s="1" t="s">
        <v>23</v>
      </c>
      <c r="H2088" s="1" t="n">
        <v>0</v>
      </c>
      <c r="I2088" s="1" t="n">
        <v>0</v>
      </c>
      <c r="J2088" s="1" t="n">
        <v>20201</v>
      </c>
      <c r="L2088" s="1" t="str">
        <f aca="false">IF(D2087&lt;&gt;D2088,D2088,"")</f>
        <v/>
      </c>
      <c r="M2088" s="1" t="str">
        <f aca="false">IF(F2087&lt;&gt;F2088,F2088,"")</f>
        <v/>
      </c>
    </row>
    <row r="2089" customFormat="false" ht="15" hidden="false" customHeight="false" outlineLevel="0" collapsed="false">
      <c r="A2089" s="1" t="s">
        <v>655</v>
      </c>
      <c r="B2089" s="1" t="s">
        <v>656</v>
      </c>
      <c r="C2089" s="1" t="s">
        <v>880</v>
      </c>
      <c r="D2089" s="1" t="s">
        <v>881</v>
      </c>
      <c r="E2089" s="1" t="n">
        <v>20171</v>
      </c>
      <c r="F2089" s="1" t="s">
        <v>14</v>
      </c>
      <c r="G2089" s="1" t="s">
        <v>30</v>
      </c>
      <c r="H2089" s="1" t="n">
        <v>1.5</v>
      </c>
      <c r="I2089" s="1" t="n">
        <v>0</v>
      </c>
      <c r="J2089" s="1" t="n">
        <v>20201</v>
      </c>
      <c r="L2089" s="1" t="str">
        <f aca="false">IF(D2088&lt;&gt;D2089,D2089,"")</f>
        <v/>
      </c>
      <c r="M2089" s="1" t="str">
        <f aca="false">IF(F2088&lt;&gt;F2089,F2089,"")</f>
        <v/>
      </c>
    </row>
    <row r="2090" customFormat="false" ht="15" hidden="false" customHeight="false" outlineLevel="0" collapsed="false">
      <c r="A2090" s="1" t="s">
        <v>259</v>
      </c>
      <c r="B2090" s="1" t="s">
        <v>260</v>
      </c>
      <c r="C2090" s="1" t="s">
        <v>880</v>
      </c>
      <c r="D2090" s="1" t="s">
        <v>881</v>
      </c>
      <c r="E2090" s="1" t="n">
        <v>20171</v>
      </c>
      <c r="F2090" s="1" t="s">
        <v>14</v>
      </c>
      <c r="G2090" s="1" t="s">
        <v>23</v>
      </c>
      <c r="H2090" s="1" t="n">
        <v>0</v>
      </c>
      <c r="I2090" s="1" t="n">
        <v>0</v>
      </c>
      <c r="J2090" s="1" t="n">
        <v>20201</v>
      </c>
      <c r="L2090" s="1" t="str">
        <f aca="false">IF(D2089&lt;&gt;D2090,D2090,"")</f>
        <v/>
      </c>
      <c r="M2090" s="1" t="str">
        <f aca="false">IF(F2089&lt;&gt;F2090,F2090,"")</f>
        <v/>
      </c>
    </row>
    <row r="2091" customFormat="false" ht="15" hidden="false" customHeight="false" outlineLevel="0" collapsed="false">
      <c r="A2091" s="1" t="s">
        <v>802</v>
      </c>
      <c r="B2091" s="1" t="s">
        <v>803</v>
      </c>
      <c r="C2091" s="1" t="s">
        <v>880</v>
      </c>
      <c r="D2091" s="1" t="s">
        <v>881</v>
      </c>
      <c r="E2091" s="1" t="n">
        <v>20171</v>
      </c>
      <c r="F2091" s="1" t="s">
        <v>14</v>
      </c>
      <c r="G2091" s="1" t="s">
        <v>14</v>
      </c>
      <c r="H2091" s="1" t="n">
        <v>4</v>
      </c>
      <c r="I2091" s="1" t="n">
        <v>0</v>
      </c>
      <c r="J2091" s="1" t="n">
        <v>20201</v>
      </c>
      <c r="L2091" s="1" t="str">
        <f aca="false">IF(D2090&lt;&gt;D2091,D2091,"")</f>
        <v/>
      </c>
      <c r="M2091" s="1" t="str">
        <f aca="false">IF(F2090&lt;&gt;F2091,F2091,"")</f>
        <v/>
      </c>
    </row>
    <row r="2092" customFormat="false" ht="15" hidden="false" customHeight="false" outlineLevel="0" collapsed="false">
      <c r="A2092" s="1" t="s">
        <v>804</v>
      </c>
      <c r="B2092" s="1" t="s">
        <v>805</v>
      </c>
      <c r="C2092" s="1" t="s">
        <v>880</v>
      </c>
      <c r="D2092" s="1" t="s">
        <v>881</v>
      </c>
      <c r="E2092" s="1" t="n">
        <v>20171</v>
      </c>
      <c r="F2092" s="1" t="s">
        <v>14</v>
      </c>
      <c r="G2092" s="1" t="s">
        <v>15</v>
      </c>
      <c r="H2092" s="1" t="n">
        <v>3.5</v>
      </c>
      <c r="I2092" s="1" t="n">
        <v>0</v>
      </c>
      <c r="J2092" s="1" t="n">
        <v>20201</v>
      </c>
      <c r="L2092" s="1" t="str">
        <f aca="false">IF(D2091&lt;&gt;D2092,D2092,"")</f>
        <v/>
      </c>
      <c r="M2092" s="1" t="str">
        <f aca="false">IF(F2091&lt;&gt;F2092,F2092,"")</f>
        <v/>
      </c>
    </row>
    <row r="2093" customFormat="false" ht="15" hidden="false" customHeight="false" outlineLevel="0" collapsed="false">
      <c r="A2093" s="1" t="s">
        <v>593</v>
      </c>
      <c r="B2093" s="1" t="s">
        <v>594</v>
      </c>
      <c r="C2093" s="1" t="s">
        <v>880</v>
      </c>
      <c r="D2093" s="1" t="s">
        <v>881</v>
      </c>
      <c r="E2093" s="1" t="n">
        <v>20171</v>
      </c>
      <c r="F2093" s="1" t="s">
        <v>14</v>
      </c>
      <c r="G2093" s="1" t="s">
        <v>14</v>
      </c>
      <c r="H2093" s="1" t="n">
        <v>4</v>
      </c>
      <c r="I2093" s="1" t="n">
        <v>0</v>
      </c>
      <c r="J2093" s="1" t="n">
        <v>20201</v>
      </c>
      <c r="L2093" s="1" t="str">
        <f aca="false">IF(D2092&lt;&gt;D2093,D2093,"")</f>
        <v/>
      </c>
      <c r="M2093" s="1" t="str">
        <f aca="false">IF(F2092&lt;&gt;F2093,F2093,"")</f>
        <v/>
      </c>
    </row>
    <row r="2094" customFormat="false" ht="15" hidden="false" customHeight="false" outlineLevel="0" collapsed="false">
      <c r="A2094" s="1" t="s">
        <v>535</v>
      </c>
      <c r="B2094" s="1" t="s">
        <v>536</v>
      </c>
      <c r="C2094" s="1" t="s">
        <v>880</v>
      </c>
      <c r="D2094" s="1" t="s">
        <v>881</v>
      </c>
      <c r="E2094" s="1" t="n">
        <v>20171</v>
      </c>
      <c r="F2094" s="1" t="s">
        <v>14</v>
      </c>
      <c r="G2094" s="1" t="s">
        <v>124</v>
      </c>
      <c r="H2094" s="1" t="n">
        <v>0</v>
      </c>
      <c r="I2094" s="1" t="n">
        <v>0</v>
      </c>
      <c r="J2094" s="1" t="n">
        <v>20201</v>
      </c>
      <c r="L2094" s="1" t="str">
        <f aca="false">IF(D2093&lt;&gt;D2094,D2094,"")</f>
        <v/>
      </c>
      <c r="M2094" s="1" t="str">
        <f aca="false">IF(F2093&lt;&gt;F2094,F2094,"")</f>
        <v/>
      </c>
    </row>
    <row r="2095" customFormat="false" ht="15" hidden="false" customHeight="false" outlineLevel="0" collapsed="false">
      <c r="A2095" s="1" t="s">
        <v>741</v>
      </c>
      <c r="B2095" s="1" t="s">
        <v>742</v>
      </c>
      <c r="C2095" s="1" t="s">
        <v>880</v>
      </c>
      <c r="D2095" s="1" t="s">
        <v>881</v>
      </c>
      <c r="E2095" s="1" t="n">
        <v>20171</v>
      </c>
      <c r="F2095" s="1" t="s">
        <v>18</v>
      </c>
      <c r="G2095" s="1" t="s">
        <v>124</v>
      </c>
      <c r="H2095" s="1" t="n">
        <v>0</v>
      </c>
      <c r="I2095" s="1" t="n">
        <v>0</v>
      </c>
      <c r="J2095" s="1" t="n">
        <v>20201</v>
      </c>
      <c r="L2095" s="1" t="str">
        <f aca="false">IF(D2094&lt;&gt;D2095,D2095,"")</f>
        <v/>
      </c>
      <c r="M2095" s="1" t="str">
        <f aca="false">IF(F2094&lt;&gt;F2095,F2095,"")</f>
        <v>B</v>
      </c>
    </row>
    <row r="2096" customFormat="false" ht="15" hidden="false" customHeight="false" outlineLevel="0" collapsed="false">
      <c r="A2096" s="1" t="s">
        <v>605</v>
      </c>
      <c r="B2096" s="1" t="s">
        <v>606</v>
      </c>
      <c r="C2096" s="1" t="s">
        <v>880</v>
      </c>
      <c r="D2096" s="1" t="s">
        <v>881</v>
      </c>
      <c r="E2096" s="1" t="n">
        <v>20171</v>
      </c>
      <c r="F2096" s="1" t="s">
        <v>18</v>
      </c>
      <c r="G2096" s="1" t="s">
        <v>23</v>
      </c>
      <c r="H2096" s="1" t="n">
        <v>0</v>
      </c>
      <c r="I2096" s="1" t="n">
        <v>0</v>
      </c>
      <c r="J2096" s="1" t="n">
        <v>20201</v>
      </c>
      <c r="L2096" s="1" t="str">
        <f aca="false">IF(D2095&lt;&gt;D2096,D2096,"")</f>
        <v/>
      </c>
      <c r="M2096" s="1" t="str">
        <f aca="false">IF(F2095&lt;&gt;F2096,F2096,"")</f>
        <v/>
      </c>
    </row>
    <row r="2097" customFormat="false" ht="15" hidden="false" customHeight="false" outlineLevel="0" collapsed="false">
      <c r="A2097" s="1" t="s">
        <v>749</v>
      </c>
      <c r="B2097" s="1" t="s">
        <v>750</v>
      </c>
      <c r="C2097" s="1" t="s">
        <v>880</v>
      </c>
      <c r="D2097" s="1" t="s">
        <v>881</v>
      </c>
      <c r="E2097" s="1" t="n">
        <v>20171</v>
      </c>
      <c r="F2097" s="1" t="s">
        <v>18</v>
      </c>
      <c r="G2097" s="1" t="s">
        <v>14</v>
      </c>
      <c r="H2097" s="1" t="n">
        <v>4</v>
      </c>
      <c r="I2097" s="1" t="n">
        <v>0</v>
      </c>
      <c r="J2097" s="1" t="n">
        <v>20201</v>
      </c>
      <c r="L2097" s="1" t="str">
        <f aca="false">IF(D2096&lt;&gt;D2097,D2097,"")</f>
        <v/>
      </c>
      <c r="M2097" s="1" t="str">
        <f aca="false">IF(F2096&lt;&gt;F2097,F2097,"")</f>
        <v/>
      </c>
    </row>
    <row r="2098" customFormat="false" ht="15" hidden="false" customHeight="false" outlineLevel="0" collapsed="false">
      <c r="A2098" s="1" t="s">
        <v>862</v>
      </c>
      <c r="B2098" s="1" t="s">
        <v>863</v>
      </c>
      <c r="C2098" s="1" t="s">
        <v>880</v>
      </c>
      <c r="D2098" s="1" t="s">
        <v>881</v>
      </c>
      <c r="E2098" s="1" t="n">
        <v>20171</v>
      </c>
      <c r="F2098" s="1" t="s">
        <v>18</v>
      </c>
      <c r="G2098" s="1" t="s">
        <v>124</v>
      </c>
      <c r="H2098" s="1" t="n">
        <v>0</v>
      </c>
      <c r="I2098" s="1" t="n">
        <v>0</v>
      </c>
      <c r="J2098" s="1" t="n">
        <v>20201</v>
      </c>
      <c r="L2098" s="1" t="str">
        <f aca="false">IF(D2097&lt;&gt;D2098,D2098,"")</f>
        <v/>
      </c>
      <c r="M2098" s="1" t="str">
        <f aca="false">IF(F2097&lt;&gt;F2098,F2098,"")</f>
        <v/>
      </c>
    </row>
    <row r="2099" customFormat="false" ht="15" hidden="false" customHeight="false" outlineLevel="0" collapsed="false">
      <c r="A2099" s="1" t="s">
        <v>635</v>
      </c>
      <c r="B2099" s="1" t="s">
        <v>636</v>
      </c>
      <c r="C2099" s="1" t="s">
        <v>880</v>
      </c>
      <c r="D2099" s="1" t="s">
        <v>881</v>
      </c>
      <c r="E2099" s="1" t="n">
        <v>20171</v>
      </c>
      <c r="F2099" s="1" t="s">
        <v>18</v>
      </c>
      <c r="G2099" s="1" t="s">
        <v>124</v>
      </c>
      <c r="H2099" s="1" t="n">
        <v>0</v>
      </c>
      <c r="I2099" s="1" t="n">
        <v>0</v>
      </c>
      <c r="J2099" s="1" t="n">
        <v>20201</v>
      </c>
      <c r="L2099" s="1" t="str">
        <f aca="false">IF(D2098&lt;&gt;D2099,D2099,"")</f>
        <v/>
      </c>
      <c r="M2099" s="1" t="str">
        <f aca="false">IF(F2098&lt;&gt;F2099,F2099,"")</f>
        <v/>
      </c>
    </row>
    <row r="2100" customFormat="false" ht="15" hidden="false" customHeight="false" outlineLevel="0" collapsed="false">
      <c r="A2100" s="1" t="s">
        <v>806</v>
      </c>
      <c r="B2100" s="1" t="s">
        <v>807</v>
      </c>
      <c r="C2100" s="1" t="s">
        <v>880</v>
      </c>
      <c r="D2100" s="1" t="s">
        <v>881</v>
      </c>
      <c r="E2100" s="1" t="n">
        <v>20171</v>
      </c>
      <c r="F2100" s="1" t="s">
        <v>18</v>
      </c>
      <c r="G2100" s="1" t="s">
        <v>14</v>
      </c>
      <c r="H2100" s="1" t="n">
        <v>4</v>
      </c>
      <c r="I2100" s="1" t="n">
        <v>0</v>
      </c>
      <c r="J2100" s="1" t="n">
        <v>20201</v>
      </c>
      <c r="L2100" s="1" t="str">
        <f aca="false">IF(D2099&lt;&gt;D2100,D2100,"")</f>
        <v/>
      </c>
      <c r="M2100" s="1" t="str">
        <f aca="false">IF(F2099&lt;&gt;F2100,F2100,"")</f>
        <v/>
      </c>
    </row>
    <row r="2101" customFormat="false" ht="15" hidden="false" customHeight="false" outlineLevel="0" collapsed="false">
      <c r="A2101" s="1" t="s">
        <v>761</v>
      </c>
      <c r="B2101" s="1" t="s">
        <v>762</v>
      </c>
      <c r="C2101" s="1" t="s">
        <v>880</v>
      </c>
      <c r="D2101" s="1" t="s">
        <v>881</v>
      </c>
      <c r="E2101" s="1" t="n">
        <v>20171</v>
      </c>
      <c r="F2101" s="1" t="s">
        <v>18</v>
      </c>
      <c r="G2101" s="1" t="s">
        <v>14</v>
      </c>
      <c r="H2101" s="1" t="n">
        <v>4</v>
      </c>
      <c r="I2101" s="1" t="n">
        <v>0</v>
      </c>
      <c r="J2101" s="1" t="n">
        <v>20201</v>
      </c>
      <c r="L2101" s="1" t="str">
        <f aca="false">IF(D2100&lt;&gt;D2101,D2101,"")</f>
        <v/>
      </c>
      <c r="M2101" s="1" t="str">
        <f aca="false">IF(F2100&lt;&gt;F2101,F2101,"")</f>
        <v/>
      </c>
    </row>
    <row r="2102" customFormat="false" ht="15" hidden="false" customHeight="false" outlineLevel="0" collapsed="false">
      <c r="A2102" s="1" t="s">
        <v>810</v>
      </c>
      <c r="B2102" s="1" t="s">
        <v>811</v>
      </c>
      <c r="C2102" s="1" t="s">
        <v>880</v>
      </c>
      <c r="D2102" s="1" t="s">
        <v>881</v>
      </c>
      <c r="E2102" s="1" t="n">
        <v>20171</v>
      </c>
      <c r="F2102" s="1" t="s">
        <v>18</v>
      </c>
      <c r="G2102" s="1" t="s">
        <v>14</v>
      </c>
      <c r="H2102" s="1" t="n">
        <v>4</v>
      </c>
      <c r="I2102" s="1" t="n">
        <v>0</v>
      </c>
      <c r="J2102" s="1" t="n">
        <v>20201</v>
      </c>
      <c r="L2102" s="1" t="str">
        <f aca="false">IF(D2101&lt;&gt;D2102,D2102,"")</f>
        <v/>
      </c>
      <c r="M2102" s="1" t="str">
        <f aca="false">IF(F2101&lt;&gt;F2102,F2102,"")</f>
        <v/>
      </c>
    </row>
    <row r="2103" customFormat="false" ht="15" hidden="false" customHeight="false" outlineLevel="0" collapsed="false">
      <c r="A2103" s="1" t="s">
        <v>812</v>
      </c>
      <c r="B2103" s="1" t="s">
        <v>813</v>
      </c>
      <c r="C2103" s="1" t="s">
        <v>880</v>
      </c>
      <c r="D2103" s="1" t="s">
        <v>881</v>
      </c>
      <c r="E2103" s="1" t="n">
        <v>20171</v>
      </c>
      <c r="F2103" s="1" t="s">
        <v>18</v>
      </c>
      <c r="G2103" s="1" t="s">
        <v>14</v>
      </c>
      <c r="H2103" s="1" t="n">
        <v>4</v>
      </c>
      <c r="I2103" s="1" t="n">
        <v>0</v>
      </c>
      <c r="J2103" s="1" t="n">
        <v>20201</v>
      </c>
      <c r="L2103" s="1" t="str">
        <f aca="false">IF(D2102&lt;&gt;D2103,D2103,"")</f>
        <v/>
      </c>
      <c r="M2103" s="1" t="str">
        <f aca="false">IF(F2102&lt;&gt;F2103,F2103,"")</f>
        <v/>
      </c>
    </row>
    <row r="2104" customFormat="false" ht="15" hidden="false" customHeight="false" outlineLevel="0" collapsed="false">
      <c r="A2104" s="1" t="s">
        <v>623</v>
      </c>
      <c r="B2104" s="1" t="s">
        <v>624</v>
      </c>
      <c r="C2104" s="1" t="s">
        <v>880</v>
      </c>
      <c r="D2104" s="1" t="s">
        <v>881</v>
      </c>
      <c r="E2104" s="1" t="n">
        <v>20171</v>
      </c>
      <c r="F2104" s="1" t="s">
        <v>18</v>
      </c>
      <c r="G2104" s="1" t="s">
        <v>14</v>
      </c>
      <c r="H2104" s="1" t="n">
        <v>4</v>
      </c>
      <c r="I2104" s="1" t="n">
        <v>0</v>
      </c>
      <c r="J2104" s="1" t="n">
        <v>20201</v>
      </c>
      <c r="L2104" s="1" t="str">
        <f aca="false">IF(D2103&lt;&gt;D2104,D2104,"")</f>
        <v/>
      </c>
      <c r="M2104" s="1" t="str">
        <f aca="false">IF(F2103&lt;&gt;F2104,F2104,"")</f>
        <v/>
      </c>
    </row>
    <row r="2105" customFormat="false" ht="15" hidden="false" customHeight="false" outlineLevel="0" collapsed="false">
      <c r="A2105" s="1" t="s">
        <v>814</v>
      </c>
      <c r="B2105" s="1" t="s">
        <v>815</v>
      </c>
      <c r="C2105" s="1" t="s">
        <v>880</v>
      </c>
      <c r="D2105" s="1" t="s">
        <v>881</v>
      </c>
      <c r="E2105" s="1" t="n">
        <v>20171</v>
      </c>
      <c r="F2105" s="1" t="s">
        <v>18</v>
      </c>
      <c r="G2105" s="1" t="s">
        <v>14</v>
      </c>
      <c r="H2105" s="1" t="n">
        <v>4</v>
      </c>
      <c r="I2105" s="1" t="n">
        <v>0</v>
      </c>
      <c r="J2105" s="1" t="n">
        <v>20201</v>
      </c>
      <c r="L2105" s="1" t="str">
        <f aca="false">IF(D2104&lt;&gt;D2105,D2105,"")</f>
        <v/>
      </c>
      <c r="M2105" s="1" t="str">
        <f aca="false">IF(F2104&lt;&gt;F2105,F2105,"")</f>
        <v/>
      </c>
    </row>
    <row r="2106" customFormat="false" ht="15" hidden="false" customHeight="false" outlineLevel="0" collapsed="false">
      <c r="A2106" s="1" t="s">
        <v>589</v>
      </c>
      <c r="B2106" s="1" t="s">
        <v>590</v>
      </c>
      <c r="C2106" s="1" t="s">
        <v>880</v>
      </c>
      <c r="D2106" s="1" t="s">
        <v>881</v>
      </c>
      <c r="E2106" s="1" t="n">
        <v>20171</v>
      </c>
      <c r="F2106" s="1" t="s">
        <v>18</v>
      </c>
      <c r="G2106" s="1" t="s">
        <v>14</v>
      </c>
      <c r="H2106" s="1" t="n">
        <v>4</v>
      </c>
      <c r="I2106" s="1" t="n">
        <v>0</v>
      </c>
      <c r="J2106" s="1" t="n">
        <v>20201</v>
      </c>
      <c r="L2106" s="1" t="str">
        <f aca="false">IF(D2105&lt;&gt;D2106,D2106,"")</f>
        <v/>
      </c>
      <c r="M2106" s="1" t="str">
        <f aca="false">IF(F2105&lt;&gt;F2106,F2106,"")</f>
        <v/>
      </c>
    </row>
    <row r="2107" customFormat="false" ht="15" hidden="false" customHeight="false" outlineLevel="0" collapsed="false">
      <c r="A2107" s="1" t="s">
        <v>785</v>
      </c>
      <c r="B2107" s="1" t="s">
        <v>786</v>
      </c>
      <c r="C2107" s="1" t="s">
        <v>880</v>
      </c>
      <c r="D2107" s="1" t="s">
        <v>881</v>
      </c>
      <c r="E2107" s="1" t="n">
        <v>20171</v>
      </c>
      <c r="F2107" s="1" t="s">
        <v>127</v>
      </c>
      <c r="G2107" s="1" t="s">
        <v>787</v>
      </c>
      <c r="H2107" s="1" t="n">
        <v>0</v>
      </c>
      <c r="I2107" s="1" t="n">
        <v>0</v>
      </c>
      <c r="J2107" s="1" t="n">
        <v>20201</v>
      </c>
      <c r="L2107" s="1" t="str">
        <f aca="false">IF(D2106&lt;&gt;D2107,D2107,"")</f>
        <v/>
      </c>
      <c r="M2107" s="1" t="str">
        <f aca="false">IF(F2106&lt;&gt;F2107,F2107,"")</f>
        <v>C</v>
      </c>
    </row>
    <row r="2108" customFormat="false" ht="15" hidden="false" customHeight="false" outlineLevel="0" collapsed="false">
      <c r="A2108" s="1" t="s">
        <v>204</v>
      </c>
      <c r="B2108" s="1" t="s">
        <v>205</v>
      </c>
      <c r="C2108" s="1" t="s">
        <v>880</v>
      </c>
      <c r="D2108" s="1" t="s">
        <v>881</v>
      </c>
      <c r="E2108" s="1" t="n">
        <v>20171</v>
      </c>
      <c r="F2108" s="1" t="s">
        <v>127</v>
      </c>
      <c r="G2108" s="1" t="s">
        <v>787</v>
      </c>
      <c r="H2108" s="1" t="n">
        <v>0</v>
      </c>
      <c r="I2108" s="1" t="n">
        <v>0</v>
      </c>
      <c r="J2108" s="1" t="n">
        <v>20201</v>
      </c>
      <c r="L2108" s="1" t="str">
        <f aca="false">IF(D2107&lt;&gt;D2108,D2108,"")</f>
        <v/>
      </c>
      <c r="M2108" s="1" t="str">
        <f aca="false">IF(F2107&lt;&gt;F2108,F2108,"")</f>
        <v/>
      </c>
    </row>
    <row r="2109" customFormat="false" ht="15" hidden="false" customHeight="false" outlineLevel="0" collapsed="false">
      <c r="A2109" s="1" t="s">
        <v>643</v>
      </c>
      <c r="B2109" s="1" t="s">
        <v>644</v>
      </c>
      <c r="C2109" s="1" t="s">
        <v>880</v>
      </c>
      <c r="D2109" s="1" t="s">
        <v>881</v>
      </c>
      <c r="E2109" s="1" t="n">
        <v>20171</v>
      </c>
      <c r="F2109" s="1" t="s">
        <v>127</v>
      </c>
      <c r="G2109" s="1" t="s">
        <v>787</v>
      </c>
      <c r="H2109" s="1" t="n">
        <v>0</v>
      </c>
      <c r="I2109" s="1" t="n">
        <v>0</v>
      </c>
      <c r="J2109" s="1" t="n">
        <v>20201</v>
      </c>
      <c r="L2109" s="1" t="str">
        <f aca="false">IF(D2108&lt;&gt;D2109,D2109,"")</f>
        <v/>
      </c>
      <c r="M2109" s="1" t="str">
        <f aca="false">IF(F2108&lt;&gt;F2109,F2109,"")</f>
        <v/>
      </c>
    </row>
    <row r="2110" customFormat="false" ht="15" hidden="false" customHeight="false" outlineLevel="0" collapsed="false">
      <c r="A2110" s="1" t="s">
        <v>729</v>
      </c>
      <c r="B2110" s="1" t="s">
        <v>730</v>
      </c>
      <c r="C2110" s="1" t="s">
        <v>880</v>
      </c>
      <c r="D2110" s="1" t="s">
        <v>881</v>
      </c>
      <c r="E2110" s="1" t="n">
        <v>20171</v>
      </c>
      <c r="F2110" s="1" t="s">
        <v>127</v>
      </c>
      <c r="G2110" s="1" t="s">
        <v>787</v>
      </c>
      <c r="H2110" s="1" t="n">
        <v>0</v>
      </c>
      <c r="I2110" s="1" t="n">
        <v>0</v>
      </c>
      <c r="J2110" s="1" t="n">
        <v>20201</v>
      </c>
      <c r="L2110" s="1" t="str">
        <f aca="false">IF(D2109&lt;&gt;D2110,D2110,"")</f>
        <v/>
      </c>
      <c r="M2110" s="1" t="str">
        <f aca="false">IF(F2109&lt;&gt;F2110,F2110,"")</f>
        <v/>
      </c>
    </row>
    <row r="2111" customFormat="false" ht="15" hidden="false" customHeight="false" outlineLevel="0" collapsed="false">
      <c r="A2111" s="1" t="s">
        <v>790</v>
      </c>
      <c r="B2111" s="1" t="s">
        <v>791</v>
      </c>
      <c r="C2111" s="1" t="s">
        <v>880</v>
      </c>
      <c r="D2111" s="1" t="s">
        <v>881</v>
      </c>
      <c r="E2111" s="1" t="n">
        <v>20171</v>
      </c>
      <c r="F2111" s="1" t="s">
        <v>127</v>
      </c>
      <c r="G2111" s="1" t="s">
        <v>787</v>
      </c>
      <c r="H2111" s="1" t="n">
        <v>0</v>
      </c>
      <c r="I2111" s="1" t="n">
        <v>0</v>
      </c>
      <c r="J2111" s="1" t="n">
        <v>20201</v>
      </c>
      <c r="L2111" s="1" t="str">
        <f aca="false">IF(D2110&lt;&gt;D2111,D2111,"")</f>
        <v/>
      </c>
      <c r="M2111" s="1" t="str">
        <f aca="false">IF(F2110&lt;&gt;F2111,F2111,"")</f>
        <v/>
      </c>
    </row>
    <row r="2112" customFormat="false" ht="15" hidden="false" customHeight="false" outlineLevel="0" collapsed="false">
      <c r="A2112" s="1" t="s">
        <v>525</v>
      </c>
      <c r="B2112" s="1" t="s">
        <v>526</v>
      </c>
      <c r="C2112" s="1" t="s">
        <v>880</v>
      </c>
      <c r="D2112" s="1" t="s">
        <v>881</v>
      </c>
      <c r="E2112" s="1" t="n">
        <v>20171</v>
      </c>
      <c r="F2112" s="1" t="s">
        <v>127</v>
      </c>
      <c r="G2112" s="1" t="s">
        <v>787</v>
      </c>
      <c r="H2112" s="1" t="n">
        <v>0</v>
      </c>
      <c r="I2112" s="1" t="n">
        <v>0</v>
      </c>
      <c r="J2112" s="1" t="n">
        <v>20201</v>
      </c>
      <c r="L2112" s="1" t="str">
        <f aca="false">IF(D2111&lt;&gt;D2112,D2112,"")</f>
        <v/>
      </c>
      <c r="M2112" s="1" t="str">
        <f aca="false">IF(F2111&lt;&gt;F2112,F2112,"")</f>
        <v/>
      </c>
    </row>
    <row r="2113" customFormat="false" ht="15" hidden="false" customHeight="false" outlineLevel="0" collapsed="false">
      <c r="A2113" s="1" t="s">
        <v>512</v>
      </c>
      <c r="B2113" s="1" t="s">
        <v>513</v>
      </c>
      <c r="C2113" s="1" t="s">
        <v>880</v>
      </c>
      <c r="D2113" s="1" t="s">
        <v>881</v>
      </c>
      <c r="E2113" s="1" t="n">
        <v>20171</v>
      </c>
      <c r="F2113" s="1" t="s">
        <v>127</v>
      </c>
      <c r="G2113" s="1" t="s">
        <v>787</v>
      </c>
      <c r="H2113" s="1" t="n">
        <v>0</v>
      </c>
      <c r="I2113" s="1" t="n">
        <v>0</v>
      </c>
      <c r="J2113" s="1" t="n">
        <v>20201</v>
      </c>
      <c r="L2113" s="1" t="str">
        <f aca="false">IF(D2112&lt;&gt;D2113,D2113,"")</f>
        <v/>
      </c>
      <c r="M2113" s="1" t="str">
        <f aca="false">IF(F2112&lt;&gt;F2113,F2113,"")</f>
        <v/>
      </c>
    </row>
    <row r="2114" customFormat="false" ht="15" hidden="false" customHeight="false" outlineLevel="0" collapsed="false">
      <c r="A2114" s="1" t="s">
        <v>627</v>
      </c>
      <c r="B2114" s="1" t="s">
        <v>628</v>
      </c>
      <c r="C2114" s="1" t="s">
        <v>880</v>
      </c>
      <c r="D2114" s="1" t="s">
        <v>881</v>
      </c>
      <c r="E2114" s="1" t="n">
        <v>20171</v>
      </c>
      <c r="F2114" s="1" t="s">
        <v>127</v>
      </c>
      <c r="G2114" s="1" t="s">
        <v>787</v>
      </c>
      <c r="H2114" s="1" t="n">
        <v>0</v>
      </c>
      <c r="I2114" s="1" t="n">
        <v>0</v>
      </c>
      <c r="J2114" s="1" t="n">
        <v>20201</v>
      </c>
      <c r="L2114" s="1" t="str">
        <f aca="false">IF(D2113&lt;&gt;D2114,D2114,"")</f>
        <v/>
      </c>
      <c r="M2114" s="1" t="str">
        <f aca="false">IF(F2113&lt;&gt;F2114,F2114,"")</f>
        <v/>
      </c>
    </row>
    <row r="2115" customFormat="false" ht="15" hidden="false" customHeight="false" outlineLevel="0" collapsed="false">
      <c r="A2115" s="1" t="s">
        <v>816</v>
      </c>
      <c r="B2115" s="1" t="s">
        <v>817</v>
      </c>
      <c r="C2115" s="1" t="s">
        <v>880</v>
      </c>
      <c r="D2115" s="1" t="s">
        <v>881</v>
      </c>
      <c r="E2115" s="1" t="n">
        <v>20171</v>
      </c>
      <c r="F2115" s="1" t="s">
        <v>127</v>
      </c>
      <c r="G2115" s="1" t="s">
        <v>787</v>
      </c>
      <c r="H2115" s="1" t="n">
        <v>0</v>
      </c>
      <c r="I2115" s="1" t="n">
        <v>0</v>
      </c>
      <c r="J2115" s="1" t="n">
        <v>20201</v>
      </c>
      <c r="L2115" s="1" t="str">
        <f aca="false">IF(D2114&lt;&gt;D2115,D2115,"")</f>
        <v/>
      </c>
      <c r="M2115" s="1" t="str">
        <f aca="false">IF(F2114&lt;&gt;F2115,F2115,"")</f>
        <v/>
      </c>
    </row>
    <row r="2116" customFormat="false" ht="15" hidden="false" customHeight="false" outlineLevel="0" collapsed="false">
      <c r="A2116" s="1" t="s">
        <v>818</v>
      </c>
      <c r="B2116" s="1" t="s">
        <v>819</v>
      </c>
      <c r="C2116" s="1" t="s">
        <v>880</v>
      </c>
      <c r="D2116" s="1" t="s">
        <v>881</v>
      </c>
      <c r="E2116" s="1" t="n">
        <v>20171</v>
      </c>
      <c r="F2116" s="1" t="s">
        <v>127</v>
      </c>
      <c r="G2116" s="1" t="s">
        <v>787</v>
      </c>
      <c r="H2116" s="1" t="n">
        <v>0</v>
      </c>
      <c r="I2116" s="1" t="n">
        <v>0</v>
      </c>
      <c r="J2116" s="1" t="n">
        <v>20201</v>
      </c>
      <c r="L2116" s="1" t="str">
        <f aca="false">IF(D2115&lt;&gt;D2116,D2116,"")</f>
        <v/>
      </c>
      <c r="M2116" s="1" t="str">
        <f aca="false">IF(F2115&lt;&gt;F2116,F2116,"")</f>
        <v/>
      </c>
    </row>
    <row r="2117" customFormat="false" ht="15" hidden="false" customHeight="false" outlineLevel="0" collapsed="false">
      <c r="A2117" s="1" t="s">
        <v>673</v>
      </c>
      <c r="B2117" s="1" t="s">
        <v>674</v>
      </c>
      <c r="C2117" s="1" t="s">
        <v>880</v>
      </c>
      <c r="D2117" s="1" t="s">
        <v>881</v>
      </c>
      <c r="E2117" s="1" t="n">
        <v>20171</v>
      </c>
      <c r="F2117" s="1" t="s">
        <v>127</v>
      </c>
      <c r="G2117" s="1" t="s">
        <v>787</v>
      </c>
      <c r="H2117" s="1" t="n">
        <v>0</v>
      </c>
      <c r="I2117" s="1" t="n">
        <v>0</v>
      </c>
      <c r="J2117" s="1" t="n">
        <v>20201</v>
      </c>
      <c r="L2117" s="1" t="str">
        <f aca="false">IF(D2116&lt;&gt;D2117,D2117,"")</f>
        <v/>
      </c>
      <c r="M2117" s="1" t="str">
        <f aca="false">IF(F2116&lt;&gt;F2117,F2117,"")</f>
        <v/>
      </c>
    </row>
    <row r="2118" customFormat="false" ht="15" hidden="false" customHeight="false" outlineLevel="0" collapsed="false">
      <c r="A2118" s="1" t="s">
        <v>647</v>
      </c>
      <c r="B2118" s="1" t="s">
        <v>648</v>
      </c>
      <c r="C2118" s="1" t="s">
        <v>880</v>
      </c>
      <c r="D2118" s="1" t="s">
        <v>881</v>
      </c>
      <c r="E2118" s="1" t="n">
        <v>20171</v>
      </c>
      <c r="F2118" s="1" t="s">
        <v>127</v>
      </c>
      <c r="G2118" s="1" t="s">
        <v>787</v>
      </c>
      <c r="H2118" s="1" t="n">
        <v>0</v>
      </c>
      <c r="I2118" s="1" t="n">
        <v>0</v>
      </c>
      <c r="J2118" s="1" t="n">
        <v>20201</v>
      </c>
      <c r="L2118" s="1" t="str">
        <f aca="false">IF(D2117&lt;&gt;D2118,D2118,"")</f>
        <v/>
      </c>
      <c r="M2118" s="1" t="str">
        <f aca="false">IF(F2117&lt;&gt;F2118,F2118,"")</f>
        <v/>
      </c>
    </row>
    <row r="2119" customFormat="false" ht="15" hidden="false" customHeight="false" outlineLevel="0" collapsed="false">
      <c r="A2119" s="1" t="s">
        <v>820</v>
      </c>
      <c r="B2119" s="1" t="s">
        <v>821</v>
      </c>
      <c r="C2119" s="1" t="s">
        <v>880</v>
      </c>
      <c r="D2119" s="1" t="s">
        <v>881</v>
      </c>
      <c r="E2119" s="1" t="n">
        <v>20171</v>
      </c>
      <c r="F2119" s="1" t="s">
        <v>127</v>
      </c>
      <c r="G2119" s="1" t="s">
        <v>787</v>
      </c>
      <c r="H2119" s="1" t="n">
        <v>0</v>
      </c>
      <c r="I2119" s="1" t="n">
        <v>0</v>
      </c>
      <c r="J2119" s="1" t="n">
        <v>20201</v>
      </c>
      <c r="L2119" s="1" t="str">
        <f aca="false">IF(D2118&lt;&gt;D2119,D2119,"")</f>
        <v/>
      </c>
      <c r="M2119" s="1" t="str">
        <f aca="false">IF(F2118&lt;&gt;F2119,F2119,"")</f>
        <v/>
      </c>
    </row>
    <row r="2120" customFormat="false" ht="15" hidden="false" customHeight="false" outlineLevel="0" collapsed="false">
      <c r="A2120" s="1" t="s">
        <v>769</v>
      </c>
      <c r="B2120" s="1" t="s">
        <v>770</v>
      </c>
      <c r="C2120" s="1" t="s">
        <v>880</v>
      </c>
      <c r="D2120" s="1" t="s">
        <v>881</v>
      </c>
      <c r="E2120" s="1" t="n">
        <v>20171</v>
      </c>
      <c r="F2120" s="1" t="s">
        <v>127</v>
      </c>
      <c r="G2120" s="1" t="s">
        <v>787</v>
      </c>
      <c r="H2120" s="1" t="n">
        <v>0</v>
      </c>
      <c r="I2120" s="1" t="n">
        <v>0</v>
      </c>
      <c r="J2120" s="1" t="n">
        <v>20201</v>
      </c>
      <c r="L2120" s="1" t="str">
        <f aca="false">IF(D2119&lt;&gt;D2120,D2120,"")</f>
        <v/>
      </c>
      <c r="M2120" s="1" t="str">
        <f aca="false">IF(F2119&lt;&gt;F2120,F2120,"")</f>
        <v/>
      </c>
    </row>
    <row r="2121" customFormat="false" ht="15" hidden="false" customHeight="false" outlineLevel="0" collapsed="false">
      <c r="A2121" s="1" t="s">
        <v>657</v>
      </c>
      <c r="B2121" s="1" t="s">
        <v>658</v>
      </c>
      <c r="C2121" s="1" t="s">
        <v>880</v>
      </c>
      <c r="D2121" s="1" t="s">
        <v>881</v>
      </c>
      <c r="E2121" s="1" t="n">
        <v>20171</v>
      </c>
      <c r="F2121" s="1" t="s">
        <v>127</v>
      </c>
      <c r="G2121" s="1" t="s">
        <v>787</v>
      </c>
      <c r="H2121" s="1" t="n">
        <v>0</v>
      </c>
      <c r="I2121" s="1" t="n">
        <v>0</v>
      </c>
      <c r="J2121" s="1" t="n">
        <v>20201</v>
      </c>
      <c r="L2121" s="1" t="str">
        <f aca="false">IF(D2120&lt;&gt;D2121,D2121,"")</f>
        <v/>
      </c>
      <c r="M2121" s="1" t="str">
        <f aca="false">IF(F2120&lt;&gt;F2121,F2121,"")</f>
        <v/>
      </c>
    </row>
    <row r="2122" customFormat="false" ht="15" hidden="false" customHeight="false" outlineLevel="0" collapsed="false">
      <c r="A2122" s="1" t="s">
        <v>771</v>
      </c>
      <c r="B2122" s="1" t="s">
        <v>772</v>
      </c>
      <c r="C2122" s="1" t="s">
        <v>880</v>
      </c>
      <c r="D2122" s="1" t="s">
        <v>881</v>
      </c>
      <c r="E2122" s="1" t="n">
        <v>20171</v>
      </c>
      <c r="F2122" s="1" t="s">
        <v>127</v>
      </c>
      <c r="G2122" s="1" t="s">
        <v>787</v>
      </c>
      <c r="H2122" s="1" t="n">
        <v>0</v>
      </c>
      <c r="I2122" s="1" t="n">
        <v>0</v>
      </c>
      <c r="J2122" s="1" t="n">
        <v>20201</v>
      </c>
      <c r="L2122" s="1" t="str">
        <f aca="false">IF(D2121&lt;&gt;D2122,D2122,"")</f>
        <v/>
      </c>
      <c r="M2122" s="1" t="str">
        <f aca="false">IF(F2121&lt;&gt;F2122,F2122,"")</f>
        <v/>
      </c>
    </row>
    <row r="2123" customFormat="false" ht="15" hidden="false" customHeight="false" outlineLevel="0" collapsed="false">
      <c r="A2123" s="1" t="s">
        <v>659</v>
      </c>
      <c r="B2123" s="1" t="s">
        <v>660</v>
      </c>
      <c r="C2123" s="1" t="s">
        <v>880</v>
      </c>
      <c r="D2123" s="1" t="s">
        <v>881</v>
      </c>
      <c r="E2123" s="1" t="n">
        <v>20171</v>
      </c>
      <c r="F2123" s="1" t="s">
        <v>127</v>
      </c>
      <c r="G2123" s="1" t="s">
        <v>787</v>
      </c>
      <c r="H2123" s="1" t="n">
        <v>0</v>
      </c>
      <c r="I2123" s="1" t="n">
        <v>0</v>
      </c>
      <c r="J2123" s="1" t="n">
        <v>20201</v>
      </c>
      <c r="L2123" s="1" t="str">
        <f aca="false">IF(D2122&lt;&gt;D2123,D2123,"")</f>
        <v/>
      </c>
      <c r="M2123" s="1" t="str">
        <f aca="false">IF(F2122&lt;&gt;F2123,F2123,"")</f>
        <v/>
      </c>
    </row>
    <row r="2124" customFormat="false" ht="15" hidden="false" customHeight="false" outlineLevel="0" collapsed="false">
      <c r="A2124" s="1" t="s">
        <v>822</v>
      </c>
      <c r="B2124" s="1" t="s">
        <v>823</v>
      </c>
      <c r="C2124" s="1" t="s">
        <v>880</v>
      </c>
      <c r="D2124" s="1" t="s">
        <v>881</v>
      </c>
      <c r="E2124" s="1" t="n">
        <v>20171</v>
      </c>
      <c r="F2124" s="1" t="s">
        <v>127</v>
      </c>
      <c r="G2124" s="1" t="s">
        <v>787</v>
      </c>
      <c r="H2124" s="1" t="n">
        <v>0</v>
      </c>
      <c r="I2124" s="1" t="n">
        <v>0</v>
      </c>
      <c r="J2124" s="1" t="n">
        <v>20201</v>
      </c>
      <c r="L2124" s="1" t="str">
        <f aca="false">IF(D2123&lt;&gt;D2124,D2124,"")</f>
        <v/>
      </c>
      <c r="M2124" s="1" t="str">
        <f aca="false">IF(F2123&lt;&gt;F2124,F2124,"")</f>
        <v/>
      </c>
    </row>
    <row r="2125" customFormat="false" ht="15" hidden="false" customHeight="false" outlineLevel="0" collapsed="false">
      <c r="A2125" s="1" t="s">
        <v>661</v>
      </c>
      <c r="B2125" s="1" t="s">
        <v>662</v>
      </c>
      <c r="C2125" s="1" t="s">
        <v>880</v>
      </c>
      <c r="D2125" s="1" t="s">
        <v>881</v>
      </c>
      <c r="E2125" s="1" t="n">
        <v>20171</v>
      </c>
      <c r="F2125" s="1" t="s">
        <v>127</v>
      </c>
      <c r="G2125" s="1" t="s">
        <v>787</v>
      </c>
      <c r="H2125" s="1" t="n">
        <v>0</v>
      </c>
      <c r="I2125" s="1" t="n">
        <v>0</v>
      </c>
      <c r="J2125" s="1" t="n">
        <v>20201</v>
      </c>
      <c r="L2125" s="1" t="str">
        <f aca="false">IF(D2124&lt;&gt;D2125,D2125,"")</f>
        <v/>
      </c>
      <c r="M2125" s="1" t="str">
        <f aca="false">IF(F2124&lt;&gt;F2125,F2125,"")</f>
        <v/>
      </c>
    </row>
    <row r="2126" customFormat="false" ht="15" hidden="false" customHeight="false" outlineLevel="0" collapsed="false">
      <c r="A2126" s="1" t="s">
        <v>263</v>
      </c>
      <c r="B2126" s="1" t="s">
        <v>264</v>
      </c>
      <c r="C2126" s="1" t="s">
        <v>880</v>
      </c>
      <c r="D2126" s="1" t="s">
        <v>881</v>
      </c>
      <c r="E2126" s="1" t="n">
        <v>20171</v>
      </c>
      <c r="F2126" s="1" t="s">
        <v>127</v>
      </c>
      <c r="G2126" s="1" t="s">
        <v>787</v>
      </c>
      <c r="H2126" s="1" t="n">
        <v>0</v>
      </c>
      <c r="I2126" s="1" t="n">
        <v>0</v>
      </c>
      <c r="J2126" s="1" t="n">
        <v>20201</v>
      </c>
      <c r="L2126" s="1" t="str">
        <f aca="false">IF(D2125&lt;&gt;D2126,D2126,"")</f>
        <v/>
      </c>
      <c r="M2126" s="1" t="str">
        <f aca="false">IF(F2125&lt;&gt;F2126,F2126,"")</f>
        <v/>
      </c>
    </row>
    <row r="2127" customFormat="false" ht="15" hidden="false" customHeight="false" outlineLevel="0" collapsed="false">
      <c r="A2127" s="1" t="s">
        <v>615</v>
      </c>
      <c r="B2127" s="1" t="s">
        <v>616</v>
      </c>
      <c r="C2127" s="1" t="s">
        <v>880</v>
      </c>
      <c r="D2127" s="1" t="s">
        <v>881</v>
      </c>
      <c r="E2127" s="1" t="n">
        <v>20171</v>
      </c>
      <c r="F2127" s="1" t="s">
        <v>127</v>
      </c>
      <c r="G2127" s="1" t="s">
        <v>787</v>
      </c>
      <c r="H2127" s="1" t="n">
        <v>0</v>
      </c>
      <c r="I2127" s="1" t="n">
        <v>0</v>
      </c>
      <c r="J2127" s="1" t="n">
        <v>20201</v>
      </c>
      <c r="L2127" s="1" t="str">
        <f aca="false">IF(D2126&lt;&gt;D2127,D2127,"")</f>
        <v/>
      </c>
      <c r="M2127" s="1" t="str">
        <f aca="false">IF(F2126&lt;&gt;F2127,F2127,"")</f>
        <v/>
      </c>
    </row>
    <row r="2128" customFormat="false" ht="15" hidden="false" customHeight="false" outlineLevel="0" collapsed="false">
      <c r="A2128" s="1" t="s">
        <v>269</v>
      </c>
      <c r="B2128" s="1" t="s">
        <v>270</v>
      </c>
      <c r="C2128" s="1" t="s">
        <v>880</v>
      </c>
      <c r="D2128" s="1" t="s">
        <v>881</v>
      </c>
      <c r="E2128" s="1" t="n">
        <v>20171</v>
      </c>
      <c r="F2128" s="1" t="s">
        <v>127</v>
      </c>
      <c r="G2128" s="1" t="s">
        <v>787</v>
      </c>
      <c r="H2128" s="1" t="n">
        <v>0</v>
      </c>
      <c r="I2128" s="1" t="n">
        <v>0</v>
      </c>
      <c r="J2128" s="1" t="n">
        <v>20201</v>
      </c>
      <c r="L2128" s="1" t="str">
        <f aca="false">IF(D2127&lt;&gt;D2128,D2128,"")</f>
        <v/>
      </c>
      <c r="M2128" s="1" t="str">
        <f aca="false">IF(F2127&lt;&gt;F2128,F2128,"")</f>
        <v/>
      </c>
    </row>
    <row r="2129" customFormat="false" ht="15" hidden="false" customHeight="false" outlineLevel="0" collapsed="false">
      <c r="A2129" s="1" t="s">
        <v>271</v>
      </c>
      <c r="B2129" s="1" t="s">
        <v>272</v>
      </c>
      <c r="C2129" s="1" t="s">
        <v>880</v>
      </c>
      <c r="D2129" s="1" t="s">
        <v>881</v>
      </c>
      <c r="E2129" s="1" t="n">
        <v>20171</v>
      </c>
      <c r="F2129" s="1" t="s">
        <v>127</v>
      </c>
      <c r="G2129" s="1" t="s">
        <v>787</v>
      </c>
      <c r="H2129" s="1" t="n">
        <v>0</v>
      </c>
      <c r="I2129" s="1" t="n">
        <v>0</v>
      </c>
      <c r="J2129" s="1" t="n">
        <v>20201</v>
      </c>
      <c r="L2129" s="1" t="str">
        <f aca="false">IF(D2128&lt;&gt;D2129,D2129,"")</f>
        <v/>
      </c>
      <c r="M2129" s="1" t="str">
        <f aca="false">IF(F2128&lt;&gt;F2129,F2129,"")</f>
        <v/>
      </c>
    </row>
    <row r="2130" customFormat="false" ht="15" hidden="false" customHeight="false" outlineLevel="0" collapsed="false">
      <c r="A2130" s="1" t="s">
        <v>547</v>
      </c>
      <c r="B2130" s="1" t="s">
        <v>548</v>
      </c>
      <c r="C2130" s="1" t="s">
        <v>880</v>
      </c>
      <c r="D2130" s="1" t="s">
        <v>881</v>
      </c>
      <c r="E2130" s="1" t="n">
        <v>20171</v>
      </c>
      <c r="F2130" s="1" t="s">
        <v>127</v>
      </c>
      <c r="G2130" s="1" t="s">
        <v>787</v>
      </c>
      <c r="H2130" s="1" t="n">
        <v>0</v>
      </c>
      <c r="I2130" s="1" t="n">
        <v>0</v>
      </c>
      <c r="J2130" s="1" t="n">
        <v>20201</v>
      </c>
      <c r="L2130" s="1" t="str">
        <f aca="false">IF(D2129&lt;&gt;D2130,D2130,"")</f>
        <v/>
      </c>
      <c r="M2130" s="1" t="str">
        <f aca="false">IF(F2129&lt;&gt;F2130,F2130,"")</f>
        <v/>
      </c>
    </row>
    <row r="2131" customFormat="false" ht="15" hidden="false" customHeight="false" outlineLevel="0" collapsed="false">
      <c r="A2131" s="1" t="s">
        <v>549</v>
      </c>
      <c r="B2131" s="1" t="s">
        <v>550</v>
      </c>
      <c r="C2131" s="1" t="s">
        <v>880</v>
      </c>
      <c r="D2131" s="1" t="s">
        <v>881</v>
      </c>
      <c r="E2131" s="1" t="n">
        <v>20171</v>
      </c>
      <c r="F2131" s="1" t="s">
        <v>127</v>
      </c>
      <c r="G2131" s="1" t="s">
        <v>787</v>
      </c>
      <c r="H2131" s="1" t="n">
        <v>0</v>
      </c>
      <c r="I2131" s="1" t="n">
        <v>0</v>
      </c>
      <c r="J2131" s="1" t="n">
        <v>20201</v>
      </c>
      <c r="L2131" s="1" t="str">
        <f aca="false">IF(D2130&lt;&gt;D2131,D2131,"")</f>
        <v/>
      </c>
      <c r="M2131" s="1" t="str">
        <f aca="false">IF(F2130&lt;&gt;F2131,F2131,"")</f>
        <v/>
      </c>
    </row>
    <row r="2132" customFormat="false" ht="15" hidden="false" customHeight="false" outlineLevel="0" collapsed="false">
      <c r="A2132" s="1" t="s">
        <v>669</v>
      </c>
      <c r="B2132" s="1" t="s">
        <v>670</v>
      </c>
      <c r="C2132" s="1" t="s">
        <v>880</v>
      </c>
      <c r="D2132" s="1" t="s">
        <v>881</v>
      </c>
      <c r="E2132" s="1" t="n">
        <v>20171</v>
      </c>
      <c r="F2132" s="1" t="s">
        <v>514</v>
      </c>
      <c r="G2132" s="1" t="s">
        <v>15</v>
      </c>
      <c r="H2132" s="1" t="n">
        <v>3.5</v>
      </c>
      <c r="I2132" s="1" t="n">
        <v>0</v>
      </c>
      <c r="J2132" s="1" t="n">
        <v>20201</v>
      </c>
      <c r="L2132" s="1" t="str">
        <f aca="false">IF(D2131&lt;&gt;D2132,D2132,"")</f>
        <v/>
      </c>
      <c r="M2132" s="1" t="str">
        <f aca="false">IF(F2131&lt;&gt;F2132,F2132,"")</f>
        <v>D</v>
      </c>
    </row>
    <row r="2133" customFormat="false" ht="15" hidden="false" customHeight="false" outlineLevel="0" collapsed="false">
      <c r="A2133" s="1" t="s">
        <v>731</v>
      </c>
      <c r="B2133" s="1" t="s">
        <v>732</v>
      </c>
      <c r="C2133" s="1" t="s">
        <v>880</v>
      </c>
      <c r="D2133" s="1" t="s">
        <v>881</v>
      </c>
      <c r="E2133" s="1" t="n">
        <v>20171</v>
      </c>
      <c r="F2133" s="1" t="s">
        <v>514</v>
      </c>
      <c r="G2133" s="1" t="s">
        <v>18</v>
      </c>
      <c r="H2133" s="1" t="n">
        <v>3</v>
      </c>
      <c r="I2133" s="1" t="n">
        <v>0</v>
      </c>
      <c r="J2133" s="1" t="n">
        <v>20201</v>
      </c>
      <c r="L2133" s="1" t="str">
        <f aca="false">IF(D2132&lt;&gt;D2133,D2133,"")</f>
        <v/>
      </c>
      <c r="M2133" s="1" t="str">
        <f aca="false">IF(F2132&lt;&gt;F2133,F2133,"")</f>
        <v/>
      </c>
    </row>
    <row r="2134" customFormat="false" ht="15" hidden="false" customHeight="false" outlineLevel="0" collapsed="false">
      <c r="A2134" s="1" t="s">
        <v>265</v>
      </c>
      <c r="B2134" s="1" t="s">
        <v>266</v>
      </c>
      <c r="C2134" s="1" t="s">
        <v>880</v>
      </c>
      <c r="D2134" s="1" t="s">
        <v>881</v>
      </c>
      <c r="E2134" s="1" t="n">
        <v>20171</v>
      </c>
      <c r="F2134" s="1" t="s">
        <v>514</v>
      </c>
      <c r="G2134" s="1" t="s">
        <v>127</v>
      </c>
      <c r="H2134" s="1" t="n">
        <v>2</v>
      </c>
      <c r="I2134" s="1" t="n">
        <v>0</v>
      </c>
      <c r="J2134" s="1" t="n">
        <v>20201</v>
      </c>
      <c r="L2134" s="1" t="str">
        <f aca="false">IF(D2133&lt;&gt;D2134,D2134,"")</f>
        <v/>
      </c>
      <c r="M2134" s="1" t="str">
        <f aca="false">IF(F2133&lt;&gt;F2134,F2134,"")</f>
        <v/>
      </c>
    </row>
    <row r="2135" customFormat="false" ht="15" hidden="false" customHeight="false" outlineLevel="0" collapsed="false">
      <c r="A2135" s="1" t="s">
        <v>824</v>
      </c>
      <c r="B2135" s="1" t="s">
        <v>825</v>
      </c>
      <c r="C2135" s="1" t="s">
        <v>880</v>
      </c>
      <c r="D2135" s="1" t="s">
        <v>881</v>
      </c>
      <c r="E2135" s="1" t="n">
        <v>20171</v>
      </c>
      <c r="F2135" s="1" t="s">
        <v>514</v>
      </c>
      <c r="G2135" s="1" t="s">
        <v>127</v>
      </c>
      <c r="H2135" s="1" t="n">
        <v>2</v>
      </c>
      <c r="I2135" s="1" t="n">
        <v>0</v>
      </c>
      <c r="J2135" s="1" t="n">
        <v>20201</v>
      </c>
      <c r="L2135" s="1" t="str">
        <f aca="false">IF(D2134&lt;&gt;D2135,D2135,"")</f>
        <v/>
      </c>
      <c r="M2135" s="1" t="str">
        <f aca="false">IF(F2134&lt;&gt;F2135,F2135,"")</f>
        <v/>
      </c>
    </row>
    <row r="2136" customFormat="false" ht="15" hidden="false" customHeight="false" outlineLevel="0" collapsed="false">
      <c r="A2136" s="1" t="s">
        <v>826</v>
      </c>
      <c r="B2136" s="1" t="s">
        <v>827</v>
      </c>
      <c r="C2136" s="1" t="s">
        <v>880</v>
      </c>
      <c r="D2136" s="1" t="s">
        <v>881</v>
      </c>
      <c r="E2136" s="1" t="n">
        <v>20171</v>
      </c>
      <c r="F2136" s="1" t="s">
        <v>514</v>
      </c>
      <c r="G2136" s="1" t="s">
        <v>101</v>
      </c>
      <c r="H2136" s="1" t="n">
        <v>2.5</v>
      </c>
      <c r="I2136" s="1" t="n">
        <v>0</v>
      </c>
      <c r="J2136" s="1" t="n">
        <v>20201</v>
      </c>
      <c r="L2136" s="1" t="str">
        <f aca="false">IF(D2135&lt;&gt;D2136,D2136,"")</f>
        <v/>
      </c>
      <c r="M2136" s="1" t="str">
        <f aca="false">IF(F2135&lt;&gt;F2136,F2136,"")</f>
        <v/>
      </c>
    </row>
    <row r="2137" customFormat="false" ht="15" hidden="false" customHeight="false" outlineLevel="0" collapsed="false">
      <c r="A2137" s="1" t="s">
        <v>595</v>
      </c>
      <c r="B2137" s="1" t="s">
        <v>596</v>
      </c>
      <c r="C2137" s="1" t="s">
        <v>880</v>
      </c>
      <c r="D2137" s="1" t="s">
        <v>881</v>
      </c>
      <c r="E2137" s="1" t="n">
        <v>20171</v>
      </c>
      <c r="F2137" s="1" t="s">
        <v>514</v>
      </c>
      <c r="G2137" s="1" t="s">
        <v>127</v>
      </c>
      <c r="H2137" s="1" t="n">
        <v>2</v>
      </c>
      <c r="I2137" s="1" t="n">
        <v>0</v>
      </c>
      <c r="J2137" s="1" t="n">
        <v>20201</v>
      </c>
      <c r="L2137" s="1" t="str">
        <f aca="false">IF(D2136&lt;&gt;D2137,D2137,"")</f>
        <v/>
      </c>
      <c r="M2137" s="1" t="str">
        <f aca="false">IF(F2136&lt;&gt;F2137,F2137,"")</f>
        <v/>
      </c>
    </row>
    <row r="2138" customFormat="false" ht="15" hidden="false" customHeight="false" outlineLevel="0" collapsed="false">
      <c r="A2138" s="1" t="s">
        <v>773</v>
      </c>
      <c r="B2138" s="1" t="s">
        <v>774</v>
      </c>
      <c r="C2138" s="1" t="s">
        <v>880</v>
      </c>
      <c r="D2138" s="1" t="s">
        <v>881</v>
      </c>
      <c r="E2138" s="1" t="n">
        <v>20171</v>
      </c>
      <c r="F2138" s="1" t="s">
        <v>514</v>
      </c>
      <c r="G2138" s="1" t="s">
        <v>127</v>
      </c>
      <c r="H2138" s="1" t="n">
        <v>2</v>
      </c>
      <c r="I2138" s="1" t="n">
        <v>0</v>
      </c>
      <c r="J2138" s="1" t="n">
        <v>20201</v>
      </c>
      <c r="L2138" s="1" t="str">
        <f aca="false">IF(D2137&lt;&gt;D2138,D2138,"")</f>
        <v/>
      </c>
      <c r="M2138" s="1" t="str">
        <f aca="false">IF(F2137&lt;&gt;F2138,F2138,"")</f>
        <v/>
      </c>
    </row>
    <row r="2139" customFormat="false" ht="15" hidden="false" customHeight="false" outlineLevel="0" collapsed="false">
      <c r="A2139" s="1" t="s">
        <v>114</v>
      </c>
      <c r="B2139" s="1" t="s">
        <v>115</v>
      </c>
      <c r="C2139" s="1" t="s">
        <v>880</v>
      </c>
      <c r="D2139" s="1" t="s">
        <v>881</v>
      </c>
      <c r="E2139" s="1" t="n">
        <v>20171</v>
      </c>
      <c r="F2139" s="1" t="s">
        <v>514</v>
      </c>
      <c r="G2139" s="1" t="s">
        <v>15</v>
      </c>
      <c r="H2139" s="1" t="n">
        <v>3.5</v>
      </c>
      <c r="I2139" s="1" t="n">
        <v>0</v>
      </c>
      <c r="J2139" s="1" t="n">
        <v>20201</v>
      </c>
      <c r="L2139" s="1" t="str">
        <f aca="false">IF(D2138&lt;&gt;D2139,D2139,"")</f>
        <v/>
      </c>
      <c r="M2139" s="1" t="str">
        <f aca="false">IF(F2138&lt;&gt;F2139,F2139,"")</f>
        <v/>
      </c>
    </row>
    <row r="2140" customFormat="false" ht="15" hidden="false" customHeight="false" outlineLevel="0" collapsed="false">
      <c r="A2140" s="1" t="s">
        <v>202</v>
      </c>
      <c r="B2140" s="1" t="s">
        <v>203</v>
      </c>
      <c r="C2140" s="1" t="s">
        <v>880</v>
      </c>
      <c r="D2140" s="1" t="s">
        <v>881</v>
      </c>
      <c r="E2140" s="1" t="n">
        <v>20171</v>
      </c>
      <c r="F2140" s="1" t="s">
        <v>514</v>
      </c>
      <c r="G2140" s="1" t="s">
        <v>15</v>
      </c>
      <c r="H2140" s="1" t="n">
        <v>3.5</v>
      </c>
      <c r="I2140" s="1" t="n">
        <v>0</v>
      </c>
      <c r="J2140" s="1" t="n">
        <v>20201</v>
      </c>
      <c r="L2140" s="1" t="str">
        <f aca="false">IF(D2139&lt;&gt;D2140,D2140,"")</f>
        <v/>
      </c>
      <c r="M2140" s="1" t="str">
        <f aca="false">IF(F2139&lt;&gt;F2140,F2140,"")</f>
        <v/>
      </c>
    </row>
    <row r="2141" customFormat="false" ht="15" hidden="false" customHeight="false" outlineLevel="0" collapsed="false">
      <c r="A2141" s="1" t="s">
        <v>751</v>
      </c>
      <c r="B2141" s="1" t="s">
        <v>752</v>
      </c>
      <c r="C2141" s="1" t="s">
        <v>880</v>
      </c>
      <c r="D2141" s="1" t="s">
        <v>881</v>
      </c>
      <c r="E2141" s="1" t="n">
        <v>20171</v>
      </c>
      <c r="F2141" s="1" t="s">
        <v>514</v>
      </c>
      <c r="G2141" s="1" t="s">
        <v>18</v>
      </c>
      <c r="H2141" s="1" t="n">
        <v>3</v>
      </c>
      <c r="I2141" s="1" t="n">
        <v>0</v>
      </c>
      <c r="J2141" s="1" t="n">
        <v>20201</v>
      </c>
      <c r="L2141" s="1" t="str">
        <f aca="false">IF(D2140&lt;&gt;D2141,D2141,"")</f>
        <v/>
      </c>
      <c r="M2141" s="1" t="str">
        <f aca="false">IF(F2140&lt;&gt;F2141,F2141,"")</f>
        <v/>
      </c>
    </row>
    <row r="2142" customFormat="false" ht="15" hidden="false" customHeight="false" outlineLevel="0" collapsed="false">
      <c r="A2142" s="1" t="s">
        <v>273</v>
      </c>
      <c r="B2142" s="1" t="s">
        <v>274</v>
      </c>
      <c r="C2142" s="1" t="s">
        <v>880</v>
      </c>
      <c r="D2142" s="1" t="s">
        <v>881</v>
      </c>
      <c r="E2142" s="1" t="n">
        <v>20171</v>
      </c>
      <c r="F2142" s="1" t="s">
        <v>514</v>
      </c>
      <c r="G2142" s="1" t="s">
        <v>127</v>
      </c>
      <c r="H2142" s="1" t="n">
        <v>2</v>
      </c>
      <c r="I2142" s="1" t="n">
        <v>0</v>
      </c>
      <c r="J2142" s="1" t="n">
        <v>20201</v>
      </c>
      <c r="L2142" s="1" t="str">
        <f aca="false">IF(D2141&lt;&gt;D2142,D2142,"")</f>
        <v/>
      </c>
      <c r="M2142" s="1" t="str">
        <f aca="false">IF(F2141&lt;&gt;F2142,F2142,"")</f>
        <v/>
      </c>
    </row>
    <row r="2143" customFormat="false" ht="15" hidden="false" customHeight="false" outlineLevel="0" collapsed="false">
      <c r="A2143" s="1" t="s">
        <v>739</v>
      </c>
      <c r="B2143" s="1" t="s">
        <v>740</v>
      </c>
      <c r="C2143" s="1" t="s">
        <v>880</v>
      </c>
      <c r="D2143" s="1" t="s">
        <v>881</v>
      </c>
      <c r="E2143" s="1" t="n">
        <v>20171</v>
      </c>
      <c r="F2143" s="1" t="s">
        <v>514</v>
      </c>
      <c r="G2143" s="1" t="s">
        <v>101</v>
      </c>
      <c r="H2143" s="1" t="n">
        <v>2.5</v>
      </c>
      <c r="I2143" s="1" t="n">
        <v>0</v>
      </c>
      <c r="J2143" s="1" t="n">
        <v>20201</v>
      </c>
      <c r="L2143" s="1" t="str">
        <f aca="false">IF(D2142&lt;&gt;D2143,D2143,"")</f>
        <v/>
      </c>
      <c r="M2143" s="1" t="str">
        <f aca="false">IF(F2142&lt;&gt;F2143,F2143,"")</f>
        <v/>
      </c>
    </row>
    <row r="2144" customFormat="false" ht="15" hidden="false" customHeight="false" outlineLevel="0" collapsed="false">
      <c r="A2144" s="1" t="s">
        <v>828</v>
      </c>
      <c r="B2144" s="1" t="s">
        <v>829</v>
      </c>
      <c r="C2144" s="1" t="s">
        <v>880</v>
      </c>
      <c r="D2144" s="1" t="s">
        <v>881</v>
      </c>
      <c r="E2144" s="1" t="n">
        <v>20171</v>
      </c>
      <c r="F2144" s="1" t="s">
        <v>514</v>
      </c>
      <c r="G2144" s="1" t="s">
        <v>23</v>
      </c>
      <c r="H2144" s="1" t="n">
        <v>0</v>
      </c>
      <c r="I2144" s="1" t="n">
        <v>0</v>
      </c>
      <c r="J2144" s="1" t="n">
        <v>20201</v>
      </c>
      <c r="L2144" s="1" t="str">
        <f aca="false">IF(D2143&lt;&gt;D2144,D2144,"")</f>
        <v/>
      </c>
      <c r="M2144" s="1" t="str">
        <f aca="false">IF(F2143&lt;&gt;F2144,F2144,"")</f>
        <v/>
      </c>
    </row>
    <row r="2145" customFormat="false" ht="15" hidden="false" customHeight="false" outlineLevel="0" collapsed="false">
      <c r="A2145" s="1" t="s">
        <v>830</v>
      </c>
      <c r="B2145" s="1" t="s">
        <v>831</v>
      </c>
      <c r="C2145" s="1" t="s">
        <v>880</v>
      </c>
      <c r="D2145" s="1" t="s">
        <v>881</v>
      </c>
      <c r="E2145" s="1" t="n">
        <v>20171</v>
      </c>
      <c r="F2145" s="1" t="s">
        <v>514</v>
      </c>
      <c r="G2145" s="1" t="s">
        <v>14</v>
      </c>
      <c r="H2145" s="1" t="n">
        <v>4</v>
      </c>
      <c r="I2145" s="1" t="n">
        <v>0</v>
      </c>
      <c r="J2145" s="1" t="n">
        <v>20201</v>
      </c>
      <c r="L2145" s="1" t="str">
        <f aca="false">IF(D2144&lt;&gt;D2145,D2145,"")</f>
        <v/>
      </c>
      <c r="M2145" s="1" t="str">
        <f aca="false">IF(F2144&lt;&gt;F2145,F2145,"")</f>
        <v/>
      </c>
    </row>
    <row r="2146" customFormat="false" ht="15" hidden="false" customHeight="false" outlineLevel="0" collapsed="false">
      <c r="A2146" s="1" t="s">
        <v>209</v>
      </c>
      <c r="B2146" s="1" t="s">
        <v>210</v>
      </c>
      <c r="C2146" s="1" t="s">
        <v>880</v>
      </c>
      <c r="D2146" s="1" t="s">
        <v>881</v>
      </c>
      <c r="E2146" s="1" t="n">
        <v>20171</v>
      </c>
      <c r="F2146" s="1" t="s">
        <v>514</v>
      </c>
      <c r="G2146" s="1" t="s">
        <v>18</v>
      </c>
      <c r="H2146" s="1" t="n">
        <v>3</v>
      </c>
      <c r="I2146" s="1" t="n">
        <v>0</v>
      </c>
      <c r="J2146" s="1" t="n">
        <v>20201</v>
      </c>
      <c r="L2146" s="1" t="str">
        <f aca="false">IF(D2145&lt;&gt;D2146,D2146,"")</f>
        <v/>
      </c>
      <c r="M2146" s="1" t="str">
        <f aca="false">IF(F2145&lt;&gt;F2146,F2146,"")</f>
        <v/>
      </c>
    </row>
    <row r="2147" customFormat="false" ht="15" hidden="false" customHeight="false" outlineLevel="0" collapsed="false">
      <c r="A2147" s="1" t="s">
        <v>882</v>
      </c>
      <c r="B2147" s="1" t="s">
        <v>883</v>
      </c>
      <c r="C2147" s="1" t="s">
        <v>880</v>
      </c>
      <c r="D2147" s="1" t="s">
        <v>881</v>
      </c>
      <c r="E2147" s="1" t="n">
        <v>20171</v>
      </c>
      <c r="F2147" s="1" t="s">
        <v>514</v>
      </c>
      <c r="G2147" s="1" t="s">
        <v>23</v>
      </c>
      <c r="H2147" s="1" t="n">
        <v>0</v>
      </c>
      <c r="I2147" s="1" t="n">
        <v>0</v>
      </c>
      <c r="J2147" s="1" t="n">
        <v>20201</v>
      </c>
      <c r="L2147" s="1" t="str">
        <f aca="false">IF(D2146&lt;&gt;D2147,D2147,"")</f>
        <v/>
      </c>
      <c r="M2147" s="1" t="str">
        <f aca="false">IF(F2146&lt;&gt;F2147,F2147,"")</f>
        <v/>
      </c>
    </row>
    <row r="2148" customFormat="false" ht="15" hidden="false" customHeight="false" outlineLevel="0" collapsed="false">
      <c r="A2148" s="1" t="s">
        <v>675</v>
      </c>
      <c r="B2148" s="1" t="s">
        <v>676</v>
      </c>
      <c r="C2148" s="1" t="s">
        <v>884</v>
      </c>
      <c r="D2148" s="1" t="s">
        <v>885</v>
      </c>
      <c r="E2148" s="1" t="n">
        <v>20171</v>
      </c>
      <c r="F2148" s="1" t="s">
        <v>208</v>
      </c>
      <c r="G2148" s="1" t="s">
        <v>787</v>
      </c>
      <c r="H2148" s="1" t="n">
        <v>0</v>
      </c>
      <c r="I2148" s="1" t="n">
        <v>0</v>
      </c>
      <c r="J2148" s="1" t="n">
        <v>20201</v>
      </c>
      <c r="L2148" s="1" t="str">
        <f aca="false">IF(D2147&lt;&gt;D2148,D2148,"")</f>
        <v>PRAKTEK KERJA LAPANGAN</v>
      </c>
      <c r="M2148" s="1" t="str">
        <f aca="false">IF(F2147&lt;&gt;F2148,F2148,"")</f>
        <v>P</v>
      </c>
    </row>
    <row r="2149" customFormat="false" ht="15" hidden="false" customHeight="false" outlineLevel="0" collapsed="false">
      <c r="A2149" s="1" t="s">
        <v>886</v>
      </c>
      <c r="B2149" s="1" t="s">
        <v>887</v>
      </c>
      <c r="C2149" s="1" t="s">
        <v>884</v>
      </c>
      <c r="D2149" s="1" t="s">
        <v>885</v>
      </c>
      <c r="E2149" s="1" t="n">
        <v>20171</v>
      </c>
      <c r="F2149" s="1" t="s">
        <v>208</v>
      </c>
      <c r="G2149" s="1" t="s">
        <v>787</v>
      </c>
      <c r="H2149" s="1" t="n">
        <v>0</v>
      </c>
      <c r="I2149" s="1" t="n">
        <v>0</v>
      </c>
      <c r="J2149" s="1" t="n">
        <v>20201</v>
      </c>
      <c r="L2149" s="1" t="str">
        <f aca="false">IF(D2148&lt;&gt;D2149,D2149,"")</f>
        <v/>
      </c>
      <c r="M2149" s="1" t="str">
        <f aca="false">IF(F2148&lt;&gt;F2149,F2149,"")</f>
        <v/>
      </c>
    </row>
    <row r="2150" customFormat="false" ht="15" hidden="false" customHeight="false" outlineLevel="0" collapsed="false">
      <c r="A2150" s="1" t="s">
        <v>785</v>
      </c>
      <c r="B2150" s="1" t="s">
        <v>786</v>
      </c>
      <c r="C2150" s="1" t="s">
        <v>884</v>
      </c>
      <c r="D2150" s="1" t="s">
        <v>885</v>
      </c>
      <c r="E2150" s="1" t="n">
        <v>20171</v>
      </c>
      <c r="F2150" s="1" t="s">
        <v>208</v>
      </c>
      <c r="G2150" s="1" t="s">
        <v>787</v>
      </c>
      <c r="H2150" s="1" t="n">
        <v>0</v>
      </c>
      <c r="I2150" s="1" t="n">
        <v>0</v>
      </c>
      <c r="J2150" s="1" t="n">
        <v>20201</v>
      </c>
      <c r="L2150" s="1" t="str">
        <f aca="false">IF(D2149&lt;&gt;D2150,D2150,"")</f>
        <v/>
      </c>
      <c r="M2150" s="1" t="str">
        <f aca="false">IF(F2149&lt;&gt;F2150,F2150,"")</f>
        <v/>
      </c>
    </row>
    <row r="2151" customFormat="false" ht="15" hidden="false" customHeight="false" outlineLevel="0" collapsed="false">
      <c r="A2151" s="1" t="s">
        <v>306</v>
      </c>
      <c r="B2151" s="1" t="s">
        <v>307</v>
      </c>
      <c r="C2151" s="1" t="s">
        <v>884</v>
      </c>
      <c r="D2151" s="1" t="s">
        <v>885</v>
      </c>
      <c r="E2151" s="1" t="n">
        <v>20171</v>
      </c>
      <c r="F2151" s="1" t="s">
        <v>208</v>
      </c>
      <c r="G2151" s="1" t="s">
        <v>14</v>
      </c>
      <c r="H2151" s="1" t="n">
        <v>4</v>
      </c>
      <c r="I2151" s="1" t="n">
        <v>0</v>
      </c>
      <c r="J2151" s="1" t="n">
        <v>20201</v>
      </c>
      <c r="L2151" s="1" t="str">
        <f aca="false">IF(D2150&lt;&gt;D2151,D2151,"")</f>
        <v/>
      </c>
      <c r="M2151" s="1" t="str">
        <f aca="false">IF(F2150&lt;&gt;F2151,F2151,"")</f>
        <v/>
      </c>
    </row>
    <row r="2152" customFormat="false" ht="15" hidden="false" customHeight="false" outlineLevel="0" collapsed="false">
      <c r="A2152" s="1" t="s">
        <v>749</v>
      </c>
      <c r="B2152" s="1" t="s">
        <v>750</v>
      </c>
      <c r="C2152" s="1" t="s">
        <v>884</v>
      </c>
      <c r="D2152" s="1" t="s">
        <v>885</v>
      </c>
      <c r="E2152" s="1" t="n">
        <v>20171</v>
      </c>
      <c r="F2152" s="1" t="s">
        <v>208</v>
      </c>
      <c r="G2152" s="1" t="s">
        <v>14</v>
      </c>
      <c r="H2152" s="1" t="n">
        <v>4</v>
      </c>
      <c r="I2152" s="1" t="n">
        <v>0</v>
      </c>
      <c r="J2152" s="1" t="n">
        <v>20201</v>
      </c>
      <c r="L2152" s="1" t="str">
        <f aca="false">IF(D2151&lt;&gt;D2152,D2152,"")</f>
        <v/>
      </c>
      <c r="M2152" s="1" t="str">
        <f aca="false">IF(F2151&lt;&gt;F2152,F2152,"")</f>
        <v/>
      </c>
    </row>
    <row r="2153" customFormat="false" ht="15" hidden="false" customHeight="false" outlineLevel="0" collapsed="false">
      <c r="A2153" s="1" t="s">
        <v>788</v>
      </c>
      <c r="B2153" s="1" t="s">
        <v>789</v>
      </c>
      <c r="C2153" s="1" t="s">
        <v>884</v>
      </c>
      <c r="D2153" s="1" t="s">
        <v>885</v>
      </c>
      <c r="E2153" s="1" t="n">
        <v>20171</v>
      </c>
      <c r="F2153" s="1" t="s">
        <v>208</v>
      </c>
      <c r="G2153" s="1" t="s">
        <v>14</v>
      </c>
      <c r="H2153" s="1" t="n">
        <v>4</v>
      </c>
      <c r="I2153" s="1" t="n">
        <v>0</v>
      </c>
      <c r="J2153" s="1" t="n">
        <v>20201</v>
      </c>
      <c r="L2153" s="1" t="str">
        <f aca="false">IF(D2152&lt;&gt;D2153,D2153,"")</f>
        <v/>
      </c>
      <c r="M2153" s="1" t="str">
        <f aca="false">IF(F2152&lt;&gt;F2153,F2153,"")</f>
        <v/>
      </c>
    </row>
    <row r="2154" customFormat="false" ht="15" hidden="false" customHeight="false" outlineLevel="0" collapsed="false">
      <c r="A2154" s="1" t="s">
        <v>555</v>
      </c>
      <c r="B2154" s="1" t="s">
        <v>556</v>
      </c>
      <c r="C2154" s="1" t="s">
        <v>884</v>
      </c>
      <c r="D2154" s="1" t="s">
        <v>885</v>
      </c>
      <c r="E2154" s="1" t="n">
        <v>20171</v>
      </c>
      <c r="F2154" s="1" t="s">
        <v>208</v>
      </c>
      <c r="G2154" s="1" t="s">
        <v>14</v>
      </c>
      <c r="H2154" s="1" t="n">
        <v>4</v>
      </c>
      <c r="I2154" s="1" t="n">
        <v>0</v>
      </c>
      <c r="J2154" s="1" t="n">
        <v>20201</v>
      </c>
      <c r="L2154" s="1" t="str">
        <f aca="false">IF(D2153&lt;&gt;D2154,D2154,"")</f>
        <v/>
      </c>
      <c r="M2154" s="1" t="str">
        <f aca="false">IF(F2153&lt;&gt;F2154,F2154,"")</f>
        <v/>
      </c>
    </row>
    <row r="2155" customFormat="false" ht="15" hidden="false" customHeight="false" outlineLevel="0" collapsed="false">
      <c r="A2155" s="1" t="s">
        <v>204</v>
      </c>
      <c r="B2155" s="1" t="s">
        <v>205</v>
      </c>
      <c r="C2155" s="1" t="s">
        <v>884</v>
      </c>
      <c r="D2155" s="1" t="s">
        <v>885</v>
      </c>
      <c r="E2155" s="1" t="n">
        <v>20171</v>
      </c>
      <c r="F2155" s="1" t="s">
        <v>208</v>
      </c>
      <c r="G2155" s="1" t="s">
        <v>787</v>
      </c>
      <c r="H2155" s="1" t="n">
        <v>0</v>
      </c>
      <c r="I2155" s="1" t="n">
        <v>0</v>
      </c>
      <c r="J2155" s="1" t="n">
        <v>20201</v>
      </c>
      <c r="L2155" s="1" t="str">
        <f aca="false">IF(D2154&lt;&gt;D2155,D2155,"")</f>
        <v/>
      </c>
      <c r="M2155" s="1" t="str">
        <f aca="false">IF(F2154&lt;&gt;F2155,F2155,"")</f>
        <v/>
      </c>
    </row>
    <row r="2156" customFormat="false" ht="15" hidden="false" customHeight="false" outlineLevel="0" collapsed="false">
      <c r="A2156" s="1" t="s">
        <v>567</v>
      </c>
      <c r="B2156" s="1" t="s">
        <v>568</v>
      </c>
      <c r="C2156" s="1" t="s">
        <v>884</v>
      </c>
      <c r="D2156" s="1" t="s">
        <v>885</v>
      </c>
      <c r="E2156" s="1" t="n">
        <v>20171</v>
      </c>
      <c r="F2156" s="1" t="s">
        <v>208</v>
      </c>
      <c r="G2156" s="1" t="s">
        <v>787</v>
      </c>
      <c r="H2156" s="1" t="n">
        <v>0</v>
      </c>
      <c r="I2156" s="1" t="n">
        <v>0</v>
      </c>
      <c r="J2156" s="1" t="n">
        <v>20201</v>
      </c>
      <c r="L2156" s="1" t="str">
        <f aca="false">IF(D2155&lt;&gt;D2156,D2156,"")</f>
        <v/>
      </c>
      <c r="M2156" s="1" t="str">
        <f aca="false">IF(F2155&lt;&gt;F2156,F2156,"")</f>
        <v/>
      </c>
    </row>
    <row r="2157" customFormat="false" ht="15" hidden="false" customHeight="false" outlineLevel="0" collapsed="false">
      <c r="A2157" s="1" t="s">
        <v>637</v>
      </c>
      <c r="B2157" s="1" t="s">
        <v>638</v>
      </c>
      <c r="C2157" s="1" t="s">
        <v>884</v>
      </c>
      <c r="D2157" s="1" t="s">
        <v>885</v>
      </c>
      <c r="E2157" s="1" t="n">
        <v>20171</v>
      </c>
      <c r="F2157" s="1" t="s">
        <v>208</v>
      </c>
      <c r="G2157" s="1" t="s">
        <v>14</v>
      </c>
      <c r="H2157" s="1" t="n">
        <v>4</v>
      </c>
      <c r="I2157" s="1" t="n">
        <v>0</v>
      </c>
      <c r="J2157" s="1" t="n">
        <v>20201</v>
      </c>
      <c r="L2157" s="1" t="str">
        <f aca="false">IF(D2156&lt;&gt;D2157,D2157,"")</f>
        <v/>
      </c>
      <c r="M2157" s="1" t="str">
        <f aca="false">IF(F2156&lt;&gt;F2157,F2157,"")</f>
        <v/>
      </c>
    </row>
    <row r="2158" customFormat="false" ht="15" hidden="false" customHeight="false" outlineLevel="0" collapsed="false">
      <c r="A2158" s="1" t="s">
        <v>729</v>
      </c>
      <c r="B2158" s="1" t="s">
        <v>730</v>
      </c>
      <c r="C2158" s="1" t="s">
        <v>884</v>
      </c>
      <c r="D2158" s="1" t="s">
        <v>885</v>
      </c>
      <c r="E2158" s="1" t="n">
        <v>20171</v>
      </c>
      <c r="F2158" s="1" t="s">
        <v>208</v>
      </c>
      <c r="G2158" s="1" t="s">
        <v>787</v>
      </c>
      <c r="H2158" s="1" t="n">
        <v>0</v>
      </c>
      <c r="I2158" s="1" t="n">
        <v>0</v>
      </c>
      <c r="J2158" s="1" t="n">
        <v>20201</v>
      </c>
      <c r="L2158" s="1" t="str">
        <f aca="false">IF(D2157&lt;&gt;D2158,D2158,"")</f>
        <v/>
      </c>
      <c r="M2158" s="1" t="str">
        <f aca="false">IF(F2157&lt;&gt;F2158,F2158,"")</f>
        <v/>
      </c>
    </row>
    <row r="2159" customFormat="false" ht="15" hidden="false" customHeight="false" outlineLevel="0" collapsed="false">
      <c r="A2159" s="1" t="s">
        <v>790</v>
      </c>
      <c r="B2159" s="1" t="s">
        <v>791</v>
      </c>
      <c r="C2159" s="1" t="s">
        <v>884</v>
      </c>
      <c r="D2159" s="1" t="s">
        <v>885</v>
      </c>
      <c r="E2159" s="1" t="n">
        <v>20171</v>
      </c>
      <c r="F2159" s="1" t="s">
        <v>208</v>
      </c>
      <c r="G2159" s="1" t="s">
        <v>14</v>
      </c>
      <c r="H2159" s="1" t="n">
        <v>4</v>
      </c>
      <c r="I2159" s="1" t="n">
        <v>0</v>
      </c>
      <c r="J2159" s="1" t="n">
        <v>20201</v>
      </c>
      <c r="L2159" s="1" t="str">
        <f aca="false">IF(D2158&lt;&gt;D2159,D2159,"")</f>
        <v/>
      </c>
      <c r="M2159" s="1" t="str">
        <f aca="false">IF(F2158&lt;&gt;F2159,F2159,"")</f>
        <v/>
      </c>
    </row>
    <row r="2160" customFormat="false" ht="15" hidden="false" customHeight="false" outlineLevel="0" collapsed="false">
      <c r="A2160" s="1" t="s">
        <v>794</v>
      </c>
      <c r="B2160" s="1" t="s">
        <v>795</v>
      </c>
      <c r="C2160" s="1" t="s">
        <v>884</v>
      </c>
      <c r="D2160" s="1" t="s">
        <v>885</v>
      </c>
      <c r="E2160" s="1" t="n">
        <v>20171</v>
      </c>
      <c r="F2160" s="1" t="s">
        <v>208</v>
      </c>
      <c r="G2160" s="1" t="s">
        <v>14</v>
      </c>
      <c r="H2160" s="1" t="n">
        <v>4</v>
      </c>
      <c r="I2160" s="1" t="n">
        <v>0</v>
      </c>
      <c r="J2160" s="1" t="n">
        <v>20201</v>
      </c>
      <c r="L2160" s="1" t="str">
        <f aca="false">IF(D2159&lt;&gt;D2160,D2160,"")</f>
        <v/>
      </c>
      <c r="M2160" s="1" t="str">
        <f aca="false">IF(F2159&lt;&gt;F2160,F2160,"")</f>
        <v/>
      </c>
    </row>
    <row r="2161" customFormat="false" ht="15" hidden="false" customHeight="false" outlineLevel="0" collapsed="false">
      <c r="A2161" s="1" t="s">
        <v>573</v>
      </c>
      <c r="B2161" s="1" t="s">
        <v>574</v>
      </c>
      <c r="C2161" s="1" t="s">
        <v>884</v>
      </c>
      <c r="D2161" s="1" t="s">
        <v>885</v>
      </c>
      <c r="E2161" s="1" t="n">
        <v>20171</v>
      </c>
      <c r="F2161" s="1" t="s">
        <v>208</v>
      </c>
      <c r="G2161" s="1" t="s">
        <v>787</v>
      </c>
      <c r="H2161" s="1" t="n">
        <v>0</v>
      </c>
      <c r="I2161" s="1" t="n">
        <v>0</v>
      </c>
      <c r="J2161" s="1" t="n">
        <v>20201</v>
      </c>
      <c r="L2161" s="1" t="str">
        <f aca="false">IF(D2160&lt;&gt;D2161,D2161,"")</f>
        <v/>
      </c>
      <c r="M2161" s="1" t="str">
        <f aca="false">IF(F2160&lt;&gt;F2161,F2161,"")</f>
        <v/>
      </c>
    </row>
    <row r="2162" customFormat="false" ht="15" hidden="false" customHeight="false" outlineLevel="0" collapsed="false">
      <c r="A2162" s="1" t="s">
        <v>759</v>
      </c>
      <c r="B2162" s="1" t="s">
        <v>760</v>
      </c>
      <c r="C2162" s="1" t="s">
        <v>884</v>
      </c>
      <c r="D2162" s="1" t="s">
        <v>885</v>
      </c>
      <c r="E2162" s="1" t="n">
        <v>20171</v>
      </c>
      <c r="F2162" s="1" t="s">
        <v>208</v>
      </c>
      <c r="G2162" s="1" t="s">
        <v>14</v>
      </c>
      <c r="H2162" s="1" t="n">
        <v>4</v>
      </c>
      <c r="I2162" s="1" t="n">
        <v>0</v>
      </c>
      <c r="J2162" s="1" t="n">
        <v>20201</v>
      </c>
      <c r="L2162" s="1" t="str">
        <f aca="false">IF(D2161&lt;&gt;D2162,D2162,"")</f>
        <v/>
      </c>
      <c r="M2162" s="1" t="str">
        <f aca="false">IF(F2161&lt;&gt;F2162,F2162,"")</f>
        <v/>
      </c>
    </row>
    <row r="2163" customFormat="false" ht="15" hidden="false" customHeight="false" outlineLevel="0" collapsed="false">
      <c r="A2163" s="1" t="s">
        <v>798</v>
      </c>
      <c r="B2163" s="1" t="s">
        <v>799</v>
      </c>
      <c r="C2163" s="1" t="s">
        <v>884</v>
      </c>
      <c r="D2163" s="1" t="s">
        <v>885</v>
      </c>
      <c r="E2163" s="1" t="n">
        <v>20171</v>
      </c>
      <c r="F2163" s="1" t="s">
        <v>208</v>
      </c>
      <c r="G2163" s="1" t="s">
        <v>14</v>
      </c>
      <c r="H2163" s="1" t="n">
        <v>4</v>
      </c>
      <c r="I2163" s="1" t="n">
        <v>0</v>
      </c>
      <c r="J2163" s="1" t="n">
        <v>20201</v>
      </c>
      <c r="L2163" s="1" t="str">
        <f aca="false">IF(D2162&lt;&gt;D2163,D2163,"")</f>
        <v/>
      </c>
      <c r="M2163" s="1" t="str">
        <f aca="false">IF(F2162&lt;&gt;F2163,F2163,"")</f>
        <v/>
      </c>
    </row>
    <row r="2164" customFormat="false" ht="15" hidden="false" customHeight="false" outlineLevel="0" collapsed="false">
      <c r="A2164" s="1" t="s">
        <v>651</v>
      </c>
      <c r="B2164" s="1" t="s">
        <v>652</v>
      </c>
      <c r="C2164" s="1" t="s">
        <v>884</v>
      </c>
      <c r="D2164" s="1" t="s">
        <v>885</v>
      </c>
      <c r="E2164" s="1" t="n">
        <v>20171</v>
      </c>
      <c r="F2164" s="1" t="s">
        <v>208</v>
      </c>
      <c r="G2164" s="1" t="s">
        <v>787</v>
      </c>
      <c r="H2164" s="1" t="n">
        <v>0</v>
      </c>
      <c r="I2164" s="1" t="n">
        <v>0</v>
      </c>
      <c r="J2164" s="1" t="n">
        <v>20201</v>
      </c>
      <c r="L2164" s="1" t="str">
        <f aca="false">IF(D2163&lt;&gt;D2164,D2164,"")</f>
        <v/>
      </c>
      <c r="M2164" s="1" t="str">
        <f aca="false">IF(F2163&lt;&gt;F2164,F2164,"")</f>
        <v/>
      </c>
    </row>
    <row r="2165" customFormat="false" ht="15" hidden="false" customHeight="false" outlineLevel="0" collapsed="false">
      <c r="A2165" s="1" t="s">
        <v>755</v>
      </c>
      <c r="B2165" s="1" t="s">
        <v>756</v>
      </c>
      <c r="C2165" s="1" t="s">
        <v>884</v>
      </c>
      <c r="D2165" s="1" t="s">
        <v>885</v>
      </c>
      <c r="E2165" s="1" t="n">
        <v>20171</v>
      </c>
      <c r="F2165" s="1" t="s">
        <v>208</v>
      </c>
      <c r="G2165" s="1" t="s">
        <v>787</v>
      </c>
      <c r="H2165" s="1" t="n">
        <v>0</v>
      </c>
      <c r="I2165" s="1" t="n">
        <v>0</v>
      </c>
      <c r="J2165" s="1" t="n">
        <v>20201</v>
      </c>
      <c r="L2165" s="1" t="str">
        <f aca="false">IF(D2164&lt;&gt;D2165,D2165,"")</f>
        <v/>
      </c>
      <c r="M2165" s="1" t="str">
        <f aca="false">IF(F2164&lt;&gt;F2165,F2165,"")</f>
        <v/>
      </c>
    </row>
    <row r="2166" customFormat="false" ht="15" hidden="false" customHeight="false" outlineLevel="0" collapsed="false">
      <c r="A2166" s="1" t="s">
        <v>777</v>
      </c>
      <c r="B2166" s="1" t="s">
        <v>778</v>
      </c>
      <c r="C2166" s="1" t="s">
        <v>884</v>
      </c>
      <c r="D2166" s="1" t="s">
        <v>885</v>
      </c>
      <c r="E2166" s="1" t="n">
        <v>20171</v>
      </c>
      <c r="F2166" s="1" t="s">
        <v>208</v>
      </c>
      <c r="G2166" s="1" t="s">
        <v>787</v>
      </c>
      <c r="H2166" s="1" t="n">
        <v>0</v>
      </c>
      <c r="I2166" s="1" t="n">
        <v>0</v>
      </c>
      <c r="J2166" s="1" t="n">
        <v>20201</v>
      </c>
      <c r="L2166" s="1" t="str">
        <f aca="false">IF(D2165&lt;&gt;D2166,D2166,"")</f>
        <v/>
      </c>
      <c r="M2166" s="1" t="str">
        <f aca="false">IF(F2165&lt;&gt;F2166,F2166,"")</f>
        <v/>
      </c>
    </row>
    <row r="2167" customFormat="false" ht="15" hidden="false" customHeight="false" outlineLevel="0" collapsed="false">
      <c r="A2167" s="1" t="s">
        <v>800</v>
      </c>
      <c r="B2167" s="1" t="s">
        <v>801</v>
      </c>
      <c r="C2167" s="1" t="s">
        <v>884</v>
      </c>
      <c r="D2167" s="1" t="s">
        <v>885</v>
      </c>
      <c r="E2167" s="1" t="n">
        <v>20171</v>
      </c>
      <c r="F2167" s="1" t="s">
        <v>208</v>
      </c>
      <c r="G2167" s="1" t="s">
        <v>14</v>
      </c>
      <c r="H2167" s="1" t="n">
        <v>4</v>
      </c>
      <c r="I2167" s="1" t="n">
        <v>0</v>
      </c>
      <c r="J2167" s="1" t="n">
        <v>20201</v>
      </c>
      <c r="L2167" s="1" t="str">
        <f aca="false">IF(D2166&lt;&gt;D2167,D2167,"")</f>
        <v/>
      </c>
      <c r="M2167" s="1" t="str">
        <f aca="false">IF(F2166&lt;&gt;F2167,F2167,"")</f>
        <v/>
      </c>
    </row>
    <row r="2168" customFormat="false" ht="15" hidden="false" customHeight="false" outlineLevel="0" collapsed="false">
      <c r="A2168" s="1" t="s">
        <v>655</v>
      </c>
      <c r="B2168" s="1" t="s">
        <v>656</v>
      </c>
      <c r="C2168" s="1" t="s">
        <v>884</v>
      </c>
      <c r="D2168" s="1" t="s">
        <v>885</v>
      </c>
      <c r="E2168" s="1" t="n">
        <v>20171</v>
      </c>
      <c r="F2168" s="1" t="s">
        <v>208</v>
      </c>
      <c r="G2168" s="1" t="s">
        <v>14</v>
      </c>
      <c r="H2168" s="1" t="n">
        <v>4</v>
      </c>
      <c r="I2168" s="1" t="n">
        <v>0</v>
      </c>
      <c r="J2168" s="1" t="n">
        <v>20201</v>
      </c>
      <c r="L2168" s="1" t="str">
        <f aca="false">IF(D2167&lt;&gt;D2168,D2168,"")</f>
        <v/>
      </c>
      <c r="M2168" s="1" t="str">
        <f aca="false">IF(F2167&lt;&gt;F2168,F2168,"")</f>
        <v/>
      </c>
    </row>
    <row r="2169" customFormat="false" ht="15" hidden="false" customHeight="false" outlineLevel="0" collapsed="false">
      <c r="A2169" s="1" t="s">
        <v>802</v>
      </c>
      <c r="B2169" s="1" t="s">
        <v>803</v>
      </c>
      <c r="C2169" s="1" t="s">
        <v>884</v>
      </c>
      <c r="D2169" s="1" t="s">
        <v>885</v>
      </c>
      <c r="E2169" s="1" t="n">
        <v>20171</v>
      </c>
      <c r="F2169" s="1" t="s">
        <v>208</v>
      </c>
      <c r="G2169" s="1" t="s">
        <v>14</v>
      </c>
      <c r="H2169" s="1" t="n">
        <v>4</v>
      </c>
      <c r="I2169" s="1" t="n">
        <v>0</v>
      </c>
      <c r="J2169" s="1" t="n">
        <v>20201</v>
      </c>
      <c r="L2169" s="1" t="str">
        <f aca="false">IF(D2168&lt;&gt;D2169,D2169,"")</f>
        <v/>
      </c>
      <c r="M2169" s="1" t="str">
        <f aca="false">IF(F2168&lt;&gt;F2169,F2169,"")</f>
        <v/>
      </c>
    </row>
    <row r="2170" customFormat="false" ht="15" hidden="false" customHeight="false" outlineLevel="0" collapsed="false">
      <c r="A2170" s="1" t="s">
        <v>804</v>
      </c>
      <c r="B2170" s="1" t="s">
        <v>805</v>
      </c>
      <c r="C2170" s="1" t="s">
        <v>884</v>
      </c>
      <c r="D2170" s="1" t="s">
        <v>885</v>
      </c>
      <c r="E2170" s="1" t="n">
        <v>20171</v>
      </c>
      <c r="F2170" s="1" t="s">
        <v>208</v>
      </c>
      <c r="G2170" s="1" t="s">
        <v>787</v>
      </c>
      <c r="H2170" s="1" t="n">
        <v>0</v>
      </c>
      <c r="I2170" s="1" t="n">
        <v>0</v>
      </c>
      <c r="J2170" s="1" t="n">
        <v>20201</v>
      </c>
      <c r="L2170" s="1" t="str">
        <f aca="false">IF(D2169&lt;&gt;D2170,D2170,"")</f>
        <v/>
      </c>
      <c r="M2170" s="1" t="str">
        <f aca="false">IF(F2169&lt;&gt;F2170,F2170,"")</f>
        <v/>
      </c>
    </row>
    <row r="2171" customFormat="false" ht="15" hidden="false" customHeight="false" outlineLevel="0" collapsed="false">
      <c r="A2171" s="1" t="s">
        <v>806</v>
      </c>
      <c r="B2171" s="1" t="s">
        <v>807</v>
      </c>
      <c r="C2171" s="1" t="s">
        <v>884</v>
      </c>
      <c r="D2171" s="1" t="s">
        <v>885</v>
      </c>
      <c r="E2171" s="1" t="n">
        <v>20171</v>
      </c>
      <c r="F2171" s="1" t="s">
        <v>208</v>
      </c>
      <c r="G2171" s="1" t="s">
        <v>14</v>
      </c>
      <c r="H2171" s="1" t="n">
        <v>4</v>
      </c>
      <c r="I2171" s="1" t="n">
        <v>0</v>
      </c>
      <c r="J2171" s="1" t="n">
        <v>20201</v>
      </c>
      <c r="L2171" s="1" t="str">
        <f aca="false">IF(D2170&lt;&gt;D2171,D2171,"")</f>
        <v/>
      </c>
      <c r="M2171" s="1" t="str">
        <f aca="false">IF(F2170&lt;&gt;F2171,F2171,"")</f>
        <v/>
      </c>
    </row>
    <row r="2172" customFormat="false" ht="15" hidden="false" customHeight="false" outlineLevel="0" collapsed="false">
      <c r="A2172" s="1" t="s">
        <v>761</v>
      </c>
      <c r="B2172" s="1" t="s">
        <v>762</v>
      </c>
      <c r="C2172" s="1" t="s">
        <v>884</v>
      </c>
      <c r="D2172" s="1" t="s">
        <v>885</v>
      </c>
      <c r="E2172" s="1" t="n">
        <v>20171</v>
      </c>
      <c r="F2172" s="1" t="s">
        <v>208</v>
      </c>
      <c r="G2172" s="1" t="s">
        <v>14</v>
      </c>
      <c r="H2172" s="1" t="n">
        <v>4</v>
      </c>
      <c r="I2172" s="1" t="n">
        <v>0</v>
      </c>
      <c r="J2172" s="1" t="n">
        <v>20201</v>
      </c>
      <c r="L2172" s="1" t="str">
        <f aca="false">IF(D2171&lt;&gt;D2172,D2172,"")</f>
        <v/>
      </c>
      <c r="M2172" s="1" t="str">
        <f aca="false">IF(F2171&lt;&gt;F2172,F2172,"")</f>
        <v/>
      </c>
    </row>
    <row r="2173" customFormat="false" ht="15" hidden="false" customHeight="false" outlineLevel="0" collapsed="false">
      <c r="A2173" s="1" t="s">
        <v>112</v>
      </c>
      <c r="B2173" s="1" t="s">
        <v>113</v>
      </c>
      <c r="C2173" s="1" t="s">
        <v>884</v>
      </c>
      <c r="D2173" s="1" t="s">
        <v>885</v>
      </c>
      <c r="E2173" s="1" t="n">
        <v>20171</v>
      </c>
      <c r="F2173" s="1" t="s">
        <v>208</v>
      </c>
      <c r="G2173" s="1" t="s">
        <v>787</v>
      </c>
      <c r="H2173" s="1" t="n">
        <v>0</v>
      </c>
      <c r="I2173" s="1" t="n">
        <v>0</v>
      </c>
      <c r="J2173" s="1" t="n">
        <v>20201</v>
      </c>
      <c r="L2173" s="1" t="str">
        <f aca="false">IF(D2172&lt;&gt;D2173,D2173,"")</f>
        <v/>
      </c>
      <c r="M2173" s="1" t="str">
        <f aca="false">IF(F2172&lt;&gt;F2173,F2173,"")</f>
        <v/>
      </c>
    </row>
    <row r="2174" customFormat="false" ht="15" hidden="false" customHeight="false" outlineLevel="0" collapsed="false">
      <c r="A2174" s="1" t="s">
        <v>613</v>
      </c>
      <c r="B2174" s="1" t="s">
        <v>614</v>
      </c>
      <c r="C2174" s="1" t="s">
        <v>884</v>
      </c>
      <c r="D2174" s="1" t="s">
        <v>885</v>
      </c>
      <c r="E2174" s="1" t="n">
        <v>20171</v>
      </c>
      <c r="F2174" s="1" t="s">
        <v>208</v>
      </c>
      <c r="G2174" s="1" t="s">
        <v>787</v>
      </c>
      <c r="H2174" s="1" t="n">
        <v>0</v>
      </c>
      <c r="I2174" s="1" t="n">
        <v>0</v>
      </c>
      <c r="J2174" s="1" t="n">
        <v>20201</v>
      </c>
      <c r="L2174" s="1" t="str">
        <f aca="false">IF(D2173&lt;&gt;D2174,D2174,"")</f>
        <v/>
      </c>
      <c r="M2174" s="1" t="str">
        <f aca="false">IF(F2173&lt;&gt;F2174,F2174,"")</f>
        <v/>
      </c>
    </row>
    <row r="2175" customFormat="false" ht="15" hidden="false" customHeight="false" outlineLevel="0" collapsed="false">
      <c r="A2175" s="1" t="s">
        <v>808</v>
      </c>
      <c r="B2175" s="1" t="s">
        <v>809</v>
      </c>
      <c r="C2175" s="1" t="s">
        <v>884</v>
      </c>
      <c r="D2175" s="1" t="s">
        <v>885</v>
      </c>
      <c r="E2175" s="1" t="n">
        <v>20171</v>
      </c>
      <c r="F2175" s="1" t="s">
        <v>208</v>
      </c>
      <c r="G2175" s="1" t="s">
        <v>14</v>
      </c>
      <c r="H2175" s="1" t="n">
        <v>4</v>
      </c>
      <c r="I2175" s="1" t="n">
        <v>0</v>
      </c>
      <c r="J2175" s="1" t="n">
        <v>20201</v>
      </c>
      <c r="L2175" s="1" t="str">
        <f aca="false">IF(D2174&lt;&gt;D2175,D2175,"")</f>
        <v/>
      </c>
      <c r="M2175" s="1" t="str">
        <f aca="false">IF(F2174&lt;&gt;F2175,F2175,"")</f>
        <v/>
      </c>
    </row>
    <row r="2176" customFormat="false" ht="15" hidden="false" customHeight="false" outlineLevel="0" collapsed="false">
      <c r="A2176" s="1" t="s">
        <v>593</v>
      </c>
      <c r="B2176" s="1" t="s">
        <v>594</v>
      </c>
      <c r="C2176" s="1" t="s">
        <v>884</v>
      </c>
      <c r="D2176" s="1" t="s">
        <v>885</v>
      </c>
      <c r="E2176" s="1" t="n">
        <v>20171</v>
      </c>
      <c r="F2176" s="1" t="s">
        <v>208</v>
      </c>
      <c r="G2176" s="1" t="s">
        <v>15</v>
      </c>
      <c r="H2176" s="1" t="n">
        <v>3.5</v>
      </c>
      <c r="I2176" s="1" t="n">
        <v>0</v>
      </c>
      <c r="J2176" s="1" t="n">
        <v>20201</v>
      </c>
      <c r="L2176" s="1" t="str">
        <f aca="false">IF(D2175&lt;&gt;D2176,D2176,"")</f>
        <v/>
      </c>
      <c r="M2176" s="1" t="str">
        <f aca="false">IF(F2175&lt;&gt;F2176,F2176,"")</f>
        <v/>
      </c>
    </row>
    <row r="2177" customFormat="false" ht="15" hidden="false" customHeight="false" outlineLevel="0" collapsed="false">
      <c r="A2177" s="1" t="s">
        <v>810</v>
      </c>
      <c r="B2177" s="1" t="s">
        <v>811</v>
      </c>
      <c r="C2177" s="1" t="s">
        <v>884</v>
      </c>
      <c r="D2177" s="1" t="s">
        <v>885</v>
      </c>
      <c r="E2177" s="1" t="n">
        <v>20171</v>
      </c>
      <c r="F2177" s="1" t="s">
        <v>208</v>
      </c>
      <c r="G2177" s="1" t="s">
        <v>787</v>
      </c>
      <c r="H2177" s="1" t="n">
        <v>0</v>
      </c>
      <c r="I2177" s="1" t="n">
        <v>0</v>
      </c>
      <c r="J2177" s="1" t="n">
        <v>20201</v>
      </c>
      <c r="L2177" s="1" t="str">
        <f aca="false">IF(D2176&lt;&gt;D2177,D2177,"")</f>
        <v/>
      </c>
      <c r="M2177" s="1" t="str">
        <f aca="false">IF(F2176&lt;&gt;F2177,F2177,"")</f>
        <v/>
      </c>
    </row>
    <row r="2178" customFormat="false" ht="15" hidden="false" customHeight="false" outlineLevel="0" collapsed="false">
      <c r="A2178" s="1" t="s">
        <v>812</v>
      </c>
      <c r="B2178" s="1" t="s">
        <v>813</v>
      </c>
      <c r="C2178" s="1" t="s">
        <v>884</v>
      </c>
      <c r="D2178" s="1" t="s">
        <v>885</v>
      </c>
      <c r="E2178" s="1" t="n">
        <v>20171</v>
      </c>
      <c r="F2178" s="1" t="s">
        <v>208</v>
      </c>
      <c r="G2178" s="1" t="s">
        <v>14</v>
      </c>
      <c r="H2178" s="1" t="n">
        <v>4</v>
      </c>
      <c r="I2178" s="1" t="n">
        <v>0</v>
      </c>
      <c r="J2178" s="1" t="n">
        <v>20201</v>
      </c>
      <c r="L2178" s="1" t="str">
        <f aca="false">IF(D2177&lt;&gt;D2178,D2178,"")</f>
        <v/>
      </c>
      <c r="M2178" s="1" t="str">
        <f aca="false">IF(F2177&lt;&gt;F2178,F2178,"")</f>
        <v/>
      </c>
    </row>
    <row r="2179" customFormat="false" ht="15" hidden="false" customHeight="false" outlineLevel="0" collapsed="false">
      <c r="A2179" s="1" t="s">
        <v>623</v>
      </c>
      <c r="B2179" s="1" t="s">
        <v>624</v>
      </c>
      <c r="C2179" s="1" t="s">
        <v>884</v>
      </c>
      <c r="D2179" s="1" t="s">
        <v>885</v>
      </c>
      <c r="E2179" s="1" t="n">
        <v>20171</v>
      </c>
      <c r="F2179" s="1" t="s">
        <v>208</v>
      </c>
      <c r="G2179" s="1" t="s">
        <v>18</v>
      </c>
      <c r="H2179" s="1" t="n">
        <v>3</v>
      </c>
      <c r="I2179" s="1" t="n">
        <v>0</v>
      </c>
      <c r="J2179" s="1" t="n">
        <v>20201</v>
      </c>
      <c r="L2179" s="1" t="str">
        <f aca="false">IF(D2178&lt;&gt;D2179,D2179,"")</f>
        <v/>
      </c>
      <c r="M2179" s="1" t="str">
        <f aca="false">IF(F2178&lt;&gt;F2179,F2179,"")</f>
        <v/>
      </c>
    </row>
    <row r="2180" customFormat="false" ht="15" hidden="false" customHeight="false" outlineLevel="0" collapsed="false">
      <c r="A2180" s="1" t="s">
        <v>814</v>
      </c>
      <c r="B2180" s="1" t="s">
        <v>815</v>
      </c>
      <c r="C2180" s="1" t="s">
        <v>884</v>
      </c>
      <c r="D2180" s="1" t="s">
        <v>885</v>
      </c>
      <c r="E2180" s="1" t="n">
        <v>20171</v>
      </c>
      <c r="F2180" s="1" t="s">
        <v>208</v>
      </c>
      <c r="G2180" s="1" t="s">
        <v>14</v>
      </c>
      <c r="H2180" s="1" t="n">
        <v>4</v>
      </c>
      <c r="I2180" s="1" t="n">
        <v>0</v>
      </c>
      <c r="J2180" s="1" t="n">
        <v>20201</v>
      </c>
      <c r="L2180" s="1" t="str">
        <f aca="false">IF(D2179&lt;&gt;D2180,D2180,"")</f>
        <v/>
      </c>
      <c r="M2180" s="1" t="str">
        <f aca="false">IF(F2179&lt;&gt;F2180,F2180,"")</f>
        <v/>
      </c>
    </row>
    <row r="2181" customFormat="false" ht="15" hidden="false" customHeight="false" outlineLevel="0" collapsed="false">
      <c r="A2181" s="1" t="s">
        <v>512</v>
      </c>
      <c r="B2181" s="1" t="s">
        <v>513</v>
      </c>
      <c r="C2181" s="1" t="s">
        <v>884</v>
      </c>
      <c r="D2181" s="1" t="s">
        <v>885</v>
      </c>
      <c r="E2181" s="1" t="n">
        <v>20171</v>
      </c>
      <c r="F2181" s="1" t="s">
        <v>208</v>
      </c>
      <c r="G2181" s="1" t="s">
        <v>14</v>
      </c>
      <c r="H2181" s="1" t="n">
        <v>4</v>
      </c>
      <c r="I2181" s="1" t="n">
        <v>0</v>
      </c>
      <c r="J2181" s="1" t="n">
        <v>20201</v>
      </c>
      <c r="L2181" s="1" t="str">
        <f aca="false">IF(D2180&lt;&gt;D2181,D2181,"")</f>
        <v/>
      </c>
      <c r="M2181" s="1" t="str">
        <f aca="false">IF(F2180&lt;&gt;F2181,F2181,"")</f>
        <v/>
      </c>
    </row>
    <row r="2182" customFormat="false" ht="15" hidden="false" customHeight="false" outlineLevel="0" collapsed="false">
      <c r="A2182" s="1" t="s">
        <v>627</v>
      </c>
      <c r="B2182" s="1" t="s">
        <v>628</v>
      </c>
      <c r="C2182" s="1" t="s">
        <v>884</v>
      </c>
      <c r="D2182" s="1" t="s">
        <v>885</v>
      </c>
      <c r="E2182" s="1" t="n">
        <v>20171</v>
      </c>
      <c r="F2182" s="1" t="s">
        <v>208</v>
      </c>
      <c r="G2182" s="1" t="s">
        <v>14</v>
      </c>
      <c r="H2182" s="1" t="n">
        <v>4</v>
      </c>
      <c r="I2182" s="1" t="n">
        <v>0</v>
      </c>
      <c r="J2182" s="1" t="n">
        <v>20201</v>
      </c>
      <c r="L2182" s="1" t="str">
        <f aca="false">IF(D2181&lt;&gt;D2182,D2182,"")</f>
        <v/>
      </c>
      <c r="M2182" s="1" t="str">
        <f aca="false">IF(F2181&lt;&gt;F2182,F2182,"")</f>
        <v/>
      </c>
    </row>
    <row r="2183" customFormat="false" ht="15" hidden="false" customHeight="false" outlineLevel="0" collapsed="false">
      <c r="A2183" s="1" t="s">
        <v>816</v>
      </c>
      <c r="B2183" s="1" t="s">
        <v>817</v>
      </c>
      <c r="C2183" s="1" t="s">
        <v>884</v>
      </c>
      <c r="D2183" s="1" t="s">
        <v>885</v>
      </c>
      <c r="E2183" s="1" t="n">
        <v>20171</v>
      </c>
      <c r="F2183" s="1" t="s">
        <v>208</v>
      </c>
      <c r="G2183" s="1" t="s">
        <v>14</v>
      </c>
      <c r="H2183" s="1" t="n">
        <v>4</v>
      </c>
      <c r="I2183" s="1" t="n">
        <v>0</v>
      </c>
      <c r="J2183" s="1" t="n">
        <v>20201</v>
      </c>
      <c r="L2183" s="1" t="str">
        <f aca="false">IF(D2182&lt;&gt;D2183,D2183,"")</f>
        <v/>
      </c>
      <c r="M2183" s="1" t="str">
        <f aca="false">IF(F2182&lt;&gt;F2183,F2183,"")</f>
        <v/>
      </c>
    </row>
    <row r="2184" customFormat="false" ht="15" hidden="false" customHeight="false" outlineLevel="0" collapsed="false">
      <c r="A2184" s="1" t="s">
        <v>818</v>
      </c>
      <c r="B2184" s="1" t="s">
        <v>819</v>
      </c>
      <c r="C2184" s="1" t="s">
        <v>884</v>
      </c>
      <c r="D2184" s="1" t="s">
        <v>885</v>
      </c>
      <c r="E2184" s="1" t="n">
        <v>20171</v>
      </c>
      <c r="F2184" s="1" t="s">
        <v>208</v>
      </c>
      <c r="G2184" s="1" t="s">
        <v>787</v>
      </c>
      <c r="H2184" s="1" t="n">
        <v>0</v>
      </c>
      <c r="I2184" s="1" t="n">
        <v>0</v>
      </c>
      <c r="J2184" s="1" t="n">
        <v>20201</v>
      </c>
      <c r="L2184" s="1" t="str">
        <f aca="false">IF(D2183&lt;&gt;D2184,D2184,"")</f>
        <v/>
      </c>
      <c r="M2184" s="1" t="str">
        <f aca="false">IF(F2183&lt;&gt;F2184,F2184,"")</f>
        <v/>
      </c>
    </row>
    <row r="2185" customFormat="false" ht="15" hidden="false" customHeight="false" outlineLevel="0" collapsed="false">
      <c r="A2185" s="1" t="s">
        <v>589</v>
      </c>
      <c r="B2185" s="1" t="s">
        <v>590</v>
      </c>
      <c r="C2185" s="1" t="s">
        <v>884</v>
      </c>
      <c r="D2185" s="1" t="s">
        <v>885</v>
      </c>
      <c r="E2185" s="1" t="n">
        <v>20171</v>
      </c>
      <c r="F2185" s="1" t="s">
        <v>208</v>
      </c>
      <c r="G2185" s="1" t="s">
        <v>14</v>
      </c>
      <c r="H2185" s="1" t="n">
        <v>4</v>
      </c>
      <c r="I2185" s="1" t="n">
        <v>0</v>
      </c>
      <c r="J2185" s="1" t="n">
        <v>20201</v>
      </c>
      <c r="L2185" s="1" t="str">
        <f aca="false">IF(D2184&lt;&gt;D2185,D2185,"")</f>
        <v/>
      </c>
      <c r="M2185" s="1" t="str">
        <f aca="false">IF(F2184&lt;&gt;F2185,F2185,"")</f>
        <v/>
      </c>
    </row>
    <row r="2186" customFormat="false" ht="15" hidden="false" customHeight="false" outlineLevel="0" collapsed="false">
      <c r="A2186" s="1" t="s">
        <v>820</v>
      </c>
      <c r="B2186" s="1" t="s">
        <v>821</v>
      </c>
      <c r="C2186" s="1" t="s">
        <v>884</v>
      </c>
      <c r="D2186" s="1" t="s">
        <v>885</v>
      </c>
      <c r="E2186" s="1" t="n">
        <v>20171</v>
      </c>
      <c r="F2186" s="1" t="s">
        <v>208</v>
      </c>
      <c r="G2186" s="1" t="s">
        <v>14</v>
      </c>
      <c r="H2186" s="1" t="n">
        <v>4</v>
      </c>
      <c r="I2186" s="1" t="n">
        <v>0</v>
      </c>
      <c r="J2186" s="1" t="n">
        <v>20201</v>
      </c>
      <c r="L2186" s="1" t="str">
        <f aca="false">IF(D2185&lt;&gt;D2186,D2186,"")</f>
        <v/>
      </c>
      <c r="M2186" s="1" t="str">
        <f aca="false">IF(F2185&lt;&gt;F2186,F2186,"")</f>
        <v/>
      </c>
    </row>
    <row r="2187" customFormat="false" ht="15" hidden="false" customHeight="false" outlineLevel="0" collapsed="false">
      <c r="A2187" s="1" t="s">
        <v>769</v>
      </c>
      <c r="B2187" s="1" t="s">
        <v>770</v>
      </c>
      <c r="C2187" s="1" t="s">
        <v>884</v>
      </c>
      <c r="D2187" s="1" t="s">
        <v>885</v>
      </c>
      <c r="E2187" s="1" t="n">
        <v>20171</v>
      </c>
      <c r="F2187" s="1" t="s">
        <v>208</v>
      </c>
      <c r="G2187" s="1" t="s">
        <v>14</v>
      </c>
      <c r="H2187" s="1" t="n">
        <v>4</v>
      </c>
      <c r="I2187" s="1" t="n">
        <v>0</v>
      </c>
      <c r="J2187" s="1" t="n">
        <v>20201</v>
      </c>
      <c r="L2187" s="1" t="str">
        <f aca="false">IF(D2186&lt;&gt;D2187,D2187,"")</f>
        <v/>
      </c>
      <c r="M2187" s="1" t="str">
        <f aca="false">IF(F2186&lt;&gt;F2187,F2187,"")</f>
        <v/>
      </c>
    </row>
    <row r="2188" customFormat="false" ht="15" hidden="false" customHeight="false" outlineLevel="0" collapsed="false">
      <c r="A2188" s="1" t="s">
        <v>771</v>
      </c>
      <c r="B2188" s="1" t="s">
        <v>772</v>
      </c>
      <c r="C2188" s="1" t="s">
        <v>884</v>
      </c>
      <c r="D2188" s="1" t="s">
        <v>885</v>
      </c>
      <c r="E2188" s="1" t="n">
        <v>20171</v>
      </c>
      <c r="F2188" s="1" t="s">
        <v>208</v>
      </c>
      <c r="G2188" s="1" t="s">
        <v>787</v>
      </c>
      <c r="H2188" s="1" t="n">
        <v>0</v>
      </c>
      <c r="I2188" s="1" t="n">
        <v>0</v>
      </c>
      <c r="J2188" s="1" t="n">
        <v>20201</v>
      </c>
      <c r="L2188" s="1" t="str">
        <f aca="false">IF(D2187&lt;&gt;D2188,D2188,"")</f>
        <v/>
      </c>
      <c r="M2188" s="1" t="str">
        <f aca="false">IF(F2187&lt;&gt;F2188,F2188,"")</f>
        <v/>
      </c>
    </row>
    <row r="2189" customFormat="false" ht="15" hidden="false" customHeight="false" outlineLevel="0" collapsed="false">
      <c r="A2189" s="1" t="s">
        <v>659</v>
      </c>
      <c r="B2189" s="1" t="s">
        <v>660</v>
      </c>
      <c r="C2189" s="1" t="s">
        <v>884</v>
      </c>
      <c r="D2189" s="1" t="s">
        <v>885</v>
      </c>
      <c r="E2189" s="1" t="n">
        <v>20171</v>
      </c>
      <c r="F2189" s="1" t="s">
        <v>208</v>
      </c>
      <c r="G2189" s="1" t="s">
        <v>14</v>
      </c>
      <c r="H2189" s="1" t="n">
        <v>4</v>
      </c>
      <c r="I2189" s="1" t="n">
        <v>0</v>
      </c>
      <c r="J2189" s="1" t="n">
        <v>20201</v>
      </c>
      <c r="L2189" s="1" t="str">
        <f aca="false">IF(D2188&lt;&gt;D2189,D2189,"")</f>
        <v/>
      </c>
      <c r="M2189" s="1" t="str">
        <f aca="false">IF(F2188&lt;&gt;F2189,F2189,"")</f>
        <v/>
      </c>
    </row>
    <row r="2190" customFormat="false" ht="15" hidden="false" customHeight="false" outlineLevel="0" collapsed="false">
      <c r="A2190" s="1" t="s">
        <v>822</v>
      </c>
      <c r="B2190" s="1" t="s">
        <v>823</v>
      </c>
      <c r="C2190" s="1" t="s">
        <v>884</v>
      </c>
      <c r="D2190" s="1" t="s">
        <v>885</v>
      </c>
      <c r="E2190" s="1" t="n">
        <v>20171</v>
      </c>
      <c r="F2190" s="1" t="s">
        <v>208</v>
      </c>
      <c r="G2190" s="1" t="s">
        <v>14</v>
      </c>
      <c r="H2190" s="1" t="n">
        <v>4</v>
      </c>
      <c r="I2190" s="1" t="n">
        <v>0</v>
      </c>
      <c r="J2190" s="1" t="n">
        <v>20201</v>
      </c>
      <c r="L2190" s="1" t="str">
        <f aca="false">IF(D2189&lt;&gt;D2190,D2190,"")</f>
        <v/>
      </c>
      <c r="M2190" s="1" t="str">
        <f aca="false">IF(F2189&lt;&gt;F2190,F2190,"")</f>
        <v/>
      </c>
    </row>
    <row r="2191" customFormat="false" ht="15" hidden="false" customHeight="false" outlineLevel="0" collapsed="false">
      <c r="A2191" s="1" t="s">
        <v>661</v>
      </c>
      <c r="B2191" s="1" t="s">
        <v>662</v>
      </c>
      <c r="C2191" s="1" t="s">
        <v>884</v>
      </c>
      <c r="D2191" s="1" t="s">
        <v>885</v>
      </c>
      <c r="E2191" s="1" t="n">
        <v>20171</v>
      </c>
      <c r="F2191" s="1" t="s">
        <v>208</v>
      </c>
      <c r="G2191" s="1" t="s">
        <v>14</v>
      </c>
      <c r="H2191" s="1" t="n">
        <v>4</v>
      </c>
      <c r="I2191" s="1" t="n">
        <v>0</v>
      </c>
      <c r="J2191" s="1" t="n">
        <v>20201</v>
      </c>
      <c r="L2191" s="1" t="str">
        <f aca="false">IF(D2190&lt;&gt;D2191,D2191,"")</f>
        <v/>
      </c>
      <c r="M2191" s="1" t="str">
        <f aca="false">IF(F2190&lt;&gt;F2191,F2191,"")</f>
        <v/>
      </c>
    </row>
    <row r="2192" customFormat="false" ht="15" hidden="false" customHeight="false" outlineLevel="0" collapsed="false">
      <c r="A2192" s="1" t="s">
        <v>824</v>
      </c>
      <c r="B2192" s="1" t="s">
        <v>825</v>
      </c>
      <c r="C2192" s="1" t="s">
        <v>884</v>
      </c>
      <c r="D2192" s="1" t="s">
        <v>885</v>
      </c>
      <c r="E2192" s="1" t="n">
        <v>20171</v>
      </c>
      <c r="F2192" s="1" t="s">
        <v>208</v>
      </c>
      <c r="G2192" s="1" t="s">
        <v>14</v>
      </c>
      <c r="H2192" s="1" t="n">
        <v>4</v>
      </c>
      <c r="I2192" s="1" t="n">
        <v>0</v>
      </c>
      <c r="J2192" s="1" t="n">
        <v>20201</v>
      </c>
      <c r="L2192" s="1" t="str">
        <f aca="false">IF(D2191&lt;&gt;D2192,D2192,"")</f>
        <v/>
      </c>
      <c r="M2192" s="1" t="str">
        <f aca="false">IF(F2191&lt;&gt;F2192,F2192,"")</f>
        <v/>
      </c>
    </row>
    <row r="2193" customFormat="false" ht="15" hidden="false" customHeight="false" outlineLevel="0" collapsed="false">
      <c r="A2193" s="1" t="s">
        <v>826</v>
      </c>
      <c r="B2193" s="1" t="s">
        <v>827</v>
      </c>
      <c r="C2193" s="1" t="s">
        <v>884</v>
      </c>
      <c r="D2193" s="1" t="s">
        <v>885</v>
      </c>
      <c r="E2193" s="1" t="n">
        <v>20171</v>
      </c>
      <c r="F2193" s="1" t="s">
        <v>208</v>
      </c>
      <c r="G2193" s="1" t="s">
        <v>14</v>
      </c>
      <c r="H2193" s="1" t="n">
        <v>4</v>
      </c>
      <c r="I2193" s="1" t="n">
        <v>0</v>
      </c>
      <c r="J2193" s="1" t="n">
        <v>20201</v>
      </c>
      <c r="L2193" s="1" t="str">
        <f aca="false">IF(D2192&lt;&gt;D2193,D2193,"")</f>
        <v/>
      </c>
      <c r="M2193" s="1" t="str">
        <f aca="false">IF(F2192&lt;&gt;F2193,F2193,"")</f>
        <v/>
      </c>
    </row>
    <row r="2194" customFormat="false" ht="15" hidden="false" customHeight="false" outlineLevel="0" collapsed="false">
      <c r="A2194" s="1" t="s">
        <v>595</v>
      </c>
      <c r="B2194" s="1" t="s">
        <v>596</v>
      </c>
      <c r="C2194" s="1" t="s">
        <v>884</v>
      </c>
      <c r="D2194" s="1" t="s">
        <v>885</v>
      </c>
      <c r="E2194" s="1" t="n">
        <v>20171</v>
      </c>
      <c r="F2194" s="1" t="s">
        <v>208</v>
      </c>
      <c r="G2194" s="1" t="s">
        <v>14</v>
      </c>
      <c r="H2194" s="1" t="n">
        <v>4</v>
      </c>
      <c r="I2194" s="1" t="n">
        <v>0</v>
      </c>
      <c r="J2194" s="1" t="n">
        <v>20201</v>
      </c>
      <c r="L2194" s="1" t="str">
        <f aca="false">IF(D2193&lt;&gt;D2194,D2194,"")</f>
        <v/>
      </c>
      <c r="M2194" s="1" t="str">
        <f aca="false">IF(F2193&lt;&gt;F2194,F2194,"")</f>
        <v/>
      </c>
    </row>
    <row r="2195" customFormat="false" ht="15" hidden="false" customHeight="false" outlineLevel="0" collapsed="false">
      <c r="A2195" s="1" t="s">
        <v>773</v>
      </c>
      <c r="B2195" s="1" t="s">
        <v>774</v>
      </c>
      <c r="C2195" s="1" t="s">
        <v>884</v>
      </c>
      <c r="D2195" s="1" t="s">
        <v>885</v>
      </c>
      <c r="E2195" s="1" t="n">
        <v>20171</v>
      </c>
      <c r="F2195" s="1" t="s">
        <v>208</v>
      </c>
      <c r="G2195" s="1" t="s">
        <v>787</v>
      </c>
      <c r="H2195" s="1" t="n">
        <v>0</v>
      </c>
      <c r="I2195" s="1" t="n">
        <v>0</v>
      </c>
      <c r="J2195" s="1" t="n">
        <v>20201</v>
      </c>
      <c r="L2195" s="1" t="str">
        <f aca="false">IF(D2194&lt;&gt;D2195,D2195,"")</f>
        <v/>
      </c>
      <c r="M2195" s="1" t="str">
        <f aca="false">IF(F2194&lt;&gt;F2195,F2195,"")</f>
        <v/>
      </c>
    </row>
    <row r="2196" customFormat="false" ht="15" hidden="false" customHeight="false" outlineLevel="0" collapsed="false">
      <c r="A2196" s="1" t="s">
        <v>202</v>
      </c>
      <c r="B2196" s="1" t="s">
        <v>203</v>
      </c>
      <c r="C2196" s="1" t="s">
        <v>884</v>
      </c>
      <c r="D2196" s="1" t="s">
        <v>885</v>
      </c>
      <c r="E2196" s="1" t="n">
        <v>20171</v>
      </c>
      <c r="F2196" s="1" t="s">
        <v>208</v>
      </c>
      <c r="G2196" s="1" t="s">
        <v>787</v>
      </c>
      <c r="H2196" s="1" t="n">
        <v>0</v>
      </c>
      <c r="I2196" s="1" t="n">
        <v>0</v>
      </c>
      <c r="J2196" s="1" t="n">
        <v>20201</v>
      </c>
      <c r="L2196" s="1" t="str">
        <f aca="false">IF(D2195&lt;&gt;D2196,D2196,"")</f>
        <v/>
      </c>
      <c r="M2196" s="1" t="str">
        <f aca="false">IF(F2195&lt;&gt;F2196,F2196,"")</f>
        <v/>
      </c>
    </row>
    <row r="2197" customFormat="false" ht="15" hidden="false" customHeight="false" outlineLevel="0" collapsed="false">
      <c r="A2197" s="1" t="s">
        <v>751</v>
      </c>
      <c r="B2197" s="1" t="s">
        <v>752</v>
      </c>
      <c r="C2197" s="1" t="s">
        <v>884</v>
      </c>
      <c r="D2197" s="1" t="s">
        <v>885</v>
      </c>
      <c r="E2197" s="1" t="n">
        <v>20171</v>
      </c>
      <c r="F2197" s="1" t="s">
        <v>208</v>
      </c>
      <c r="G2197" s="1" t="s">
        <v>14</v>
      </c>
      <c r="H2197" s="1" t="n">
        <v>4</v>
      </c>
      <c r="I2197" s="1" t="n">
        <v>0</v>
      </c>
      <c r="J2197" s="1" t="n">
        <v>20201</v>
      </c>
      <c r="L2197" s="1" t="str">
        <f aca="false">IF(D2196&lt;&gt;D2197,D2197,"")</f>
        <v/>
      </c>
      <c r="M2197" s="1" t="str">
        <f aca="false">IF(F2196&lt;&gt;F2197,F2197,"")</f>
        <v/>
      </c>
    </row>
    <row r="2198" customFormat="false" ht="15" hidden="false" customHeight="false" outlineLevel="0" collapsed="false">
      <c r="A2198" s="1" t="s">
        <v>739</v>
      </c>
      <c r="B2198" s="1" t="s">
        <v>740</v>
      </c>
      <c r="C2198" s="1" t="s">
        <v>884</v>
      </c>
      <c r="D2198" s="1" t="s">
        <v>885</v>
      </c>
      <c r="E2198" s="1" t="n">
        <v>20171</v>
      </c>
      <c r="F2198" s="1" t="s">
        <v>208</v>
      </c>
      <c r="G2198" s="1" t="s">
        <v>14</v>
      </c>
      <c r="H2198" s="1" t="n">
        <v>4</v>
      </c>
      <c r="I2198" s="1" t="n">
        <v>0</v>
      </c>
      <c r="J2198" s="1" t="n">
        <v>20201</v>
      </c>
      <c r="L2198" s="1" t="str">
        <f aca="false">IF(D2197&lt;&gt;D2198,D2198,"")</f>
        <v/>
      </c>
      <c r="M2198" s="1" t="str">
        <f aca="false">IF(F2197&lt;&gt;F2198,F2198,"")</f>
        <v/>
      </c>
    </row>
    <row r="2199" customFormat="false" ht="15" hidden="false" customHeight="false" outlineLevel="0" collapsed="false">
      <c r="A2199" s="1" t="s">
        <v>828</v>
      </c>
      <c r="B2199" s="1" t="s">
        <v>829</v>
      </c>
      <c r="C2199" s="1" t="s">
        <v>884</v>
      </c>
      <c r="D2199" s="1" t="s">
        <v>885</v>
      </c>
      <c r="E2199" s="1" t="n">
        <v>20171</v>
      </c>
      <c r="F2199" s="1" t="s">
        <v>208</v>
      </c>
      <c r="G2199" s="1" t="s">
        <v>14</v>
      </c>
      <c r="H2199" s="1" t="n">
        <v>4</v>
      </c>
      <c r="I2199" s="1" t="n">
        <v>0</v>
      </c>
      <c r="J2199" s="1" t="n">
        <v>20201</v>
      </c>
      <c r="L2199" s="1" t="str">
        <f aca="false">IF(D2198&lt;&gt;D2199,D2199,"")</f>
        <v/>
      </c>
      <c r="M2199" s="1" t="str">
        <f aca="false">IF(F2198&lt;&gt;F2199,F2199,"")</f>
        <v/>
      </c>
    </row>
    <row r="2200" customFormat="false" ht="15" hidden="false" customHeight="false" outlineLevel="0" collapsed="false">
      <c r="A2200" s="1" t="s">
        <v>830</v>
      </c>
      <c r="B2200" s="1" t="s">
        <v>831</v>
      </c>
      <c r="C2200" s="1" t="s">
        <v>884</v>
      </c>
      <c r="D2200" s="1" t="s">
        <v>885</v>
      </c>
      <c r="E2200" s="1" t="n">
        <v>20171</v>
      </c>
      <c r="F2200" s="1" t="s">
        <v>208</v>
      </c>
      <c r="G2200" s="1" t="s">
        <v>14</v>
      </c>
      <c r="H2200" s="1" t="n">
        <v>4</v>
      </c>
      <c r="I2200" s="1" t="n">
        <v>0</v>
      </c>
      <c r="J2200" s="1" t="n">
        <v>20201</v>
      </c>
      <c r="L2200" s="1" t="str">
        <f aca="false">IF(D2199&lt;&gt;D2200,D2200,"")</f>
        <v/>
      </c>
      <c r="M2200" s="1" t="str">
        <f aca="false">IF(F2199&lt;&gt;F2200,F2200,"")</f>
        <v/>
      </c>
    </row>
    <row r="2201" customFormat="false" ht="15" hidden="false" customHeight="false" outlineLevel="0" collapsed="false">
      <c r="A2201" s="1" t="s">
        <v>209</v>
      </c>
      <c r="B2201" s="1" t="s">
        <v>210</v>
      </c>
      <c r="C2201" s="1" t="s">
        <v>884</v>
      </c>
      <c r="D2201" s="1" t="s">
        <v>885</v>
      </c>
      <c r="E2201" s="1" t="n">
        <v>20171</v>
      </c>
      <c r="F2201" s="1" t="s">
        <v>208</v>
      </c>
      <c r="G2201" s="1" t="s">
        <v>14</v>
      </c>
      <c r="H2201" s="1" t="n">
        <v>4</v>
      </c>
      <c r="I2201" s="1" t="n">
        <v>0</v>
      </c>
      <c r="J2201" s="1" t="n">
        <v>20201</v>
      </c>
      <c r="L2201" s="1" t="str">
        <f aca="false">IF(D2200&lt;&gt;D2201,D2201,"")</f>
        <v/>
      </c>
      <c r="M2201" s="1" t="str">
        <f aca="false">IF(F2200&lt;&gt;F2201,F2201,"")</f>
        <v/>
      </c>
    </row>
    <row r="2202" customFormat="false" ht="15" hidden="false" customHeight="false" outlineLevel="0" collapsed="false">
      <c r="A2202" s="1" t="s">
        <v>832</v>
      </c>
      <c r="B2202" s="1" t="s">
        <v>833</v>
      </c>
      <c r="C2202" s="1" t="s">
        <v>884</v>
      </c>
      <c r="D2202" s="1" t="s">
        <v>885</v>
      </c>
      <c r="E2202" s="1" t="n">
        <v>20171</v>
      </c>
      <c r="F2202" s="1" t="s">
        <v>208</v>
      </c>
      <c r="G2202" s="1" t="s">
        <v>14</v>
      </c>
      <c r="H2202" s="1" t="n">
        <v>4</v>
      </c>
      <c r="I2202" s="1" t="n">
        <v>0</v>
      </c>
      <c r="J2202" s="1" t="n">
        <v>20201</v>
      </c>
      <c r="L2202" s="1" t="str">
        <f aca="false">IF(D2201&lt;&gt;D2202,D2202,"")</f>
        <v/>
      </c>
      <c r="M2202" s="1" t="str">
        <f aca="false">IF(F2201&lt;&gt;F2202,F2202,"")</f>
        <v/>
      </c>
    </row>
    <row r="2203" customFormat="false" ht="15" hidden="false" customHeight="false" outlineLevel="0" collapsed="false">
      <c r="A2203" s="1" t="s">
        <v>785</v>
      </c>
      <c r="B2203" s="1" t="s">
        <v>786</v>
      </c>
      <c r="C2203" s="1" t="s">
        <v>888</v>
      </c>
      <c r="D2203" s="1" t="s">
        <v>889</v>
      </c>
      <c r="E2203" s="1" t="n">
        <v>20171</v>
      </c>
      <c r="F2203" s="1" t="s">
        <v>208</v>
      </c>
      <c r="G2203" s="1" t="s">
        <v>15</v>
      </c>
      <c r="H2203" s="1" t="n">
        <v>3.5</v>
      </c>
      <c r="I2203" s="1" t="n">
        <v>0</v>
      </c>
      <c r="J2203" s="1" t="n">
        <v>20201</v>
      </c>
      <c r="L2203" s="1" t="str">
        <f aca="false">IF(D2202&lt;&gt;D2203,D2203,"")</f>
        <v>PRAKTIKUM ALGORITMA DAN STRUKTUR DATA</v>
      </c>
      <c r="M2203" s="1" t="str">
        <f aca="false">IF(F2202&lt;&gt;F2203,F2203,"")</f>
        <v/>
      </c>
    </row>
    <row r="2204" customFormat="false" ht="15" hidden="false" customHeight="false" outlineLevel="0" collapsed="false">
      <c r="A2204" s="1" t="s">
        <v>525</v>
      </c>
      <c r="B2204" s="1" t="s">
        <v>526</v>
      </c>
      <c r="C2204" s="1" t="s">
        <v>888</v>
      </c>
      <c r="D2204" s="1" t="s">
        <v>889</v>
      </c>
      <c r="E2204" s="1" t="n">
        <v>20171</v>
      </c>
      <c r="F2204" s="1" t="s">
        <v>208</v>
      </c>
      <c r="G2204" s="1" t="s">
        <v>101</v>
      </c>
      <c r="H2204" s="1" t="n">
        <v>2.5</v>
      </c>
      <c r="I2204" s="1" t="n">
        <v>0</v>
      </c>
      <c r="J2204" s="1" t="n">
        <v>20201</v>
      </c>
      <c r="L2204" s="1" t="str">
        <f aca="false">IF(D2203&lt;&gt;D2204,D2204,"")</f>
        <v/>
      </c>
      <c r="M2204" s="1" t="str">
        <f aca="false">IF(F2203&lt;&gt;F2204,F2204,"")</f>
        <v/>
      </c>
    </row>
    <row r="2205" customFormat="false" ht="15" hidden="false" customHeight="false" outlineLevel="0" collapsed="false">
      <c r="A2205" s="1" t="s">
        <v>802</v>
      </c>
      <c r="B2205" s="1" t="s">
        <v>803</v>
      </c>
      <c r="C2205" s="1" t="s">
        <v>888</v>
      </c>
      <c r="D2205" s="1" t="s">
        <v>889</v>
      </c>
      <c r="E2205" s="1" t="n">
        <v>20171</v>
      </c>
      <c r="F2205" s="1" t="s">
        <v>208</v>
      </c>
      <c r="G2205" s="1" t="s">
        <v>15</v>
      </c>
      <c r="H2205" s="1" t="n">
        <v>3.5</v>
      </c>
      <c r="I2205" s="1" t="n">
        <v>0</v>
      </c>
      <c r="J2205" s="1" t="n">
        <v>20201</v>
      </c>
      <c r="L2205" s="1" t="str">
        <f aca="false">IF(D2204&lt;&gt;D2205,D2205,"")</f>
        <v/>
      </c>
      <c r="M2205" s="1" t="str">
        <f aca="false">IF(F2204&lt;&gt;F2205,F2205,"")</f>
        <v/>
      </c>
    </row>
    <row r="2206" customFormat="false" ht="15" hidden="false" customHeight="false" outlineLevel="0" collapsed="false">
      <c r="A2206" s="1" t="s">
        <v>844</v>
      </c>
      <c r="B2206" s="1" t="s">
        <v>845</v>
      </c>
      <c r="C2206" s="1" t="s">
        <v>888</v>
      </c>
      <c r="D2206" s="1" t="s">
        <v>889</v>
      </c>
      <c r="E2206" s="1" t="n">
        <v>20171</v>
      </c>
      <c r="F2206" s="1" t="s">
        <v>208</v>
      </c>
      <c r="G2206" s="1" t="s">
        <v>15</v>
      </c>
      <c r="H2206" s="1" t="n">
        <v>3.5</v>
      </c>
      <c r="I2206" s="1" t="n">
        <v>0</v>
      </c>
      <c r="J2206" s="1" t="n">
        <v>20201</v>
      </c>
      <c r="L2206" s="1" t="str">
        <f aca="false">IF(D2205&lt;&gt;D2206,D2206,"")</f>
        <v/>
      </c>
      <c r="M2206" s="1" t="str">
        <f aca="false">IF(F2205&lt;&gt;F2206,F2206,"")</f>
        <v/>
      </c>
    </row>
    <row r="2207" customFormat="false" ht="15" hidden="false" customHeight="false" outlineLevel="0" collapsed="false">
      <c r="A2207" s="1" t="s">
        <v>623</v>
      </c>
      <c r="B2207" s="1" t="s">
        <v>624</v>
      </c>
      <c r="C2207" s="1" t="s">
        <v>888</v>
      </c>
      <c r="D2207" s="1" t="s">
        <v>889</v>
      </c>
      <c r="E2207" s="1" t="n">
        <v>20171</v>
      </c>
      <c r="F2207" s="1" t="s">
        <v>208</v>
      </c>
      <c r="G2207" s="1" t="s">
        <v>18</v>
      </c>
      <c r="H2207" s="1" t="n">
        <v>3</v>
      </c>
      <c r="I2207" s="1" t="n">
        <v>0</v>
      </c>
      <c r="J2207" s="1" t="n">
        <v>20201</v>
      </c>
      <c r="L2207" s="1" t="str">
        <f aca="false">IF(D2206&lt;&gt;D2207,D2207,"")</f>
        <v/>
      </c>
      <c r="M2207" s="1" t="str">
        <f aca="false">IF(F2206&lt;&gt;F2207,F2207,"")</f>
        <v/>
      </c>
    </row>
    <row r="2208" customFormat="false" ht="15" hidden="false" customHeight="false" outlineLevel="0" collapsed="false">
      <c r="A2208" s="1" t="s">
        <v>585</v>
      </c>
      <c r="B2208" s="1" t="s">
        <v>586</v>
      </c>
      <c r="C2208" s="1" t="s">
        <v>888</v>
      </c>
      <c r="D2208" s="1" t="s">
        <v>889</v>
      </c>
      <c r="E2208" s="1" t="n">
        <v>20171</v>
      </c>
      <c r="F2208" s="1" t="s">
        <v>208</v>
      </c>
      <c r="G2208" s="1" t="s">
        <v>23</v>
      </c>
      <c r="H2208" s="1" t="n">
        <v>0</v>
      </c>
      <c r="I2208" s="1" t="n">
        <v>0</v>
      </c>
      <c r="J2208" s="1" t="n">
        <v>20201</v>
      </c>
      <c r="L2208" s="1" t="str">
        <f aca="false">IF(D2207&lt;&gt;D2208,D2208,"")</f>
        <v/>
      </c>
      <c r="M2208" s="1" t="str">
        <f aca="false">IF(F2207&lt;&gt;F2208,F2208,"")</f>
        <v/>
      </c>
    </row>
    <row r="2209" customFormat="false" ht="15" hidden="false" customHeight="false" outlineLevel="0" collapsed="false">
      <c r="A2209" s="1" t="s">
        <v>587</v>
      </c>
      <c r="B2209" s="1" t="s">
        <v>588</v>
      </c>
      <c r="C2209" s="1" t="s">
        <v>888</v>
      </c>
      <c r="D2209" s="1" t="s">
        <v>889</v>
      </c>
      <c r="E2209" s="1" t="n">
        <v>20171</v>
      </c>
      <c r="F2209" s="1" t="s">
        <v>208</v>
      </c>
      <c r="G2209" s="1" t="s">
        <v>15</v>
      </c>
      <c r="H2209" s="1" t="n">
        <v>3.5</v>
      </c>
      <c r="I2209" s="1" t="n">
        <v>0</v>
      </c>
      <c r="J2209" s="1" t="n">
        <v>20201</v>
      </c>
      <c r="L2209" s="1" t="str">
        <f aca="false">IF(D2208&lt;&gt;D2209,D2209,"")</f>
        <v/>
      </c>
      <c r="M2209" s="1" t="str">
        <f aca="false">IF(F2208&lt;&gt;F2209,F2209,"")</f>
        <v/>
      </c>
    </row>
    <row r="2210" customFormat="false" ht="15" hidden="false" customHeight="false" outlineLevel="0" collapsed="false">
      <c r="A2210" s="1" t="s">
        <v>814</v>
      </c>
      <c r="B2210" s="1" t="s">
        <v>815</v>
      </c>
      <c r="C2210" s="1" t="s">
        <v>888</v>
      </c>
      <c r="D2210" s="1" t="s">
        <v>889</v>
      </c>
      <c r="E2210" s="1" t="n">
        <v>20171</v>
      </c>
      <c r="F2210" s="1" t="s">
        <v>208</v>
      </c>
      <c r="G2210" s="1" t="s">
        <v>15</v>
      </c>
      <c r="H2210" s="1" t="n">
        <v>3.5</v>
      </c>
      <c r="I2210" s="1" t="n">
        <v>0</v>
      </c>
      <c r="J2210" s="1" t="n">
        <v>20201</v>
      </c>
      <c r="L2210" s="1" t="str">
        <f aca="false">IF(D2209&lt;&gt;D2210,D2210,"")</f>
        <v/>
      </c>
      <c r="M2210" s="1" t="str">
        <f aca="false">IF(F2209&lt;&gt;F2210,F2210,"")</f>
        <v/>
      </c>
    </row>
    <row r="2211" customFormat="false" ht="15" hidden="false" customHeight="false" outlineLevel="0" collapsed="false">
      <c r="A2211" s="1" t="s">
        <v>512</v>
      </c>
      <c r="B2211" s="1" t="s">
        <v>513</v>
      </c>
      <c r="C2211" s="1" t="s">
        <v>888</v>
      </c>
      <c r="D2211" s="1" t="s">
        <v>889</v>
      </c>
      <c r="E2211" s="1" t="n">
        <v>20171</v>
      </c>
      <c r="F2211" s="1" t="s">
        <v>208</v>
      </c>
      <c r="G2211" s="1" t="s">
        <v>15</v>
      </c>
      <c r="H2211" s="1" t="n">
        <v>3.5</v>
      </c>
      <c r="I2211" s="1" t="n">
        <v>0</v>
      </c>
      <c r="J2211" s="1" t="n">
        <v>20201</v>
      </c>
      <c r="L2211" s="1" t="str">
        <f aca="false">IF(D2210&lt;&gt;D2211,D2211,"")</f>
        <v/>
      </c>
      <c r="M2211" s="1" t="str">
        <f aca="false">IF(F2210&lt;&gt;F2211,F2211,"")</f>
        <v/>
      </c>
    </row>
    <row r="2212" customFormat="false" ht="15" hidden="false" customHeight="false" outlineLevel="0" collapsed="false">
      <c r="A2212" s="1" t="s">
        <v>818</v>
      </c>
      <c r="B2212" s="1" t="s">
        <v>819</v>
      </c>
      <c r="C2212" s="1" t="s">
        <v>888</v>
      </c>
      <c r="D2212" s="1" t="s">
        <v>889</v>
      </c>
      <c r="E2212" s="1" t="n">
        <v>20171</v>
      </c>
      <c r="F2212" s="1" t="s">
        <v>208</v>
      </c>
      <c r="G2212" s="1" t="s">
        <v>14</v>
      </c>
      <c r="H2212" s="1" t="n">
        <v>4</v>
      </c>
      <c r="I2212" s="1" t="n">
        <v>0</v>
      </c>
      <c r="J2212" s="1" t="n">
        <v>20201</v>
      </c>
      <c r="L2212" s="1" t="str">
        <f aca="false">IF(D2211&lt;&gt;D2212,D2212,"")</f>
        <v/>
      </c>
      <c r="M2212" s="1" t="str">
        <f aca="false">IF(F2211&lt;&gt;F2212,F2212,"")</f>
        <v/>
      </c>
    </row>
    <row r="2213" customFormat="false" ht="15" hidden="false" customHeight="false" outlineLevel="0" collapsed="false">
      <c r="A2213" s="1" t="s">
        <v>673</v>
      </c>
      <c r="B2213" s="1" t="s">
        <v>674</v>
      </c>
      <c r="C2213" s="1" t="s">
        <v>888</v>
      </c>
      <c r="D2213" s="1" t="s">
        <v>889</v>
      </c>
      <c r="E2213" s="1" t="n">
        <v>20171</v>
      </c>
      <c r="F2213" s="1" t="s">
        <v>208</v>
      </c>
      <c r="G2213" s="1" t="s">
        <v>15</v>
      </c>
      <c r="H2213" s="1" t="n">
        <v>3.5</v>
      </c>
      <c r="I2213" s="1" t="n">
        <v>0</v>
      </c>
      <c r="J2213" s="1" t="n">
        <v>20201</v>
      </c>
      <c r="L2213" s="1" t="str">
        <f aca="false">IF(D2212&lt;&gt;D2213,D2213,"")</f>
        <v/>
      </c>
      <c r="M2213" s="1" t="str">
        <f aca="false">IF(F2212&lt;&gt;F2213,F2213,"")</f>
        <v/>
      </c>
    </row>
    <row r="2214" customFormat="false" ht="15" hidden="false" customHeight="false" outlineLevel="0" collapsed="false">
      <c r="A2214" s="1" t="s">
        <v>527</v>
      </c>
      <c r="B2214" s="1" t="s">
        <v>528</v>
      </c>
      <c r="C2214" s="1" t="s">
        <v>888</v>
      </c>
      <c r="D2214" s="1" t="s">
        <v>889</v>
      </c>
      <c r="E2214" s="1" t="n">
        <v>20171</v>
      </c>
      <c r="F2214" s="1" t="s">
        <v>208</v>
      </c>
      <c r="G2214" s="1" t="s">
        <v>15</v>
      </c>
      <c r="H2214" s="1" t="n">
        <v>3.5</v>
      </c>
      <c r="I2214" s="1" t="n">
        <v>0</v>
      </c>
      <c r="J2214" s="1" t="n">
        <v>20201</v>
      </c>
      <c r="L2214" s="1" t="str">
        <f aca="false">IF(D2213&lt;&gt;D2214,D2214,"")</f>
        <v/>
      </c>
      <c r="M2214" s="1" t="str">
        <f aca="false">IF(F2213&lt;&gt;F2214,F2214,"")</f>
        <v/>
      </c>
    </row>
    <row r="2215" customFormat="false" ht="15" hidden="false" customHeight="false" outlineLevel="0" collapsed="false">
      <c r="A2215" s="1" t="s">
        <v>820</v>
      </c>
      <c r="B2215" s="1" t="s">
        <v>821</v>
      </c>
      <c r="C2215" s="1" t="s">
        <v>888</v>
      </c>
      <c r="D2215" s="1" t="s">
        <v>889</v>
      </c>
      <c r="E2215" s="1" t="n">
        <v>20171</v>
      </c>
      <c r="F2215" s="1" t="s">
        <v>208</v>
      </c>
      <c r="G2215" s="1" t="s">
        <v>15</v>
      </c>
      <c r="H2215" s="1" t="n">
        <v>3.5</v>
      </c>
      <c r="I2215" s="1" t="n">
        <v>0</v>
      </c>
      <c r="J2215" s="1" t="n">
        <v>20201</v>
      </c>
      <c r="L2215" s="1" t="str">
        <f aca="false">IF(D2214&lt;&gt;D2215,D2215,"")</f>
        <v/>
      </c>
      <c r="M2215" s="1" t="str">
        <f aca="false">IF(F2214&lt;&gt;F2215,F2215,"")</f>
        <v/>
      </c>
    </row>
    <row r="2216" customFormat="false" ht="15" hidden="false" customHeight="false" outlineLevel="0" collapsed="false">
      <c r="A2216" s="1" t="s">
        <v>659</v>
      </c>
      <c r="B2216" s="1" t="s">
        <v>660</v>
      </c>
      <c r="C2216" s="1" t="s">
        <v>888</v>
      </c>
      <c r="D2216" s="1" t="s">
        <v>889</v>
      </c>
      <c r="E2216" s="1" t="n">
        <v>20171</v>
      </c>
      <c r="F2216" s="1" t="s">
        <v>208</v>
      </c>
      <c r="G2216" s="1" t="s">
        <v>15</v>
      </c>
      <c r="H2216" s="1" t="n">
        <v>3.5</v>
      </c>
      <c r="I2216" s="1" t="n">
        <v>0</v>
      </c>
      <c r="J2216" s="1" t="n">
        <v>20201</v>
      </c>
      <c r="L2216" s="1" t="str">
        <f aca="false">IF(D2215&lt;&gt;D2216,D2216,"")</f>
        <v/>
      </c>
      <c r="M2216" s="1" t="str">
        <f aca="false">IF(F2215&lt;&gt;F2216,F2216,"")</f>
        <v/>
      </c>
    </row>
    <row r="2217" customFormat="false" ht="15" hidden="false" customHeight="false" outlineLevel="0" collapsed="false">
      <c r="A2217" s="1" t="s">
        <v>629</v>
      </c>
      <c r="B2217" s="1" t="s">
        <v>630</v>
      </c>
      <c r="C2217" s="1" t="s">
        <v>888</v>
      </c>
      <c r="D2217" s="1" t="s">
        <v>889</v>
      </c>
      <c r="E2217" s="1" t="n">
        <v>20171</v>
      </c>
      <c r="F2217" s="1" t="s">
        <v>208</v>
      </c>
      <c r="G2217" s="1" t="s">
        <v>15</v>
      </c>
      <c r="H2217" s="1" t="n">
        <v>3.5</v>
      </c>
      <c r="I2217" s="1" t="n">
        <v>0</v>
      </c>
      <c r="J2217" s="1" t="n">
        <v>20201</v>
      </c>
      <c r="L2217" s="1" t="str">
        <f aca="false">IF(D2216&lt;&gt;D2217,D2217,"")</f>
        <v/>
      </c>
      <c r="M2217" s="1" t="str">
        <f aca="false">IF(F2216&lt;&gt;F2217,F2217,"")</f>
        <v/>
      </c>
    </row>
    <row r="2218" customFormat="false" ht="15" hidden="false" customHeight="false" outlineLevel="0" collapsed="false">
      <c r="A2218" s="1" t="s">
        <v>631</v>
      </c>
      <c r="B2218" s="1" t="s">
        <v>632</v>
      </c>
      <c r="C2218" s="1" t="s">
        <v>888</v>
      </c>
      <c r="D2218" s="1" t="s">
        <v>889</v>
      </c>
      <c r="E2218" s="1" t="n">
        <v>20171</v>
      </c>
      <c r="F2218" s="1" t="s">
        <v>208</v>
      </c>
      <c r="G2218" s="1" t="s">
        <v>18</v>
      </c>
      <c r="H2218" s="1" t="n">
        <v>3</v>
      </c>
      <c r="I2218" s="1" t="n">
        <v>0</v>
      </c>
      <c r="J2218" s="1" t="n">
        <v>20201</v>
      </c>
      <c r="L2218" s="1" t="str">
        <f aca="false">IF(D2217&lt;&gt;D2218,D2218,"")</f>
        <v/>
      </c>
      <c r="M2218" s="1" t="str">
        <f aca="false">IF(F2217&lt;&gt;F2218,F2218,"")</f>
        <v/>
      </c>
    </row>
    <row r="2219" customFormat="false" ht="15" hidden="false" customHeight="false" outlineLevel="0" collapsed="false">
      <c r="A2219" s="1" t="s">
        <v>633</v>
      </c>
      <c r="B2219" s="1" t="s">
        <v>634</v>
      </c>
      <c r="C2219" s="1" t="s">
        <v>888</v>
      </c>
      <c r="D2219" s="1" t="s">
        <v>889</v>
      </c>
      <c r="E2219" s="1" t="n">
        <v>20171</v>
      </c>
      <c r="F2219" s="1" t="s">
        <v>208</v>
      </c>
      <c r="G2219" s="1" t="s">
        <v>23</v>
      </c>
      <c r="H2219" s="1" t="n">
        <v>0</v>
      </c>
      <c r="I2219" s="1" t="n">
        <v>0</v>
      </c>
      <c r="J2219" s="1" t="n">
        <v>20201</v>
      </c>
      <c r="L2219" s="1" t="str">
        <f aca="false">IF(D2218&lt;&gt;D2219,D2219,"")</f>
        <v/>
      </c>
      <c r="M2219" s="1" t="str">
        <f aca="false">IF(F2218&lt;&gt;F2219,F2219,"")</f>
        <v/>
      </c>
    </row>
    <row r="2220" customFormat="false" ht="15" hidden="false" customHeight="false" outlineLevel="0" collapsed="false">
      <c r="A2220" s="1" t="s">
        <v>615</v>
      </c>
      <c r="B2220" s="1" t="s">
        <v>616</v>
      </c>
      <c r="C2220" s="1" t="s">
        <v>888</v>
      </c>
      <c r="D2220" s="1" t="s">
        <v>889</v>
      </c>
      <c r="E2220" s="1" t="n">
        <v>20171</v>
      </c>
      <c r="F2220" s="1" t="s">
        <v>208</v>
      </c>
      <c r="G2220" s="1" t="s">
        <v>15</v>
      </c>
      <c r="H2220" s="1" t="n">
        <v>3.5</v>
      </c>
      <c r="I2220" s="1" t="n">
        <v>0</v>
      </c>
      <c r="J2220" s="1" t="n">
        <v>20201</v>
      </c>
      <c r="L2220" s="1" t="str">
        <f aca="false">IF(D2219&lt;&gt;D2220,D2220,"")</f>
        <v/>
      </c>
      <c r="M2220" s="1" t="str">
        <f aca="false">IF(F2219&lt;&gt;F2220,F2220,"")</f>
        <v/>
      </c>
    </row>
    <row r="2221" customFormat="false" ht="15" hidden="false" customHeight="false" outlineLevel="0" collapsed="false">
      <c r="A2221" s="1" t="s">
        <v>824</v>
      </c>
      <c r="B2221" s="1" t="s">
        <v>825</v>
      </c>
      <c r="C2221" s="1" t="s">
        <v>888</v>
      </c>
      <c r="D2221" s="1" t="s">
        <v>889</v>
      </c>
      <c r="E2221" s="1" t="n">
        <v>20171</v>
      </c>
      <c r="F2221" s="1" t="s">
        <v>208</v>
      </c>
      <c r="G2221" s="1" t="s">
        <v>15</v>
      </c>
      <c r="H2221" s="1" t="n">
        <v>3.5</v>
      </c>
      <c r="I2221" s="1" t="n">
        <v>0</v>
      </c>
      <c r="J2221" s="1" t="n">
        <v>20201</v>
      </c>
      <c r="L2221" s="1" t="str">
        <f aca="false">IF(D2220&lt;&gt;D2221,D2221,"")</f>
        <v/>
      </c>
      <c r="M2221" s="1" t="str">
        <f aca="false">IF(F2220&lt;&gt;F2221,F2221,"")</f>
        <v/>
      </c>
    </row>
    <row r="2222" customFormat="false" ht="15" hidden="false" customHeight="false" outlineLevel="0" collapsed="false">
      <c r="A2222" s="1" t="s">
        <v>785</v>
      </c>
      <c r="B2222" s="1" t="s">
        <v>786</v>
      </c>
      <c r="C2222" s="1" t="s">
        <v>890</v>
      </c>
      <c r="D2222" s="1" t="s">
        <v>891</v>
      </c>
      <c r="E2222" s="1" t="n">
        <v>20171</v>
      </c>
      <c r="F2222" s="1" t="s">
        <v>208</v>
      </c>
      <c r="G2222" s="1" t="s">
        <v>15</v>
      </c>
      <c r="H2222" s="1" t="n">
        <v>3.5</v>
      </c>
      <c r="I2222" s="1" t="n">
        <v>0</v>
      </c>
      <c r="J2222" s="1" t="n">
        <v>20201</v>
      </c>
      <c r="L2222" s="1" t="str">
        <f aca="false">IF(D2221&lt;&gt;D2222,D2222,"")</f>
        <v>PRAKTIKUM BASIS DATA</v>
      </c>
      <c r="M2222" s="1" t="str">
        <f aca="false">IF(F2221&lt;&gt;F2222,F2222,"")</f>
        <v/>
      </c>
    </row>
    <row r="2223" customFormat="false" ht="15" hidden="false" customHeight="false" outlineLevel="0" collapsed="false">
      <c r="A2223" s="1" t="s">
        <v>525</v>
      </c>
      <c r="B2223" s="1" t="s">
        <v>526</v>
      </c>
      <c r="C2223" s="1" t="s">
        <v>890</v>
      </c>
      <c r="D2223" s="1" t="s">
        <v>891</v>
      </c>
      <c r="E2223" s="1" t="n">
        <v>20171</v>
      </c>
      <c r="F2223" s="1" t="s">
        <v>208</v>
      </c>
      <c r="G2223" s="1" t="s">
        <v>15</v>
      </c>
      <c r="H2223" s="1" t="n">
        <v>3.5</v>
      </c>
      <c r="I2223" s="1" t="n">
        <v>0</v>
      </c>
      <c r="J2223" s="1" t="n">
        <v>20201</v>
      </c>
      <c r="L2223" s="1" t="str">
        <f aca="false">IF(D2222&lt;&gt;D2223,D2223,"")</f>
        <v/>
      </c>
      <c r="M2223" s="1" t="str">
        <f aca="false">IF(F2222&lt;&gt;F2223,F2223,"")</f>
        <v/>
      </c>
    </row>
    <row r="2224" customFormat="false" ht="15" hidden="false" customHeight="false" outlineLevel="0" collapsed="false">
      <c r="A2224" s="1" t="s">
        <v>802</v>
      </c>
      <c r="B2224" s="1" t="s">
        <v>803</v>
      </c>
      <c r="C2224" s="1" t="s">
        <v>890</v>
      </c>
      <c r="D2224" s="1" t="s">
        <v>891</v>
      </c>
      <c r="E2224" s="1" t="n">
        <v>20171</v>
      </c>
      <c r="F2224" s="1" t="s">
        <v>208</v>
      </c>
      <c r="G2224" s="1" t="s">
        <v>15</v>
      </c>
      <c r="H2224" s="1" t="n">
        <v>3.5</v>
      </c>
      <c r="I2224" s="1" t="n">
        <v>0</v>
      </c>
      <c r="J2224" s="1" t="n">
        <v>20201</v>
      </c>
      <c r="L2224" s="1" t="str">
        <f aca="false">IF(D2223&lt;&gt;D2224,D2224,"")</f>
        <v/>
      </c>
      <c r="M2224" s="1" t="str">
        <f aca="false">IF(F2223&lt;&gt;F2224,F2224,"")</f>
        <v/>
      </c>
    </row>
    <row r="2225" customFormat="false" ht="15" hidden="false" customHeight="false" outlineLevel="0" collapsed="false">
      <c r="A2225" s="1" t="s">
        <v>844</v>
      </c>
      <c r="B2225" s="1" t="s">
        <v>845</v>
      </c>
      <c r="C2225" s="1" t="s">
        <v>890</v>
      </c>
      <c r="D2225" s="1" t="s">
        <v>891</v>
      </c>
      <c r="E2225" s="1" t="n">
        <v>20171</v>
      </c>
      <c r="F2225" s="1" t="s">
        <v>208</v>
      </c>
      <c r="G2225" s="1" t="s">
        <v>15</v>
      </c>
      <c r="H2225" s="1" t="n">
        <v>3.5</v>
      </c>
      <c r="I2225" s="1" t="n">
        <v>0</v>
      </c>
      <c r="J2225" s="1" t="n">
        <v>20201</v>
      </c>
      <c r="L2225" s="1" t="str">
        <f aca="false">IF(D2224&lt;&gt;D2225,D2225,"")</f>
        <v/>
      </c>
      <c r="M2225" s="1" t="str">
        <f aca="false">IF(F2224&lt;&gt;F2225,F2225,"")</f>
        <v/>
      </c>
    </row>
    <row r="2226" customFormat="false" ht="15" hidden="false" customHeight="false" outlineLevel="0" collapsed="false">
      <c r="A2226" s="1" t="s">
        <v>623</v>
      </c>
      <c r="B2226" s="1" t="s">
        <v>624</v>
      </c>
      <c r="C2226" s="1" t="s">
        <v>890</v>
      </c>
      <c r="D2226" s="1" t="s">
        <v>891</v>
      </c>
      <c r="E2226" s="1" t="n">
        <v>20171</v>
      </c>
      <c r="F2226" s="1" t="s">
        <v>208</v>
      </c>
      <c r="G2226" s="1" t="s">
        <v>18</v>
      </c>
      <c r="H2226" s="1" t="n">
        <v>3</v>
      </c>
      <c r="I2226" s="1" t="n">
        <v>0</v>
      </c>
      <c r="J2226" s="1" t="n">
        <v>20201</v>
      </c>
      <c r="L2226" s="1" t="str">
        <f aca="false">IF(D2225&lt;&gt;D2226,D2226,"")</f>
        <v/>
      </c>
      <c r="M2226" s="1" t="str">
        <f aca="false">IF(F2225&lt;&gt;F2226,F2226,"")</f>
        <v/>
      </c>
    </row>
    <row r="2227" customFormat="false" ht="15" hidden="false" customHeight="false" outlineLevel="0" collapsed="false">
      <c r="A2227" s="1" t="s">
        <v>585</v>
      </c>
      <c r="B2227" s="1" t="s">
        <v>586</v>
      </c>
      <c r="C2227" s="1" t="s">
        <v>890</v>
      </c>
      <c r="D2227" s="1" t="s">
        <v>891</v>
      </c>
      <c r="E2227" s="1" t="n">
        <v>20171</v>
      </c>
      <c r="F2227" s="1" t="s">
        <v>208</v>
      </c>
      <c r="G2227" s="1" t="s">
        <v>18</v>
      </c>
      <c r="H2227" s="1" t="n">
        <v>3</v>
      </c>
      <c r="I2227" s="1" t="n">
        <v>0</v>
      </c>
      <c r="J2227" s="1" t="n">
        <v>20201</v>
      </c>
      <c r="L2227" s="1" t="str">
        <f aca="false">IF(D2226&lt;&gt;D2227,D2227,"")</f>
        <v/>
      </c>
      <c r="M2227" s="1" t="str">
        <f aca="false">IF(F2226&lt;&gt;F2227,F2227,"")</f>
        <v/>
      </c>
    </row>
    <row r="2228" customFormat="false" ht="15" hidden="false" customHeight="false" outlineLevel="0" collapsed="false">
      <c r="A2228" s="1" t="s">
        <v>587</v>
      </c>
      <c r="B2228" s="1" t="s">
        <v>588</v>
      </c>
      <c r="C2228" s="1" t="s">
        <v>890</v>
      </c>
      <c r="D2228" s="1" t="s">
        <v>891</v>
      </c>
      <c r="E2228" s="1" t="n">
        <v>20171</v>
      </c>
      <c r="F2228" s="1" t="s">
        <v>208</v>
      </c>
      <c r="G2228" s="1" t="s">
        <v>18</v>
      </c>
      <c r="H2228" s="1" t="n">
        <v>3</v>
      </c>
      <c r="I2228" s="1" t="n">
        <v>0</v>
      </c>
      <c r="J2228" s="1" t="n">
        <v>20201</v>
      </c>
      <c r="L2228" s="1" t="str">
        <f aca="false">IF(D2227&lt;&gt;D2228,D2228,"")</f>
        <v/>
      </c>
      <c r="M2228" s="1" t="str">
        <f aca="false">IF(F2227&lt;&gt;F2228,F2228,"")</f>
        <v/>
      </c>
    </row>
    <row r="2229" customFormat="false" ht="15" hidden="false" customHeight="false" outlineLevel="0" collapsed="false">
      <c r="A2229" s="1" t="s">
        <v>814</v>
      </c>
      <c r="B2229" s="1" t="s">
        <v>815</v>
      </c>
      <c r="C2229" s="1" t="s">
        <v>890</v>
      </c>
      <c r="D2229" s="1" t="s">
        <v>891</v>
      </c>
      <c r="E2229" s="1" t="n">
        <v>20171</v>
      </c>
      <c r="F2229" s="1" t="s">
        <v>208</v>
      </c>
      <c r="G2229" s="1" t="s">
        <v>15</v>
      </c>
      <c r="H2229" s="1" t="n">
        <v>3.5</v>
      </c>
      <c r="I2229" s="1" t="n">
        <v>0</v>
      </c>
      <c r="J2229" s="1" t="n">
        <v>20201</v>
      </c>
      <c r="L2229" s="1" t="str">
        <f aca="false">IF(D2228&lt;&gt;D2229,D2229,"")</f>
        <v/>
      </c>
      <c r="M2229" s="1" t="str">
        <f aca="false">IF(F2228&lt;&gt;F2229,F2229,"")</f>
        <v/>
      </c>
    </row>
    <row r="2230" customFormat="false" ht="15" hidden="false" customHeight="false" outlineLevel="0" collapsed="false">
      <c r="A2230" s="1" t="s">
        <v>512</v>
      </c>
      <c r="B2230" s="1" t="s">
        <v>513</v>
      </c>
      <c r="C2230" s="1" t="s">
        <v>890</v>
      </c>
      <c r="D2230" s="1" t="s">
        <v>891</v>
      </c>
      <c r="E2230" s="1" t="n">
        <v>20171</v>
      </c>
      <c r="F2230" s="1" t="s">
        <v>208</v>
      </c>
      <c r="G2230" s="1" t="s">
        <v>15</v>
      </c>
      <c r="H2230" s="1" t="n">
        <v>3.5</v>
      </c>
      <c r="I2230" s="1" t="n">
        <v>0</v>
      </c>
      <c r="J2230" s="1" t="n">
        <v>20201</v>
      </c>
      <c r="L2230" s="1" t="str">
        <f aca="false">IF(D2229&lt;&gt;D2230,D2230,"")</f>
        <v/>
      </c>
      <c r="M2230" s="1" t="str">
        <f aca="false">IF(F2229&lt;&gt;F2230,F2230,"")</f>
        <v/>
      </c>
    </row>
    <row r="2231" customFormat="false" ht="15" hidden="false" customHeight="false" outlineLevel="0" collapsed="false">
      <c r="A2231" s="1" t="s">
        <v>818</v>
      </c>
      <c r="B2231" s="1" t="s">
        <v>819</v>
      </c>
      <c r="C2231" s="1" t="s">
        <v>890</v>
      </c>
      <c r="D2231" s="1" t="s">
        <v>891</v>
      </c>
      <c r="E2231" s="1" t="n">
        <v>20171</v>
      </c>
      <c r="F2231" s="1" t="s">
        <v>208</v>
      </c>
      <c r="G2231" s="1" t="s">
        <v>15</v>
      </c>
      <c r="H2231" s="1" t="n">
        <v>3.5</v>
      </c>
      <c r="I2231" s="1" t="n">
        <v>0</v>
      </c>
      <c r="J2231" s="1" t="n">
        <v>20201</v>
      </c>
      <c r="L2231" s="1" t="str">
        <f aca="false">IF(D2230&lt;&gt;D2231,D2231,"")</f>
        <v/>
      </c>
      <c r="M2231" s="1" t="str">
        <f aca="false">IF(F2230&lt;&gt;F2231,F2231,"")</f>
        <v/>
      </c>
    </row>
    <row r="2232" customFormat="false" ht="15" hidden="false" customHeight="false" outlineLevel="0" collapsed="false">
      <c r="A2232" s="1" t="s">
        <v>673</v>
      </c>
      <c r="B2232" s="1" t="s">
        <v>674</v>
      </c>
      <c r="C2232" s="1" t="s">
        <v>890</v>
      </c>
      <c r="D2232" s="1" t="s">
        <v>891</v>
      </c>
      <c r="E2232" s="1" t="n">
        <v>20171</v>
      </c>
      <c r="F2232" s="1" t="s">
        <v>208</v>
      </c>
      <c r="G2232" s="1" t="s">
        <v>15</v>
      </c>
      <c r="H2232" s="1" t="n">
        <v>3.5</v>
      </c>
      <c r="I2232" s="1" t="n">
        <v>0</v>
      </c>
      <c r="J2232" s="1" t="n">
        <v>20201</v>
      </c>
      <c r="L2232" s="1" t="str">
        <f aca="false">IF(D2231&lt;&gt;D2232,D2232,"")</f>
        <v/>
      </c>
      <c r="M2232" s="1" t="str">
        <f aca="false">IF(F2231&lt;&gt;F2232,F2232,"")</f>
        <v/>
      </c>
    </row>
    <row r="2233" customFormat="false" ht="15" hidden="false" customHeight="false" outlineLevel="0" collapsed="false">
      <c r="A2233" s="1" t="s">
        <v>527</v>
      </c>
      <c r="B2233" s="1" t="s">
        <v>528</v>
      </c>
      <c r="C2233" s="1" t="s">
        <v>890</v>
      </c>
      <c r="D2233" s="1" t="s">
        <v>891</v>
      </c>
      <c r="E2233" s="1" t="n">
        <v>20171</v>
      </c>
      <c r="F2233" s="1" t="s">
        <v>208</v>
      </c>
      <c r="G2233" s="1" t="s">
        <v>15</v>
      </c>
      <c r="H2233" s="1" t="n">
        <v>3.5</v>
      </c>
      <c r="I2233" s="1" t="n">
        <v>0</v>
      </c>
      <c r="J2233" s="1" t="n">
        <v>20201</v>
      </c>
      <c r="L2233" s="1" t="str">
        <f aca="false">IF(D2232&lt;&gt;D2233,D2233,"")</f>
        <v/>
      </c>
      <c r="M2233" s="1" t="str">
        <f aca="false">IF(F2232&lt;&gt;F2233,F2233,"")</f>
        <v/>
      </c>
    </row>
    <row r="2234" customFormat="false" ht="15" hidden="false" customHeight="false" outlineLevel="0" collapsed="false">
      <c r="A2234" s="1" t="s">
        <v>820</v>
      </c>
      <c r="B2234" s="1" t="s">
        <v>821</v>
      </c>
      <c r="C2234" s="1" t="s">
        <v>890</v>
      </c>
      <c r="D2234" s="1" t="s">
        <v>891</v>
      </c>
      <c r="E2234" s="1" t="n">
        <v>20171</v>
      </c>
      <c r="F2234" s="1" t="s">
        <v>208</v>
      </c>
      <c r="G2234" s="1" t="s">
        <v>15</v>
      </c>
      <c r="H2234" s="1" t="n">
        <v>3.5</v>
      </c>
      <c r="I2234" s="1" t="n">
        <v>0</v>
      </c>
      <c r="J2234" s="1" t="n">
        <v>20201</v>
      </c>
      <c r="L2234" s="1" t="str">
        <f aca="false">IF(D2233&lt;&gt;D2234,D2234,"")</f>
        <v/>
      </c>
      <c r="M2234" s="1" t="str">
        <f aca="false">IF(F2233&lt;&gt;F2234,F2234,"")</f>
        <v/>
      </c>
    </row>
    <row r="2235" customFormat="false" ht="15" hidden="false" customHeight="false" outlineLevel="0" collapsed="false">
      <c r="A2235" s="1" t="s">
        <v>659</v>
      </c>
      <c r="B2235" s="1" t="s">
        <v>660</v>
      </c>
      <c r="C2235" s="1" t="s">
        <v>890</v>
      </c>
      <c r="D2235" s="1" t="s">
        <v>891</v>
      </c>
      <c r="E2235" s="1" t="n">
        <v>20171</v>
      </c>
      <c r="F2235" s="1" t="s">
        <v>208</v>
      </c>
      <c r="G2235" s="1" t="s">
        <v>18</v>
      </c>
      <c r="H2235" s="1" t="n">
        <v>3</v>
      </c>
      <c r="I2235" s="1" t="n">
        <v>0</v>
      </c>
      <c r="J2235" s="1" t="n">
        <v>20201</v>
      </c>
      <c r="L2235" s="1" t="str">
        <f aca="false">IF(D2234&lt;&gt;D2235,D2235,"")</f>
        <v/>
      </c>
      <c r="M2235" s="1" t="str">
        <f aca="false">IF(F2234&lt;&gt;F2235,F2235,"")</f>
        <v/>
      </c>
    </row>
    <row r="2236" customFormat="false" ht="15" hidden="false" customHeight="false" outlineLevel="0" collapsed="false">
      <c r="A2236" s="1" t="s">
        <v>629</v>
      </c>
      <c r="B2236" s="1" t="s">
        <v>630</v>
      </c>
      <c r="C2236" s="1" t="s">
        <v>890</v>
      </c>
      <c r="D2236" s="1" t="s">
        <v>891</v>
      </c>
      <c r="E2236" s="1" t="n">
        <v>20171</v>
      </c>
      <c r="F2236" s="1" t="s">
        <v>208</v>
      </c>
      <c r="G2236" s="1" t="s">
        <v>18</v>
      </c>
      <c r="H2236" s="1" t="n">
        <v>3</v>
      </c>
      <c r="I2236" s="1" t="n">
        <v>0</v>
      </c>
      <c r="J2236" s="1" t="n">
        <v>20201</v>
      </c>
      <c r="L2236" s="1" t="str">
        <f aca="false">IF(D2235&lt;&gt;D2236,D2236,"")</f>
        <v/>
      </c>
      <c r="M2236" s="1" t="str">
        <f aca="false">IF(F2235&lt;&gt;F2236,F2236,"")</f>
        <v/>
      </c>
    </row>
    <row r="2237" customFormat="false" ht="15" hidden="false" customHeight="false" outlineLevel="0" collapsed="false">
      <c r="A2237" s="1" t="s">
        <v>631</v>
      </c>
      <c r="B2237" s="1" t="s">
        <v>632</v>
      </c>
      <c r="C2237" s="1" t="s">
        <v>890</v>
      </c>
      <c r="D2237" s="1" t="s">
        <v>891</v>
      </c>
      <c r="E2237" s="1" t="n">
        <v>20171</v>
      </c>
      <c r="F2237" s="1" t="s">
        <v>208</v>
      </c>
      <c r="G2237" s="1" t="s">
        <v>18</v>
      </c>
      <c r="H2237" s="1" t="n">
        <v>3</v>
      </c>
      <c r="I2237" s="1" t="n">
        <v>0</v>
      </c>
      <c r="J2237" s="1" t="n">
        <v>20201</v>
      </c>
      <c r="L2237" s="1" t="str">
        <f aca="false">IF(D2236&lt;&gt;D2237,D2237,"")</f>
        <v/>
      </c>
      <c r="M2237" s="1" t="str">
        <f aca="false">IF(F2236&lt;&gt;F2237,F2237,"")</f>
        <v/>
      </c>
    </row>
    <row r="2238" customFormat="false" ht="15" hidden="false" customHeight="false" outlineLevel="0" collapsed="false">
      <c r="A2238" s="1" t="s">
        <v>615</v>
      </c>
      <c r="B2238" s="1" t="s">
        <v>616</v>
      </c>
      <c r="C2238" s="1" t="s">
        <v>890</v>
      </c>
      <c r="D2238" s="1" t="s">
        <v>891</v>
      </c>
      <c r="E2238" s="1" t="n">
        <v>20171</v>
      </c>
      <c r="F2238" s="1" t="s">
        <v>208</v>
      </c>
      <c r="G2238" s="1" t="s">
        <v>18</v>
      </c>
      <c r="H2238" s="1" t="n">
        <v>3</v>
      </c>
      <c r="I2238" s="1" t="n">
        <v>0</v>
      </c>
      <c r="J2238" s="1" t="n">
        <v>20201</v>
      </c>
      <c r="L2238" s="1" t="str">
        <f aca="false">IF(D2237&lt;&gt;D2238,D2238,"")</f>
        <v/>
      </c>
      <c r="M2238" s="1" t="str">
        <f aca="false">IF(F2237&lt;&gt;F2238,F2238,"")</f>
        <v/>
      </c>
    </row>
    <row r="2239" customFormat="false" ht="15" hidden="false" customHeight="false" outlineLevel="0" collapsed="false">
      <c r="A2239" s="1" t="s">
        <v>824</v>
      </c>
      <c r="B2239" s="1" t="s">
        <v>825</v>
      </c>
      <c r="C2239" s="1" t="s">
        <v>890</v>
      </c>
      <c r="D2239" s="1" t="s">
        <v>891</v>
      </c>
      <c r="E2239" s="1" t="n">
        <v>20171</v>
      </c>
      <c r="F2239" s="1" t="s">
        <v>208</v>
      </c>
      <c r="G2239" s="1" t="s">
        <v>18</v>
      </c>
      <c r="H2239" s="1" t="n">
        <v>3</v>
      </c>
      <c r="I2239" s="1" t="n">
        <v>0</v>
      </c>
      <c r="J2239" s="1" t="n">
        <v>20201</v>
      </c>
      <c r="L2239" s="1" t="str">
        <f aca="false">IF(D2238&lt;&gt;D2239,D2239,"")</f>
        <v/>
      </c>
      <c r="M2239" s="1" t="str">
        <f aca="false">IF(F2238&lt;&gt;F2239,F2239,"")</f>
        <v/>
      </c>
    </row>
    <row r="2240" customFormat="false" ht="15" hidden="false" customHeight="false" outlineLevel="0" collapsed="false">
      <c r="A2240" s="1" t="s">
        <v>733</v>
      </c>
      <c r="B2240" s="1" t="s">
        <v>734</v>
      </c>
      <c r="C2240" s="1" t="s">
        <v>892</v>
      </c>
      <c r="D2240" s="1" t="s">
        <v>893</v>
      </c>
      <c r="E2240" s="1" t="n">
        <v>20171</v>
      </c>
      <c r="F2240" s="1" t="s">
        <v>208</v>
      </c>
      <c r="G2240" s="1" t="s">
        <v>18</v>
      </c>
      <c r="H2240" s="1" t="n">
        <v>3</v>
      </c>
      <c r="I2240" s="1" t="n">
        <v>0</v>
      </c>
      <c r="J2240" s="1" t="n">
        <v>20201</v>
      </c>
      <c r="L2240" s="1" t="str">
        <f aca="false">IF(D2239&lt;&gt;D2240,D2240,"")</f>
        <v>PRAKTIKUM ELEKTRONIKA DAYA</v>
      </c>
      <c r="M2240" s="1" t="str">
        <f aca="false">IF(F2239&lt;&gt;F2240,F2240,"")</f>
        <v/>
      </c>
    </row>
    <row r="2241" customFormat="false" ht="15" hidden="false" customHeight="false" outlineLevel="0" collapsed="false">
      <c r="A2241" s="1" t="s">
        <v>735</v>
      </c>
      <c r="B2241" s="1" t="s">
        <v>736</v>
      </c>
      <c r="C2241" s="1" t="s">
        <v>892</v>
      </c>
      <c r="D2241" s="1" t="s">
        <v>893</v>
      </c>
      <c r="E2241" s="1" t="n">
        <v>20171</v>
      </c>
      <c r="F2241" s="1" t="s">
        <v>208</v>
      </c>
      <c r="G2241" s="1" t="s">
        <v>15</v>
      </c>
      <c r="H2241" s="1" t="n">
        <v>3.5</v>
      </c>
      <c r="I2241" s="1" t="n">
        <v>0</v>
      </c>
      <c r="J2241" s="1" t="n">
        <v>20201</v>
      </c>
      <c r="L2241" s="1" t="str">
        <f aca="false">IF(D2240&lt;&gt;D2241,D2241,"")</f>
        <v/>
      </c>
      <c r="M2241" s="1" t="str">
        <f aca="false">IF(F2240&lt;&gt;F2241,F2241,"")</f>
        <v/>
      </c>
    </row>
    <row r="2242" customFormat="false" ht="15" hidden="false" customHeight="false" outlineLevel="0" collapsed="false">
      <c r="A2242" s="1" t="s">
        <v>755</v>
      </c>
      <c r="B2242" s="1" t="s">
        <v>756</v>
      </c>
      <c r="C2242" s="1" t="s">
        <v>892</v>
      </c>
      <c r="D2242" s="1" t="s">
        <v>893</v>
      </c>
      <c r="E2242" s="1" t="n">
        <v>20171</v>
      </c>
      <c r="F2242" s="1" t="s">
        <v>208</v>
      </c>
      <c r="G2242" s="1" t="s">
        <v>18</v>
      </c>
      <c r="H2242" s="1" t="n">
        <v>3</v>
      </c>
      <c r="I2242" s="1" t="n">
        <v>0</v>
      </c>
      <c r="J2242" s="1" t="n">
        <v>20201</v>
      </c>
      <c r="L2242" s="1" t="str">
        <f aca="false">IF(D2241&lt;&gt;D2242,D2242,"")</f>
        <v/>
      </c>
      <c r="M2242" s="1" t="str">
        <f aca="false">IF(F2241&lt;&gt;F2242,F2242,"")</f>
        <v/>
      </c>
    </row>
    <row r="2243" customFormat="false" ht="15" hidden="false" customHeight="false" outlineLevel="0" collapsed="false">
      <c r="A2243" s="1" t="s">
        <v>575</v>
      </c>
      <c r="B2243" s="1" t="s">
        <v>576</v>
      </c>
      <c r="C2243" s="1" t="s">
        <v>892</v>
      </c>
      <c r="D2243" s="1" t="s">
        <v>893</v>
      </c>
      <c r="E2243" s="1" t="n">
        <v>20171</v>
      </c>
      <c r="F2243" s="1" t="s">
        <v>208</v>
      </c>
      <c r="G2243" s="1" t="s">
        <v>101</v>
      </c>
      <c r="H2243" s="1" t="n">
        <v>2.5</v>
      </c>
      <c r="I2243" s="1" t="n">
        <v>0</v>
      </c>
      <c r="J2243" s="1" t="n">
        <v>20201</v>
      </c>
      <c r="L2243" s="1" t="str">
        <f aca="false">IF(D2242&lt;&gt;D2243,D2243,"")</f>
        <v/>
      </c>
      <c r="M2243" s="1" t="str">
        <f aca="false">IF(F2242&lt;&gt;F2243,F2243,"")</f>
        <v/>
      </c>
    </row>
    <row r="2244" customFormat="false" ht="15" hidden="false" customHeight="false" outlineLevel="0" collapsed="false">
      <c r="A2244" s="1" t="s">
        <v>601</v>
      </c>
      <c r="B2244" s="1" t="s">
        <v>602</v>
      </c>
      <c r="C2244" s="1" t="s">
        <v>892</v>
      </c>
      <c r="D2244" s="1" t="s">
        <v>893</v>
      </c>
      <c r="E2244" s="1" t="n">
        <v>20171</v>
      </c>
      <c r="F2244" s="1" t="s">
        <v>208</v>
      </c>
      <c r="G2244" s="1" t="s">
        <v>15</v>
      </c>
      <c r="H2244" s="1" t="n">
        <v>3.5</v>
      </c>
      <c r="I2244" s="1" t="n">
        <v>0</v>
      </c>
      <c r="J2244" s="1" t="n">
        <v>20201</v>
      </c>
      <c r="L2244" s="1" t="str">
        <f aca="false">IF(D2243&lt;&gt;D2244,D2244,"")</f>
        <v/>
      </c>
      <c r="M2244" s="1" t="str">
        <f aca="false">IF(F2243&lt;&gt;F2244,F2244,"")</f>
        <v/>
      </c>
    </row>
    <row r="2245" customFormat="false" ht="15" hidden="false" customHeight="false" outlineLevel="0" collapsed="false">
      <c r="A2245" s="1" t="s">
        <v>737</v>
      </c>
      <c r="B2245" s="1" t="s">
        <v>738</v>
      </c>
      <c r="C2245" s="1" t="s">
        <v>892</v>
      </c>
      <c r="D2245" s="1" t="s">
        <v>893</v>
      </c>
      <c r="E2245" s="1" t="n">
        <v>20171</v>
      </c>
      <c r="F2245" s="1" t="s">
        <v>208</v>
      </c>
      <c r="G2245" s="1" t="s">
        <v>23</v>
      </c>
      <c r="H2245" s="1" t="n">
        <v>0</v>
      </c>
      <c r="I2245" s="1" t="n">
        <v>0</v>
      </c>
      <c r="J2245" s="1" t="n">
        <v>20201</v>
      </c>
      <c r="L2245" s="1" t="str">
        <f aca="false">IF(D2244&lt;&gt;D2245,D2245,"")</f>
        <v/>
      </c>
      <c r="M2245" s="1" t="str">
        <f aca="false">IF(F2244&lt;&gt;F2245,F2245,"")</f>
        <v/>
      </c>
    </row>
    <row r="2246" customFormat="false" ht="15" hidden="false" customHeight="false" outlineLevel="0" collapsed="false">
      <c r="A2246" s="1" t="s">
        <v>202</v>
      </c>
      <c r="B2246" s="1" t="s">
        <v>203</v>
      </c>
      <c r="C2246" s="1" t="s">
        <v>892</v>
      </c>
      <c r="D2246" s="1" t="s">
        <v>893</v>
      </c>
      <c r="E2246" s="1" t="n">
        <v>20171</v>
      </c>
      <c r="F2246" s="1" t="s">
        <v>208</v>
      </c>
      <c r="G2246" s="1" t="s">
        <v>18</v>
      </c>
      <c r="H2246" s="1" t="n">
        <v>3</v>
      </c>
      <c r="I2246" s="1" t="n">
        <v>0</v>
      </c>
      <c r="J2246" s="1" t="n">
        <v>20201</v>
      </c>
      <c r="L2246" s="1" t="str">
        <f aca="false">IF(D2245&lt;&gt;D2246,D2246,"")</f>
        <v/>
      </c>
      <c r="M2246" s="1" t="str">
        <f aca="false">IF(F2245&lt;&gt;F2246,F2246,"")</f>
        <v/>
      </c>
    </row>
    <row r="2247" customFormat="false" ht="15" hidden="false" customHeight="false" outlineLevel="0" collapsed="false">
      <c r="A2247" s="1" t="s">
        <v>739</v>
      </c>
      <c r="B2247" s="1" t="s">
        <v>740</v>
      </c>
      <c r="C2247" s="1" t="s">
        <v>892</v>
      </c>
      <c r="D2247" s="1" t="s">
        <v>893</v>
      </c>
      <c r="E2247" s="1" t="n">
        <v>20171</v>
      </c>
      <c r="F2247" s="1" t="s">
        <v>208</v>
      </c>
      <c r="G2247" s="1" t="s">
        <v>23</v>
      </c>
      <c r="H2247" s="1" t="n">
        <v>0</v>
      </c>
      <c r="I2247" s="1" t="n">
        <v>0</v>
      </c>
      <c r="J2247" s="1" t="n">
        <v>20201</v>
      </c>
      <c r="L2247" s="1" t="str">
        <f aca="false">IF(D2246&lt;&gt;D2247,D2247,"")</f>
        <v/>
      </c>
      <c r="M2247" s="1" t="str">
        <f aca="false">IF(F2246&lt;&gt;F2247,F2247,"")</f>
        <v/>
      </c>
    </row>
    <row r="2248" customFormat="false" ht="15" hidden="false" customHeight="false" outlineLevel="0" collapsed="false">
      <c r="A2248" s="1" t="s">
        <v>211</v>
      </c>
      <c r="B2248" s="1" t="s">
        <v>212</v>
      </c>
      <c r="C2248" s="1" t="s">
        <v>892</v>
      </c>
      <c r="D2248" s="1" t="s">
        <v>893</v>
      </c>
      <c r="E2248" s="1" t="n">
        <v>20171</v>
      </c>
      <c r="F2248" s="1" t="s">
        <v>208</v>
      </c>
      <c r="G2248" s="1" t="s">
        <v>18</v>
      </c>
      <c r="H2248" s="1" t="n">
        <v>3</v>
      </c>
      <c r="I2248" s="1" t="n">
        <v>0</v>
      </c>
      <c r="J2248" s="1" t="n">
        <v>20201</v>
      </c>
      <c r="L2248" s="1" t="str">
        <f aca="false">IF(D2247&lt;&gt;D2248,D2248,"")</f>
        <v/>
      </c>
      <c r="M2248" s="1" t="str">
        <f aca="false">IF(F2247&lt;&gt;F2248,F2248,"")</f>
        <v/>
      </c>
    </row>
    <row r="2249" customFormat="false" ht="15" hidden="false" customHeight="false" outlineLevel="0" collapsed="false">
      <c r="A2249" s="1" t="s">
        <v>213</v>
      </c>
      <c r="B2249" s="1" t="s">
        <v>214</v>
      </c>
      <c r="C2249" s="1" t="s">
        <v>892</v>
      </c>
      <c r="D2249" s="1" t="s">
        <v>893</v>
      </c>
      <c r="E2249" s="1" t="n">
        <v>20171</v>
      </c>
      <c r="F2249" s="1" t="s">
        <v>208</v>
      </c>
      <c r="G2249" s="1" t="s">
        <v>15</v>
      </c>
      <c r="H2249" s="1" t="n">
        <v>3.5</v>
      </c>
      <c r="I2249" s="1" t="n">
        <v>0</v>
      </c>
      <c r="J2249" s="1" t="n">
        <v>20201</v>
      </c>
      <c r="L2249" s="1" t="str">
        <f aca="false">IF(D2248&lt;&gt;D2249,D2249,"")</f>
        <v/>
      </c>
      <c r="M2249" s="1" t="str">
        <f aca="false">IF(F2248&lt;&gt;F2249,F2249,"")</f>
        <v/>
      </c>
    </row>
    <row r="2250" customFormat="false" ht="15" hidden="false" customHeight="false" outlineLevel="0" collapsed="false">
      <c r="A2250" s="1" t="s">
        <v>215</v>
      </c>
      <c r="B2250" s="1" t="s">
        <v>216</v>
      </c>
      <c r="C2250" s="1" t="s">
        <v>892</v>
      </c>
      <c r="D2250" s="1" t="s">
        <v>893</v>
      </c>
      <c r="E2250" s="1" t="n">
        <v>20171</v>
      </c>
      <c r="F2250" s="1" t="s">
        <v>208</v>
      </c>
      <c r="G2250" s="1" t="s">
        <v>18</v>
      </c>
      <c r="H2250" s="1" t="n">
        <v>3</v>
      </c>
      <c r="I2250" s="1" t="n">
        <v>0</v>
      </c>
      <c r="J2250" s="1" t="n">
        <v>20201</v>
      </c>
      <c r="L2250" s="1" t="str">
        <f aca="false">IF(D2249&lt;&gt;D2250,D2250,"")</f>
        <v/>
      </c>
      <c r="M2250" s="1" t="str">
        <f aca="false">IF(F2249&lt;&gt;F2250,F2250,"")</f>
        <v/>
      </c>
    </row>
    <row r="2251" customFormat="false" ht="15" hidden="false" customHeight="false" outlineLevel="0" collapsed="false">
      <c r="A2251" s="1" t="s">
        <v>217</v>
      </c>
      <c r="B2251" s="1" t="s">
        <v>218</v>
      </c>
      <c r="C2251" s="1" t="s">
        <v>892</v>
      </c>
      <c r="D2251" s="1" t="s">
        <v>893</v>
      </c>
      <c r="E2251" s="1" t="n">
        <v>20171</v>
      </c>
      <c r="F2251" s="1" t="s">
        <v>208</v>
      </c>
      <c r="G2251" s="1" t="s">
        <v>15</v>
      </c>
      <c r="H2251" s="1" t="n">
        <v>3.5</v>
      </c>
      <c r="I2251" s="1" t="n">
        <v>0</v>
      </c>
      <c r="J2251" s="1" t="n">
        <v>20201</v>
      </c>
      <c r="L2251" s="1" t="str">
        <f aca="false">IF(D2250&lt;&gt;D2251,D2251,"")</f>
        <v/>
      </c>
      <c r="M2251" s="1" t="str">
        <f aca="false">IF(F2250&lt;&gt;F2251,F2251,"")</f>
        <v/>
      </c>
    </row>
    <row r="2252" customFormat="false" ht="15" hidden="false" customHeight="false" outlineLevel="0" collapsed="false">
      <c r="A2252" s="1" t="s">
        <v>219</v>
      </c>
      <c r="B2252" s="1" t="s">
        <v>220</v>
      </c>
      <c r="C2252" s="1" t="s">
        <v>892</v>
      </c>
      <c r="D2252" s="1" t="s">
        <v>893</v>
      </c>
      <c r="E2252" s="1" t="n">
        <v>20171</v>
      </c>
      <c r="F2252" s="1" t="s">
        <v>208</v>
      </c>
      <c r="G2252" s="1" t="s">
        <v>15</v>
      </c>
      <c r="H2252" s="1" t="n">
        <v>3.5</v>
      </c>
      <c r="I2252" s="1" t="n">
        <v>0</v>
      </c>
      <c r="J2252" s="1" t="n">
        <v>20201</v>
      </c>
      <c r="L2252" s="1" t="str">
        <f aca="false">IF(D2251&lt;&gt;D2252,D2252,"")</f>
        <v/>
      </c>
      <c r="M2252" s="1" t="str">
        <f aca="false">IF(F2251&lt;&gt;F2252,F2252,"")</f>
        <v/>
      </c>
    </row>
    <row r="2253" customFormat="false" ht="15" hidden="false" customHeight="false" outlineLevel="0" collapsed="false">
      <c r="A2253" s="1" t="s">
        <v>221</v>
      </c>
      <c r="B2253" s="1" t="s">
        <v>222</v>
      </c>
      <c r="C2253" s="1" t="s">
        <v>892</v>
      </c>
      <c r="D2253" s="1" t="s">
        <v>893</v>
      </c>
      <c r="E2253" s="1" t="n">
        <v>20171</v>
      </c>
      <c r="F2253" s="1" t="s">
        <v>208</v>
      </c>
      <c r="G2253" s="1" t="s">
        <v>15</v>
      </c>
      <c r="H2253" s="1" t="n">
        <v>3.5</v>
      </c>
      <c r="I2253" s="1" t="n">
        <v>0</v>
      </c>
      <c r="J2253" s="1" t="n">
        <v>20201</v>
      </c>
      <c r="L2253" s="1" t="str">
        <f aca="false">IF(D2252&lt;&gt;D2253,D2253,"")</f>
        <v/>
      </c>
      <c r="M2253" s="1" t="str">
        <f aca="false">IF(F2252&lt;&gt;F2253,F2253,"")</f>
        <v/>
      </c>
    </row>
    <row r="2254" customFormat="false" ht="15" hidden="false" customHeight="false" outlineLevel="0" collapsed="false">
      <c r="A2254" s="1" t="s">
        <v>223</v>
      </c>
      <c r="B2254" s="1" t="s">
        <v>224</v>
      </c>
      <c r="C2254" s="1" t="s">
        <v>892</v>
      </c>
      <c r="D2254" s="1" t="s">
        <v>893</v>
      </c>
      <c r="E2254" s="1" t="n">
        <v>20171</v>
      </c>
      <c r="F2254" s="1" t="s">
        <v>208</v>
      </c>
      <c r="G2254" s="1" t="s">
        <v>15</v>
      </c>
      <c r="H2254" s="1" t="n">
        <v>3.5</v>
      </c>
      <c r="I2254" s="1" t="n">
        <v>0</v>
      </c>
      <c r="J2254" s="1" t="n">
        <v>20201</v>
      </c>
      <c r="L2254" s="1" t="str">
        <f aca="false">IF(D2253&lt;&gt;D2254,D2254,"")</f>
        <v/>
      </c>
      <c r="M2254" s="1" t="str">
        <f aca="false">IF(F2253&lt;&gt;F2254,F2254,"")</f>
        <v/>
      </c>
    </row>
    <row r="2255" customFormat="false" ht="15" hidden="false" customHeight="false" outlineLevel="0" collapsed="false">
      <c r="A2255" s="1" t="s">
        <v>227</v>
      </c>
      <c r="B2255" s="1" t="s">
        <v>228</v>
      </c>
      <c r="C2255" s="1" t="s">
        <v>892</v>
      </c>
      <c r="D2255" s="1" t="s">
        <v>893</v>
      </c>
      <c r="E2255" s="1" t="n">
        <v>20171</v>
      </c>
      <c r="F2255" s="1" t="s">
        <v>208</v>
      </c>
      <c r="G2255" s="1" t="s">
        <v>23</v>
      </c>
      <c r="H2255" s="1" t="n">
        <v>0</v>
      </c>
      <c r="I2255" s="1" t="n">
        <v>0</v>
      </c>
      <c r="J2255" s="1" t="n">
        <v>20201</v>
      </c>
      <c r="L2255" s="1" t="str">
        <f aca="false">IF(D2254&lt;&gt;D2255,D2255,"")</f>
        <v/>
      </c>
      <c r="M2255" s="1" t="str">
        <f aca="false">IF(F2254&lt;&gt;F2255,F2255,"")</f>
        <v/>
      </c>
    </row>
    <row r="2256" customFormat="false" ht="15" hidden="false" customHeight="false" outlineLevel="0" collapsed="false">
      <c r="A2256" s="1" t="s">
        <v>229</v>
      </c>
      <c r="B2256" s="1" t="s">
        <v>230</v>
      </c>
      <c r="C2256" s="1" t="s">
        <v>892</v>
      </c>
      <c r="D2256" s="1" t="s">
        <v>893</v>
      </c>
      <c r="E2256" s="1" t="n">
        <v>20171</v>
      </c>
      <c r="F2256" s="1" t="s">
        <v>208</v>
      </c>
      <c r="G2256" s="1" t="s">
        <v>14</v>
      </c>
      <c r="H2256" s="1" t="n">
        <v>4</v>
      </c>
      <c r="I2256" s="1" t="n">
        <v>0</v>
      </c>
      <c r="J2256" s="1" t="n">
        <v>20201</v>
      </c>
      <c r="L2256" s="1" t="str">
        <f aca="false">IF(D2255&lt;&gt;D2256,D2256,"")</f>
        <v/>
      </c>
      <c r="M2256" s="1" t="str">
        <f aca="false">IF(F2255&lt;&gt;F2256,F2256,"")</f>
        <v/>
      </c>
    </row>
    <row r="2257" customFormat="false" ht="15" hidden="false" customHeight="false" outlineLevel="0" collapsed="false">
      <c r="A2257" s="1" t="s">
        <v>231</v>
      </c>
      <c r="B2257" s="1" t="s">
        <v>232</v>
      </c>
      <c r="C2257" s="1" t="s">
        <v>892</v>
      </c>
      <c r="D2257" s="1" t="s">
        <v>893</v>
      </c>
      <c r="E2257" s="1" t="n">
        <v>20171</v>
      </c>
      <c r="F2257" s="1" t="s">
        <v>208</v>
      </c>
      <c r="G2257" s="1" t="s">
        <v>124</v>
      </c>
      <c r="H2257" s="1" t="n">
        <v>0</v>
      </c>
      <c r="I2257" s="1" t="n">
        <v>0</v>
      </c>
      <c r="J2257" s="1" t="n">
        <v>20201</v>
      </c>
      <c r="L2257" s="1" t="str">
        <f aca="false">IF(D2256&lt;&gt;D2257,D2257,"")</f>
        <v/>
      </c>
      <c r="M2257" s="1" t="str">
        <f aca="false">IF(F2256&lt;&gt;F2257,F2257,"")</f>
        <v/>
      </c>
    </row>
    <row r="2258" customFormat="false" ht="15" hidden="false" customHeight="false" outlineLevel="0" collapsed="false">
      <c r="A2258" s="1" t="s">
        <v>233</v>
      </c>
      <c r="B2258" s="1" t="s">
        <v>234</v>
      </c>
      <c r="C2258" s="1" t="s">
        <v>892</v>
      </c>
      <c r="D2258" s="1" t="s">
        <v>893</v>
      </c>
      <c r="E2258" s="1" t="n">
        <v>20171</v>
      </c>
      <c r="F2258" s="1" t="s">
        <v>208</v>
      </c>
      <c r="G2258" s="1" t="s">
        <v>15</v>
      </c>
      <c r="H2258" s="1" t="n">
        <v>3.5</v>
      </c>
      <c r="I2258" s="1" t="n">
        <v>0</v>
      </c>
      <c r="J2258" s="1" t="n">
        <v>20201</v>
      </c>
      <c r="L2258" s="1" t="str">
        <f aca="false">IF(D2257&lt;&gt;D2258,D2258,"")</f>
        <v/>
      </c>
      <c r="M2258" s="1" t="str">
        <f aca="false">IF(F2257&lt;&gt;F2258,F2258,"")</f>
        <v/>
      </c>
    </row>
    <row r="2259" customFormat="false" ht="15" hidden="false" customHeight="false" outlineLevel="0" collapsed="false">
      <c r="A2259" s="1" t="s">
        <v>235</v>
      </c>
      <c r="B2259" s="1" t="s">
        <v>236</v>
      </c>
      <c r="C2259" s="1" t="s">
        <v>892</v>
      </c>
      <c r="D2259" s="1" t="s">
        <v>893</v>
      </c>
      <c r="E2259" s="1" t="n">
        <v>20171</v>
      </c>
      <c r="F2259" s="1" t="s">
        <v>208</v>
      </c>
      <c r="G2259" s="1" t="s">
        <v>15</v>
      </c>
      <c r="H2259" s="1" t="n">
        <v>3.5</v>
      </c>
      <c r="I2259" s="1" t="n">
        <v>0</v>
      </c>
      <c r="J2259" s="1" t="n">
        <v>20201</v>
      </c>
      <c r="L2259" s="1" t="str">
        <f aca="false">IF(D2258&lt;&gt;D2259,D2259,"")</f>
        <v/>
      </c>
      <c r="M2259" s="1" t="str">
        <f aca="false">IF(F2258&lt;&gt;F2259,F2259,"")</f>
        <v/>
      </c>
    </row>
    <row r="2260" customFormat="false" ht="15" hidden="false" customHeight="false" outlineLevel="0" collapsed="false">
      <c r="A2260" s="1" t="s">
        <v>237</v>
      </c>
      <c r="B2260" s="1" t="s">
        <v>238</v>
      </c>
      <c r="C2260" s="1" t="s">
        <v>892</v>
      </c>
      <c r="D2260" s="1" t="s">
        <v>893</v>
      </c>
      <c r="E2260" s="1" t="n">
        <v>20171</v>
      </c>
      <c r="F2260" s="1" t="s">
        <v>208</v>
      </c>
      <c r="G2260" s="1" t="s">
        <v>15</v>
      </c>
      <c r="H2260" s="1" t="n">
        <v>3.5</v>
      </c>
      <c r="I2260" s="1" t="n">
        <v>0</v>
      </c>
      <c r="J2260" s="1" t="n">
        <v>20201</v>
      </c>
      <c r="L2260" s="1" t="str">
        <f aca="false">IF(D2259&lt;&gt;D2260,D2260,"")</f>
        <v/>
      </c>
      <c r="M2260" s="1" t="str">
        <f aca="false">IF(F2259&lt;&gt;F2260,F2260,"")</f>
        <v/>
      </c>
    </row>
    <row r="2261" customFormat="false" ht="15" hidden="false" customHeight="false" outlineLevel="0" collapsed="false">
      <c r="A2261" s="1" t="s">
        <v>239</v>
      </c>
      <c r="B2261" s="1" t="s">
        <v>240</v>
      </c>
      <c r="C2261" s="1" t="s">
        <v>892</v>
      </c>
      <c r="D2261" s="1" t="s">
        <v>893</v>
      </c>
      <c r="E2261" s="1" t="n">
        <v>20171</v>
      </c>
      <c r="F2261" s="1" t="s">
        <v>208</v>
      </c>
      <c r="G2261" s="1" t="s">
        <v>101</v>
      </c>
      <c r="H2261" s="1" t="n">
        <v>2.5</v>
      </c>
      <c r="I2261" s="1" t="n">
        <v>0</v>
      </c>
      <c r="J2261" s="1" t="n">
        <v>20201</v>
      </c>
      <c r="L2261" s="1" t="str">
        <f aca="false">IF(D2260&lt;&gt;D2261,D2261,"")</f>
        <v/>
      </c>
      <c r="M2261" s="1" t="str">
        <f aca="false">IF(F2260&lt;&gt;F2261,F2261,"")</f>
        <v/>
      </c>
    </row>
    <row r="2262" customFormat="false" ht="15" hidden="false" customHeight="false" outlineLevel="0" collapsed="false">
      <c r="A2262" s="1" t="s">
        <v>241</v>
      </c>
      <c r="B2262" s="1" t="s">
        <v>242</v>
      </c>
      <c r="C2262" s="1" t="s">
        <v>892</v>
      </c>
      <c r="D2262" s="1" t="s">
        <v>893</v>
      </c>
      <c r="E2262" s="1" t="n">
        <v>20171</v>
      </c>
      <c r="F2262" s="1" t="s">
        <v>208</v>
      </c>
      <c r="G2262" s="1" t="s">
        <v>14</v>
      </c>
      <c r="H2262" s="1" t="n">
        <v>4</v>
      </c>
      <c r="I2262" s="1" t="n">
        <v>0</v>
      </c>
      <c r="J2262" s="1" t="n">
        <v>20201</v>
      </c>
      <c r="L2262" s="1" t="str">
        <f aca="false">IF(D2261&lt;&gt;D2262,D2262,"")</f>
        <v/>
      </c>
      <c r="M2262" s="1" t="str">
        <f aca="false">IF(F2261&lt;&gt;F2262,F2262,"")</f>
        <v/>
      </c>
    </row>
    <row r="2263" customFormat="false" ht="15" hidden="false" customHeight="false" outlineLevel="0" collapsed="false">
      <c r="A2263" s="1" t="s">
        <v>245</v>
      </c>
      <c r="B2263" s="1" t="s">
        <v>246</v>
      </c>
      <c r="C2263" s="1" t="s">
        <v>892</v>
      </c>
      <c r="D2263" s="1" t="s">
        <v>893</v>
      </c>
      <c r="E2263" s="1" t="n">
        <v>20171</v>
      </c>
      <c r="F2263" s="1" t="s">
        <v>208</v>
      </c>
      <c r="G2263" s="1" t="s">
        <v>18</v>
      </c>
      <c r="H2263" s="1" t="n">
        <v>3</v>
      </c>
      <c r="I2263" s="1" t="n">
        <v>0</v>
      </c>
      <c r="J2263" s="1" t="n">
        <v>20201</v>
      </c>
      <c r="L2263" s="1" t="str">
        <f aca="false">IF(D2262&lt;&gt;D2263,D2263,"")</f>
        <v/>
      </c>
      <c r="M2263" s="1" t="str">
        <f aca="false">IF(F2262&lt;&gt;F2263,F2263,"")</f>
        <v/>
      </c>
    </row>
    <row r="2264" customFormat="false" ht="15" hidden="false" customHeight="false" outlineLevel="0" collapsed="false">
      <c r="A2264" s="1" t="s">
        <v>247</v>
      </c>
      <c r="B2264" s="1" t="s">
        <v>248</v>
      </c>
      <c r="C2264" s="1" t="s">
        <v>892</v>
      </c>
      <c r="D2264" s="1" t="s">
        <v>893</v>
      </c>
      <c r="E2264" s="1" t="n">
        <v>20171</v>
      </c>
      <c r="F2264" s="1" t="s">
        <v>208</v>
      </c>
      <c r="G2264" s="1" t="s">
        <v>18</v>
      </c>
      <c r="H2264" s="1" t="n">
        <v>3</v>
      </c>
      <c r="I2264" s="1" t="n">
        <v>0</v>
      </c>
      <c r="J2264" s="1" t="n">
        <v>20201</v>
      </c>
      <c r="L2264" s="1" t="str">
        <f aca="false">IF(D2263&lt;&gt;D2264,D2264,"")</f>
        <v/>
      </c>
      <c r="M2264" s="1" t="str">
        <f aca="false">IF(F2263&lt;&gt;F2264,F2264,"")</f>
        <v/>
      </c>
    </row>
    <row r="2265" customFormat="false" ht="15" hidden="false" customHeight="false" outlineLevel="0" collapsed="false">
      <c r="A2265" s="1" t="s">
        <v>249</v>
      </c>
      <c r="B2265" s="1" t="s">
        <v>250</v>
      </c>
      <c r="C2265" s="1" t="s">
        <v>892</v>
      </c>
      <c r="D2265" s="1" t="s">
        <v>893</v>
      </c>
      <c r="E2265" s="1" t="n">
        <v>20171</v>
      </c>
      <c r="F2265" s="1" t="s">
        <v>208</v>
      </c>
      <c r="G2265" s="1" t="s">
        <v>15</v>
      </c>
      <c r="H2265" s="1" t="n">
        <v>3.5</v>
      </c>
      <c r="I2265" s="1" t="n">
        <v>0</v>
      </c>
      <c r="J2265" s="1" t="n">
        <v>20201</v>
      </c>
      <c r="L2265" s="1" t="str">
        <f aca="false">IF(D2264&lt;&gt;D2265,D2265,"")</f>
        <v/>
      </c>
      <c r="M2265" s="1" t="str">
        <f aca="false">IF(F2264&lt;&gt;F2265,F2265,"")</f>
        <v/>
      </c>
    </row>
    <row r="2266" customFormat="false" ht="15" hidden="false" customHeight="false" outlineLevel="0" collapsed="false">
      <c r="A2266" s="1" t="s">
        <v>251</v>
      </c>
      <c r="B2266" s="1" t="s">
        <v>252</v>
      </c>
      <c r="C2266" s="1" t="s">
        <v>892</v>
      </c>
      <c r="D2266" s="1" t="s">
        <v>893</v>
      </c>
      <c r="E2266" s="1" t="n">
        <v>20171</v>
      </c>
      <c r="F2266" s="1" t="s">
        <v>208</v>
      </c>
      <c r="G2266" s="1" t="s">
        <v>15</v>
      </c>
      <c r="H2266" s="1" t="n">
        <v>3.5</v>
      </c>
      <c r="I2266" s="1" t="n">
        <v>0</v>
      </c>
      <c r="J2266" s="1" t="n">
        <v>20201</v>
      </c>
      <c r="L2266" s="1" t="str">
        <f aca="false">IF(D2265&lt;&gt;D2266,D2266,"")</f>
        <v/>
      </c>
      <c r="M2266" s="1" t="str">
        <f aca="false">IF(F2265&lt;&gt;F2266,F2266,"")</f>
        <v/>
      </c>
    </row>
    <row r="2267" customFormat="false" ht="15" hidden="false" customHeight="false" outlineLevel="0" collapsed="false">
      <c r="A2267" s="1" t="s">
        <v>253</v>
      </c>
      <c r="B2267" s="1" t="s">
        <v>254</v>
      </c>
      <c r="C2267" s="1" t="s">
        <v>892</v>
      </c>
      <c r="D2267" s="1" t="s">
        <v>893</v>
      </c>
      <c r="E2267" s="1" t="n">
        <v>20171</v>
      </c>
      <c r="F2267" s="1" t="s">
        <v>208</v>
      </c>
      <c r="G2267" s="1" t="s">
        <v>14</v>
      </c>
      <c r="H2267" s="1" t="n">
        <v>4</v>
      </c>
      <c r="I2267" s="1" t="n">
        <v>0</v>
      </c>
      <c r="J2267" s="1" t="n">
        <v>20201</v>
      </c>
      <c r="L2267" s="1" t="str">
        <f aca="false">IF(D2266&lt;&gt;D2267,D2267,"")</f>
        <v/>
      </c>
      <c r="M2267" s="1" t="str">
        <f aca="false">IF(F2266&lt;&gt;F2267,F2267,"")</f>
        <v/>
      </c>
    </row>
    <row r="2268" customFormat="false" ht="15" hidden="false" customHeight="false" outlineLevel="0" collapsed="false">
      <c r="A2268" s="1" t="s">
        <v>255</v>
      </c>
      <c r="B2268" s="1" t="s">
        <v>256</v>
      </c>
      <c r="C2268" s="1" t="s">
        <v>892</v>
      </c>
      <c r="D2268" s="1" t="s">
        <v>893</v>
      </c>
      <c r="E2268" s="1" t="n">
        <v>20171</v>
      </c>
      <c r="F2268" s="1" t="s">
        <v>208</v>
      </c>
      <c r="G2268" s="1" t="s">
        <v>14</v>
      </c>
      <c r="H2268" s="1" t="n">
        <v>4</v>
      </c>
      <c r="I2268" s="1" t="n">
        <v>0</v>
      </c>
      <c r="J2268" s="1" t="n">
        <v>20201</v>
      </c>
      <c r="L2268" s="1" t="str">
        <f aca="false">IF(D2267&lt;&gt;D2268,D2268,"")</f>
        <v/>
      </c>
      <c r="M2268" s="1" t="str">
        <f aca="false">IF(F2267&lt;&gt;F2268,F2268,"")</f>
        <v/>
      </c>
    </row>
    <row r="2269" customFormat="false" ht="15" hidden="false" customHeight="false" outlineLevel="0" collapsed="false">
      <c r="A2269" s="1" t="s">
        <v>257</v>
      </c>
      <c r="B2269" s="1" t="s">
        <v>258</v>
      </c>
      <c r="C2269" s="1" t="s">
        <v>892</v>
      </c>
      <c r="D2269" s="1" t="s">
        <v>893</v>
      </c>
      <c r="E2269" s="1" t="n">
        <v>20171</v>
      </c>
      <c r="F2269" s="1" t="s">
        <v>208</v>
      </c>
      <c r="G2269" s="1" t="s">
        <v>15</v>
      </c>
      <c r="H2269" s="1" t="n">
        <v>3.5</v>
      </c>
      <c r="I2269" s="1" t="n">
        <v>0</v>
      </c>
      <c r="J2269" s="1" t="n">
        <v>20201</v>
      </c>
      <c r="L2269" s="1" t="str">
        <f aca="false">IF(D2268&lt;&gt;D2269,D2269,"")</f>
        <v/>
      </c>
      <c r="M2269" s="1" t="str">
        <f aca="false">IF(F2268&lt;&gt;F2269,F2269,"")</f>
        <v/>
      </c>
    </row>
    <row r="2270" customFormat="false" ht="15" hidden="false" customHeight="false" outlineLevel="0" collapsed="false">
      <c r="A2270" s="1" t="s">
        <v>635</v>
      </c>
      <c r="B2270" s="1" t="s">
        <v>636</v>
      </c>
      <c r="C2270" s="1" t="s">
        <v>894</v>
      </c>
      <c r="D2270" s="1" t="s">
        <v>895</v>
      </c>
      <c r="E2270" s="1" t="n">
        <v>20171</v>
      </c>
      <c r="F2270" s="1" t="s">
        <v>208</v>
      </c>
      <c r="G2270" s="1" t="s">
        <v>23</v>
      </c>
      <c r="H2270" s="1" t="n">
        <v>0</v>
      </c>
      <c r="I2270" s="1" t="n">
        <v>0</v>
      </c>
      <c r="J2270" s="1" t="n">
        <v>20201</v>
      </c>
      <c r="L2270" s="1" t="str">
        <f aca="false">IF(D2269&lt;&gt;D2270,D2270,"")</f>
        <v>PRAKTIKUM ELEKTRONIKA DIGITAL</v>
      </c>
      <c r="M2270" s="1" t="str">
        <f aca="false">IF(F2269&lt;&gt;F2270,F2270,"")</f>
        <v/>
      </c>
    </row>
    <row r="2271" customFormat="false" ht="15" hidden="false" customHeight="false" outlineLevel="0" collapsed="false">
      <c r="A2271" s="1" t="s">
        <v>565</v>
      </c>
      <c r="B2271" s="1" t="s">
        <v>566</v>
      </c>
      <c r="C2271" s="1" t="s">
        <v>894</v>
      </c>
      <c r="D2271" s="1" t="s">
        <v>895</v>
      </c>
      <c r="E2271" s="1" t="n">
        <v>20171</v>
      </c>
      <c r="F2271" s="1" t="s">
        <v>208</v>
      </c>
      <c r="G2271" s="1" t="s">
        <v>18</v>
      </c>
      <c r="H2271" s="1" t="n">
        <v>3</v>
      </c>
      <c r="I2271" s="1" t="n">
        <v>0</v>
      </c>
      <c r="J2271" s="1" t="n">
        <v>20201</v>
      </c>
      <c r="L2271" s="1" t="str">
        <f aca="false">IF(D2270&lt;&gt;D2271,D2271,"")</f>
        <v/>
      </c>
      <c r="M2271" s="1" t="str">
        <f aca="false">IF(F2270&lt;&gt;F2271,F2271,"")</f>
        <v/>
      </c>
    </row>
    <row r="2272" customFormat="false" ht="15" hidden="false" customHeight="false" outlineLevel="0" collapsed="false">
      <c r="A2272" s="1" t="s">
        <v>687</v>
      </c>
      <c r="B2272" s="1" t="s">
        <v>688</v>
      </c>
      <c r="C2272" s="1" t="s">
        <v>894</v>
      </c>
      <c r="D2272" s="1" t="s">
        <v>895</v>
      </c>
      <c r="E2272" s="1" t="n">
        <v>20171</v>
      </c>
      <c r="F2272" s="1" t="s">
        <v>208</v>
      </c>
      <c r="G2272" s="1" t="s">
        <v>101</v>
      </c>
      <c r="H2272" s="1" t="n">
        <v>2.5</v>
      </c>
      <c r="I2272" s="1" t="n">
        <v>0</v>
      </c>
      <c r="J2272" s="1" t="n">
        <v>20201</v>
      </c>
      <c r="L2272" s="1" t="str">
        <f aca="false">IF(D2271&lt;&gt;D2272,D2272,"")</f>
        <v/>
      </c>
      <c r="M2272" s="1" t="str">
        <f aca="false">IF(F2271&lt;&gt;F2272,F2272,"")</f>
        <v/>
      </c>
    </row>
    <row r="2273" customFormat="false" ht="15" hidden="false" customHeight="false" outlineLevel="0" collapsed="false">
      <c r="A2273" s="1" t="s">
        <v>689</v>
      </c>
      <c r="B2273" s="1" t="s">
        <v>690</v>
      </c>
      <c r="C2273" s="1" t="s">
        <v>894</v>
      </c>
      <c r="D2273" s="1" t="s">
        <v>895</v>
      </c>
      <c r="E2273" s="1" t="n">
        <v>20171</v>
      </c>
      <c r="F2273" s="1" t="s">
        <v>208</v>
      </c>
      <c r="G2273" s="1" t="s">
        <v>15</v>
      </c>
      <c r="H2273" s="1" t="n">
        <v>3.5</v>
      </c>
      <c r="I2273" s="1" t="n">
        <v>0</v>
      </c>
      <c r="J2273" s="1" t="n">
        <v>20201</v>
      </c>
      <c r="L2273" s="1" t="str">
        <f aca="false">IF(D2272&lt;&gt;D2273,D2273,"")</f>
        <v/>
      </c>
      <c r="M2273" s="1" t="str">
        <f aca="false">IF(F2272&lt;&gt;F2273,F2273,"")</f>
        <v/>
      </c>
    </row>
    <row r="2274" customFormat="false" ht="15" hidden="false" customHeight="false" outlineLevel="0" collapsed="false">
      <c r="A2274" s="1" t="s">
        <v>691</v>
      </c>
      <c r="B2274" s="1" t="s">
        <v>692</v>
      </c>
      <c r="C2274" s="1" t="s">
        <v>894</v>
      </c>
      <c r="D2274" s="1" t="s">
        <v>895</v>
      </c>
      <c r="E2274" s="1" t="n">
        <v>20171</v>
      </c>
      <c r="F2274" s="1" t="s">
        <v>208</v>
      </c>
      <c r="G2274" s="1" t="s">
        <v>15</v>
      </c>
      <c r="H2274" s="1" t="n">
        <v>3.5</v>
      </c>
      <c r="I2274" s="1" t="n">
        <v>0</v>
      </c>
      <c r="J2274" s="1" t="n">
        <v>20201</v>
      </c>
      <c r="L2274" s="1" t="str">
        <f aca="false">IF(D2273&lt;&gt;D2274,D2274,"")</f>
        <v/>
      </c>
      <c r="M2274" s="1" t="str">
        <f aca="false">IF(F2273&lt;&gt;F2274,F2274,"")</f>
        <v/>
      </c>
    </row>
    <row r="2275" customFormat="false" ht="15" hidden="false" customHeight="false" outlineLevel="0" collapsed="false">
      <c r="A2275" s="1" t="s">
        <v>693</v>
      </c>
      <c r="B2275" s="1" t="s">
        <v>694</v>
      </c>
      <c r="C2275" s="1" t="s">
        <v>894</v>
      </c>
      <c r="D2275" s="1" t="s">
        <v>895</v>
      </c>
      <c r="E2275" s="1" t="n">
        <v>20171</v>
      </c>
      <c r="F2275" s="1" t="s">
        <v>208</v>
      </c>
      <c r="G2275" s="1" t="s">
        <v>15</v>
      </c>
      <c r="H2275" s="1" t="n">
        <v>3.5</v>
      </c>
      <c r="I2275" s="1" t="n">
        <v>0</v>
      </c>
      <c r="J2275" s="1" t="n">
        <v>20201</v>
      </c>
      <c r="L2275" s="1" t="str">
        <f aca="false">IF(D2274&lt;&gt;D2275,D2275,"")</f>
        <v/>
      </c>
      <c r="M2275" s="1" t="str">
        <f aca="false">IF(F2274&lt;&gt;F2275,F2275,"")</f>
        <v/>
      </c>
    </row>
    <row r="2276" customFormat="false" ht="15" hidden="false" customHeight="false" outlineLevel="0" collapsed="false">
      <c r="A2276" s="1" t="s">
        <v>695</v>
      </c>
      <c r="B2276" s="1" t="s">
        <v>696</v>
      </c>
      <c r="C2276" s="1" t="s">
        <v>894</v>
      </c>
      <c r="D2276" s="1" t="s">
        <v>895</v>
      </c>
      <c r="E2276" s="1" t="n">
        <v>20171</v>
      </c>
      <c r="F2276" s="1" t="s">
        <v>208</v>
      </c>
      <c r="G2276" s="1" t="s">
        <v>15</v>
      </c>
      <c r="H2276" s="1" t="n">
        <v>3.5</v>
      </c>
      <c r="I2276" s="1" t="n">
        <v>0</v>
      </c>
      <c r="J2276" s="1" t="n">
        <v>20201</v>
      </c>
      <c r="L2276" s="1" t="str">
        <f aca="false">IF(D2275&lt;&gt;D2276,D2276,"")</f>
        <v/>
      </c>
      <c r="M2276" s="1" t="str">
        <f aca="false">IF(F2275&lt;&gt;F2276,F2276,"")</f>
        <v/>
      </c>
    </row>
    <row r="2277" customFormat="false" ht="15" hidden="false" customHeight="false" outlineLevel="0" collapsed="false">
      <c r="A2277" s="1" t="s">
        <v>697</v>
      </c>
      <c r="B2277" s="1" t="s">
        <v>698</v>
      </c>
      <c r="C2277" s="1" t="s">
        <v>894</v>
      </c>
      <c r="D2277" s="1" t="s">
        <v>895</v>
      </c>
      <c r="E2277" s="1" t="n">
        <v>20171</v>
      </c>
      <c r="F2277" s="1" t="s">
        <v>208</v>
      </c>
      <c r="G2277" s="1" t="s">
        <v>18</v>
      </c>
      <c r="H2277" s="1" t="n">
        <v>3</v>
      </c>
      <c r="I2277" s="1" t="n">
        <v>0</v>
      </c>
      <c r="J2277" s="1" t="n">
        <v>20201</v>
      </c>
      <c r="L2277" s="1" t="str">
        <f aca="false">IF(D2276&lt;&gt;D2277,D2277,"")</f>
        <v/>
      </c>
      <c r="M2277" s="1" t="str">
        <f aca="false">IF(F2276&lt;&gt;F2277,F2277,"")</f>
        <v/>
      </c>
    </row>
    <row r="2278" customFormat="false" ht="15" hidden="false" customHeight="false" outlineLevel="0" collapsed="false">
      <c r="A2278" s="1" t="s">
        <v>699</v>
      </c>
      <c r="B2278" s="1" t="s">
        <v>700</v>
      </c>
      <c r="C2278" s="1" t="s">
        <v>894</v>
      </c>
      <c r="D2278" s="1" t="s">
        <v>895</v>
      </c>
      <c r="E2278" s="1" t="n">
        <v>20171</v>
      </c>
      <c r="F2278" s="1" t="s">
        <v>208</v>
      </c>
      <c r="G2278" s="1" t="s">
        <v>15</v>
      </c>
      <c r="H2278" s="1" t="n">
        <v>3.5</v>
      </c>
      <c r="I2278" s="1" t="n">
        <v>0</v>
      </c>
      <c r="J2278" s="1" t="n">
        <v>20201</v>
      </c>
      <c r="L2278" s="1" t="str">
        <f aca="false">IF(D2277&lt;&gt;D2278,D2278,"")</f>
        <v/>
      </c>
      <c r="M2278" s="1" t="str">
        <f aca="false">IF(F2277&lt;&gt;F2278,F2278,"")</f>
        <v/>
      </c>
    </row>
    <row r="2279" customFormat="false" ht="15" hidden="false" customHeight="false" outlineLevel="0" collapsed="false">
      <c r="A2279" s="1" t="s">
        <v>701</v>
      </c>
      <c r="B2279" s="1" t="s">
        <v>702</v>
      </c>
      <c r="C2279" s="1" t="s">
        <v>894</v>
      </c>
      <c r="D2279" s="1" t="s">
        <v>895</v>
      </c>
      <c r="E2279" s="1" t="n">
        <v>20171</v>
      </c>
      <c r="F2279" s="1" t="s">
        <v>208</v>
      </c>
      <c r="G2279" s="1" t="s">
        <v>18</v>
      </c>
      <c r="H2279" s="1" t="n">
        <v>3</v>
      </c>
      <c r="I2279" s="1" t="n">
        <v>0</v>
      </c>
      <c r="J2279" s="1" t="n">
        <v>20201</v>
      </c>
      <c r="L2279" s="1" t="str">
        <f aca="false">IF(D2278&lt;&gt;D2279,D2279,"")</f>
        <v/>
      </c>
      <c r="M2279" s="1" t="str">
        <f aca="false">IF(F2278&lt;&gt;F2279,F2279,"")</f>
        <v/>
      </c>
    </row>
    <row r="2280" customFormat="false" ht="15" hidden="false" customHeight="false" outlineLevel="0" collapsed="false">
      <c r="A2280" s="1" t="s">
        <v>703</v>
      </c>
      <c r="B2280" s="1" t="s">
        <v>704</v>
      </c>
      <c r="C2280" s="1" t="s">
        <v>894</v>
      </c>
      <c r="D2280" s="1" t="s">
        <v>895</v>
      </c>
      <c r="E2280" s="1" t="n">
        <v>20171</v>
      </c>
      <c r="F2280" s="1" t="s">
        <v>208</v>
      </c>
      <c r="G2280" s="1" t="s">
        <v>15</v>
      </c>
      <c r="H2280" s="1" t="n">
        <v>3.5</v>
      </c>
      <c r="I2280" s="1" t="n">
        <v>0</v>
      </c>
      <c r="J2280" s="1" t="n">
        <v>20201</v>
      </c>
      <c r="L2280" s="1" t="str">
        <f aca="false">IF(D2279&lt;&gt;D2280,D2280,"")</f>
        <v/>
      </c>
      <c r="M2280" s="1" t="str">
        <f aca="false">IF(F2279&lt;&gt;F2280,F2280,"")</f>
        <v/>
      </c>
    </row>
    <row r="2281" customFormat="false" ht="15" hidden="false" customHeight="false" outlineLevel="0" collapsed="false">
      <c r="A2281" s="1" t="s">
        <v>707</v>
      </c>
      <c r="B2281" s="1" t="s">
        <v>708</v>
      </c>
      <c r="C2281" s="1" t="s">
        <v>894</v>
      </c>
      <c r="D2281" s="1" t="s">
        <v>895</v>
      </c>
      <c r="E2281" s="1" t="n">
        <v>20171</v>
      </c>
      <c r="F2281" s="1" t="s">
        <v>208</v>
      </c>
      <c r="G2281" s="1" t="s">
        <v>18</v>
      </c>
      <c r="H2281" s="1" t="n">
        <v>3</v>
      </c>
      <c r="I2281" s="1" t="n">
        <v>0</v>
      </c>
      <c r="J2281" s="1" t="n">
        <v>20201</v>
      </c>
      <c r="L2281" s="1" t="str">
        <f aca="false">IF(D2280&lt;&gt;D2281,D2281,"")</f>
        <v/>
      </c>
      <c r="M2281" s="1" t="str">
        <f aca="false">IF(F2280&lt;&gt;F2281,F2281,"")</f>
        <v/>
      </c>
    </row>
    <row r="2282" customFormat="false" ht="15" hidden="false" customHeight="false" outlineLevel="0" collapsed="false">
      <c r="A2282" s="1" t="s">
        <v>709</v>
      </c>
      <c r="B2282" s="1" t="s">
        <v>710</v>
      </c>
      <c r="C2282" s="1" t="s">
        <v>894</v>
      </c>
      <c r="D2282" s="1" t="s">
        <v>895</v>
      </c>
      <c r="E2282" s="1" t="n">
        <v>20171</v>
      </c>
      <c r="F2282" s="1" t="s">
        <v>208</v>
      </c>
      <c r="G2282" s="1" t="s">
        <v>15</v>
      </c>
      <c r="H2282" s="1" t="n">
        <v>3.5</v>
      </c>
      <c r="I2282" s="1" t="n">
        <v>0</v>
      </c>
      <c r="J2282" s="1" t="n">
        <v>20201</v>
      </c>
      <c r="L2282" s="1" t="str">
        <f aca="false">IF(D2281&lt;&gt;D2282,D2282,"")</f>
        <v/>
      </c>
      <c r="M2282" s="1" t="str">
        <f aca="false">IF(F2281&lt;&gt;F2282,F2282,"")</f>
        <v/>
      </c>
    </row>
    <row r="2283" customFormat="false" ht="15" hidden="false" customHeight="false" outlineLevel="0" collapsed="false">
      <c r="A2283" s="1" t="s">
        <v>711</v>
      </c>
      <c r="B2283" s="1" t="s">
        <v>712</v>
      </c>
      <c r="C2283" s="1" t="s">
        <v>894</v>
      </c>
      <c r="D2283" s="1" t="s">
        <v>895</v>
      </c>
      <c r="E2283" s="1" t="n">
        <v>20171</v>
      </c>
      <c r="F2283" s="1" t="s">
        <v>208</v>
      </c>
      <c r="G2283" s="1" t="s">
        <v>15</v>
      </c>
      <c r="H2283" s="1" t="n">
        <v>3.5</v>
      </c>
      <c r="I2283" s="1" t="n">
        <v>0</v>
      </c>
      <c r="J2283" s="1" t="n">
        <v>20201</v>
      </c>
      <c r="L2283" s="1" t="str">
        <f aca="false">IF(D2282&lt;&gt;D2283,D2283,"")</f>
        <v/>
      </c>
      <c r="M2283" s="1" t="str">
        <f aca="false">IF(F2282&lt;&gt;F2283,F2283,"")</f>
        <v/>
      </c>
    </row>
    <row r="2284" customFormat="false" ht="15" hidden="false" customHeight="false" outlineLevel="0" collapsed="false">
      <c r="A2284" s="1" t="s">
        <v>713</v>
      </c>
      <c r="B2284" s="1" t="s">
        <v>714</v>
      </c>
      <c r="C2284" s="1" t="s">
        <v>894</v>
      </c>
      <c r="D2284" s="1" t="s">
        <v>895</v>
      </c>
      <c r="E2284" s="1" t="n">
        <v>20171</v>
      </c>
      <c r="F2284" s="1" t="s">
        <v>208</v>
      </c>
      <c r="G2284" s="1" t="s">
        <v>15</v>
      </c>
      <c r="H2284" s="1" t="n">
        <v>3.5</v>
      </c>
      <c r="I2284" s="1" t="n">
        <v>0</v>
      </c>
      <c r="J2284" s="1" t="n">
        <v>20201</v>
      </c>
      <c r="L2284" s="1" t="str">
        <f aca="false">IF(D2283&lt;&gt;D2284,D2284,"")</f>
        <v/>
      </c>
      <c r="M2284" s="1" t="str">
        <f aca="false">IF(F2283&lt;&gt;F2284,F2284,"")</f>
        <v/>
      </c>
    </row>
    <row r="2285" customFormat="false" ht="15" hidden="false" customHeight="false" outlineLevel="0" collapsed="false">
      <c r="A2285" s="1" t="s">
        <v>715</v>
      </c>
      <c r="B2285" s="1" t="s">
        <v>716</v>
      </c>
      <c r="C2285" s="1" t="s">
        <v>894</v>
      </c>
      <c r="D2285" s="1" t="s">
        <v>895</v>
      </c>
      <c r="E2285" s="1" t="n">
        <v>20171</v>
      </c>
      <c r="F2285" s="1" t="s">
        <v>208</v>
      </c>
      <c r="G2285" s="1" t="s">
        <v>15</v>
      </c>
      <c r="H2285" s="1" t="n">
        <v>3.5</v>
      </c>
      <c r="I2285" s="1" t="n">
        <v>0</v>
      </c>
      <c r="J2285" s="1" t="n">
        <v>20201</v>
      </c>
      <c r="L2285" s="1" t="str">
        <f aca="false">IF(D2284&lt;&gt;D2285,D2285,"")</f>
        <v/>
      </c>
      <c r="M2285" s="1" t="str">
        <f aca="false">IF(F2284&lt;&gt;F2285,F2285,"")</f>
        <v/>
      </c>
    </row>
    <row r="2286" customFormat="false" ht="15" hidden="false" customHeight="false" outlineLevel="0" collapsed="false">
      <c r="A2286" s="1" t="s">
        <v>717</v>
      </c>
      <c r="B2286" s="1" t="s">
        <v>718</v>
      </c>
      <c r="C2286" s="1" t="s">
        <v>894</v>
      </c>
      <c r="D2286" s="1" t="s">
        <v>895</v>
      </c>
      <c r="E2286" s="1" t="n">
        <v>20171</v>
      </c>
      <c r="F2286" s="1" t="s">
        <v>208</v>
      </c>
      <c r="G2286" s="1" t="s">
        <v>15</v>
      </c>
      <c r="H2286" s="1" t="n">
        <v>3.5</v>
      </c>
      <c r="I2286" s="1" t="n">
        <v>0</v>
      </c>
      <c r="J2286" s="1" t="n">
        <v>20201</v>
      </c>
      <c r="L2286" s="1" t="str">
        <f aca="false">IF(D2285&lt;&gt;D2286,D2286,"")</f>
        <v/>
      </c>
      <c r="M2286" s="1" t="str">
        <f aca="false">IF(F2285&lt;&gt;F2286,F2286,"")</f>
        <v/>
      </c>
    </row>
    <row r="2287" customFormat="false" ht="15" hidden="false" customHeight="false" outlineLevel="0" collapsed="false">
      <c r="A2287" s="1" t="s">
        <v>719</v>
      </c>
      <c r="B2287" s="1" t="s">
        <v>720</v>
      </c>
      <c r="C2287" s="1" t="s">
        <v>894</v>
      </c>
      <c r="D2287" s="1" t="s">
        <v>895</v>
      </c>
      <c r="E2287" s="1" t="n">
        <v>20171</v>
      </c>
      <c r="F2287" s="1" t="s">
        <v>208</v>
      </c>
      <c r="G2287" s="1" t="s">
        <v>15</v>
      </c>
      <c r="H2287" s="1" t="n">
        <v>3.5</v>
      </c>
      <c r="I2287" s="1" t="n">
        <v>0</v>
      </c>
      <c r="J2287" s="1" t="n">
        <v>20201</v>
      </c>
      <c r="L2287" s="1" t="str">
        <f aca="false">IF(D2286&lt;&gt;D2287,D2287,"")</f>
        <v/>
      </c>
      <c r="M2287" s="1" t="str">
        <f aca="false">IF(F2286&lt;&gt;F2287,F2287,"")</f>
        <v/>
      </c>
    </row>
    <row r="2288" customFormat="false" ht="15" hidden="false" customHeight="false" outlineLevel="0" collapsed="false">
      <c r="A2288" s="1" t="s">
        <v>663</v>
      </c>
      <c r="B2288" s="1" t="s">
        <v>664</v>
      </c>
      <c r="C2288" s="1" t="s">
        <v>894</v>
      </c>
      <c r="D2288" s="1" t="s">
        <v>895</v>
      </c>
      <c r="E2288" s="1" t="n">
        <v>20171</v>
      </c>
      <c r="F2288" s="1" t="s">
        <v>208</v>
      </c>
      <c r="G2288" s="1" t="s">
        <v>15</v>
      </c>
      <c r="H2288" s="1" t="n">
        <v>3.5</v>
      </c>
      <c r="I2288" s="1" t="n">
        <v>0</v>
      </c>
      <c r="J2288" s="1" t="n">
        <v>20201</v>
      </c>
      <c r="L2288" s="1" t="str">
        <f aca="false">IF(D2287&lt;&gt;D2288,D2288,"")</f>
        <v/>
      </c>
      <c r="M2288" s="1" t="str">
        <f aca="false">IF(F2287&lt;&gt;F2288,F2288,"")</f>
        <v/>
      </c>
    </row>
    <row r="2289" customFormat="false" ht="15" hidden="false" customHeight="false" outlineLevel="0" collapsed="false">
      <c r="A2289" s="1" t="s">
        <v>721</v>
      </c>
      <c r="B2289" s="1" t="s">
        <v>722</v>
      </c>
      <c r="C2289" s="1" t="s">
        <v>894</v>
      </c>
      <c r="D2289" s="1" t="s">
        <v>895</v>
      </c>
      <c r="E2289" s="1" t="n">
        <v>20171</v>
      </c>
      <c r="F2289" s="1" t="s">
        <v>208</v>
      </c>
      <c r="G2289" s="1" t="s">
        <v>15</v>
      </c>
      <c r="H2289" s="1" t="n">
        <v>3.5</v>
      </c>
      <c r="I2289" s="1" t="n">
        <v>0</v>
      </c>
      <c r="J2289" s="1" t="n">
        <v>20201</v>
      </c>
      <c r="L2289" s="1" t="str">
        <f aca="false">IF(D2288&lt;&gt;D2289,D2289,"")</f>
        <v/>
      </c>
      <c r="M2289" s="1" t="str">
        <f aca="false">IF(F2288&lt;&gt;F2289,F2289,"")</f>
        <v/>
      </c>
    </row>
    <row r="2290" customFormat="false" ht="15" hidden="false" customHeight="false" outlineLevel="0" collapsed="false">
      <c r="A2290" s="1" t="s">
        <v>665</v>
      </c>
      <c r="B2290" s="1" t="s">
        <v>666</v>
      </c>
      <c r="C2290" s="1" t="s">
        <v>894</v>
      </c>
      <c r="D2290" s="1" t="s">
        <v>895</v>
      </c>
      <c r="E2290" s="1" t="n">
        <v>20171</v>
      </c>
      <c r="F2290" s="1" t="s">
        <v>208</v>
      </c>
      <c r="G2290" s="1" t="s">
        <v>15</v>
      </c>
      <c r="H2290" s="1" t="n">
        <v>3.5</v>
      </c>
      <c r="I2290" s="1" t="n">
        <v>0</v>
      </c>
      <c r="J2290" s="1" t="n">
        <v>20201</v>
      </c>
      <c r="L2290" s="1" t="str">
        <f aca="false">IF(D2289&lt;&gt;D2290,D2290,"")</f>
        <v/>
      </c>
      <c r="M2290" s="1" t="str">
        <f aca="false">IF(F2289&lt;&gt;F2290,F2290,"")</f>
        <v/>
      </c>
    </row>
    <row r="2291" customFormat="false" ht="15" hidden="false" customHeight="false" outlineLevel="0" collapsed="false">
      <c r="A2291" s="1" t="s">
        <v>723</v>
      </c>
      <c r="B2291" s="1" t="s">
        <v>724</v>
      </c>
      <c r="C2291" s="1" t="s">
        <v>894</v>
      </c>
      <c r="D2291" s="1" t="s">
        <v>895</v>
      </c>
      <c r="E2291" s="1" t="n">
        <v>20171</v>
      </c>
      <c r="F2291" s="1" t="s">
        <v>208</v>
      </c>
      <c r="G2291" s="1" t="s">
        <v>15</v>
      </c>
      <c r="H2291" s="1" t="n">
        <v>3.5</v>
      </c>
      <c r="I2291" s="1" t="n">
        <v>0</v>
      </c>
      <c r="J2291" s="1" t="n">
        <v>20201</v>
      </c>
      <c r="L2291" s="1" t="str">
        <f aca="false">IF(D2290&lt;&gt;D2291,D2291,"")</f>
        <v/>
      </c>
      <c r="M2291" s="1" t="str">
        <f aca="false">IF(F2290&lt;&gt;F2291,F2291,"")</f>
        <v/>
      </c>
    </row>
    <row r="2292" customFormat="false" ht="15" hidden="false" customHeight="false" outlineLevel="0" collapsed="false">
      <c r="A2292" s="1" t="s">
        <v>725</v>
      </c>
      <c r="B2292" s="1" t="s">
        <v>726</v>
      </c>
      <c r="C2292" s="1" t="s">
        <v>894</v>
      </c>
      <c r="D2292" s="1" t="s">
        <v>895</v>
      </c>
      <c r="E2292" s="1" t="n">
        <v>20171</v>
      </c>
      <c r="F2292" s="1" t="s">
        <v>208</v>
      </c>
      <c r="G2292" s="1" t="s">
        <v>15</v>
      </c>
      <c r="H2292" s="1" t="n">
        <v>3.5</v>
      </c>
      <c r="I2292" s="1" t="n">
        <v>0</v>
      </c>
      <c r="J2292" s="1" t="n">
        <v>20201</v>
      </c>
      <c r="L2292" s="1" t="str">
        <f aca="false">IF(D2291&lt;&gt;D2292,D2292,"")</f>
        <v/>
      </c>
      <c r="M2292" s="1" t="str">
        <f aca="false">IF(F2291&lt;&gt;F2292,F2292,"")</f>
        <v/>
      </c>
    </row>
    <row r="2293" customFormat="false" ht="15" hidden="false" customHeight="false" outlineLevel="0" collapsed="false">
      <c r="A2293" s="1" t="s">
        <v>854</v>
      </c>
      <c r="B2293" s="1" t="s">
        <v>855</v>
      </c>
      <c r="C2293" s="1" t="s">
        <v>894</v>
      </c>
      <c r="D2293" s="1" t="s">
        <v>895</v>
      </c>
      <c r="E2293" s="1" t="n">
        <v>20171</v>
      </c>
      <c r="F2293" s="1" t="s">
        <v>208</v>
      </c>
      <c r="G2293" s="1" t="s">
        <v>23</v>
      </c>
      <c r="H2293" s="1" t="n">
        <v>0</v>
      </c>
      <c r="I2293" s="1" t="n">
        <v>0</v>
      </c>
      <c r="J2293" s="1" t="n">
        <v>20201</v>
      </c>
      <c r="L2293" s="1" t="str">
        <f aca="false">IF(D2292&lt;&gt;D2293,D2293,"")</f>
        <v/>
      </c>
      <c r="M2293" s="1" t="str">
        <f aca="false">IF(F2292&lt;&gt;F2293,F2293,"")</f>
        <v/>
      </c>
    </row>
    <row r="2294" customFormat="false" ht="15" hidden="false" customHeight="false" outlineLevel="0" collapsed="false">
      <c r="A2294" s="1" t="s">
        <v>785</v>
      </c>
      <c r="B2294" s="1" t="s">
        <v>786</v>
      </c>
      <c r="C2294" s="1" t="s">
        <v>896</v>
      </c>
      <c r="D2294" s="1" t="s">
        <v>897</v>
      </c>
      <c r="E2294" s="1" t="n">
        <v>20171</v>
      </c>
      <c r="F2294" s="1" t="s">
        <v>208</v>
      </c>
      <c r="G2294" s="1" t="s">
        <v>18</v>
      </c>
      <c r="H2294" s="1" t="n">
        <v>3</v>
      </c>
      <c r="I2294" s="1" t="n">
        <v>0</v>
      </c>
      <c r="J2294" s="1" t="n">
        <v>20201</v>
      </c>
      <c r="L2294" s="1" t="str">
        <f aca="false">IF(D2293&lt;&gt;D2294,D2294,"")</f>
        <v>PRAKTIKUM JARINGAN KOMPUTER</v>
      </c>
      <c r="M2294" s="1" t="str">
        <f aca="false">IF(F2293&lt;&gt;F2294,F2294,"")</f>
        <v/>
      </c>
    </row>
    <row r="2295" customFormat="false" ht="15" hidden="false" customHeight="false" outlineLevel="0" collapsed="false">
      <c r="A2295" s="1" t="s">
        <v>525</v>
      </c>
      <c r="B2295" s="1" t="s">
        <v>526</v>
      </c>
      <c r="C2295" s="1" t="s">
        <v>896</v>
      </c>
      <c r="D2295" s="1" t="s">
        <v>897</v>
      </c>
      <c r="E2295" s="1" t="n">
        <v>20171</v>
      </c>
      <c r="F2295" s="1" t="s">
        <v>208</v>
      </c>
      <c r="G2295" s="1" t="s">
        <v>15</v>
      </c>
      <c r="H2295" s="1" t="n">
        <v>3.5</v>
      </c>
      <c r="I2295" s="1" t="n">
        <v>0</v>
      </c>
      <c r="J2295" s="1" t="n">
        <v>20201</v>
      </c>
      <c r="L2295" s="1" t="str">
        <f aca="false">IF(D2294&lt;&gt;D2295,D2295,"")</f>
        <v/>
      </c>
      <c r="M2295" s="1" t="str">
        <f aca="false">IF(F2294&lt;&gt;F2295,F2295,"")</f>
        <v/>
      </c>
    </row>
    <row r="2296" customFormat="false" ht="15" hidden="false" customHeight="false" outlineLevel="0" collapsed="false">
      <c r="A2296" s="1" t="s">
        <v>802</v>
      </c>
      <c r="B2296" s="1" t="s">
        <v>803</v>
      </c>
      <c r="C2296" s="1" t="s">
        <v>896</v>
      </c>
      <c r="D2296" s="1" t="s">
        <v>897</v>
      </c>
      <c r="E2296" s="1" t="n">
        <v>20171</v>
      </c>
      <c r="F2296" s="1" t="s">
        <v>208</v>
      </c>
      <c r="G2296" s="1" t="s">
        <v>15</v>
      </c>
      <c r="H2296" s="1" t="n">
        <v>3.5</v>
      </c>
      <c r="I2296" s="1" t="n">
        <v>0</v>
      </c>
      <c r="J2296" s="1" t="n">
        <v>20201</v>
      </c>
      <c r="L2296" s="1" t="str">
        <f aca="false">IF(D2295&lt;&gt;D2296,D2296,"")</f>
        <v/>
      </c>
      <c r="M2296" s="1" t="str">
        <f aca="false">IF(F2295&lt;&gt;F2296,F2296,"")</f>
        <v/>
      </c>
    </row>
    <row r="2297" customFormat="false" ht="15" hidden="false" customHeight="false" outlineLevel="0" collapsed="false">
      <c r="A2297" s="1" t="s">
        <v>844</v>
      </c>
      <c r="B2297" s="1" t="s">
        <v>845</v>
      </c>
      <c r="C2297" s="1" t="s">
        <v>896</v>
      </c>
      <c r="D2297" s="1" t="s">
        <v>897</v>
      </c>
      <c r="E2297" s="1" t="n">
        <v>20171</v>
      </c>
      <c r="F2297" s="1" t="s">
        <v>208</v>
      </c>
      <c r="G2297" s="1" t="s">
        <v>18</v>
      </c>
      <c r="H2297" s="1" t="n">
        <v>3</v>
      </c>
      <c r="I2297" s="1" t="n">
        <v>0</v>
      </c>
      <c r="J2297" s="1" t="n">
        <v>20201</v>
      </c>
      <c r="L2297" s="1" t="str">
        <f aca="false">IF(D2296&lt;&gt;D2297,D2297,"")</f>
        <v/>
      </c>
      <c r="M2297" s="1" t="str">
        <f aca="false">IF(F2296&lt;&gt;F2297,F2297,"")</f>
        <v/>
      </c>
    </row>
    <row r="2298" customFormat="false" ht="15" hidden="false" customHeight="false" outlineLevel="0" collapsed="false">
      <c r="A2298" s="1" t="s">
        <v>623</v>
      </c>
      <c r="B2298" s="1" t="s">
        <v>624</v>
      </c>
      <c r="C2298" s="1" t="s">
        <v>896</v>
      </c>
      <c r="D2298" s="1" t="s">
        <v>897</v>
      </c>
      <c r="E2298" s="1" t="n">
        <v>20171</v>
      </c>
      <c r="F2298" s="1" t="s">
        <v>208</v>
      </c>
      <c r="G2298" s="1" t="s">
        <v>18</v>
      </c>
      <c r="H2298" s="1" t="n">
        <v>3</v>
      </c>
      <c r="I2298" s="1" t="n">
        <v>0</v>
      </c>
      <c r="J2298" s="1" t="n">
        <v>20201</v>
      </c>
      <c r="L2298" s="1" t="str">
        <f aca="false">IF(D2297&lt;&gt;D2298,D2298,"")</f>
        <v/>
      </c>
      <c r="M2298" s="1" t="str">
        <f aca="false">IF(F2297&lt;&gt;F2298,F2298,"")</f>
        <v/>
      </c>
    </row>
    <row r="2299" customFormat="false" ht="15" hidden="false" customHeight="false" outlineLevel="0" collapsed="false">
      <c r="A2299" s="1" t="s">
        <v>587</v>
      </c>
      <c r="B2299" s="1" t="s">
        <v>588</v>
      </c>
      <c r="C2299" s="1" t="s">
        <v>896</v>
      </c>
      <c r="D2299" s="1" t="s">
        <v>897</v>
      </c>
      <c r="E2299" s="1" t="n">
        <v>20171</v>
      </c>
      <c r="F2299" s="1" t="s">
        <v>208</v>
      </c>
      <c r="G2299" s="1" t="s">
        <v>18</v>
      </c>
      <c r="H2299" s="1" t="n">
        <v>3</v>
      </c>
      <c r="I2299" s="1" t="n">
        <v>0</v>
      </c>
      <c r="J2299" s="1" t="n">
        <v>20201</v>
      </c>
      <c r="L2299" s="1" t="str">
        <f aca="false">IF(D2298&lt;&gt;D2299,D2299,"")</f>
        <v/>
      </c>
      <c r="M2299" s="1" t="str">
        <f aca="false">IF(F2298&lt;&gt;F2299,F2299,"")</f>
        <v/>
      </c>
    </row>
    <row r="2300" customFormat="false" ht="15" hidden="false" customHeight="false" outlineLevel="0" collapsed="false">
      <c r="A2300" s="1" t="s">
        <v>814</v>
      </c>
      <c r="B2300" s="1" t="s">
        <v>815</v>
      </c>
      <c r="C2300" s="1" t="s">
        <v>896</v>
      </c>
      <c r="D2300" s="1" t="s">
        <v>897</v>
      </c>
      <c r="E2300" s="1" t="n">
        <v>20171</v>
      </c>
      <c r="F2300" s="1" t="s">
        <v>208</v>
      </c>
      <c r="G2300" s="1" t="s">
        <v>15</v>
      </c>
      <c r="H2300" s="1" t="n">
        <v>3.5</v>
      </c>
      <c r="I2300" s="1" t="n">
        <v>0</v>
      </c>
      <c r="J2300" s="1" t="n">
        <v>20201</v>
      </c>
      <c r="L2300" s="1" t="str">
        <f aca="false">IF(D2299&lt;&gt;D2300,D2300,"")</f>
        <v/>
      </c>
      <c r="M2300" s="1" t="str">
        <f aca="false">IF(F2299&lt;&gt;F2300,F2300,"")</f>
        <v/>
      </c>
    </row>
    <row r="2301" customFormat="false" ht="15" hidden="false" customHeight="false" outlineLevel="0" collapsed="false">
      <c r="A2301" s="1" t="s">
        <v>512</v>
      </c>
      <c r="B2301" s="1" t="s">
        <v>513</v>
      </c>
      <c r="C2301" s="1" t="s">
        <v>896</v>
      </c>
      <c r="D2301" s="1" t="s">
        <v>897</v>
      </c>
      <c r="E2301" s="1" t="n">
        <v>20171</v>
      </c>
      <c r="F2301" s="1" t="s">
        <v>208</v>
      </c>
      <c r="G2301" s="1" t="s">
        <v>18</v>
      </c>
      <c r="H2301" s="1" t="n">
        <v>3</v>
      </c>
      <c r="I2301" s="1" t="n">
        <v>0</v>
      </c>
      <c r="J2301" s="1" t="n">
        <v>20201</v>
      </c>
      <c r="L2301" s="1" t="str">
        <f aca="false">IF(D2300&lt;&gt;D2301,D2301,"")</f>
        <v/>
      </c>
      <c r="M2301" s="1" t="str">
        <f aca="false">IF(F2300&lt;&gt;F2301,F2301,"")</f>
        <v/>
      </c>
    </row>
    <row r="2302" customFormat="false" ht="15" hidden="false" customHeight="false" outlineLevel="0" collapsed="false">
      <c r="A2302" s="1" t="s">
        <v>818</v>
      </c>
      <c r="B2302" s="1" t="s">
        <v>819</v>
      </c>
      <c r="C2302" s="1" t="s">
        <v>896</v>
      </c>
      <c r="D2302" s="1" t="s">
        <v>897</v>
      </c>
      <c r="E2302" s="1" t="n">
        <v>20171</v>
      </c>
      <c r="F2302" s="1" t="s">
        <v>208</v>
      </c>
      <c r="G2302" s="1" t="s">
        <v>18</v>
      </c>
      <c r="H2302" s="1" t="n">
        <v>3</v>
      </c>
      <c r="I2302" s="1" t="n">
        <v>0</v>
      </c>
      <c r="J2302" s="1" t="n">
        <v>20201</v>
      </c>
      <c r="L2302" s="1" t="str">
        <f aca="false">IF(D2301&lt;&gt;D2302,D2302,"")</f>
        <v/>
      </c>
      <c r="M2302" s="1" t="str">
        <f aca="false">IF(F2301&lt;&gt;F2302,F2302,"")</f>
        <v/>
      </c>
    </row>
    <row r="2303" customFormat="false" ht="15" hidden="false" customHeight="false" outlineLevel="0" collapsed="false">
      <c r="A2303" s="1" t="s">
        <v>673</v>
      </c>
      <c r="B2303" s="1" t="s">
        <v>674</v>
      </c>
      <c r="C2303" s="1" t="s">
        <v>896</v>
      </c>
      <c r="D2303" s="1" t="s">
        <v>897</v>
      </c>
      <c r="E2303" s="1" t="n">
        <v>20171</v>
      </c>
      <c r="F2303" s="1" t="s">
        <v>208</v>
      </c>
      <c r="G2303" s="1" t="s">
        <v>18</v>
      </c>
      <c r="H2303" s="1" t="n">
        <v>3</v>
      </c>
      <c r="I2303" s="1" t="n">
        <v>0</v>
      </c>
      <c r="J2303" s="1" t="n">
        <v>20201</v>
      </c>
      <c r="L2303" s="1" t="str">
        <f aca="false">IF(D2302&lt;&gt;D2303,D2303,"")</f>
        <v/>
      </c>
      <c r="M2303" s="1" t="str">
        <f aca="false">IF(F2302&lt;&gt;F2303,F2303,"")</f>
        <v/>
      </c>
    </row>
    <row r="2304" customFormat="false" ht="15" hidden="false" customHeight="false" outlineLevel="0" collapsed="false">
      <c r="A2304" s="1" t="s">
        <v>527</v>
      </c>
      <c r="B2304" s="1" t="s">
        <v>528</v>
      </c>
      <c r="C2304" s="1" t="s">
        <v>896</v>
      </c>
      <c r="D2304" s="1" t="s">
        <v>897</v>
      </c>
      <c r="E2304" s="1" t="n">
        <v>20171</v>
      </c>
      <c r="F2304" s="1" t="s">
        <v>208</v>
      </c>
      <c r="G2304" s="1" t="s">
        <v>18</v>
      </c>
      <c r="H2304" s="1" t="n">
        <v>3</v>
      </c>
      <c r="I2304" s="1" t="n">
        <v>0</v>
      </c>
      <c r="J2304" s="1" t="n">
        <v>20201</v>
      </c>
      <c r="L2304" s="1" t="str">
        <f aca="false">IF(D2303&lt;&gt;D2304,D2304,"")</f>
        <v/>
      </c>
      <c r="M2304" s="1" t="str">
        <f aca="false">IF(F2303&lt;&gt;F2304,F2304,"")</f>
        <v/>
      </c>
    </row>
    <row r="2305" customFormat="false" ht="15" hidden="false" customHeight="false" outlineLevel="0" collapsed="false">
      <c r="A2305" s="1" t="s">
        <v>820</v>
      </c>
      <c r="B2305" s="1" t="s">
        <v>821</v>
      </c>
      <c r="C2305" s="1" t="s">
        <v>896</v>
      </c>
      <c r="D2305" s="1" t="s">
        <v>897</v>
      </c>
      <c r="E2305" s="1" t="n">
        <v>20171</v>
      </c>
      <c r="F2305" s="1" t="s">
        <v>208</v>
      </c>
      <c r="G2305" s="1" t="s">
        <v>18</v>
      </c>
      <c r="H2305" s="1" t="n">
        <v>3</v>
      </c>
      <c r="I2305" s="1" t="n">
        <v>0</v>
      </c>
      <c r="J2305" s="1" t="n">
        <v>20201</v>
      </c>
      <c r="L2305" s="1" t="str">
        <f aca="false">IF(D2304&lt;&gt;D2305,D2305,"")</f>
        <v/>
      </c>
      <c r="M2305" s="1" t="str">
        <f aca="false">IF(F2304&lt;&gt;F2305,F2305,"")</f>
        <v/>
      </c>
    </row>
    <row r="2306" customFormat="false" ht="15" hidden="false" customHeight="false" outlineLevel="0" collapsed="false">
      <c r="A2306" s="1" t="s">
        <v>659</v>
      </c>
      <c r="B2306" s="1" t="s">
        <v>660</v>
      </c>
      <c r="C2306" s="1" t="s">
        <v>896</v>
      </c>
      <c r="D2306" s="1" t="s">
        <v>897</v>
      </c>
      <c r="E2306" s="1" t="n">
        <v>20171</v>
      </c>
      <c r="F2306" s="1" t="s">
        <v>208</v>
      </c>
      <c r="G2306" s="1" t="s">
        <v>18</v>
      </c>
      <c r="H2306" s="1" t="n">
        <v>3</v>
      </c>
      <c r="I2306" s="1" t="n">
        <v>0</v>
      </c>
      <c r="J2306" s="1" t="n">
        <v>20201</v>
      </c>
      <c r="L2306" s="1" t="str">
        <f aca="false">IF(D2305&lt;&gt;D2306,D2306,"")</f>
        <v/>
      </c>
      <c r="M2306" s="1" t="str">
        <f aca="false">IF(F2305&lt;&gt;F2306,F2306,"")</f>
        <v/>
      </c>
    </row>
    <row r="2307" customFormat="false" ht="15" hidden="false" customHeight="false" outlineLevel="0" collapsed="false">
      <c r="A2307" s="1" t="s">
        <v>629</v>
      </c>
      <c r="B2307" s="1" t="s">
        <v>630</v>
      </c>
      <c r="C2307" s="1" t="s">
        <v>896</v>
      </c>
      <c r="D2307" s="1" t="s">
        <v>897</v>
      </c>
      <c r="E2307" s="1" t="n">
        <v>20171</v>
      </c>
      <c r="F2307" s="1" t="s">
        <v>208</v>
      </c>
      <c r="G2307" s="1" t="s">
        <v>18</v>
      </c>
      <c r="H2307" s="1" t="n">
        <v>3</v>
      </c>
      <c r="I2307" s="1" t="n">
        <v>0</v>
      </c>
      <c r="J2307" s="1" t="n">
        <v>20201</v>
      </c>
      <c r="L2307" s="1" t="str">
        <f aca="false">IF(D2306&lt;&gt;D2307,D2307,"")</f>
        <v/>
      </c>
      <c r="M2307" s="1" t="str">
        <f aca="false">IF(F2306&lt;&gt;F2307,F2307,"")</f>
        <v/>
      </c>
    </row>
    <row r="2308" customFormat="false" ht="15" hidden="false" customHeight="false" outlineLevel="0" collapsed="false">
      <c r="A2308" s="1" t="s">
        <v>631</v>
      </c>
      <c r="B2308" s="1" t="s">
        <v>632</v>
      </c>
      <c r="C2308" s="1" t="s">
        <v>896</v>
      </c>
      <c r="D2308" s="1" t="s">
        <v>897</v>
      </c>
      <c r="E2308" s="1" t="n">
        <v>20171</v>
      </c>
      <c r="F2308" s="1" t="s">
        <v>208</v>
      </c>
      <c r="G2308" s="1" t="s">
        <v>18</v>
      </c>
      <c r="H2308" s="1" t="n">
        <v>3</v>
      </c>
      <c r="I2308" s="1" t="n">
        <v>0</v>
      </c>
      <c r="J2308" s="1" t="n">
        <v>20201</v>
      </c>
      <c r="L2308" s="1" t="str">
        <f aca="false">IF(D2307&lt;&gt;D2308,D2308,"")</f>
        <v/>
      </c>
      <c r="M2308" s="1" t="str">
        <f aca="false">IF(F2307&lt;&gt;F2308,F2308,"")</f>
        <v/>
      </c>
    </row>
    <row r="2309" customFormat="false" ht="15" hidden="false" customHeight="false" outlineLevel="0" collapsed="false">
      <c r="A2309" s="1" t="s">
        <v>615</v>
      </c>
      <c r="B2309" s="1" t="s">
        <v>616</v>
      </c>
      <c r="C2309" s="1" t="s">
        <v>896</v>
      </c>
      <c r="D2309" s="1" t="s">
        <v>897</v>
      </c>
      <c r="E2309" s="1" t="n">
        <v>20171</v>
      </c>
      <c r="F2309" s="1" t="s">
        <v>208</v>
      </c>
      <c r="G2309" s="1" t="s">
        <v>15</v>
      </c>
      <c r="H2309" s="1" t="n">
        <v>3.5</v>
      </c>
      <c r="I2309" s="1" t="n">
        <v>0</v>
      </c>
      <c r="J2309" s="1" t="n">
        <v>20201</v>
      </c>
      <c r="L2309" s="1" t="str">
        <f aca="false">IF(D2308&lt;&gt;D2309,D2309,"")</f>
        <v/>
      </c>
      <c r="M2309" s="1" t="str">
        <f aca="false">IF(F2308&lt;&gt;F2309,F2309,"")</f>
        <v/>
      </c>
    </row>
    <row r="2310" customFormat="false" ht="15" hidden="false" customHeight="false" outlineLevel="0" collapsed="false">
      <c r="A2310" s="1" t="s">
        <v>824</v>
      </c>
      <c r="B2310" s="1" t="s">
        <v>825</v>
      </c>
      <c r="C2310" s="1" t="s">
        <v>896</v>
      </c>
      <c r="D2310" s="1" t="s">
        <v>897</v>
      </c>
      <c r="E2310" s="1" t="n">
        <v>20171</v>
      </c>
      <c r="F2310" s="1" t="s">
        <v>208</v>
      </c>
      <c r="G2310" s="1" t="s">
        <v>15</v>
      </c>
      <c r="H2310" s="1" t="n">
        <v>3.5</v>
      </c>
      <c r="I2310" s="1" t="n">
        <v>0</v>
      </c>
      <c r="J2310" s="1" t="n">
        <v>20201</v>
      </c>
      <c r="L2310" s="1" t="str">
        <f aca="false">IF(D2309&lt;&gt;D2310,D2310,"")</f>
        <v/>
      </c>
      <c r="M2310" s="1" t="str">
        <f aca="false">IF(F2309&lt;&gt;F2310,F2310,"")</f>
        <v/>
      </c>
    </row>
    <row r="2311" customFormat="false" ht="15" hidden="false" customHeight="false" outlineLevel="0" collapsed="false">
      <c r="A2311" s="1" t="s">
        <v>635</v>
      </c>
      <c r="B2311" s="1" t="s">
        <v>636</v>
      </c>
      <c r="C2311" s="1" t="s">
        <v>898</v>
      </c>
      <c r="D2311" s="1" t="s">
        <v>899</v>
      </c>
      <c r="E2311" s="1" t="n">
        <v>20171</v>
      </c>
      <c r="F2311" s="1" t="s">
        <v>208</v>
      </c>
      <c r="G2311" s="1" t="s">
        <v>23</v>
      </c>
      <c r="H2311" s="1" t="n">
        <v>0</v>
      </c>
      <c r="I2311" s="1" t="n">
        <v>0</v>
      </c>
      <c r="J2311" s="1" t="n">
        <v>20201</v>
      </c>
      <c r="L2311" s="1" t="str">
        <f aca="false">IF(D2310&lt;&gt;D2311,D2311,"")</f>
        <v>PRAKTIKUM PENGOLAHAN SINYAL DIGITAL</v>
      </c>
      <c r="M2311" s="1" t="str">
        <f aca="false">IF(F2310&lt;&gt;F2311,F2311,"")</f>
        <v/>
      </c>
    </row>
    <row r="2312" customFormat="false" ht="15" hidden="false" customHeight="false" outlineLevel="0" collapsed="false">
      <c r="A2312" s="1" t="s">
        <v>790</v>
      </c>
      <c r="B2312" s="1" t="s">
        <v>791</v>
      </c>
      <c r="C2312" s="1" t="s">
        <v>898</v>
      </c>
      <c r="D2312" s="1" t="s">
        <v>899</v>
      </c>
      <c r="E2312" s="1" t="n">
        <v>20171</v>
      </c>
      <c r="F2312" s="1" t="s">
        <v>208</v>
      </c>
      <c r="G2312" s="1" t="s">
        <v>18</v>
      </c>
      <c r="H2312" s="1" t="n">
        <v>3</v>
      </c>
      <c r="I2312" s="1" t="n">
        <v>0</v>
      </c>
      <c r="J2312" s="1" t="n">
        <v>20201</v>
      </c>
      <c r="L2312" s="1" t="str">
        <f aca="false">IF(D2311&lt;&gt;D2312,D2312,"")</f>
        <v/>
      </c>
      <c r="M2312" s="1" t="str">
        <f aca="false">IF(F2311&lt;&gt;F2312,F2312,"")</f>
        <v/>
      </c>
    </row>
    <row r="2313" customFormat="false" ht="15" hidden="false" customHeight="false" outlineLevel="0" collapsed="false">
      <c r="A2313" s="1" t="s">
        <v>759</v>
      </c>
      <c r="B2313" s="1" t="s">
        <v>760</v>
      </c>
      <c r="C2313" s="1" t="s">
        <v>898</v>
      </c>
      <c r="D2313" s="1" t="s">
        <v>899</v>
      </c>
      <c r="E2313" s="1" t="n">
        <v>20171</v>
      </c>
      <c r="F2313" s="1" t="s">
        <v>208</v>
      </c>
      <c r="G2313" s="1" t="s">
        <v>18</v>
      </c>
      <c r="H2313" s="1" t="n">
        <v>3</v>
      </c>
      <c r="I2313" s="1" t="n">
        <v>0</v>
      </c>
      <c r="J2313" s="1" t="n">
        <v>20201</v>
      </c>
      <c r="L2313" s="1" t="str">
        <f aca="false">IF(D2312&lt;&gt;D2313,D2313,"")</f>
        <v/>
      </c>
      <c r="M2313" s="1" t="str">
        <f aca="false">IF(F2312&lt;&gt;F2313,F2313,"")</f>
        <v/>
      </c>
    </row>
    <row r="2314" customFormat="false" ht="15" hidden="false" customHeight="false" outlineLevel="0" collapsed="false">
      <c r="A2314" s="1" t="s">
        <v>800</v>
      </c>
      <c r="B2314" s="1" t="s">
        <v>801</v>
      </c>
      <c r="C2314" s="1" t="s">
        <v>898</v>
      </c>
      <c r="D2314" s="1" t="s">
        <v>899</v>
      </c>
      <c r="E2314" s="1" t="n">
        <v>20171</v>
      </c>
      <c r="F2314" s="1" t="s">
        <v>208</v>
      </c>
      <c r="G2314" s="1" t="s">
        <v>15</v>
      </c>
      <c r="H2314" s="1" t="n">
        <v>3.5</v>
      </c>
      <c r="I2314" s="1" t="n">
        <v>0</v>
      </c>
      <c r="J2314" s="1" t="n">
        <v>20201</v>
      </c>
      <c r="L2314" s="1" t="str">
        <f aca="false">IF(D2313&lt;&gt;D2314,D2314,"")</f>
        <v/>
      </c>
      <c r="M2314" s="1" t="str">
        <f aca="false">IF(F2313&lt;&gt;F2314,F2314,"")</f>
        <v/>
      </c>
    </row>
    <row r="2315" customFormat="false" ht="15" hidden="false" customHeight="false" outlineLevel="0" collapsed="false">
      <c r="A2315" s="1" t="s">
        <v>653</v>
      </c>
      <c r="B2315" s="1" t="s">
        <v>654</v>
      </c>
      <c r="C2315" s="1" t="s">
        <v>898</v>
      </c>
      <c r="D2315" s="1" t="s">
        <v>899</v>
      </c>
      <c r="E2315" s="1" t="n">
        <v>20171</v>
      </c>
      <c r="F2315" s="1" t="s">
        <v>208</v>
      </c>
      <c r="G2315" s="1" t="s">
        <v>23</v>
      </c>
      <c r="H2315" s="1" t="n">
        <v>0</v>
      </c>
      <c r="I2315" s="1" t="n">
        <v>0</v>
      </c>
      <c r="J2315" s="1" t="n">
        <v>20201</v>
      </c>
      <c r="L2315" s="1" t="str">
        <f aca="false">IF(D2314&lt;&gt;D2315,D2315,"")</f>
        <v/>
      </c>
      <c r="M2315" s="1" t="str">
        <f aca="false">IF(F2314&lt;&gt;F2315,F2315,"")</f>
        <v/>
      </c>
    </row>
    <row r="2316" customFormat="false" ht="15" hidden="false" customHeight="false" outlineLevel="0" collapsed="false">
      <c r="A2316" s="1" t="s">
        <v>761</v>
      </c>
      <c r="B2316" s="1" t="s">
        <v>762</v>
      </c>
      <c r="C2316" s="1" t="s">
        <v>898</v>
      </c>
      <c r="D2316" s="1" t="s">
        <v>899</v>
      </c>
      <c r="E2316" s="1" t="n">
        <v>20171</v>
      </c>
      <c r="F2316" s="1" t="s">
        <v>208</v>
      </c>
      <c r="G2316" s="1" t="s">
        <v>18</v>
      </c>
      <c r="H2316" s="1" t="n">
        <v>3</v>
      </c>
      <c r="I2316" s="1" t="n">
        <v>0</v>
      </c>
      <c r="J2316" s="1" t="n">
        <v>20201</v>
      </c>
      <c r="L2316" s="1" t="str">
        <f aca="false">IF(D2315&lt;&gt;D2316,D2316,"")</f>
        <v/>
      </c>
      <c r="M2316" s="1" t="str">
        <f aca="false">IF(F2315&lt;&gt;F2316,F2316,"")</f>
        <v/>
      </c>
    </row>
    <row r="2317" customFormat="false" ht="15" hidden="false" customHeight="false" outlineLevel="0" collapsed="false">
      <c r="A2317" s="1" t="s">
        <v>112</v>
      </c>
      <c r="B2317" s="1" t="s">
        <v>113</v>
      </c>
      <c r="C2317" s="1" t="s">
        <v>898</v>
      </c>
      <c r="D2317" s="1" t="s">
        <v>899</v>
      </c>
      <c r="E2317" s="1" t="n">
        <v>20171</v>
      </c>
      <c r="F2317" s="1" t="s">
        <v>208</v>
      </c>
      <c r="G2317" s="1" t="s">
        <v>18</v>
      </c>
      <c r="H2317" s="1" t="n">
        <v>3</v>
      </c>
      <c r="I2317" s="1" t="n">
        <v>0</v>
      </c>
      <c r="J2317" s="1" t="n">
        <v>20201</v>
      </c>
      <c r="L2317" s="1" t="str">
        <f aca="false">IF(D2316&lt;&gt;D2317,D2317,"")</f>
        <v/>
      </c>
      <c r="M2317" s="1" t="str">
        <f aca="false">IF(F2316&lt;&gt;F2317,F2317,"")</f>
        <v/>
      </c>
    </row>
    <row r="2318" customFormat="false" ht="15" hidden="false" customHeight="false" outlineLevel="0" collapsed="false">
      <c r="A2318" s="1" t="s">
        <v>613</v>
      </c>
      <c r="B2318" s="1" t="s">
        <v>614</v>
      </c>
      <c r="C2318" s="1" t="s">
        <v>898</v>
      </c>
      <c r="D2318" s="1" t="s">
        <v>899</v>
      </c>
      <c r="E2318" s="1" t="n">
        <v>20171</v>
      </c>
      <c r="F2318" s="1" t="s">
        <v>208</v>
      </c>
      <c r="G2318" s="1" t="s">
        <v>18</v>
      </c>
      <c r="H2318" s="1" t="n">
        <v>3</v>
      </c>
      <c r="I2318" s="1" t="n">
        <v>0</v>
      </c>
      <c r="J2318" s="1" t="n">
        <v>20201</v>
      </c>
      <c r="L2318" s="1" t="str">
        <f aca="false">IF(D2317&lt;&gt;D2318,D2318,"")</f>
        <v/>
      </c>
      <c r="M2318" s="1" t="str">
        <f aca="false">IF(F2317&lt;&gt;F2318,F2318,"")</f>
        <v/>
      </c>
    </row>
    <row r="2319" customFormat="false" ht="15" hidden="false" customHeight="false" outlineLevel="0" collapsed="false">
      <c r="A2319" s="1" t="s">
        <v>808</v>
      </c>
      <c r="B2319" s="1" t="s">
        <v>809</v>
      </c>
      <c r="C2319" s="1" t="s">
        <v>898</v>
      </c>
      <c r="D2319" s="1" t="s">
        <v>899</v>
      </c>
      <c r="E2319" s="1" t="n">
        <v>20171</v>
      </c>
      <c r="F2319" s="1" t="s">
        <v>208</v>
      </c>
      <c r="G2319" s="1" t="s">
        <v>15</v>
      </c>
      <c r="H2319" s="1" t="n">
        <v>3.5</v>
      </c>
      <c r="I2319" s="1" t="n">
        <v>0</v>
      </c>
      <c r="J2319" s="1" t="n">
        <v>20201</v>
      </c>
      <c r="L2319" s="1" t="str">
        <f aca="false">IF(D2318&lt;&gt;D2319,D2319,"")</f>
        <v/>
      </c>
      <c r="M2319" s="1" t="str">
        <f aca="false">IF(F2318&lt;&gt;F2319,F2319,"")</f>
        <v/>
      </c>
    </row>
    <row r="2320" customFormat="false" ht="15" hidden="false" customHeight="false" outlineLevel="0" collapsed="false">
      <c r="A2320" s="1" t="s">
        <v>593</v>
      </c>
      <c r="B2320" s="1" t="s">
        <v>594</v>
      </c>
      <c r="C2320" s="1" t="s">
        <v>898</v>
      </c>
      <c r="D2320" s="1" t="s">
        <v>899</v>
      </c>
      <c r="E2320" s="1" t="n">
        <v>20171</v>
      </c>
      <c r="F2320" s="1" t="s">
        <v>208</v>
      </c>
      <c r="G2320" s="1" t="s">
        <v>18</v>
      </c>
      <c r="H2320" s="1" t="n">
        <v>3</v>
      </c>
      <c r="I2320" s="1" t="n">
        <v>0</v>
      </c>
      <c r="J2320" s="1" t="n">
        <v>20201</v>
      </c>
      <c r="L2320" s="1" t="str">
        <f aca="false">IF(D2319&lt;&gt;D2320,D2320,"")</f>
        <v/>
      </c>
      <c r="M2320" s="1" t="str">
        <f aca="false">IF(F2319&lt;&gt;F2320,F2320,"")</f>
        <v/>
      </c>
    </row>
    <row r="2321" customFormat="false" ht="15" hidden="false" customHeight="false" outlineLevel="0" collapsed="false">
      <c r="A2321" s="1" t="s">
        <v>645</v>
      </c>
      <c r="B2321" s="1" t="s">
        <v>646</v>
      </c>
      <c r="C2321" s="1" t="s">
        <v>898</v>
      </c>
      <c r="D2321" s="1" t="s">
        <v>899</v>
      </c>
      <c r="E2321" s="1" t="n">
        <v>20171</v>
      </c>
      <c r="F2321" s="1" t="s">
        <v>208</v>
      </c>
      <c r="G2321" s="1" t="s">
        <v>18</v>
      </c>
      <c r="H2321" s="1" t="n">
        <v>3</v>
      </c>
      <c r="I2321" s="1" t="n">
        <v>0</v>
      </c>
      <c r="J2321" s="1" t="n">
        <v>20201</v>
      </c>
      <c r="L2321" s="1" t="str">
        <f aca="false">IF(D2320&lt;&gt;D2321,D2321,"")</f>
        <v/>
      </c>
      <c r="M2321" s="1" t="str">
        <f aca="false">IF(F2320&lt;&gt;F2321,F2321,"")</f>
        <v/>
      </c>
    </row>
    <row r="2322" customFormat="false" ht="15" hidden="false" customHeight="false" outlineLevel="0" collapsed="false">
      <c r="A2322" s="1" t="s">
        <v>621</v>
      </c>
      <c r="B2322" s="1" t="s">
        <v>622</v>
      </c>
      <c r="C2322" s="1" t="s">
        <v>898</v>
      </c>
      <c r="D2322" s="1" t="s">
        <v>899</v>
      </c>
      <c r="E2322" s="1" t="n">
        <v>20171</v>
      </c>
      <c r="F2322" s="1" t="s">
        <v>208</v>
      </c>
      <c r="G2322" s="1" t="s">
        <v>18</v>
      </c>
      <c r="H2322" s="1" t="n">
        <v>3</v>
      </c>
      <c r="I2322" s="1" t="n">
        <v>0</v>
      </c>
      <c r="J2322" s="1" t="n">
        <v>20201</v>
      </c>
      <c r="L2322" s="1" t="str">
        <f aca="false">IF(D2321&lt;&gt;D2322,D2322,"")</f>
        <v/>
      </c>
      <c r="M2322" s="1" t="str">
        <f aca="false">IF(F2321&lt;&gt;F2322,F2322,"")</f>
        <v/>
      </c>
    </row>
    <row r="2323" customFormat="false" ht="15" hidden="false" customHeight="false" outlineLevel="0" collapsed="false">
      <c r="A2323" s="1" t="s">
        <v>647</v>
      </c>
      <c r="B2323" s="1" t="s">
        <v>648</v>
      </c>
      <c r="C2323" s="1" t="s">
        <v>898</v>
      </c>
      <c r="D2323" s="1" t="s">
        <v>899</v>
      </c>
      <c r="E2323" s="1" t="n">
        <v>20171</v>
      </c>
      <c r="F2323" s="1" t="s">
        <v>208</v>
      </c>
      <c r="G2323" s="1" t="s">
        <v>18</v>
      </c>
      <c r="H2323" s="1" t="n">
        <v>3</v>
      </c>
      <c r="I2323" s="1" t="n">
        <v>0</v>
      </c>
      <c r="J2323" s="1" t="n">
        <v>20201</v>
      </c>
      <c r="L2323" s="1" t="str">
        <f aca="false">IF(D2322&lt;&gt;D2323,D2323,"")</f>
        <v/>
      </c>
      <c r="M2323" s="1" t="str">
        <f aca="false">IF(F2322&lt;&gt;F2323,F2323,"")</f>
        <v/>
      </c>
    </row>
    <row r="2324" customFormat="false" ht="15" hidden="false" customHeight="false" outlineLevel="0" collapsed="false">
      <c r="A2324" s="1" t="s">
        <v>657</v>
      </c>
      <c r="B2324" s="1" t="s">
        <v>658</v>
      </c>
      <c r="C2324" s="1" t="s">
        <v>898</v>
      </c>
      <c r="D2324" s="1" t="s">
        <v>899</v>
      </c>
      <c r="E2324" s="1" t="n">
        <v>20171</v>
      </c>
      <c r="F2324" s="1" t="s">
        <v>208</v>
      </c>
      <c r="G2324" s="1" t="s">
        <v>15</v>
      </c>
      <c r="H2324" s="1" t="n">
        <v>3.5</v>
      </c>
      <c r="I2324" s="1" t="n">
        <v>0</v>
      </c>
      <c r="J2324" s="1" t="n">
        <v>20201</v>
      </c>
      <c r="L2324" s="1" t="str">
        <f aca="false">IF(D2323&lt;&gt;D2324,D2324,"")</f>
        <v/>
      </c>
      <c r="M2324" s="1" t="str">
        <f aca="false">IF(F2323&lt;&gt;F2324,F2324,"")</f>
        <v/>
      </c>
    </row>
    <row r="2325" customFormat="false" ht="15" hidden="false" customHeight="false" outlineLevel="0" collapsed="false">
      <c r="A2325" s="1" t="s">
        <v>577</v>
      </c>
      <c r="B2325" s="1" t="s">
        <v>578</v>
      </c>
      <c r="C2325" s="1" t="s">
        <v>898</v>
      </c>
      <c r="D2325" s="1" t="s">
        <v>899</v>
      </c>
      <c r="E2325" s="1" t="n">
        <v>20171</v>
      </c>
      <c r="F2325" s="1" t="s">
        <v>208</v>
      </c>
      <c r="G2325" s="1" t="s">
        <v>18</v>
      </c>
      <c r="H2325" s="1" t="n">
        <v>3</v>
      </c>
      <c r="I2325" s="1" t="n">
        <v>0</v>
      </c>
      <c r="J2325" s="1" t="n">
        <v>20201</v>
      </c>
      <c r="L2325" s="1" t="str">
        <f aca="false">IF(D2324&lt;&gt;D2325,D2325,"")</f>
        <v/>
      </c>
      <c r="M2325" s="1" t="str">
        <f aca="false">IF(F2324&lt;&gt;F2325,F2325,"")</f>
        <v/>
      </c>
    </row>
    <row r="2326" customFormat="false" ht="15" hidden="false" customHeight="false" outlineLevel="0" collapsed="false">
      <c r="A2326" s="1" t="s">
        <v>822</v>
      </c>
      <c r="B2326" s="1" t="s">
        <v>823</v>
      </c>
      <c r="C2326" s="1" t="s">
        <v>898</v>
      </c>
      <c r="D2326" s="1" t="s">
        <v>899</v>
      </c>
      <c r="E2326" s="1" t="n">
        <v>20171</v>
      </c>
      <c r="F2326" s="1" t="s">
        <v>208</v>
      </c>
      <c r="G2326" s="1" t="s">
        <v>18</v>
      </c>
      <c r="H2326" s="1" t="n">
        <v>3</v>
      </c>
      <c r="I2326" s="1" t="n">
        <v>0</v>
      </c>
      <c r="J2326" s="1" t="n">
        <v>20201</v>
      </c>
      <c r="L2326" s="1" t="str">
        <f aca="false">IF(D2325&lt;&gt;D2326,D2326,"")</f>
        <v/>
      </c>
      <c r="M2326" s="1" t="str">
        <f aca="false">IF(F2325&lt;&gt;F2326,F2326,"")</f>
        <v/>
      </c>
    </row>
    <row r="2327" customFormat="false" ht="15" hidden="false" customHeight="false" outlineLevel="0" collapsed="false">
      <c r="A2327" s="1" t="s">
        <v>661</v>
      </c>
      <c r="B2327" s="1" t="s">
        <v>662</v>
      </c>
      <c r="C2327" s="1" t="s">
        <v>898</v>
      </c>
      <c r="D2327" s="1" t="s">
        <v>899</v>
      </c>
      <c r="E2327" s="1" t="n">
        <v>20171</v>
      </c>
      <c r="F2327" s="1" t="s">
        <v>208</v>
      </c>
      <c r="G2327" s="1" t="s">
        <v>15</v>
      </c>
      <c r="H2327" s="1" t="n">
        <v>3.5</v>
      </c>
      <c r="I2327" s="1" t="n">
        <v>0</v>
      </c>
      <c r="J2327" s="1" t="n">
        <v>20201</v>
      </c>
      <c r="L2327" s="1" t="str">
        <f aca="false">IF(D2326&lt;&gt;D2327,D2327,"")</f>
        <v/>
      </c>
      <c r="M2327" s="1" t="str">
        <f aca="false">IF(F2326&lt;&gt;F2327,F2327,"")</f>
        <v/>
      </c>
    </row>
    <row r="2328" customFormat="false" ht="15" hidden="false" customHeight="false" outlineLevel="0" collapsed="false">
      <c r="A2328" s="1" t="s">
        <v>263</v>
      </c>
      <c r="B2328" s="1" t="s">
        <v>264</v>
      </c>
      <c r="C2328" s="1" t="s">
        <v>898</v>
      </c>
      <c r="D2328" s="1" t="s">
        <v>899</v>
      </c>
      <c r="E2328" s="1" t="n">
        <v>20171</v>
      </c>
      <c r="F2328" s="1" t="s">
        <v>208</v>
      </c>
      <c r="G2328" s="1" t="s">
        <v>124</v>
      </c>
      <c r="H2328" s="1" t="n">
        <v>0</v>
      </c>
      <c r="I2328" s="1" t="n">
        <v>0</v>
      </c>
      <c r="J2328" s="1" t="n">
        <v>20201</v>
      </c>
      <c r="L2328" s="1" t="str">
        <f aca="false">IF(D2327&lt;&gt;D2328,D2328,"")</f>
        <v/>
      </c>
      <c r="M2328" s="1" t="str">
        <f aca="false">IF(F2327&lt;&gt;F2328,F2328,"")</f>
        <v/>
      </c>
    </row>
    <row r="2329" customFormat="false" ht="15" hidden="false" customHeight="false" outlineLevel="0" collapsed="false">
      <c r="A2329" s="1" t="s">
        <v>595</v>
      </c>
      <c r="B2329" s="1" t="s">
        <v>596</v>
      </c>
      <c r="C2329" s="1" t="s">
        <v>898</v>
      </c>
      <c r="D2329" s="1" t="s">
        <v>899</v>
      </c>
      <c r="E2329" s="1" t="n">
        <v>20171</v>
      </c>
      <c r="F2329" s="1" t="s">
        <v>208</v>
      </c>
      <c r="G2329" s="1" t="s">
        <v>18</v>
      </c>
      <c r="H2329" s="1" t="n">
        <v>3</v>
      </c>
      <c r="I2329" s="1" t="n">
        <v>0</v>
      </c>
      <c r="J2329" s="1" t="n">
        <v>20201</v>
      </c>
      <c r="L2329" s="1" t="str">
        <f aca="false">IF(D2328&lt;&gt;D2329,D2329,"")</f>
        <v/>
      </c>
      <c r="M2329" s="1" t="str">
        <f aca="false">IF(F2328&lt;&gt;F2329,F2329,"")</f>
        <v/>
      </c>
    </row>
    <row r="2330" customFormat="false" ht="15" hidden="false" customHeight="false" outlineLevel="0" collapsed="false">
      <c r="A2330" s="1" t="s">
        <v>114</v>
      </c>
      <c r="B2330" s="1" t="s">
        <v>115</v>
      </c>
      <c r="C2330" s="1" t="s">
        <v>898</v>
      </c>
      <c r="D2330" s="1" t="s">
        <v>899</v>
      </c>
      <c r="E2330" s="1" t="n">
        <v>20171</v>
      </c>
      <c r="F2330" s="1" t="s">
        <v>208</v>
      </c>
      <c r="G2330" s="1" t="s">
        <v>15</v>
      </c>
      <c r="H2330" s="1" t="n">
        <v>3.5</v>
      </c>
      <c r="I2330" s="1" t="n">
        <v>0</v>
      </c>
      <c r="J2330" s="1" t="n">
        <v>20201</v>
      </c>
      <c r="L2330" s="1" t="str">
        <f aca="false">IF(D2329&lt;&gt;D2330,D2330,"")</f>
        <v/>
      </c>
      <c r="M2330" s="1" t="str">
        <f aca="false">IF(F2329&lt;&gt;F2330,F2330,"")</f>
        <v/>
      </c>
    </row>
    <row r="2331" customFormat="false" ht="15" hidden="false" customHeight="false" outlineLevel="0" collapsed="false">
      <c r="A2331" s="1" t="s">
        <v>828</v>
      </c>
      <c r="B2331" s="1" t="s">
        <v>829</v>
      </c>
      <c r="C2331" s="1" t="s">
        <v>898</v>
      </c>
      <c r="D2331" s="1" t="s">
        <v>899</v>
      </c>
      <c r="E2331" s="1" t="n">
        <v>20171</v>
      </c>
      <c r="F2331" s="1" t="s">
        <v>208</v>
      </c>
      <c r="G2331" s="1" t="s">
        <v>15</v>
      </c>
      <c r="H2331" s="1" t="n">
        <v>3.5</v>
      </c>
      <c r="I2331" s="1" t="n">
        <v>0</v>
      </c>
      <c r="J2331" s="1" t="n">
        <v>20201</v>
      </c>
      <c r="L2331" s="1" t="str">
        <f aca="false">IF(D2330&lt;&gt;D2331,D2331,"")</f>
        <v/>
      </c>
      <c r="M2331" s="1" t="str">
        <f aca="false">IF(F2330&lt;&gt;F2331,F2331,"")</f>
        <v/>
      </c>
    </row>
    <row r="2332" customFormat="false" ht="15" hidden="false" customHeight="false" outlineLevel="0" collapsed="false">
      <c r="A2332" s="1" t="s">
        <v>830</v>
      </c>
      <c r="B2332" s="1" t="s">
        <v>831</v>
      </c>
      <c r="C2332" s="1" t="s">
        <v>898</v>
      </c>
      <c r="D2332" s="1" t="s">
        <v>899</v>
      </c>
      <c r="E2332" s="1" t="n">
        <v>20171</v>
      </c>
      <c r="F2332" s="1" t="s">
        <v>208</v>
      </c>
      <c r="G2332" s="1" t="s">
        <v>15</v>
      </c>
      <c r="H2332" s="1" t="n">
        <v>3.5</v>
      </c>
      <c r="I2332" s="1" t="n">
        <v>0</v>
      </c>
      <c r="J2332" s="1" t="n">
        <v>20201</v>
      </c>
      <c r="L2332" s="1" t="str">
        <f aca="false">IF(D2331&lt;&gt;D2332,D2332,"")</f>
        <v/>
      </c>
      <c r="M2332" s="1" t="str">
        <f aca="false">IF(F2331&lt;&gt;F2332,F2332,"")</f>
        <v/>
      </c>
    </row>
    <row r="2333" customFormat="false" ht="15" hidden="false" customHeight="false" outlineLevel="0" collapsed="false">
      <c r="A2333" s="1" t="s">
        <v>900</v>
      </c>
      <c r="B2333" s="1" t="s">
        <v>901</v>
      </c>
      <c r="C2333" s="1" t="s">
        <v>902</v>
      </c>
      <c r="D2333" s="1" t="s">
        <v>903</v>
      </c>
      <c r="E2333" s="1" t="n">
        <v>20171</v>
      </c>
      <c r="F2333" s="1" t="s">
        <v>208</v>
      </c>
      <c r="G2333" s="1" t="s">
        <v>18</v>
      </c>
      <c r="H2333" s="1" t="n">
        <v>3</v>
      </c>
      <c r="I2333" s="1" t="n">
        <v>0</v>
      </c>
      <c r="J2333" s="1" t="n">
        <v>20201</v>
      </c>
      <c r="L2333" s="1" t="str">
        <f aca="false">IF(D2332&lt;&gt;D2333,D2333,"")</f>
        <v>PRAKTIKUM PENGUKURAN BESARAN LISTRIK</v>
      </c>
      <c r="M2333" s="1" t="str">
        <f aca="false">IF(F2332&lt;&gt;F2333,F2333,"")</f>
        <v/>
      </c>
    </row>
    <row r="2334" customFormat="false" ht="15" hidden="false" customHeight="false" outlineLevel="0" collapsed="false">
      <c r="A2334" s="1" t="s">
        <v>304</v>
      </c>
      <c r="B2334" s="1" t="s">
        <v>305</v>
      </c>
      <c r="C2334" s="1" t="s">
        <v>902</v>
      </c>
      <c r="D2334" s="1" t="s">
        <v>903</v>
      </c>
      <c r="E2334" s="1" t="n">
        <v>20171</v>
      </c>
      <c r="F2334" s="1" t="s">
        <v>208</v>
      </c>
      <c r="G2334" s="1" t="s">
        <v>124</v>
      </c>
      <c r="H2334" s="1" t="n">
        <v>0</v>
      </c>
      <c r="I2334" s="1" t="n">
        <v>0</v>
      </c>
      <c r="J2334" s="1" t="n">
        <v>20201</v>
      </c>
      <c r="L2334" s="1" t="str">
        <f aca="false">IF(D2333&lt;&gt;D2334,D2334,"")</f>
        <v/>
      </c>
      <c r="M2334" s="1" t="str">
        <f aca="false">IF(F2333&lt;&gt;F2334,F2334,"")</f>
        <v/>
      </c>
    </row>
    <row r="2335" customFormat="false" ht="15" hidden="false" customHeight="false" outlineLevel="0" collapsed="false">
      <c r="A2335" s="1" t="s">
        <v>904</v>
      </c>
      <c r="B2335" s="1" t="s">
        <v>905</v>
      </c>
      <c r="C2335" s="1" t="s">
        <v>902</v>
      </c>
      <c r="D2335" s="1" t="s">
        <v>903</v>
      </c>
      <c r="E2335" s="1" t="n">
        <v>20171</v>
      </c>
      <c r="F2335" s="1" t="s">
        <v>208</v>
      </c>
      <c r="G2335" s="1" t="s">
        <v>124</v>
      </c>
      <c r="H2335" s="1" t="n">
        <v>0</v>
      </c>
      <c r="I2335" s="1" t="n">
        <v>0</v>
      </c>
      <c r="J2335" s="1" t="n">
        <v>20201</v>
      </c>
      <c r="L2335" s="1" t="str">
        <f aca="false">IF(D2334&lt;&gt;D2335,D2335,"")</f>
        <v/>
      </c>
      <c r="M2335" s="1" t="str">
        <f aca="false">IF(F2334&lt;&gt;F2335,F2335,"")</f>
        <v/>
      </c>
    </row>
    <row r="2336" customFormat="false" ht="15" hidden="false" customHeight="false" outlineLevel="0" collapsed="false">
      <c r="A2336" s="1" t="s">
        <v>635</v>
      </c>
      <c r="B2336" s="1" t="s">
        <v>636</v>
      </c>
      <c r="C2336" s="1" t="s">
        <v>902</v>
      </c>
      <c r="D2336" s="1" t="s">
        <v>903</v>
      </c>
      <c r="E2336" s="1" t="n">
        <v>20171</v>
      </c>
      <c r="F2336" s="1" t="s">
        <v>208</v>
      </c>
      <c r="G2336" s="1" t="s">
        <v>124</v>
      </c>
      <c r="H2336" s="1" t="n">
        <v>0</v>
      </c>
      <c r="I2336" s="1" t="n">
        <v>0</v>
      </c>
      <c r="J2336" s="1" t="n">
        <v>20201</v>
      </c>
      <c r="L2336" s="1" t="str">
        <f aca="false">IF(D2335&lt;&gt;D2336,D2336,"")</f>
        <v/>
      </c>
      <c r="M2336" s="1" t="str">
        <f aca="false">IF(F2335&lt;&gt;F2336,F2336,"")</f>
        <v/>
      </c>
    </row>
    <row r="2337" customFormat="false" ht="15" hidden="false" customHeight="false" outlineLevel="0" collapsed="false">
      <c r="A2337" s="1" t="s">
        <v>649</v>
      </c>
      <c r="B2337" s="1" t="s">
        <v>650</v>
      </c>
      <c r="C2337" s="1" t="s">
        <v>902</v>
      </c>
      <c r="D2337" s="1" t="s">
        <v>903</v>
      </c>
      <c r="E2337" s="1" t="n">
        <v>20171</v>
      </c>
      <c r="F2337" s="1" t="s">
        <v>208</v>
      </c>
      <c r="G2337" s="1" t="s">
        <v>101</v>
      </c>
      <c r="H2337" s="1" t="n">
        <v>2.5</v>
      </c>
      <c r="I2337" s="1" t="n">
        <v>0</v>
      </c>
      <c r="J2337" s="1" t="n">
        <v>20201</v>
      </c>
      <c r="L2337" s="1" t="str">
        <f aca="false">IF(D2336&lt;&gt;D2337,D2337,"")</f>
        <v/>
      </c>
      <c r="M2337" s="1" t="str">
        <f aca="false">IF(F2336&lt;&gt;F2337,F2337,"")</f>
        <v/>
      </c>
    </row>
    <row r="2338" customFormat="false" ht="15" hidden="false" customHeight="false" outlineLevel="0" collapsed="false">
      <c r="A2338" s="1" t="s">
        <v>669</v>
      </c>
      <c r="B2338" s="1" t="s">
        <v>670</v>
      </c>
      <c r="C2338" s="1" t="s">
        <v>902</v>
      </c>
      <c r="D2338" s="1" t="s">
        <v>903</v>
      </c>
      <c r="E2338" s="1" t="n">
        <v>20171</v>
      </c>
      <c r="F2338" s="1" t="s">
        <v>208</v>
      </c>
      <c r="G2338" s="1" t="s">
        <v>18</v>
      </c>
      <c r="H2338" s="1" t="n">
        <v>3</v>
      </c>
      <c r="I2338" s="1" t="n">
        <v>0</v>
      </c>
      <c r="J2338" s="1" t="n">
        <v>20201</v>
      </c>
      <c r="L2338" s="1" t="str">
        <f aca="false">IF(D2337&lt;&gt;D2338,D2338,"")</f>
        <v/>
      </c>
      <c r="M2338" s="1" t="str">
        <f aca="false">IF(F2337&lt;&gt;F2338,F2338,"")</f>
        <v/>
      </c>
    </row>
    <row r="2339" customFormat="false" ht="15" hidden="false" customHeight="false" outlineLevel="0" collapsed="false">
      <c r="A2339" s="1" t="s">
        <v>621</v>
      </c>
      <c r="B2339" s="1" t="s">
        <v>622</v>
      </c>
      <c r="C2339" s="1" t="s">
        <v>902</v>
      </c>
      <c r="D2339" s="1" t="s">
        <v>903</v>
      </c>
      <c r="E2339" s="1" t="n">
        <v>20171</v>
      </c>
      <c r="F2339" s="1" t="s">
        <v>208</v>
      </c>
      <c r="G2339" s="1" t="s">
        <v>15</v>
      </c>
      <c r="H2339" s="1" t="n">
        <v>3.5</v>
      </c>
      <c r="I2339" s="1" t="n">
        <v>0</v>
      </c>
      <c r="J2339" s="1" t="n">
        <v>20201</v>
      </c>
      <c r="L2339" s="1" t="str">
        <f aca="false">IF(D2338&lt;&gt;D2339,D2339,"")</f>
        <v/>
      </c>
      <c r="M2339" s="1" t="str">
        <f aca="false">IF(F2338&lt;&gt;F2339,F2339,"")</f>
        <v/>
      </c>
    </row>
    <row r="2340" customFormat="false" ht="15" hidden="false" customHeight="false" outlineLevel="0" collapsed="false">
      <c r="A2340" s="1" t="s">
        <v>577</v>
      </c>
      <c r="B2340" s="1" t="s">
        <v>578</v>
      </c>
      <c r="C2340" s="1" t="s">
        <v>902</v>
      </c>
      <c r="D2340" s="1" t="s">
        <v>903</v>
      </c>
      <c r="E2340" s="1" t="n">
        <v>20171</v>
      </c>
      <c r="F2340" s="1" t="s">
        <v>208</v>
      </c>
      <c r="G2340" s="1" t="s">
        <v>18</v>
      </c>
      <c r="H2340" s="1" t="n">
        <v>3</v>
      </c>
      <c r="I2340" s="1" t="n">
        <v>0</v>
      </c>
      <c r="J2340" s="1" t="n">
        <v>20201</v>
      </c>
      <c r="L2340" s="1" t="str">
        <f aca="false">IF(D2339&lt;&gt;D2340,D2340,"")</f>
        <v/>
      </c>
      <c r="M2340" s="1" t="str">
        <f aca="false">IF(F2339&lt;&gt;F2340,F2340,"")</f>
        <v/>
      </c>
    </row>
    <row r="2341" customFormat="false" ht="15" hidden="false" customHeight="false" outlineLevel="0" collapsed="false">
      <c r="A2341" s="1" t="s">
        <v>263</v>
      </c>
      <c r="B2341" s="1" t="s">
        <v>264</v>
      </c>
      <c r="C2341" s="1" t="s">
        <v>902</v>
      </c>
      <c r="D2341" s="1" t="s">
        <v>903</v>
      </c>
      <c r="E2341" s="1" t="n">
        <v>20171</v>
      </c>
      <c r="F2341" s="1" t="s">
        <v>208</v>
      </c>
      <c r="G2341" s="1" t="s">
        <v>124</v>
      </c>
      <c r="H2341" s="1" t="n">
        <v>0</v>
      </c>
      <c r="I2341" s="1" t="n">
        <v>0</v>
      </c>
      <c r="J2341" s="1" t="n">
        <v>20201</v>
      </c>
      <c r="L2341" s="1" t="str">
        <f aca="false">IF(D2340&lt;&gt;D2341,D2341,"")</f>
        <v/>
      </c>
      <c r="M2341" s="1" t="str">
        <f aca="false">IF(F2340&lt;&gt;F2341,F2341,"")</f>
        <v/>
      </c>
    </row>
    <row r="2342" customFormat="false" ht="15" hidden="false" customHeight="false" outlineLevel="0" collapsed="false">
      <c r="A2342" s="1" t="s">
        <v>265</v>
      </c>
      <c r="B2342" s="1" t="s">
        <v>266</v>
      </c>
      <c r="C2342" s="1" t="s">
        <v>902</v>
      </c>
      <c r="D2342" s="1" t="s">
        <v>903</v>
      </c>
      <c r="E2342" s="1" t="n">
        <v>20171</v>
      </c>
      <c r="F2342" s="1" t="s">
        <v>208</v>
      </c>
      <c r="G2342" s="1" t="s">
        <v>127</v>
      </c>
      <c r="H2342" s="1" t="n">
        <v>2</v>
      </c>
      <c r="I2342" s="1" t="n">
        <v>0</v>
      </c>
      <c r="J2342" s="1" t="n">
        <v>20201</v>
      </c>
      <c r="L2342" s="1" t="str">
        <f aca="false">IF(D2341&lt;&gt;D2342,D2342,"")</f>
        <v/>
      </c>
      <c r="M2342" s="1" t="str">
        <f aca="false">IF(F2341&lt;&gt;F2342,F2342,"")</f>
        <v/>
      </c>
    </row>
    <row r="2343" customFormat="false" ht="15" hidden="false" customHeight="false" outlineLevel="0" collapsed="false">
      <c r="A2343" s="1" t="s">
        <v>267</v>
      </c>
      <c r="B2343" s="1" t="s">
        <v>268</v>
      </c>
      <c r="C2343" s="1" t="s">
        <v>902</v>
      </c>
      <c r="D2343" s="1" t="s">
        <v>903</v>
      </c>
      <c r="E2343" s="1" t="n">
        <v>20171</v>
      </c>
      <c r="F2343" s="1" t="s">
        <v>208</v>
      </c>
      <c r="G2343" s="1" t="s">
        <v>101</v>
      </c>
      <c r="H2343" s="1" t="n">
        <v>2.5</v>
      </c>
      <c r="I2343" s="1" t="n">
        <v>0</v>
      </c>
      <c r="J2343" s="1" t="n">
        <v>20201</v>
      </c>
      <c r="L2343" s="1" t="str">
        <f aca="false">IF(D2342&lt;&gt;D2343,D2343,"")</f>
        <v/>
      </c>
      <c r="M2343" s="1" t="str">
        <f aca="false">IF(F2342&lt;&gt;F2343,F2343,"")</f>
        <v/>
      </c>
    </row>
    <row r="2344" customFormat="false" ht="15" hidden="false" customHeight="false" outlineLevel="0" collapsed="false">
      <c r="A2344" s="1" t="s">
        <v>271</v>
      </c>
      <c r="B2344" s="1" t="s">
        <v>272</v>
      </c>
      <c r="C2344" s="1" t="s">
        <v>902</v>
      </c>
      <c r="D2344" s="1" t="s">
        <v>903</v>
      </c>
      <c r="E2344" s="1" t="n">
        <v>20171</v>
      </c>
      <c r="F2344" s="1" t="s">
        <v>208</v>
      </c>
      <c r="G2344" s="1" t="s">
        <v>127</v>
      </c>
      <c r="H2344" s="1" t="n">
        <v>2</v>
      </c>
      <c r="I2344" s="1" t="n">
        <v>0</v>
      </c>
      <c r="J2344" s="1" t="n">
        <v>20201</v>
      </c>
      <c r="L2344" s="1" t="str">
        <f aca="false">IF(D2343&lt;&gt;D2344,D2344,"")</f>
        <v/>
      </c>
      <c r="M2344" s="1" t="str">
        <f aca="false">IF(F2343&lt;&gt;F2344,F2344,"")</f>
        <v/>
      </c>
    </row>
    <row r="2345" customFormat="false" ht="15" hidden="false" customHeight="false" outlineLevel="0" collapsed="false">
      <c r="A2345" s="1" t="s">
        <v>24</v>
      </c>
      <c r="B2345" s="1" t="s">
        <v>25</v>
      </c>
      <c r="C2345" s="1" t="s">
        <v>902</v>
      </c>
      <c r="D2345" s="1" t="s">
        <v>903</v>
      </c>
      <c r="E2345" s="1" t="n">
        <v>20171</v>
      </c>
      <c r="F2345" s="1" t="s">
        <v>208</v>
      </c>
      <c r="G2345" s="1" t="s">
        <v>18</v>
      </c>
      <c r="H2345" s="1" t="n">
        <v>3</v>
      </c>
      <c r="I2345" s="1" t="n">
        <v>0</v>
      </c>
      <c r="J2345" s="1" t="n">
        <v>20201</v>
      </c>
      <c r="L2345" s="1" t="str">
        <f aca="false">IF(D2344&lt;&gt;D2345,D2345,"")</f>
        <v/>
      </c>
      <c r="M2345" s="1" t="str">
        <f aca="false">IF(F2344&lt;&gt;F2345,F2345,"")</f>
        <v/>
      </c>
    </row>
    <row r="2346" customFormat="false" ht="15" hidden="false" customHeight="false" outlineLevel="0" collapsed="false">
      <c r="A2346" s="1" t="s">
        <v>116</v>
      </c>
      <c r="B2346" s="1" t="s">
        <v>117</v>
      </c>
      <c r="C2346" s="1" t="s">
        <v>902</v>
      </c>
      <c r="D2346" s="1" t="s">
        <v>903</v>
      </c>
      <c r="E2346" s="1" t="n">
        <v>20171</v>
      </c>
      <c r="F2346" s="1" t="s">
        <v>208</v>
      </c>
      <c r="G2346" s="1" t="s">
        <v>18</v>
      </c>
      <c r="H2346" s="1" t="n">
        <v>3</v>
      </c>
      <c r="I2346" s="1" t="n">
        <v>0</v>
      </c>
      <c r="J2346" s="1" t="n">
        <v>20201</v>
      </c>
      <c r="L2346" s="1" t="str">
        <f aca="false">IF(D2345&lt;&gt;D2346,D2346,"")</f>
        <v/>
      </c>
      <c r="M2346" s="1" t="str">
        <f aca="false">IF(F2345&lt;&gt;F2346,F2346,"")</f>
        <v/>
      </c>
    </row>
    <row r="2347" customFormat="false" ht="15" hidden="false" customHeight="false" outlineLevel="0" collapsed="false">
      <c r="A2347" s="1" t="s">
        <v>26</v>
      </c>
      <c r="B2347" s="1" t="s">
        <v>27</v>
      </c>
      <c r="C2347" s="1" t="s">
        <v>902</v>
      </c>
      <c r="D2347" s="1" t="s">
        <v>903</v>
      </c>
      <c r="E2347" s="1" t="n">
        <v>20171</v>
      </c>
      <c r="F2347" s="1" t="s">
        <v>208</v>
      </c>
      <c r="G2347" s="1" t="s">
        <v>18</v>
      </c>
      <c r="H2347" s="1" t="n">
        <v>3</v>
      </c>
      <c r="I2347" s="1" t="n">
        <v>0</v>
      </c>
      <c r="J2347" s="1" t="n">
        <v>20201</v>
      </c>
      <c r="L2347" s="1" t="str">
        <f aca="false">IF(D2346&lt;&gt;D2347,D2347,"")</f>
        <v/>
      </c>
      <c r="M2347" s="1" t="str">
        <f aca="false">IF(F2346&lt;&gt;F2347,F2347,"")</f>
        <v/>
      </c>
    </row>
    <row r="2348" customFormat="false" ht="15" hidden="false" customHeight="false" outlineLevel="0" collapsed="false">
      <c r="A2348" s="1" t="s">
        <v>118</v>
      </c>
      <c r="B2348" s="1" t="s">
        <v>119</v>
      </c>
      <c r="C2348" s="1" t="s">
        <v>902</v>
      </c>
      <c r="D2348" s="1" t="s">
        <v>903</v>
      </c>
      <c r="E2348" s="1" t="n">
        <v>20171</v>
      </c>
      <c r="F2348" s="1" t="s">
        <v>208</v>
      </c>
      <c r="G2348" s="1" t="s">
        <v>18</v>
      </c>
      <c r="H2348" s="1" t="n">
        <v>3</v>
      </c>
      <c r="I2348" s="1" t="n">
        <v>0</v>
      </c>
      <c r="J2348" s="1" t="n">
        <v>20201</v>
      </c>
      <c r="L2348" s="1" t="str">
        <f aca="false">IF(D2347&lt;&gt;D2348,D2348,"")</f>
        <v/>
      </c>
      <c r="M2348" s="1" t="str">
        <f aca="false">IF(F2347&lt;&gt;F2348,F2348,"")</f>
        <v/>
      </c>
    </row>
    <row r="2349" customFormat="false" ht="15" hidden="false" customHeight="false" outlineLevel="0" collapsed="false">
      <c r="A2349" s="1" t="s">
        <v>28</v>
      </c>
      <c r="B2349" s="1" t="s">
        <v>29</v>
      </c>
      <c r="C2349" s="1" t="s">
        <v>902</v>
      </c>
      <c r="D2349" s="1" t="s">
        <v>903</v>
      </c>
      <c r="E2349" s="1" t="n">
        <v>20171</v>
      </c>
      <c r="F2349" s="1" t="s">
        <v>208</v>
      </c>
      <c r="G2349" s="1" t="s">
        <v>18</v>
      </c>
      <c r="H2349" s="1" t="n">
        <v>3</v>
      </c>
      <c r="I2349" s="1" t="n">
        <v>0</v>
      </c>
      <c r="J2349" s="1" t="n">
        <v>20201</v>
      </c>
      <c r="L2349" s="1" t="str">
        <f aca="false">IF(D2348&lt;&gt;D2349,D2349,"")</f>
        <v/>
      </c>
      <c r="M2349" s="1" t="str">
        <f aca="false">IF(F2348&lt;&gt;F2349,F2349,"")</f>
        <v/>
      </c>
    </row>
    <row r="2350" customFormat="false" ht="15" hidden="false" customHeight="false" outlineLevel="0" collapsed="false">
      <c r="A2350" s="1" t="s">
        <v>120</v>
      </c>
      <c r="B2350" s="1" t="s">
        <v>121</v>
      </c>
      <c r="C2350" s="1" t="s">
        <v>902</v>
      </c>
      <c r="D2350" s="1" t="s">
        <v>903</v>
      </c>
      <c r="E2350" s="1" t="n">
        <v>20171</v>
      </c>
      <c r="F2350" s="1" t="s">
        <v>208</v>
      </c>
      <c r="G2350" s="1" t="s">
        <v>18</v>
      </c>
      <c r="H2350" s="1" t="n">
        <v>3</v>
      </c>
      <c r="I2350" s="1" t="n">
        <v>0</v>
      </c>
      <c r="J2350" s="1" t="n">
        <v>20201</v>
      </c>
      <c r="L2350" s="1" t="str">
        <f aca="false">IF(D2349&lt;&gt;D2350,D2350,"")</f>
        <v/>
      </c>
      <c r="M2350" s="1" t="str">
        <f aca="false">IF(F2349&lt;&gt;F2350,F2350,"")</f>
        <v/>
      </c>
    </row>
    <row r="2351" customFormat="false" ht="15" hidden="false" customHeight="false" outlineLevel="0" collapsed="false">
      <c r="A2351" s="1" t="s">
        <v>31</v>
      </c>
      <c r="B2351" s="1" t="s">
        <v>32</v>
      </c>
      <c r="C2351" s="1" t="s">
        <v>902</v>
      </c>
      <c r="D2351" s="1" t="s">
        <v>903</v>
      </c>
      <c r="E2351" s="1" t="n">
        <v>20171</v>
      </c>
      <c r="F2351" s="1" t="s">
        <v>208</v>
      </c>
      <c r="G2351" s="1" t="s">
        <v>18</v>
      </c>
      <c r="H2351" s="1" t="n">
        <v>3</v>
      </c>
      <c r="I2351" s="1" t="n">
        <v>0</v>
      </c>
      <c r="J2351" s="1" t="n">
        <v>20201</v>
      </c>
      <c r="L2351" s="1" t="str">
        <f aca="false">IF(D2350&lt;&gt;D2351,D2351,"")</f>
        <v/>
      </c>
      <c r="M2351" s="1" t="str">
        <f aca="false">IF(F2350&lt;&gt;F2351,F2351,"")</f>
        <v/>
      </c>
    </row>
    <row r="2352" customFormat="false" ht="15" hidden="false" customHeight="false" outlineLevel="0" collapsed="false">
      <c r="A2352" s="1" t="s">
        <v>122</v>
      </c>
      <c r="B2352" s="1" t="s">
        <v>123</v>
      </c>
      <c r="C2352" s="1" t="s">
        <v>902</v>
      </c>
      <c r="D2352" s="1" t="s">
        <v>903</v>
      </c>
      <c r="E2352" s="1" t="n">
        <v>20171</v>
      </c>
      <c r="F2352" s="1" t="s">
        <v>208</v>
      </c>
      <c r="G2352" s="1" t="s">
        <v>124</v>
      </c>
      <c r="H2352" s="1" t="n">
        <v>0</v>
      </c>
      <c r="I2352" s="1" t="n">
        <v>0</v>
      </c>
      <c r="J2352" s="1" t="n">
        <v>20201</v>
      </c>
      <c r="L2352" s="1" t="str">
        <f aca="false">IF(D2351&lt;&gt;D2352,D2352,"")</f>
        <v/>
      </c>
      <c r="M2352" s="1" t="str">
        <f aca="false">IF(F2351&lt;&gt;F2352,F2352,"")</f>
        <v/>
      </c>
    </row>
    <row r="2353" customFormat="false" ht="15" hidden="false" customHeight="false" outlineLevel="0" collapsed="false">
      <c r="A2353" s="1" t="s">
        <v>33</v>
      </c>
      <c r="B2353" s="1" t="s">
        <v>34</v>
      </c>
      <c r="C2353" s="1" t="s">
        <v>902</v>
      </c>
      <c r="D2353" s="1" t="s">
        <v>903</v>
      </c>
      <c r="E2353" s="1" t="n">
        <v>20171</v>
      </c>
      <c r="F2353" s="1" t="s">
        <v>208</v>
      </c>
      <c r="G2353" s="1" t="s">
        <v>15</v>
      </c>
      <c r="H2353" s="1" t="n">
        <v>3.5</v>
      </c>
      <c r="I2353" s="1" t="n">
        <v>0</v>
      </c>
      <c r="J2353" s="1" t="n">
        <v>20201</v>
      </c>
      <c r="L2353" s="1" t="str">
        <f aca="false">IF(D2352&lt;&gt;D2353,D2353,"")</f>
        <v/>
      </c>
      <c r="M2353" s="1" t="str">
        <f aca="false">IF(F2352&lt;&gt;F2353,F2353,"")</f>
        <v/>
      </c>
    </row>
    <row r="2354" customFormat="false" ht="15" hidden="false" customHeight="false" outlineLevel="0" collapsed="false">
      <c r="A2354" s="1" t="s">
        <v>125</v>
      </c>
      <c r="B2354" s="1" t="s">
        <v>126</v>
      </c>
      <c r="C2354" s="1" t="s">
        <v>902</v>
      </c>
      <c r="D2354" s="1" t="s">
        <v>903</v>
      </c>
      <c r="E2354" s="1" t="n">
        <v>20171</v>
      </c>
      <c r="F2354" s="1" t="s">
        <v>208</v>
      </c>
      <c r="G2354" s="1" t="s">
        <v>23</v>
      </c>
      <c r="H2354" s="1" t="n">
        <v>0</v>
      </c>
      <c r="I2354" s="1" t="n">
        <v>0</v>
      </c>
      <c r="J2354" s="1" t="n">
        <v>20201</v>
      </c>
      <c r="L2354" s="1" t="str">
        <f aca="false">IF(D2353&lt;&gt;D2354,D2354,"")</f>
        <v/>
      </c>
      <c r="M2354" s="1" t="str">
        <f aca="false">IF(F2353&lt;&gt;F2354,F2354,"")</f>
        <v/>
      </c>
    </row>
    <row r="2355" customFormat="false" ht="15" hidden="false" customHeight="false" outlineLevel="0" collapsed="false">
      <c r="A2355" s="1" t="s">
        <v>35</v>
      </c>
      <c r="B2355" s="1" t="s">
        <v>36</v>
      </c>
      <c r="C2355" s="1" t="s">
        <v>902</v>
      </c>
      <c r="D2355" s="1" t="s">
        <v>903</v>
      </c>
      <c r="E2355" s="1" t="n">
        <v>20171</v>
      </c>
      <c r="F2355" s="1" t="s">
        <v>208</v>
      </c>
      <c r="G2355" s="1" t="s">
        <v>18</v>
      </c>
      <c r="H2355" s="1" t="n">
        <v>3</v>
      </c>
      <c r="I2355" s="1" t="n">
        <v>0</v>
      </c>
      <c r="J2355" s="1" t="n">
        <v>20201</v>
      </c>
      <c r="L2355" s="1" t="str">
        <f aca="false">IF(D2354&lt;&gt;D2355,D2355,"")</f>
        <v/>
      </c>
      <c r="M2355" s="1" t="str">
        <f aca="false">IF(F2354&lt;&gt;F2355,F2355,"")</f>
        <v/>
      </c>
    </row>
    <row r="2356" customFormat="false" ht="15" hidden="false" customHeight="false" outlineLevel="0" collapsed="false">
      <c r="A2356" s="1" t="s">
        <v>128</v>
      </c>
      <c r="B2356" s="1" t="s">
        <v>129</v>
      </c>
      <c r="C2356" s="1" t="s">
        <v>902</v>
      </c>
      <c r="D2356" s="1" t="s">
        <v>903</v>
      </c>
      <c r="E2356" s="1" t="n">
        <v>20171</v>
      </c>
      <c r="F2356" s="1" t="s">
        <v>208</v>
      </c>
      <c r="G2356" s="1" t="s">
        <v>15</v>
      </c>
      <c r="H2356" s="1" t="n">
        <v>3.5</v>
      </c>
      <c r="I2356" s="1" t="n">
        <v>0</v>
      </c>
      <c r="J2356" s="1" t="n">
        <v>20201</v>
      </c>
      <c r="L2356" s="1" t="str">
        <f aca="false">IF(D2355&lt;&gt;D2356,D2356,"")</f>
        <v/>
      </c>
      <c r="M2356" s="1" t="str">
        <f aca="false">IF(F2355&lt;&gt;F2356,F2356,"")</f>
        <v/>
      </c>
    </row>
    <row r="2357" customFormat="false" ht="15" hidden="false" customHeight="false" outlineLevel="0" collapsed="false">
      <c r="A2357" s="1" t="s">
        <v>37</v>
      </c>
      <c r="B2357" s="1" t="s">
        <v>38</v>
      </c>
      <c r="C2357" s="1" t="s">
        <v>902</v>
      </c>
      <c r="D2357" s="1" t="s">
        <v>903</v>
      </c>
      <c r="E2357" s="1" t="n">
        <v>20171</v>
      </c>
      <c r="F2357" s="1" t="s">
        <v>208</v>
      </c>
      <c r="G2357" s="1" t="s">
        <v>101</v>
      </c>
      <c r="H2357" s="1" t="n">
        <v>2.5</v>
      </c>
      <c r="I2357" s="1" t="n">
        <v>0</v>
      </c>
      <c r="J2357" s="1" t="n">
        <v>20201</v>
      </c>
      <c r="L2357" s="1" t="str">
        <f aca="false">IF(D2356&lt;&gt;D2357,D2357,"")</f>
        <v/>
      </c>
      <c r="M2357" s="1" t="str">
        <f aca="false">IF(F2356&lt;&gt;F2357,F2357,"")</f>
        <v/>
      </c>
    </row>
    <row r="2358" customFormat="false" ht="15" hidden="false" customHeight="false" outlineLevel="0" collapsed="false">
      <c r="A2358" s="1" t="s">
        <v>579</v>
      </c>
      <c r="B2358" s="1" t="s">
        <v>580</v>
      </c>
      <c r="C2358" s="1" t="s">
        <v>902</v>
      </c>
      <c r="D2358" s="1" t="s">
        <v>903</v>
      </c>
      <c r="E2358" s="1" t="n">
        <v>20171</v>
      </c>
      <c r="F2358" s="1" t="s">
        <v>208</v>
      </c>
      <c r="G2358" s="1" t="s">
        <v>18</v>
      </c>
      <c r="H2358" s="1" t="n">
        <v>3</v>
      </c>
      <c r="I2358" s="1" t="n">
        <v>0</v>
      </c>
      <c r="J2358" s="1" t="n">
        <v>20201</v>
      </c>
      <c r="L2358" s="1" t="str">
        <f aca="false">IF(D2357&lt;&gt;D2358,D2358,"")</f>
        <v/>
      </c>
      <c r="M2358" s="1" t="str">
        <f aca="false">IF(F2357&lt;&gt;F2358,F2358,"")</f>
        <v/>
      </c>
    </row>
    <row r="2359" customFormat="false" ht="15" hidden="false" customHeight="false" outlineLevel="0" collapsed="false">
      <c r="A2359" s="1" t="s">
        <v>39</v>
      </c>
      <c r="B2359" s="1" t="s">
        <v>40</v>
      </c>
      <c r="C2359" s="1" t="s">
        <v>902</v>
      </c>
      <c r="D2359" s="1" t="s">
        <v>903</v>
      </c>
      <c r="E2359" s="1" t="n">
        <v>20171</v>
      </c>
      <c r="F2359" s="1" t="s">
        <v>208</v>
      </c>
      <c r="G2359" s="1" t="s">
        <v>18</v>
      </c>
      <c r="H2359" s="1" t="n">
        <v>3</v>
      </c>
      <c r="I2359" s="1" t="n">
        <v>0</v>
      </c>
      <c r="J2359" s="1" t="n">
        <v>20201</v>
      </c>
      <c r="L2359" s="1" t="str">
        <f aca="false">IF(D2358&lt;&gt;D2359,D2359,"")</f>
        <v/>
      </c>
      <c r="M2359" s="1" t="str">
        <f aca="false">IF(F2358&lt;&gt;F2359,F2359,"")</f>
        <v/>
      </c>
    </row>
    <row r="2360" customFormat="false" ht="15" hidden="false" customHeight="false" outlineLevel="0" collapsed="false">
      <c r="A2360" s="1" t="s">
        <v>130</v>
      </c>
      <c r="B2360" s="1" t="s">
        <v>131</v>
      </c>
      <c r="C2360" s="1" t="s">
        <v>902</v>
      </c>
      <c r="D2360" s="1" t="s">
        <v>903</v>
      </c>
      <c r="E2360" s="1" t="n">
        <v>20171</v>
      </c>
      <c r="F2360" s="1" t="s">
        <v>208</v>
      </c>
      <c r="G2360" s="1" t="s">
        <v>18</v>
      </c>
      <c r="H2360" s="1" t="n">
        <v>3</v>
      </c>
      <c r="I2360" s="1" t="n">
        <v>0</v>
      </c>
      <c r="J2360" s="1" t="n">
        <v>20201</v>
      </c>
      <c r="L2360" s="1" t="str">
        <f aca="false">IF(D2359&lt;&gt;D2360,D2360,"")</f>
        <v/>
      </c>
      <c r="M2360" s="1" t="str">
        <f aca="false">IF(F2359&lt;&gt;F2360,F2360,"")</f>
        <v/>
      </c>
    </row>
    <row r="2361" customFormat="false" ht="15" hidden="false" customHeight="false" outlineLevel="0" collapsed="false">
      <c r="A2361" s="1" t="s">
        <v>132</v>
      </c>
      <c r="B2361" s="1" t="s">
        <v>133</v>
      </c>
      <c r="C2361" s="1" t="s">
        <v>902</v>
      </c>
      <c r="D2361" s="1" t="s">
        <v>903</v>
      </c>
      <c r="E2361" s="1" t="n">
        <v>20171</v>
      </c>
      <c r="F2361" s="1" t="s">
        <v>208</v>
      </c>
      <c r="G2361" s="1" t="s">
        <v>15</v>
      </c>
      <c r="H2361" s="1" t="n">
        <v>3.5</v>
      </c>
      <c r="I2361" s="1" t="n">
        <v>0</v>
      </c>
      <c r="J2361" s="1" t="n">
        <v>20201</v>
      </c>
      <c r="L2361" s="1" t="str">
        <f aca="false">IF(D2360&lt;&gt;D2361,D2361,"")</f>
        <v/>
      </c>
      <c r="M2361" s="1" t="str">
        <f aca="false">IF(F2360&lt;&gt;F2361,F2361,"")</f>
        <v/>
      </c>
    </row>
    <row r="2362" customFormat="false" ht="15" hidden="false" customHeight="false" outlineLevel="0" collapsed="false">
      <c r="A2362" s="1" t="s">
        <v>41</v>
      </c>
      <c r="B2362" s="1" t="s">
        <v>42</v>
      </c>
      <c r="C2362" s="1" t="s">
        <v>902</v>
      </c>
      <c r="D2362" s="1" t="s">
        <v>903</v>
      </c>
      <c r="E2362" s="1" t="n">
        <v>20171</v>
      </c>
      <c r="F2362" s="1" t="s">
        <v>208</v>
      </c>
      <c r="G2362" s="1" t="s">
        <v>15</v>
      </c>
      <c r="H2362" s="1" t="n">
        <v>3.5</v>
      </c>
      <c r="I2362" s="1" t="n">
        <v>0</v>
      </c>
      <c r="J2362" s="1" t="n">
        <v>20201</v>
      </c>
      <c r="L2362" s="1" t="str">
        <f aca="false">IF(D2361&lt;&gt;D2362,D2362,"")</f>
        <v/>
      </c>
      <c r="M2362" s="1" t="str">
        <f aca="false">IF(F2361&lt;&gt;F2362,F2362,"")</f>
        <v/>
      </c>
    </row>
    <row r="2363" customFormat="false" ht="15" hidden="false" customHeight="false" outlineLevel="0" collapsed="false">
      <c r="A2363" s="1" t="s">
        <v>134</v>
      </c>
      <c r="B2363" s="1" t="s">
        <v>135</v>
      </c>
      <c r="C2363" s="1" t="s">
        <v>902</v>
      </c>
      <c r="D2363" s="1" t="s">
        <v>903</v>
      </c>
      <c r="E2363" s="1" t="n">
        <v>20171</v>
      </c>
      <c r="F2363" s="1" t="s">
        <v>208</v>
      </c>
      <c r="G2363" s="1" t="s">
        <v>23</v>
      </c>
      <c r="H2363" s="1" t="n">
        <v>0</v>
      </c>
      <c r="I2363" s="1" t="n">
        <v>0</v>
      </c>
      <c r="J2363" s="1" t="n">
        <v>20201</v>
      </c>
      <c r="L2363" s="1" t="str">
        <f aca="false">IF(D2362&lt;&gt;D2363,D2363,"")</f>
        <v/>
      </c>
      <c r="M2363" s="1" t="str">
        <f aca="false">IF(F2362&lt;&gt;F2363,F2363,"")</f>
        <v/>
      </c>
    </row>
    <row r="2364" customFormat="false" ht="15" hidden="false" customHeight="false" outlineLevel="0" collapsed="false">
      <c r="A2364" s="1" t="s">
        <v>43</v>
      </c>
      <c r="B2364" s="1" t="s">
        <v>44</v>
      </c>
      <c r="C2364" s="1" t="s">
        <v>902</v>
      </c>
      <c r="D2364" s="1" t="s">
        <v>903</v>
      </c>
      <c r="E2364" s="1" t="n">
        <v>20171</v>
      </c>
      <c r="F2364" s="1" t="s">
        <v>208</v>
      </c>
      <c r="G2364" s="1" t="s">
        <v>23</v>
      </c>
      <c r="H2364" s="1" t="n">
        <v>0</v>
      </c>
      <c r="I2364" s="1" t="n">
        <v>0</v>
      </c>
      <c r="J2364" s="1" t="n">
        <v>20201</v>
      </c>
      <c r="L2364" s="1" t="str">
        <f aca="false">IF(D2363&lt;&gt;D2364,D2364,"")</f>
        <v/>
      </c>
      <c r="M2364" s="1" t="str">
        <f aca="false">IF(F2363&lt;&gt;F2364,F2364,"")</f>
        <v/>
      </c>
    </row>
    <row r="2365" customFormat="false" ht="15" hidden="false" customHeight="false" outlineLevel="0" collapsed="false">
      <c r="A2365" s="1" t="s">
        <v>136</v>
      </c>
      <c r="B2365" s="1" t="s">
        <v>137</v>
      </c>
      <c r="C2365" s="1" t="s">
        <v>902</v>
      </c>
      <c r="D2365" s="1" t="s">
        <v>903</v>
      </c>
      <c r="E2365" s="1" t="n">
        <v>20171</v>
      </c>
      <c r="F2365" s="1" t="s">
        <v>208</v>
      </c>
      <c r="G2365" s="1" t="s">
        <v>124</v>
      </c>
      <c r="H2365" s="1" t="n">
        <v>0</v>
      </c>
      <c r="I2365" s="1" t="n">
        <v>0</v>
      </c>
      <c r="J2365" s="1" t="n">
        <v>20201</v>
      </c>
      <c r="L2365" s="1" t="str">
        <f aca="false">IF(D2364&lt;&gt;D2365,D2365,"")</f>
        <v/>
      </c>
      <c r="M2365" s="1" t="str">
        <f aca="false">IF(F2364&lt;&gt;F2365,F2365,"")</f>
        <v/>
      </c>
    </row>
    <row r="2366" customFormat="false" ht="15" hidden="false" customHeight="false" outlineLevel="0" collapsed="false">
      <c r="A2366" s="1" t="s">
        <v>609</v>
      </c>
      <c r="B2366" s="1" t="s">
        <v>610</v>
      </c>
      <c r="C2366" s="1" t="s">
        <v>902</v>
      </c>
      <c r="D2366" s="1" t="s">
        <v>903</v>
      </c>
      <c r="E2366" s="1" t="n">
        <v>20171</v>
      </c>
      <c r="F2366" s="1" t="s">
        <v>208</v>
      </c>
      <c r="G2366" s="1" t="s">
        <v>23</v>
      </c>
      <c r="H2366" s="1" t="n">
        <v>0</v>
      </c>
      <c r="I2366" s="1" t="n">
        <v>0</v>
      </c>
      <c r="J2366" s="1" t="n">
        <v>20201</v>
      </c>
      <c r="L2366" s="1" t="str">
        <f aca="false">IF(D2365&lt;&gt;D2366,D2366,"")</f>
        <v/>
      </c>
      <c r="M2366" s="1" t="str">
        <f aca="false">IF(F2365&lt;&gt;F2366,F2366,"")</f>
        <v/>
      </c>
    </row>
    <row r="2367" customFormat="false" ht="15" hidden="false" customHeight="false" outlineLevel="0" collapsed="false">
      <c r="A2367" s="1" t="s">
        <v>138</v>
      </c>
      <c r="B2367" s="1" t="s">
        <v>139</v>
      </c>
      <c r="C2367" s="1" t="s">
        <v>902</v>
      </c>
      <c r="D2367" s="1" t="s">
        <v>903</v>
      </c>
      <c r="E2367" s="1" t="n">
        <v>20171</v>
      </c>
      <c r="F2367" s="1" t="s">
        <v>208</v>
      </c>
      <c r="G2367" s="1" t="s">
        <v>23</v>
      </c>
      <c r="H2367" s="1" t="n">
        <v>0</v>
      </c>
      <c r="I2367" s="1" t="n">
        <v>0</v>
      </c>
      <c r="J2367" s="1" t="n">
        <v>20201</v>
      </c>
      <c r="L2367" s="1" t="str">
        <f aca="false">IF(D2366&lt;&gt;D2367,D2367,"")</f>
        <v/>
      </c>
      <c r="M2367" s="1" t="str">
        <f aca="false">IF(F2366&lt;&gt;F2367,F2367,"")</f>
        <v/>
      </c>
    </row>
    <row r="2368" customFormat="false" ht="15" hidden="false" customHeight="false" outlineLevel="0" collapsed="false">
      <c r="A2368" s="1" t="s">
        <v>45</v>
      </c>
      <c r="B2368" s="1" t="s">
        <v>46</v>
      </c>
      <c r="C2368" s="1" t="s">
        <v>902</v>
      </c>
      <c r="D2368" s="1" t="s">
        <v>903</v>
      </c>
      <c r="E2368" s="1" t="n">
        <v>20171</v>
      </c>
      <c r="F2368" s="1" t="s">
        <v>208</v>
      </c>
      <c r="G2368" s="1" t="s">
        <v>23</v>
      </c>
      <c r="H2368" s="1" t="n">
        <v>0</v>
      </c>
      <c r="I2368" s="1" t="n">
        <v>0</v>
      </c>
      <c r="J2368" s="1" t="n">
        <v>20201</v>
      </c>
      <c r="L2368" s="1" t="str">
        <f aca="false">IF(D2367&lt;&gt;D2368,D2368,"")</f>
        <v/>
      </c>
      <c r="M2368" s="1" t="str">
        <f aca="false">IF(F2367&lt;&gt;F2368,F2368,"")</f>
        <v/>
      </c>
    </row>
    <row r="2369" customFormat="false" ht="15" hidden="false" customHeight="false" outlineLevel="0" collapsed="false">
      <c r="A2369" s="1" t="s">
        <v>140</v>
      </c>
      <c r="B2369" s="1" t="s">
        <v>141</v>
      </c>
      <c r="C2369" s="1" t="s">
        <v>902</v>
      </c>
      <c r="D2369" s="1" t="s">
        <v>903</v>
      </c>
      <c r="E2369" s="1" t="n">
        <v>20171</v>
      </c>
      <c r="F2369" s="1" t="s">
        <v>208</v>
      </c>
      <c r="G2369" s="1" t="s">
        <v>15</v>
      </c>
      <c r="H2369" s="1" t="n">
        <v>3.5</v>
      </c>
      <c r="I2369" s="1" t="n">
        <v>0</v>
      </c>
      <c r="J2369" s="1" t="n">
        <v>20201</v>
      </c>
      <c r="L2369" s="1" t="str">
        <f aca="false">IF(D2368&lt;&gt;D2369,D2369,"")</f>
        <v/>
      </c>
      <c r="M2369" s="1" t="str">
        <f aca="false">IF(F2368&lt;&gt;F2369,F2369,"")</f>
        <v/>
      </c>
    </row>
    <row r="2370" customFormat="false" ht="15" hidden="false" customHeight="false" outlineLevel="0" collapsed="false">
      <c r="A2370" s="1" t="s">
        <v>47</v>
      </c>
      <c r="B2370" s="1" t="s">
        <v>48</v>
      </c>
      <c r="C2370" s="1" t="s">
        <v>902</v>
      </c>
      <c r="D2370" s="1" t="s">
        <v>903</v>
      </c>
      <c r="E2370" s="1" t="n">
        <v>20171</v>
      </c>
      <c r="F2370" s="1" t="s">
        <v>208</v>
      </c>
      <c r="G2370" s="1" t="s">
        <v>124</v>
      </c>
      <c r="H2370" s="1" t="n">
        <v>0</v>
      </c>
      <c r="I2370" s="1" t="n">
        <v>0</v>
      </c>
      <c r="J2370" s="1" t="n">
        <v>20201</v>
      </c>
      <c r="L2370" s="1" t="str">
        <f aca="false">IF(D2369&lt;&gt;D2370,D2370,"")</f>
        <v/>
      </c>
      <c r="M2370" s="1" t="str">
        <f aca="false">IF(F2369&lt;&gt;F2370,F2370,"")</f>
        <v/>
      </c>
    </row>
    <row r="2371" customFormat="false" ht="15" hidden="false" customHeight="false" outlineLevel="0" collapsed="false">
      <c r="A2371" s="1" t="s">
        <v>142</v>
      </c>
      <c r="B2371" s="1" t="s">
        <v>143</v>
      </c>
      <c r="C2371" s="1" t="s">
        <v>902</v>
      </c>
      <c r="D2371" s="1" t="s">
        <v>903</v>
      </c>
      <c r="E2371" s="1" t="n">
        <v>20171</v>
      </c>
      <c r="F2371" s="1" t="s">
        <v>208</v>
      </c>
      <c r="G2371" s="1" t="s">
        <v>15</v>
      </c>
      <c r="H2371" s="1" t="n">
        <v>3.5</v>
      </c>
      <c r="I2371" s="1" t="n">
        <v>0</v>
      </c>
      <c r="J2371" s="1" t="n">
        <v>20201</v>
      </c>
      <c r="L2371" s="1" t="str">
        <f aca="false">IF(D2370&lt;&gt;D2371,D2371,"")</f>
        <v/>
      </c>
      <c r="M2371" s="1" t="str">
        <f aca="false">IF(F2370&lt;&gt;F2371,F2371,"")</f>
        <v/>
      </c>
    </row>
    <row r="2372" customFormat="false" ht="15" hidden="false" customHeight="false" outlineLevel="0" collapsed="false">
      <c r="A2372" s="1" t="s">
        <v>49</v>
      </c>
      <c r="B2372" s="1" t="s">
        <v>50</v>
      </c>
      <c r="C2372" s="1" t="s">
        <v>902</v>
      </c>
      <c r="D2372" s="1" t="s">
        <v>903</v>
      </c>
      <c r="E2372" s="1" t="n">
        <v>20171</v>
      </c>
      <c r="F2372" s="1" t="s">
        <v>208</v>
      </c>
      <c r="G2372" s="1" t="s">
        <v>18</v>
      </c>
      <c r="H2372" s="1" t="n">
        <v>3</v>
      </c>
      <c r="I2372" s="1" t="n">
        <v>0</v>
      </c>
      <c r="J2372" s="1" t="n">
        <v>20201</v>
      </c>
      <c r="L2372" s="1" t="str">
        <f aca="false">IF(D2371&lt;&gt;D2372,D2372,"")</f>
        <v/>
      </c>
      <c r="M2372" s="1" t="str">
        <f aca="false">IF(F2371&lt;&gt;F2372,F2372,"")</f>
        <v/>
      </c>
    </row>
    <row r="2373" customFormat="false" ht="15" hidden="false" customHeight="false" outlineLevel="0" collapsed="false">
      <c r="A2373" s="1" t="s">
        <v>144</v>
      </c>
      <c r="B2373" s="1" t="s">
        <v>145</v>
      </c>
      <c r="C2373" s="1" t="s">
        <v>902</v>
      </c>
      <c r="D2373" s="1" t="s">
        <v>903</v>
      </c>
      <c r="E2373" s="1" t="n">
        <v>20171</v>
      </c>
      <c r="F2373" s="1" t="s">
        <v>208</v>
      </c>
      <c r="G2373" s="1" t="s">
        <v>124</v>
      </c>
      <c r="H2373" s="1" t="n">
        <v>0</v>
      </c>
      <c r="I2373" s="1" t="n">
        <v>0</v>
      </c>
      <c r="J2373" s="1" t="n">
        <v>20201</v>
      </c>
      <c r="L2373" s="1" t="str">
        <f aca="false">IF(D2372&lt;&gt;D2373,D2373,"")</f>
        <v/>
      </c>
      <c r="M2373" s="1" t="str">
        <f aca="false">IF(F2372&lt;&gt;F2373,F2373,"")</f>
        <v/>
      </c>
    </row>
    <row r="2374" customFormat="false" ht="15" hidden="false" customHeight="false" outlineLevel="0" collapsed="false">
      <c r="A2374" s="1" t="s">
        <v>51</v>
      </c>
      <c r="B2374" s="1" t="s">
        <v>52</v>
      </c>
      <c r="C2374" s="1" t="s">
        <v>902</v>
      </c>
      <c r="D2374" s="1" t="s">
        <v>903</v>
      </c>
      <c r="E2374" s="1" t="n">
        <v>20171</v>
      </c>
      <c r="F2374" s="1" t="s">
        <v>208</v>
      </c>
      <c r="G2374" s="1" t="s">
        <v>18</v>
      </c>
      <c r="H2374" s="1" t="n">
        <v>3</v>
      </c>
      <c r="I2374" s="1" t="n">
        <v>0</v>
      </c>
      <c r="J2374" s="1" t="n">
        <v>20201</v>
      </c>
      <c r="L2374" s="1" t="str">
        <f aca="false">IF(D2373&lt;&gt;D2374,D2374,"")</f>
        <v/>
      </c>
      <c r="M2374" s="1" t="str">
        <f aca="false">IF(F2373&lt;&gt;F2374,F2374,"")</f>
        <v/>
      </c>
    </row>
    <row r="2375" customFormat="false" ht="15" hidden="false" customHeight="false" outlineLevel="0" collapsed="false">
      <c r="A2375" s="1" t="s">
        <v>146</v>
      </c>
      <c r="B2375" s="1" t="s">
        <v>147</v>
      </c>
      <c r="C2375" s="1" t="s">
        <v>902</v>
      </c>
      <c r="D2375" s="1" t="s">
        <v>903</v>
      </c>
      <c r="E2375" s="1" t="n">
        <v>20171</v>
      </c>
      <c r="F2375" s="1" t="s">
        <v>208</v>
      </c>
      <c r="G2375" s="1" t="s">
        <v>15</v>
      </c>
      <c r="H2375" s="1" t="n">
        <v>3.5</v>
      </c>
      <c r="I2375" s="1" t="n">
        <v>0</v>
      </c>
      <c r="J2375" s="1" t="n">
        <v>20201</v>
      </c>
      <c r="L2375" s="1" t="str">
        <f aca="false">IF(D2374&lt;&gt;D2375,D2375,"")</f>
        <v/>
      </c>
      <c r="M2375" s="1" t="str">
        <f aca="false">IF(F2374&lt;&gt;F2375,F2375,"")</f>
        <v/>
      </c>
    </row>
    <row r="2376" customFormat="false" ht="15" hidden="false" customHeight="false" outlineLevel="0" collapsed="false">
      <c r="A2376" s="1" t="s">
        <v>53</v>
      </c>
      <c r="B2376" s="1" t="s">
        <v>54</v>
      </c>
      <c r="C2376" s="1" t="s">
        <v>902</v>
      </c>
      <c r="D2376" s="1" t="s">
        <v>903</v>
      </c>
      <c r="E2376" s="1" t="n">
        <v>20171</v>
      </c>
      <c r="F2376" s="1" t="s">
        <v>208</v>
      </c>
      <c r="G2376" s="1" t="s">
        <v>18</v>
      </c>
      <c r="H2376" s="1" t="n">
        <v>3</v>
      </c>
      <c r="I2376" s="1" t="n">
        <v>0</v>
      </c>
      <c r="J2376" s="1" t="n">
        <v>20201</v>
      </c>
      <c r="L2376" s="1" t="str">
        <f aca="false">IF(D2375&lt;&gt;D2376,D2376,"")</f>
        <v/>
      </c>
      <c r="M2376" s="1" t="str">
        <f aca="false">IF(F2375&lt;&gt;F2376,F2376,"")</f>
        <v/>
      </c>
    </row>
    <row r="2377" customFormat="false" ht="15" hidden="false" customHeight="false" outlineLevel="0" collapsed="false">
      <c r="A2377" s="1" t="s">
        <v>148</v>
      </c>
      <c r="B2377" s="1" t="s">
        <v>149</v>
      </c>
      <c r="C2377" s="1" t="s">
        <v>902</v>
      </c>
      <c r="D2377" s="1" t="s">
        <v>903</v>
      </c>
      <c r="E2377" s="1" t="n">
        <v>20171</v>
      </c>
      <c r="F2377" s="1" t="s">
        <v>208</v>
      </c>
      <c r="G2377" s="1" t="s">
        <v>18</v>
      </c>
      <c r="H2377" s="1" t="n">
        <v>3</v>
      </c>
      <c r="I2377" s="1" t="n">
        <v>0</v>
      </c>
      <c r="J2377" s="1" t="n">
        <v>20201</v>
      </c>
      <c r="L2377" s="1" t="str">
        <f aca="false">IF(D2376&lt;&gt;D2377,D2377,"")</f>
        <v/>
      </c>
      <c r="M2377" s="1" t="str">
        <f aca="false">IF(F2376&lt;&gt;F2377,F2377,"")</f>
        <v/>
      </c>
    </row>
    <row r="2378" customFormat="false" ht="15" hidden="false" customHeight="false" outlineLevel="0" collapsed="false">
      <c r="A2378" s="1" t="s">
        <v>57</v>
      </c>
      <c r="B2378" s="1" t="s">
        <v>58</v>
      </c>
      <c r="C2378" s="1" t="s">
        <v>902</v>
      </c>
      <c r="D2378" s="1" t="s">
        <v>903</v>
      </c>
      <c r="E2378" s="1" t="n">
        <v>20171</v>
      </c>
      <c r="F2378" s="1" t="s">
        <v>208</v>
      </c>
      <c r="G2378" s="1" t="s">
        <v>15</v>
      </c>
      <c r="H2378" s="1" t="n">
        <v>3.5</v>
      </c>
      <c r="I2378" s="1" t="n">
        <v>0</v>
      </c>
      <c r="J2378" s="1" t="n">
        <v>20201</v>
      </c>
      <c r="L2378" s="1" t="str">
        <f aca="false">IF(D2377&lt;&gt;D2378,D2378,"")</f>
        <v/>
      </c>
      <c r="M2378" s="1" t="str">
        <f aca="false">IF(F2377&lt;&gt;F2378,F2378,"")</f>
        <v/>
      </c>
    </row>
    <row r="2379" customFormat="false" ht="15" hidden="false" customHeight="false" outlineLevel="0" collapsed="false">
      <c r="A2379" s="1" t="s">
        <v>150</v>
      </c>
      <c r="B2379" s="1" t="s">
        <v>151</v>
      </c>
      <c r="C2379" s="1" t="s">
        <v>902</v>
      </c>
      <c r="D2379" s="1" t="s">
        <v>903</v>
      </c>
      <c r="E2379" s="1" t="n">
        <v>20171</v>
      </c>
      <c r="F2379" s="1" t="s">
        <v>208</v>
      </c>
      <c r="G2379" s="1" t="s">
        <v>15</v>
      </c>
      <c r="H2379" s="1" t="n">
        <v>3.5</v>
      </c>
      <c r="I2379" s="1" t="n">
        <v>0</v>
      </c>
      <c r="J2379" s="1" t="n">
        <v>20201</v>
      </c>
      <c r="L2379" s="1" t="str">
        <f aca="false">IF(D2378&lt;&gt;D2379,D2379,"")</f>
        <v/>
      </c>
      <c r="M2379" s="1" t="str">
        <f aca="false">IF(F2378&lt;&gt;F2379,F2379,"")</f>
        <v/>
      </c>
    </row>
    <row r="2380" customFormat="false" ht="15" hidden="false" customHeight="false" outlineLevel="0" collapsed="false">
      <c r="A2380" s="1" t="s">
        <v>59</v>
      </c>
      <c r="B2380" s="1" t="s">
        <v>60</v>
      </c>
      <c r="C2380" s="1" t="s">
        <v>902</v>
      </c>
      <c r="D2380" s="1" t="s">
        <v>903</v>
      </c>
      <c r="E2380" s="1" t="n">
        <v>20171</v>
      </c>
      <c r="F2380" s="1" t="s">
        <v>208</v>
      </c>
      <c r="G2380" s="1" t="s">
        <v>18</v>
      </c>
      <c r="H2380" s="1" t="n">
        <v>3</v>
      </c>
      <c r="I2380" s="1" t="n">
        <v>0</v>
      </c>
      <c r="J2380" s="1" t="n">
        <v>20201</v>
      </c>
      <c r="L2380" s="1" t="str">
        <f aca="false">IF(D2379&lt;&gt;D2380,D2380,"")</f>
        <v/>
      </c>
      <c r="M2380" s="1" t="str">
        <f aca="false">IF(F2379&lt;&gt;F2380,F2380,"")</f>
        <v/>
      </c>
    </row>
    <row r="2381" customFormat="false" ht="15" hidden="false" customHeight="false" outlineLevel="0" collapsed="false">
      <c r="A2381" s="1" t="s">
        <v>152</v>
      </c>
      <c r="B2381" s="1" t="s">
        <v>153</v>
      </c>
      <c r="C2381" s="1" t="s">
        <v>902</v>
      </c>
      <c r="D2381" s="1" t="s">
        <v>903</v>
      </c>
      <c r="E2381" s="1" t="n">
        <v>20171</v>
      </c>
      <c r="F2381" s="1" t="s">
        <v>208</v>
      </c>
      <c r="G2381" s="1" t="s">
        <v>15</v>
      </c>
      <c r="H2381" s="1" t="n">
        <v>3.5</v>
      </c>
      <c r="I2381" s="1" t="n">
        <v>0</v>
      </c>
      <c r="J2381" s="1" t="n">
        <v>20201</v>
      </c>
      <c r="L2381" s="1" t="str">
        <f aca="false">IF(D2380&lt;&gt;D2381,D2381,"")</f>
        <v/>
      </c>
      <c r="M2381" s="1" t="str">
        <f aca="false">IF(F2380&lt;&gt;F2381,F2381,"")</f>
        <v/>
      </c>
    </row>
    <row r="2382" customFormat="false" ht="15" hidden="false" customHeight="false" outlineLevel="0" collapsed="false">
      <c r="A2382" s="1" t="s">
        <v>61</v>
      </c>
      <c r="B2382" s="1" t="s">
        <v>62</v>
      </c>
      <c r="C2382" s="1" t="s">
        <v>902</v>
      </c>
      <c r="D2382" s="1" t="s">
        <v>903</v>
      </c>
      <c r="E2382" s="1" t="n">
        <v>20171</v>
      </c>
      <c r="F2382" s="1" t="s">
        <v>208</v>
      </c>
      <c r="G2382" s="1" t="s">
        <v>124</v>
      </c>
      <c r="H2382" s="1" t="n">
        <v>0</v>
      </c>
      <c r="I2382" s="1" t="n">
        <v>0</v>
      </c>
      <c r="J2382" s="1" t="n">
        <v>20201</v>
      </c>
      <c r="L2382" s="1" t="str">
        <f aca="false">IF(D2381&lt;&gt;D2382,D2382,"")</f>
        <v/>
      </c>
      <c r="M2382" s="1" t="str">
        <f aca="false">IF(F2381&lt;&gt;F2382,F2382,"")</f>
        <v/>
      </c>
    </row>
    <row r="2383" customFormat="false" ht="15" hidden="false" customHeight="false" outlineLevel="0" collapsed="false">
      <c r="A2383" s="1" t="s">
        <v>154</v>
      </c>
      <c r="B2383" s="1" t="s">
        <v>155</v>
      </c>
      <c r="C2383" s="1" t="s">
        <v>902</v>
      </c>
      <c r="D2383" s="1" t="s">
        <v>903</v>
      </c>
      <c r="E2383" s="1" t="n">
        <v>20171</v>
      </c>
      <c r="F2383" s="1" t="s">
        <v>208</v>
      </c>
      <c r="G2383" s="1" t="s">
        <v>124</v>
      </c>
      <c r="H2383" s="1" t="n">
        <v>0</v>
      </c>
      <c r="I2383" s="1" t="n">
        <v>0</v>
      </c>
      <c r="J2383" s="1" t="n">
        <v>20201</v>
      </c>
      <c r="L2383" s="1" t="str">
        <f aca="false">IF(D2382&lt;&gt;D2383,D2383,"")</f>
        <v/>
      </c>
      <c r="M2383" s="1" t="str">
        <f aca="false">IF(F2382&lt;&gt;F2383,F2383,"")</f>
        <v/>
      </c>
    </row>
    <row r="2384" customFormat="false" ht="15" hidden="false" customHeight="false" outlineLevel="0" collapsed="false">
      <c r="A2384" s="1" t="s">
        <v>63</v>
      </c>
      <c r="B2384" s="1" t="s">
        <v>64</v>
      </c>
      <c r="C2384" s="1" t="s">
        <v>902</v>
      </c>
      <c r="D2384" s="1" t="s">
        <v>903</v>
      </c>
      <c r="E2384" s="1" t="n">
        <v>20171</v>
      </c>
      <c r="F2384" s="1" t="s">
        <v>208</v>
      </c>
      <c r="G2384" s="1" t="s">
        <v>124</v>
      </c>
      <c r="H2384" s="1" t="n">
        <v>0</v>
      </c>
      <c r="I2384" s="1" t="n">
        <v>0</v>
      </c>
      <c r="J2384" s="1" t="n">
        <v>20201</v>
      </c>
      <c r="L2384" s="1" t="str">
        <f aca="false">IF(D2383&lt;&gt;D2384,D2384,"")</f>
        <v/>
      </c>
      <c r="M2384" s="1" t="str">
        <f aca="false">IF(F2383&lt;&gt;F2384,F2384,"")</f>
        <v/>
      </c>
    </row>
    <row r="2385" customFormat="false" ht="15" hidden="false" customHeight="false" outlineLevel="0" collapsed="false">
      <c r="A2385" s="1" t="s">
        <v>156</v>
      </c>
      <c r="B2385" s="1" t="s">
        <v>157</v>
      </c>
      <c r="C2385" s="1" t="s">
        <v>902</v>
      </c>
      <c r="D2385" s="1" t="s">
        <v>903</v>
      </c>
      <c r="E2385" s="1" t="n">
        <v>20171</v>
      </c>
      <c r="F2385" s="1" t="s">
        <v>208</v>
      </c>
      <c r="G2385" s="1" t="s">
        <v>124</v>
      </c>
      <c r="H2385" s="1" t="n">
        <v>0</v>
      </c>
      <c r="I2385" s="1" t="n">
        <v>0</v>
      </c>
      <c r="J2385" s="1" t="n">
        <v>20201</v>
      </c>
      <c r="L2385" s="1" t="str">
        <f aca="false">IF(D2384&lt;&gt;D2385,D2385,"")</f>
        <v/>
      </c>
      <c r="M2385" s="1" t="str">
        <f aca="false">IF(F2384&lt;&gt;F2385,F2385,"")</f>
        <v/>
      </c>
    </row>
    <row r="2386" customFormat="false" ht="15" hidden="false" customHeight="false" outlineLevel="0" collapsed="false">
      <c r="A2386" s="1" t="s">
        <v>65</v>
      </c>
      <c r="B2386" s="1" t="s">
        <v>66</v>
      </c>
      <c r="C2386" s="1" t="s">
        <v>902</v>
      </c>
      <c r="D2386" s="1" t="s">
        <v>903</v>
      </c>
      <c r="E2386" s="1" t="n">
        <v>20171</v>
      </c>
      <c r="F2386" s="1" t="s">
        <v>208</v>
      </c>
      <c r="G2386" s="1" t="s">
        <v>101</v>
      </c>
      <c r="H2386" s="1" t="n">
        <v>2.5</v>
      </c>
      <c r="I2386" s="1" t="n">
        <v>0</v>
      </c>
      <c r="J2386" s="1" t="n">
        <v>20201</v>
      </c>
      <c r="L2386" s="1" t="str">
        <f aca="false">IF(D2385&lt;&gt;D2386,D2386,"")</f>
        <v/>
      </c>
      <c r="M2386" s="1" t="str">
        <f aca="false">IF(F2385&lt;&gt;F2386,F2386,"")</f>
        <v/>
      </c>
    </row>
    <row r="2387" customFormat="false" ht="15" hidden="false" customHeight="false" outlineLevel="0" collapsed="false">
      <c r="A2387" s="1" t="s">
        <v>158</v>
      </c>
      <c r="B2387" s="1" t="s">
        <v>159</v>
      </c>
      <c r="C2387" s="1" t="s">
        <v>902</v>
      </c>
      <c r="D2387" s="1" t="s">
        <v>903</v>
      </c>
      <c r="E2387" s="1" t="n">
        <v>20171</v>
      </c>
      <c r="F2387" s="1" t="s">
        <v>208</v>
      </c>
      <c r="G2387" s="1" t="s">
        <v>18</v>
      </c>
      <c r="H2387" s="1" t="n">
        <v>3</v>
      </c>
      <c r="I2387" s="1" t="n">
        <v>0</v>
      </c>
      <c r="J2387" s="1" t="n">
        <v>20201</v>
      </c>
      <c r="L2387" s="1" t="str">
        <f aca="false">IF(D2386&lt;&gt;D2387,D2387,"")</f>
        <v/>
      </c>
      <c r="M2387" s="1" t="str">
        <f aca="false">IF(F2386&lt;&gt;F2387,F2387,"")</f>
        <v/>
      </c>
    </row>
    <row r="2388" customFormat="false" ht="15" hidden="false" customHeight="false" outlineLevel="0" collapsed="false">
      <c r="A2388" s="1" t="s">
        <v>67</v>
      </c>
      <c r="B2388" s="1" t="s">
        <v>68</v>
      </c>
      <c r="C2388" s="1" t="s">
        <v>902</v>
      </c>
      <c r="D2388" s="1" t="s">
        <v>903</v>
      </c>
      <c r="E2388" s="1" t="n">
        <v>20171</v>
      </c>
      <c r="F2388" s="1" t="s">
        <v>208</v>
      </c>
      <c r="G2388" s="1" t="s">
        <v>18</v>
      </c>
      <c r="H2388" s="1" t="n">
        <v>3</v>
      </c>
      <c r="I2388" s="1" t="n">
        <v>0</v>
      </c>
      <c r="J2388" s="1" t="n">
        <v>20201</v>
      </c>
      <c r="L2388" s="1" t="str">
        <f aca="false">IF(D2387&lt;&gt;D2388,D2388,"")</f>
        <v/>
      </c>
      <c r="M2388" s="1" t="str">
        <f aca="false">IF(F2387&lt;&gt;F2388,F2388,"")</f>
        <v/>
      </c>
    </row>
    <row r="2389" customFormat="false" ht="15" hidden="false" customHeight="false" outlineLevel="0" collapsed="false">
      <c r="A2389" s="1" t="s">
        <v>69</v>
      </c>
      <c r="B2389" s="1" t="s">
        <v>70</v>
      </c>
      <c r="C2389" s="1" t="s">
        <v>902</v>
      </c>
      <c r="D2389" s="1" t="s">
        <v>903</v>
      </c>
      <c r="E2389" s="1" t="n">
        <v>20171</v>
      </c>
      <c r="F2389" s="1" t="s">
        <v>208</v>
      </c>
      <c r="G2389" s="1" t="s">
        <v>18</v>
      </c>
      <c r="H2389" s="1" t="n">
        <v>3</v>
      </c>
      <c r="I2389" s="1" t="n">
        <v>0</v>
      </c>
      <c r="J2389" s="1" t="n">
        <v>20201</v>
      </c>
      <c r="L2389" s="1" t="str">
        <f aca="false">IF(D2388&lt;&gt;D2389,D2389,"")</f>
        <v/>
      </c>
      <c r="M2389" s="1" t="str">
        <f aca="false">IF(F2388&lt;&gt;F2389,F2389,"")</f>
        <v/>
      </c>
    </row>
    <row r="2390" customFormat="false" ht="15" hidden="false" customHeight="false" outlineLevel="0" collapsed="false">
      <c r="A2390" s="1" t="s">
        <v>71</v>
      </c>
      <c r="B2390" s="1" t="s">
        <v>72</v>
      </c>
      <c r="C2390" s="1" t="s">
        <v>902</v>
      </c>
      <c r="D2390" s="1" t="s">
        <v>903</v>
      </c>
      <c r="E2390" s="1" t="n">
        <v>20171</v>
      </c>
      <c r="F2390" s="1" t="s">
        <v>208</v>
      </c>
      <c r="G2390" s="1" t="s">
        <v>15</v>
      </c>
      <c r="H2390" s="1" t="n">
        <v>3.5</v>
      </c>
      <c r="I2390" s="1" t="n">
        <v>0</v>
      </c>
      <c r="J2390" s="1" t="n">
        <v>20201</v>
      </c>
      <c r="L2390" s="1" t="str">
        <f aca="false">IF(D2389&lt;&gt;D2390,D2390,"")</f>
        <v/>
      </c>
      <c r="M2390" s="1" t="str">
        <f aca="false">IF(F2389&lt;&gt;F2390,F2390,"")</f>
        <v/>
      </c>
    </row>
    <row r="2391" customFormat="false" ht="15" hidden="false" customHeight="false" outlineLevel="0" collapsed="false">
      <c r="A2391" s="1" t="s">
        <v>160</v>
      </c>
      <c r="B2391" s="1" t="s">
        <v>161</v>
      </c>
      <c r="C2391" s="1" t="s">
        <v>902</v>
      </c>
      <c r="D2391" s="1" t="s">
        <v>903</v>
      </c>
      <c r="E2391" s="1" t="n">
        <v>20171</v>
      </c>
      <c r="F2391" s="1" t="s">
        <v>208</v>
      </c>
      <c r="G2391" s="1" t="s">
        <v>23</v>
      </c>
      <c r="H2391" s="1" t="n">
        <v>0</v>
      </c>
      <c r="I2391" s="1" t="n">
        <v>0</v>
      </c>
      <c r="J2391" s="1" t="n">
        <v>20201</v>
      </c>
      <c r="L2391" s="1" t="str">
        <f aca="false">IF(D2390&lt;&gt;D2391,D2391,"")</f>
        <v/>
      </c>
      <c r="M2391" s="1" t="str">
        <f aca="false">IF(F2390&lt;&gt;F2391,F2391,"")</f>
        <v/>
      </c>
    </row>
    <row r="2392" customFormat="false" ht="15" hidden="false" customHeight="false" outlineLevel="0" collapsed="false">
      <c r="A2392" s="1" t="s">
        <v>162</v>
      </c>
      <c r="B2392" s="1" t="s">
        <v>163</v>
      </c>
      <c r="C2392" s="1" t="s">
        <v>902</v>
      </c>
      <c r="D2392" s="1" t="s">
        <v>903</v>
      </c>
      <c r="E2392" s="1" t="n">
        <v>20171</v>
      </c>
      <c r="F2392" s="1" t="s">
        <v>208</v>
      </c>
      <c r="G2392" s="1" t="s">
        <v>101</v>
      </c>
      <c r="H2392" s="1" t="n">
        <v>2.5</v>
      </c>
      <c r="I2392" s="1" t="n">
        <v>0</v>
      </c>
      <c r="J2392" s="1" t="n">
        <v>20201</v>
      </c>
      <c r="L2392" s="1" t="str">
        <f aca="false">IF(D2391&lt;&gt;D2392,D2392,"")</f>
        <v/>
      </c>
      <c r="M2392" s="1" t="str">
        <f aca="false">IF(F2391&lt;&gt;F2392,F2392,"")</f>
        <v/>
      </c>
    </row>
    <row r="2393" customFormat="false" ht="15" hidden="false" customHeight="false" outlineLevel="0" collapsed="false">
      <c r="A2393" s="1" t="s">
        <v>73</v>
      </c>
      <c r="B2393" s="1" t="s">
        <v>74</v>
      </c>
      <c r="C2393" s="1" t="s">
        <v>902</v>
      </c>
      <c r="D2393" s="1" t="s">
        <v>903</v>
      </c>
      <c r="E2393" s="1" t="n">
        <v>20171</v>
      </c>
      <c r="F2393" s="1" t="s">
        <v>208</v>
      </c>
      <c r="G2393" s="1" t="s">
        <v>18</v>
      </c>
      <c r="H2393" s="1" t="n">
        <v>3</v>
      </c>
      <c r="I2393" s="1" t="n">
        <v>0</v>
      </c>
      <c r="J2393" s="1" t="n">
        <v>20201</v>
      </c>
      <c r="L2393" s="1" t="str">
        <f aca="false">IF(D2392&lt;&gt;D2393,D2393,"")</f>
        <v/>
      </c>
      <c r="M2393" s="1" t="str">
        <f aca="false">IF(F2392&lt;&gt;F2393,F2393,"")</f>
        <v/>
      </c>
    </row>
    <row r="2394" customFormat="false" ht="15" hidden="false" customHeight="false" outlineLevel="0" collapsed="false">
      <c r="A2394" s="1" t="s">
        <v>164</v>
      </c>
      <c r="B2394" s="1" t="s">
        <v>165</v>
      </c>
      <c r="C2394" s="1" t="s">
        <v>902</v>
      </c>
      <c r="D2394" s="1" t="s">
        <v>903</v>
      </c>
      <c r="E2394" s="1" t="n">
        <v>20171</v>
      </c>
      <c r="F2394" s="1" t="s">
        <v>208</v>
      </c>
      <c r="G2394" s="1" t="s">
        <v>127</v>
      </c>
      <c r="H2394" s="1" t="n">
        <v>2</v>
      </c>
      <c r="I2394" s="1" t="n">
        <v>0</v>
      </c>
      <c r="J2394" s="1" t="n">
        <v>20201</v>
      </c>
      <c r="L2394" s="1" t="str">
        <f aca="false">IF(D2393&lt;&gt;D2394,D2394,"")</f>
        <v/>
      </c>
      <c r="M2394" s="1" t="str">
        <f aca="false">IF(F2393&lt;&gt;F2394,F2394,"")</f>
        <v/>
      </c>
    </row>
    <row r="2395" customFormat="false" ht="15" hidden="false" customHeight="false" outlineLevel="0" collapsed="false">
      <c r="A2395" s="1" t="s">
        <v>75</v>
      </c>
      <c r="B2395" s="1" t="s">
        <v>76</v>
      </c>
      <c r="C2395" s="1" t="s">
        <v>902</v>
      </c>
      <c r="D2395" s="1" t="s">
        <v>903</v>
      </c>
      <c r="E2395" s="1" t="n">
        <v>20171</v>
      </c>
      <c r="F2395" s="1" t="s">
        <v>208</v>
      </c>
      <c r="G2395" s="1" t="s">
        <v>18</v>
      </c>
      <c r="H2395" s="1" t="n">
        <v>3</v>
      </c>
      <c r="I2395" s="1" t="n">
        <v>0</v>
      </c>
      <c r="J2395" s="1" t="n">
        <v>20201</v>
      </c>
      <c r="L2395" s="1" t="str">
        <f aca="false">IF(D2394&lt;&gt;D2395,D2395,"")</f>
        <v/>
      </c>
      <c r="M2395" s="1" t="str">
        <f aca="false">IF(F2394&lt;&gt;F2395,F2395,"")</f>
        <v/>
      </c>
    </row>
    <row r="2396" customFormat="false" ht="15" hidden="false" customHeight="false" outlineLevel="0" collapsed="false">
      <c r="A2396" s="1" t="s">
        <v>77</v>
      </c>
      <c r="B2396" s="1" t="s">
        <v>78</v>
      </c>
      <c r="C2396" s="1" t="s">
        <v>902</v>
      </c>
      <c r="D2396" s="1" t="s">
        <v>903</v>
      </c>
      <c r="E2396" s="1" t="n">
        <v>20171</v>
      </c>
      <c r="F2396" s="1" t="s">
        <v>208</v>
      </c>
      <c r="G2396" s="1" t="s">
        <v>18</v>
      </c>
      <c r="H2396" s="1" t="n">
        <v>3</v>
      </c>
      <c r="I2396" s="1" t="n">
        <v>0</v>
      </c>
      <c r="J2396" s="1" t="n">
        <v>20201</v>
      </c>
      <c r="L2396" s="1" t="str">
        <f aca="false">IF(D2395&lt;&gt;D2396,D2396,"")</f>
        <v/>
      </c>
      <c r="M2396" s="1" t="str">
        <f aca="false">IF(F2395&lt;&gt;F2396,F2396,"")</f>
        <v/>
      </c>
    </row>
    <row r="2397" customFormat="false" ht="15" hidden="false" customHeight="false" outlineLevel="0" collapsed="false">
      <c r="A2397" s="1" t="s">
        <v>168</v>
      </c>
      <c r="B2397" s="1" t="s">
        <v>169</v>
      </c>
      <c r="C2397" s="1" t="s">
        <v>902</v>
      </c>
      <c r="D2397" s="1" t="s">
        <v>903</v>
      </c>
      <c r="E2397" s="1" t="n">
        <v>20171</v>
      </c>
      <c r="F2397" s="1" t="s">
        <v>208</v>
      </c>
      <c r="G2397" s="1" t="s">
        <v>124</v>
      </c>
      <c r="H2397" s="1" t="n">
        <v>0</v>
      </c>
      <c r="I2397" s="1" t="n">
        <v>0</v>
      </c>
      <c r="J2397" s="1" t="n">
        <v>20201</v>
      </c>
      <c r="L2397" s="1" t="str">
        <f aca="false">IF(D2396&lt;&gt;D2397,D2397,"")</f>
        <v/>
      </c>
      <c r="M2397" s="1" t="str">
        <f aca="false">IF(F2396&lt;&gt;F2397,F2397,"")</f>
        <v/>
      </c>
    </row>
    <row r="2398" customFormat="false" ht="15" hidden="false" customHeight="false" outlineLevel="0" collapsed="false">
      <c r="A2398" s="1" t="s">
        <v>79</v>
      </c>
      <c r="B2398" s="1" t="s">
        <v>80</v>
      </c>
      <c r="C2398" s="1" t="s">
        <v>902</v>
      </c>
      <c r="D2398" s="1" t="s">
        <v>903</v>
      </c>
      <c r="E2398" s="1" t="n">
        <v>20171</v>
      </c>
      <c r="F2398" s="1" t="s">
        <v>208</v>
      </c>
      <c r="G2398" s="1" t="s">
        <v>18</v>
      </c>
      <c r="H2398" s="1" t="n">
        <v>3</v>
      </c>
      <c r="I2398" s="1" t="n">
        <v>0</v>
      </c>
      <c r="J2398" s="1" t="n">
        <v>20201</v>
      </c>
      <c r="L2398" s="1" t="str">
        <f aca="false">IF(D2397&lt;&gt;D2398,D2398,"")</f>
        <v/>
      </c>
      <c r="M2398" s="1" t="str">
        <f aca="false">IF(F2397&lt;&gt;F2398,F2398,"")</f>
        <v/>
      </c>
    </row>
    <row r="2399" customFormat="false" ht="15" hidden="false" customHeight="false" outlineLevel="0" collapsed="false">
      <c r="A2399" s="1" t="s">
        <v>170</v>
      </c>
      <c r="B2399" s="1" t="s">
        <v>171</v>
      </c>
      <c r="C2399" s="1" t="s">
        <v>902</v>
      </c>
      <c r="D2399" s="1" t="s">
        <v>903</v>
      </c>
      <c r="E2399" s="1" t="n">
        <v>20171</v>
      </c>
      <c r="F2399" s="1" t="s">
        <v>208</v>
      </c>
      <c r="G2399" s="1" t="s">
        <v>18</v>
      </c>
      <c r="H2399" s="1" t="n">
        <v>3</v>
      </c>
      <c r="I2399" s="1" t="n">
        <v>0</v>
      </c>
      <c r="J2399" s="1" t="n">
        <v>20201</v>
      </c>
      <c r="L2399" s="1" t="str">
        <f aca="false">IF(D2398&lt;&gt;D2399,D2399,"")</f>
        <v/>
      </c>
      <c r="M2399" s="1" t="str">
        <f aca="false">IF(F2398&lt;&gt;F2399,F2399,"")</f>
        <v/>
      </c>
    </row>
    <row r="2400" customFormat="false" ht="15" hidden="false" customHeight="false" outlineLevel="0" collapsed="false">
      <c r="A2400" s="1" t="s">
        <v>172</v>
      </c>
      <c r="B2400" s="1" t="s">
        <v>173</v>
      </c>
      <c r="C2400" s="1" t="s">
        <v>902</v>
      </c>
      <c r="D2400" s="1" t="s">
        <v>903</v>
      </c>
      <c r="E2400" s="1" t="n">
        <v>20171</v>
      </c>
      <c r="F2400" s="1" t="s">
        <v>208</v>
      </c>
      <c r="G2400" s="1" t="s">
        <v>18</v>
      </c>
      <c r="H2400" s="1" t="n">
        <v>3</v>
      </c>
      <c r="I2400" s="1" t="n">
        <v>0</v>
      </c>
      <c r="J2400" s="1" t="n">
        <v>20201</v>
      </c>
      <c r="L2400" s="1" t="str">
        <f aca="false">IF(D2399&lt;&gt;D2400,D2400,"")</f>
        <v/>
      </c>
      <c r="M2400" s="1" t="str">
        <f aca="false">IF(F2399&lt;&gt;F2400,F2400,"")</f>
        <v/>
      </c>
    </row>
    <row r="2401" customFormat="false" ht="15" hidden="false" customHeight="false" outlineLevel="0" collapsed="false">
      <c r="A2401" s="1" t="s">
        <v>174</v>
      </c>
      <c r="B2401" s="1" t="s">
        <v>175</v>
      </c>
      <c r="C2401" s="1" t="s">
        <v>902</v>
      </c>
      <c r="D2401" s="1" t="s">
        <v>903</v>
      </c>
      <c r="E2401" s="1" t="n">
        <v>20171</v>
      </c>
      <c r="F2401" s="1" t="s">
        <v>208</v>
      </c>
      <c r="G2401" s="1" t="s">
        <v>124</v>
      </c>
      <c r="H2401" s="1" t="n">
        <v>0</v>
      </c>
      <c r="I2401" s="1" t="n">
        <v>0</v>
      </c>
      <c r="J2401" s="1" t="n">
        <v>20201</v>
      </c>
      <c r="L2401" s="1" t="str">
        <f aca="false">IF(D2400&lt;&gt;D2401,D2401,"")</f>
        <v/>
      </c>
      <c r="M2401" s="1" t="str">
        <f aca="false">IF(F2400&lt;&gt;F2401,F2401,"")</f>
        <v/>
      </c>
    </row>
    <row r="2402" customFormat="false" ht="15" hidden="false" customHeight="false" outlineLevel="0" collapsed="false">
      <c r="A2402" s="1" t="s">
        <v>81</v>
      </c>
      <c r="B2402" s="1" t="s">
        <v>82</v>
      </c>
      <c r="C2402" s="1" t="s">
        <v>902</v>
      </c>
      <c r="D2402" s="1" t="s">
        <v>903</v>
      </c>
      <c r="E2402" s="1" t="n">
        <v>20171</v>
      </c>
      <c r="F2402" s="1" t="s">
        <v>208</v>
      </c>
      <c r="G2402" s="1" t="s">
        <v>18</v>
      </c>
      <c r="H2402" s="1" t="n">
        <v>3</v>
      </c>
      <c r="I2402" s="1" t="n">
        <v>0</v>
      </c>
      <c r="J2402" s="1" t="n">
        <v>20201</v>
      </c>
      <c r="L2402" s="1" t="str">
        <f aca="false">IF(D2401&lt;&gt;D2402,D2402,"")</f>
        <v/>
      </c>
      <c r="M2402" s="1" t="str">
        <f aca="false">IF(F2401&lt;&gt;F2402,F2402,"")</f>
        <v/>
      </c>
    </row>
    <row r="2403" customFormat="false" ht="15" hidden="false" customHeight="false" outlineLevel="0" collapsed="false">
      <c r="A2403" s="1" t="s">
        <v>176</v>
      </c>
      <c r="B2403" s="1" t="s">
        <v>177</v>
      </c>
      <c r="C2403" s="1" t="s">
        <v>902</v>
      </c>
      <c r="D2403" s="1" t="s">
        <v>903</v>
      </c>
      <c r="E2403" s="1" t="n">
        <v>20171</v>
      </c>
      <c r="F2403" s="1" t="s">
        <v>208</v>
      </c>
      <c r="G2403" s="1" t="s">
        <v>15</v>
      </c>
      <c r="H2403" s="1" t="n">
        <v>3.5</v>
      </c>
      <c r="I2403" s="1" t="n">
        <v>0</v>
      </c>
      <c r="J2403" s="1" t="n">
        <v>20201</v>
      </c>
      <c r="L2403" s="1" t="str">
        <f aca="false">IF(D2402&lt;&gt;D2403,D2403,"")</f>
        <v/>
      </c>
      <c r="M2403" s="1" t="str">
        <f aca="false">IF(F2402&lt;&gt;F2403,F2403,"")</f>
        <v/>
      </c>
    </row>
    <row r="2404" customFormat="false" ht="15" hidden="false" customHeight="false" outlineLevel="0" collapsed="false">
      <c r="A2404" s="1" t="s">
        <v>83</v>
      </c>
      <c r="B2404" s="1" t="s">
        <v>84</v>
      </c>
      <c r="C2404" s="1" t="s">
        <v>902</v>
      </c>
      <c r="D2404" s="1" t="s">
        <v>903</v>
      </c>
      <c r="E2404" s="1" t="n">
        <v>20171</v>
      </c>
      <c r="F2404" s="1" t="s">
        <v>208</v>
      </c>
      <c r="G2404" s="1" t="s">
        <v>15</v>
      </c>
      <c r="H2404" s="1" t="n">
        <v>3.5</v>
      </c>
      <c r="I2404" s="1" t="n">
        <v>0</v>
      </c>
      <c r="J2404" s="1" t="n">
        <v>20201</v>
      </c>
      <c r="L2404" s="1" t="str">
        <f aca="false">IF(D2403&lt;&gt;D2404,D2404,"")</f>
        <v/>
      </c>
      <c r="M2404" s="1" t="str">
        <f aca="false">IF(F2403&lt;&gt;F2404,F2404,"")</f>
        <v/>
      </c>
    </row>
    <row r="2405" customFormat="false" ht="15" hidden="false" customHeight="false" outlineLevel="0" collapsed="false">
      <c r="A2405" s="1" t="s">
        <v>591</v>
      </c>
      <c r="B2405" s="1" t="s">
        <v>592</v>
      </c>
      <c r="C2405" s="1" t="s">
        <v>902</v>
      </c>
      <c r="D2405" s="1" t="s">
        <v>903</v>
      </c>
      <c r="E2405" s="1" t="n">
        <v>20171</v>
      </c>
      <c r="F2405" s="1" t="s">
        <v>208</v>
      </c>
      <c r="G2405" s="1" t="s">
        <v>124</v>
      </c>
      <c r="H2405" s="1" t="n">
        <v>0</v>
      </c>
      <c r="I2405" s="1" t="n">
        <v>0</v>
      </c>
      <c r="J2405" s="1" t="n">
        <v>20201</v>
      </c>
      <c r="L2405" s="1" t="str">
        <f aca="false">IF(D2404&lt;&gt;D2405,D2405,"")</f>
        <v/>
      </c>
      <c r="M2405" s="1" t="str">
        <f aca="false">IF(F2404&lt;&gt;F2405,F2405,"")</f>
        <v/>
      </c>
    </row>
    <row r="2406" customFormat="false" ht="15" hidden="false" customHeight="false" outlineLevel="0" collapsed="false">
      <c r="A2406" s="1" t="s">
        <v>178</v>
      </c>
      <c r="B2406" s="1" t="s">
        <v>179</v>
      </c>
      <c r="C2406" s="1" t="s">
        <v>902</v>
      </c>
      <c r="D2406" s="1" t="s">
        <v>903</v>
      </c>
      <c r="E2406" s="1" t="n">
        <v>20171</v>
      </c>
      <c r="F2406" s="1" t="s">
        <v>208</v>
      </c>
      <c r="G2406" s="1" t="s">
        <v>18</v>
      </c>
      <c r="H2406" s="1" t="n">
        <v>3</v>
      </c>
      <c r="I2406" s="1" t="n">
        <v>0</v>
      </c>
      <c r="J2406" s="1" t="n">
        <v>20201</v>
      </c>
      <c r="L2406" s="1" t="str">
        <f aca="false">IF(D2405&lt;&gt;D2406,D2406,"")</f>
        <v/>
      </c>
      <c r="M2406" s="1" t="str">
        <f aca="false">IF(F2405&lt;&gt;F2406,F2406,"")</f>
        <v/>
      </c>
    </row>
    <row r="2407" customFormat="false" ht="15" hidden="false" customHeight="false" outlineLevel="0" collapsed="false">
      <c r="A2407" s="1" t="s">
        <v>180</v>
      </c>
      <c r="B2407" s="1" t="s">
        <v>181</v>
      </c>
      <c r="C2407" s="1" t="s">
        <v>902</v>
      </c>
      <c r="D2407" s="1" t="s">
        <v>903</v>
      </c>
      <c r="E2407" s="1" t="n">
        <v>20171</v>
      </c>
      <c r="F2407" s="1" t="s">
        <v>208</v>
      </c>
      <c r="G2407" s="1" t="s">
        <v>23</v>
      </c>
      <c r="H2407" s="1" t="n">
        <v>0</v>
      </c>
      <c r="I2407" s="1" t="n">
        <v>0</v>
      </c>
      <c r="J2407" s="1" t="n">
        <v>20201</v>
      </c>
      <c r="L2407" s="1" t="str">
        <f aca="false">IF(D2406&lt;&gt;D2407,D2407,"")</f>
        <v/>
      </c>
      <c r="M2407" s="1" t="str">
        <f aca="false">IF(F2406&lt;&gt;F2407,F2407,"")</f>
        <v/>
      </c>
    </row>
    <row r="2408" customFormat="false" ht="15" hidden="false" customHeight="false" outlineLevel="0" collapsed="false">
      <c r="A2408" s="1" t="s">
        <v>85</v>
      </c>
      <c r="B2408" s="1" t="s">
        <v>86</v>
      </c>
      <c r="C2408" s="1" t="s">
        <v>902</v>
      </c>
      <c r="D2408" s="1" t="s">
        <v>903</v>
      </c>
      <c r="E2408" s="1" t="n">
        <v>20171</v>
      </c>
      <c r="F2408" s="1" t="s">
        <v>208</v>
      </c>
      <c r="G2408" s="1" t="s">
        <v>18</v>
      </c>
      <c r="H2408" s="1" t="n">
        <v>3</v>
      </c>
      <c r="I2408" s="1" t="n">
        <v>0</v>
      </c>
      <c r="J2408" s="1" t="n">
        <v>20201</v>
      </c>
      <c r="L2408" s="1" t="str">
        <f aca="false">IF(D2407&lt;&gt;D2408,D2408,"")</f>
        <v/>
      </c>
      <c r="M2408" s="1" t="str">
        <f aca="false">IF(F2407&lt;&gt;F2408,F2408,"")</f>
        <v/>
      </c>
    </row>
    <row r="2409" customFormat="false" ht="15" hidden="false" customHeight="false" outlineLevel="0" collapsed="false">
      <c r="A2409" s="1" t="s">
        <v>87</v>
      </c>
      <c r="B2409" s="1" t="s">
        <v>88</v>
      </c>
      <c r="C2409" s="1" t="s">
        <v>902</v>
      </c>
      <c r="D2409" s="1" t="s">
        <v>903</v>
      </c>
      <c r="E2409" s="1" t="n">
        <v>20171</v>
      </c>
      <c r="F2409" s="1" t="s">
        <v>208</v>
      </c>
      <c r="G2409" s="1" t="s">
        <v>18</v>
      </c>
      <c r="H2409" s="1" t="n">
        <v>3</v>
      </c>
      <c r="I2409" s="1" t="n">
        <v>0</v>
      </c>
      <c r="J2409" s="1" t="n">
        <v>20201</v>
      </c>
      <c r="L2409" s="1" t="str">
        <f aca="false">IF(D2408&lt;&gt;D2409,D2409,"")</f>
        <v/>
      </c>
      <c r="M2409" s="1" t="str">
        <f aca="false">IF(F2408&lt;&gt;F2409,F2409,"")</f>
        <v/>
      </c>
    </row>
    <row r="2410" customFormat="false" ht="15" hidden="false" customHeight="false" outlineLevel="0" collapsed="false">
      <c r="A2410" s="1" t="s">
        <v>182</v>
      </c>
      <c r="B2410" s="1" t="s">
        <v>183</v>
      </c>
      <c r="C2410" s="1" t="s">
        <v>902</v>
      </c>
      <c r="D2410" s="1" t="s">
        <v>903</v>
      </c>
      <c r="E2410" s="1" t="n">
        <v>20171</v>
      </c>
      <c r="F2410" s="1" t="s">
        <v>208</v>
      </c>
      <c r="G2410" s="1" t="s">
        <v>18</v>
      </c>
      <c r="H2410" s="1" t="n">
        <v>3</v>
      </c>
      <c r="I2410" s="1" t="n">
        <v>0</v>
      </c>
      <c r="J2410" s="1" t="n">
        <v>20201</v>
      </c>
      <c r="L2410" s="1" t="str">
        <f aca="false">IF(D2409&lt;&gt;D2410,D2410,"")</f>
        <v/>
      </c>
      <c r="M2410" s="1" t="str">
        <f aca="false">IF(F2409&lt;&gt;F2410,F2410,"")</f>
        <v/>
      </c>
    </row>
    <row r="2411" customFormat="false" ht="15" hidden="false" customHeight="false" outlineLevel="0" collapsed="false">
      <c r="A2411" s="1" t="s">
        <v>89</v>
      </c>
      <c r="B2411" s="1" t="s">
        <v>90</v>
      </c>
      <c r="C2411" s="1" t="s">
        <v>902</v>
      </c>
      <c r="D2411" s="1" t="s">
        <v>903</v>
      </c>
      <c r="E2411" s="1" t="n">
        <v>20171</v>
      </c>
      <c r="F2411" s="1" t="s">
        <v>208</v>
      </c>
      <c r="G2411" s="1" t="s">
        <v>101</v>
      </c>
      <c r="H2411" s="1" t="n">
        <v>2.5</v>
      </c>
      <c r="I2411" s="1" t="n">
        <v>0</v>
      </c>
      <c r="J2411" s="1" t="n">
        <v>20201</v>
      </c>
      <c r="L2411" s="1" t="str">
        <f aca="false">IF(D2410&lt;&gt;D2411,D2411,"")</f>
        <v/>
      </c>
      <c r="M2411" s="1" t="str">
        <f aca="false">IF(F2410&lt;&gt;F2411,F2411,"")</f>
        <v/>
      </c>
    </row>
    <row r="2412" customFormat="false" ht="15" hidden="false" customHeight="false" outlineLevel="0" collapsed="false">
      <c r="A2412" s="1" t="s">
        <v>184</v>
      </c>
      <c r="B2412" s="1" t="s">
        <v>185</v>
      </c>
      <c r="C2412" s="1" t="s">
        <v>902</v>
      </c>
      <c r="D2412" s="1" t="s">
        <v>903</v>
      </c>
      <c r="E2412" s="1" t="n">
        <v>20171</v>
      </c>
      <c r="F2412" s="1" t="s">
        <v>208</v>
      </c>
      <c r="G2412" s="1" t="s">
        <v>23</v>
      </c>
      <c r="H2412" s="1" t="n">
        <v>0</v>
      </c>
      <c r="I2412" s="1" t="n">
        <v>0</v>
      </c>
      <c r="J2412" s="1" t="n">
        <v>20201</v>
      </c>
      <c r="L2412" s="1" t="str">
        <f aca="false">IF(D2411&lt;&gt;D2412,D2412,"")</f>
        <v/>
      </c>
      <c r="M2412" s="1" t="str">
        <f aca="false">IF(F2411&lt;&gt;F2412,F2412,"")</f>
        <v/>
      </c>
    </row>
    <row r="2413" customFormat="false" ht="15" hidden="false" customHeight="false" outlineLevel="0" collapsed="false">
      <c r="A2413" s="1" t="s">
        <v>91</v>
      </c>
      <c r="B2413" s="1" t="s">
        <v>92</v>
      </c>
      <c r="C2413" s="1" t="s">
        <v>902</v>
      </c>
      <c r="D2413" s="1" t="s">
        <v>903</v>
      </c>
      <c r="E2413" s="1" t="n">
        <v>20171</v>
      </c>
      <c r="F2413" s="1" t="s">
        <v>208</v>
      </c>
      <c r="G2413" s="1" t="s">
        <v>18</v>
      </c>
      <c r="H2413" s="1" t="n">
        <v>3</v>
      </c>
      <c r="I2413" s="1" t="n">
        <v>0</v>
      </c>
      <c r="J2413" s="1" t="n">
        <v>20201</v>
      </c>
      <c r="L2413" s="1" t="str">
        <f aca="false">IF(D2412&lt;&gt;D2413,D2413,"")</f>
        <v/>
      </c>
      <c r="M2413" s="1" t="str">
        <f aca="false">IF(F2412&lt;&gt;F2413,F2413,"")</f>
        <v/>
      </c>
    </row>
    <row r="2414" customFormat="false" ht="15" hidden="false" customHeight="false" outlineLevel="0" collapsed="false">
      <c r="A2414" s="1" t="s">
        <v>186</v>
      </c>
      <c r="B2414" s="1" t="s">
        <v>187</v>
      </c>
      <c r="C2414" s="1" t="s">
        <v>902</v>
      </c>
      <c r="D2414" s="1" t="s">
        <v>903</v>
      </c>
      <c r="E2414" s="1" t="n">
        <v>20171</v>
      </c>
      <c r="F2414" s="1" t="s">
        <v>208</v>
      </c>
      <c r="G2414" s="1" t="s">
        <v>23</v>
      </c>
      <c r="H2414" s="1" t="n">
        <v>0</v>
      </c>
      <c r="I2414" s="1" t="n">
        <v>0</v>
      </c>
      <c r="J2414" s="1" t="n">
        <v>20201</v>
      </c>
      <c r="L2414" s="1" t="str">
        <f aca="false">IF(D2413&lt;&gt;D2414,D2414,"")</f>
        <v/>
      </c>
      <c r="M2414" s="1" t="str">
        <f aca="false">IF(F2413&lt;&gt;F2414,F2414,"")</f>
        <v/>
      </c>
    </row>
    <row r="2415" customFormat="false" ht="15" hidden="false" customHeight="false" outlineLevel="0" collapsed="false">
      <c r="A2415" s="1" t="s">
        <v>93</v>
      </c>
      <c r="B2415" s="1" t="s">
        <v>94</v>
      </c>
      <c r="C2415" s="1" t="s">
        <v>902</v>
      </c>
      <c r="D2415" s="1" t="s">
        <v>903</v>
      </c>
      <c r="E2415" s="1" t="n">
        <v>20171</v>
      </c>
      <c r="F2415" s="1" t="s">
        <v>208</v>
      </c>
      <c r="G2415" s="1" t="s">
        <v>18</v>
      </c>
      <c r="H2415" s="1" t="n">
        <v>3</v>
      </c>
      <c r="I2415" s="1" t="n">
        <v>0</v>
      </c>
      <c r="J2415" s="1" t="n">
        <v>20201</v>
      </c>
      <c r="L2415" s="1" t="str">
        <f aca="false">IF(D2414&lt;&gt;D2415,D2415,"")</f>
        <v/>
      </c>
      <c r="M2415" s="1" t="str">
        <f aca="false">IF(F2414&lt;&gt;F2415,F2415,"")</f>
        <v/>
      </c>
    </row>
    <row r="2416" customFormat="false" ht="15" hidden="false" customHeight="false" outlineLevel="0" collapsed="false">
      <c r="A2416" s="1" t="s">
        <v>188</v>
      </c>
      <c r="B2416" s="1" t="s">
        <v>189</v>
      </c>
      <c r="C2416" s="1" t="s">
        <v>902</v>
      </c>
      <c r="D2416" s="1" t="s">
        <v>903</v>
      </c>
      <c r="E2416" s="1" t="n">
        <v>20171</v>
      </c>
      <c r="F2416" s="1" t="s">
        <v>208</v>
      </c>
      <c r="G2416" s="1" t="s">
        <v>18</v>
      </c>
      <c r="H2416" s="1" t="n">
        <v>3</v>
      </c>
      <c r="I2416" s="1" t="n">
        <v>0</v>
      </c>
      <c r="J2416" s="1" t="n">
        <v>20201</v>
      </c>
      <c r="L2416" s="1" t="str">
        <f aca="false">IF(D2415&lt;&gt;D2416,D2416,"")</f>
        <v/>
      </c>
      <c r="M2416" s="1" t="str">
        <f aca="false">IF(F2415&lt;&gt;F2416,F2416,"")</f>
        <v/>
      </c>
    </row>
    <row r="2417" customFormat="false" ht="15" hidden="false" customHeight="false" outlineLevel="0" collapsed="false">
      <c r="A2417" s="1" t="s">
        <v>95</v>
      </c>
      <c r="B2417" s="1" t="s">
        <v>96</v>
      </c>
      <c r="C2417" s="1" t="s">
        <v>902</v>
      </c>
      <c r="D2417" s="1" t="s">
        <v>903</v>
      </c>
      <c r="E2417" s="1" t="n">
        <v>20171</v>
      </c>
      <c r="F2417" s="1" t="s">
        <v>208</v>
      </c>
      <c r="G2417" s="1" t="s">
        <v>18</v>
      </c>
      <c r="H2417" s="1" t="n">
        <v>3</v>
      </c>
      <c r="I2417" s="1" t="n">
        <v>0</v>
      </c>
      <c r="J2417" s="1" t="n">
        <v>20201</v>
      </c>
      <c r="L2417" s="1" t="str">
        <f aca="false">IF(D2416&lt;&gt;D2417,D2417,"")</f>
        <v/>
      </c>
      <c r="M2417" s="1" t="str">
        <f aca="false">IF(F2416&lt;&gt;F2417,F2417,"")</f>
        <v/>
      </c>
    </row>
    <row r="2418" customFormat="false" ht="15" hidden="false" customHeight="false" outlineLevel="0" collapsed="false">
      <c r="A2418" s="1" t="s">
        <v>190</v>
      </c>
      <c r="B2418" s="1" t="s">
        <v>191</v>
      </c>
      <c r="C2418" s="1" t="s">
        <v>902</v>
      </c>
      <c r="D2418" s="1" t="s">
        <v>903</v>
      </c>
      <c r="E2418" s="1" t="n">
        <v>20171</v>
      </c>
      <c r="F2418" s="1" t="s">
        <v>208</v>
      </c>
      <c r="G2418" s="1" t="s">
        <v>18</v>
      </c>
      <c r="H2418" s="1" t="n">
        <v>3</v>
      </c>
      <c r="I2418" s="1" t="n">
        <v>0</v>
      </c>
      <c r="J2418" s="1" t="n">
        <v>20201</v>
      </c>
      <c r="L2418" s="1" t="str">
        <f aca="false">IF(D2417&lt;&gt;D2418,D2418,"")</f>
        <v/>
      </c>
      <c r="M2418" s="1" t="str">
        <f aca="false">IF(F2417&lt;&gt;F2418,F2418,"")</f>
        <v/>
      </c>
    </row>
    <row r="2419" customFormat="false" ht="15" hidden="false" customHeight="false" outlineLevel="0" collapsed="false">
      <c r="A2419" s="1" t="s">
        <v>97</v>
      </c>
      <c r="B2419" s="1" t="s">
        <v>98</v>
      </c>
      <c r="C2419" s="1" t="s">
        <v>902</v>
      </c>
      <c r="D2419" s="1" t="s">
        <v>903</v>
      </c>
      <c r="E2419" s="1" t="n">
        <v>20171</v>
      </c>
      <c r="F2419" s="1" t="s">
        <v>208</v>
      </c>
      <c r="G2419" s="1" t="s">
        <v>15</v>
      </c>
      <c r="H2419" s="1" t="n">
        <v>3.5</v>
      </c>
      <c r="I2419" s="1" t="n">
        <v>0</v>
      </c>
      <c r="J2419" s="1" t="n">
        <v>20201</v>
      </c>
      <c r="L2419" s="1" t="str">
        <f aca="false">IF(D2418&lt;&gt;D2419,D2419,"")</f>
        <v/>
      </c>
      <c r="M2419" s="1" t="str">
        <f aca="false">IF(F2418&lt;&gt;F2419,F2419,"")</f>
        <v/>
      </c>
    </row>
    <row r="2420" customFormat="false" ht="15" hidden="false" customHeight="false" outlineLevel="0" collapsed="false">
      <c r="A2420" s="1" t="s">
        <v>192</v>
      </c>
      <c r="B2420" s="1" t="s">
        <v>193</v>
      </c>
      <c r="C2420" s="1" t="s">
        <v>902</v>
      </c>
      <c r="D2420" s="1" t="s">
        <v>903</v>
      </c>
      <c r="E2420" s="1" t="n">
        <v>20171</v>
      </c>
      <c r="F2420" s="1" t="s">
        <v>208</v>
      </c>
      <c r="G2420" s="1" t="s">
        <v>15</v>
      </c>
      <c r="H2420" s="1" t="n">
        <v>3.5</v>
      </c>
      <c r="I2420" s="1" t="n">
        <v>0</v>
      </c>
      <c r="J2420" s="1" t="n">
        <v>20201</v>
      </c>
      <c r="L2420" s="1" t="str">
        <f aca="false">IF(D2419&lt;&gt;D2420,D2420,"")</f>
        <v/>
      </c>
      <c r="M2420" s="1" t="str">
        <f aca="false">IF(F2419&lt;&gt;F2420,F2420,"")</f>
        <v/>
      </c>
    </row>
    <row r="2421" customFormat="false" ht="15" hidden="false" customHeight="false" outlineLevel="0" collapsed="false">
      <c r="A2421" s="1" t="s">
        <v>99</v>
      </c>
      <c r="B2421" s="1" t="s">
        <v>100</v>
      </c>
      <c r="C2421" s="1" t="s">
        <v>902</v>
      </c>
      <c r="D2421" s="1" t="s">
        <v>903</v>
      </c>
      <c r="E2421" s="1" t="n">
        <v>20171</v>
      </c>
      <c r="F2421" s="1" t="s">
        <v>208</v>
      </c>
      <c r="G2421" s="1" t="s">
        <v>18</v>
      </c>
      <c r="H2421" s="1" t="n">
        <v>3</v>
      </c>
      <c r="I2421" s="1" t="n">
        <v>0</v>
      </c>
      <c r="J2421" s="1" t="n">
        <v>20201</v>
      </c>
      <c r="L2421" s="1" t="str">
        <f aca="false">IF(D2420&lt;&gt;D2421,D2421,"")</f>
        <v/>
      </c>
      <c r="M2421" s="1" t="str">
        <f aca="false">IF(F2420&lt;&gt;F2421,F2421,"")</f>
        <v/>
      </c>
    </row>
    <row r="2422" customFormat="false" ht="15" hidden="false" customHeight="false" outlineLevel="0" collapsed="false">
      <c r="A2422" s="1" t="s">
        <v>194</v>
      </c>
      <c r="B2422" s="1" t="s">
        <v>195</v>
      </c>
      <c r="C2422" s="1" t="s">
        <v>902</v>
      </c>
      <c r="D2422" s="1" t="s">
        <v>903</v>
      </c>
      <c r="E2422" s="1" t="n">
        <v>20171</v>
      </c>
      <c r="F2422" s="1" t="s">
        <v>208</v>
      </c>
      <c r="G2422" s="1" t="s">
        <v>18</v>
      </c>
      <c r="H2422" s="1" t="n">
        <v>3</v>
      </c>
      <c r="I2422" s="1" t="n">
        <v>0</v>
      </c>
      <c r="J2422" s="1" t="n">
        <v>20201</v>
      </c>
      <c r="L2422" s="1" t="str">
        <f aca="false">IF(D2421&lt;&gt;D2422,D2422,"")</f>
        <v/>
      </c>
      <c r="M2422" s="1" t="str">
        <f aca="false">IF(F2421&lt;&gt;F2422,F2422,"")</f>
        <v/>
      </c>
    </row>
    <row r="2423" customFormat="false" ht="15" hidden="false" customHeight="false" outlineLevel="0" collapsed="false">
      <c r="A2423" s="1" t="s">
        <v>102</v>
      </c>
      <c r="B2423" s="1" t="s">
        <v>103</v>
      </c>
      <c r="C2423" s="1" t="s">
        <v>902</v>
      </c>
      <c r="D2423" s="1" t="s">
        <v>903</v>
      </c>
      <c r="E2423" s="1" t="n">
        <v>20171</v>
      </c>
      <c r="F2423" s="1" t="s">
        <v>208</v>
      </c>
      <c r="G2423" s="1" t="s">
        <v>124</v>
      </c>
      <c r="H2423" s="1" t="n">
        <v>0</v>
      </c>
      <c r="I2423" s="1" t="n">
        <v>0</v>
      </c>
      <c r="J2423" s="1" t="n">
        <v>20201</v>
      </c>
      <c r="L2423" s="1" t="str">
        <f aca="false">IF(D2422&lt;&gt;D2423,D2423,"")</f>
        <v/>
      </c>
      <c r="M2423" s="1" t="str">
        <f aca="false">IF(F2422&lt;&gt;F2423,F2423,"")</f>
        <v/>
      </c>
    </row>
    <row r="2424" customFormat="false" ht="15" hidden="false" customHeight="false" outlineLevel="0" collapsed="false">
      <c r="A2424" s="1" t="s">
        <v>104</v>
      </c>
      <c r="B2424" s="1" t="s">
        <v>105</v>
      </c>
      <c r="C2424" s="1" t="s">
        <v>902</v>
      </c>
      <c r="D2424" s="1" t="s">
        <v>903</v>
      </c>
      <c r="E2424" s="1" t="n">
        <v>20171</v>
      </c>
      <c r="F2424" s="1" t="s">
        <v>208</v>
      </c>
      <c r="G2424" s="1" t="s">
        <v>15</v>
      </c>
      <c r="H2424" s="1" t="n">
        <v>3.5</v>
      </c>
      <c r="I2424" s="1" t="n">
        <v>0</v>
      </c>
      <c r="J2424" s="1" t="n">
        <v>20201</v>
      </c>
      <c r="L2424" s="1" t="str">
        <f aca="false">IF(D2423&lt;&gt;D2424,D2424,"")</f>
        <v/>
      </c>
      <c r="M2424" s="1" t="str">
        <f aca="false">IF(F2423&lt;&gt;F2424,F2424,"")</f>
        <v/>
      </c>
    </row>
    <row r="2425" customFormat="false" ht="15" hidden="false" customHeight="false" outlineLevel="0" collapsed="false">
      <c r="A2425" s="1" t="s">
        <v>196</v>
      </c>
      <c r="B2425" s="1" t="s">
        <v>197</v>
      </c>
      <c r="C2425" s="1" t="s">
        <v>902</v>
      </c>
      <c r="D2425" s="1" t="s">
        <v>903</v>
      </c>
      <c r="E2425" s="1" t="n">
        <v>20171</v>
      </c>
      <c r="F2425" s="1" t="s">
        <v>208</v>
      </c>
      <c r="G2425" s="1" t="s">
        <v>124</v>
      </c>
      <c r="H2425" s="1" t="n">
        <v>0</v>
      </c>
      <c r="I2425" s="1" t="n">
        <v>0</v>
      </c>
      <c r="J2425" s="1" t="n">
        <v>20201</v>
      </c>
      <c r="L2425" s="1" t="str">
        <f aca="false">IF(D2424&lt;&gt;D2425,D2425,"")</f>
        <v/>
      </c>
      <c r="M2425" s="1" t="str">
        <f aca="false">IF(F2424&lt;&gt;F2425,F2425,"")</f>
        <v/>
      </c>
    </row>
    <row r="2426" customFormat="false" ht="15" hidden="false" customHeight="false" outlineLevel="0" collapsed="false">
      <c r="A2426" s="1" t="s">
        <v>106</v>
      </c>
      <c r="B2426" s="1" t="s">
        <v>107</v>
      </c>
      <c r="C2426" s="1" t="s">
        <v>902</v>
      </c>
      <c r="D2426" s="1" t="s">
        <v>903</v>
      </c>
      <c r="E2426" s="1" t="n">
        <v>20171</v>
      </c>
      <c r="F2426" s="1" t="s">
        <v>208</v>
      </c>
      <c r="G2426" s="1" t="s">
        <v>18</v>
      </c>
      <c r="H2426" s="1" t="n">
        <v>3</v>
      </c>
      <c r="I2426" s="1" t="n">
        <v>0</v>
      </c>
      <c r="J2426" s="1" t="n">
        <v>20201</v>
      </c>
      <c r="L2426" s="1" t="str">
        <f aca="false">IF(D2425&lt;&gt;D2426,D2426,"")</f>
        <v/>
      </c>
      <c r="M2426" s="1" t="str">
        <f aca="false">IF(F2425&lt;&gt;F2426,F2426,"")</f>
        <v/>
      </c>
    </row>
    <row r="2427" customFormat="false" ht="15" hidden="false" customHeight="false" outlineLevel="0" collapsed="false">
      <c r="A2427" s="1" t="s">
        <v>200</v>
      </c>
      <c r="B2427" s="1" t="s">
        <v>201</v>
      </c>
      <c r="C2427" s="1" t="s">
        <v>902</v>
      </c>
      <c r="D2427" s="1" t="s">
        <v>903</v>
      </c>
      <c r="E2427" s="1" t="n">
        <v>20171</v>
      </c>
      <c r="F2427" s="1" t="s">
        <v>208</v>
      </c>
      <c r="G2427" s="1" t="s">
        <v>124</v>
      </c>
      <c r="H2427" s="1" t="n">
        <v>0</v>
      </c>
      <c r="I2427" s="1" t="n">
        <v>0</v>
      </c>
      <c r="J2427" s="1" t="n">
        <v>20201</v>
      </c>
      <c r="L2427" s="1" t="str">
        <f aca="false">IF(D2426&lt;&gt;D2427,D2427,"")</f>
        <v/>
      </c>
      <c r="M2427" s="1" t="str">
        <f aca="false">IF(F2426&lt;&gt;F2427,F2427,"")</f>
        <v/>
      </c>
    </row>
    <row r="2428" customFormat="false" ht="15" hidden="false" customHeight="false" outlineLevel="0" collapsed="false">
      <c r="A2428" s="1" t="s">
        <v>854</v>
      </c>
      <c r="B2428" s="1" t="s">
        <v>855</v>
      </c>
      <c r="C2428" s="1" t="s">
        <v>902</v>
      </c>
      <c r="D2428" s="1" t="s">
        <v>903</v>
      </c>
      <c r="E2428" s="1" t="n">
        <v>20171</v>
      </c>
      <c r="F2428" s="1" t="s">
        <v>208</v>
      </c>
      <c r="G2428" s="1" t="s">
        <v>127</v>
      </c>
      <c r="H2428" s="1" t="n">
        <v>2</v>
      </c>
      <c r="I2428" s="1" t="n">
        <v>0</v>
      </c>
      <c r="J2428" s="1" t="n">
        <v>20201</v>
      </c>
      <c r="L2428" s="1" t="str">
        <f aca="false">IF(D2427&lt;&gt;D2428,D2428,"")</f>
        <v/>
      </c>
      <c r="M2428" s="1" t="str">
        <f aca="false">IF(F2427&lt;&gt;F2428,F2428,"")</f>
        <v/>
      </c>
    </row>
    <row r="2429" customFormat="false" ht="15" hidden="false" customHeight="false" outlineLevel="0" collapsed="false">
      <c r="A2429" s="1" t="s">
        <v>749</v>
      </c>
      <c r="B2429" s="1" t="s">
        <v>750</v>
      </c>
      <c r="C2429" s="1" t="s">
        <v>906</v>
      </c>
      <c r="D2429" s="1" t="s">
        <v>907</v>
      </c>
      <c r="E2429" s="1" t="n">
        <v>20171</v>
      </c>
      <c r="F2429" s="1" t="s">
        <v>208</v>
      </c>
      <c r="G2429" s="1" t="s">
        <v>101</v>
      </c>
      <c r="H2429" s="1" t="n">
        <v>2.5</v>
      </c>
      <c r="I2429" s="1" t="n">
        <v>0</v>
      </c>
      <c r="J2429" s="1" t="n">
        <v>20201</v>
      </c>
      <c r="L2429" s="1" t="str">
        <f aca="false">IF(D2428&lt;&gt;D2429,D2429,"")</f>
        <v>PRAKTIKUM PROTEKSI SISTEM TENAGA</v>
      </c>
      <c r="M2429" s="1" t="str">
        <f aca="false">IF(F2428&lt;&gt;F2429,F2429,"")</f>
        <v/>
      </c>
    </row>
    <row r="2430" customFormat="false" ht="15" hidden="false" customHeight="false" outlineLevel="0" collapsed="false">
      <c r="A2430" s="1" t="s">
        <v>204</v>
      </c>
      <c r="B2430" s="1" t="s">
        <v>205</v>
      </c>
      <c r="C2430" s="1" t="s">
        <v>906</v>
      </c>
      <c r="D2430" s="1" t="s">
        <v>907</v>
      </c>
      <c r="E2430" s="1" t="n">
        <v>20171</v>
      </c>
      <c r="F2430" s="1" t="s">
        <v>208</v>
      </c>
      <c r="G2430" s="1" t="s">
        <v>18</v>
      </c>
      <c r="H2430" s="1" t="n">
        <v>3</v>
      </c>
      <c r="I2430" s="1" t="n">
        <v>0</v>
      </c>
      <c r="J2430" s="1" t="n">
        <v>20201</v>
      </c>
      <c r="L2430" s="1" t="str">
        <f aca="false">IF(D2429&lt;&gt;D2430,D2430,"")</f>
        <v/>
      </c>
      <c r="M2430" s="1" t="str">
        <f aca="false">IF(F2429&lt;&gt;F2430,F2430,"")</f>
        <v/>
      </c>
    </row>
    <row r="2431" customFormat="false" ht="15" hidden="false" customHeight="false" outlineLevel="0" collapsed="false">
      <c r="A2431" s="1" t="s">
        <v>731</v>
      </c>
      <c r="B2431" s="1" t="s">
        <v>732</v>
      </c>
      <c r="C2431" s="1" t="s">
        <v>906</v>
      </c>
      <c r="D2431" s="1" t="s">
        <v>907</v>
      </c>
      <c r="E2431" s="1" t="n">
        <v>20171</v>
      </c>
      <c r="F2431" s="1" t="s">
        <v>208</v>
      </c>
      <c r="G2431" s="1" t="s">
        <v>127</v>
      </c>
      <c r="H2431" s="1" t="n">
        <v>2</v>
      </c>
      <c r="I2431" s="1" t="n">
        <v>0</v>
      </c>
      <c r="J2431" s="1" t="n">
        <v>20201</v>
      </c>
      <c r="L2431" s="1" t="str">
        <f aca="false">IF(D2430&lt;&gt;D2431,D2431,"")</f>
        <v/>
      </c>
      <c r="M2431" s="1" t="str">
        <f aca="false">IF(F2430&lt;&gt;F2431,F2431,"")</f>
        <v/>
      </c>
    </row>
    <row r="2432" customFormat="false" ht="15" hidden="false" customHeight="false" outlineLevel="0" collapsed="false">
      <c r="A2432" s="1" t="s">
        <v>798</v>
      </c>
      <c r="B2432" s="1" t="s">
        <v>799</v>
      </c>
      <c r="C2432" s="1" t="s">
        <v>906</v>
      </c>
      <c r="D2432" s="1" t="s">
        <v>907</v>
      </c>
      <c r="E2432" s="1" t="n">
        <v>20171</v>
      </c>
      <c r="F2432" s="1" t="s">
        <v>208</v>
      </c>
      <c r="G2432" s="1" t="s">
        <v>101</v>
      </c>
      <c r="H2432" s="1" t="n">
        <v>2.5</v>
      </c>
      <c r="I2432" s="1" t="n">
        <v>0</v>
      </c>
      <c r="J2432" s="1" t="n">
        <v>20201</v>
      </c>
      <c r="L2432" s="1" t="str">
        <f aca="false">IF(D2431&lt;&gt;D2432,D2432,"")</f>
        <v/>
      </c>
      <c r="M2432" s="1" t="str">
        <f aca="false">IF(F2431&lt;&gt;F2432,F2432,"")</f>
        <v/>
      </c>
    </row>
    <row r="2433" customFormat="false" ht="15" hidden="false" customHeight="false" outlineLevel="0" collapsed="false">
      <c r="A2433" s="1" t="s">
        <v>733</v>
      </c>
      <c r="B2433" s="1" t="s">
        <v>734</v>
      </c>
      <c r="C2433" s="1" t="s">
        <v>906</v>
      </c>
      <c r="D2433" s="1" t="s">
        <v>907</v>
      </c>
      <c r="E2433" s="1" t="n">
        <v>20171</v>
      </c>
      <c r="F2433" s="1" t="s">
        <v>208</v>
      </c>
      <c r="G2433" s="1" t="s">
        <v>101</v>
      </c>
      <c r="H2433" s="1" t="n">
        <v>2.5</v>
      </c>
      <c r="I2433" s="1" t="n">
        <v>0</v>
      </c>
      <c r="J2433" s="1" t="n">
        <v>20201</v>
      </c>
      <c r="L2433" s="1" t="str">
        <f aca="false">IF(D2432&lt;&gt;D2433,D2433,"")</f>
        <v/>
      </c>
      <c r="M2433" s="1" t="str">
        <f aca="false">IF(F2432&lt;&gt;F2433,F2433,"")</f>
        <v/>
      </c>
    </row>
    <row r="2434" customFormat="false" ht="15" hidden="false" customHeight="false" outlineLevel="0" collapsed="false">
      <c r="A2434" s="1" t="s">
        <v>651</v>
      </c>
      <c r="B2434" s="1" t="s">
        <v>652</v>
      </c>
      <c r="C2434" s="1" t="s">
        <v>906</v>
      </c>
      <c r="D2434" s="1" t="s">
        <v>907</v>
      </c>
      <c r="E2434" s="1" t="n">
        <v>20171</v>
      </c>
      <c r="F2434" s="1" t="s">
        <v>208</v>
      </c>
      <c r="G2434" s="1" t="s">
        <v>30</v>
      </c>
      <c r="H2434" s="1" t="n">
        <v>1.5</v>
      </c>
      <c r="I2434" s="1" t="n">
        <v>0</v>
      </c>
      <c r="J2434" s="1" t="n">
        <v>20201</v>
      </c>
      <c r="L2434" s="1" t="str">
        <f aca="false">IF(D2433&lt;&gt;D2434,D2434,"")</f>
        <v/>
      </c>
      <c r="M2434" s="1" t="str">
        <f aca="false">IF(F2433&lt;&gt;F2434,F2434,"")</f>
        <v/>
      </c>
    </row>
    <row r="2435" customFormat="false" ht="15" hidden="false" customHeight="false" outlineLevel="0" collapsed="false">
      <c r="A2435" s="1" t="s">
        <v>735</v>
      </c>
      <c r="B2435" s="1" t="s">
        <v>736</v>
      </c>
      <c r="C2435" s="1" t="s">
        <v>906</v>
      </c>
      <c r="D2435" s="1" t="s">
        <v>907</v>
      </c>
      <c r="E2435" s="1" t="n">
        <v>20171</v>
      </c>
      <c r="F2435" s="1" t="s">
        <v>208</v>
      </c>
      <c r="G2435" s="1" t="s">
        <v>15</v>
      </c>
      <c r="H2435" s="1" t="n">
        <v>3.5</v>
      </c>
      <c r="I2435" s="1" t="n">
        <v>0</v>
      </c>
      <c r="J2435" s="1" t="n">
        <v>20201</v>
      </c>
      <c r="L2435" s="1" t="str">
        <f aca="false">IF(D2434&lt;&gt;D2435,D2435,"")</f>
        <v/>
      </c>
      <c r="M2435" s="1" t="str">
        <f aca="false">IF(F2434&lt;&gt;F2435,F2435,"")</f>
        <v/>
      </c>
    </row>
    <row r="2436" customFormat="false" ht="15" hidden="false" customHeight="false" outlineLevel="0" collapsed="false">
      <c r="A2436" s="1" t="s">
        <v>755</v>
      </c>
      <c r="B2436" s="1" t="s">
        <v>756</v>
      </c>
      <c r="C2436" s="1" t="s">
        <v>906</v>
      </c>
      <c r="D2436" s="1" t="s">
        <v>907</v>
      </c>
      <c r="E2436" s="1" t="n">
        <v>20171</v>
      </c>
      <c r="F2436" s="1" t="s">
        <v>208</v>
      </c>
      <c r="G2436" s="1" t="s">
        <v>101</v>
      </c>
      <c r="H2436" s="1" t="n">
        <v>2.5</v>
      </c>
      <c r="I2436" s="1" t="n">
        <v>0</v>
      </c>
      <c r="J2436" s="1" t="n">
        <v>20201</v>
      </c>
      <c r="L2436" s="1" t="str">
        <f aca="false">IF(D2435&lt;&gt;D2436,D2436,"")</f>
        <v/>
      </c>
      <c r="M2436" s="1" t="str">
        <f aca="false">IF(F2435&lt;&gt;F2436,F2436,"")</f>
        <v/>
      </c>
    </row>
    <row r="2437" customFormat="false" ht="15" hidden="false" customHeight="false" outlineLevel="0" collapsed="false">
      <c r="A2437" s="1" t="s">
        <v>575</v>
      </c>
      <c r="B2437" s="1" t="s">
        <v>576</v>
      </c>
      <c r="C2437" s="1" t="s">
        <v>906</v>
      </c>
      <c r="D2437" s="1" t="s">
        <v>907</v>
      </c>
      <c r="E2437" s="1" t="n">
        <v>20171</v>
      </c>
      <c r="F2437" s="1" t="s">
        <v>208</v>
      </c>
      <c r="G2437" s="1" t="s">
        <v>30</v>
      </c>
      <c r="H2437" s="1" t="n">
        <v>1.5</v>
      </c>
      <c r="I2437" s="1" t="n">
        <v>0</v>
      </c>
      <c r="J2437" s="1" t="n">
        <v>20201</v>
      </c>
      <c r="L2437" s="1" t="str">
        <f aca="false">IF(D2436&lt;&gt;D2437,D2437,"")</f>
        <v/>
      </c>
      <c r="M2437" s="1" t="str">
        <f aca="false">IF(F2436&lt;&gt;F2437,F2437,"")</f>
        <v/>
      </c>
    </row>
    <row r="2438" customFormat="false" ht="15" hidden="false" customHeight="false" outlineLevel="0" collapsed="false">
      <c r="A2438" s="1" t="s">
        <v>601</v>
      </c>
      <c r="B2438" s="1" t="s">
        <v>602</v>
      </c>
      <c r="C2438" s="1" t="s">
        <v>906</v>
      </c>
      <c r="D2438" s="1" t="s">
        <v>907</v>
      </c>
      <c r="E2438" s="1" t="n">
        <v>20171</v>
      </c>
      <c r="F2438" s="1" t="s">
        <v>208</v>
      </c>
      <c r="G2438" s="1" t="s">
        <v>127</v>
      </c>
      <c r="H2438" s="1" t="n">
        <v>2</v>
      </c>
      <c r="I2438" s="1" t="n">
        <v>0</v>
      </c>
      <c r="J2438" s="1" t="n">
        <v>20201</v>
      </c>
      <c r="L2438" s="1" t="str">
        <f aca="false">IF(D2437&lt;&gt;D2438,D2438,"")</f>
        <v/>
      </c>
      <c r="M2438" s="1" t="str">
        <f aca="false">IF(F2437&lt;&gt;F2438,F2438,"")</f>
        <v/>
      </c>
    </row>
    <row r="2439" customFormat="false" ht="15" hidden="false" customHeight="false" outlineLevel="0" collapsed="false">
      <c r="A2439" s="1" t="s">
        <v>737</v>
      </c>
      <c r="B2439" s="1" t="s">
        <v>738</v>
      </c>
      <c r="C2439" s="1" t="s">
        <v>906</v>
      </c>
      <c r="D2439" s="1" t="s">
        <v>907</v>
      </c>
      <c r="E2439" s="1" t="n">
        <v>20171</v>
      </c>
      <c r="F2439" s="1" t="s">
        <v>208</v>
      </c>
      <c r="G2439" s="1" t="s">
        <v>30</v>
      </c>
      <c r="H2439" s="1" t="n">
        <v>1.5</v>
      </c>
      <c r="I2439" s="1" t="n">
        <v>0</v>
      </c>
      <c r="J2439" s="1" t="n">
        <v>20201</v>
      </c>
      <c r="L2439" s="1" t="str">
        <f aca="false">IF(D2438&lt;&gt;D2439,D2439,"")</f>
        <v/>
      </c>
      <c r="M2439" s="1" t="str">
        <f aca="false">IF(F2438&lt;&gt;F2439,F2439,"")</f>
        <v/>
      </c>
    </row>
    <row r="2440" customFormat="false" ht="15" hidden="false" customHeight="false" outlineLevel="0" collapsed="false">
      <c r="A2440" s="1" t="s">
        <v>810</v>
      </c>
      <c r="B2440" s="1" t="s">
        <v>811</v>
      </c>
      <c r="C2440" s="1" t="s">
        <v>906</v>
      </c>
      <c r="D2440" s="1" t="s">
        <v>907</v>
      </c>
      <c r="E2440" s="1" t="n">
        <v>20171</v>
      </c>
      <c r="F2440" s="1" t="s">
        <v>208</v>
      </c>
      <c r="G2440" s="1" t="s">
        <v>101</v>
      </c>
      <c r="H2440" s="1" t="n">
        <v>2.5</v>
      </c>
      <c r="I2440" s="1" t="n">
        <v>0</v>
      </c>
      <c r="J2440" s="1" t="n">
        <v>20201</v>
      </c>
      <c r="L2440" s="1" t="str">
        <f aca="false">IF(D2439&lt;&gt;D2440,D2440,"")</f>
        <v/>
      </c>
      <c r="M2440" s="1" t="str">
        <f aca="false">IF(F2439&lt;&gt;F2440,F2440,"")</f>
        <v/>
      </c>
    </row>
    <row r="2441" customFormat="false" ht="15" hidden="false" customHeight="false" outlineLevel="0" collapsed="false">
      <c r="A2441" s="1" t="s">
        <v>812</v>
      </c>
      <c r="B2441" s="1" t="s">
        <v>813</v>
      </c>
      <c r="C2441" s="1" t="s">
        <v>906</v>
      </c>
      <c r="D2441" s="1" t="s">
        <v>907</v>
      </c>
      <c r="E2441" s="1" t="n">
        <v>20171</v>
      </c>
      <c r="F2441" s="1" t="s">
        <v>208</v>
      </c>
      <c r="G2441" s="1" t="s">
        <v>18</v>
      </c>
      <c r="H2441" s="1" t="n">
        <v>3</v>
      </c>
      <c r="I2441" s="1" t="n">
        <v>0</v>
      </c>
      <c r="J2441" s="1" t="n">
        <v>20201</v>
      </c>
      <c r="L2441" s="1" t="str">
        <f aca="false">IF(D2440&lt;&gt;D2441,D2441,"")</f>
        <v/>
      </c>
      <c r="M2441" s="1" t="str">
        <f aca="false">IF(F2440&lt;&gt;F2441,F2441,"")</f>
        <v/>
      </c>
    </row>
    <row r="2442" customFormat="false" ht="15" hidden="false" customHeight="false" outlineLevel="0" collapsed="false">
      <c r="A2442" s="1" t="s">
        <v>627</v>
      </c>
      <c r="B2442" s="1" t="s">
        <v>628</v>
      </c>
      <c r="C2442" s="1" t="s">
        <v>906</v>
      </c>
      <c r="D2442" s="1" t="s">
        <v>907</v>
      </c>
      <c r="E2442" s="1" t="n">
        <v>20171</v>
      </c>
      <c r="F2442" s="1" t="s">
        <v>208</v>
      </c>
      <c r="G2442" s="1" t="s">
        <v>101</v>
      </c>
      <c r="H2442" s="1" t="n">
        <v>2.5</v>
      </c>
      <c r="I2442" s="1" t="n">
        <v>0</v>
      </c>
      <c r="J2442" s="1" t="n">
        <v>20201</v>
      </c>
      <c r="L2442" s="1" t="str">
        <f aca="false">IF(D2441&lt;&gt;D2442,D2442,"")</f>
        <v/>
      </c>
      <c r="M2442" s="1" t="str">
        <f aca="false">IF(F2441&lt;&gt;F2442,F2442,"")</f>
        <v/>
      </c>
    </row>
    <row r="2443" customFormat="false" ht="15" hidden="false" customHeight="false" outlineLevel="0" collapsed="false">
      <c r="A2443" s="1" t="s">
        <v>589</v>
      </c>
      <c r="B2443" s="1" t="s">
        <v>590</v>
      </c>
      <c r="C2443" s="1" t="s">
        <v>906</v>
      </c>
      <c r="D2443" s="1" t="s">
        <v>907</v>
      </c>
      <c r="E2443" s="1" t="n">
        <v>20171</v>
      </c>
      <c r="F2443" s="1" t="s">
        <v>208</v>
      </c>
      <c r="G2443" s="1" t="s">
        <v>101</v>
      </c>
      <c r="H2443" s="1" t="n">
        <v>2.5</v>
      </c>
      <c r="I2443" s="1" t="n">
        <v>0</v>
      </c>
      <c r="J2443" s="1" t="n">
        <v>20201</v>
      </c>
      <c r="L2443" s="1" t="str">
        <f aca="false">IF(D2442&lt;&gt;D2443,D2443,"")</f>
        <v/>
      </c>
      <c r="M2443" s="1" t="str">
        <f aca="false">IF(F2442&lt;&gt;F2443,F2443,"")</f>
        <v/>
      </c>
    </row>
    <row r="2444" customFormat="false" ht="15" hidden="false" customHeight="false" outlineLevel="0" collapsed="false">
      <c r="A2444" s="1" t="s">
        <v>769</v>
      </c>
      <c r="B2444" s="1" t="s">
        <v>770</v>
      </c>
      <c r="C2444" s="1" t="s">
        <v>906</v>
      </c>
      <c r="D2444" s="1" t="s">
        <v>907</v>
      </c>
      <c r="E2444" s="1" t="n">
        <v>20171</v>
      </c>
      <c r="F2444" s="1" t="s">
        <v>208</v>
      </c>
      <c r="G2444" s="1" t="s">
        <v>101</v>
      </c>
      <c r="H2444" s="1" t="n">
        <v>2.5</v>
      </c>
      <c r="I2444" s="1" t="n">
        <v>0</v>
      </c>
      <c r="J2444" s="1" t="n">
        <v>20201</v>
      </c>
      <c r="L2444" s="1" t="str">
        <f aca="false">IF(D2443&lt;&gt;D2444,D2444,"")</f>
        <v/>
      </c>
      <c r="M2444" s="1" t="str">
        <f aca="false">IF(F2443&lt;&gt;F2444,F2444,"")</f>
        <v/>
      </c>
    </row>
    <row r="2445" customFormat="false" ht="15" hidden="false" customHeight="false" outlineLevel="0" collapsed="false">
      <c r="A2445" s="1" t="s">
        <v>771</v>
      </c>
      <c r="B2445" s="1" t="s">
        <v>772</v>
      </c>
      <c r="C2445" s="1" t="s">
        <v>906</v>
      </c>
      <c r="D2445" s="1" t="s">
        <v>907</v>
      </c>
      <c r="E2445" s="1" t="n">
        <v>20171</v>
      </c>
      <c r="F2445" s="1" t="s">
        <v>208</v>
      </c>
      <c r="G2445" s="1" t="s">
        <v>101</v>
      </c>
      <c r="H2445" s="1" t="n">
        <v>2.5</v>
      </c>
      <c r="I2445" s="1" t="n">
        <v>0</v>
      </c>
      <c r="J2445" s="1" t="n">
        <v>20201</v>
      </c>
      <c r="L2445" s="1" t="str">
        <f aca="false">IF(D2444&lt;&gt;D2445,D2445,"")</f>
        <v/>
      </c>
      <c r="M2445" s="1" t="str">
        <f aca="false">IF(F2444&lt;&gt;F2445,F2445,"")</f>
        <v/>
      </c>
    </row>
    <row r="2446" customFormat="false" ht="15" hidden="false" customHeight="false" outlineLevel="0" collapsed="false">
      <c r="A2446" s="1" t="s">
        <v>826</v>
      </c>
      <c r="B2446" s="1" t="s">
        <v>827</v>
      </c>
      <c r="C2446" s="1" t="s">
        <v>906</v>
      </c>
      <c r="D2446" s="1" t="s">
        <v>907</v>
      </c>
      <c r="E2446" s="1" t="n">
        <v>20171</v>
      </c>
      <c r="F2446" s="1" t="s">
        <v>208</v>
      </c>
      <c r="G2446" s="1" t="s">
        <v>101</v>
      </c>
      <c r="H2446" s="1" t="n">
        <v>2.5</v>
      </c>
      <c r="I2446" s="1" t="n">
        <v>0</v>
      </c>
      <c r="J2446" s="1" t="n">
        <v>20201</v>
      </c>
      <c r="L2446" s="1" t="str">
        <f aca="false">IF(D2445&lt;&gt;D2446,D2446,"")</f>
        <v/>
      </c>
      <c r="M2446" s="1" t="str">
        <f aca="false">IF(F2445&lt;&gt;F2446,F2446,"")</f>
        <v/>
      </c>
    </row>
    <row r="2447" customFormat="false" ht="15" hidden="false" customHeight="false" outlineLevel="0" collapsed="false">
      <c r="A2447" s="1" t="s">
        <v>773</v>
      </c>
      <c r="B2447" s="1" t="s">
        <v>774</v>
      </c>
      <c r="C2447" s="1" t="s">
        <v>906</v>
      </c>
      <c r="D2447" s="1" t="s">
        <v>907</v>
      </c>
      <c r="E2447" s="1" t="n">
        <v>20171</v>
      </c>
      <c r="F2447" s="1" t="s">
        <v>208</v>
      </c>
      <c r="G2447" s="1" t="s">
        <v>18</v>
      </c>
      <c r="H2447" s="1" t="n">
        <v>3</v>
      </c>
      <c r="I2447" s="1" t="n">
        <v>0</v>
      </c>
      <c r="J2447" s="1" t="n">
        <v>20201</v>
      </c>
      <c r="L2447" s="1" t="str">
        <f aca="false">IF(D2446&lt;&gt;D2447,D2447,"")</f>
        <v/>
      </c>
      <c r="M2447" s="1" t="str">
        <f aca="false">IF(F2446&lt;&gt;F2447,F2447,"")</f>
        <v/>
      </c>
    </row>
    <row r="2448" customFormat="false" ht="15" hidden="false" customHeight="false" outlineLevel="0" collapsed="false">
      <c r="A2448" s="1" t="s">
        <v>202</v>
      </c>
      <c r="B2448" s="1" t="s">
        <v>203</v>
      </c>
      <c r="C2448" s="1" t="s">
        <v>906</v>
      </c>
      <c r="D2448" s="1" t="s">
        <v>907</v>
      </c>
      <c r="E2448" s="1" t="n">
        <v>20171</v>
      </c>
      <c r="F2448" s="1" t="s">
        <v>208</v>
      </c>
      <c r="G2448" s="1" t="s">
        <v>18</v>
      </c>
      <c r="H2448" s="1" t="n">
        <v>3</v>
      </c>
      <c r="I2448" s="1" t="n">
        <v>0</v>
      </c>
      <c r="J2448" s="1" t="n">
        <v>20201</v>
      </c>
      <c r="L2448" s="1" t="str">
        <f aca="false">IF(D2447&lt;&gt;D2448,D2448,"")</f>
        <v/>
      </c>
      <c r="M2448" s="1" t="str">
        <f aca="false">IF(F2447&lt;&gt;F2448,F2448,"")</f>
        <v/>
      </c>
    </row>
    <row r="2449" customFormat="false" ht="15" hidden="false" customHeight="false" outlineLevel="0" collapsed="false">
      <c r="A2449" s="1" t="s">
        <v>739</v>
      </c>
      <c r="B2449" s="1" t="s">
        <v>740</v>
      </c>
      <c r="C2449" s="1" t="s">
        <v>906</v>
      </c>
      <c r="D2449" s="1" t="s">
        <v>907</v>
      </c>
      <c r="E2449" s="1" t="n">
        <v>20171</v>
      </c>
      <c r="F2449" s="1" t="s">
        <v>208</v>
      </c>
      <c r="G2449" s="1" t="s">
        <v>30</v>
      </c>
      <c r="H2449" s="1" t="n">
        <v>1.5</v>
      </c>
      <c r="I2449" s="1" t="n">
        <v>0</v>
      </c>
      <c r="J2449" s="1" t="n">
        <v>20201</v>
      </c>
      <c r="L2449" s="1" t="str">
        <f aca="false">IF(D2448&lt;&gt;D2449,D2449,"")</f>
        <v/>
      </c>
      <c r="M2449" s="1" t="str">
        <f aca="false">IF(F2448&lt;&gt;F2449,F2449,"")</f>
        <v/>
      </c>
    </row>
    <row r="2450" customFormat="false" ht="15" hidden="false" customHeight="false" outlineLevel="0" collapsed="false">
      <c r="A2450" s="1" t="s">
        <v>209</v>
      </c>
      <c r="B2450" s="1" t="s">
        <v>210</v>
      </c>
      <c r="C2450" s="1" t="s">
        <v>906</v>
      </c>
      <c r="D2450" s="1" t="s">
        <v>907</v>
      </c>
      <c r="E2450" s="1" t="n">
        <v>20171</v>
      </c>
      <c r="F2450" s="1" t="s">
        <v>208</v>
      </c>
      <c r="G2450" s="1" t="s">
        <v>30</v>
      </c>
      <c r="H2450" s="1" t="n">
        <v>1.5</v>
      </c>
      <c r="I2450" s="1" t="n">
        <v>0</v>
      </c>
      <c r="J2450" s="1" t="n">
        <v>20201</v>
      </c>
      <c r="L2450" s="1" t="str">
        <f aca="false">IF(D2449&lt;&gt;D2450,D2450,"")</f>
        <v/>
      </c>
      <c r="M2450" s="1" t="str">
        <f aca="false">IF(F2449&lt;&gt;F2450,F2450,"")</f>
        <v/>
      </c>
    </row>
    <row r="2451" customFormat="false" ht="15" hidden="false" customHeight="false" outlineLevel="0" collapsed="false">
      <c r="A2451" s="1" t="s">
        <v>751</v>
      </c>
      <c r="B2451" s="1" t="s">
        <v>752</v>
      </c>
      <c r="C2451" s="1" t="s">
        <v>906</v>
      </c>
      <c r="D2451" s="1" t="s">
        <v>907</v>
      </c>
      <c r="E2451" s="1" t="n">
        <v>20171</v>
      </c>
      <c r="F2451" s="1" t="s">
        <v>208</v>
      </c>
      <c r="G2451" s="1" t="s">
        <v>127</v>
      </c>
      <c r="H2451" s="1" t="n">
        <v>2</v>
      </c>
      <c r="I2451" s="1" t="n">
        <v>0</v>
      </c>
      <c r="J2451" s="1" t="n">
        <v>20201</v>
      </c>
      <c r="L2451" s="1" t="str">
        <f aca="false">IF(D2450&lt;&gt;D2451,D2451,"")</f>
        <v/>
      </c>
      <c r="M2451" s="1" t="str">
        <f aca="false">IF(F2450&lt;&gt;F2451,F2451,"")</f>
        <v/>
      </c>
    </row>
    <row r="2452" customFormat="false" ht="15" hidden="false" customHeight="false" outlineLevel="0" collapsed="false">
      <c r="A2452" s="1" t="s">
        <v>669</v>
      </c>
      <c r="B2452" s="1" t="s">
        <v>670</v>
      </c>
      <c r="C2452" s="1" t="s">
        <v>908</v>
      </c>
      <c r="D2452" s="1" t="s">
        <v>909</v>
      </c>
      <c r="E2452" s="1" t="n">
        <v>20171</v>
      </c>
      <c r="F2452" s="1" t="s">
        <v>208</v>
      </c>
      <c r="G2452" s="1" t="s">
        <v>18</v>
      </c>
      <c r="H2452" s="1" t="n">
        <v>3</v>
      </c>
      <c r="I2452" s="1" t="n">
        <v>0</v>
      </c>
      <c r="J2452" s="1" t="n">
        <v>20201</v>
      </c>
      <c r="L2452" s="1" t="str">
        <f aca="false">IF(D2451&lt;&gt;D2452,D2452,"")</f>
        <v>PRAKTIKUM RANGKAIAN ELEKTRONIKA</v>
      </c>
      <c r="M2452" s="1" t="str">
        <f aca="false">IF(F2451&lt;&gt;F2452,F2452,"")</f>
        <v/>
      </c>
    </row>
    <row r="2453" customFormat="false" ht="15" hidden="false" customHeight="false" outlineLevel="0" collapsed="false">
      <c r="A2453" s="1" t="s">
        <v>687</v>
      </c>
      <c r="B2453" s="1" t="s">
        <v>688</v>
      </c>
      <c r="C2453" s="1" t="s">
        <v>908</v>
      </c>
      <c r="D2453" s="1" t="s">
        <v>909</v>
      </c>
      <c r="E2453" s="1" t="n">
        <v>20171</v>
      </c>
      <c r="F2453" s="1" t="s">
        <v>208</v>
      </c>
      <c r="G2453" s="1" t="s">
        <v>18</v>
      </c>
      <c r="H2453" s="1" t="n">
        <v>3</v>
      </c>
      <c r="I2453" s="1" t="n">
        <v>0</v>
      </c>
      <c r="J2453" s="1" t="n">
        <v>20201</v>
      </c>
      <c r="L2453" s="1" t="str">
        <f aca="false">IF(D2452&lt;&gt;D2453,D2453,"")</f>
        <v/>
      </c>
      <c r="M2453" s="1" t="str">
        <f aca="false">IF(F2452&lt;&gt;F2453,F2453,"")</f>
        <v/>
      </c>
    </row>
    <row r="2454" customFormat="false" ht="15" hidden="false" customHeight="false" outlineLevel="0" collapsed="false">
      <c r="A2454" s="1" t="s">
        <v>689</v>
      </c>
      <c r="B2454" s="1" t="s">
        <v>690</v>
      </c>
      <c r="C2454" s="1" t="s">
        <v>908</v>
      </c>
      <c r="D2454" s="1" t="s">
        <v>909</v>
      </c>
      <c r="E2454" s="1" t="n">
        <v>20171</v>
      </c>
      <c r="F2454" s="1" t="s">
        <v>208</v>
      </c>
      <c r="G2454" s="1" t="s">
        <v>15</v>
      </c>
      <c r="H2454" s="1" t="n">
        <v>3.5</v>
      </c>
      <c r="I2454" s="1" t="n">
        <v>0</v>
      </c>
      <c r="J2454" s="1" t="n">
        <v>20201</v>
      </c>
      <c r="L2454" s="1" t="str">
        <f aca="false">IF(D2453&lt;&gt;D2454,D2454,"")</f>
        <v/>
      </c>
      <c r="M2454" s="1" t="str">
        <f aca="false">IF(F2453&lt;&gt;F2454,F2454,"")</f>
        <v/>
      </c>
    </row>
    <row r="2455" customFormat="false" ht="15" hidden="false" customHeight="false" outlineLevel="0" collapsed="false">
      <c r="A2455" s="1" t="s">
        <v>691</v>
      </c>
      <c r="B2455" s="1" t="s">
        <v>692</v>
      </c>
      <c r="C2455" s="1" t="s">
        <v>908</v>
      </c>
      <c r="D2455" s="1" t="s">
        <v>909</v>
      </c>
      <c r="E2455" s="1" t="n">
        <v>20171</v>
      </c>
      <c r="F2455" s="1" t="s">
        <v>208</v>
      </c>
      <c r="G2455" s="1" t="s">
        <v>18</v>
      </c>
      <c r="H2455" s="1" t="n">
        <v>3</v>
      </c>
      <c r="I2455" s="1" t="n">
        <v>0</v>
      </c>
      <c r="J2455" s="1" t="n">
        <v>20201</v>
      </c>
      <c r="L2455" s="1" t="str">
        <f aca="false">IF(D2454&lt;&gt;D2455,D2455,"")</f>
        <v/>
      </c>
      <c r="M2455" s="1" t="str">
        <f aca="false">IF(F2454&lt;&gt;F2455,F2455,"")</f>
        <v/>
      </c>
    </row>
    <row r="2456" customFormat="false" ht="15" hidden="false" customHeight="false" outlineLevel="0" collapsed="false">
      <c r="A2456" s="1" t="s">
        <v>693</v>
      </c>
      <c r="B2456" s="1" t="s">
        <v>694</v>
      </c>
      <c r="C2456" s="1" t="s">
        <v>908</v>
      </c>
      <c r="D2456" s="1" t="s">
        <v>909</v>
      </c>
      <c r="E2456" s="1" t="n">
        <v>20171</v>
      </c>
      <c r="F2456" s="1" t="s">
        <v>208</v>
      </c>
      <c r="G2456" s="1" t="s">
        <v>15</v>
      </c>
      <c r="H2456" s="1" t="n">
        <v>3.5</v>
      </c>
      <c r="I2456" s="1" t="n">
        <v>0</v>
      </c>
      <c r="J2456" s="1" t="n">
        <v>20201</v>
      </c>
      <c r="L2456" s="1" t="str">
        <f aca="false">IF(D2455&lt;&gt;D2456,D2456,"")</f>
        <v/>
      </c>
      <c r="M2456" s="1" t="str">
        <f aca="false">IF(F2455&lt;&gt;F2456,F2456,"")</f>
        <v/>
      </c>
    </row>
    <row r="2457" customFormat="false" ht="15" hidden="false" customHeight="false" outlineLevel="0" collapsed="false">
      <c r="A2457" s="1" t="s">
        <v>695</v>
      </c>
      <c r="B2457" s="1" t="s">
        <v>696</v>
      </c>
      <c r="C2457" s="1" t="s">
        <v>908</v>
      </c>
      <c r="D2457" s="1" t="s">
        <v>909</v>
      </c>
      <c r="E2457" s="1" t="n">
        <v>20171</v>
      </c>
      <c r="F2457" s="1" t="s">
        <v>208</v>
      </c>
      <c r="G2457" s="1" t="s">
        <v>15</v>
      </c>
      <c r="H2457" s="1" t="n">
        <v>3.5</v>
      </c>
      <c r="I2457" s="1" t="n">
        <v>0</v>
      </c>
      <c r="J2457" s="1" t="n">
        <v>20201</v>
      </c>
      <c r="L2457" s="1" t="str">
        <f aca="false">IF(D2456&lt;&gt;D2457,D2457,"")</f>
        <v/>
      </c>
      <c r="M2457" s="1" t="str">
        <f aca="false">IF(F2456&lt;&gt;F2457,F2457,"")</f>
        <v/>
      </c>
    </row>
    <row r="2458" customFormat="false" ht="15" hidden="false" customHeight="false" outlineLevel="0" collapsed="false">
      <c r="A2458" s="1" t="s">
        <v>697</v>
      </c>
      <c r="B2458" s="1" t="s">
        <v>698</v>
      </c>
      <c r="C2458" s="1" t="s">
        <v>908</v>
      </c>
      <c r="D2458" s="1" t="s">
        <v>909</v>
      </c>
      <c r="E2458" s="1" t="n">
        <v>20171</v>
      </c>
      <c r="F2458" s="1" t="s">
        <v>208</v>
      </c>
      <c r="G2458" s="1" t="s">
        <v>18</v>
      </c>
      <c r="H2458" s="1" t="n">
        <v>3</v>
      </c>
      <c r="I2458" s="1" t="n">
        <v>0</v>
      </c>
      <c r="J2458" s="1" t="n">
        <v>20201</v>
      </c>
      <c r="L2458" s="1" t="str">
        <f aca="false">IF(D2457&lt;&gt;D2458,D2458,"")</f>
        <v/>
      </c>
      <c r="M2458" s="1" t="str">
        <f aca="false">IF(F2457&lt;&gt;F2458,F2458,"")</f>
        <v/>
      </c>
    </row>
    <row r="2459" customFormat="false" ht="15" hidden="false" customHeight="false" outlineLevel="0" collapsed="false">
      <c r="A2459" s="1" t="s">
        <v>699</v>
      </c>
      <c r="B2459" s="1" t="s">
        <v>700</v>
      </c>
      <c r="C2459" s="1" t="s">
        <v>908</v>
      </c>
      <c r="D2459" s="1" t="s">
        <v>909</v>
      </c>
      <c r="E2459" s="1" t="n">
        <v>20171</v>
      </c>
      <c r="F2459" s="1" t="s">
        <v>208</v>
      </c>
      <c r="G2459" s="1" t="s">
        <v>15</v>
      </c>
      <c r="H2459" s="1" t="n">
        <v>3.5</v>
      </c>
      <c r="I2459" s="1" t="n">
        <v>0</v>
      </c>
      <c r="J2459" s="1" t="n">
        <v>20201</v>
      </c>
      <c r="L2459" s="1" t="str">
        <f aca="false">IF(D2458&lt;&gt;D2459,D2459,"")</f>
        <v/>
      </c>
      <c r="M2459" s="1" t="str">
        <f aca="false">IF(F2458&lt;&gt;F2459,F2459,"")</f>
        <v/>
      </c>
    </row>
    <row r="2460" customFormat="false" ht="15" hidden="false" customHeight="false" outlineLevel="0" collapsed="false">
      <c r="A2460" s="1" t="s">
        <v>701</v>
      </c>
      <c r="B2460" s="1" t="s">
        <v>702</v>
      </c>
      <c r="C2460" s="1" t="s">
        <v>908</v>
      </c>
      <c r="D2460" s="1" t="s">
        <v>909</v>
      </c>
      <c r="E2460" s="1" t="n">
        <v>20171</v>
      </c>
      <c r="F2460" s="1" t="s">
        <v>208</v>
      </c>
      <c r="G2460" s="1" t="s">
        <v>15</v>
      </c>
      <c r="H2460" s="1" t="n">
        <v>3.5</v>
      </c>
      <c r="I2460" s="1" t="n">
        <v>0</v>
      </c>
      <c r="J2460" s="1" t="n">
        <v>20201</v>
      </c>
      <c r="L2460" s="1" t="str">
        <f aca="false">IF(D2459&lt;&gt;D2460,D2460,"")</f>
        <v/>
      </c>
      <c r="M2460" s="1" t="str">
        <f aca="false">IF(F2459&lt;&gt;F2460,F2460,"")</f>
        <v/>
      </c>
    </row>
    <row r="2461" customFormat="false" ht="15" hidden="false" customHeight="false" outlineLevel="0" collapsed="false">
      <c r="A2461" s="1" t="s">
        <v>703</v>
      </c>
      <c r="B2461" s="1" t="s">
        <v>704</v>
      </c>
      <c r="C2461" s="1" t="s">
        <v>908</v>
      </c>
      <c r="D2461" s="1" t="s">
        <v>909</v>
      </c>
      <c r="E2461" s="1" t="n">
        <v>20171</v>
      </c>
      <c r="F2461" s="1" t="s">
        <v>208</v>
      </c>
      <c r="G2461" s="1" t="s">
        <v>15</v>
      </c>
      <c r="H2461" s="1" t="n">
        <v>3.5</v>
      </c>
      <c r="I2461" s="1" t="n">
        <v>0</v>
      </c>
      <c r="J2461" s="1" t="n">
        <v>20201</v>
      </c>
      <c r="L2461" s="1" t="str">
        <f aca="false">IF(D2460&lt;&gt;D2461,D2461,"")</f>
        <v/>
      </c>
      <c r="M2461" s="1" t="str">
        <f aca="false">IF(F2460&lt;&gt;F2461,F2461,"")</f>
        <v/>
      </c>
    </row>
    <row r="2462" customFormat="false" ht="15" hidden="false" customHeight="false" outlineLevel="0" collapsed="false">
      <c r="A2462" s="1" t="s">
        <v>705</v>
      </c>
      <c r="B2462" s="1" t="s">
        <v>706</v>
      </c>
      <c r="C2462" s="1" t="s">
        <v>908</v>
      </c>
      <c r="D2462" s="1" t="s">
        <v>909</v>
      </c>
      <c r="E2462" s="1" t="n">
        <v>20171</v>
      </c>
      <c r="F2462" s="1" t="s">
        <v>208</v>
      </c>
      <c r="G2462" s="1" t="s">
        <v>15</v>
      </c>
      <c r="H2462" s="1" t="n">
        <v>3.5</v>
      </c>
      <c r="I2462" s="1" t="n">
        <v>0</v>
      </c>
      <c r="J2462" s="1" t="n">
        <v>20201</v>
      </c>
      <c r="L2462" s="1" t="str">
        <f aca="false">IF(D2461&lt;&gt;D2462,D2462,"")</f>
        <v/>
      </c>
      <c r="M2462" s="1" t="str">
        <f aca="false">IF(F2461&lt;&gt;F2462,F2462,"")</f>
        <v/>
      </c>
    </row>
    <row r="2463" customFormat="false" ht="15" hidden="false" customHeight="false" outlineLevel="0" collapsed="false">
      <c r="A2463" s="1" t="s">
        <v>707</v>
      </c>
      <c r="B2463" s="1" t="s">
        <v>708</v>
      </c>
      <c r="C2463" s="1" t="s">
        <v>908</v>
      </c>
      <c r="D2463" s="1" t="s">
        <v>909</v>
      </c>
      <c r="E2463" s="1" t="n">
        <v>20171</v>
      </c>
      <c r="F2463" s="1" t="s">
        <v>208</v>
      </c>
      <c r="G2463" s="1" t="s">
        <v>15</v>
      </c>
      <c r="H2463" s="1" t="n">
        <v>3.5</v>
      </c>
      <c r="I2463" s="1" t="n">
        <v>0</v>
      </c>
      <c r="J2463" s="1" t="n">
        <v>20201</v>
      </c>
      <c r="L2463" s="1" t="str">
        <f aca="false">IF(D2462&lt;&gt;D2463,D2463,"")</f>
        <v/>
      </c>
      <c r="M2463" s="1" t="str">
        <f aca="false">IF(F2462&lt;&gt;F2463,F2463,"")</f>
        <v/>
      </c>
    </row>
    <row r="2464" customFormat="false" ht="15" hidden="false" customHeight="false" outlineLevel="0" collapsed="false">
      <c r="A2464" s="1" t="s">
        <v>709</v>
      </c>
      <c r="B2464" s="1" t="s">
        <v>710</v>
      </c>
      <c r="C2464" s="1" t="s">
        <v>908</v>
      </c>
      <c r="D2464" s="1" t="s">
        <v>909</v>
      </c>
      <c r="E2464" s="1" t="n">
        <v>20171</v>
      </c>
      <c r="F2464" s="1" t="s">
        <v>208</v>
      </c>
      <c r="G2464" s="1" t="s">
        <v>15</v>
      </c>
      <c r="H2464" s="1" t="n">
        <v>3.5</v>
      </c>
      <c r="I2464" s="1" t="n">
        <v>0</v>
      </c>
      <c r="J2464" s="1" t="n">
        <v>20201</v>
      </c>
      <c r="L2464" s="1" t="str">
        <f aca="false">IF(D2463&lt;&gt;D2464,D2464,"")</f>
        <v/>
      </c>
      <c r="M2464" s="1" t="str">
        <f aca="false">IF(F2463&lt;&gt;F2464,F2464,"")</f>
        <v/>
      </c>
    </row>
    <row r="2465" customFormat="false" ht="15" hidden="false" customHeight="false" outlineLevel="0" collapsed="false">
      <c r="A2465" s="1" t="s">
        <v>711</v>
      </c>
      <c r="B2465" s="1" t="s">
        <v>712</v>
      </c>
      <c r="C2465" s="1" t="s">
        <v>908</v>
      </c>
      <c r="D2465" s="1" t="s">
        <v>909</v>
      </c>
      <c r="E2465" s="1" t="n">
        <v>20171</v>
      </c>
      <c r="F2465" s="1" t="s">
        <v>208</v>
      </c>
      <c r="G2465" s="1" t="s">
        <v>15</v>
      </c>
      <c r="H2465" s="1" t="n">
        <v>3.5</v>
      </c>
      <c r="I2465" s="1" t="n">
        <v>0</v>
      </c>
      <c r="J2465" s="1" t="n">
        <v>20201</v>
      </c>
      <c r="L2465" s="1" t="str">
        <f aca="false">IF(D2464&lt;&gt;D2465,D2465,"")</f>
        <v/>
      </c>
      <c r="M2465" s="1" t="str">
        <f aca="false">IF(F2464&lt;&gt;F2465,F2465,"")</f>
        <v/>
      </c>
    </row>
    <row r="2466" customFormat="false" ht="15" hidden="false" customHeight="false" outlineLevel="0" collapsed="false">
      <c r="A2466" s="1" t="s">
        <v>713</v>
      </c>
      <c r="B2466" s="1" t="s">
        <v>714</v>
      </c>
      <c r="C2466" s="1" t="s">
        <v>908</v>
      </c>
      <c r="D2466" s="1" t="s">
        <v>909</v>
      </c>
      <c r="E2466" s="1" t="n">
        <v>20171</v>
      </c>
      <c r="F2466" s="1" t="s">
        <v>208</v>
      </c>
      <c r="G2466" s="1" t="s">
        <v>18</v>
      </c>
      <c r="H2466" s="1" t="n">
        <v>3</v>
      </c>
      <c r="I2466" s="1" t="n">
        <v>0</v>
      </c>
      <c r="J2466" s="1" t="n">
        <v>20201</v>
      </c>
      <c r="L2466" s="1" t="str">
        <f aca="false">IF(D2465&lt;&gt;D2466,D2466,"")</f>
        <v/>
      </c>
      <c r="M2466" s="1" t="str">
        <f aca="false">IF(F2465&lt;&gt;F2466,F2466,"")</f>
        <v/>
      </c>
    </row>
    <row r="2467" customFormat="false" ht="15" hidden="false" customHeight="false" outlineLevel="0" collapsed="false">
      <c r="A2467" s="1" t="s">
        <v>715</v>
      </c>
      <c r="B2467" s="1" t="s">
        <v>716</v>
      </c>
      <c r="C2467" s="1" t="s">
        <v>908</v>
      </c>
      <c r="D2467" s="1" t="s">
        <v>909</v>
      </c>
      <c r="E2467" s="1" t="n">
        <v>20171</v>
      </c>
      <c r="F2467" s="1" t="s">
        <v>208</v>
      </c>
      <c r="G2467" s="1" t="s">
        <v>15</v>
      </c>
      <c r="H2467" s="1" t="n">
        <v>3.5</v>
      </c>
      <c r="I2467" s="1" t="n">
        <v>0</v>
      </c>
      <c r="J2467" s="1" t="n">
        <v>20201</v>
      </c>
      <c r="L2467" s="1" t="str">
        <f aca="false">IF(D2466&lt;&gt;D2467,D2467,"")</f>
        <v/>
      </c>
      <c r="M2467" s="1" t="str">
        <f aca="false">IF(F2466&lt;&gt;F2467,F2467,"")</f>
        <v/>
      </c>
    </row>
    <row r="2468" customFormat="false" ht="15" hidden="false" customHeight="false" outlineLevel="0" collapsed="false">
      <c r="A2468" s="1" t="s">
        <v>717</v>
      </c>
      <c r="B2468" s="1" t="s">
        <v>718</v>
      </c>
      <c r="C2468" s="1" t="s">
        <v>908</v>
      </c>
      <c r="D2468" s="1" t="s">
        <v>909</v>
      </c>
      <c r="E2468" s="1" t="n">
        <v>20171</v>
      </c>
      <c r="F2468" s="1" t="s">
        <v>208</v>
      </c>
      <c r="G2468" s="1" t="s">
        <v>15</v>
      </c>
      <c r="H2468" s="1" t="n">
        <v>3.5</v>
      </c>
      <c r="I2468" s="1" t="n">
        <v>0</v>
      </c>
      <c r="J2468" s="1" t="n">
        <v>20201</v>
      </c>
      <c r="L2468" s="1" t="str">
        <f aca="false">IF(D2467&lt;&gt;D2468,D2468,"")</f>
        <v/>
      </c>
      <c r="M2468" s="1" t="str">
        <f aca="false">IF(F2467&lt;&gt;F2468,F2468,"")</f>
        <v/>
      </c>
    </row>
    <row r="2469" customFormat="false" ht="15" hidden="false" customHeight="false" outlineLevel="0" collapsed="false">
      <c r="A2469" s="1" t="s">
        <v>719</v>
      </c>
      <c r="B2469" s="1" t="s">
        <v>720</v>
      </c>
      <c r="C2469" s="1" t="s">
        <v>908</v>
      </c>
      <c r="D2469" s="1" t="s">
        <v>909</v>
      </c>
      <c r="E2469" s="1" t="n">
        <v>20171</v>
      </c>
      <c r="F2469" s="1" t="s">
        <v>208</v>
      </c>
      <c r="G2469" s="1" t="s">
        <v>15</v>
      </c>
      <c r="H2469" s="1" t="n">
        <v>3.5</v>
      </c>
      <c r="I2469" s="1" t="n">
        <v>0</v>
      </c>
      <c r="J2469" s="1" t="n">
        <v>20201</v>
      </c>
      <c r="L2469" s="1" t="str">
        <f aca="false">IF(D2468&lt;&gt;D2469,D2469,"")</f>
        <v/>
      </c>
      <c r="M2469" s="1" t="str">
        <f aca="false">IF(F2468&lt;&gt;F2469,F2469,"")</f>
        <v/>
      </c>
    </row>
    <row r="2470" customFormat="false" ht="15" hidden="false" customHeight="false" outlineLevel="0" collapsed="false">
      <c r="A2470" s="1" t="s">
        <v>663</v>
      </c>
      <c r="B2470" s="1" t="s">
        <v>664</v>
      </c>
      <c r="C2470" s="1" t="s">
        <v>908</v>
      </c>
      <c r="D2470" s="1" t="s">
        <v>909</v>
      </c>
      <c r="E2470" s="1" t="n">
        <v>20171</v>
      </c>
      <c r="F2470" s="1" t="s">
        <v>208</v>
      </c>
      <c r="G2470" s="1" t="s">
        <v>18</v>
      </c>
      <c r="H2470" s="1" t="n">
        <v>3</v>
      </c>
      <c r="I2470" s="1" t="n">
        <v>0</v>
      </c>
      <c r="J2470" s="1" t="n">
        <v>20201</v>
      </c>
      <c r="L2470" s="1" t="str">
        <f aca="false">IF(D2469&lt;&gt;D2470,D2470,"")</f>
        <v/>
      </c>
      <c r="M2470" s="1" t="str">
        <f aca="false">IF(F2469&lt;&gt;F2470,F2470,"")</f>
        <v/>
      </c>
    </row>
    <row r="2471" customFormat="false" ht="15" hidden="false" customHeight="false" outlineLevel="0" collapsed="false">
      <c r="A2471" s="1" t="s">
        <v>721</v>
      </c>
      <c r="B2471" s="1" t="s">
        <v>722</v>
      </c>
      <c r="C2471" s="1" t="s">
        <v>908</v>
      </c>
      <c r="D2471" s="1" t="s">
        <v>909</v>
      </c>
      <c r="E2471" s="1" t="n">
        <v>20171</v>
      </c>
      <c r="F2471" s="1" t="s">
        <v>208</v>
      </c>
      <c r="G2471" s="1" t="s">
        <v>15</v>
      </c>
      <c r="H2471" s="1" t="n">
        <v>3.5</v>
      </c>
      <c r="I2471" s="1" t="n">
        <v>0</v>
      </c>
      <c r="J2471" s="1" t="n">
        <v>20201</v>
      </c>
      <c r="L2471" s="1" t="str">
        <f aca="false">IF(D2470&lt;&gt;D2471,D2471,"")</f>
        <v/>
      </c>
      <c r="M2471" s="1" t="str">
        <f aca="false">IF(F2470&lt;&gt;F2471,F2471,"")</f>
        <v/>
      </c>
    </row>
    <row r="2472" customFormat="false" ht="15" hidden="false" customHeight="false" outlineLevel="0" collapsed="false">
      <c r="A2472" s="1" t="s">
        <v>665</v>
      </c>
      <c r="B2472" s="1" t="s">
        <v>666</v>
      </c>
      <c r="C2472" s="1" t="s">
        <v>908</v>
      </c>
      <c r="D2472" s="1" t="s">
        <v>909</v>
      </c>
      <c r="E2472" s="1" t="n">
        <v>20171</v>
      </c>
      <c r="F2472" s="1" t="s">
        <v>208</v>
      </c>
      <c r="G2472" s="1" t="s">
        <v>15</v>
      </c>
      <c r="H2472" s="1" t="n">
        <v>3.5</v>
      </c>
      <c r="I2472" s="1" t="n">
        <v>0</v>
      </c>
      <c r="J2472" s="1" t="n">
        <v>20201</v>
      </c>
      <c r="L2472" s="1" t="str">
        <f aca="false">IF(D2471&lt;&gt;D2472,D2472,"")</f>
        <v/>
      </c>
      <c r="M2472" s="1" t="str">
        <f aca="false">IF(F2471&lt;&gt;F2472,F2472,"")</f>
        <v/>
      </c>
    </row>
    <row r="2473" customFormat="false" ht="15" hidden="false" customHeight="false" outlineLevel="0" collapsed="false">
      <c r="A2473" s="1" t="s">
        <v>723</v>
      </c>
      <c r="B2473" s="1" t="s">
        <v>724</v>
      </c>
      <c r="C2473" s="1" t="s">
        <v>908</v>
      </c>
      <c r="D2473" s="1" t="s">
        <v>909</v>
      </c>
      <c r="E2473" s="1" t="n">
        <v>20171</v>
      </c>
      <c r="F2473" s="1" t="s">
        <v>208</v>
      </c>
      <c r="G2473" s="1" t="s">
        <v>15</v>
      </c>
      <c r="H2473" s="1" t="n">
        <v>3.5</v>
      </c>
      <c r="I2473" s="1" t="n">
        <v>0</v>
      </c>
      <c r="J2473" s="1" t="n">
        <v>20201</v>
      </c>
      <c r="L2473" s="1" t="str">
        <f aca="false">IF(D2472&lt;&gt;D2473,D2473,"")</f>
        <v/>
      </c>
      <c r="M2473" s="1" t="str">
        <f aca="false">IF(F2472&lt;&gt;F2473,F2473,"")</f>
        <v/>
      </c>
    </row>
    <row r="2474" customFormat="false" ht="15" hidden="false" customHeight="false" outlineLevel="0" collapsed="false">
      <c r="A2474" s="1" t="s">
        <v>725</v>
      </c>
      <c r="B2474" s="1" t="s">
        <v>726</v>
      </c>
      <c r="C2474" s="1" t="s">
        <v>908</v>
      </c>
      <c r="D2474" s="1" t="s">
        <v>909</v>
      </c>
      <c r="E2474" s="1" t="n">
        <v>20171</v>
      </c>
      <c r="F2474" s="1" t="s">
        <v>208</v>
      </c>
      <c r="G2474" s="1" t="s">
        <v>15</v>
      </c>
      <c r="H2474" s="1" t="n">
        <v>3.5</v>
      </c>
      <c r="I2474" s="1" t="n">
        <v>0</v>
      </c>
      <c r="J2474" s="1" t="n">
        <v>20201</v>
      </c>
      <c r="L2474" s="1" t="str">
        <f aca="false">IF(D2473&lt;&gt;D2474,D2474,"")</f>
        <v/>
      </c>
      <c r="M2474" s="1" t="str">
        <f aca="false">IF(F2473&lt;&gt;F2474,F2474,"")</f>
        <v/>
      </c>
    </row>
    <row r="2475" customFormat="false" ht="15" hidden="false" customHeight="false" outlineLevel="0" collapsed="false">
      <c r="A2475" s="1" t="s">
        <v>854</v>
      </c>
      <c r="B2475" s="1" t="s">
        <v>855</v>
      </c>
      <c r="C2475" s="1" t="s">
        <v>908</v>
      </c>
      <c r="D2475" s="1" t="s">
        <v>909</v>
      </c>
      <c r="E2475" s="1" t="n">
        <v>20171</v>
      </c>
      <c r="F2475" s="1" t="s">
        <v>208</v>
      </c>
      <c r="G2475" s="1" t="s">
        <v>23</v>
      </c>
      <c r="H2475" s="1" t="n">
        <v>0</v>
      </c>
      <c r="I2475" s="1" t="n">
        <v>0</v>
      </c>
      <c r="J2475" s="1" t="n">
        <v>20201</v>
      </c>
      <c r="L2475" s="1" t="str">
        <f aca="false">IF(D2474&lt;&gt;D2475,D2475,"")</f>
        <v/>
      </c>
      <c r="M2475" s="1" t="str">
        <f aca="false">IF(F2474&lt;&gt;F2475,F2475,"")</f>
        <v/>
      </c>
    </row>
    <row r="2476" customFormat="false" ht="15" hidden="false" customHeight="false" outlineLevel="0" collapsed="false">
      <c r="A2476" s="1" t="s">
        <v>304</v>
      </c>
      <c r="B2476" s="1" t="s">
        <v>305</v>
      </c>
      <c r="C2476" s="1" t="s">
        <v>910</v>
      </c>
      <c r="D2476" s="1" t="s">
        <v>911</v>
      </c>
      <c r="E2476" s="1" t="n">
        <v>20171</v>
      </c>
      <c r="F2476" s="1" t="s">
        <v>208</v>
      </c>
      <c r="G2476" s="1" t="s">
        <v>18</v>
      </c>
      <c r="H2476" s="1" t="n">
        <v>3</v>
      </c>
      <c r="I2476" s="1" t="n">
        <v>0</v>
      </c>
      <c r="J2476" s="1" t="n">
        <v>20201</v>
      </c>
      <c r="L2476" s="1" t="str">
        <f aca="false">IF(D2475&lt;&gt;D2476,D2476,"")</f>
        <v>PRAKTIKUM RANGKAIAN LISTRIK</v>
      </c>
      <c r="M2476" s="1" t="str">
        <f aca="false">IF(F2475&lt;&gt;F2476,F2476,"")</f>
        <v/>
      </c>
    </row>
    <row r="2477" customFormat="false" ht="15" hidden="false" customHeight="false" outlineLevel="0" collapsed="false">
      <c r="A2477" s="1" t="s">
        <v>912</v>
      </c>
      <c r="B2477" s="1" t="s">
        <v>913</v>
      </c>
      <c r="C2477" s="1" t="s">
        <v>910</v>
      </c>
      <c r="D2477" s="1" t="s">
        <v>911</v>
      </c>
      <c r="E2477" s="1" t="n">
        <v>20171</v>
      </c>
      <c r="F2477" s="1" t="s">
        <v>208</v>
      </c>
      <c r="G2477" s="1" t="s">
        <v>18</v>
      </c>
      <c r="H2477" s="1" t="n">
        <v>3</v>
      </c>
      <c r="I2477" s="1" t="n">
        <v>0</v>
      </c>
      <c r="J2477" s="1" t="n">
        <v>20201</v>
      </c>
      <c r="L2477" s="1" t="str">
        <f aca="false">IF(D2476&lt;&gt;D2477,D2477,"")</f>
        <v/>
      </c>
      <c r="M2477" s="1" t="str">
        <f aca="false">IF(F2476&lt;&gt;F2477,F2477,"")</f>
        <v/>
      </c>
    </row>
    <row r="2478" customFormat="false" ht="15" hidden="false" customHeight="false" outlineLevel="0" collapsed="false">
      <c r="A2478" s="1" t="s">
        <v>16</v>
      </c>
      <c r="B2478" s="1" t="s">
        <v>17</v>
      </c>
      <c r="C2478" s="1" t="s">
        <v>910</v>
      </c>
      <c r="D2478" s="1" t="s">
        <v>911</v>
      </c>
      <c r="E2478" s="1" t="n">
        <v>20171</v>
      </c>
      <c r="F2478" s="1" t="s">
        <v>208</v>
      </c>
      <c r="G2478" s="1" t="s">
        <v>18</v>
      </c>
      <c r="H2478" s="1" t="n">
        <v>3</v>
      </c>
      <c r="I2478" s="1" t="n">
        <v>0</v>
      </c>
      <c r="J2478" s="1" t="n">
        <v>20201</v>
      </c>
      <c r="L2478" s="1" t="str">
        <f aca="false">IF(D2477&lt;&gt;D2478,D2478,"")</f>
        <v/>
      </c>
      <c r="M2478" s="1" t="str">
        <f aca="false">IF(F2477&lt;&gt;F2478,F2478,"")</f>
        <v/>
      </c>
    </row>
    <row r="2479" customFormat="false" ht="15" hidden="false" customHeight="false" outlineLevel="0" collapsed="false">
      <c r="A2479" s="1" t="s">
        <v>783</v>
      </c>
      <c r="B2479" s="1" t="s">
        <v>784</v>
      </c>
      <c r="C2479" s="1" t="s">
        <v>910</v>
      </c>
      <c r="D2479" s="1" t="s">
        <v>911</v>
      </c>
      <c r="E2479" s="1" t="n">
        <v>20171</v>
      </c>
      <c r="F2479" s="1" t="s">
        <v>208</v>
      </c>
      <c r="G2479" s="1" t="s">
        <v>18</v>
      </c>
      <c r="H2479" s="1" t="n">
        <v>3</v>
      </c>
      <c r="I2479" s="1" t="n">
        <v>0</v>
      </c>
      <c r="J2479" s="1" t="n">
        <v>20201</v>
      </c>
      <c r="L2479" s="1" t="str">
        <f aca="false">IF(D2478&lt;&gt;D2479,D2479,"")</f>
        <v/>
      </c>
      <c r="M2479" s="1" t="str">
        <f aca="false">IF(F2478&lt;&gt;F2479,F2479,"")</f>
        <v/>
      </c>
    </row>
    <row r="2480" customFormat="false" ht="15" hidden="false" customHeight="false" outlineLevel="0" collapsed="false">
      <c r="A2480" s="1" t="s">
        <v>597</v>
      </c>
      <c r="B2480" s="1" t="s">
        <v>598</v>
      </c>
      <c r="C2480" s="1" t="s">
        <v>910</v>
      </c>
      <c r="D2480" s="1" t="s">
        <v>911</v>
      </c>
      <c r="E2480" s="1" t="n">
        <v>20171</v>
      </c>
      <c r="F2480" s="1" t="s">
        <v>208</v>
      </c>
      <c r="G2480" s="1" t="s">
        <v>15</v>
      </c>
      <c r="H2480" s="1" t="n">
        <v>3.5</v>
      </c>
      <c r="I2480" s="1" t="n">
        <v>0</v>
      </c>
      <c r="J2480" s="1" t="n">
        <v>20201</v>
      </c>
      <c r="L2480" s="1" t="str">
        <f aca="false">IF(D2479&lt;&gt;D2480,D2480,"")</f>
        <v/>
      </c>
      <c r="M2480" s="1" t="str">
        <f aca="false">IF(F2479&lt;&gt;F2480,F2480,"")</f>
        <v/>
      </c>
    </row>
    <row r="2481" customFormat="false" ht="15" hidden="false" customHeight="false" outlineLevel="0" collapsed="false">
      <c r="A2481" s="1" t="s">
        <v>914</v>
      </c>
      <c r="B2481" s="1" t="s">
        <v>915</v>
      </c>
      <c r="C2481" s="1" t="s">
        <v>910</v>
      </c>
      <c r="D2481" s="1" t="s">
        <v>911</v>
      </c>
      <c r="E2481" s="1" t="n">
        <v>20171</v>
      </c>
      <c r="F2481" s="1" t="s">
        <v>208</v>
      </c>
      <c r="G2481" s="1" t="s">
        <v>18</v>
      </c>
      <c r="H2481" s="1" t="n">
        <v>3</v>
      </c>
      <c r="I2481" s="1" t="n">
        <v>0</v>
      </c>
      <c r="J2481" s="1" t="n">
        <v>20201</v>
      </c>
      <c r="L2481" s="1" t="str">
        <f aca="false">IF(D2480&lt;&gt;D2481,D2481,"")</f>
        <v/>
      </c>
      <c r="M2481" s="1" t="str">
        <f aca="false">IF(F2480&lt;&gt;F2481,F2481,"")</f>
        <v/>
      </c>
    </row>
    <row r="2482" customFormat="false" ht="15" hidden="false" customHeight="false" outlineLevel="0" collapsed="false">
      <c r="A2482" s="1" t="s">
        <v>619</v>
      </c>
      <c r="B2482" s="1" t="s">
        <v>620</v>
      </c>
      <c r="C2482" s="1" t="s">
        <v>910</v>
      </c>
      <c r="D2482" s="1" t="s">
        <v>911</v>
      </c>
      <c r="E2482" s="1" t="n">
        <v>20171</v>
      </c>
      <c r="F2482" s="1" t="s">
        <v>208</v>
      </c>
      <c r="G2482" s="1" t="s">
        <v>18</v>
      </c>
      <c r="H2482" s="1" t="n">
        <v>3</v>
      </c>
      <c r="I2482" s="1" t="n">
        <v>0</v>
      </c>
      <c r="J2482" s="1" t="n">
        <v>20201</v>
      </c>
      <c r="L2482" s="1" t="str">
        <f aca="false">IF(D2481&lt;&gt;D2482,D2482,"")</f>
        <v/>
      </c>
      <c r="M2482" s="1" t="str">
        <f aca="false">IF(F2481&lt;&gt;F2482,F2482,"")</f>
        <v/>
      </c>
    </row>
    <row r="2483" customFormat="false" ht="15" hidden="false" customHeight="false" outlineLevel="0" collapsed="false">
      <c r="A2483" s="1" t="s">
        <v>523</v>
      </c>
      <c r="B2483" s="1" t="s">
        <v>524</v>
      </c>
      <c r="C2483" s="1" t="s">
        <v>910</v>
      </c>
      <c r="D2483" s="1" t="s">
        <v>911</v>
      </c>
      <c r="E2483" s="1" t="n">
        <v>20171</v>
      </c>
      <c r="F2483" s="1" t="s">
        <v>208</v>
      </c>
      <c r="G2483" s="1" t="s">
        <v>18</v>
      </c>
      <c r="H2483" s="1" t="n">
        <v>3</v>
      </c>
      <c r="I2483" s="1" t="n">
        <v>0</v>
      </c>
      <c r="J2483" s="1" t="n">
        <v>20201</v>
      </c>
      <c r="L2483" s="1" t="str">
        <f aca="false">IF(D2482&lt;&gt;D2483,D2483,"")</f>
        <v/>
      </c>
      <c r="M2483" s="1" t="str">
        <f aca="false">IF(F2482&lt;&gt;F2483,F2483,"")</f>
        <v/>
      </c>
    </row>
    <row r="2484" customFormat="false" ht="15" hidden="false" customHeight="false" outlineLevel="0" collapsed="false">
      <c r="A2484" s="1" t="s">
        <v>649</v>
      </c>
      <c r="B2484" s="1" t="s">
        <v>650</v>
      </c>
      <c r="C2484" s="1" t="s">
        <v>910</v>
      </c>
      <c r="D2484" s="1" t="s">
        <v>911</v>
      </c>
      <c r="E2484" s="1" t="n">
        <v>20171</v>
      </c>
      <c r="F2484" s="1" t="s">
        <v>208</v>
      </c>
      <c r="G2484" s="1" t="s">
        <v>18</v>
      </c>
      <c r="H2484" s="1" t="n">
        <v>3</v>
      </c>
      <c r="I2484" s="1" t="n">
        <v>0</v>
      </c>
      <c r="J2484" s="1" t="n">
        <v>20201</v>
      </c>
      <c r="L2484" s="1" t="str">
        <f aca="false">IF(D2483&lt;&gt;D2484,D2484,"")</f>
        <v/>
      </c>
      <c r="M2484" s="1" t="str">
        <f aca="false">IF(F2483&lt;&gt;F2484,F2484,"")</f>
        <v/>
      </c>
    </row>
    <row r="2485" customFormat="false" ht="15" hidden="false" customHeight="false" outlineLevel="0" collapsed="false">
      <c r="A2485" s="1" t="s">
        <v>669</v>
      </c>
      <c r="B2485" s="1" t="s">
        <v>670</v>
      </c>
      <c r="C2485" s="1" t="s">
        <v>910</v>
      </c>
      <c r="D2485" s="1" t="s">
        <v>911</v>
      </c>
      <c r="E2485" s="1" t="n">
        <v>20171</v>
      </c>
      <c r="F2485" s="1" t="s">
        <v>208</v>
      </c>
      <c r="G2485" s="1" t="s">
        <v>18</v>
      </c>
      <c r="H2485" s="1" t="n">
        <v>3</v>
      </c>
      <c r="I2485" s="1" t="n">
        <v>0</v>
      </c>
      <c r="J2485" s="1" t="n">
        <v>20201</v>
      </c>
      <c r="L2485" s="1" t="str">
        <f aca="false">IF(D2484&lt;&gt;D2485,D2485,"")</f>
        <v/>
      </c>
      <c r="M2485" s="1" t="str">
        <f aca="false">IF(F2484&lt;&gt;F2485,F2485,"")</f>
        <v/>
      </c>
    </row>
    <row r="2486" customFormat="false" ht="15" hidden="false" customHeight="false" outlineLevel="0" collapsed="false">
      <c r="A2486" s="1" t="s">
        <v>583</v>
      </c>
      <c r="B2486" s="1" t="s">
        <v>584</v>
      </c>
      <c r="C2486" s="1" t="s">
        <v>910</v>
      </c>
      <c r="D2486" s="1" t="s">
        <v>911</v>
      </c>
      <c r="E2486" s="1" t="n">
        <v>20171</v>
      </c>
      <c r="F2486" s="1" t="s">
        <v>208</v>
      </c>
      <c r="G2486" s="1" t="s">
        <v>18</v>
      </c>
      <c r="H2486" s="1" t="n">
        <v>3</v>
      </c>
      <c r="I2486" s="1" t="n">
        <v>0</v>
      </c>
      <c r="J2486" s="1" t="n">
        <v>20201</v>
      </c>
      <c r="L2486" s="1" t="str">
        <f aca="false">IF(D2485&lt;&gt;D2486,D2486,"")</f>
        <v/>
      </c>
      <c r="M2486" s="1" t="str">
        <f aca="false">IF(F2485&lt;&gt;F2486,F2486,"")</f>
        <v/>
      </c>
    </row>
    <row r="2487" customFormat="false" ht="15" hidden="false" customHeight="false" outlineLevel="0" collapsed="false">
      <c r="A2487" s="1" t="s">
        <v>259</v>
      </c>
      <c r="B2487" s="1" t="s">
        <v>260</v>
      </c>
      <c r="C2487" s="1" t="s">
        <v>910</v>
      </c>
      <c r="D2487" s="1" t="s">
        <v>911</v>
      </c>
      <c r="E2487" s="1" t="n">
        <v>20171</v>
      </c>
      <c r="F2487" s="1" t="s">
        <v>208</v>
      </c>
      <c r="G2487" s="1" t="s">
        <v>18</v>
      </c>
      <c r="H2487" s="1" t="n">
        <v>3</v>
      </c>
      <c r="I2487" s="1" t="n">
        <v>0</v>
      </c>
      <c r="J2487" s="1" t="n">
        <v>20201</v>
      </c>
      <c r="L2487" s="1" t="str">
        <f aca="false">IF(D2486&lt;&gt;D2487,D2487,"")</f>
        <v/>
      </c>
      <c r="M2487" s="1" t="str">
        <f aca="false">IF(F2486&lt;&gt;F2487,F2487,"")</f>
        <v/>
      </c>
    </row>
    <row r="2488" customFormat="false" ht="15" hidden="false" customHeight="false" outlineLevel="0" collapsed="false">
      <c r="A2488" s="1" t="s">
        <v>621</v>
      </c>
      <c r="B2488" s="1" t="s">
        <v>622</v>
      </c>
      <c r="C2488" s="1" t="s">
        <v>910</v>
      </c>
      <c r="D2488" s="1" t="s">
        <v>911</v>
      </c>
      <c r="E2488" s="1" t="n">
        <v>20171</v>
      </c>
      <c r="F2488" s="1" t="s">
        <v>208</v>
      </c>
      <c r="G2488" s="1" t="s">
        <v>23</v>
      </c>
      <c r="H2488" s="1" t="n">
        <v>0</v>
      </c>
      <c r="I2488" s="1" t="n">
        <v>0</v>
      </c>
      <c r="J2488" s="1" t="n">
        <v>20201</v>
      </c>
      <c r="L2488" s="1" t="str">
        <f aca="false">IF(D2487&lt;&gt;D2488,D2488,"")</f>
        <v/>
      </c>
      <c r="M2488" s="1" t="str">
        <f aca="false">IF(F2487&lt;&gt;F2488,F2488,"")</f>
        <v/>
      </c>
    </row>
    <row r="2489" customFormat="false" ht="15" hidden="false" customHeight="false" outlineLevel="0" collapsed="false">
      <c r="A2489" s="1" t="s">
        <v>585</v>
      </c>
      <c r="B2489" s="1" t="s">
        <v>586</v>
      </c>
      <c r="C2489" s="1" t="s">
        <v>910</v>
      </c>
      <c r="D2489" s="1" t="s">
        <v>911</v>
      </c>
      <c r="E2489" s="1" t="n">
        <v>20171</v>
      </c>
      <c r="F2489" s="1" t="s">
        <v>208</v>
      </c>
      <c r="G2489" s="1" t="s">
        <v>18</v>
      </c>
      <c r="H2489" s="1" t="n">
        <v>3</v>
      </c>
      <c r="I2489" s="1" t="n">
        <v>0</v>
      </c>
      <c r="J2489" s="1" t="n">
        <v>20201</v>
      </c>
      <c r="L2489" s="1" t="str">
        <f aca="false">IF(D2488&lt;&gt;D2489,D2489,"")</f>
        <v/>
      </c>
      <c r="M2489" s="1" t="str">
        <f aca="false">IF(F2488&lt;&gt;F2489,F2489,"")</f>
        <v/>
      </c>
    </row>
    <row r="2490" customFormat="false" ht="15" hidden="false" customHeight="false" outlineLevel="0" collapsed="false">
      <c r="A2490" s="1" t="s">
        <v>587</v>
      </c>
      <c r="B2490" s="1" t="s">
        <v>588</v>
      </c>
      <c r="C2490" s="1" t="s">
        <v>910</v>
      </c>
      <c r="D2490" s="1" t="s">
        <v>911</v>
      </c>
      <c r="E2490" s="1" t="n">
        <v>20171</v>
      </c>
      <c r="F2490" s="1" t="s">
        <v>208</v>
      </c>
      <c r="G2490" s="1" t="s">
        <v>18</v>
      </c>
      <c r="H2490" s="1" t="n">
        <v>3</v>
      </c>
      <c r="I2490" s="1" t="n">
        <v>0</v>
      </c>
      <c r="J2490" s="1" t="n">
        <v>20201</v>
      </c>
      <c r="L2490" s="1" t="str">
        <f aca="false">IF(D2489&lt;&gt;D2490,D2490,"")</f>
        <v/>
      </c>
      <c r="M2490" s="1" t="str">
        <f aca="false">IF(F2489&lt;&gt;F2490,F2490,"")</f>
        <v/>
      </c>
    </row>
    <row r="2491" customFormat="false" ht="15" hidden="false" customHeight="false" outlineLevel="0" collapsed="false">
      <c r="A2491" s="1" t="s">
        <v>625</v>
      </c>
      <c r="B2491" s="1" t="s">
        <v>626</v>
      </c>
      <c r="C2491" s="1" t="s">
        <v>910</v>
      </c>
      <c r="D2491" s="1" t="s">
        <v>911</v>
      </c>
      <c r="E2491" s="1" t="n">
        <v>20171</v>
      </c>
      <c r="F2491" s="1" t="s">
        <v>208</v>
      </c>
      <c r="G2491" s="1" t="s">
        <v>15</v>
      </c>
      <c r="H2491" s="1" t="n">
        <v>3.5</v>
      </c>
      <c r="I2491" s="1" t="n">
        <v>0</v>
      </c>
      <c r="J2491" s="1" t="n">
        <v>20201</v>
      </c>
      <c r="L2491" s="1" t="str">
        <f aca="false">IF(D2490&lt;&gt;D2491,D2491,"")</f>
        <v/>
      </c>
      <c r="M2491" s="1" t="str">
        <f aca="false">IF(F2490&lt;&gt;F2491,F2491,"")</f>
        <v/>
      </c>
    </row>
    <row r="2492" customFormat="false" ht="15" hidden="false" customHeight="false" outlineLevel="0" collapsed="false">
      <c r="A2492" s="1" t="s">
        <v>657</v>
      </c>
      <c r="B2492" s="1" t="s">
        <v>658</v>
      </c>
      <c r="C2492" s="1" t="s">
        <v>910</v>
      </c>
      <c r="D2492" s="1" t="s">
        <v>911</v>
      </c>
      <c r="E2492" s="1" t="n">
        <v>20171</v>
      </c>
      <c r="F2492" s="1" t="s">
        <v>208</v>
      </c>
      <c r="G2492" s="1" t="s">
        <v>18</v>
      </c>
      <c r="H2492" s="1" t="n">
        <v>3</v>
      </c>
      <c r="I2492" s="1" t="n">
        <v>0</v>
      </c>
      <c r="J2492" s="1" t="n">
        <v>20201</v>
      </c>
      <c r="L2492" s="1" t="str">
        <f aca="false">IF(D2491&lt;&gt;D2492,D2492,"")</f>
        <v/>
      </c>
      <c r="M2492" s="1" t="str">
        <f aca="false">IF(F2491&lt;&gt;F2492,F2492,"")</f>
        <v/>
      </c>
    </row>
    <row r="2493" customFormat="false" ht="15" hidden="false" customHeight="false" outlineLevel="0" collapsed="false">
      <c r="A2493" s="1" t="s">
        <v>687</v>
      </c>
      <c r="B2493" s="1" t="s">
        <v>688</v>
      </c>
      <c r="C2493" s="1" t="s">
        <v>910</v>
      </c>
      <c r="D2493" s="1" t="s">
        <v>911</v>
      </c>
      <c r="E2493" s="1" t="n">
        <v>20171</v>
      </c>
      <c r="F2493" s="1" t="s">
        <v>208</v>
      </c>
      <c r="G2493" s="1" t="s">
        <v>18</v>
      </c>
      <c r="H2493" s="1" t="n">
        <v>3</v>
      </c>
      <c r="I2493" s="1" t="n">
        <v>0</v>
      </c>
      <c r="J2493" s="1" t="n">
        <v>20201</v>
      </c>
      <c r="L2493" s="1" t="str">
        <f aca="false">IF(D2492&lt;&gt;D2493,D2493,"")</f>
        <v/>
      </c>
      <c r="M2493" s="1" t="str">
        <f aca="false">IF(F2492&lt;&gt;F2493,F2493,"")</f>
        <v/>
      </c>
    </row>
    <row r="2494" customFormat="false" ht="15" hidden="false" customHeight="false" outlineLevel="0" collapsed="false">
      <c r="A2494" s="1" t="s">
        <v>689</v>
      </c>
      <c r="B2494" s="1" t="s">
        <v>690</v>
      </c>
      <c r="C2494" s="1" t="s">
        <v>910</v>
      </c>
      <c r="D2494" s="1" t="s">
        <v>911</v>
      </c>
      <c r="E2494" s="1" t="n">
        <v>20171</v>
      </c>
      <c r="F2494" s="1" t="s">
        <v>208</v>
      </c>
      <c r="G2494" s="1" t="s">
        <v>18</v>
      </c>
      <c r="H2494" s="1" t="n">
        <v>3</v>
      </c>
      <c r="I2494" s="1" t="n">
        <v>0</v>
      </c>
      <c r="J2494" s="1" t="n">
        <v>20201</v>
      </c>
      <c r="L2494" s="1" t="str">
        <f aca="false">IF(D2493&lt;&gt;D2494,D2494,"")</f>
        <v/>
      </c>
      <c r="M2494" s="1" t="str">
        <f aca="false">IF(F2493&lt;&gt;F2494,F2494,"")</f>
        <v/>
      </c>
    </row>
    <row r="2495" customFormat="false" ht="15" hidden="false" customHeight="false" outlineLevel="0" collapsed="false">
      <c r="A2495" s="1" t="s">
        <v>691</v>
      </c>
      <c r="B2495" s="1" t="s">
        <v>692</v>
      </c>
      <c r="C2495" s="1" t="s">
        <v>910</v>
      </c>
      <c r="D2495" s="1" t="s">
        <v>911</v>
      </c>
      <c r="E2495" s="1" t="n">
        <v>20171</v>
      </c>
      <c r="F2495" s="1" t="s">
        <v>208</v>
      </c>
      <c r="G2495" s="1" t="s">
        <v>18</v>
      </c>
      <c r="H2495" s="1" t="n">
        <v>3</v>
      </c>
      <c r="I2495" s="1" t="n">
        <v>0</v>
      </c>
      <c r="J2495" s="1" t="n">
        <v>20201</v>
      </c>
      <c r="L2495" s="1" t="str">
        <f aca="false">IF(D2494&lt;&gt;D2495,D2495,"")</f>
        <v/>
      </c>
      <c r="M2495" s="1" t="str">
        <f aca="false">IF(F2494&lt;&gt;F2495,F2495,"")</f>
        <v/>
      </c>
    </row>
    <row r="2496" customFormat="false" ht="15" hidden="false" customHeight="false" outlineLevel="0" collapsed="false">
      <c r="A2496" s="1" t="s">
        <v>693</v>
      </c>
      <c r="B2496" s="1" t="s">
        <v>694</v>
      </c>
      <c r="C2496" s="1" t="s">
        <v>910</v>
      </c>
      <c r="D2496" s="1" t="s">
        <v>911</v>
      </c>
      <c r="E2496" s="1" t="n">
        <v>20171</v>
      </c>
      <c r="F2496" s="1" t="s">
        <v>208</v>
      </c>
      <c r="G2496" s="1" t="s">
        <v>18</v>
      </c>
      <c r="H2496" s="1" t="n">
        <v>3</v>
      </c>
      <c r="I2496" s="1" t="n">
        <v>0</v>
      </c>
      <c r="J2496" s="1" t="n">
        <v>20201</v>
      </c>
      <c r="L2496" s="1" t="str">
        <f aca="false">IF(D2495&lt;&gt;D2496,D2496,"")</f>
        <v/>
      </c>
      <c r="M2496" s="1" t="str">
        <f aca="false">IF(F2495&lt;&gt;F2496,F2496,"")</f>
        <v/>
      </c>
    </row>
    <row r="2497" customFormat="false" ht="15" hidden="false" customHeight="false" outlineLevel="0" collapsed="false">
      <c r="A2497" s="1" t="s">
        <v>211</v>
      </c>
      <c r="B2497" s="1" t="s">
        <v>212</v>
      </c>
      <c r="C2497" s="1" t="s">
        <v>910</v>
      </c>
      <c r="D2497" s="1" t="s">
        <v>911</v>
      </c>
      <c r="E2497" s="1" t="n">
        <v>20171</v>
      </c>
      <c r="F2497" s="1" t="s">
        <v>208</v>
      </c>
      <c r="G2497" s="1" t="s">
        <v>101</v>
      </c>
      <c r="H2497" s="1" t="n">
        <v>2.5</v>
      </c>
      <c r="I2497" s="1" t="n">
        <v>0</v>
      </c>
      <c r="J2497" s="1" t="n">
        <v>20201</v>
      </c>
      <c r="L2497" s="1" t="str">
        <f aca="false">IF(D2496&lt;&gt;D2497,D2497,"")</f>
        <v/>
      </c>
      <c r="M2497" s="1" t="str">
        <f aca="false">IF(F2496&lt;&gt;F2497,F2497,"")</f>
        <v/>
      </c>
    </row>
    <row r="2498" customFormat="false" ht="15" hidden="false" customHeight="false" outlineLevel="0" collapsed="false">
      <c r="A2498" s="1" t="s">
        <v>695</v>
      </c>
      <c r="B2498" s="1" t="s">
        <v>696</v>
      </c>
      <c r="C2498" s="1" t="s">
        <v>910</v>
      </c>
      <c r="D2498" s="1" t="s">
        <v>911</v>
      </c>
      <c r="E2498" s="1" t="n">
        <v>20171</v>
      </c>
      <c r="F2498" s="1" t="s">
        <v>208</v>
      </c>
      <c r="G2498" s="1" t="s">
        <v>18</v>
      </c>
      <c r="H2498" s="1" t="n">
        <v>3</v>
      </c>
      <c r="I2498" s="1" t="n">
        <v>0</v>
      </c>
      <c r="J2498" s="1" t="n">
        <v>20201</v>
      </c>
      <c r="L2498" s="1" t="str">
        <f aca="false">IF(D2497&lt;&gt;D2498,D2498,"")</f>
        <v/>
      </c>
      <c r="M2498" s="1" t="str">
        <f aca="false">IF(F2497&lt;&gt;F2498,F2498,"")</f>
        <v/>
      </c>
    </row>
    <row r="2499" customFormat="false" ht="15" hidden="false" customHeight="false" outlineLevel="0" collapsed="false">
      <c r="A2499" s="1" t="s">
        <v>529</v>
      </c>
      <c r="B2499" s="1" t="s">
        <v>530</v>
      </c>
      <c r="C2499" s="1" t="s">
        <v>910</v>
      </c>
      <c r="D2499" s="1" t="s">
        <v>911</v>
      </c>
      <c r="E2499" s="1" t="n">
        <v>20171</v>
      </c>
      <c r="F2499" s="1" t="s">
        <v>208</v>
      </c>
      <c r="G2499" s="1" t="s">
        <v>18</v>
      </c>
      <c r="H2499" s="1" t="n">
        <v>3</v>
      </c>
      <c r="I2499" s="1" t="n">
        <v>0</v>
      </c>
      <c r="J2499" s="1" t="n">
        <v>20201</v>
      </c>
      <c r="L2499" s="1" t="str">
        <f aca="false">IF(D2498&lt;&gt;D2499,D2499,"")</f>
        <v/>
      </c>
      <c r="M2499" s="1" t="str">
        <f aca="false">IF(F2498&lt;&gt;F2499,F2499,"")</f>
        <v/>
      </c>
    </row>
    <row r="2500" customFormat="false" ht="15" hidden="false" customHeight="false" outlineLevel="0" collapsed="false">
      <c r="A2500" s="1" t="s">
        <v>213</v>
      </c>
      <c r="B2500" s="1" t="s">
        <v>214</v>
      </c>
      <c r="C2500" s="1" t="s">
        <v>910</v>
      </c>
      <c r="D2500" s="1" t="s">
        <v>911</v>
      </c>
      <c r="E2500" s="1" t="n">
        <v>20171</v>
      </c>
      <c r="F2500" s="1" t="s">
        <v>208</v>
      </c>
      <c r="G2500" s="1" t="s">
        <v>18</v>
      </c>
      <c r="H2500" s="1" t="n">
        <v>3</v>
      </c>
      <c r="I2500" s="1" t="n">
        <v>0</v>
      </c>
      <c r="J2500" s="1" t="n">
        <v>20201</v>
      </c>
      <c r="L2500" s="1" t="str">
        <f aca="false">IF(D2499&lt;&gt;D2500,D2500,"")</f>
        <v/>
      </c>
      <c r="M2500" s="1" t="str">
        <f aca="false">IF(F2499&lt;&gt;F2500,F2500,"")</f>
        <v/>
      </c>
    </row>
    <row r="2501" customFormat="false" ht="15" hidden="false" customHeight="false" outlineLevel="0" collapsed="false">
      <c r="A2501" s="1" t="s">
        <v>531</v>
      </c>
      <c r="B2501" s="1" t="s">
        <v>532</v>
      </c>
      <c r="C2501" s="1" t="s">
        <v>910</v>
      </c>
      <c r="D2501" s="1" t="s">
        <v>911</v>
      </c>
      <c r="E2501" s="1" t="n">
        <v>20171</v>
      </c>
      <c r="F2501" s="1" t="s">
        <v>208</v>
      </c>
      <c r="G2501" s="1" t="s">
        <v>18</v>
      </c>
      <c r="H2501" s="1" t="n">
        <v>3</v>
      </c>
      <c r="I2501" s="1" t="n">
        <v>0</v>
      </c>
      <c r="J2501" s="1" t="n">
        <v>20201</v>
      </c>
      <c r="L2501" s="1" t="str">
        <f aca="false">IF(D2500&lt;&gt;D2501,D2501,"")</f>
        <v/>
      </c>
      <c r="M2501" s="1" t="str">
        <f aca="false">IF(F2500&lt;&gt;F2501,F2501,"")</f>
        <v/>
      </c>
    </row>
    <row r="2502" customFormat="false" ht="15" hidden="false" customHeight="false" outlineLevel="0" collapsed="false">
      <c r="A2502" s="1" t="s">
        <v>310</v>
      </c>
      <c r="B2502" s="1" t="s">
        <v>311</v>
      </c>
      <c r="C2502" s="1" t="s">
        <v>910</v>
      </c>
      <c r="D2502" s="1" t="s">
        <v>911</v>
      </c>
      <c r="E2502" s="1" t="n">
        <v>20171</v>
      </c>
      <c r="F2502" s="1" t="s">
        <v>208</v>
      </c>
      <c r="G2502" s="1" t="s">
        <v>23</v>
      </c>
      <c r="H2502" s="1" t="n">
        <v>0</v>
      </c>
      <c r="I2502" s="1" t="n">
        <v>0</v>
      </c>
      <c r="J2502" s="1" t="n">
        <v>20201</v>
      </c>
      <c r="L2502" s="1" t="str">
        <f aca="false">IF(D2501&lt;&gt;D2502,D2502,"")</f>
        <v/>
      </c>
      <c r="M2502" s="1" t="str">
        <f aca="false">IF(F2501&lt;&gt;F2502,F2502,"")</f>
        <v/>
      </c>
    </row>
    <row r="2503" customFormat="false" ht="15" hidden="false" customHeight="false" outlineLevel="0" collapsed="false">
      <c r="A2503" s="1" t="s">
        <v>275</v>
      </c>
      <c r="B2503" s="1" t="s">
        <v>276</v>
      </c>
      <c r="C2503" s="1" t="s">
        <v>910</v>
      </c>
      <c r="D2503" s="1" t="s">
        <v>911</v>
      </c>
      <c r="E2503" s="1" t="n">
        <v>20171</v>
      </c>
      <c r="F2503" s="1" t="s">
        <v>208</v>
      </c>
      <c r="G2503" s="1" t="s">
        <v>18</v>
      </c>
      <c r="H2503" s="1" t="n">
        <v>3</v>
      </c>
      <c r="I2503" s="1" t="n">
        <v>0</v>
      </c>
      <c r="J2503" s="1" t="n">
        <v>20201</v>
      </c>
      <c r="L2503" s="1" t="str">
        <f aca="false">IF(D2502&lt;&gt;D2503,D2503,"")</f>
        <v/>
      </c>
      <c r="M2503" s="1" t="str">
        <f aca="false">IF(F2502&lt;&gt;F2503,F2503,"")</f>
        <v/>
      </c>
    </row>
    <row r="2504" customFormat="false" ht="15" hidden="false" customHeight="false" outlineLevel="0" collapsed="false">
      <c r="A2504" s="1" t="s">
        <v>697</v>
      </c>
      <c r="B2504" s="1" t="s">
        <v>698</v>
      </c>
      <c r="C2504" s="1" t="s">
        <v>910</v>
      </c>
      <c r="D2504" s="1" t="s">
        <v>911</v>
      </c>
      <c r="E2504" s="1" t="n">
        <v>20171</v>
      </c>
      <c r="F2504" s="1" t="s">
        <v>208</v>
      </c>
      <c r="G2504" s="1" t="s">
        <v>18</v>
      </c>
      <c r="H2504" s="1" t="n">
        <v>3</v>
      </c>
      <c r="I2504" s="1" t="n">
        <v>0</v>
      </c>
      <c r="J2504" s="1" t="n">
        <v>20201</v>
      </c>
      <c r="L2504" s="1" t="str">
        <f aca="false">IF(D2503&lt;&gt;D2504,D2504,"")</f>
        <v/>
      </c>
      <c r="M2504" s="1" t="str">
        <f aca="false">IF(F2503&lt;&gt;F2504,F2504,"")</f>
        <v/>
      </c>
    </row>
    <row r="2505" customFormat="false" ht="15" hidden="false" customHeight="false" outlineLevel="0" collapsed="false">
      <c r="A2505" s="1" t="s">
        <v>535</v>
      </c>
      <c r="B2505" s="1" t="s">
        <v>536</v>
      </c>
      <c r="C2505" s="1" t="s">
        <v>910</v>
      </c>
      <c r="D2505" s="1" t="s">
        <v>911</v>
      </c>
      <c r="E2505" s="1" t="n">
        <v>20171</v>
      </c>
      <c r="F2505" s="1" t="s">
        <v>208</v>
      </c>
      <c r="G2505" s="1" t="s">
        <v>18</v>
      </c>
      <c r="H2505" s="1" t="n">
        <v>3</v>
      </c>
      <c r="I2505" s="1" t="n">
        <v>0</v>
      </c>
      <c r="J2505" s="1" t="n">
        <v>20201</v>
      </c>
      <c r="L2505" s="1" t="str">
        <f aca="false">IF(D2504&lt;&gt;D2505,D2505,"")</f>
        <v/>
      </c>
      <c r="M2505" s="1" t="str">
        <f aca="false">IF(F2504&lt;&gt;F2505,F2505,"")</f>
        <v/>
      </c>
    </row>
    <row r="2506" customFormat="false" ht="15" hidden="false" customHeight="false" outlineLevel="0" collapsed="false">
      <c r="A2506" s="1" t="s">
        <v>537</v>
      </c>
      <c r="B2506" s="1" t="s">
        <v>538</v>
      </c>
      <c r="C2506" s="1" t="s">
        <v>910</v>
      </c>
      <c r="D2506" s="1" t="s">
        <v>911</v>
      </c>
      <c r="E2506" s="1" t="n">
        <v>20171</v>
      </c>
      <c r="F2506" s="1" t="s">
        <v>208</v>
      </c>
      <c r="G2506" s="1" t="s">
        <v>18</v>
      </c>
      <c r="H2506" s="1" t="n">
        <v>3</v>
      </c>
      <c r="I2506" s="1" t="n">
        <v>0</v>
      </c>
      <c r="J2506" s="1" t="n">
        <v>20201</v>
      </c>
      <c r="L2506" s="1" t="str">
        <f aca="false">IF(D2505&lt;&gt;D2506,D2506,"")</f>
        <v/>
      </c>
      <c r="M2506" s="1" t="str">
        <f aca="false">IF(F2505&lt;&gt;F2506,F2506,"")</f>
        <v/>
      </c>
    </row>
    <row r="2507" customFormat="false" ht="15" hidden="false" customHeight="false" outlineLevel="0" collapsed="false">
      <c r="A2507" s="1" t="s">
        <v>699</v>
      </c>
      <c r="B2507" s="1" t="s">
        <v>700</v>
      </c>
      <c r="C2507" s="1" t="s">
        <v>910</v>
      </c>
      <c r="D2507" s="1" t="s">
        <v>911</v>
      </c>
      <c r="E2507" s="1" t="n">
        <v>20171</v>
      </c>
      <c r="F2507" s="1" t="s">
        <v>208</v>
      </c>
      <c r="G2507" s="1" t="s">
        <v>18</v>
      </c>
      <c r="H2507" s="1" t="n">
        <v>3</v>
      </c>
      <c r="I2507" s="1" t="n">
        <v>0</v>
      </c>
      <c r="J2507" s="1" t="n">
        <v>20201</v>
      </c>
      <c r="L2507" s="1" t="str">
        <f aca="false">IF(D2506&lt;&gt;D2507,D2507,"")</f>
        <v/>
      </c>
      <c r="M2507" s="1" t="str">
        <f aca="false">IF(F2506&lt;&gt;F2507,F2507,"")</f>
        <v/>
      </c>
    </row>
    <row r="2508" customFormat="false" ht="15" hidden="false" customHeight="false" outlineLevel="0" collapsed="false">
      <c r="A2508" s="1" t="s">
        <v>681</v>
      </c>
      <c r="B2508" s="1" t="s">
        <v>682</v>
      </c>
      <c r="C2508" s="1" t="s">
        <v>910</v>
      </c>
      <c r="D2508" s="1" t="s">
        <v>911</v>
      </c>
      <c r="E2508" s="1" t="n">
        <v>20171</v>
      </c>
      <c r="F2508" s="1" t="s">
        <v>208</v>
      </c>
      <c r="G2508" s="1" t="s">
        <v>18</v>
      </c>
      <c r="H2508" s="1" t="n">
        <v>3</v>
      </c>
      <c r="I2508" s="1" t="n">
        <v>0</v>
      </c>
      <c r="J2508" s="1" t="n">
        <v>20201</v>
      </c>
      <c r="L2508" s="1" t="str">
        <f aca="false">IF(D2507&lt;&gt;D2508,D2508,"")</f>
        <v/>
      </c>
      <c r="M2508" s="1" t="str">
        <f aca="false">IF(F2507&lt;&gt;F2508,F2508,"")</f>
        <v/>
      </c>
    </row>
    <row r="2509" customFormat="false" ht="15" hidden="false" customHeight="false" outlineLevel="0" collapsed="false">
      <c r="A2509" s="1" t="s">
        <v>215</v>
      </c>
      <c r="B2509" s="1" t="s">
        <v>216</v>
      </c>
      <c r="C2509" s="1" t="s">
        <v>910</v>
      </c>
      <c r="D2509" s="1" t="s">
        <v>911</v>
      </c>
      <c r="E2509" s="1" t="n">
        <v>20171</v>
      </c>
      <c r="F2509" s="1" t="s">
        <v>208</v>
      </c>
      <c r="G2509" s="1" t="s">
        <v>18</v>
      </c>
      <c r="H2509" s="1" t="n">
        <v>3</v>
      </c>
      <c r="I2509" s="1" t="n">
        <v>0</v>
      </c>
      <c r="J2509" s="1" t="n">
        <v>20201</v>
      </c>
      <c r="L2509" s="1" t="str">
        <f aca="false">IF(D2508&lt;&gt;D2509,D2509,"")</f>
        <v/>
      </c>
      <c r="M2509" s="1" t="str">
        <f aca="false">IF(F2508&lt;&gt;F2509,F2509,"")</f>
        <v/>
      </c>
    </row>
    <row r="2510" customFormat="false" ht="15" hidden="false" customHeight="false" outlineLevel="0" collapsed="false">
      <c r="A2510" s="1" t="s">
        <v>217</v>
      </c>
      <c r="B2510" s="1" t="s">
        <v>218</v>
      </c>
      <c r="C2510" s="1" t="s">
        <v>910</v>
      </c>
      <c r="D2510" s="1" t="s">
        <v>911</v>
      </c>
      <c r="E2510" s="1" t="n">
        <v>20171</v>
      </c>
      <c r="F2510" s="1" t="s">
        <v>208</v>
      </c>
      <c r="G2510" s="1" t="s">
        <v>18</v>
      </c>
      <c r="H2510" s="1" t="n">
        <v>3</v>
      </c>
      <c r="I2510" s="1" t="n">
        <v>0</v>
      </c>
      <c r="J2510" s="1" t="n">
        <v>20201</v>
      </c>
      <c r="L2510" s="1" t="str">
        <f aca="false">IF(D2509&lt;&gt;D2510,D2510,"")</f>
        <v/>
      </c>
      <c r="M2510" s="1" t="str">
        <f aca="false">IF(F2509&lt;&gt;F2510,F2510,"")</f>
        <v/>
      </c>
    </row>
    <row r="2511" customFormat="false" ht="15" hidden="false" customHeight="false" outlineLevel="0" collapsed="false">
      <c r="A2511" s="1" t="s">
        <v>219</v>
      </c>
      <c r="B2511" s="1" t="s">
        <v>220</v>
      </c>
      <c r="C2511" s="1" t="s">
        <v>910</v>
      </c>
      <c r="D2511" s="1" t="s">
        <v>911</v>
      </c>
      <c r="E2511" s="1" t="n">
        <v>20171</v>
      </c>
      <c r="F2511" s="1" t="s">
        <v>208</v>
      </c>
      <c r="G2511" s="1" t="s">
        <v>18</v>
      </c>
      <c r="H2511" s="1" t="n">
        <v>3</v>
      </c>
      <c r="I2511" s="1" t="n">
        <v>0</v>
      </c>
      <c r="J2511" s="1" t="n">
        <v>20201</v>
      </c>
      <c r="L2511" s="1" t="str">
        <f aca="false">IF(D2510&lt;&gt;D2511,D2511,"")</f>
        <v/>
      </c>
      <c r="M2511" s="1" t="str">
        <f aca="false">IF(F2510&lt;&gt;F2511,F2511,"")</f>
        <v/>
      </c>
    </row>
    <row r="2512" customFormat="false" ht="15" hidden="false" customHeight="false" outlineLevel="0" collapsed="false">
      <c r="A2512" s="1" t="s">
        <v>701</v>
      </c>
      <c r="B2512" s="1" t="s">
        <v>702</v>
      </c>
      <c r="C2512" s="1" t="s">
        <v>910</v>
      </c>
      <c r="D2512" s="1" t="s">
        <v>911</v>
      </c>
      <c r="E2512" s="1" t="n">
        <v>20171</v>
      </c>
      <c r="F2512" s="1" t="s">
        <v>208</v>
      </c>
      <c r="G2512" s="1" t="s">
        <v>18</v>
      </c>
      <c r="H2512" s="1" t="n">
        <v>3</v>
      </c>
      <c r="I2512" s="1" t="n">
        <v>0</v>
      </c>
      <c r="J2512" s="1" t="n">
        <v>20201</v>
      </c>
      <c r="L2512" s="1" t="str">
        <f aca="false">IF(D2511&lt;&gt;D2512,D2512,"")</f>
        <v/>
      </c>
      <c r="M2512" s="1" t="str">
        <f aca="false">IF(F2511&lt;&gt;F2512,F2512,"")</f>
        <v/>
      </c>
    </row>
    <row r="2513" customFormat="false" ht="15" hidden="false" customHeight="false" outlineLevel="0" collapsed="false">
      <c r="A2513" s="1" t="s">
        <v>703</v>
      </c>
      <c r="B2513" s="1" t="s">
        <v>704</v>
      </c>
      <c r="C2513" s="1" t="s">
        <v>910</v>
      </c>
      <c r="D2513" s="1" t="s">
        <v>911</v>
      </c>
      <c r="E2513" s="1" t="n">
        <v>20171</v>
      </c>
      <c r="F2513" s="1" t="s">
        <v>208</v>
      </c>
      <c r="G2513" s="1" t="s">
        <v>18</v>
      </c>
      <c r="H2513" s="1" t="n">
        <v>3</v>
      </c>
      <c r="I2513" s="1" t="n">
        <v>0</v>
      </c>
      <c r="J2513" s="1" t="n">
        <v>20201</v>
      </c>
      <c r="L2513" s="1" t="str">
        <f aca="false">IF(D2512&lt;&gt;D2513,D2513,"")</f>
        <v/>
      </c>
      <c r="M2513" s="1" t="str">
        <f aca="false">IF(F2512&lt;&gt;F2513,F2513,"")</f>
        <v/>
      </c>
    </row>
    <row r="2514" customFormat="false" ht="15" hidden="false" customHeight="false" outlineLevel="0" collapsed="false">
      <c r="A2514" s="1" t="s">
        <v>221</v>
      </c>
      <c r="B2514" s="1" t="s">
        <v>222</v>
      </c>
      <c r="C2514" s="1" t="s">
        <v>910</v>
      </c>
      <c r="D2514" s="1" t="s">
        <v>911</v>
      </c>
      <c r="E2514" s="1" t="n">
        <v>20171</v>
      </c>
      <c r="F2514" s="1" t="s">
        <v>208</v>
      </c>
      <c r="G2514" s="1" t="s">
        <v>18</v>
      </c>
      <c r="H2514" s="1" t="n">
        <v>3</v>
      </c>
      <c r="I2514" s="1" t="n">
        <v>0</v>
      </c>
      <c r="J2514" s="1" t="n">
        <v>20201</v>
      </c>
      <c r="L2514" s="1" t="str">
        <f aca="false">IF(D2513&lt;&gt;D2514,D2514,"")</f>
        <v/>
      </c>
      <c r="M2514" s="1" t="str">
        <f aca="false">IF(F2513&lt;&gt;F2514,F2514,"")</f>
        <v/>
      </c>
    </row>
    <row r="2515" customFormat="false" ht="15" hidden="false" customHeight="false" outlineLevel="0" collapsed="false">
      <c r="A2515" s="1" t="s">
        <v>223</v>
      </c>
      <c r="B2515" s="1" t="s">
        <v>224</v>
      </c>
      <c r="C2515" s="1" t="s">
        <v>910</v>
      </c>
      <c r="D2515" s="1" t="s">
        <v>911</v>
      </c>
      <c r="E2515" s="1" t="n">
        <v>20171</v>
      </c>
      <c r="F2515" s="1" t="s">
        <v>208</v>
      </c>
      <c r="G2515" s="1" t="s">
        <v>15</v>
      </c>
      <c r="H2515" s="1" t="n">
        <v>3.5</v>
      </c>
      <c r="I2515" s="1" t="n">
        <v>0</v>
      </c>
      <c r="J2515" s="1" t="n">
        <v>20201</v>
      </c>
      <c r="L2515" s="1" t="str">
        <f aca="false">IF(D2514&lt;&gt;D2515,D2515,"")</f>
        <v/>
      </c>
      <c r="M2515" s="1" t="str">
        <f aca="false">IF(F2514&lt;&gt;F2515,F2515,"")</f>
        <v/>
      </c>
    </row>
    <row r="2516" customFormat="false" ht="15" hidden="false" customHeight="false" outlineLevel="0" collapsed="false">
      <c r="A2516" s="1" t="s">
        <v>705</v>
      </c>
      <c r="B2516" s="1" t="s">
        <v>706</v>
      </c>
      <c r="C2516" s="1" t="s">
        <v>910</v>
      </c>
      <c r="D2516" s="1" t="s">
        <v>911</v>
      </c>
      <c r="E2516" s="1" t="n">
        <v>20171</v>
      </c>
      <c r="F2516" s="1" t="s">
        <v>208</v>
      </c>
      <c r="G2516" s="1" t="s">
        <v>23</v>
      </c>
      <c r="H2516" s="1" t="n">
        <v>0</v>
      </c>
      <c r="I2516" s="1" t="n">
        <v>0</v>
      </c>
      <c r="J2516" s="1" t="n">
        <v>20201</v>
      </c>
      <c r="L2516" s="1" t="str">
        <f aca="false">IF(D2515&lt;&gt;D2516,D2516,"")</f>
        <v/>
      </c>
      <c r="M2516" s="1" t="str">
        <f aca="false">IF(F2515&lt;&gt;F2516,F2516,"")</f>
        <v/>
      </c>
    </row>
    <row r="2517" customFormat="false" ht="15" hidden="false" customHeight="false" outlineLevel="0" collapsed="false">
      <c r="A2517" s="1" t="s">
        <v>277</v>
      </c>
      <c r="B2517" s="1" t="s">
        <v>278</v>
      </c>
      <c r="C2517" s="1" t="s">
        <v>910</v>
      </c>
      <c r="D2517" s="1" t="s">
        <v>911</v>
      </c>
      <c r="E2517" s="1" t="n">
        <v>20171</v>
      </c>
      <c r="F2517" s="1" t="s">
        <v>208</v>
      </c>
      <c r="G2517" s="1" t="s">
        <v>18</v>
      </c>
      <c r="H2517" s="1" t="n">
        <v>3</v>
      </c>
      <c r="I2517" s="1" t="n">
        <v>0</v>
      </c>
      <c r="J2517" s="1" t="n">
        <v>20201</v>
      </c>
      <c r="L2517" s="1" t="str">
        <f aca="false">IF(D2516&lt;&gt;D2517,D2517,"")</f>
        <v/>
      </c>
      <c r="M2517" s="1" t="str">
        <f aca="false">IF(F2516&lt;&gt;F2517,F2517,"")</f>
        <v/>
      </c>
    </row>
    <row r="2518" customFormat="false" ht="15" hidden="false" customHeight="false" outlineLevel="0" collapsed="false">
      <c r="A2518" s="1" t="s">
        <v>707</v>
      </c>
      <c r="B2518" s="1" t="s">
        <v>708</v>
      </c>
      <c r="C2518" s="1" t="s">
        <v>910</v>
      </c>
      <c r="D2518" s="1" t="s">
        <v>911</v>
      </c>
      <c r="E2518" s="1" t="n">
        <v>20171</v>
      </c>
      <c r="F2518" s="1" t="s">
        <v>208</v>
      </c>
      <c r="G2518" s="1" t="s">
        <v>23</v>
      </c>
      <c r="H2518" s="1" t="n">
        <v>0</v>
      </c>
      <c r="I2518" s="1" t="n">
        <v>0</v>
      </c>
      <c r="J2518" s="1" t="n">
        <v>20201</v>
      </c>
      <c r="L2518" s="1" t="str">
        <f aca="false">IF(D2517&lt;&gt;D2518,D2518,"")</f>
        <v/>
      </c>
      <c r="M2518" s="1" t="str">
        <f aca="false">IF(F2517&lt;&gt;F2518,F2518,"")</f>
        <v/>
      </c>
    </row>
    <row r="2519" customFormat="false" ht="15" hidden="false" customHeight="false" outlineLevel="0" collapsed="false">
      <c r="A2519" s="1" t="s">
        <v>709</v>
      </c>
      <c r="B2519" s="1" t="s">
        <v>710</v>
      </c>
      <c r="C2519" s="1" t="s">
        <v>910</v>
      </c>
      <c r="D2519" s="1" t="s">
        <v>911</v>
      </c>
      <c r="E2519" s="1" t="n">
        <v>20171</v>
      </c>
      <c r="F2519" s="1" t="s">
        <v>208</v>
      </c>
      <c r="G2519" s="1" t="s">
        <v>18</v>
      </c>
      <c r="H2519" s="1" t="n">
        <v>3</v>
      </c>
      <c r="I2519" s="1" t="n">
        <v>0</v>
      </c>
      <c r="J2519" s="1" t="n">
        <v>20201</v>
      </c>
      <c r="L2519" s="1" t="str">
        <f aca="false">IF(D2518&lt;&gt;D2519,D2519,"")</f>
        <v/>
      </c>
      <c r="M2519" s="1" t="str">
        <f aca="false">IF(F2518&lt;&gt;F2519,F2519,"")</f>
        <v/>
      </c>
    </row>
    <row r="2520" customFormat="false" ht="15" hidden="false" customHeight="false" outlineLevel="0" collapsed="false">
      <c r="A2520" s="1" t="s">
        <v>312</v>
      </c>
      <c r="B2520" s="1" t="s">
        <v>313</v>
      </c>
      <c r="C2520" s="1" t="s">
        <v>910</v>
      </c>
      <c r="D2520" s="1" t="s">
        <v>911</v>
      </c>
      <c r="E2520" s="1" t="n">
        <v>20171</v>
      </c>
      <c r="F2520" s="1" t="s">
        <v>208</v>
      </c>
      <c r="G2520" s="1" t="s">
        <v>18</v>
      </c>
      <c r="H2520" s="1" t="n">
        <v>3</v>
      </c>
      <c r="I2520" s="1" t="n">
        <v>0</v>
      </c>
      <c r="J2520" s="1" t="n">
        <v>20201</v>
      </c>
      <c r="L2520" s="1" t="str">
        <f aca="false">IF(D2519&lt;&gt;D2520,D2520,"")</f>
        <v/>
      </c>
      <c r="M2520" s="1" t="str">
        <f aca="false">IF(F2519&lt;&gt;F2520,F2520,"")</f>
        <v/>
      </c>
    </row>
    <row r="2521" customFormat="false" ht="15" hidden="false" customHeight="false" outlineLevel="0" collapsed="false">
      <c r="A2521" s="1" t="s">
        <v>539</v>
      </c>
      <c r="B2521" s="1" t="s">
        <v>540</v>
      </c>
      <c r="C2521" s="1" t="s">
        <v>910</v>
      </c>
      <c r="D2521" s="1" t="s">
        <v>911</v>
      </c>
      <c r="E2521" s="1" t="n">
        <v>20171</v>
      </c>
      <c r="F2521" s="1" t="s">
        <v>208</v>
      </c>
      <c r="G2521" s="1" t="s">
        <v>18</v>
      </c>
      <c r="H2521" s="1" t="n">
        <v>3</v>
      </c>
      <c r="I2521" s="1" t="n">
        <v>0</v>
      </c>
      <c r="J2521" s="1" t="n">
        <v>20201</v>
      </c>
      <c r="L2521" s="1" t="str">
        <f aca="false">IF(D2520&lt;&gt;D2521,D2521,"")</f>
        <v/>
      </c>
      <c r="M2521" s="1" t="str">
        <f aca="false">IF(F2520&lt;&gt;F2521,F2521,"")</f>
        <v/>
      </c>
    </row>
    <row r="2522" customFormat="false" ht="15" hidden="false" customHeight="false" outlineLevel="0" collapsed="false">
      <c r="A2522" s="1" t="s">
        <v>711</v>
      </c>
      <c r="B2522" s="1" t="s">
        <v>712</v>
      </c>
      <c r="C2522" s="1" t="s">
        <v>910</v>
      </c>
      <c r="D2522" s="1" t="s">
        <v>911</v>
      </c>
      <c r="E2522" s="1" t="n">
        <v>20171</v>
      </c>
      <c r="F2522" s="1" t="s">
        <v>208</v>
      </c>
      <c r="G2522" s="1" t="s">
        <v>18</v>
      </c>
      <c r="H2522" s="1" t="n">
        <v>3</v>
      </c>
      <c r="I2522" s="1" t="n">
        <v>0</v>
      </c>
      <c r="J2522" s="1" t="n">
        <v>20201</v>
      </c>
      <c r="L2522" s="1" t="str">
        <f aca="false">IF(D2521&lt;&gt;D2522,D2522,"")</f>
        <v/>
      </c>
      <c r="M2522" s="1" t="str">
        <f aca="false">IF(F2521&lt;&gt;F2522,F2522,"")</f>
        <v/>
      </c>
    </row>
    <row r="2523" customFormat="false" ht="15" hidden="false" customHeight="false" outlineLevel="0" collapsed="false">
      <c r="A2523" s="1" t="s">
        <v>279</v>
      </c>
      <c r="B2523" s="1" t="s">
        <v>280</v>
      </c>
      <c r="C2523" s="1" t="s">
        <v>910</v>
      </c>
      <c r="D2523" s="1" t="s">
        <v>911</v>
      </c>
      <c r="E2523" s="1" t="n">
        <v>20171</v>
      </c>
      <c r="F2523" s="1" t="s">
        <v>208</v>
      </c>
      <c r="G2523" s="1" t="s">
        <v>18</v>
      </c>
      <c r="H2523" s="1" t="n">
        <v>3</v>
      </c>
      <c r="I2523" s="1" t="n">
        <v>0</v>
      </c>
      <c r="J2523" s="1" t="n">
        <v>20201</v>
      </c>
      <c r="L2523" s="1" t="str">
        <f aca="false">IF(D2522&lt;&gt;D2523,D2523,"")</f>
        <v/>
      </c>
      <c r="M2523" s="1" t="str">
        <f aca="false">IF(F2522&lt;&gt;F2523,F2523,"")</f>
        <v/>
      </c>
    </row>
    <row r="2524" customFormat="false" ht="15" hidden="false" customHeight="false" outlineLevel="0" collapsed="false">
      <c r="A2524" s="1" t="s">
        <v>713</v>
      </c>
      <c r="B2524" s="1" t="s">
        <v>714</v>
      </c>
      <c r="C2524" s="1" t="s">
        <v>910</v>
      </c>
      <c r="D2524" s="1" t="s">
        <v>911</v>
      </c>
      <c r="E2524" s="1" t="n">
        <v>20171</v>
      </c>
      <c r="F2524" s="1" t="s">
        <v>208</v>
      </c>
      <c r="G2524" s="1" t="s">
        <v>18</v>
      </c>
      <c r="H2524" s="1" t="n">
        <v>3</v>
      </c>
      <c r="I2524" s="1" t="n">
        <v>0</v>
      </c>
      <c r="J2524" s="1" t="n">
        <v>20201</v>
      </c>
      <c r="L2524" s="1" t="str">
        <f aca="false">IF(D2523&lt;&gt;D2524,D2524,"")</f>
        <v/>
      </c>
      <c r="M2524" s="1" t="str">
        <f aca="false">IF(F2523&lt;&gt;F2524,F2524,"")</f>
        <v/>
      </c>
    </row>
    <row r="2525" customFormat="false" ht="15" hidden="false" customHeight="false" outlineLevel="0" collapsed="false">
      <c r="A2525" s="1" t="s">
        <v>225</v>
      </c>
      <c r="B2525" s="1" t="s">
        <v>226</v>
      </c>
      <c r="C2525" s="1" t="s">
        <v>910</v>
      </c>
      <c r="D2525" s="1" t="s">
        <v>911</v>
      </c>
      <c r="E2525" s="1" t="n">
        <v>20171</v>
      </c>
      <c r="F2525" s="1" t="s">
        <v>208</v>
      </c>
      <c r="G2525" s="1" t="s">
        <v>23</v>
      </c>
      <c r="H2525" s="1" t="n">
        <v>0</v>
      </c>
      <c r="I2525" s="1" t="n">
        <v>0</v>
      </c>
      <c r="J2525" s="1" t="n">
        <v>20201</v>
      </c>
      <c r="L2525" s="1" t="str">
        <f aca="false">IF(D2524&lt;&gt;D2525,D2525,"")</f>
        <v/>
      </c>
      <c r="M2525" s="1" t="str">
        <f aca="false">IF(F2524&lt;&gt;F2525,F2525,"")</f>
        <v/>
      </c>
    </row>
    <row r="2526" customFormat="false" ht="15" hidden="false" customHeight="false" outlineLevel="0" collapsed="false">
      <c r="A2526" s="1" t="s">
        <v>281</v>
      </c>
      <c r="B2526" s="1" t="s">
        <v>282</v>
      </c>
      <c r="C2526" s="1" t="s">
        <v>910</v>
      </c>
      <c r="D2526" s="1" t="s">
        <v>911</v>
      </c>
      <c r="E2526" s="1" t="n">
        <v>20171</v>
      </c>
      <c r="F2526" s="1" t="s">
        <v>208</v>
      </c>
      <c r="G2526" s="1" t="s">
        <v>18</v>
      </c>
      <c r="H2526" s="1" t="n">
        <v>3</v>
      </c>
      <c r="I2526" s="1" t="n">
        <v>0</v>
      </c>
      <c r="J2526" s="1" t="n">
        <v>20201</v>
      </c>
      <c r="L2526" s="1" t="str">
        <f aca="false">IF(D2525&lt;&gt;D2526,D2526,"")</f>
        <v/>
      </c>
      <c r="M2526" s="1" t="str">
        <f aca="false">IF(F2525&lt;&gt;F2526,F2526,"")</f>
        <v/>
      </c>
    </row>
    <row r="2527" customFormat="false" ht="15" hidden="false" customHeight="false" outlineLevel="0" collapsed="false">
      <c r="A2527" s="1" t="s">
        <v>227</v>
      </c>
      <c r="B2527" s="1" t="s">
        <v>228</v>
      </c>
      <c r="C2527" s="1" t="s">
        <v>910</v>
      </c>
      <c r="D2527" s="1" t="s">
        <v>911</v>
      </c>
      <c r="E2527" s="1" t="n">
        <v>20171</v>
      </c>
      <c r="F2527" s="1" t="s">
        <v>208</v>
      </c>
      <c r="G2527" s="1" t="s">
        <v>18</v>
      </c>
      <c r="H2527" s="1" t="n">
        <v>3</v>
      </c>
      <c r="I2527" s="1" t="n">
        <v>0</v>
      </c>
      <c r="J2527" s="1" t="n">
        <v>20201</v>
      </c>
      <c r="L2527" s="1" t="str">
        <f aca="false">IF(D2526&lt;&gt;D2527,D2527,"")</f>
        <v/>
      </c>
      <c r="M2527" s="1" t="str">
        <f aca="false">IF(F2526&lt;&gt;F2527,F2527,"")</f>
        <v/>
      </c>
    </row>
    <row r="2528" customFormat="false" ht="15" hidden="false" customHeight="false" outlineLevel="0" collapsed="false">
      <c r="A2528" s="1" t="s">
        <v>283</v>
      </c>
      <c r="B2528" s="1" t="s">
        <v>284</v>
      </c>
      <c r="C2528" s="1" t="s">
        <v>910</v>
      </c>
      <c r="D2528" s="1" t="s">
        <v>911</v>
      </c>
      <c r="E2528" s="1" t="n">
        <v>20171</v>
      </c>
      <c r="F2528" s="1" t="s">
        <v>208</v>
      </c>
      <c r="G2528" s="1" t="s">
        <v>15</v>
      </c>
      <c r="H2528" s="1" t="n">
        <v>3.5</v>
      </c>
      <c r="I2528" s="1" t="n">
        <v>0</v>
      </c>
      <c r="J2528" s="1" t="n">
        <v>20201</v>
      </c>
      <c r="L2528" s="1" t="str">
        <f aca="false">IF(D2527&lt;&gt;D2528,D2528,"")</f>
        <v/>
      </c>
      <c r="M2528" s="1" t="str">
        <f aca="false">IF(F2527&lt;&gt;F2528,F2528,"")</f>
        <v/>
      </c>
    </row>
    <row r="2529" customFormat="false" ht="15" hidden="false" customHeight="false" outlineLevel="0" collapsed="false">
      <c r="A2529" s="1" t="s">
        <v>541</v>
      </c>
      <c r="B2529" s="1" t="s">
        <v>542</v>
      </c>
      <c r="C2529" s="1" t="s">
        <v>910</v>
      </c>
      <c r="D2529" s="1" t="s">
        <v>911</v>
      </c>
      <c r="E2529" s="1" t="n">
        <v>20171</v>
      </c>
      <c r="F2529" s="1" t="s">
        <v>208</v>
      </c>
      <c r="G2529" s="1" t="s">
        <v>18</v>
      </c>
      <c r="H2529" s="1" t="n">
        <v>3</v>
      </c>
      <c r="I2529" s="1" t="n">
        <v>0</v>
      </c>
      <c r="J2529" s="1" t="n">
        <v>20201</v>
      </c>
      <c r="L2529" s="1" t="str">
        <f aca="false">IF(D2528&lt;&gt;D2529,D2529,"")</f>
        <v/>
      </c>
      <c r="M2529" s="1" t="str">
        <f aca="false">IF(F2528&lt;&gt;F2529,F2529,"")</f>
        <v/>
      </c>
    </row>
    <row r="2530" customFormat="false" ht="15" hidden="false" customHeight="false" outlineLevel="0" collapsed="false">
      <c r="A2530" s="1" t="s">
        <v>229</v>
      </c>
      <c r="B2530" s="1" t="s">
        <v>230</v>
      </c>
      <c r="C2530" s="1" t="s">
        <v>910</v>
      </c>
      <c r="D2530" s="1" t="s">
        <v>911</v>
      </c>
      <c r="E2530" s="1" t="n">
        <v>20171</v>
      </c>
      <c r="F2530" s="1" t="s">
        <v>208</v>
      </c>
      <c r="G2530" s="1" t="s">
        <v>15</v>
      </c>
      <c r="H2530" s="1" t="n">
        <v>3.5</v>
      </c>
      <c r="I2530" s="1" t="n">
        <v>0</v>
      </c>
      <c r="J2530" s="1" t="n">
        <v>20201</v>
      </c>
      <c r="L2530" s="1" t="str">
        <f aca="false">IF(D2529&lt;&gt;D2530,D2530,"")</f>
        <v/>
      </c>
      <c r="M2530" s="1" t="str">
        <f aca="false">IF(F2529&lt;&gt;F2530,F2530,"")</f>
        <v/>
      </c>
    </row>
    <row r="2531" customFormat="false" ht="15" hidden="false" customHeight="false" outlineLevel="0" collapsed="false">
      <c r="A2531" s="1" t="s">
        <v>231</v>
      </c>
      <c r="B2531" s="1" t="s">
        <v>232</v>
      </c>
      <c r="C2531" s="1" t="s">
        <v>910</v>
      </c>
      <c r="D2531" s="1" t="s">
        <v>911</v>
      </c>
      <c r="E2531" s="1" t="n">
        <v>20171</v>
      </c>
      <c r="F2531" s="1" t="s">
        <v>208</v>
      </c>
      <c r="G2531" s="1" t="s">
        <v>18</v>
      </c>
      <c r="H2531" s="1" t="n">
        <v>3</v>
      </c>
      <c r="I2531" s="1" t="n">
        <v>0</v>
      </c>
      <c r="J2531" s="1" t="n">
        <v>20201</v>
      </c>
      <c r="L2531" s="1" t="str">
        <f aca="false">IF(D2530&lt;&gt;D2531,D2531,"")</f>
        <v/>
      </c>
      <c r="M2531" s="1" t="str">
        <f aca="false">IF(F2530&lt;&gt;F2531,F2531,"")</f>
        <v/>
      </c>
    </row>
    <row r="2532" customFormat="false" ht="15" hidden="false" customHeight="false" outlineLevel="0" collapsed="false">
      <c r="A2532" s="1" t="s">
        <v>715</v>
      </c>
      <c r="B2532" s="1" t="s">
        <v>716</v>
      </c>
      <c r="C2532" s="1" t="s">
        <v>910</v>
      </c>
      <c r="D2532" s="1" t="s">
        <v>911</v>
      </c>
      <c r="E2532" s="1" t="n">
        <v>20171</v>
      </c>
      <c r="F2532" s="1" t="s">
        <v>208</v>
      </c>
      <c r="G2532" s="1" t="s">
        <v>18</v>
      </c>
      <c r="H2532" s="1" t="n">
        <v>3</v>
      </c>
      <c r="I2532" s="1" t="n">
        <v>0</v>
      </c>
      <c r="J2532" s="1" t="n">
        <v>20201</v>
      </c>
      <c r="L2532" s="1" t="str">
        <f aca="false">IF(D2531&lt;&gt;D2532,D2532,"")</f>
        <v/>
      </c>
      <c r="M2532" s="1" t="str">
        <f aca="false">IF(F2531&lt;&gt;F2532,F2532,"")</f>
        <v/>
      </c>
    </row>
    <row r="2533" customFormat="false" ht="15" hidden="false" customHeight="false" outlineLevel="0" collapsed="false">
      <c r="A2533" s="1" t="s">
        <v>717</v>
      </c>
      <c r="B2533" s="1" t="s">
        <v>718</v>
      </c>
      <c r="C2533" s="1" t="s">
        <v>910</v>
      </c>
      <c r="D2533" s="1" t="s">
        <v>911</v>
      </c>
      <c r="E2533" s="1" t="n">
        <v>20171</v>
      </c>
      <c r="F2533" s="1" t="s">
        <v>208</v>
      </c>
      <c r="G2533" s="1" t="s">
        <v>18</v>
      </c>
      <c r="H2533" s="1" t="n">
        <v>3</v>
      </c>
      <c r="I2533" s="1" t="n">
        <v>0</v>
      </c>
      <c r="J2533" s="1" t="n">
        <v>20201</v>
      </c>
      <c r="L2533" s="1" t="str">
        <f aca="false">IF(D2532&lt;&gt;D2533,D2533,"")</f>
        <v/>
      </c>
      <c r="M2533" s="1" t="str">
        <f aca="false">IF(F2532&lt;&gt;F2533,F2533,"")</f>
        <v/>
      </c>
    </row>
    <row r="2534" customFormat="false" ht="15" hidden="false" customHeight="false" outlineLevel="0" collapsed="false">
      <c r="A2534" s="1" t="s">
        <v>233</v>
      </c>
      <c r="B2534" s="1" t="s">
        <v>234</v>
      </c>
      <c r="C2534" s="1" t="s">
        <v>910</v>
      </c>
      <c r="D2534" s="1" t="s">
        <v>911</v>
      </c>
      <c r="E2534" s="1" t="n">
        <v>20171</v>
      </c>
      <c r="F2534" s="1" t="s">
        <v>208</v>
      </c>
      <c r="G2534" s="1" t="s">
        <v>18</v>
      </c>
      <c r="H2534" s="1" t="n">
        <v>3</v>
      </c>
      <c r="I2534" s="1" t="n">
        <v>0</v>
      </c>
      <c r="J2534" s="1" t="n">
        <v>20201</v>
      </c>
      <c r="L2534" s="1" t="str">
        <f aca="false">IF(D2533&lt;&gt;D2534,D2534,"")</f>
        <v/>
      </c>
      <c r="M2534" s="1" t="str">
        <f aca="false">IF(F2533&lt;&gt;F2534,F2534,"")</f>
        <v/>
      </c>
    </row>
    <row r="2535" customFormat="false" ht="15" hidden="false" customHeight="false" outlineLevel="0" collapsed="false">
      <c r="A2535" s="1" t="s">
        <v>719</v>
      </c>
      <c r="B2535" s="1" t="s">
        <v>720</v>
      </c>
      <c r="C2535" s="1" t="s">
        <v>910</v>
      </c>
      <c r="D2535" s="1" t="s">
        <v>911</v>
      </c>
      <c r="E2535" s="1" t="n">
        <v>20171</v>
      </c>
      <c r="F2535" s="1" t="s">
        <v>208</v>
      </c>
      <c r="G2535" s="1" t="s">
        <v>18</v>
      </c>
      <c r="H2535" s="1" t="n">
        <v>3</v>
      </c>
      <c r="I2535" s="1" t="n">
        <v>0</v>
      </c>
      <c r="J2535" s="1" t="n">
        <v>20201</v>
      </c>
      <c r="L2535" s="1" t="str">
        <f aca="false">IF(D2534&lt;&gt;D2535,D2535,"")</f>
        <v/>
      </c>
      <c r="M2535" s="1" t="str">
        <f aca="false">IF(F2534&lt;&gt;F2535,F2535,"")</f>
        <v/>
      </c>
    </row>
    <row r="2536" customFormat="false" ht="15" hidden="false" customHeight="false" outlineLevel="0" collapsed="false">
      <c r="A2536" s="1" t="s">
        <v>663</v>
      </c>
      <c r="B2536" s="1" t="s">
        <v>664</v>
      </c>
      <c r="C2536" s="1" t="s">
        <v>910</v>
      </c>
      <c r="D2536" s="1" t="s">
        <v>911</v>
      </c>
      <c r="E2536" s="1" t="n">
        <v>20171</v>
      </c>
      <c r="F2536" s="1" t="s">
        <v>208</v>
      </c>
      <c r="G2536" s="1" t="s">
        <v>18</v>
      </c>
      <c r="H2536" s="1" t="n">
        <v>3</v>
      </c>
      <c r="I2536" s="1" t="n">
        <v>0</v>
      </c>
      <c r="J2536" s="1" t="n">
        <v>20201</v>
      </c>
      <c r="L2536" s="1" t="str">
        <f aca="false">IF(D2535&lt;&gt;D2536,D2536,"")</f>
        <v/>
      </c>
      <c r="M2536" s="1" t="str">
        <f aca="false">IF(F2535&lt;&gt;F2536,F2536,"")</f>
        <v/>
      </c>
    </row>
    <row r="2537" customFormat="false" ht="15" hidden="false" customHeight="false" outlineLevel="0" collapsed="false">
      <c r="A2537" s="1" t="s">
        <v>287</v>
      </c>
      <c r="B2537" s="1" t="s">
        <v>288</v>
      </c>
      <c r="C2537" s="1" t="s">
        <v>910</v>
      </c>
      <c r="D2537" s="1" t="s">
        <v>911</v>
      </c>
      <c r="E2537" s="1" t="n">
        <v>20171</v>
      </c>
      <c r="F2537" s="1" t="s">
        <v>208</v>
      </c>
      <c r="G2537" s="1" t="s">
        <v>18</v>
      </c>
      <c r="H2537" s="1" t="n">
        <v>3</v>
      </c>
      <c r="I2537" s="1" t="n">
        <v>0</v>
      </c>
      <c r="J2537" s="1" t="n">
        <v>20201</v>
      </c>
      <c r="L2537" s="1" t="str">
        <f aca="false">IF(D2536&lt;&gt;D2537,D2537,"")</f>
        <v/>
      </c>
      <c r="M2537" s="1" t="str">
        <f aca="false">IF(F2536&lt;&gt;F2537,F2537,"")</f>
        <v/>
      </c>
    </row>
    <row r="2538" customFormat="false" ht="15" hidden="false" customHeight="false" outlineLevel="0" collapsed="false">
      <c r="A2538" s="1" t="s">
        <v>543</v>
      </c>
      <c r="B2538" s="1" t="s">
        <v>544</v>
      </c>
      <c r="C2538" s="1" t="s">
        <v>910</v>
      </c>
      <c r="D2538" s="1" t="s">
        <v>911</v>
      </c>
      <c r="E2538" s="1" t="n">
        <v>20171</v>
      </c>
      <c r="F2538" s="1" t="s">
        <v>208</v>
      </c>
      <c r="G2538" s="1" t="s">
        <v>18</v>
      </c>
      <c r="H2538" s="1" t="n">
        <v>3</v>
      </c>
      <c r="I2538" s="1" t="n">
        <v>0</v>
      </c>
      <c r="J2538" s="1" t="n">
        <v>20201</v>
      </c>
      <c r="L2538" s="1" t="str">
        <f aca="false">IF(D2537&lt;&gt;D2538,D2538,"")</f>
        <v/>
      </c>
      <c r="M2538" s="1" t="str">
        <f aca="false">IF(F2537&lt;&gt;F2538,F2538,"")</f>
        <v/>
      </c>
    </row>
    <row r="2539" customFormat="false" ht="15" hidden="false" customHeight="false" outlineLevel="0" collapsed="false">
      <c r="A2539" s="1" t="s">
        <v>289</v>
      </c>
      <c r="B2539" s="1" t="s">
        <v>290</v>
      </c>
      <c r="C2539" s="1" t="s">
        <v>910</v>
      </c>
      <c r="D2539" s="1" t="s">
        <v>911</v>
      </c>
      <c r="E2539" s="1" t="n">
        <v>20171</v>
      </c>
      <c r="F2539" s="1" t="s">
        <v>208</v>
      </c>
      <c r="G2539" s="1" t="s">
        <v>18</v>
      </c>
      <c r="H2539" s="1" t="n">
        <v>3</v>
      </c>
      <c r="I2539" s="1" t="n">
        <v>0</v>
      </c>
      <c r="J2539" s="1" t="n">
        <v>20201</v>
      </c>
      <c r="L2539" s="1" t="str">
        <f aca="false">IF(D2538&lt;&gt;D2539,D2539,"")</f>
        <v/>
      </c>
      <c r="M2539" s="1" t="str">
        <f aca="false">IF(F2538&lt;&gt;F2539,F2539,"")</f>
        <v/>
      </c>
    </row>
    <row r="2540" customFormat="false" ht="15" hidden="false" customHeight="false" outlineLevel="0" collapsed="false">
      <c r="A2540" s="1" t="s">
        <v>235</v>
      </c>
      <c r="B2540" s="1" t="s">
        <v>236</v>
      </c>
      <c r="C2540" s="1" t="s">
        <v>910</v>
      </c>
      <c r="D2540" s="1" t="s">
        <v>911</v>
      </c>
      <c r="E2540" s="1" t="n">
        <v>20171</v>
      </c>
      <c r="F2540" s="1" t="s">
        <v>208</v>
      </c>
      <c r="G2540" s="1" t="s">
        <v>15</v>
      </c>
      <c r="H2540" s="1" t="n">
        <v>3.5</v>
      </c>
      <c r="I2540" s="1" t="n">
        <v>0</v>
      </c>
      <c r="J2540" s="1" t="n">
        <v>20201</v>
      </c>
      <c r="L2540" s="1" t="str">
        <f aca="false">IF(D2539&lt;&gt;D2540,D2540,"")</f>
        <v/>
      </c>
      <c r="M2540" s="1" t="str">
        <f aca="false">IF(F2539&lt;&gt;F2540,F2540,"")</f>
        <v/>
      </c>
    </row>
    <row r="2541" customFormat="false" ht="15" hidden="false" customHeight="false" outlineLevel="0" collapsed="false">
      <c r="A2541" s="1" t="s">
        <v>291</v>
      </c>
      <c r="B2541" s="1" t="s">
        <v>292</v>
      </c>
      <c r="C2541" s="1" t="s">
        <v>910</v>
      </c>
      <c r="D2541" s="1" t="s">
        <v>911</v>
      </c>
      <c r="E2541" s="1" t="n">
        <v>20171</v>
      </c>
      <c r="F2541" s="1" t="s">
        <v>208</v>
      </c>
      <c r="G2541" s="1" t="s">
        <v>18</v>
      </c>
      <c r="H2541" s="1" t="n">
        <v>3</v>
      </c>
      <c r="I2541" s="1" t="n">
        <v>0</v>
      </c>
      <c r="J2541" s="1" t="n">
        <v>20201</v>
      </c>
      <c r="L2541" s="1" t="str">
        <f aca="false">IF(D2540&lt;&gt;D2541,D2541,"")</f>
        <v/>
      </c>
      <c r="M2541" s="1" t="str">
        <f aca="false">IF(F2540&lt;&gt;F2541,F2541,"")</f>
        <v/>
      </c>
    </row>
    <row r="2542" customFormat="false" ht="15" hidden="false" customHeight="false" outlineLevel="0" collapsed="false">
      <c r="A2542" s="1" t="s">
        <v>721</v>
      </c>
      <c r="B2542" s="1" t="s">
        <v>722</v>
      </c>
      <c r="C2542" s="1" t="s">
        <v>910</v>
      </c>
      <c r="D2542" s="1" t="s">
        <v>911</v>
      </c>
      <c r="E2542" s="1" t="n">
        <v>20171</v>
      </c>
      <c r="F2542" s="1" t="s">
        <v>208</v>
      </c>
      <c r="G2542" s="1" t="s">
        <v>18</v>
      </c>
      <c r="H2542" s="1" t="n">
        <v>3</v>
      </c>
      <c r="I2542" s="1" t="n">
        <v>0</v>
      </c>
      <c r="J2542" s="1" t="n">
        <v>20201</v>
      </c>
      <c r="L2542" s="1" t="str">
        <f aca="false">IF(D2541&lt;&gt;D2542,D2542,"")</f>
        <v/>
      </c>
      <c r="M2542" s="1" t="str">
        <f aca="false">IF(F2541&lt;&gt;F2542,F2542,"")</f>
        <v/>
      </c>
    </row>
    <row r="2543" customFormat="false" ht="15" hidden="false" customHeight="false" outlineLevel="0" collapsed="false">
      <c r="A2543" s="1" t="s">
        <v>293</v>
      </c>
      <c r="B2543" s="1" t="s">
        <v>294</v>
      </c>
      <c r="C2543" s="1" t="s">
        <v>910</v>
      </c>
      <c r="D2543" s="1" t="s">
        <v>911</v>
      </c>
      <c r="E2543" s="1" t="n">
        <v>20171</v>
      </c>
      <c r="F2543" s="1" t="s">
        <v>208</v>
      </c>
      <c r="G2543" s="1" t="s">
        <v>18</v>
      </c>
      <c r="H2543" s="1" t="n">
        <v>3</v>
      </c>
      <c r="I2543" s="1" t="n">
        <v>0</v>
      </c>
      <c r="J2543" s="1" t="n">
        <v>20201</v>
      </c>
      <c r="L2543" s="1" t="str">
        <f aca="false">IF(D2542&lt;&gt;D2543,D2543,"")</f>
        <v/>
      </c>
      <c r="M2543" s="1" t="str">
        <f aca="false">IF(F2542&lt;&gt;F2543,F2543,"")</f>
        <v/>
      </c>
    </row>
    <row r="2544" customFormat="false" ht="15" hidden="false" customHeight="false" outlineLevel="0" collapsed="false">
      <c r="A2544" s="1" t="s">
        <v>237</v>
      </c>
      <c r="B2544" s="1" t="s">
        <v>238</v>
      </c>
      <c r="C2544" s="1" t="s">
        <v>910</v>
      </c>
      <c r="D2544" s="1" t="s">
        <v>911</v>
      </c>
      <c r="E2544" s="1" t="n">
        <v>20171</v>
      </c>
      <c r="F2544" s="1" t="s">
        <v>208</v>
      </c>
      <c r="G2544" s="1" t="s">
        <v>18</v>
      </c>
      <c r="H2544" s="1" t="n">
        <v>3</v>
      </c>
      <c r="I2544" s="1" t="n">
        <v>0</v>
      </c>
      <c r="J2544" s="1" t="n">
        <v>20201</v>
      </c>
      <c r="L2544" s="1" t="str">
        <f aca="false">IF(D2543&lt;&gt;D2544,D2544,"")</f>
        <v/>
      </c>
      <c r="M2544" s="1" t="str">
        <f aca="false">IF(F2543&lt;&gt;F2544,F2544,"")</f>
        <v/>
      </c>
    </row>
    <row r="2545" customFormat="false" ht="15" hidden="false" customHeight="false" outlineLevel="0" collapsed="false">
      <c r="A2545" s="1" t="s">
        <v>239</v>
      </c>
      <c r="B2545" s="1" t="s">
        <v>240</v>
      </c>
      <c r="C2545" s="1" t="s">
        <v>910</v>
      </c>
      <c r="D2545" s="1" t="s">
        <v>911</v>
      </c>
      <c r="E2545" s="1" t="n">
        <v>20171</v>
      </c>
      <c r="F2545" s="1" t="s">
        <v>208</v>
      </c>
      <c r="G2545" s="1" t="s">
        <v>18</v>
      </c>
      <c r="H2545" s="1" t="n">
        <v>3</v>
      </c>
      <c r="I2545" s="1" t="n">
        <v>0</v>
      </c>
      <c r="J2545" s="1" t="n">
        <v>20201</v>
      </c>
      <c r="L2545" s="1" t="str">
        <f aca="false">IF(D2544&lt;&gt;D2545,D2545,"")</f>
        <v/>
      </c>
      <c r="M2545" s="1" t="str">
        <f aca="false">IF(F2544&lt;&gt;F2545,F2545,"")</f>
        <v/>
      </c>
    </row>
    <row r="2546" customFormat="false" ht="15" hidden="false" customHeight="false" outlineLevel="0" collapsed="false">
      <c r="A2546" s="1" t="s">
        <v>241</v>
      </c>
      <c r="B2546" s="1" t="s">
        <v>242</v>
      </c>
      <c r="C2546" s="1" t="s">
        <v>910</v>
      </c>
      <c r="D2546" s="1" t="s">
        <v>911</v>
      </c>
      <c r="E2546" s="1" t="n">
        <v>20171</v>
      </c>
      <c r="F2546" s="1" t="s">
        <v>208</v>
      </c>
      <c r="G2546" s="1" t="s">
        <v>18</v>
      </c>
      <c r="H2546" s="1" t="n">
        <v>3</v>
      </c>
      <c r="I2546" s="1" t="n">
        <v>0</v>
      </c>
      <c r="J2546" s="1" t="n">
        <v>20201</v>
      </c>
      <c r="L2546" s="1" t="str">
        <f aca="false">IF(D2545&lt;&gt;D2546,D2546,"")</f>
        <v/>
      </c>
      <c r="M2546" s="1" t="str">
        <f aca="false">IF(F2545&lt;&gt;F2546,F2546,"")</f>
        <v/>
      </c>
    </row>
    <row r="2547" customFormat="false" ht="15" hidden="false" customHeight="false" outlineLevel="0" collapsed="false">
      <c r="A2547" s="1" t="s">
        <v>243</v>
      </c>
      <c r="B2547" s="1" t="s">
        <v>244</v>
      </c>
      <c r="C2547" s="1" t="s">
        <v>910</v>
      </c>
      <c r="D2547" s="1" t="s">
        <v>911</v>
      </c>
      <c r="E2547" s="1" t="n">
        <v>20171</v>
      </c>
      <c r="F2547" s="1" t="s">
        <v>208</v>
      </c>
      <c r="G2547" s="1" t="s">
        <v>18</v>
      </c>
      <c r="H2547" s="1" t="n">
        <v>3</v>
      </c>
      <c r="I2547" s="1" t="n">
        <v>0</v>
      </c>
      <c r="J2547" s="1" t="n">
        <v>20201</v>
      </c>
      <c r="L2547" s="1" t="str">
        <f aca="false">IF(D2546&lt;&gt;D2547,D2547,"")</f>
        <v/>
      </c>
      <c r="M2547" s="1" t="str">
        <f aca="false">IF(F2546&lt;&gt;F2547,F2547,"")</f>
        <v/>
      </c>
    </row>
    <row r="2548" customFormat="false" ht="15" hidden="false" customHeight="false" outlineLevel="0" collapsed="false">
      <c r="A2548" s="1" t="s">
        <v>245</v>
      </c>
      <c r="B2548" s="1" t="s">
        <v>246</v>
      </c>
      <c r="C2548" s="1" t="s">
        <v>910</v>
      </c>
      <c r="D2548" s="1" t="s">
        <v>911</v>
      </c>
      <c r="E2548" s="1" t="n">
        <v>20171</v>
      </c>
      <c r="F2548" s="1" t="s">
        <v>208</v>
      </c>
      <c r="G2548" s="1" t="s">
        <v>15</v>
      </c>
      <c r="H2548" s="1" t="n">
        <v>3.5</v>
      </c>
      <c r="I2548" s="1" t="n">
        <v>0</v>
      </c>
      <c r="J2548" s="1" t="n">
        <v>20201</v>
      </c>
      <c r="L2548" s="1" t="str">
        <f aca="false">IF(D2547&lt;&gt;D2548,D2548,"")</f>
        <v/>
      </c>
      <c r="M2548" s="1" t="str">
        <f aca="false">IF(F2547&lt;&gt;F2548,F2548,"")</f>
        <v/>
      </c>
    </row>
    <row r="2549" customFormat="false" ht="15" hidden="false" customHeight="false" outlineLevel="0" collapsed="false">
      <c r="A2549" s="1" t="s">
        <v>247</v>
      </c>
      <c r="B2549" s="1" t="s">
        <v>248</v>
      </c>
      <c r="C2549" s="1" t="s">
        <v>910</v>
      </c>
      <c r="D2549" s="1" t="s">
        <v>911</v>
      </c>
      <c r="E2549" s="1" t="n">
        <v>20171</v>
      </c>
      <c r="F2549" s="1" t="s">
        <v>208</v>
      </c>
      <c r="G2549" s="1" t="s">
        <v>18</v>
      </c>
      <c r="H2549" s="1" t="n">
        <v>3</v>
      </c>
      <c r="I2549" s="1" t="n">
        <v>0</v>
      </c>
      <c r="J2549" s="1" t="n">
        <v>20201</v>
      </c>
      <c r="L2549" s="1" t="str">
        <f aca="false">IF(D2548&lt;&gt;D2549,D2549,"")</f>
        <v/>
      </c>
      <c r="M2549" s="1" t="str">
        <f aca="false">IF(F2548&lt;&gt;F2549,F2549,"")</f>
        <v/>
      </c>
    </row>
    <row r="2550" customFormat="false" ht="15" hidden="false" customHeight="false" outlineLevel="0" collapsed="false">
      <c r="A2550" s="1" t="s">
        <v>665</v>
      </c>
      <c r="B2550" s="1" t="s">
        <v>666</v>
      </c>
      <c r="C2550" s="1" t="s">
        <v>910</v>
      </c>
      <c r="D2550" s="1" t="s">
        <v>911</v>
      </c>
      <c r="E2550" s="1" t="n">
        <v>20171</v>
      </c>
      <c r="F2550" s="1" t="s">
        <v>208</v>
      </c>
      <c r="G2550" s="1" t="s">
        <v>18</v>
      </c>
      <c r="H2550" s="1" t="n">
        <v>3</v>
      </c>
      <c r="I2550" s="1" t="n">
        <v>0</v>
      </c>
      <c r="J2550" s="1" t="n">
        <v>20201</v>
      </c>
      <c r="L2550" s="1" t="str">
        <f aca="false">IF(D2549&lt;&gt;D2550,D2550,"")</f>
        <v/>
      </c>
      <c r="M2550" s="1" t="str">
        <f aca="false">IF(F2549&lt;&gt;F2550,F2550,"")</f>
        <v/>
      </c>
    </row>
    <row r="2551" customFormat="false" ht="15" hidden="false" customHeight="false" outlineLevel="0" collapsed="false">
      <c r="A2551" s="1" t="s">
        <v>547</v>
      </c>
      <c r="B2551" s="1" t="s">
        <v>548</v>
      </c>
      <c r="C2551" s="1" t="s">
        <v>910</v>
      </c>
      <c r="D2551" s="1" t="s">
        <v>911</v>
      </c>
      <c r="E2551" s="1" t="n">
        <v>20171</v>
      </c>
      <c r="F2551" s="1" t="s">
        <v>208</v>
      </c>
      <c r="G2551" s="1" t="s">
        <v>18</v>
      </c>
      <c r="H2551" s="1" t="n">
        <v>3</v>
      </c>
      <c r="I2551" s="1" t="n">
        <v>0</v>
      </c>
      <c r="J2551" s="1" t="n">
        <v>20201</v>
      </c>
      <c r="L2551" s="1" t="str">
        <f aca="false">IF(D2550&lt;&gt;D2551,D2551,"")</f>
        <v/>
      </c>
      <c r="M2551" s="1" t="str">
        <f aca="false">IF(F2550&lt;&gt;F2551,F2551,"")</f>
        <v/>
      </c>
    </row>
    <row r="2552" customFormat="false" ht="15" hidden="false" customHeight="false" outlineLevel="0" collapsed="false">
      <c r="A2552" s="1" t="s">
        <v>683</v>
      </c>
      <c r="B2552" s="1" t="s">
        <v>684</v>
      </c>
      <c r="C2552" s="1" t="s">
        <v>910</v>
      </c>
      <c r="D2552" s="1" t="s">
        <v>911</v>
      </c>
      <c r="E2552" s="1" t="n">
        <v>20171</v>
      </c>
      <c r="F2552" s="1" t="s">
        <v>208</v>
      </c>
      <c r="G2552" s="1" t="s">
        <v>15</v>
      </c>
      <c r="H2552" s="1" t="n">
        <v>3.5</v>
      </c>
      <c r="I2552" s="1" t="n">
        <v>0</v>
      </c>
      <c r="J2552" s="1" t="n">
        <v>20201</v>
      </c>
      <c r="L2552" s="1" t="str">
        <f aca="false">IF(D2551&lt;&gt;D2552,D2552,"")</f>
        <v/>
      </c>
      <c r="M2552" s="1" t="str">
        <f aca="false">IF(F2551&lt;&gt;F2552,F2552,"")</f>
        <v/>
      </c>
    </row>
    <row r="2553" customFormat="false" ht="15" hidden="false" customHeight="false" outlineLevel="0" collapsed="false">
      <c r="A2553" s="1" t="s">
        <v>249</v>
      </c>
      <c r="B2553" s="1" t="s">
        <v>250</v>
      </c>
      <c r="C2553" s="1" t="s">
        <v>910</v>
      </c>
      <c r="D2553" s="1" t="s">
        <v>911</v>
      </c>
      <c r="E2553" s="1" t="n">
        <v>20171</v>
      </c>
      <c r="F2553" s="1" t="s">
        <v>208</v>
      </c>
      <c r="G2553" s="1" t="s">
        <v>18</v>
      </c>
      <c r="H2553" s="1" t="n">
        <v>3</v>
      </c>
      <c r="I2553" s="1" t="n">
        <v>0</v>
      </c>
      <c r="J2553" s="1" t="n">
        <v>20201</v>
      </c>
      <c r="L2553" s="1" t="str">
        <f aca="false">IF(D2552&lt;&gt;D2553,D2553,"")</f>
        <v/>
      </c>
      <c r="M2553" s="1" t="str">
        <f aca="false">IF(F2552&lt;&gt;F2553,F2553,"")</f>
        <v/>
      </c>
    </row>
    <row r="2554" customFormat="false" ht="15" hidden="false" customHeight="false" outlineLevel="0" collapsed="false">
      <c r="A2554" s="1" t="s">
        <v>251</v>
      </c>
      <c r="B2554" s="1" t="s">
        <v>252</v>
      </c>
      <c r="C2554" s="1" t="s">
        <v>910</v>
      </c>
      <c r="D2554" s="1" t="s">
        <v>911</v>
      </c>
      <c r="E2554" s="1" t="n">
        <v>20171</v>
      </c>
      <c r="F2554" s="1" t="s">
        <v>208</v>
      </c>
      <c r="G2554" s="1" t="s">
        <v>15</v>
      </c>
      <c r="H2554" s="1" t="n">
        <v>3.5</v>
      </c>
      <c r="I2554" s="1" t="n">
        <v>0</v>
      </c>
      <c r="J2554" s="1" t="n">
        <v>20201</v>
      </c>
      <c r="L2554" s="1" t="str">
        <f aca="false">IF(D2553&lt;&gt;D2554,D2554,"")</f>
        <v/>
      </c>
      <c r="M2554" s="1" t="str">
        <f aca="false">IF(F2553&lt;&gt;F2554,F2554,"")</f>
        <v/>
      </c>
    </row>
    <row r="2555" customFormat="false" ht="15" hidden="false" customHeight="false" outlineLevel="0" collapsed="false">
      <c r="A2555" s="1" t="s">
        <v>295</v>
      </c>
      <c r="B2555" s="1" t="s">
        <v>296</v>
      </c>
      <c r="C2555" s="1" t="s">
        <v>910</v>
      </c>
      <c r="D2555" s="1" t="s">
        <v>911</v>
      </c>
      <c r="E2555" s="1" t="n">
        <v>20171</v>
      </c>
      <c r="F2555" s="1" t="s">
        <v>208</v>
      </c>
      <c r="G2555" s="1" t="s">
        <v>18</v>
      </c>
      <c r="H2555" s="1" t="n">
        <v>3</v>
      </c>
      <c r="I2555" s="1" t="n">
        <v>0</v>
      </c>
      <c r="J2555" s="1" t="n">
        <v>20201</v>
      </c>
      <c r="L2555" s="1" t="str">
        <f aca="false">IF(D2554&lt;&gt;D2555,D2555,"")</f>
        <v/>
      </c>
      <c r="M2555" s="1" t="str">
        <f aca="false">IF(F2554&lt;&gt;F2555,F2555,"")</f>
        <v/>
      </c>
    </row>
    <row r="2556" customFormat="false" ht="15" hidden="false" customHeight="false" outlineLevel="0" collapsed="false">
      <c r="A2556" s="1" t="s">
        <v>253</v>
      </c>
      <c r="B2556" s="1" t="s">
        <v>254</v>
      </c>
      <c r="C2556" s="1" t="s">
        <v>910</v>
      </c>
      <c r="D2556" s="1" t="s">
        <v>911</v>
      </c>
      <c r="E2556" s="1" t="n">
        <v>20171</v>
      </c>
      <c r="F2556" s="1" t="s">
        <v>208</v>
      </c>
      <c r="G2556" s="1" t="s">
        <v>18</v>
      </c>
      <c r="H2556" s="1" t="n">
        <v>3</v>
      </c>
      <c r="I2556" s="1" t="n">
        <v>0</v>
      </c>
      <c r="J2556" s="1" t="n">
        <v>20201</v>
      </c>
      <c r="L2556" s="1" t="str">
        <f aca="false">IF(D2555&lt;&gt;D2556,D2556,"")</f>
        <v/>
      </c>
      <c r="M2556" s="1" t="str">
        <f aca="false">IF(F2555&lt;&gt;F2556,F2556,"")</f>
        <v/>
      </c>
    </row>
    <row r="2557" customFormat="false" ht="15" hidden="false" customHeight="false" outlineLevel="0" collapsed="false">
      <c r="A2557" s="1" t="s">
        <v>723</v>
      </c>
      <c r="B2557" s="1" t="s">
        <v>724</v>
      </c>
      <c r="C2557" s="1" t="s">
        <v>910</v>
      </c>
      <c r="D2557" s="1" t="s">
        <v>911</v>
      </c>
      <c r="E2557" s="1" t="n">
        <v>20171</v>
      </c>
      <c r="F2557" s="1" t="s">
        <v>208</v>
      </c>
      <c r="G2557" s="1" t="s">
        <v>18</v>
      </c>
      <c r="H2557" s="1" t="n">
        <v>3</v>
      </c>
      <c r="I2557" s="1" t="n">
        <v>0</v>
      </c>
      <c r="J2557" s="1" t="n">
        <v>20201</v>
      </c>
      <c r="L2557" s="1" t="str">
        <f aca="false">IF(D2556&lt;&gt;D2557,D2557,"")</f>
        <v/>
      </c>
      <c r="M2557" s="1" t="str">
        <f aca="false">IF(F2556&lt;&gt;F2557,F2557,"")</f>
        <v/>
      </c>
    </row>
    <row r="2558" customFormat="false" ht="15" hidden="false" customHeight="false" outlineLevel="0" collapsed="false">
      <c r="A2558" s="1" t="s">
        <v>255</v>
      </c>
      <c r="B2558" s="1" t="s">
        <v>256</v>
      </c>
      <c r="C2558" s="1" t="s">
        <v>910</v>
      </c>
      <c r="D2558" s="1" t="s">
        <v>911</v>
      </c>
      <c r="E2558" s="1" t="n">
        <v>20171</v>
      </c>
      <c r="F2558" s="1" t="s">
        <v>208</v>
      </c>
      <c r="G2558" s="1" t="s">
        <v>18</v>
      </c>
      <c r="H2558" s="1" t="n">
        <v>3</v>
      </c>
      <c r="I2558" s="1" t="n">
        <v>0</v>
      </c>
      <c r="J2558" s="1" t="n">
        <v>20201</v>
      </c>
      <c r="L2558" s="1" t="str">
        <f aca="false">IF(D2557&lt;&gt;D2558,D2558,"")</f>
        <v/>
      </c>
      <c r="M2558" s="1" t="str">
        <f aca="false">IF(F2557&lt;&gt;F2558,F2558,"")</f>
        <v/>
      </c>
    </row>
    <row r="2559" customFormat="false" ht="15" hidden="false" customHeight="false" outlineLevel="0" collapsed="false">
      <c r="A2559" s="1" t="s">
        <v>257</v>
      </c>
      <c r="B2559" s="1" t="s">
        <v>258</v>
      </c>
      <c r="C2559" s="1" t="s">
        <v>910</v>
      </c>
      <c r="D2559" s="1" t="s">
        <v>911</v>
      </c>
      <c r="E2559" s="1" t="n">
        <v>20171</v>
      </c>
      <c r="F2559" s="1" t="s">
        <v>208</v>
      </c>
      <c r="G2559" s="1" t="s">
        <v>18</v>
      </c>
      <c r="H2559" s="1" t="n">
        <v>3</v>
      </c>
      <c r="I2559" s="1" t="n">
        <v>0</v>
      </c>
      <c r="J2559" s="1" t="n">
        <v>20201</v>
      </c>
      <c r="L2559" s="1" t="str">
        <f aca="false">IF(D2558&lt;&gt;D2559,D2559,"")</f>
        <v/>
      </c>
      <c r="M2559" s="1" t="str">
        <f aca="false">IF(F2558&lt;&gt;F2559,F2559,"")</f>
        <v/>
      </c>
    </row>
    <row r="2560" customFormat="false" ht="15" hidden="false" customHeight="false" outlineLevel="0" collapsed="false">
      <c r="A2560" s="1" t="s">
        <v>549</v>
      </c>
      <c r="B2560" s="1" t="s">
        <v>550</v>
      </c>
      <c r="C2560" s="1" t="s">
        <v>910</v>
      </c>
      <c r="D2560" s="1" t="s">
        <v>911</v>
      </c>
      <c r="E2560" s="1" t="n">
        <v>20171</v>
      </c>
      <c r="F2560" s="1" t="s">
        <v>208</v>
      </c>
      <c r="G2560" s="1" t="s">
        <v>18</v>
      </c>
      <c r="H2560" s="1" t="n">
        <v>3</v>
      </c>
      <c r="I2560" s="1" t="n">
        <v>0</v>
      </c>
      <c r="J2560" s="1" t="n">
        <v>20201</v>
      </c>
      <c r="L2560" s="1" t="str">
        <f aca="false">IF(D2559&lt;&gt;D2560,D2560,"")</f>
        <v/>
      </c>
      <c r="M2560" s="1" t="str">
        <f aca="false">IF(F2559&lt;&gt;F2560,F2560,"")</f>
        <v/>
      </c>
    </row>
    <row r="2561" customFormat="false" ht="15" hidden="false" customHeight="false" outlineLevel="0" collapsed="false">
      <c r="A2561" s="1" t="s">
        <v>725</v>
      </c>
      <c r="B2561" s="1" t="s">
        <v>726</v>
      </c>
      <c r="C2561" s="1" t="s">
        <v>910</v>
      </c>
      <c r="D2561" s="1" t="s">
        <v>911</v>
      </c>
      <c r="E2561" s="1" t="n">
        <v>20171</v>
      </c>
      <c r="F2561" s="1" t="s">
        <v>208</v>
      </c>
      <c r="G2561" s="1" t="s">
        <v>18</v>
      </c>
      <c r="H2561" s="1" t="n">
        <v>3</v>
      </c>
      <c r="I2561" s="1" t="n">
        <v>0</v>
      </c>
      <c r="J2561" s="1" t="n">
        <v>20201</v>
      </c>
      <c r="L2561" s="1" t="str">
        <f aca="false">IF(D2560&lt;&gt;D2561,D2561,"")</f>
        <v/>
      </c>
      <c r="M2561" s="1" t="str">
        <f aca="false">IF(F2560&lt;&gt;F2561,F2561,"")</f>
        <v/>
      </c>
    </row>
    <row r="2562" customFormat="false" ht="15" hidden="false" customHeight="false" outlineLevel="0" collapsed="false">
      <c r="A2562" s="1" t="s">
        <v>297</v>
      </c>
      <c r="B2562" s="1" t="s">
        <v>298</v>
      </c>
      <c r="C2562" s="1" t="s">
        <v>910</v>
      </c>
      <c r="D2562" s="1" t="s">
        <v>911</v>
      </c>
      <c r="E2562" s="1" t="n">
        <v>20171</v>
      </c>
      <c r="F2562" s="1" t="s">
        <v>208</v>
      </c>
      <c r="G2562" s="1" t="s">
        <v>18</v>
      </c>
      <c r="H2562" s="1" t="n">
        <v>3</v>
      </c>
      <c r="I2562" s="1" t="n">
        <v>0</v>
      </c>
      <c r="J2562" s="1" t="n">
        <v>20201</v>
      </c>
      <c r="L2562" s="1" t="str">
        <f aca="false">IF(D2561&lt;&gt;D2562,D2562,"")</f>
        <v/>
      </c>
      <c r="M2562" s="1" t="str">
        <f aca="false">IF(F2561&lt;&gt;F2562,F2562,"")</f>
        <v/>
      </c>
    </row>
    <row r="2563" customFormat="false" ht="15" hidden="false" customHeight="false" outlineLevel="0" collapsed="false">
      <c r="A2563" s="1" t="s">
        <v>200</v>
      </c>
      <c r="B2563" s="1" t="s">
        <v>201</v>
      </c>
      <c r="C2563" s="1" t="s">
        <v>910</v>
      </c>
      <c r="D2563" s="1" t="s">
        <v>911</v>
      </c>
      <c r="E2563" s="1" t="n">
        <v>20171</v>
      </c>
      <c r="F2563" s="1" t="s">
        <v>208</v>
      </c>
      <c r="G2563" s="1" t="s">
        <v>23</v>
      </c>
      <c r="H2563" s="1" t="n">
        <v>0</v>
      </c>
      <c r="I2563" s="1" t="n">
        <v>0</v>
      </c>
      <c r="J2563" s="1" t="n">
        <v>20201</v>
      </c>
      <c r="L2563" s="1" t="str">
        <f aca="false">IF(D2562&lt;&gt;D2563,D2563,"")</f>
        <v/>
      </c>
      <c r="M2563" s="1" t="str">
        <f aca="false">IF(F2562&lt;&gt;F2563,F2563,"")</f>
        <v/>
      </c>
    </row>
    <row r="2564" customFormat="false" ht="15" hidden="false" customHeight="false" outlineLevel="0" collapsed="false">
      <c r="A2564" s="1" t="s">
        <v>635</v>
      </c>
      <c r="B2564" s="1" t="s">
        <v>636</v>
      </c>
      <c r="C2564" s="1" t="s">
        <v>916</v>
      </c>
      <c r="D2564" s="1" t="s">
        <v>917</v>
      </c>
      <c r="E2564" s="1" t="n">
        <v>20171</v>
      </c>
      <c r="F2564" s="1" t="s">
        <v>208</v>
      </c>
      <c r="G2564" s="1" t="s">
        <v>124</v>
      </c>
      <c r="H2564" s="1" t="n">
        <v>0</v>
      </c>
      <c r="I2564" s="1" t="n">
        <v>0</v>
      </c>
      <c r="J2564" s="1" t="n">
        <v>20201</v>
      </c>
      <c r="L2564" s="1" t="str">
        <f aca="false">IF(D2563&lt;&gt;D2564,D2564,"")</f>
        <v>PRAKTIKUM RANGKAIAN LOGIKA</v>
      </c>
      <c r="M2564" s="1" t="str">
        <f aca="false">IF(F2563&lt;&gt;F2564,F2564,"")</f>
        <v/>
      </c>
    </row>
    <row r="2565" customFormat="false" ht="15" hidden="false" customHeight="false" outlineLevel="0" collapsed="false">
      <c r="A2565" s="1" t="s">
        <v>669</v>
      </c>
      <c r="B2565" s="1" t="s">
        <v>670</v>
      </c>
      <c r="C2565" s="1" t="s">
        <v>916</v>
      </c>
      <c r="D2565" s="1" t="s">
        <v>917</v>
      </c>
      <c r="E2565" s="1" t="n">
        <v>20171</v>
      </c>
      <c r="F2565" s="1" t="s">
        <v>208</v>
      </c>
      <c r="G2565" s="1" t="s">
        <v>18</v>
      </c>
      <c r="H2565" s="1" t="n">
        <v>3</v>
      </c>
      <c r="I2565" s="1" t="n">
        <v>0</v>
      </c>
      <c r="J2565" s="1" t="n">
        <v>20201</v>
      </c>
      <c r="L2565" s="1" t="str">
        <f aca="false">IF(D2564&lt;&gt;D2565,D2565,"")</f>
        <v/>
      </c>
      <c r="M2565" s="1" t="str">
        <f aca="false">IF(F2564&lt;&gt;F2565,F2565,"")</f>
        <v/>
      </c>
    </row>
    <row r="2566" customFormat="false" ht="15" hidden="false" customHeight="false" outlineLevel="0" collapsed="false">
      <c r="A2566" s="1" t="s">
        <v>794</v>
      </c>
      <c r="B2566" s="1" t="s">
        <v>795</v>
      </c>
      <c r="C2566" s="1" t="s">
        <v>916</v>
      </c>
      <c r="D2566" s="1" t="s">
        <v>917</v>
      </c>
      <c r="E2566" s="1" t="n">
        <v>20171</v>
      </c>
      <c r="F2566" s="1" t="s">
        <v>208</v>
      </c>
      <c r="G2566" s="1" t="s">
        <v>101</v>
      </c>
      <c r="H2566" s="1" t="n">
        <v>2.5</v>
      </c>
      <c r="I2566" s="1" t="n">
        <v>0</v>
      </c>
      <c r="J2566" s="1" t="n">
        <v>20201</v>
      </c>
      <c r="L2566" s="1" t="str">
        <f aca="false">IF(D2565&lt;&gt;D2566,D2566,"")</f>
        <v/>
      </c>
      <c r="M2566" s="1" t="str">
        <f aca="false">IF(F2565&lt;&gt;F2566,F2566,"")</f>
        <v/>
      </c>
    </row>
    <row r="2567" customFormat="false" ht="15" hidden="false" customHeight="false" outlineLevel="0" collapsed="false">
      <c r="A2567" s="1" t="s">
        <v>673</v>
      </c>
      <c r="B2567" s="1" t="s">
        <v>674</v>
      </c>
      <c r="C2567" s="1" t="s">
        <v>916</v>
      </c>
      <c r="D2567" s="1" t="s">
        <v>917</v>
      </c>
      <c r="E2567" s="1" t="n">
        <v>20171</v>
      </c>
      <c r="F2567" s="1" t="s">
        <v>208</v>
      </c>
      <c r="G2567" s="1" t="s">
        <v>18</v>
      </c>
      <c r="H2567" s="1" t="n">
        <v>3</v>
      </c>
      <c r="I2567" s="1" t="n">
        <v>0</v>
      </c>
      <c r="J2567" s="1" t="n">
        <v>20201</v>
      </c>
      <c r="L2567" s="1" t="str">
        <f aca="false">IF(D2566&lt;&gt;D2567,D2567,"")</f>
        <v/>
      </c>
      <c r="M2567" s="1" t="str">
        <f aca="false">IF(F2566&lt;&gt;F2567,F2567,"")</f>
        <v/>
      </c>
    </row>
    <row r="2568" customFormat="false" ht="15" hidden="false" customHeight="false" outlineLevel="0" collapsed="false">
      <c r="A2568" s="1" t="s">
        <v>527</v>
      </c>
      <c r="B2568" s="1" t="s">
        <v>528</v>
      </c>
      <c r="C2568" s="1" t="s">
        <v>916</v>
      </c>
      <c r="D2568" s="1" t="s">
        <v>917</v>
      </c>
      <c r="E2568" s="1" t="n">
        <v>20171</v>
      </c>
      <c r="F2568" s="1" t="s">
        <v>208</v>
      </c>
      <c r="G2568" s="1" t="s">
        <v>18</v>
      </c>
      <c r="H2568" s="1" t="n">
        <v>3</v>
      </c>
      <c r="I2568" s="1" t="n">
        <v>0</v>
      </c>
      <c r="J2568" s="1" t="n">
        <v>20201</v>
      </c>
      <c r="L2568" s="1" t="str">
        <f aca="false">IF(D2567&lt;&gt;D2568,D2568,"")</f>
        <v/>
      </c>
      <c r="M2568" s="1" t="str">
        <f aca="false">IF(F2567&lt;&gt;F2568,F2568,"")</f>
        <v/>
      </c>
    </row>
    <row r="2569" customFormat="false" ht="15" hidden="false" customHeight="false" outlineLevel="0" collapsed="false">
      <c r="A2569" s="1" t="s">
        <v>687</v>
      </c>
      <c r="B2569" s="1" t="s">
        <v>688</v>
      </c>
      <c r="C2569" s="1" t="s">
        <v>916</v>
      </c>
      <c r="D2569" s="1" t="s">
        <v>917</v>
      </c>
      <c r="E2569" s="1" t="n">
        <v>20171</v>
      </c>
      <c r="F2569" s="1" t="s">
        <v>208</v>
      </c>
      <c r="G2569" s="1" t="s">
        <v>18</v>
      </c>
      <c r="H2569" s="1" t="n">
        <v>3</v>
      </c>
      <c r="I2569" s="1" t="n">
        <v>0</v>
      </c>
      <c r="J2569" s="1" t="n">
        <v>20201</v>
      </c>
      <c r="L2569" s="1" t="str">
        <f aca="false">IF(D2568&lt;&gt;D2569,D2569,"")</f>
        <v/>
      </c>
      <c r="M2569" s="1" t="str">
        <f aca="false">IF(F2568&lt;&gt;F2569,F2569,"")</f>
        <v/>
      </c>
    </row>
    <row r="2570" customFormat="false" ht="15" hidden="false" customHeight="false" outlineLevel="0" collapsed="false">
      <c r="A2570" s="1" t="s">
        <v>541</v>
      </c>
      <c r="B2570" s="1" t="s">
        <v>542</v>
      </c>
      <c r="C2570" s="1" t="s">
        <v>916</v>
      </c>
      <c r="D2570" s="1" t="s">
        <v>917</v>
      </c>
      <c r="E2570" s="1" t="n">
        <v>20171</v>
      </c>
      <c r="F2570" s="1" t="s">
        <v>208</v>
      </c>
      <c r="G2570" s="1" t="s">
        <v>18</v>
      </c>
      <c r="H2570" s="1" t="n">
        <v>3</v>
      </c>
      <c r="I2570" s="1" t="n">
        <v>0</v>
      </c>
      <c r="J2570" s="1" t="n">
        <v>20201</v>
      </c>
      <c r="L2570" s="1" t="str">
        <f aca="false">IF(D2569&lt;&gt;D2570,D2570,"")</f>
        <v/>
      </c>
      <c r="M2570" s="1" t="str">
        <f aca="false">IF(F2569&lt;&gt;F2570,F2570,"")</f>
        <v/>
      </c>
    </row>
    <row r="2571" customFormat="false" ht="15" hidden="false" customHeight="false" outlineLevel="0" collapsed="false">
      <c r="A2571" s="1" t="s">
        <v>285</v>
      </c>
      <c r="B2571" s="1" t="s">
        <v>286</v>
      </c>
      <c r="C2571" s="1" t="s">
        <v>916</v>
      </c>
      <c r="D2571" s="1" t="s">
        <v>917</v>
      </c>
      <c r="E2571" s="1" t="n">
        <v>20171</v>
      </c>
      <c r="F2571" s="1" t="s">
        <v>208</v>
      </c>
      <c r="G2571" s="1" t="s">
        <v>101</v>
      </c>
      <c r="H2571" s="1" t="n">
        <v>2.5</v>
      </c>
      <c r="I2571" s="1" t="n">
        <v>0</v>
      </c>
      <c r="J2571" s="1" t="n">
        <v>20201</v>
      </c>
      <c r="L2571" s="1" t="str">
        <f aca="false">IF(D2570&lt;&gt;D2571,D2571,"")</f>
        <v/>
      </c>
      <c r="M2571" s="1" t="str">
        <f aca="false">IF(F2570&lt;&gt;F2571,F2571,"")</f>
        <v/>
      </c>
    </row>
    <row r="2572" customFormat="false" ht="15" hidden="false" customHeight="false" outlineLevel="0" collapsed="false">
      <c r="A2572" s="1" t="s">
        <v>24</v>
      </c>
      <c r="B2572" s="1" t="s">
        <v>25</v>
      </c>
      <c r="C2572" s="1" t="s">
        <v>916</v>
      </c>
      <c r="D2572" s="1" t="s">
        <v>917</v>
      </c>
      <c r="E2572" s="1" t="n">
        <v>20171</v>
      </c>
      <c r="F2572" s="1" t="s">
        <v>208</v>
      </c>
      <c r="G2572" s="1" t="s">
        <v>18</v>
      </c>
      <c r="H2572" s="1" t="n">
        <v>3</v>
      </c>
      <c r="I2572" s="1" t="n">
        <v>0</v>
      </c>
      <c r="J2572" s="1" t="n">
        <v>20201</v>
      </c>
      <c r="L2572" s="1" t="str">
        <f aca="false">IF(D2571&lt;&gt;D2572,D2572,"")</f>
        <v/>
      </c>
      <c r="M2572" s="1" t="str">
        <f aca="false">IF(F2571&lt;&gt;F2572,F2572,"")</f>
        <v/>
      </c>
    </row>
    <row r="2573" customFormat="false" ht="15" hidden="false" customHeight="false" outlineLevel="0" collapsed="false">
      <c r="A2573" s="1" t="s">
        <v>116</v>
      </c>
      <c r="B2573" s="1" t="s">
        <v>117</v>
      </c>
      <c r="C2573" s="1" t="s">
        <v>916</v>
      </c>
      <c r="D2573" s="1" t="s">
        <v>917</v>
      </c>
      <c r="E2573" s="1" t="n">
        <v>20171</v>
      </c>
      <c r="F2573" s="1" t="s">
        <v>208</v>
      </c>
      <c r="G2573" s="1" t="s">
        <v>124</v>
      </c>
      <c r="H2573" s="1" t="n">
        <v>0</v>
      </c>
      <c r="I2573" s="1" t="n">
        <v>0</v>
      </c>
      <c r="J2573" s="1" t="n">
        <v>20201</v>
      </c>
      <c r="L2573" s="1" t="str">
        <f aca="false">IF(D2572&lt;&gt;D2573,D2573,"")</f>
        <v/>
      </c>
      <c r="M2573" s="1" t="str">
        <f aca="false">IF(F2572&lt;&gt;F2573,F2573,"")</f>
        <v/>
      </c>
    </row>
    <row r="2574" customFormat="false" ht="15" hidden="false" customHeight="false" outlineLevel="0" collapsed="false">
      <c r="A2574" s="1" t="s">
        <v>26</v>
      </c>
      <c r="B2574" s="1" t="s">
        <v>27</v>
      </c>
      <c r="C2574" s="1" t="s">
        <v>916</v>
      </c>
      <c r="D2574" s="1" t="s">
        <v>917</v>
      </c>
      <c r="E2574" s="1" t="n">
        <v>20171</v>
      </c>
      <c r="F2574" s="1" t="s">
        <v>208</v>
      </c>
      <c r="G2574" s="1" t="s">
        <v>101</v>
      </c>
      <c r="H2574" s="1" t="n">
        <v>2.5</v>
      </c>
      <c r="I2574" s="1" t="n">
        <v>0</v>
      </c>
      <c r="J2574" s="1" t="n">
        <v>20201</v>
      </c>
      <c r="L2574" s="1" t="str">
        <f aca="false">IF(D2573&lt;&gt;D2574,D2574,"")</f>
        <v/>
      </c>
      <c r="M2574" s="1" t="str">
        <f aca="false">IF(F2573&lt;&gt;F2574,F2574,"")</f>
        <v/>
      </c>
    </row>
    <row r="2575" customFormat="false" ht="15" hidden="false" customHeight="false" outlineLevel="0" collapsed="false">
      <c r="A2575" s="1" t="s">
        <v>118</v>
      </c>
      <c r="B2575" s="1" t="s">
        <v>119</v>
      </c>
      <c r="C2575" s="1" t="s">
        <v>916</v>
      </c>
      <c r="D2575" s="1" t="s">
        <v>917</v>
      </c>
      <c r="E2575" s="1" t="n">
        <v>20171</v>
      </c>
      <c r="F2575" s="1" t="s">
        <v>208</v>
      </c>
      <c r="G2575" s="1" t="s">
        <v>18</v>
      </c>
      <c r="H2575" s="1" t="n">
        <v>3</v>
      </c>
      <c r="I2575" s="1" t="n">
        <v>0</v>
      </c>
      <c r="J2575" s="1" t="n">
        <v>20201</v>
      </c>
      <c r="L2575" s="1" t="str">
        <f aca="false">IF(D2574&lt;&gt;D2575,D2575,"")</f>
        <v/>
      </c>
      <c r="M2575" s="1" t="str">
        <f aca="false">IF(F2574&lt;&gt;F2575,F2575,"")</f>
        <v/>
      </c>
    </row>
    <row r="2576" customFormat="false" ht="15" hidden="false" customHeight="false" outlineLevel="0" collapsed="false">
      <c r="A2576" s="1" t="s">
        <v>28</v>
      </c>
      <c r="B2576" s="1" t="s">
        <v>29</v>
      </c>
      <c r="C2576" s="1" t="s">
        <v>916</v>
      </c>
      <c r="D2576" s="1" t="s">
        <v>917</v>
      </c>
      <c r="E2576" s="1" t="n">
        <v>20171</v>
      </c>
      <c r="F2576" s="1" t="s">
        <v>208</v>
      </c>
      <c r="G2576" s="1" t="s">
        <v>124</v>
      </c>
      <c r="H2576" s="1" t="n">
        <v>0</v>
      </c>
      <c r="I2576" s="1" t="n">
        <v>0</v>
      </c>
      <c r="J2576" s="1" t="n">
        <v>20201</v>
      </c>
      <c r="L2576" s="1" t="str">
        <f aca="false">IF(D2575&lt;&gt;D2576,D2576,"")</f>
        <v/>
      </c>
      <c r="M2576" s="1" t="str">
        <f aca="false">IF(F2575&lt;&gt;F2576,F2576,"")</f>
        <v/>
      </c>
    </row>
    <row r="2577" customFormat="false" ht="15" hidden="false" customHeight="false" outlineLevel="0" collapsed="false">
      <c r="A2577" s="1" t="s">
        <v>120</v>
      </c>
      <c r="B2577" s="1" t="s">
        <v>121</v>
      </c>
      <c r="C2577" s="1" t="s">
        <v>916</v>
      </c>
      <c r="D2577" s="1" t="s">
        <v>917</v>
      </c>
      <c r="E2577" s="1" t="n">
        <v>20171</v>
      </c>
      <c r="F2577" s="1" t="s">
        <v>208</v>
      </c>
      <c r="G2577" s="1" t="s">
        <v>101</v>
      </c>
      <c r="H2577" s="1" t="n">
        <v>2.5</v>
      </c>
      <c r="I2577" s="1" t="n">
        <v>0</v>
      </c>
      <c r="J2577" s="1" t="n">
        <v>20201</v>
      </c>
      <c r="L2577" s="1" t="str">
        <f aca="false">IF(D2576&lt;&gt;D2577,D2577,"")</f>
        <v/>
      </c>
      <c r="M2577" s="1" t="str">
        <f aca="false">IF(F2576&lt;&gt;F2577,F2577,"")</f>
        <v/>
      </c>
    </row>
    <row r="2578" customFormat="false" ht="15" hidden="false" customHeight="false" outlineLevel="0" collapsed="false">
      <c r="A2578" s="1" t="s">
        <v>31</v>
      </c>
      <c r="B2578" s="1" t="s">
        <v>32</v>
      </c>
      <c r="C2578" s="1" t="s">
        <v>916</v>
      </c>
      <c r="D2578" s="1" t="s">
        <v>917</v>
      </c>
      <c r="E2578" s="1" t="n">
        <v>20171</v>
      </c>
      <c r="F2578" s="1" t="s">
        <v>208</v>
      </c>
      <c r="G2578" s="1" t="s">
        <v>18</v>
      </c>
      <c r="H2578" s="1" t="n">
        <v>3</v>
      </c>
      <c r="I2578" s="1" t="n">
        <v>0</v>
      </c>
      <c r="J2578" s="1" t="n">
        <v>20201</v>
      </c>
      <c r="L2578" s="1" t="str">
        <f aca="false">IF(D2577&lt;&gt;D2578,D2578,"")</f>
        <v/>
      </c>
      <c r="M2578" s="1" t="str">
        <f aca="false">IF(F2577&lt;&gt;F2578,F2578,"")</f>
        <v/>
      </c>
    </row>
    <row r="2579" customFormat="false" ht="15" hidden="false" customHeight="false" outlineLevel="0" collapsed="false">
      <c r="A2579" s="1" t="s">
        <v>122</v>
      </c>
      <c r="B2579" s="1" t="s">
        <v>123</v>
      </c>
      <c r="C2579" s="1" t="s">
        <v>916</v>
      </c>
      <c r="D2579" s="1" t="s">
        <v>917</v>
      </c>
      <c r="E2579" s="1" t="n">
        <v>20171</v>
      </c>
      <c r="F2579" s="1" t="s">
        <v>208</v>
      </c>
      <c r="G2579" s="1" t="s">
        <v>124</v>
      </c>
      <c r="H2579" s="1" t="n">
        <v>0</v>
      </c>
      <c r="I2579" s="1" t="n">
        <v>0</v>
      </c>
      <c r="J2579" s="1" t="n">
        <v>20201</v>
      </c>
      <c r="L2579" s="1" t="str">
        <f aca="false">IF(D2578&lt;&gt;D2579,D2579,"")</f>
        <v/>
      </c>
      <c r="M2579" s="1" t="str">
        <f aca="false">IF(F2578&lt;&gt;F2579,F2579,"")</f>
        <v/>
      </c>
    </row>
    <row r="2580" customFormat="false" ht="15" hidden="false" customHeight="false" outlineLevel="0" collapsed="false">
      <c r="A2580" s="1" t="s">
        <v>125</v>
      </c>
      <c r="B2580" s="1" t="s">
        <v>126</v>
      </c>
      <c r="C2580" s="1" t="s">
        <v>916</v>
      </c>
      <c r="D2580" s="1" t="s">
        <v>917</v>
      </c>
      <c r="E2580" s="1" t="n">
        <v>20171</v>
      </c>
      <c r="F2580" s="1" t="s">
        <v>208</v>
      </c>
      <c r="G2580" s="1" t="s">
        <v>23</v>
      </c>
      <c r="H2580" s="1" t="n">
        <v>0</v>
      </c>
      <c r="I2580" s="1" t="n">
        <v>0</v>
      </c>
      <c r="J2580" s="1" t="n">
        <v>20201</v>
      </c>
      <c r="L2580" s="1" t="str">
        <f aca="false">IF(D2579&lt;&gt;D2580,D2580,"")</f>
        <v/>
      </c>
      <c r="M2580" s="1" t="str">
        <f aca="false">IF(F2579&lt;&gt;F2580,F2580,"")</f>
        <v/>
      </c>
    </row>
    <row r="2581" customFormat="false" ht="15" hidden="false" customHeight="false" outlineLevel="0" collapsed="false">
      <c r="A2581" s="1" t="s">
        <v>35</v>
      </c>
      <c r="B2581" s="1" t="s">
        <v>36</v>
      </c>
      <c r="C2581" s="1" t="s">
        <v>916</v>
      </c>
      <c r="D2581" s="1" t="s">
        <v>917</v>
      </c>
      <c r="E2581" s="1" t="n">
        <v>20171</v>
      </c>
      <c r="F2581" s="1" t="s">
        <v>208</v>
      </c>
      <c r="G2581" s="1" t="s">
        <v>18</v>
      </c>
      <c r="H2581" s="1" t="n">
        <v>3</v>
      </c>
      <c r="I2581" s="1" t="n">
        <v>0</v>
      </c>
      <c r="J2581" s="1" t="n">
        <v>20201</v>
      </c>
      <c r="L2581" s="1" t="str">
        <f aca="false">IF(D2580&lt;&gt;D2581,D2581,"")</f>
        <v/>
      </c>
      <c r="M2581" s="1" t="str">
        <f aca="false">IF(F2580&lt;&gt;F2581,F2581,"")</f>
        <v/>
      </c>
    </row>
    <row r="2582" customFormat="false" ht="15" hidden="false" customHeight="false" outlineLevel="0" collapsed="false">
      <c r="A2582" s="1" t="s">
        <v>128</v>
      </c>
      <c r="B2582" s="1" t="s">
        <v>129</v>
      </c>
      <c r="C2582" s="1" t="s">
        <v>916</v>
      </c>
      <c r="D2582" s="1" t="s">
        <v>917</v>
      </c>
      <c r="E2582" s="1" t="n">
        <v>20171</v>
      </c>
      <c r="F2582" s="1" t="s">
        <v>208</v>
      </c>
      <c r="G2582" s="1" t="s">
        <v>18</v>
      </c>
      <c r="H2582" s="1" t="n">
        <v>3</v>
      </c>
      <c r="I2582" s="1" t="n">
        <v>0</v>
      </c>
      <c r="J2582" s="1" t="n">
        <v>20201</v>
      </c>
      <c r="L2582" s="1" t="str">
        <f aca="false">IF(D2581&lt;&gt;D2582,D2582,"")</f>
        <v/>
      </c>
      <c r="M2582" s="1" t="str">
        <f aca="false">IF(F2581&lt;&gt;F2582,F2582,"")</f>
        <v/>
      </c>
    </row>
    <row r="2583" customFormat="false" ht="15" hidden="false" customHeight="false" outlineLevel="0" collapsed="false">
      <c r="A2583" s="1" t="s">
        <v>37</v>
      </c>
      <c r="B2583" s="1" t="s">
        <v>38</v>
      </c>
      <c r="C2583" s="1" t="s">
        <v>916</v>
      </c>
      <c r="D2583" s="1" t="s">
        <v>917</v>
      </c>
      <c r="E2583" s="1" t="n">
        <v>20171</v>
      </c>
      <c r="F2583" s="1" t="s">
        <v>208</v>
      </c>
      <c r="G2583" s="1" t="s">
        <v>15</v>
      </c>
      <c r="H2583" s="1" t="n">
        <v>3.5</v>
      </c>
      <c r="I2583" s="1" t="n">
        <v>0</v>
      </c>
      <c r="J2583" s="1" t="n">
        <v>20201</v>
      </c>
      <c r="L2583" s="1" t="str">
        <f aca="false">IF(D2582&lt;&gt;D2583,D2583,"")</f>
        <v/>
      </c>
      <c r="M2583" s="1" t="str">
        <f aca="false">IF(F2582&lt;&gt;F2583,F2583,"")</f>
        <v/>
      </c>
    </row>
    <row r="2584" customFormat="false" ht="15" hidden="false" customHeight="false" outlineLevel="0" collapsed="false">
      <c r="A2584" s="1" t="s">
        <v>579</v>
      </c>
      <c r="B2584" s="1" t="s">
        <v>580</v>
      </c>
      <c r="C2584" s="1" t="s">
        <v>916</v>
      </c>
      <c r="D2584" s="1" t="s">
        <v>917</v>
      </c>
      <c r="E2584" s="1" t="n">
        <v>20171</v>
      </c>
      <c r="F2584" s="1" t="s">
        <v>208</v>
      </c>
      <c r="G2584" s="1" t="s">
        <v>18</v>
      </c>
      <c r="H2584" s="1" t="n">
        <v>3</v>
      </c>
      <c r="I2584" s="1" t="n">
        <v>0</v>
      </c>
      <c r="J2584" s="1" t="n">
        <v>20201</v>
      </c>
      <c r="L2584" s="1" t="str">
        <f aca="false">IF(D2583&lt;&gt;D2584,D2584,"")</f>
        <v/>
      </c>
      <c r="M2584" s="1" t="str">
        <f aca="false">IF(F2583&lt;&gt;F2584,F2584,"")</f>
        <v/>
      </c>
    </row>
    <row r="2585" customFormat="false" ht="15" hidden="false" customHeight="false" outlineLevel="0" collapsed="false">
      <c r="A2585" s="1" t="s">
        <v>39</v>
      </c>
      <c r="B2585" s="1" t="s">
        <v>40</v>
      </c>
      <c r="C2585" s="1" t="s">
        <v>916</v>
      </c>
      <c r="D2585" s="1" t="s">
        <v>917</v>
      </c>
      <c r="E2585" s="1" t="n">
        <v>20171</v>
      </c>
      <c r="F2585" s="1" t="s">
        <v>208</v>
      </c>
      <c r="G2585" s="1" t="s">
        <v>101</v>
      </c>
      <c r="H2585" s="1" t="n">
        <v>2.5</v>
      </c>
      <c r="I2585" s="1" t="n">
        <v>0</v>
      </c>
      <c r="J2585" s="1" t="n">
        <v>20201</v>
      </c>
      <c r="L2585" s="1" t="str">
        <f aca="false">IF(D2584&lt;&gt;D2585,D2585,"")</f>
        <v/>
      </c>
      <c r="M2585" s="1" t="str">
        <f aca="false">IF(F2584&lt;&gt;F2585,F2585,"")</f>
        <v/>
      </c>
    </row>
    <row r="2586" customFormat="false" ht="15" hidden="false" customHeight="false" outlineLevel="0" collapsed="false">
      <c r="A2586" s="1" t="s">
        <v>130</v>
      </c>
      <c r="B2586" s="1" t="s">
        <v>131</v>
      </c>
      <c r="C2586" s="1" t="s">
        <v>916</v>
      </c>
      <c r="D2586" s="1" t="s">
        <v>917</v>
      </c>
      <c r="E2586" s="1" t="n">
        <v>20171</v>
      </c>
      <c r="F2586" s="1" t="s">
        <v>208</v>
      </c>
      <c r="G2586" s="1" t="s">
        <v>18</v>
      </c>
      <c r="H2586" s="1" t="n">
        <v>3</v>
      </c>
      <c r="I2586" s="1" t="n">
        <v>0</v>
      </c>
      <c r="J2586" s="1" t="n">
        <v>20201</v>
      </c>
      <c r="L2586" s="1" t="str">
        <f aca="false">IF(D2585&lt;&gt;D2586,D2586,"")</f>
        <v/>
      </c>
      <c r="M2586" s="1" t="str">
        <f aca="false">IF(F2585&lt;&gt;F2586,F2586,"")</f>
        <v/>
      </c>
    </row>
    <row r="2587" customFormat="false" ht="15" hidden="false" customHeight="false" outlineLevel="0" collapsed="false">
      <c r="A2587" s="1" t="s">
        <v>132</v>
      </c>
      <c r="B2587" s="1" t="s">
        <v>133</v>
      </c>
      <c r="C2587" s="1" t="s">
        <v>916</v>
      </c>
      <c r="D2587" s="1" t="s">
        <v>917</v>
      </c>
      <c r="E2587" s="1" t="n">
        <v>20171</v>
      </c>
      <c r="F2587" s="1" t="s">
        <v>208</v>
      </c>
      <c r="G2587" s="1" t="s">
        <v>18</v>
      </c>
      <c r="H2587" s="1" t="n">
        <v>3</v>
      </c>
      <c r="I2587" s="1" t="n">
        <v>0</v>
      </c>
      <c r="J2587" s="1" t="n">
        <v>20201</v>
      </c>
      <c r="L2587" s="1" t="str">
        <f aca="false">IF(D2586&lt;&gt;D2587,D2587,"")</f>
        <v/>
      </c>
      <c r="M2587" s="1" t="str">
        <f aca="false">IF(F2586&lt;&gt;F2587,F2587,"")</f>
        <v/>
      </c>
    </row>
    <row r="2588" customFormat="false" ht="15" hidden="false" customHeight="false" outlineLevel="0" collapsed="false">
      <c r="A2588" s="1" t="s">
        <v>41</v>
      </c>
      <c r="B2588" s="1" t="s">
        <v>42</v>
      </c>
      <c r="C2588" s="1" t="s">
        <v>916</v>
      </c>
      <c r="D2588" s="1" t="s">
        <v>917</v>
      </c>
      <c r="E2588" s="1" t="n">
        <v>20171</v>
      </c>
      <c r="F2588" s="1" t="s">
        <v>208</v>
      </c>
      <c r="G2588" s="1" t="s">
        <v>18</v>
      </c>
      <c r="H2588" s="1" t="n">
        <v>3</v>
      </c>
      <c r="I2588" s="1" t="n">
        <v>0</v>
      </c>
      <c r="J2588" s="1" t="n">
        <v>20201</v>
      </c>
      <c r="L2588" s="1" t="str">
        <f aca="false">IF(D2587&lt;&gt;D2588,D2588,"")</f>
        <v/>
      </c>
      <c r="M2588" s="1" t="str">
        <f aca="false">IF(F2587&lt;&gt;F2588,F2588,"")</f>
        <v/>
      </c>
    </row>
    <row r="2589" customFormat="false" ht="15" hidden="false" customHeight="false" outlineLevel="0" collapsed="false">
      <c r="A2589" s="1" t="s">
        <v>134</v>
      </c>
      <c r="B2589" s="1" t="s">
        <v>135</v>
      </c>
      <c r="C2589" s="1" t="s">
        <v>916</v>
      </c>
      <c r="D2589" s="1" t="s">
        <v>917</v>
      </c>
      <c r="E2589" s="1" t="n">
        <v>20171</v>
      </c>
      <c r="F2589" s="1" t="s">
        <v>208</v>
      </c>
      <c r="G2589" s="1" t="s">
        <v>124</v>
      </c>
      <c r="H2589" s="1" t="n">
        <v>0</v>
      </c>
      <c r="I2589" s="1" t="n">
        <v>0</v>
      </c>
      <c r="J2589" s="1" t="n">
        <v>20201</v>
      </c>
      <c r="L2589" s="1" t="str">
        <f aca="false">IF(D2588&lt;&gt;D2589,D2589,"")</f>
        <v/>
      </c>
      <c r="M2589" s="1" t="str">
        <f aca="false">IF(F2588&lt;&gt;F2589,F2589,"")</f>
        <v/>
      </c>
    </row>
    <row r="2590" customFormat="false" ht="15" hidden="false" customHeight="false" outlineLevel="0" collapsed="false">
      <c r="A2590" s="1" t="s">
        <v>43</v>
      </c>
      <c r="B2590" s="1" t="s">
        <v>44</v>
      </c>
      <c r="C2590" s="1" t="s">
        <v>916</v>
      </c>
      <c r="D2590" s="1" t="s">
        <v>917</v>
      </c>
      <c r="E2590" s="1" t="n">
        <v>20171</v>
      </c>
      <c r="F2590" s="1" t="s">
        <v>208</v>
      </c>
      <c r="G2590" s="1" t="s">
        <v>18</v>
      </c>
      <c r="H2590" s="1" t="n">
        <v>3</v>
      </c>
      <c r="I2590" s="1" t="n">
        <v>0</v>
      </c>
      <c r="J2590" s="1" t="n">
        <v>20201</v>
      </c>
      <c r="L2590" s="1" t="str">
        <f aca="false">IF(D2589&lt;&gt;D2590,D2590,"")</f>
        <v/>
      </c>
      <c r="M2590" s="1" t="str">
        <f aca="false">IF(F2589&lt;&gt;F2590,F2590,"")</f>
        <v/>
      </c>
    </row>
    <row r="2591" customFormat="false" ht="15" hidden="false" customHeight="false" outlineLevel="0" collapsed="false">
      <c r="A2591" s="1" t="s">
        <v>136</v>
      </c>
      <c r="B2591" s="1" t="s">
        <v>137</v>
      </c>
      <c r="C2591" s="1" t="s">
        <v>916</v>
      </c>
      <c r="D2591" s="1" t="s">
        <v>917</v>
      </c>
      <c r="E2591" s="1" t="n">
        <v>20171</v>
      </c>
      <c r="F2591" s="1" t="s">
        <v>208</v>
      </c>
      <c r="G2591" s="1" t="s">
        <v>124</v>
      </c>
      <c r="H2591" s="1" t="n">
        <v>0</v>
      </c>
      <c r="I2591" s="1" t="n">
        <v>0</v>
      </c>
      <c r="J2591" s="1" t="n">
        <v>20201</v>
      </c>
      <c r="L2591" s="1" t="str">
        <f aca="false">IF(D2590&lt;&gt;D2591,D2591,"")</f>
        <v/>
      </c>
      <c r="M2591" s="1" t="str">
        <f aca="false">IF(F2590&lt;&gt;F2591,F2591,"")</f>
        <v/>
      </c>
    </row>
    <row r="2592" customFormat="false" ht="15" hidden="false" customHeight="false" outlineLevel="0" collapsed="false">
      <c r="A2592" s="1" t="s">
        <v>609</v>
      </c>
      <c r="B2592" s="1" t="s">
        <v>610</v>
      </c>
      <c r="C2592" s="1" t="s">
        <v>916</v>
      </c>
      <c r="D2592" s="1" t="s">
        <v>917</v>
      </c>
      <c r="E2592" s="1" t="n">
        <v>20171</v>
      </c>
      <c r="F2592" s="1" t="s">
        <v>208</v>
      </c>
      <c r="G2592" s="1" t="s">
        <v>15</v>
      </c>
      <c r="H2592" s="1" t="n">
        <v>3.5</v>
      </c>
      <c r="I2592" s="1" t="n">
        <v>0</v>
      </c>
      <c r="J2592" s="1" t="n">
        <v>20201</v>
      </c>
      <c r="L2592" s="1" t="str">
        <f aca="false">IF(D2591&lt;&gt;D2592,D2592,"")</f>
        <v/>
      </c>
      <c r="M2592" s="1" t="str">
        <f aca="false">IF(F2591&lt;&gt;F2592,F2592,"")</f>
        <v/>
      </c>
    </row>
    <row r="2593" customFormat="false" ht="15" hidden="false" customHeight="false" outlineLevel="0" collapsed="false">
      <c r="A2593" s="1" t="s">
        <v>45</v>
      </c>
      <c r="B2593" s="1" t="s">
        <v>46</v>
      </c>
      <c r="C2593" s="1" t="s">
        <v>916</v>
      </c>
      <c r="D2593" s="1" t="s">
        <v>917</v>
      </c>
      <c r="E2593" s="1" t="n">
        <v>20171</v>
      </c>
      <c r="F2593" s="1" t="s">
        <v>208</v>
      </c>
      <c r="G2593" s="1" t="s">
        <v>18</v>
      </c>
      <c r="H2593" s="1" t="n">
        <v>3</v>
      </c>
      <c r="I2593" s="1" t="n">
        <v>0</v>
      </c>
      <c r="J2593" s="1" t="n">
        <v>20201</v>
      </c>
      <c r="L2593" s="1" t="str">
        <f aca="false">IF(D2592&lt;&gt;D2593,D2593,"")</f>
        <v/>
      </c>
      <c r="M2593" s="1" t="str">
        <f aca="false">IF(F2592&lt;&gt;F2593,F2593,"")</f>
        <v/>
      </c>
    </row>
    <row r="2594" customFormat="false" ht="15" hidden="false" customHeight="false" outlineLevel="0" collapsed="false">
      <c r="A2594" s="1" t="s">
        <v>140</v>
      </c>
      <c r="B2594" s="1" t="s">
        <v>141</v>
      </c>
      <c r="C2594" s="1" t="s">
        <v>916</v>
      </c>
      <c r="D2594" s="1" t="s">
        <v>917</v>
      </c>
      <c r="E2594" s="1" t="n">
        <v>20171</v>
      </c>
      <c r="F2594" s="1" t="s">
        <v>208</v>
      </c>
      <c r="G2594" s="1" t="s">
        <v>101</v>
      </c>
      <c r="H2594" s="1" t="n">
        <v>2.5</v>
      </c>
      <c r="I2594" s="1" t="n">
        <v>0</v>
      </c>
      <c r="J2594" s="1" t="n">
        <v>20201</v>
      </c>
      <c r="L2594" s="1" t="str">
        <f aca="false">IF(D2593&lt;&gt;D2594,D2594,"")</f>
        <v/>
      </c>
      <c r="M2594" s="1" t="str">
        <f aca="false">IF(F2593&lt;&gt;F2594,F2594,"")</f>
        <v/>
      </c>
    </row>
    <row r="2595" customFormat="false" ht="15" hidden="false" customHeight="false" outlineLevel="0" collapsed="false">
      <c r="A2595" s="1" t="s">
        <v>47</v>
      </c>
      <c r="B2595" s="1" t="s">
        <v>48</v>
      </c>
      <c r="C2595" s="1" t="s">
        <v>916</v>
      </c>
      <c r="D2595" s="1" t="s">
        <v>917</v>
      </c>
      <c r="E2595" s="1" t="n">
        <v>20171</v>
      </c>
      <c r="F2595" s="1" t="s">
        <v>208</v>
      </c>
      <c r="G2595" s="1" t="s">
        <v>23</v>
      </c>
      <c r="H2595" s="1" t="n">
        <v>0</v>
      </c>
      <c r="I2595" s="1" t="n">
        <v>0</v>
      </c>
      <c r="J2595" s="1" t="n">
        <v>20201</v>
      </c>
      <c r="L2595" s="1" t="str">
        <f aca="false">IF(D2594&lt;&gt;D2595,D2595,"")</f>
        <v/>
      </c>
      <c r="M2595" s="1" t="str">
        <f aca="false">IF(F2594&lt;&gt;F2595,F2595,"")</f>
        <v/>
      </c>
    </row>
    <row r="2596" customFormat="false" ht="15" hidden="false" customHeight="false" outlineLevel="0" collapsed="false">
      <c r="A2596" s="1" t="s">
        <v>142</v>
      </c>
      <c r="B2596" s="1" t="s">
        <v>143</v>
      </c>
      <c r="C2596" s="1" t="s">
        <v>916</v>
      </c>
      <c r="D2596" s="1" t="s">
        <v>917</v>
      </c>
      <c r="E2596" s="1" t="n">
        <v>20171</v>
      </c>
      <c r="F2596" s="1" t="s">
        <v>208</v>
      </c>
      <c r="G2596" s="1" t="s">
        <v>15</v>
      </c>
      <c r="H2596" s="1" t="n">
        <v>3.5</v>
      </c>
      <c r="I2596" s="1" t="n">
        <v>0</v>
      </c>
      <c r="J2596" s="1" t="n">
        <v>20201</v>
      </c>
      <c r="L2596" s="1" t="str">
        <f aca="false">IF(D2595&lt;&gt;D2596,D2596,"")</f>
        <v/>
      </c>
      <c r="M2596" s="1" t="str">
        <f aca="false">IF(F2595&lt;&gt;F2596,F2596,"")</f>
        <v/>
      </c>
    </row>
    <row r="2597" customFormat="false" ht="15" hidden="false" customHeight="false" outlineLevel="0" collapsed="false">
      <c r="A2597" s="1" t="s">
        <v>49</v>
      </c>
      <c r="B2597" s="1" t="s">
        <v>50</v>
      </c>
      <c r="C2597" s="1" t="s">
        <v>916</v>
      </c>
      <c r="D2597" s="1" t="s">
        <v>917</v>
      </c>
      <c r="E2597" s="1" t="n">
        <v>20171</v>
      </c>
      <c r="F2597" s="1" t="s">
        <v>208</v>
      </c>
      <c r="G2597" s="1" t="s">
        <v>124</v>
      </c>
      <c r="H2597" s="1" t="n">
        <v>0</v>
      </c>
      <c r="I2597" s="1" t="n">
        <v>0</v>
      </c>
      <c r="J2597" s="1" t="n">
        <v>20201</v>
      </c>
      <c r="L2597" s="1" t="str">
        <f aca="false">IF(D2596&lt;&gt;D2597,D2597,"")</f>
        <v/>
      </c>
      <c r="M2597" s="1" t="str">
        <f aca="false">IF(F2596&lt;&gt;F2597,F2597,"")</f>
        <v/>
      </c>
    </row>
    <row r="2598" customFormat="false" ht="15" hidden="false" customHeight="false" outlineLevel="0" collapsed="false">
      <c r="A2598" s="1" t="s">
        <v>144</v>
      </c>
      <c r="B2598" s="1" t="s">
        <v>145</v>
      </c>
      <c r="C2598" s="1" t="s">
        <v>916</v>
      </c>
      <c r="D2598" s="1" t="s">
        <v>917</v>
      </c>
      <c r="E2598" s="1" t="n">
        <v>20171</v>
      </c>
      <c r="F2598" s="1" t="s">
        <v>208</v>
      </c>
      <c r="G2598" s="1" t="s">
        <v>124</v>
      </c>
      <c r="H2598" s="1" t="n">
        <v>0</v>
      </c>
      <c r="I2598" s="1" t="n">
        <v>0</v>
      </c>
      <c r="J2598" s="1" t="n">
        <v>20201</v>
      </c>
      <c r="L2598" s="1" t="str">
        <f aca="false">IF(D2597&lt;&gt;D2598,D2598,"")</f>
        <v/>
      </c>
      <c r="M2598" s="1" t="str">
        <f aca="false">IF(F2597&lt;&gt;F2598,F2598,"")</f>
        <v/>
      </c>
    </row>
    <row r="2599" customFormat="false" ht="15" hidden="false" customHeight="false" outlineLevel="0" collapsed="false">
      <c r="A2599" s="1" t="s">
        <v>51</v>
      </c>
      <c r="B2599" s="1" t="s">
        <v>52</v>
      </c>
      <c r="C2599" s="1" t="s">
        <v>916</v>
      </c>
      <c r="D2599" s="1" t="s">
        <v>917</v>
      </c>
      <c r="E2599" s="1" t="n">
        <v>20171</v>
      </c>
      <c r="F2599" s="1" t="s">
        <v>208</v>
      </c>
      <c r="G2599" s="1" t="s">
        <v>18</v>
      </c>
      <c r="H2599" s="1" t="n">
        <v>3</v>
      </c>
      <c r="I2599" s="1" t="n">
        <v>0</v>
      </c>
      <c r="J2599" s="1" t="n">
        <v>20201</v>
      </c>
      <c r="L2599" s="1" t="str">
        <f aca="false">IF(D2598&lt;&gt;D2599,D2599,"")</f>
        <v/>
      </c>
      <c r="M2599" s="1" t="str">
        <f aca="false">IF(F2598&lt;&gt;F2599,F2599,"")</f>
        <v/>
      </c>
    </row>
    <row r="2600" customFormat="false" ht="15" hidden="false" customHeight="false" outlineLevel="0" collapsed="false">
      <c r="A2600" s="1" t="s">
        <v>146</v>
      </c>
      <c r="B2600" s="1" t="s">
        <v>147</v>
      </c>
      <c r="C2600" s="1" t="s">
        <v>916</v>
      </c>
      <c r="D2600" s="1" t="s">
        <v>917</v>
      </c>
      <c r="E2600" s="1" t="n">
        <v>20171</v>
      </c>
      <c r="F2600" s="1" t="s">
        <v>208</v>
      </c>
      <c r="G2600" s="1" t="s">
        <v>18</v>
      </c>
      <c r="H2600" s="1" t="n">
        <v>3</v>
      </c>
      <c r="I2600" s="1" t="n">
        <v>0</v>
      </c>
      <c r="J2600" s="1" t="n">
        <v>20201</v>
      </c>
      <c r="L2600" s="1" t="str">
        <f aca="false">IF(D2599&lt;&gt;D2600,D2600,"")</f>
        <v/>
      </c>
      <c r="M2600" s="1" t="str">
        <f aca="false">IF(F2599&lt;&gt;F2600,F2600,"")</f>
        <v/>
      </c>
    </row>
    <row r="2601" customFormat="false" ht="15" hidden="false" customHeight="false" outlineLevel="0" collapsed="false">
      <c r="A2601" s="1" t="s">
        <v>53</v>
      </c>
      <c r="B2601" s="1" t="s">
        <v>54</v>
      </c>
      <c r="C2601" s="1" t="s">
        <v>916</v>
      </c>
      <c r="D2601" s="1" t="s">
        <v>917</v>
      </c>
      <c r="E2601" s="1" t="n">
        <v>20171</v>
      </c>
      <c r="F2601" s="1" t="s">
        <v>208</v>
      </c>
      <c r="G2601" s="1" t="s">
        <v>18</v>
      </c>
      <c r="H2601" s="1" t="n">
        <v>3</v>
      </c>
      <c r="I2601" s="1" t="n">
        <v>0</v>
      </c>
      <c r="J2601" s="1" t="n">
        <v>20201</v>
      </c>
      <c r="L2601" s="1" t="str">
        <f aca="false">IF(D2600&lt;&gt;D2601,D2601,"")</f>
        <v/>
      </c>
      <c r="M2601" s="1" t="str">
        <f aca="false">IF(F2600&lt;&gt;F2601,F2601,"")</f>
        <v/>
      </c>
    </row>
    <row r="2602" customFormat="false" ht="15" hidden="false" customHeight="false" outlineLevel="0" collapsed="false">
      <c r="A2602" s="1" t="s">
        <v>55</v>
      </c>
      <c r="B2602" s="1" t="s">
        <v>56</v>
      </c>
      <c r="C2602" s="1" t="s">
        <v>916</v>
      </c>
      <c r="D2602" s="1" t="s">
        <v>917</v>
      </c>
      <c r="E2602" s="1" t="n">
        <v>20171</v>
      </c>
      <c r="F2602" s="1" t="s">
        <v>208</v>
      </c>
      <c r="G2602" s="1" t="s">
        <v>18</v>
      </c>
      <c r="H2602" s="1" t="n">
        <v>3</v>
      </c>
      <c r="I2602" s="1" t="n">
        <v>0</v>
      </c>
      <c r="J2602" s="1" t="n">
        <v>20201</v>
      </c>
      <c r="L2602" s="1" t="str">
        <f aca="false">IF(D2601&lt;&gt;D2602,D2602,"")</f>
        <v/>
      </c>
      <c r="M2602" s="1" t="str">
        <f aca="false">IF(F2601&lt;&gt;F2602,F2602,"")</f>
        <v/>
      </c>
    </row>
    <row r="2603" customFormat="false" ht="15" hidden="false" customHeight="false" outlineLevel="0" collapsed="false">
      <c r="A2603" s="1" t="s">
        <v>148</v>
      </c>
      <c r="B2603" s="1" t="s">
        <v>149</v>
      </c>
      <c r="C2603" s="1" t="s">
        <v>916</v>
      </c>
      <c r="D2603" s="1" t="s">
        <v>917</v>
      </c>
      <c r="E2603" s="1" t="n">
        <v>20171</v>
      </c>
      <c r="F2603" s="1" t="s">
        <v>208</v>
      </c>
      <c r="G2603" s="1" t="s">
        <v>18</v>
      </c>
      <c r="H2603" s="1" t="n">
        <v>3</v>
      </c>
      <c r="I2603" s="1" t="n">
        <v>0</v>
      </c>
      <c r="J2603" s="1" t="n">
        <v>20201</v>
      </c>
      <c r="L2603" s="1" t="str">
        <f aca="false">IF(D2602&lt;&gt;D2603,D2603,"")</f>
        <v/>
      </c>
      <c r="M2603" s="1" t="str">
        <f aca="false">IF(F2602&lt;&gt;F2603,F2603,"")</f>
        <v/>
      </c>
    </row>
    <row r="2604" customFormat="false" ht="15" hidden="false" customHeight="false" outlineLevel="0" collapsed="false">
      <c r="A2604" s="1" t="s">
        <v>57</v>
      </c>
      <c r="B2604" s="1" t="s">
        <v>58</v>
      </c>
      <c r="C2604" s="1" t="s">
        <v>916</v>
      </c>
      <c r="D2604" s="1" t="s">
        <v>917</v>
      </c>
      <c r="E2604" s="1" t="n">
        <v>20171</v>
      </c>
      <c r="F2604" s="1" t="s">
        <v>208</v>
      </c>
      <c r="G2604" s="1" t="s">
        <v>15</v>
      </c>
      <c r="H2604" s="1" t="n">
        <v>3.5</v>
      </c>
      <c r="I2604" s="1" t="n">
        <v>0</v>
      </c>
      <c r="J2604" s="1" t="n">
        <v>20201</v>
      </c>
      <c r="L2604" s="1" t="str">
        <f aca="false">IF(D2603&lt;&gt;D2604,D2604,"")</f>
        <v/>
      </c>
      <c r="M2604" s="1" t="str">
        <f aca="false">IF(F2603&lt;&gt;F2604,F2604,"")</f>
        <v/>
      </c>
    </row>
    <row r="2605" customFormat="false" ht="15" hidden="false" customHeight="false" outlineLevel="0" collapsed="false">
      <c r="A2605" s="1" t="s">
        <v>150</v>
      </c>
      <c r="B2605" s="1" t="s">
        <v>151</v>
      </c>
      <c r="C2605" s="1" t="s">
        <v>916</v>
      </c>
      <c r="D2605" s="1" t="s">
        <v>917</v>
      </c>
      <c r="E2605" s="1" t="n">
        <v>20171</v>
      </c>
      <c r="F2605" s="1" t="s">
        <v>208</v>
      </c>
      <c r="G2605" s="1" t="s">
        <v>15</v>
      </c>
      <c r="H2605" s="1" t="n">
        <v>3.5</v>
      </c>
      <c r="I2605" s="1" t="n">
        <v>0</v>
      </c>
      <c r="J2605" s="1" t="n">
        <v>20201</v>
      </c>
      <c r="L2605" s="1" t="str">
        <f aca="false">IF(D2604&lt;&gt;D2605,D2605,"")</f>
        <v/>
      </c>
      <c r="M2605" s="1" t="str">
        <f aca="false">IF(F2604&lt;&gt;F2605,F2605,"")</f>
        <v/>
      </c>
    </row>
    <row r="2606" customFormat="false" ht="15" hidden="false" customHeight="false" outlineLevel="0" collapsed="false">
      <c r="A2606" s="1" t="s">
        <v>59</v>
      </c>
      <c r="B2606" s="1" t="s">
        <v>60</v>
      </c>
      <c r="C2606" s="1" t="s">
        <v>916</v>
      </c>
      <c r="D2606" s="1" t="s">
        <v>917</v>
      </c>
      <c r="E2606" s="1" t="n">
        <v>20171</v>
      </c>
      <c r="F2606" s="1" t="s">
        <v>208</v>
      </c>
      <c r="G2606" s="1" t="s">
        <v>18</v>
      </c>
      <c r="H2606" s="1" t="n">
        <v>3</v>
      </c>
      <c r="I2606" s="1" t="n">
        <v>0</v>
      </c>
      <c r="J2606" s="1" t="n">
        <v>20201</v>
      </c>
      <c r="L2606" s="1" t="str">
        <f aca="false">IF(D2605&lt;&gt;D2606,D2606,"")</f>
        <v/>
      </c>
      <c r="M2606" s="1" t="str">
        <f aca="false">IF(F2605&lt;&gt;F2606,F2606,"")</f>
        <v/>
      </c>
    </row>
    <row r="2607" customFormat="false" ht="15" hidden="false" customHeight="false" outlineLevel="0" collapsed="false">
      <c r="A2607" s="1" t="s">
        <v>152</v>
      </c>
      <c r="B2607" s="1" t="s">
        <v>153</v>
      </c>
      <c r="C2607" s="1" t="s">
        <v>916</v>
      </c>
      <c r="D2607" s="1" t="s">
        <v>917</v>
      </c>
      <c r="E2607" s="1" t="n">
        <v>20171</v>
      </c>
      <c r="F2607" s="1" t="s">
        <v>208</v>
      </c>
      <c r="G2607" s="1" t="s">
        <v>124</v>
      </c>
      <c r="H2607" s="1" t="n">
        <v>0</v>
      </c>
      <c r="I2607" s="1" t="n">
        <v>0</v>
      </c>
      <c r="J2607" s="1" t="n">
        <v>20201</v>
      </c>
      <c r="L2607" s="1" t="str">
        <f aca="false">IF(D2606&lt;&gt;D2607,D2607,"")</f>
        <v/>
      </c>
      <c r="M2607" s="1" t="str">
        <f aca="false">IF(F2606&lt;&gt;F2607,F2607,"")</f>
        <v/>
      </c>
    </row>
    <row r="2608" customFormat="false" ht="15" hidden="false" customHeight="false" outlineLevel="0" collapsed="false">
      <c r="A2608" s="1" t="s">
        <v>154</v>
      </c>
      <c r="B2608" s="1" t="s">
        <v>155</v>
      </c>
      <c r="C2608" s="1" t="s">
        <v>916</v>
      </c>
      <c r="D2608" s="1" t="s">
        <v>917</v>
      </c>
      <c r="E2608" s="1" t="n">
        <v>20171</v>
      </c>
      <c r="F2608" s="1" t="s">
        <v>208</v>
      </c>
      <c r="G2608" s="1" t="s">
        <v>124</v>
      </c>
      <c r="H2608" s="1" t="n">
        <v>0</v>
      </c>
      <c r="I2608" s="1" t="n">
        <v>0</v>
      </c>
      <c r="J2608" s="1" t="n">
        <v>20201</v>
      </c>
      <c r="L2608" s="1" t="str">
        <f aca="false">IF(D2607&lt;&gt;D2608,D2608,"")</f>
        <v/>
      </c>
      <c r="M2608" s="1" t="str">
        <f aca="false">IF(F2607&lt;&gt;F2608,F2608,"")</f>
        <v/>
      </c>
    </row>
    <row r="2609" customFormat="false" ht="15" hidden="false" customHeight="false" outlineLevel="0" collapsed="false">
      <c r="A2609" s="1" t="s">
        <v>63</v>
      </c>
      <c r="B2609" s="1" t="s">
        <v>64</v>
      </c>
      <c r="C2609" s="1" t="s">
        <v>916</v>
      </c>
      <c r="D2609" s="1" t="s">
        <v>917</v>
      </c>
      <c r="E2609" s="1" t="n">
        <v>20171</v>
      </c>
      <c r="F2609" s="1" t="s">
        <v>208</v>
      </c>
      <c r="G2609" s="1" t="s">
        <v>124</v>
      </c>
      <c r="H2609" s="1" t="n">
        <v>0</v>
      </c>
      <c r="I2609" s="1" t="n">
        <v>0</v>
      </c>
      <c r="J2609" s="1" t="n">
        <v>20201</v>
      </c>
      <c r="L2609" s="1" t="str">
        <f aca="false">IF(D2608&lt;&gt;D2609,D2609,"")</f>
        <v/>
      </c>
      <c r="M2609" s="1" t="str">
        <f aca="false">IF(F2608&lt;&gt;F2609,F2609,"")</f>
        <v/>
      </c>
    </row>
    <row r="2610" customFormat="false" ht="15" hidden="false" customHeight="false" outlineLevel="0" collapsed="false">
      <c r="A2610" s="1" t="s">
        <v>156</v>
      </c>
      <c r="B2610" s="1" t="s">
        <v>157</v>
      </c>
      <c r="C2610" s="1" t="s">
        <v>916</v>
      </c>
      <c r="D2610" s="1" t="s">
        <v>917</v>
      </c>
      <c r="E2610" s="1" t="n">
        <v>20171</v>
      </c>
      <c r="F2610" s="1" t="s">
        <v>208</v>
      </c>
      <c r="G2610" s="1" t="s">
        <v>23</v>
      </c>
      <c r="H2610" s="1" t="n">
        <v>0</v>
      </c>
      <c r="I2610" s="1" t="n">
        <v>0</v>
      </c>
      <c r="J2610" s="1" t="n">
        <v>20201</v>
      </c>
      <c r="L2610" s="1" t="str">
        <f aca="false">IF(D2609&lt;&gt;D2610,D2610,"")</f>
        <v/>
      </c>
      <c r="M2610" s="1" t="str">
        <f aca="false">IF(F2609&lt;&gt;F2610,F2610,"")</f>
        <v/>
      </c>
    </row>
    <row r="2611" customFormat="false" ht="15" hidden="false" customHeight="false" outlineLevel="0" collapsed="false">
      <c r="A2611" s="1" t="s">
        <v>65</v>
      </c>
      <c r="B2611" s="1" t="s">
        <v>66</v>
      </c>
      <c r="C2611" s="1" t="s">
        <v>916</v>
      </c>
      <c r="D2611" s="1" t="s">
        <v>917</v>
      </c>
      <c r="E2611" s="1" t="n">
        <v>20171</v>
      </c>
      <c r="F2611" s="1" t="s">
        <v>208</v>
      </c>
      <c r="G2611" s="1" t="s">
        <v>101</v>
      </c>
      <c r="H2611" s="1" t="n">
        <v>2.5</v>
      </c>
      <c r="I2611" s="1" t="n">
        <v>0</v>
      </c>
      <c r="J2611" s="1" t="n">
        <v>20201</v>
      </c>
      <c r="L2611" s="1" t="str">
        <f aca="false">IF(D2610&lt;&gt;D2611,D2611,"")</f>
        <v/>
      </c>
      <c r="M2611" s="1" t="str">
        <f aca="false">IF(F2610&lt;&gt;F2611,F2611,"")</f>
        <v/>
      </c>
    </row>
    <row r="2612" customFormat="false" ht="15" hidden="false" customHeight="false" outlineLevel="0" collapsed="false">
      <c r="A2612" s="1" t="s">
        <v>158</v>
      </c>
      <c r="B2612" s="1" t="s">
        <v>159</v>
      </c>
      <c r="C2612" s="1" t="s">
        <v>916</v>
      </c>
      <c r="D2612" s="1" t="s">
        <v>917</v>
      </c>
      <c r="E2612" s="1" t="n">
        <v>20171</v>
      </c>
      <c r="F2612" s="1" t="s">
        <v>208</v>
      </c>
      <c r="G2612" s="1" t="s">
        <v>23</v>
      </c>
      <c r="H2612" s="1" t="n">
        <v>0</v>
      </c>
      <c r="I2612" s="1" t="n">
        <v>0</v>
      </c>
      <c r="J2612" s="1" t="n">
        <v>20201</v>
      </c>
      <c r="L2612" s="1" t="str">
        <f aca="false">IF(D2611&lt;&gt;D2612,D2612,"")</f>
        <v/>
      </c>
      <c r="M2612" s="1" t="str">
        <f aca="false">IF(F2611&lt;&gt;F2612,F2612,"")</f>
        <v/>
      </c>
    </row>
    <row r="2613" customFormat="false" ht="15" hidden="false" customHeight="false" outlineLevel="0" collapsed="false">
      <c r="A2613" s="1" t="s">
        <v>67</v>
      </c>
      <c r="B2613" s="1" t="s">
        <v>68</v>
      </c>
      <c r="C2613" s="1" t="s">
        <v>916</v>
      </c>
      <c r="D2613" s="1" t="s">
        <v>917</v>
      </c>
      <c r="E2613" s="1" t="n">
        <v>20171</v>
      </c>
      <c r="F2613" s="1" t="s">
        <v>208</v>
      </c>
      <c r="G2613" s="1" t="s">
        <v>18</v>
      </c>
      <c r="H2613" s="1" t="n">
        <v>3</v>
      </c>
      <c r="I2613" s="1" t="n">
        <v>0</v>
      </c>
      <c r="J2613" s="1" t="n">
        <v>20201</v>
      </c>
      <c r="L2613" s="1" t="str">
        <f aca="false">IF(D2612&lt;&gt;D2613,D2613,"")</f>
        <v/>
      </c>
      <c r="M2613" s="1" t="str">
        <f aca="false">IF(F2612&lt;&gt;F2613,F2613,"")</f>
        <v/>
      </c>
    </row>
    <row r="2614" customFormat="false" ht="15" hidden="false" customHeight="false" outlineLevel="0" collapsed="false">
      <c r="A2614" s="1" t="s">
        <v>69</v>
      </c>
      <c r="B2614" s="1" t="s">
        <v>70</v>
      </c>
      <c r="C2614" s="1" t="s">
        <v>916</v>
      </c>
      <c r="D2614" s="1" t="s">
        <v>917</v>
      </c>
      <c r="E2614" s="1" t="n">
        <v>20171</v>
      </c>
      <c r="F2614" s="1" t="s">
        <v>208</v>
      </c>
      <c r="G2614" s="1" t="s">
        <v>18</v>
      </c>
      <c r="H2614" s="1" t="n">
        <v>3</v>
      </c>
      <c r="I2614" s="1" t="n">
        <v>0</v>
      </c>
      <c r="J2614" s="1" t="n">
        <v>20201</v>
      </c>
      <c r="L2614" s="1" t="str">
        <f aca="false">IF(D2613&lt;&gt;D2614,D2614,"")</f>
        <v/>
      </c>
      <c r="M2614" s="1" t="str">
        <f aca="false">IF(F2613&lt;&gt;F2614,F2614,"")</f>
        <v/>
      </c>
    </row>
    <row r="2615" customFormat="false" ht="15" hidden="false" customHeight="false" outlineLevel="0" collapsed="false">
      <c r="A2615" s="1" t="s">
        <v>71</v>
      </c>
      <c r="B2615" s="1" t="s">
        <v>72</v>
      </c>
      <c r="C2615" s="1" t="s">
        <v>916</v>
      </c>
      <c r="D2615" s="1" t="s">
        <v>917</v>
      </c>
      <c r="E2615" s="1" t="n">
        <v>20171</v>
      </c>
      <c r="F2615" s="1" t="s">
        <v>208</v>
      </c>
      <c r="G2615" s="1" t="s">
        <v>101</v>
      </c>
      <c r="H2615" s="1" t="n">
        <v>2.5</v>
      </c>
      <c r="I2615" s="1" t="n">
        <v>0</v>
      </c>
      <c r="J2615" s="1" t="n">
        <v>20201</v>
      </c>
      <c r="L2615" s="1" t="str">
        <f aca="false">IF(D2614&lt;&gt;D2615,D2615,"")</f>
        <v/>
      </c>
      <c r="M2615" s="1" t="str">
        <f aca="false">IF(F2614&lt;&gt;F2615,F2615,"")</f>
        <v/>
      </c>
    </row>
    <row r="2616" customFormat="false" ht="15" hidden="false" customHeight="false" outlineLevel="0" collapsed="false">
      <c r="A2616" s="1" t="s">
        <v>160</v>
      </c>
      <c r="B2616" s="1" t="s">
        <v>161</v>
      </c>
      <c r="C2616" s="1" t="s">
        <v>916</v>
      </c>
      <c r="D2616" s="1" t="s">
        <v>917</v>
      </c>
      <c r="E2616" s="1" t="n">
        <v>20171</v>
      </c>
      <c r="F2616" s="1" t="s">
        <v>208</v>
      </c>
      <c r="G2616" s="1" t="s">
        <v>15</v>
      </c>
      <c r="H2616" s="1" t="n">
        <v>3.5</v>
      </c>
      <c r="I2616" s="1" t="n">
        <v>0</v>
      </c>
      <c r="J2616" s="1" t="n">
        <v>20201</v>
      </c>
      <c r="L2616" s="1" t="str">
        <f aca="false">IF(D2615&lt;&gt;D2616,D2616,"")</f>
        <v/>
      </c>
      <c r="M2616" s="1" t="str">
        <f aca="false">IF(F2615&lt;&gt;F2616,F2616,"")</f>
        <v/>
      </c>
    </row>
    <row r="2617" customFormat="false" ht="15" hidden="false" customHeight="false" outlineLevel="0" collapsed="false">
      <c r="A2617" s="1" t="s">
        <v>162</v>
      </c>
      <c r="B2617" s="1" t="s">
        <v>163</v>
      </c>
      <c r="C2617" s="1" t="s">
        <v>916</v>
      </c>
      <c r="D2617" s="1" t="s">
        <v>917</v>
      </c>
      <c r="E2617" s="1" t="n">
        <v>20171</v>
      </c>
      <c r="F2617" s="1" t="s">
        <v>208</v>
      </c>
      <c r="G2617" s="1" t="s">
        <v>18</v>
      </c>
      <c r="H2617" s="1" t="n">
        <v>3</v>
      </c>
      <c r="I2617" s="1" t="n">
        <v>0</v>
      </c>
      <c r="J2617" s="1" t="n">
        <v>20201</v>
      </c>
      <c r="L2617" s="1" t="str">
        <f aca="false">IF(D2616&lt;&gt;D2617,D2617,"")</f>
        <v/>
      </c>
      <c r="M2617" s="1" t="str">
        <f aca="false">IF(F2616&lt;&gt;F2617,F2617,"")</f>
        <v/>
      </c>
    </row>
    <row r="2618" customFormat="false" ht="15" hidden="false" customHeight="false" outlineLevel="0" collapsed="false">
      <c r="A2618" s="1" t="s">
        <v>73</v>
      </c>
      <c r="B2618" s="1" t="s">
        <v>74</v>
      </c>
      <c r="C2618" s="1" t="s">
        <v>916</v>
      </c>
      <c r="D2618" s="1" t="s">
        <v>917</v>
      </c>
      <c r="E2618" s="1" t="n">
        <v>20171</v>
      </c>
      <c r="F2618" s="1" t="s">
        <v>208</v>
      </c>
      <c r="G2618" s="1" t="s">
        <v>18</v>
      </c>
      <c r="H2618" s="1" t="n">
        <v>3</v>
      </c>
      <c r="I2618" s="1" t="n">
        <v>0</v>
      </c>
      <c r="J2618" s="1" t="n">
        <v>20201</v>
      </c>
      <c r="L2618" s="1" t="str">
        <f aca="false">IF(D2617&lt;&gt;D2618,D2618,"")</f>
        <v/>
      </c>
      <c r="M2618" s="1" t="str">
        <f aca="false">IF(F2617&lt;&gt;F2618,F2618,"")</f>
        <v/>
      </c>
    </row>
    <row r="2619" customFormat="false" ht="15" hidden="false" customHeight="false" outlineLevel="0" collapsed="false">
      <c r="A2619" s="1" t="s">
        <v>164</v>
      </c>
      <c r="B2619" s="1" t="s">
        <v>165</v>
      </c>
      <c r="C2619" s="1" t="s">
        <v>916</v>
      </c>
      <c r="D2619" s="1" t="s">
        <v>917</v>
      </c>
      <c r="E2619" s="1" t="n">
        <v>20171</v>
      </c>
      <c r="F2619" s="1" t="s">
        <v>208</v>
      </c>
      <c r="G2619" s="1" t="s">
        <v>18</v>
      </c>
      <c r="H2619" s="1" t="n">
        <v>3</v>
      </c>
      <c r="I2619" s="1" t="n">
        <v>0</v>
      </c>
      <c r="J2619" s="1" t="n">
        <v>20201</v>
      </c>
      <c r="L2619" s="1" t="str">
        <f aca="false">IF(D2618&lt;&gt;D2619,D2619,"")</f>
        <v/>
      </c>
      <c r="M2619" s="1" t="str">
        <f aca="false">IF(F2618&lt;&gt;F2619,F2619,"")</f>
        <v/>
      </c>
    </row>
    <row r="2620" customFormat="false" ht="15" hidden="false" customHeight="false" outlineLevel="0" collapsed="false">
      <c r="A2620" s="1" t="s">
        <v>75</v>
      </c>
      <c r="B2620" s="1" t="s">
        <v>76</v>
      </c>
      <c r="C2620" s="1" t="s">
        <v>916</v>
      </c>
      <c r="D2620" s="1" t="s">
        <v>917</v>
      </c>
      <c r="E2620" s="1" t="n">
        <v>20171</v>
      </c>
      <c r="F2620" s="1" t="s">
        <v>208</v>
      </c>
      <c r="G2620" s="1" t="s">
        <v>15</v>
      </c>
      <c r="H2620" s="1" t="n">
        <v>3.5</v>
      </c>
      <c r="I2620" s="1" t="n">
        <v>0</v>
      </c>
      <c r="J2620" s="1" t="n">
        <v>20201</v>
      </c>
      <c r="L2620" s="1" t="str">
        <f aca="false">IF(D2619&lt;&gt;D2620,D2620,"")</f>
        <v/>
      </c>
      <c r="M2620" s="1" t="str">
        <f aca="false">IF(F2619&lt;&gt;F2620,F2620,"")</f>
        <v/>
      </c>
    </row>
    <row r="2621" customFormat="false" ht="15" hidden="false" customHeight="false" outlineLevel="0" collapsed="false">
      <c r="A2621" s="1" t="s">
        <v>77</v>
      </c>
      <c r="B2621" s="1" t="s">
        <v>78</v>
      </c>
      <c r="C2621" s="1" t="s">
        <v>916</v>
      </c>
      <c r="D2621" s="1" t="s">
        <v>917</v>
      </c>
      <c r="E2621" s="1" t="n">
        <v>20171</v>
      </c>
      <c r="F2621" s="1" t="s">
        <v>208</v>
      </c>
      <c r="G2621" s="1" t="s">
        <v>18</v>
      </c>
      <c r="H2621" s="1" t="n">
        <v>3</v>
      </c>
      <c r="I2621" s="1" t="n">
        <v>0</v>
      </c>
      <c r="J2621" s="1" t="n">
        <v>20201</v>
      </c>
      <c r="L2621" s="1" t="str">
        <f aca="false">IF(D2620&lt;&gt;D2621,D2621,"")</f>
        <v/>
      </c>
      <c r="M2621" s="1" t="str">
        <f aca="false">IF(F2620&lt;&gt;F2621,F2621,"")</f>
        <v/>
      </c>
    </row>
    <row r="2622" customFormat="false" ht="15" hidden="false" customHeight="false" outlineLevel="0" collapsed="false">
      <c r="A2622" s="1" t="s">
        <v>168</v>
      </c>
      <c r="B2622" s="1" t="s">
        <v>169</v>
      </c>
      <c r="C2622" s="1" t="s">
        <v>916</v>
      </c>
      <c r="D2622" s="1" t="s">
        <v>917</v>
      </c>
      <c r="E2622" s="1" t="n">
        <v>20171</v>
      </c>
      <c r="F2622" s="1" t="s">
        <v>208</v>
      </c>
      <c r="G2622" s="1" t="s">
        <v>124</v>
      </c>
      <c r="H2622" s="1" t="n">
        <v>0</v>
      </c>
      <c r="I2622" s="1" t="n">
        <v>0</v>
      </c>
      <c r="J2622" s="1" t="n">
        <v>20201</v>
      </c>
      <c r="L2622" s="1" t="str">
        <f aca="false">IF(D2621&lt;&gt;D2622,D2622,"")</f>
        <v/>
      </c>
      <c r="M2622" s="1" t="str">
        <f aca="false">IF(F2621&lt;&gt;F2622,F2622,"")</f>
        <v/>
      </c>
    </row>
    <row r="2623" customFormat="false" ht="15" hidden="false" customHeight="false" outlineLevel="0" collapsed="false">
      <c r="A2623" s="1" t="s">
        <v>79</v>
      </c>
      <c r="B2623" s="1" t="s">
        <v>80</v>
      </c>
      <c r="C2623" s="1" t="s">
        <v>916</v>
      </c>
      <c r="D2623" s="1" t="s">
        <v>917</v>
      </c>
      <c r="E2623" s="1" t="n">
        <v>20171</v>
      </c>
      <c r="F2623" s="1" t="s">
        <v>208</v>
      </c>
      <c r="G2623" s="1" t="s">
        <v>15</v>
      </c>
      <c r="H2623" s="1" t="n">
        <v>3.5</v>
      </c>
      <c r="I2623" s="1" t="n">
        <v>0</v>
      </c>
      <c r="J2623" s="1" t="n">
        <v>20201</v>
      </c>
      <c r="L2623" s="1" t="str">
        <f aca="false">IF(D2622&lt;&gt;D2623,D2623,"")</f>
        <v/>
      </c>
      <c r="M2623" s="1" t="str">
        <f aca="false">IF(F2622&lt;&gt;F2623,F2623,"")</f>
        <v/>
      </c>
    </row>
    <row r="2624" customFormat="false" ht="15" hidden="false" customHeight="false" outlineLevel="0" collapsed="false">
      <c r="A2624" s="1" t="s">
        <v>170</v>
      </c>
      <c r="B2624" s="1" t="s">
        <v>171</v>
      </c>
      <c r="C2624" s="1" t="s">
        <v>916</v>
      </c>
      <c r="D2624" s="1" t="s">
        <v>917</v>
      </c>
      <c r="E2624" s="1" t="n">
        <v>20171</v>
      </c>
      <c r="F2624" s="1" t="s">
        <v>208</v>
      </c>
      <c r="G2624" s="1" t="s">
        <v>23</v>
      </c>
      <c r="H2624" s="1" t="n">
        <v>0</v>
      </c>
      <c r="I2624" s="1" t="n">
        <v>0</v>
      </c>
      <c r="J2624" s="1" t="n">
        <v>20201</v>
      </c>
      <c r="L2624" s="1" t="str">
        <f aca="false">IF(D2623&lt;&gt;D2624,D2624,"")</f>
        <v/>
      </c>
      <c r="M2624" s="1" t="str">
        <f aca="false">IF(F2623&lt;&gt;F2624,F2624,"")</f>
        <v/>
      </c>
    </row>
    <row r="2625" customFormat="false" ht="15" hidden="false" customHeight="false" outlineLevel="0" collapsed="false">
      <c r="A2625" s="1" t="s">
        <v>172</v>
      </c>
      <c r="B2625" s="1" t="s">
        <v>173</v>
      </c>
      <c r="C2625" s="1" t="s">
        <v>916</v>
      </c>
      <c r="D2625" s="1" t="s">
        <v>917</v>
      </c>
      <c r="E2625" s="1" t="n">
        <v>20171</v>
      </c>
      <c r="F2625" s="1" t="s">
        <v>208</v>
      </c>
      <c r="G2625" s="1" t="s">
        <v>18</v>
      </c>
      <c r="H2625" s="1" t="n">
        <v>3</v>
      </c>
      <c r="I2625" s="1" t="n">
        <v>0</v>
      </c>
      <c r="J2625" s="1" t="n">
        <v>20201</v>
      </c>
      <c r="L2625" s="1" t="str">
        <f aca="false">IF(D2624&lt;&gt;D2625,D2625,"")</f>
        <v/>
      </c>
      <c r="M2625" s="1" t="str">
        <f aca="false">IF(F2624&lt;&gt;F2625,F2625,"")</f>
        <v/>
      </c>
    </row>
    <row r="2626" customFormat="false" ht="15" hidden="false" customHeight="false" outlineLevel="0" collapsed="false">
      <c r="A2626" s="1" t="s">
        <v>174</v>
      </c>
      <c r="B2626" s="1" t="s">
        <v>175</v>
      </c>
      <c r="C2626" s="1" t="s">
        <v>916</v>
      </c>
      <c r="D2626" s="1" t="s">
        <v>917</v>
      </c>
      <c r="E2626" s="1" t="n">
        <v>20171</v>
      </c>
      <c r="F2626" s="1" t="s">
        <v>208</v>
      </c>
      <c r="G2626" s="1" t="s">
        <v>124</v>
      </c>
      <c r="H2626" s="1" t="n">
        <v>0</v>
      </c>
      <c r="I2626" s="1" t="n">
        <v>0</v>
      </c>
      <c r="J2626" s="1" t="n">
        <v>20201</v>
      </c>
      <c r="L2626" s="1" t="str">
        <f aca="false">IF(D2625&lt;&gt;D2626,D2626,"")</f>
        <v/>
      </c>
      <c r="M2626" s="1" t="str">
        <f aca="false">IF(F2625&lt;&gt;F2626,F2626,"")</f>
        <v/>
      </c>
    </row>
    <row r="2627" customFormat="false" ht="15" hidden="false" customHeight="false" outlineLevel="0" collapsed="false">
      <c r="A2627" s="1" t="s">
        <v>81</v>
      </c>
      <c r="B2627" s="1" t="s">
        <v>82</v>
      </c>
      <c r="C2627" s="1" t="s">
        <v>916</v>
      </c>
      <c r="D2627" s="1" t="s">
        <v>917</v>
      </c>
      <c r="E2627" s="1" t="n">
        <v>20171</v>
      </c>
      <c r="F2627" s="1" t="s">
        <v>208</v>
      </c>
      <c r="G2627" s="1" t="s">
        <v>18</v>
      </c>
      <c r="H2627" s="1" t="n">
        <v>3</v>
      </c>
      <c r="I2627" s="1" t="n">
        <v>0</v>
      </c>
      <c r="J2627" s="1" t="n">
        <v>20201</v>
      </c>
      <c r="L2627" s="1" t="str">
        <f aca="false">IF(D2626&lt;&gt;D2627,D2627,"")</f>
        <v/>
      </c>
      <c r="M2627" s="1" t="str">
        <f aca="false">IF(F2626&lt;&gt;F2627,F2627,"")</f>
        <v/>
      </c>
    </row>
    <row r="2628" customFormat="false" ht="15" hidden="false" customHeight="false" outlineLevel="0" collapsed="false">
      <c r="A2628" s="1" t="s">
        <v>176</v>
      </c>
      <c r="B2628" s="1" t="s">
        <v>177</v>
      </c>
      <c r="C2628" s="1" t="s">
        <v>916</v>
      </c>
      <c r="D2628" s="1" t="s">
        <v>917</v>
      </c>
      <c r="E2628" s="1" t="n">
        <v>20171</v>
      </c>
      <c r="F2628" s="1" t="s">
        <v>208</v>
      </c>
      <c r="G2628" s="1" t="s">
        <v>15</v>
      </c>
      <c r="H2628" s="1" t="n">
        <v>3.5</v>
      </c>
      <c r="I2628" s="1" t="n">
        <v>0</v>
      </c>
      <c r="J2628" s="1" t="n">
        <v>20201</v>
      </c>
      <c r="L2628" s="1" t="str">
        <f aca="false">IF(D2627&lt;&gt;D2628,D2628,"")</f>
        <v/>
      </c>
      <c r="M2628" s="1" t="str">
        <f aca="false">IF(F2627&lt;&gt;F2628,F2628,"")</f>
        <v/>
      </c>
    </row>
    <row r="2629" customFormat="false" ht="15" hidden="false" customHeight="false" outlineLevel="0" collapsed="false">
      <c r="A2629" s="1" t="s">
        <v>83</v>
      </c>
      <c r="B2629" s="1" t="s">
        <v>84</v>
      </c>
      <c r="C2629" s="1" t="s">
        <v>916</v>
      </c>
      <c r="D2629" s="1" t="s">
        <v>917</v>
      </c>
      <c r="E2629" s="1" t="n">
        <v>20171</v>
      </c>
      <c r="F2629" s="1" t="s">
        <v>208</v>
      </c>
      <c r="G2629" s="1" t="s">
        <v>15</v>
      </c>
      <c r="H2629" s="1" t="n">
        <v>3.5</v>
      </c>
      <c r="I2629" s="1" t="n">
        <v>0</v>
      </c>
      <c r="J2629" s="1" t="n">
        <v>20201</v>
      </c>
      <c r="L2629" s="1" t="str">
        <f aca="false">IF(D2628&lt;&gt;D2629,D2629,"")</f>
        <v/>
      </c>
      <c r="M2629" s="1" t="str">
        <f aca="false">IF(F2628&lt;&gt;F2629,F2629,"")</f>
        <v/>
      </c>
    </row>
    <row r="2630" customFormat="false" ht="15" hidden="false" customHeight="false" outlineLevel="0" collapsed="false">
      <c r="A2630" s="1" t="s">
        <v>591</v>
      </c>
      <c r="B2630" s="1" t="s">
        <v>592</v>
      </c>
      <c r="C2630" s="1" t="s">
        <v>916</v>
      </c>
      <c r="D2630" s="1" t="s">
        <v>917</v>
      </c>
      <c r="E2630" s="1" t="n">
        <v>20171</v>
      </c>
      <c r="F2630" s="1" t="s">
        <v>208</v>
      </c>
      <c r="G2630" s="1" t="s">
        <v>124</v>
      </c>
      <c r="H2630" s="1" t="n">
        <v>0</v>
      </c>
      <c r="I2630" s="1" t="n">
        <v>0</v>
      </c>
      <c r="J2630" s="1" t="n">
        <v>20201</v>
      </c>
      <c r="L2630" s="1" t="str">
        <f aca="false">IF(D2629&lt;&gt;D2630,D2630,"")</f>
        <v/>
      </c>
      <c r="M2630" s="1" t="str">
        <f aca="false">IF(F2629&lt;&gt;F2630,F2630,"")</f>
        <v/>
      </c>
    </row>
    <row r="2631" customFormat="false" ht="15" hidden="false" customHeight="false" outlineLevel="0" collapsed="false">
      <c r="A2631" s="1" t="s">
        <v>178</v>
      </c>
      <c r="B2631" s="1" t="s">
        <v>179</v>
      </c>
      <c r="C2631" s="1" t="s">
        <v>916</v>
      </c>
      <c r="D2631" s="1" t="s">
        <v>917</v>
      </c>
      <c r="E2631" s="1" t="n">
        <v>20171</v>
      </c>
      <c r="F2631" s="1" t="s">
        <v>208</v>
      </c>
      <c r="G2631" s="1" t="s">
        <v>18</v>
      </c>
      <c r="H2631" s="1" t="n">
        <v>3</v>
      </c>
      <c r="I2631" s="1" t="n">
        <v>0</v>
      </c>
      <c r="J2631" s="1" t="n">
        <v>20201</v>
      </c>
      <c r="L2631" s="1" t="str">
        <f aca="false">IF(D2630&lt;&gt;D2631,D2631,"")</f>
        <v/>
      </c>
      <c r="M2631" s="1" t="str">
        <f aca="false">IF(F2630&lt;&gt;F2631,F2631,"")</f>
        <v/>
      </c>
    </row>
    <row r="2632" customFormat="false" ht="15" hidden="false" customHeight="false" outlineLevel="0" collapsed="false">
      <c r="A2632" s="1" t="s">
        <v>180</v>
      </c>
      <c r="B2632" s="1" t="s">
        <v>181</v>
      </c>
      <c r="C2632" s="1" t="s">
        <v>916</v>
      </c>
      <c r="D2632" s="1" t="s">
        <v>917</v>
      </c>
      <c r="E2632" s="1" t="n">
        <v>20171</v>
      </c>
      <c r="F2632" s="1" t="s">
        <v>208</v>
      </c>
      <c r="G2632" s="1" t="s">
        <v>124</v>
      </c>
      <c r="H2632" s="1" t="n">
        <v>0</v>
      </c>
      <c r="I2632" s="1" t="n">
        <v>0</v>
      </c>
      <c r="J2632" s="1" t="n">
        <v>20201</v>
      </c>
      <c r="L2632" s="1" t="str">
        <f aca="false">IF(D2631&lt;&gt;D2632,D2632,"")</f>
        <v/>
      </c>
      <c r="M2632" s="1" t="str">
        <f aca="false">IF(F2631&lt;&gt;F2632,F2632,"")</f>
        <v/>
      </c>
    </row>
    <row r="2633" customFormat="false" ht="15" hidden="false" customHeight="false" outlineLevel="0" collapsed="false">
      <c r="A2633" s="1" t="s">
        <v>85</v>
      </c>
      <c r="B2633" s="1" t="s">
        <v>86</v>
      </c>
      <c r="C2633" s="1" t="s">
        <v>916</v>
      </c>
      <c r="D2633" s="1" t="s">
        <v>917</v>
      </c>
      <c r="E2633" s="1" t="n">
        <v>20171</v>
      </c>
      <c r="F2633" s="1" t="s">
        <v>208</v>
      </c>
      <c r="G2633" s="1" t="s">
        <v>18</v>
      </c>
      <c r="H2633" s="1" t="n">
        <v>3</v>
      </c>
      <c r="I2633" s="1" t="n">
        <v>0</v>
      </c>
      <c r="J2633" s="1" t="n">
        <v>20201</v>
      </c>
      <c r="L2633" s="1" t="str">
        <f aca="false">IF(D2632&lt;&gt;D2633,D2633,"")</f>
        <v/>
      </c>
      <c r="M2633" s="1" t="str">
        <f aca="false">IF(F2632&lt;&gt;F2633,F2633,"")</f>
        <v/>
      </c>
    </row>
    <row r="2634" customFormat="false" ht="15" hidden="false" customHeight="false" outlineLevel="0" collapsed="false">
      <c r="A2634" s="1" t="s">
        <v>87</v>
      </c>
      <c r="B2634" s="1" t="s">
        <v>88</v>
      </c>
      <c r="C2634" s="1" t="s">
        <v>916</v>
      </c>
      <c r="D2634" s="1" t="s">
        <v>917</v>
      </c>
      <c r="E2634" s="1" t="n">
        <v>20171</v>
      </c>
      <c r="F2634" s="1" t="s">
        <v>208</v>
      </c>
      <c r="G2634" s="1" t="s">
        <v>18</v>
      </c>
      <c r="H2634" s="1" t="n">
        <v>3</v>
      </c>
      <c r="I2634" s="1" t="n">
        <v>0</v>
      </c>
      <c r="J2634" s="1" t="n">
        <v>20201</v>
      </c>
      <c r="L2634" s="1" t="str">
        <f aca="false">IF(D2633&lt;&gt;D2634,D2634,"")</f>
        <v/>
      </c>
      <c r="M2634" s="1" t="str">
        <f aca="false">IF(F2633&lt;&gt;F2634,F2634,"")</f>
        <v/>
      </c>
    </row>
    <row r="2635" customFormat="false" ht="15" hidden="false" customHeight="false" outlineLevel="0" collapsed="false">
      <c r="A2635" s="1" t="s">
        <v>182</v>
      </c>
      <c r="B2635" s="1" t="s">
        <v>183</v>
      </c>
      <c r="C2635" s="1" t="s">
        <v>916</v>
      </c>
      <c r="D2635" s="1" t="s">
        <v>917</v>
      </c>
      <c r="E2635" s="1" t="n">
        <v>20171</v>
      </c>
      <c r="F2635" s="1" t="s">
        <v>208</v>
      </c>
      <c r="G2635" s="1" t="s">
        <v>18</v>
      </c>
      <c r="H2635" s="1" t="n">
        <v>3</v>
      </c>
      <c r="I2635" s="1" t="n">
        <v>0</v>
      </c>
      <c r="J2635" s="1" t="n">
        <v>20201</v>
      </c>
      <c r="L2635" s="1" t="str">
        <f aca="false">IF(D2634&lt;&gt;D2635,D2635,"")</f>
        <v/>
      </c>
      <c r="M2635" s="1" t="str">
        <f aca="false">IF(F2634&lt;&gt;F2635,F2635,"")</f>
        <v/>
      </c>
    </row>
    <row r="2636" customFormat="false" ht="15" hidden="false" customHeight="false" outlineLevel="0" collapsed="false">
      <c r="A2636" s="1" t="s">
        <v>89</v>
      </c>
      <c r="B2636" s="1" t="s">
        <v>90</v>
      </c>
      <c r="C2636" s="1" t="s">
        <v>916</v>
      </c>
      <c r="D2636" s="1" t="s">
        <v>917</v>
      </c>
      <c r="E2636" s="1" t="n">
        <v>20171</v>
      </c>
      <c r="F2636" s="1" t="s">
        <v>208</v>
      </c>
      <c r="G2636" s="1" t="s">
        <v>18</v>
      </c>
      <c r="H2636" s="1" t="n">
        <v>3</v>
      </c>
      <c r="I2636" s="1" t="n">
        <v>0</v>
      </c>
      <c r="J2636" s="1" t="n">
        <v>20201</v>
      </c>
      <c r="L2636" s="1" t="str">
        <f aca="false">IF(D2635&lt;&gt;D2636,D2636,"")</f>
        <v/>
      </c>
      <c r="M2636" s="1" t="str">
        <f aca="false">IF(F2635&lt;&gt;F2636,F2636,"")</f>
        <v/>
      </c>
    </row>
    <row r="2637" customFormat="false" ht="15" hidden="false" customHeight="false" outlineLevel="0" collapsed="false">
      <c r="A2637" s="1" t="s">
        <v>184</v>
      </c>
      <c r="B2637" s="1" t="s">
        <v>185</v>
      </c>
      <c r="C2637" s="1" t="s">
        <v>916</v>
      </c>
      <c r="D2637" s="1" t="s">
        <v>917</v>
      </c>
      <c r="E2637" s="1" t="n">
        <v>20171</v>
      </c>
      <c r="F2637" s="1" t="s">
        <v>208</v>
      </c>
      <c r="G2637" s="1" t="s">
        <v>101</v>
      </c>
      <c r="H2637" s="1" t="n">
        <v>2.5</v>
      </c>
      <c r="I2637" s="1" t="n">
        <v>0</v>
      </c>
      <c r="J2637" s="1" t="n">
        <v>20201</v>
      </c>
      <c r="L2637" s="1" t="str">
        <f aca="false">IF(D2636&lt;&gt;D2637,D2637,"")</f>
        <v/>
      </c>
      <c r="M2637" s="1" t="str">
        <f aca="false">IF(F2636&lt;&gt;F2637,F2637,"")</f>
        <v/>
      </c>
    </row>
    <row r="2638" customFormat="false" ht="15" hidden="false" customHeight="false" outlineLevel="0" collapsed="false">
      <c r="A2638" s="1" t="s">
        <v>91</v>
      </c>
      <c r="B2638" s="1" t="s">
        <v>92</v>
      </c>
      <c r="C2638" s="1" t="s">
        <v>916</v>
      </c>
      <c r="D2638" s="1" t="s">
        <v>917</v>
      </c>
      <c r="E2638" s="1" t="n">
        <v>20171</v>
      </c>
      <c r="F2638" s="1" t="s">
        <v>208</v>
      </c>
      <c r="G2638" s="1" t="s">
        <v>18</v>
      </c>
      <c r="H2638" s="1" t="n">
        <v>3</v>
      </c>
      <c r="I2638" s="1" t="n">
        <v>0</v>
      </c>
      <c r="J2638" s="1" t="n">
        <v>20201</v>
      </c>
      <c r="L2638" s="1" t="str">
        <f aca="false">IF(D2637&lt;&gt;D2638,D2638,"")</f>
        <v/>
      </c>
      <c r="M2638" s="1" t="str">
        <f aca="false">IF(F2637&lt;&gt;F2638,F2638,"")</f>
        <v/>
      </c>
    </row>
    <row r="2639" customFormat="false" ht="15" hidden="false" customHeight="false" outlineLevel="0" collapsed="false">
      <c r="A2639" s="1" t="s">
        <v>186</v>
      </c>
      <c r="B2639" s="1" t="s">
        <v>187</v>
      </c>
      <c r="C2639" s="1" t="s">
        <v>916</v>
      </c>
      <c r="D2639" s="1" t="s">
        <v>917</v>
      </c>
      <c r="E2639" s="1" t="n">
        <v>20171</v>
      </c>
      <c r="F2639" s="1" t="s">
        <v>208</v>
      </c>
      <c r="G2639" s="1" t="s">
        <v>124</v>
      </c>
      <c r="H2639" s="1" t="n">
        <v>0</v>
      </c>
      <c r="I2639" s="1" t="n">
        <v>0</v>
      </c>
      <c r="J2639" s="1" t="n">
        <v>20201</v>
      </c>
      <c r="L2639" s="1" t="str">
        <f aca="false">IF(D2638&lt;&gt;D2639,D2639,"")</f>
        <v/>
      </c>
      <c r="M2639" s="1" t="str">
        <f aca="false">IF(F2638&lt;&gt;F2639,F2639,"")</f>
        <v/>
      </c>
    </row>
    <row r="2640" customFormat="false" ht="15" hidden="false" customHeight="false" outlineLevel="0" collapsed="false">
      <c r="A2640" s="1" t="s">
        <v>93</v>
      </c>
      <c r="B2640" s="1" t="s">
        <v>94</v>
      </c>
      <c r="C2640" s="1" t="s">
        <v>916</v>
      </c>
      <c r="D2640" s="1" t="s">
        <v>917</v>
      </c>
      <c r="E2640" s="1" t="n">
        <v>20171</v>
      </c>
      <c r="F2640" s="1" t="s">
        <v>208</v>
      </c>
      <c r="G2640" s="1" t="s">
        <v>18</v>
      </c>
      <c r="H2640" s="1" t="n">
        <v>3</v>
      </c>
      <c r="I2640" s="1" t="n">
        <v>0</v>
      </c>
      <c r="J2640" s="1" t="n">
        <v>20201</v>
      </c>
      <c r="L2640" s="1" t="str">
        <f aca="false">IF(D2639&lt;&gt;D2640,D2640,"")</f>
        <v/>
      </c>
      <c r="M2640" s="1" t="str">
        <f aca="false">IF(F2639&lt;&gt;F2640,F2640,"")</f>
        <v/>
      </c>
    </row>
    <row r="2641" customFormat="false" ht="15" hidden="false" customHeight="false" outlineLevel="0" collapsed="false">
      <c r="A2641" s="1" t="s">
        <v>188</v>
      </c>
      <c r="B2641" s="1" t="s">
        <v>189</v>
      </c>
      <c r="C2641" s="1" t="s">
        <v>916</v>
      </c>
      <c r="D2641" s="1" t="s">
        <v>917</v>
      </c>
      <c r="E2641" s="1" t="n">
        <v>20171</v>
      </c>
      <c r="F2641" s="1" t="s">
        <v>208</v>
      </c>
      <c r="G2641" s="1" t="s">
        <v>18</v>
      </c>
      <c r="H2641" s="1" t="n">
        <v>3</v>
      </c>
      <c r="I2641" s="1" t="n">
        <v>0</v>
      </c>
      <c r="J2641" s="1" t="n">
        <v>20201</v>
      </c>
      <c r="L2641" s="1" t="str">
        <f aca="false">IF(D2640&lt;&gt;D2641,D2641,"")</f>
        <v/>
      </c>
      <c r="M2641" s="1" t="str">
        <f aca="false">IF(F2640&lt;&gt;F2641,F2641,"")</f>
        <v/>
      </c>
    </row>
    <row r="2642" customFormat="false" ht="15" hidden="false" customHeight="false" outlineLevel="0" collapsed="false">
      <c r="A2642" s="1" t="s">
        <v>95</v>
      </c>
      <c r="B2642" s="1" t="s">
        <v>96</v>
      </c>
      <c r="C2642" s="1" t="s">
        <v>916</v>
      </c>
      <c r="D2642" s="1" t="s">
        <v>917</v>
      </c>
      <c r="E2642" s="1" t="n">
        <v>20171</v>
      </c>
      <c r="F2642" s="1" t="s">
        <v>208</v>
      </c>
      <c r="G2642" s="1" t="s">
        <v>15</v>
      </c>
      <c r="H2642" s="1" t="n">
        <v>3.5</v>
      </c>
      <c r="I2642" s="1" t="n">
        <v>0</v>
      </c>
      <c r="J2642" s="1" t="n">
        <v>20201</v>
      </c>
      <c r="L2642" s="1" t="str">
        <f aca="false">IF(D2641&lt;&gt;D2642,D2642,"")</f>
        <v/>
      </c>
      <c r="M2642" s="1" t="str">
        <f aca="false">IF(F2641&lt;&gt;F2642,F2642,"")</f>
        <v/>
      </c>
    </row>
    <row r="2643" customFormat="false" ht="15" hidden="false" customHeight="false" outlineLevel="0" collapsed="false">
      <c r="A2643" s="1" t="s">
        <v>190</v>
      </c>
      <c r="B2643" s="1" t="s">
        <v>191</v>
      </c>
      <c r="C2643" s="1" t="s">
        <v>916</v>
      </c>
      <c r="D2643" s="1" t="s">
        <v>917</v>
      </c>
      <c r="E2643" s="1" t="n">
        <v>20171</v>
      </c>
      <c r="F2643" s="1" t="s">
        <v>208</v>
      </c>
      <c r="G2643" s="1" t="s">
        <v>18</v>
      </c>
      <c r="H2643" s="1" t="n">
        <v>3</v>
      </c>
      <c r="I2643" s="1" t="n">
        <v>0</v>
      </c>
      <c r="J2643" s="1" t="n">
        <v>20201</v>
      </c>
      <c r="L2643" s="1" t="str">
        <f aca="false">IF(D2642&lt;&gt;D2643,D2643,"")</f>
        <v/>
      </c>
      <c r="M2643" s="1" t="str">
        <f aca="false">IF(F2642&lt;&gt;F2643,F2643,"")</f>
        <v/>
      </c>
    </row>
    <row r="2644" customFormat="false" ht="15" hidden="false" customHeight="false" outlineLevel="0" collapsed="false">
      <c r="A2644" s="1" t="s">
        <v>97</v>
      </c>
      <c r="B2644" s="1" t="s">
        <v>98</v>
      </c>
      <c r="C2644" s="1" t="s">
        <v>916</v>
      </c>
      <c r="D2644" s="1" t="s">
        <v>917</v>
      </c>
      <c r="E2644" s="1" t="n">
        <v>20171</v>
      </c>
      <c r="F2644" s="1" t="s">
        <v>208</v>
      </c>
      <c r="G2644" s="1" t="s">
        <v>15</v>
      </c>
      <c r="H2644" s="1" t="n">
        <v>3.5</v>
      </c>
      <c r="I2644" s="1" t="n">
        <v>0</v>
      </c>
      <c r="J2644" s="1" t="n">
        <v>20201</v>
      </c>
      <c r="L2644" s="1" t="str">
        <f aca="false">IF(D2643&lt;&gt;D2644,D2644,"")</f>
        <v/>
      </c>
      <c r="M2644" s="1" t="str">
        <f aca="false">IF(F2643&lt;&gt;F2644,F2644,"")</f>
        <v/>
      </c>
    </row>
    <row r="2645" customFormat="false" ht="15" hidden="false" customHeight="false" outlineLevel="0" collapsed="false">
      <c r="A2645" s="1" t="s">
        <v>192</v>
      </c>
      <c r="B2645" s="1" t="s">
        <v>193</v>
      </c>
      <c r="C2645" s="1" t="s">
        <v>916</v>
      </c>
      <c r="D2645" s="1" t="s">
        <v>917</v>
      </c>
      <c r="E2645" s="1" t="n">
        <v>20171</v>
      </c>
      <c r="F2645" s="1" t="s">
        <v>208</v>
      </c>
      <c r="G2645" s="1" t="s">
        <v>18</v>
      </c>
      <c r="H2645" s="1" t="n">
        <v>3</v>
      </c>
      <c r="I2645" s="1" t="n">
        <v>0</v>
      </c>
      <c r="J2645" s="1" t="n">
        <v>20201</v>
      </c>
      <c r="L2645" s="1" t="str">
        <f aca="false">IF(D2644&lt;&gt;D2645,D2645,"")</f>
        <v/>
      </c>
      <c r="M2645" s="1" t="str">
        <f aca="false">IF(F2644&lt;&gt;F2645,F2645,"")</f>
        <v/>
      </c>
    </row>
    <row r="2646" customFormat="false" ht="15" hidden="false" customHeight="false" outlineLevel="0" collapsed="false">
      <c r="A2646" s="1" t="s">
        <v>99</v>
      </c>
      <c r="B2646" s="1" t="s">
        <v>100</v>
      </c>
      <c r="C2646" s="1" t="s">
        <v>916</v>
      </c>
      <c r="D2646" s="1" t="s">
        <v>917</v>
      </c>
      <c r="E2646" s="1" t="n">
        <v>20171</v>
      </c>
      <c r="F2646" s="1" t="s">
        <v>208</v>
      </c>
      <c r="G2646" s="1" t="s">
        <v>18</v>
      </c>
      <c r="H2646" s="1" t="n">
        <v>3</v>
      </c>
      <c r="I2646" s="1" t="n">
        <v>0</v>
      </c>
      <c r="J2646" s="1" t="n">
        <v>20201</v>
      </c>
      <c r="L2646" s="1" t="str">
        <f aca="false">IF(D2645&lt;&gt;D2646,D2646,"")</f>
        <v/>
      </c>
      <c r="M2646" s="1" t="str">
        <f aca="false">IF(F2645&lt;&gt;F2646,F2646,"")</f>
        <v/>
      </c>
    </row>
    <row r="2647" customFormat="false" ht="15" hidden="false" customHeight="false" outlineLevel="0" collapsed="false">
      <c r="A2647" s="1" t="s">
        <v>194</v>
      </c>
      <c r="B2647" s="1" t="s">
        <v>195</v>
      </c>
      <c r="C2647" s="1" t="s">
        <v>916</v>
      </c>
      <c r="D2647" s="1" t="s">
        <v>917</v>
      </c>
      <c r="E2647" s="1" t="n">
        <v>20171</v>
      </c>
      <c r="F2647" s="1" t="s">
        <v>208</v>
      </c>
      <c r="G2647" s="1" t="s">
        <v>18</v>
      </c>
      <c r="H2647" s="1" t="n">
        <v>3</v>
      </c>
      <c r="I2647" s="1" t="n">
        <v>0</v>
      </c>
      <c r="J2647" s="1" t="n">
        <v>20201</v>
      </c>
      <c r="L2647" s="1" t="str">
        <f aca="false">IF(D2646&lt;&gt;D2647,D2647,"")</f>
        <v/>
      </c>
      <c r="M2647" s="1" t="str">
        <f aca="false">IF(F2646&lt;&gt;F2647,F2647,"")</f>
        <v/>
      </c>
    </row>
    <row r="2648" customFormat="false" ht="15" hidden="false" customHeight="false" outlineLevel="0" collapsed="false">
      <c r="A2648" s="1" t="s">
        <v>102</v>
      </c>
      <c r="B2648" s="1" t="s">
        <v>103</v>
      </c>
      <c r="C2648" s="1" t="s">
        <v>916</v>
      </c>
      <c r="D2648" s="1" t="s">
        <v>917</v>
      </c>
      <c r="E2648" s="1" t="n">
        <v>20171</v>
      </c>
      <c r="F2648" s="1" t="s">
        <v>208</v>
      </c>
      <c r="G2648" s="1" t="s">
        <v>124</v>
      </c>
      <c r="H2648" s="1" t="n">
        <v>0</v>
      </c>
      <c r="I2648" s="1" t="n">
        <v>0</v>
      </c>
      <c r="J2648" s="1" t="n">
        <v>20201</v>
      </c>
      <c r="L2648" s="1" t="str">
        <f aca="false">IF(D2647&lt;&gt;D2648,D2648,"")</f>
        <v/>
      </c>
      <c r="M2648" s="1" t="str">
        <f aca="false">IF(F2647&lt;&gt;F2648,F2648,"")</f>
        <v/>
      </c>
    </row>
    <row r="2649" customFormat="false" ht="15" hidden="false" customHeight="false" outlineLevel="0" collapsed="false">
      <c r="A2649" s="1" t="s">
        <v>104</v>
      </c>
      <c r="B2649" s="1" t="s">
        <v>105</v>
      </c>
      <c r="C2649" s="1" t="s">
        <v>916</v>
      </c>
      <c r="D2649" s="1" t="s">
        <v>917</v>
      </c>
      <c r="E2649" s="1" t="n">
        <v>20171</v>
      </c>
      <c r="F2649" s="1" t="s">
        <v>208</v>
      </c>
      <c r="G2649" s="1" t="s">
        <v>124</v>
      </c>
      <c r="H2649" s="1" t="n">
        <v>0</v>
      </c>
      <c r="I2649" s="1" t="n">
        <v>0</v>
      </c>
      <c r="J2649" s="1" t="n">
        <v>20201</v>
      </c>
      <c r="L2649" s="1" t="str">
        <f aca="false">IF(D2648&lt;&gt;D2649,D2649,"")</f>
        <v/>
      </c>
      <c r="M2649" s="1" t="str">
        <f aca="false">IF(F2648&lt;&gt;F2649,F2649,"")</f>
        <v/>
      </c>
    </row>
    <row r="2650" customFormat="false" ht="15" hidden="false" customHeight="false" outlineLevel="0" collapsed="false">
      <c r="A2650" s="1" t="s">
        <v>196</v>
      </c>
      <c r="B2650" s="1" t="s">
        <v>197</v>
      </c>
      <c r="C2650" s="1" t="s">
        <v>916</v>
      </c>
      <c r="D2650" s="1" t="s">
        <v>917</v>
      </c>
      <c r="E2650" s="1" t="n">
        <v>20171</v>
      </c>
      <c r="F2650" s="1" t="s">
        <v>208</v>
      </c>
      <c r="G2650" s="1" t="s">
        <v>124</v>
      </c>
      <c r="H2650" s="1" t="n">
        <v>0</v>
      </c>
      <c r="I2650" s="1" t="n">
        <v>0</v>
      </c>
      <c r="J2650" s="1" t="n">
        <v>20201</v>
      </c>
      <c r="L2650" s="1" t="str">
        <f aca="false">IF(D2649&lt;&gt;D2650,D2650,"")</f>
        <v/>
      </c>
      <c r="M2650" s="1" t="str">
        <f aca="false">IF(F2649&lt;&gt;F2650,F2650,"")</f>
        <v/>
      </c>
    </row>
    <row r="2651" customFormat="false" ht="15" hidden="false" customHeight="false" outlineLevel="0" collapsed="false">
      <c r="A2651" s="1" t="s">
        <v>106</v>
      </c>
      <c r="B2651" s="1" t="s">
        <v>107</v>
      </c>
      <c r="C2651" s="1" t="s">
        <v>916</v>
      </c>
      <c r="D2651" s="1" t="s">
        <v>917</v>
      </c>
      <c r="E2651" s="1" t="n">
        <v>20171</v>
      </c>
      <c r="F2651" s="1" t="s">
        <v>208</v>
      </c>
      <c r="G2651" s="1" t="s">
        <v>15</v>
      </c>
      <c r="H2651" s="1" t="n">
        <v>3.5</v>
      </c>
      <c r="I2651" s="1" t="n">
        <v>0</v>
      </c>
      <c r="J2651" s="1" t="n">
        <v>20201</v>
      </c>
      <c r="L2651" s="1" t="str">
        <f aca="false">IF(D2650&lt;&gt;D2651,D2651,"")</f>
        <v/>
      </c>
      <c r="M2651" s="1" t="str">
        <f aca="false">IF(F2650&lt;&gt;F2651,F2651,"")</f>
        <v/>
      </c>
    </row>
    <row r="2652" customFormat="false" ht="15" hidden="false" customHeight="false" outlineLevel="0" collapsed="false">
      <c r="A2652" s="1" t="s">
        <v>200</v>
      </c>
      <c r="B2652" s="1" t="s">
        <v>201</v>
      </c>
      <c r="C2652" s="1" t="s">
        <v>916</v>
      </c>
      <c r="D2652" s="1" t="s">
        <v>917</v>
      </c>
      <c r="E2652" s="1" t="n">
        <v>20171</v>
      </c>
      <c r="F2652" s="1" t="s">
        <v>208</v>
      </c>
      <c r="G2652" s="1" t="s">
        <v>124</v>
      </c>
      <c r="H2652" s="1" t="n">
        <v>0</v>
      </c>
      <c r="I2652" s="1" t="n">
        <v>0</v>
      </c>
      <c r="J2652" s="1" t="n">
        <v>20201</v>
      </c>
      <c r="L2652" s="1" t="str">
        <f aca="false">IF(D2651&lt;&gt;D2652,D2652,"")</f>
        <v/>
      </c>
      <c r="M2652" s="1" t="str">
        <f aca="false">IF(F2651&lt;&gt;F2652,F2652,"")</f>
        <v/>
      </c>
    </row>
    <row r="2653" customFormat="false" ht="15" hidden="false" customHeight="false" outlineLevel="0" collapsed="false">
      <c r="A2653" s="1" t="s">
        <v>204</v>
      </c>
      <c r="B2653" s="1" t="s">
        <v>205</v>
      </c>
      <c r="C2653" s="1" t="s">
        <v>918</v>
      </c>
      <c r="D2653" s="1" t="s">
        <v>919</v>
      </c>
      <c r="E2653" s="1" t="n">
        <v>20171</v>
      </c>
      <c r="F2653" s="1" t="s">
        <v>208</v>
      </c>
      <c r="G2653" s="1" t="s">
        <v>15</v>
      </c>
      <c r="H2653" s="1" t="n">
        <v>3.5</v>
      </c>
      <c r="I2653" s="1" t="n">
        <v>0</v>
      </c>
      <c r="J2653" s="1" t="n">
        <v>20201</v>
      </c>
      <c r="L2653" s="1" t="str">
        <f aca="false">IF(D2652&lt;&gt;D2653,D2653,"")</f>
        <v>PRAKTIKUM SISTEM KENDALI</v>
      </c>
      <c r="M2653" s="1" t="str">
        <f aca="false">IF(F2652&lt;&gt;F2653,F2653,"")</f>
        <v/>
      </c>
    </row>
    <row r="2654" customFormat="false" ht="15" hidden="false" customHeight="false" outlineLevel="0" collapsed="false">
      <c r="A2654" s="1" t="s">
        <v>729</v>
      </c>
      <c r="B2654" s="1" t="s">
        <v>730</v>
      </c>
      <c r="C2654" s="1" t="s">
        <v>918</v>
      </c>
      <c r="D2654" s="1" t="s">
        <v>919</v>
      </c>
      <c r="E2654" s="1" t="n">
        <v>20171</v>
      </c>
      <c r="F2654" s="1" t="s">
        <v>208</v>
      </c>
      <c r="G2654" s="1" t="s">
        <v>15</v>
      </c>
      <c r="H2654" s="1" t="n">
        <v>3.5</v>
      </c>
      <c r="I2654" s="1" t="n">
        <v>0</v>
      </c>
      <c r="J2654" s="1" t="n">
        <v>20201</v>
      </c>
      <c r="L2654" s="1" t="str">
        <f aca="false">IF(D2653&lt;&gt;D2654,D2654,"")</f>
        <v/>
      </c>
      <c r="M2654" s="1" t="str">
        <f aca="false">IF(F2653&lt;&gt;F2654,F2654,"")</f>
        <v/>
      </c>
    </row>
    <row r="2655" customFormat="false" ht="15" hidden="false" customHeight="false" outlineLevel="0" collapsed="false">
      <c r="A2655" s="1" t="s">
        <v>669</v>
      </c>
      <c r="B2655" s="1" t="s">
        <v>670</v>
      </c>
      <c r="C2655" s="1" t="s">
        <v>918</v>
      </c>
      <c r="D2655" s="1" t="s">
        <v>919</v>
      </c>
      <c r="E2655" s="1" t="n">
        <v>20171</v>
      </c>
      <c r="F2655" s="1" t="s">
        <v>208</v>
      </c>
      <c r="G2655" s="1" t="s">
        <v>15</v>
      </c>
      <c r="H2655" s="1" t="n">
        <v>3.5</v>
      </c>
      <c r="I2655" s="1" t="n">
        <v>0</v>
      </c>
      <c r="J2655" s="1" t="n">
        <v>20201</v>
      </c>
      <c r="L2655" s="1" t="str">
        <f aca="false">IF(D2654&lt;&gt;D2655,D2655,"")</f>
        <v/>
      </c>
      <c r="M2655" s="1" t="str">
        <f aca="false">IF(F2654&lt;&gt;F2655,F2655,"")</f>
        <v/>
      </c>
    </row>
    <row r="2656" customFormat="false" ht="15" hidden="false" customHeight="false" outlineLevel="0" collapsed="false">
      <c r="A2656" s="1" t="s">
        <v>653</v>
      </c>
      <c r="B2656" s="1" t="s">
        <v>654</v>
      </c>
      <c r="C2656" s="1" t="s">
        <v>918</v>
      </c>
      <c r="D2656" s="1" t="s">
        <v>919</v>
      </c>
      <c r="E2656" s="1" t="n">
        <v>20171</v>
      </c>
      <c r="F2656" s="1" t="s">
        <v>208</v>
      </c>
      <c r="G2656" s="1" t="s">
        <v>23</v>
      </c>
      <c r="H2656" s="1" t="n">
        <v>0</v>
      </c>
      <c r="I2656" s="1" t="n">
        <v>0</v>
      </c>
      <c r="J2656" s="1" t="n">
        <v>20201</v>
      </c>
      <c r="L2656" s="1" t="str">
        <f aca="false">IF(D2655&lt;&gt;D2656,D2656,"")</f>
        <v/>
      </c>
      <c r="M2656" s="1" t="str">
        <f aca="false">IF(F2655&lt;&gt;F2656,F2656,"")</f>
        <v/>
      </c>
    </row>
    <row r="2657" customFormat="false" ht="15" hidden="false" customHeight="false" outlineLevel="0" collapsed="false">
      <c r="A2657" s="1" t="s">
        <v>655</v>
      </c>
      <c r="B2657" s="1" t="s">
        <v>656</v>
      </c>
      <c r="C2657" s="1" t="s">
        <v>918</v>
      </c>
      <c r="D2657" s="1" t="s">
        <v>919</v>
      </c>
      <c r="E2657" s="1" t="n">
        <v>20171</v>
      </c>
      <c r="F2657" s="1" t="s">
        <v>208</v>
      </c>
      <c r="G2657" s="1" t="s">
        <v>18</v>
      </c>
      <c r="H2657" s="1" t="n">
        <v>3</v>
      </c>
      <c r="I2657" s="1" t="n">
        <v>0</v>
      </c>
      <c r="J2657" s="1" t="n">
        <v>20201</v>
      </c>
      <c r="L2657" s="1" t="str">
        <f aca="false">IF(D2656&lt;&gt;D2657,D2657,"")</f>
        <v/>
      </c>
      <c r="M2657" s="1" t="str">
        <f aca="false">IF(F2656&lt;&gt;F2657,F2657,"")</f>
        <v/>
      </c>
    </row>
    <row r="2658" customFormat="false" ht="15" hidden="false" customHeight="false" outlineLevel="0" collapsed="false">
      <c r="A2658" s="1" t="s">
        <v>687</v>
      </c>
      <c r="B2658" s="1" t="s">
        <v>688</v>
      </c>
      <c r="C2658" s="1" t="s">
        <v>918</v>
      </c>
      <c r="D2658" s="1" t="s">
        <v>919</v>
      </c>
      <c r="E2658" s="1" t="n">
        <v>20171</v>
      </c>
      <c r="F2658" s="1" t="s">
        <v>208</v>
      </c>
      <c r="G2658" s="1" t="s">
        <v>18</v>
      </c>
      <c r="H2658" s="1" t="n">
        <v>3</v>
      </c>
      <c r="I2658" s="1" t="n">
        <v>0</v>
      </c>
      <c r="J2658" s="1" t="n">
        <v>20201</v>
      </c>
      <c r="L2658" s="1" t="str">
        <f aca="false">IF(D2657&lt;&gt;D2658,D2658,"")</f>
        <v/>
      </c>
      <c r="M2658" s="1" t="str">
        <f aca="false">IF(F2657&lt;&gt;F2658,F2658,"")</f>
        <v/>
      </c>
    </row>
    <row r="2659" customFormat="false" ht="15" hidden="false" customHeight="false" outlineLevel="0" collapsed="false">
      <c r="A2659" s="1" t="s">
        <v>689</v>
      </c>
      <c r="B2659" s="1" t="s">
        <v>690</v>
      </c>
      <c r="C2659" s="1" t="s">
        <v>918</v>
      </c>
      <c r="D2659" s="1" t="s">
        <v>919</v>
      </c>
      <c r="E2659" s="1" t="n">
        <v>20171</v>
      </c>
      <c r="F2659" s="1" t="s">
        <v>208</v>
      </c>
      <c r="G2659" s="1" t="s">
        <v>18</v>
      </c>
      <c r="H2659" s="1" t="n">
        <v>3</v>
      </c>
      <c r="I2659" s="1" t="n">
        <v>0</v>
      </c>
      <c r="J2659" s="1" t="n">
        <v>20201</v>
      </c>
      <c r="L2659" s="1" t="str">
        <f aca="false">IF(D2658&lt;&gt;D2659,D2659,"")</f>
        <v/>
      </c>
      <c r="M2659" s="1" t="str">
        <f aca="false">IF(F2658&lt;&gt;F2659,F2659,"")</f>
        <v/>
      </c>
    </row>
    <row r="2660" customFormat="false" ht="15" hidden="false" customHeight="false" outlineLevel="0" collapsed="false">
      <c r="A2660" s="1" t="s">
        <v>691</v>
      </c>
      <c r="B2660" s="1" t="s">
        <v>692</v>
      </c>
      <c r="C2660" s="1" t="s">
        <v>918</v>
      </c>
      <c r="D2660" s="1" t="s">
        <v>919</v>
      </c>
      <c r="E2660" s="1" t="n">
        <v>20171</v>
      </c>
      <c r="F2660" s="1" t="s">
        <v>208</v>
      </c>
      <c r="G2660" s="1" t="s">
        <v>18</v>
      </c>
      <c r="H2660" s="1" t="n">
        <v>3</v>
      </c>
      <c r="I2660" s="1" t="n">
        <v>0</v>
      </c>
      <c r="J2660" s="1" t="n">
        <v>20201</v>
      </c>
      <c r="L2660" s="1" t="str">
        <f aca="false">IF(D2659&lt;&gt;D2660,D2660,"")</f>
        <v/>
      </c>
      <c r="M2660" s="1" t="str">
        <f aca="false">IF(F2659&lt;&gt;F2660,F2660,"")</f>
        <v/>
      </c>
    </row>
    <row r="2661" customFormat="false" ht="15" hidden="false" customHeight="false" outlineLevel="0" collapsed="false">
      <c r="A2661" s="1" t="s">
        <v>693</v>
      </c>
      <c r="B2661" s="1" t="s">
        <v>694</v>
      </c>
      <c r="C2661" s="1" t="s">
        <v>918</v>
      </c>
      <c r="D2661" s="1" t="s">
        <v>919</v>
      </c>
      <c r="E2661" s="1" t="n">
        <v>20171</v>
      </c>
      <c r="F2661" s="1" t="s">
        <v>208</v>
      </c>
      <c r="G2661" s="1" t="s">
        <v>18</v>
      </c>
      <c r="H2661" s="1" t="n">
        <v>3</v>
      </c>
      <c r="I2661" s="1" t="n">
        <v>0</v>
      </c>
      <c r="J2661" s="1" t="n">
        <v>20201</v>
      </c>
      <c r="L2661" s="1" t="str">
        <f aca="false">IF(D2660&lt;&gt;D2661,D2661,"")</f>
        <v/>
      </c>
      <c r="M2661" s="1" t="str">
        <f aca="false">IF(F2660&lt;&gt;F2661,F2661,"")</f>
        <v/>
      </c>
    </row>
    <row r="2662" customFormat="false" ht="15" hidden="false" customHeight="false" outlineLevel="0" collapsed="false">
      <c r="A2662" s="1" t="s">
        <v>211</v>
      </c>
      <c r="B2662" s="1" t="s">
        <v>212</v>
      </c>
      <c r="C2662" s="1" t="s">
        <v>918</v>
      </c>
      <c r="D2662" s="1" t="s">
        <v>919</v>
      </c>
      <c r="E2662" s="1" t="n">
        <v>20171</v>
      </c>
      <c r="F2662" s="1" t="s">
        <v>208</v>
      </c>
      <c r="G2662" s="1" t="s">
        <v>18</v>
      </c>
      <c r="H2662" s="1" t="n">
        <v>3</v>
      </c>
      <c r="I2662" s="1" t="n">
        <v>0</v>
      </c>
      <c r="J2662" s="1" t="n">
        <v>20201</v>
      </c>
      <c r="L2662" s="1" t="str">
        <f aca="false">IF(D2661&lt;&gt;D2662,D2662,"")</f>
        <v/>
      </c>
      <c r="M2662" s="1" t="str">
        <f aca="false">IF(F2661&lt;&gt;F2662,F2662,"")</f>
        <v/>
      </c>
    </row>
    <row r="2663" customFormat="false" ht="15" hidden="false" customHeight="false" outlineLevel="0" collapsed="false">
      <c r="A2663" s="1" t="s">
        <v>695</v>
      </c>
      <c r="B2663" s="1" t="s">
        <v>696</v>
      </c>
      <c r="C2663" s="1" t="s">
        <v>918</v>
      </c>
      <c r="D2663" s="1" t="s">
        <v>919</v>
      </c>
      <c r="E2663" s="1" t="n">
        <v>20171</v>
      </c>
      <c r="F2663" s="1" t="s">
        <v>208</v>
      </c>
      <c r="G2663" s="1" t="s">
        <v>101</v>
      </c>
      <c r="H2663" s="1" t="n">
        <v>2.5</v>
      </c>
      <c r="I2663" s="1" t="n">
        <v>0</v>
      </c>
      <c r="J2663" s="1" t="n">
        <v>20201</v>
      </c>
      <c r="L2663" s="1" t="str">
        <f aca="false">IF(D2662&lt;&gt;D2663,D2663,"")</f>
        <v/>
      </c>
      <c r="M2663" s="1" t="str">
        <f aca="false">IF(F2662&lt;&gt;F2663,F2663,"")</f>
        <v/>
      </c>
    </row>
    <row r="2664" customFormat="false" ht="15" hidden="false" customHeight="false" outlineLevel="0" collapsed="false">
      <c r="A2664" s="1" t="s">
        <v>529</v>
      </c>
      <c r="B2664" s="1" t="s">
        <v>530</v>
      </c>
      <c r="C2664" s="1" t="s">
        <v>918</v>
      </c>
      <c r="D2664" s="1" t="s">
        <v>919</v>
      </c>
      <c r="E2664" s="1" t="n">
        <v>20171</v>
      </c>
      <c r="F2664" s="1" t="s">
        <v>208</v>
      </c>
      <c r="G2664" s="1" t="s">
        <v>101</v>
      </c>
      <c r="H2664" s="1" t="n">
        <v>2.5</v>
      </c>
      <c r="I2664" s="1" t="n">
        <v>0</v>
      </c>
      <c r="J2664" s="1" t="n">
        <v>20201</v>
      </c>
      <c r="L2664" s="1" t="str">
        <f aca="false">IF(D2663&lt;&gt;D2664,D2664,"")</f>
        <v/>
      </c>
      <c r="M2664" s="1" t="str">
        <f aca="false">IF(F2663&lt;&gt;F2664,F2664,"")</f>
        <v/>
      </c>
    </row>
    <row r="2665" customFormat="false" ht="15" hidden="false" customHeight="false" outlineLevel="0" collapsed="false">
      <c r="A2665" s="1" t="s">
        <v>213</v>
      </c>
      <c r="B2665" s="1" t="s">
        <v>214</v>
      </c>
      <c r="C2665" s="1" t="s">
        <v>918</v>
      </c>
      <c r="D2665" s="1" t="s">
        <v>919</v>
      </c>
      <c r="E2665" s="1" t="n">
        <v>20171</v>
      </c>
      <c r="F2665" s="1" t="s">
        <v>208</v>
      </c>
      <c r="G2665" s="1" t="s">
        <v>18</v>
      </c>
      <c r="H2665" s="1" t="n">
        <v>3</v>
      </c>
      <c r="I2665" s="1" t="n">
        <v>0</v>
      </c>
      <c r="J2665" s="1" t="n">
        <v>20201</v>
      </c>
      <c r="L2665" s="1" t="str">
        <f aca="false">IF(D2664&lt;&gt;D2665,D2665,"")</f>
        <v/>
      </c>
      <c r="M2665" s="1" t="str">
        <f aca="false">IF(F2664&lt;&gt;F2665,F2665,"")</f>
        <v/>
      </c>
    </row>
    <row r="2666" customFormat="false" ht="15" hidden="false" customHeight="false" outlineLevel="0" collapsed="false">
      <c r="A2666" s="1" t="s">
        <v>531</v>
      </c>
      <c r="B2666" s="1" t="s">
        <v>532</v>
      </c>
      <c r="C2666" s="1" t="s">
        <v>918</v>
      </c>
      <c r="D2666" s="1" t="s">
        <v>919</v>
      </c>
      <c r="E2666" s="1" t="n">
        <v>20171</v>
      </c>
      <c r="F2666" s="1" t="s">
        <v>208</v>
      </c>
      <c r="G2666" s="1" t="s">
        <v>15</v>
      </c>
      <c r="H2666" s="1" t="n">
        <v>3.5</v>
      </c>
      <c r="I2666" s="1" t="n">
        <v>0</v>
      </c>
      <c r="J2666" s="1" t="n">
        <v>20201</v>
      </c>
      <c r="L2666" s="1" t="str">
        <f aca="false">IF(D2665&lt;&gt;D2666,D2666,"")</f>
        <v/>
      </c>
      <c r="M2666" s="1" t="str">
        <f aca="false">IF(F2665&lt;&gt;F2666,F2666,"")</f>
        <v/>
      </c>
    </row>
    <row r="2667" customFormat="false" ht="15" hidden="false" customHeight="false" outlineLevel="0" collapsed="false">
      <c r="A2667" s="1" t="s">
        <v>310</v>
      </c>
      <c r="B2667" s="1" t="s">
        <v>311</v>
      </c>
      <c r="C2667" s="1" t="s">
        <v>918</v>
      </c>
      <c r="D2667" s="1" t="s">
        <v>919</v>
      </c>
      <c r="E2667" s="1" t="n">
        <v>20171</v>
      </c>
      <c r="F2667" s="1" t="s">
        <v>208</v>
      </c>
      <c r="G2667" s="1" t="s">
        <v>23</v>
      </c>
      <c r="H2667" s="1" t="n">
        <v>0</v>
      </c>
      <c r="I2667" s="1" t="n">
        <v>0</v>
      </c>
      <c r="J2667" s="1" t="n">
        <v>20201</v>
      </c>
      <c r="L2667" s="1" t="str">
        <f aca="false">IF(D2666&lt;&gt;D2667,D2667,"")</f>
        <v/>
      </c>
      <c r="M2667" s="1" t="str">
        <f aca="false">IF(F2666&lt;&gt;F2667,F2667,"")</f>
        <v/>
      </c>
    </row>
    <row r="2668" customFormat="false" ht="15" hidden="false" customHeight="false" outlineLevel="0" collapsed="false">
      <c r="A2668" s="1" t="s">
        <v>275</v>
      </c>
      <c r="B2668" s="1" t="s">
        <v>276</v>
      </c>
      <c r="C2668" s="1" t="s">
        <v>918</v>
      </c>
      <c r="D2668" s="1" t="s">
        <v>919</v>
      </c>
      <c r="E2668" s="1" t="n">
        <v>20171</v>
      </c>
      <c r="F2668" s="1" t="s">
        <v>208</v>
      </c>
      <c r="G2668" s="1" t="s">
        <v>18</v>
      </c>
      <c r="H2668" s="1" t="n">
        <v>3</v>
      </c>
      <c r="I2668" s="1" t="n">
        <v>0</v>
      </c>
      <c r="J2668" s="1" t="n">
        <v>20201</v>
      </c>
      <c r="L2668" s="1" t="str">
        <f aca="false">IF(D2667&lt;&gt;D2668,D2668,"")</f>
        <v/>
      </c>
      <c r="M2668" s="1" t="str">
        <f aca="false">IF(F2667&lt;&gt;F2668,F2668,"")</f>
        <v/>
      </c>
    </row>
    <row r="2669" customFormat="false" ht="15" hidden="false" customHeight="false" outlineLevel="0" collapsed="false">
      <c r="A2669" s="1" t="s">
        <v>697</v>
      </c>
      <c r="B2669" s="1" t="s">
        <v>698</v>
      </c>
      <c r="C2669" s="1" t="s">
        <v>918</v>
      </c>
      <c r="D2669" s="1" t="s">
        <v>919</v>
      </c>
      <c r="E2669" s="1" t="n">
        <v>20171</v>
      </c>
      <c r="F2669" s="1" t="s">
        <v>208</v>
      </c>
      <c r="G2669" s="1" t="s">
        <v>101</v>
      </c>
      <c r="H2669" s="1" t="n">
        <v>2.5</v>
      </c>
      <c r="I2669" s="1" t="n">
        <v>0</v>
      </c>
      <c r="J2669" s="1" t="n">
        <v>20201</v>
      </c>
      <c r="L2669" s="1" t="str">
        <f aca="false">IF(D2668&lt;&gt;D2669,D2669,"")</f>
        <v/>
      </c>
      <c r="M2669" s="1" t="str">
        <f aca="false">IF(F2668&lt;&gt;F2669,F2669,"")</f>
        <v/>
      </c>
    </row>
    <row r="2670" customFormat="false" ht="15" hidden="false" customHeight="false" outlineLevel="0" collapsed="false">
      <c r="A2670" s="1" t="s">
        <v>535</v>
      </c>
      <c r="B2670" s="1" t="s">
        <v>536</v>
      </c>
      <c r="C2670" s="1" t="s">
        <v>918</v>
      </c>
      <c r="D2670" s="1" t="s">
        <v>919</v>
      </c>
      <c r="E2670" s="1" t="n">
        <v>20171</v>
      </c>
      <c r="F2670" s="1" t="s">
        <v>208</v>
      </c>
      <c r="G2670" s="1" t="s">
        <v>101</v>
      </c>
      <c r="H2670" s="1" t="n">
        <v>2.5</v>
      </c>
      <c r="I2670" s="1" t="n">
        <v>0</v>
      </c>
      <c r="J2670" s="1" t="n">
        <v>20201</v>
      </c>
      <c r="L2670" s="1" t="str">
        <f aca="false">IF(D2669&lt;&gt;D2670,D2670,"")</f>
        <v/>
      </c>
      <c r="M2670" s="1" t="str">
        <f aca="false">IF(F2669&lt;&gt;F2670,F2670,"")</f>
        <v/>
      </c>
    </row>
    <row r="2671" customFormat="false" ht="15" hidden="false" customHeight="false" outlineLevel="0" collapsed="false">
      <c r="A2671" s="1" t="s">
        <v>537</v>
      </c>
      <c r="B2671" s="1" t="s">
        <v>538</v>
      </c>
      <c r="C2671" s="1" t="s">
        <v>918</v>
      </c>
      <c r="D2671" s="1" t="s">
        <v>919</v>
      </c>
      <c r="E2671" s="1" t="n">
        <v>20171</v>
      </c>
      <c r="F2671" s="1" t="s">
        <v>208</v>
      </c>
      <c r="G2671" s="1" t="s">
        <v>18</v>
      </c>
      <c r="H2671" s="1" t="n">
        <v>3</v>
      </c>
      <c r="I2671" s="1" t="n">
        <v>0</v>
      </c>
      <c r="J2671" s="1" t="n">
        <v>20201</v>
      </c>
      <c r="L2671" s="1" t="str">
        <f aca="false">IF(D2670&lt;&gt;D2671,D2671,"")</f>
        <v/>
      </c>
      <c r="M2671" s="1" t="str">
        <f aca="false">IF(F2670&lt;&gt;F2671,F2671,"")</f>
        <v/>
      </c>
    </row>
    <row r="2672" customFormat="false" ht="15" hidden="false" customHeight="false" outlineLevel="0" collapsed="false">
      <c r="A2672" s="1" t="s">
        <v>699</v>
      </c>
      <c r="B2672" s="1" t="s">
        <v>700</v>
      </c>
      <c r="C2672" s="1" t="s">
        <v>918</v>
      </c>
      <c r="D2672" s="1" t="s">
        <v>919</v>
      </c>
      <c r="E2672" s="1" t="n">
        <v>20171</v>
      </c>
      <c r="F2672" s="1" t="s">
        <v>208</v>
      </c>
      <c r="G2672" s="1" t="s">
        <v>15</v>
      </c>
      <c r="H2672" s="1" t="n">
        <v>3.5</v>
      </c>
      <c r="I2672" s="1" t="n">
        <v>0</v>
      </c>
      <c r="J2672" s="1" t="n">
        <v>20201</v>
      </c>
      <c r="L2672" s="1" t="str">
        <f aca="false">IF(D2671&lt;&gt;D2672,D2672,"")</f>
        <v/>
      </c>
      <c r="M2672" s="1" t="str">
        <f aca="false">IF(F2671&lt;&gt;F2672,F2672,"")</f>
        <v/>
      </c>
    </row>
    <row r="2673" customFormat="false" ht="15" hidden="false" customHeight="false" outlineLevel="0" collapsed="false">
      <c r="A2673" s="1" t="s">
        <v>681</v>
      </c>
      <c r="B2673" s="1" t="s">
        <v>682</v>
      </c>
      <c r="C2673" s="1" t="s">
        <v>918</v>
      </c>
      <c r="D2673" s="1" t="s">
        <v>919</v>
      </c>
      <c r="E2673" s="1" t="n">
        <v>20171</v>
      </c>
      <c r="F2673" s="1" t="s">
        <v>208</v>
      </c>
      <c r="G2673" s="1" t="s">
        <v>18</v>
      </c>
      <c r="H2673" s="1" t="n">
        <v>3</v>
      </c>
      <c r="I2673" s="1" t="n">
        <v>0</v>
      </c>
      <c r="J2673" s="1" t="n">
        <v>20201</v>
      </c>
      <c r="L2673" s="1" t="str">
        <f aca="false">IF(D2672&lt;&gt;D2673,D2673,"")</f>
        <v/>
      </c>
      <c r="M2673" s="1" t="str">
        <f aca="false">IF(F2672&lt;&gt;F2673,F2673,"")</f>
        <v/>
      </c>
    </row>
    <row r="2674" customFormat="false" ht="15" hidden="false" customHeight="false" outlineLevel="0" collapsed="false">
      <c r="A2674" s="1" t="s">
        <v>215</v>
      </c>
      <c r="B2674" s="1" t="s">
        <v>216</v>
      </c>
      <c r="C2674" s="1" t="s">
        <v>918</v>
      </c>
      <c r="D2674" s="1" t="s">
        <v>919</v>
      </c>
      <c r="E2674" s="1" t="n">
        <v>20171</v>
      </c>
      <c r="F2674" s="1" t="s">
        <v>208</v>
      </c>
      <c r="G2674" s="1" t="s">
        <v>101</v>
      </c>
      <c r="H2674" s="1" t="n">
        <v>2.5</v>
      </c>
      <c r="I2674" s="1" t="n">
        <v>0</v>
      </c>
      <c r="J2674" s="1" t="n">
        <v>20201</v>
      </c>
      <c r="L2674" s="1" t="str">
        <f aca="false">IF(D2673&lt;&gt;D2674,D2674,"")</f>
        <v/>
      </c>
      <c r="M2674" s="1" t="str">
        <f aca="false">IF(F2673&lt;&gt;F2674,F2674,"")</f>
        <v/>
      </c>
    </row>
    <row r="2675" customFormat="false" ht="15" hidden="false" customHeight="false" outlineLevel="0" collapsed="false">
      <c r="A2675" s="1" t="s">
        <v>217</v>
      </c>
      <c r="B2675" s="1" t="s">
        <v>218</v>
      </c>
      <c r="C2675" s="1" t="s">
        <v>918</v>
      </c>
      <c r="D2675" s="1" t="s">
        <v>919</v>
      </c>
      <c r="E2675" s="1" t="n">
        <v>20171</v>
      </c>
      <c r="F2675" s="1" t="s">
        <v>208</v>
      </c>
      <c r="G2675" s="1" t="s">
        <v>18</v>
      </c>
      <c r="H2675" s="1" t="n">
        <v>3</v>
      </c>
      <c r="I2675" s="1" t="n">
        <v>0</v>
      </c>
      <c r="J2675" s="1" t="n">
        <v>20201</v>
      </c>
      <c r="L2675" s="1" t="str">
        <f aca="false">IF(D2674&lt;&gt;D2675,D2675,"")</f>
        <v/>
      </c>
      <c r="M2675" s="1" t="str">
        <f aca="false">IF(F2674&lt;&gt;F2675,F2675,"")</f>
        <v/>
      </c>
    </row>
    <row r="2676" customFormat="false" ht="15" hidden="false" customHeight="false" outlineLevel="0" collapsed="false">
      <c r="A2676" s="1" t="s">
        <v>219</v>
      </c>
      <c r="B2676" s="1" t="s">
        <v>220</v>
      </c>
      <c r="C2676" s="1" t="s">
        <v>918</v>
      </c>
      <c r="D2676" s="1" t="s">
        <v>919</v>
      </c>
      <c r="E2676" s="1" t="n">
        <v>20171</v>
      </c>
      <c r="F2676" s="1" t="s">
        <v>208</v>
      </c>
      <c r="G2676" s="1" t="s">
        <v>101</v>
      </c>
      <c r="H2676" s="1" t="n">
        <v>2.5</v>
      </c>
      <c r="I2676" s="1" t="n">
        <v>0</v>
      </c>
      <c r="J2676" s="1" t="n">
        <v>20201</v>
      </c>
      <c r="L2676" s="1" t="str">
        <f aca="false">IF(D2675&lt;&gt;D2676,D2676,"")</f>
        <v/>
      </c>
      <c r="M2676" s="1" t="str">
        <f aca="false">IF(F2675&lt;&gt;F2676,F2676,"")</f>
        <v/>
      </c>
    </row>
    <row r="2677" customFormat="false" ht="15" hidden="false" customHeight="false" outlineLevel="0" collapsed="false">
      <c r="A2677" s="1" t="s">
        <v>701</v>
      </c>
      <c r="B2677" s="1" t="s">
        <v>702</v>
      </c>
      <c r="C2677" s="1" t="s">
        <v>918</v>
      </c>
      <c r="D2677" s="1" t="s">
        <v>919</v>
      </c>
      <c r="E2677" s="1" t="n">
        <v>20171</v>
      </c>
      <c r="F2677" s="1" t="s">
        <v>208</v>
      </c>
      <c r="G2677" s="1" t="s">
        <v>101</v>
      </c>
      <c r="H2677" s="1" t="n">
        <v>2.5</v>
      </c>
      <c r="I2677" s="1" t="n">
        <v>0</v>
      </c>
      <c r="J2677" s="1" t="n">
        <v>20201</v>
      </c>
      <c r="L2677" s="1" t="str">
        <f aca="false">IF(D2676&lt;&gt;D2677,D2677,"")</f>
        <v/>
      </c>
      <c r="M2677" s="1" t="str">
        <f aca="false">IF(F2676&lt;&gt;F2677,F2677,"")</f>
        <v/>
      </c>
    </row>
    <row r="2678" customFormat="false" ht="15" hidden="false" customHeight="false" outlineLevel="0" collapsed="false">
      <c r="A2678" s="1" t="s">
        <v>703</v>
      </c>
      <c r="B2678" s="1" t="s">
        <v>704</v>
      </c>
      <c r="C2678" s="1" t="s">
        <v>918</v>
      </c>
      <c r="D2678" s="1" t="s">
        <v>919</v>
      </c>
      <c r="E2678" s="1" t="n">
        <v>20171</v>
      </c>
      <c r="F2678" s="1" t="s">
        <v>208</v>
      </c>
      <c r="G2678" s="1" t="s">
        <v>101</v>
      </c>
      <c r="H2678" s="1" t="n">
        <v>2.5</v>
      </c>
      <c r="I2678" s="1" t="n">
        <v>0</v>
      </c>
      <c r="J2678" s="1" t="n">
        <v>20201</v>
      </c>
      <c r="L2678" s="1" t="str">
        <f aca="false">IF(D2677&lt;&gt;D2678,D2678,"")</f>
        <v/>
      </c>
      <c r="M2678" s="1" t="str">
        <f aca="false">IF(F2677&lt;&gt;F2678,F2678,"")</f>
        <v/>
      </c>
    </row>
    <row r="2679" customFormat="false" ht="15" hidden="false" customHeight="false" outlineLevel="0" collapsed="false">
      <c r="A2679" s="1" t="s">
        <v>221</v>
      </c>
      <c r="B2679" s="1" t="s">
        <v>222</v>
      </c>
      <c r="C2679" s="1" t="s">
        <v>918</v>
      </c>
      <c r="D2679" s="1" t="s">
        <v>919</v>
      </c>
      <c r="E2679" s="1" t="n">
        <v>20171</v>
      </c>
      <c r="F2679" s="1" t="s">
        <v>208</v>
      </c>
      <c r="G2679" s="1" t="s">
        <v>18</v>
      </c>
      <c r="H2679" s="1" t="n">
        <v>3</v>
      </c>
      <c r="I2679" s="1" t="n">
        <v>0</v>
      </c>
      <c r="J2679" s="1" t="n">
        <v>20201</v>
      </c>
      <c r="L2679" s="1" t="str">
        <f aca="false">IF(D2678&lt;&gt;D2679,D2679,"")</f>
        <v/>
      </c>
      <c r="M2679" s="1" t="str">
        <f aca="false">IF(F2678&lt;&gt;F2679,F2679,"")</f>
        <v/>
      </c>
    </row>
    <row r="2680" customFormat="false" ht="15" hidden="false" customHeight="false" outlineLevel="0" collapsed="false">
      <c r="A2680" s="1" t="s">
        <v>223</v>
      </c>
      <c r="B2680" s="1" t="s">
        <v>224</v>
      </c>
      <c r="C2680" s="1" t="s">
        <v>918</v>
      </c>
      <c r="D2680" s="1" t="s">
        <v>919</v>
      </c>
      <c r="E2680" s="1" t="n">
        <v>20171</v>
      </c>
      <c r="F2680" s="1" t="s">
        <v>208</v>
      </c>
      <c r="G2680" s="1" t="s">
        <v>15</v>
      </c>
      <c r="H2680" s="1" t="n">
        <v>3.5</v>
      </c>
      <c r="I2680" s="1" t="n">
        <v>0</v>
      </c>
      <c r="J2680" s="1" t="n">
        <v>20201</v>
      </c>
      <c r="L2680" s="1" t="str">
        <f aca="false">IF(D2679&lt;&gt;D2680,D2680,"")</f>
        <v/>
      </c>
      <c r="M2680" s="1" t="str">
        <f aca="false">IF(F2679&lt;&gt;F2680,F2680,"")</f>
        <v/>
      </c>
    </row>
    <row r="2681" customFormat="false" ht="15" hidden="false" customHeight="false" outlineLevel="0" collapsed="false">
      <c r="A2681" s="1" t="s">
        <v>705</v>
      </c>
      <c r="B2681" s="1" t="s">
        <v>706</v>
      </c>
      <c r="C2681" s="1" t="s">
        <v>918</v>
      </c>
      <c r="D2681" s="1" t="s">
        <v>919</v>
      </c>
      <c r="E2681" s="1" t="n">
        <v>20171</v>
      </c>
      <c r="F2681" s="1" t="s">
        <v>208</v>
      </c>
      <c r="G2681" s="1" t="s">
        <v>23</v>
      </c>
      <c r="H2681" s="1" t="n">
        <v>0</v>
      </c>
      <c r="I2681" s="1" t="n">
        <v>0</v>
      </c>
      <c r="J2681" s="1" t="n">
        <v>20201</v>
      </c>
      <c r="L2681" s="1" t="str">
        <f aca="false">IF(D2680&lt;&gt;D2681,D2681,"")</f>
        <v/>
      </c>
      <c r="M2681" s="1" t="str">
        <f aca="false">IF(F2680&lt;&gt;F2681,F2681,"")</f>
        <v/>
      </c>
    </row>
    <row r="2682" customFormat="false" ht="15" hidden="false" customHeight="false" outlineLevel="0" collapsed="false">
      <c r="A2682" s="1" t="s">
        <v>707</v>
      </c>
      <c r="B2682" s="1" t="s">
        <v>708</v>
      </c>
      <c r="C2682" s="1" t="s">
        <v>918</v>
      </c>
      <c r="D2682" s="1" t="s">
        <v>919</v>
      </c>
      <c r="E2682" s="1" t="n">
        <v>20171</v>
      </c>
      <c r="F2682" s="1" t="s">
        <v>208</v>
      </c>
      <c r="G2682" s="1" t="s">
        <v>18</v>
      </c>
      <c r="H2682" s="1" t="n">
        <v>3</v>
      </c>
      <c r="I2682" s="1" t="n">
        <v>0</v>
      </c>
      <c r="J2682" s="1" t="n">
        <v>20201</v>
      </c>
      <c r="L2682" s="1" t="str">
        <f aca="false">IF(D2681&lt;&gt;D2682,D2682,"")</f>
        <v/>
      </c>
      <c r="M2682" s="1" t="str">
        <f aca="false">IF(F2681&lt;&gt;F2682,F2682,"")</f>
        <v/>
      </c>
    </row>
    <row r="2683" customFormat="false" ht="15" hidden="false" customHeight="false" outlineLevel="0" collapsed="false">
      <c r="A2683" s="1" t="s">
        <v>709</v>
      </c>
      <c r="B2683" s="1" t="s">
        <v>710</v>
      </c>
      <c r="C2683" s="1" t="s">
        <v>918</v>
      </c>
      <c r="D2683" s="1" t="s">
        <v>919</v>
      </c>
      <c r="E2683" s="1" t="n">
        <v>20171</v>
      </c>
      <c r="F2683" s="1" t="s">
        <v>208</v>
      </c>
      <c r="G2683" s="1" t="s">
        <v>18</v>
      </c>
      <c r="H2683" s="1" t="n">
        <v>3</v>
      </c>
      <c r="I2683" s="1" t="n">
        <v>0</v>
      </c>
      <c r="J2683" s="1" t="n">
        <v>20201</v>
      </c>
      <c r="L2683" s="1" t="str">
        <f aca="false">IF(D2682&lt;&gt;D2683,D2683,"")</f>
        <v/>
      </c>
      <c r="M2683" s="1" t="str">
        <f aca="false">IF(F2682&lt;&gt;F2683,F2683,"")</f>
        <v/>
      </c>
    </row>
    <row r="2684" customFormat="false" ht="15" hidden="false" customHeight="false" outlineLevel="0" collapsed="false">
      <c r="A2684" s="1" t="s">
        <v>312</v>
      </c>
      <c r="B2684" s="1" t="s">
        <v>313</v>
      </c>
      <c r="C2684" s="1" t="s">
        <v>918</v>
      </c>
      <c r="D2684" s="1" t="s">
        <v>919</v>
      </c>
      <c r="E2684" s="1" t="n">
        <v>20171</v>
      </c>
      <c r="F2684" s="1" t="s">
        <v>208</v>
      </c>
      <c r="G2684" s="1" t="s">
        <v>15</v>
      </c>
      <c r="H2684" s="1" t="n">
        <v>3.5</v>
      </c>
      <c r="I2684" s="1" t="n">
        <v>0</v>
      </c>
      <c r="J2684" s="1" t="n">
        <v>20201</v>
      </c>
      <c r="L2684" s="1" t="str">
        <f aca="false">IF(D2683&lt;&gt;D2684,D2684,"")</f>
        <v/>
      </c>
      <c r="M2684" s="1" t="str">
        <f aca="false">IF(F2683&lt;&gt;F2684,F2684,"")</f>
        <v/>
      </c>
    </row>
    <row r="2685" customFormat="false" ht="15" hidden="false" customHeight="false" outlineLevel="0" collapsed="false">
      <c r="A2685" s="1" t="s">
        <v>539</v>
      </c>
      <c r="B2685" s="1" t="s">
        <v>540</v>
      </c>
      <c r="C2685" s="1" t="s">
        <v>918</v>
      </c>
      <c r="D2685" s="1" t="s">
        <v>919</v>
      </c>
      <c r="E2685" s="1" t="n">
        <v>20171</v>
      </c>
      <c r="F2685" s="1" t="s">
        <v>208</v>
      </c>
      <c r="G2685" s="1" t="s">
        <v>18</v>
      </c>
      <c r="H2685" s="1" t="n">
        <v>3</v>
      </c>
      <c r="I2685" s="1" t="n">
        <v>0</v>
      </c>
      <c r="J2685" s="1" t="n">
        <v>20201</v>
      </c>
      <c r="L2685" s="1" t="str">
        <f aca="false">IF(D2684&lt;&gt;D2685,D2685,"")</f>
        <v/>
      </c>
      <c r="M2685" s="1" t="str">
        <f aca="false">IF(F2684&lt;&gt;F2685,F2685,"")</f>
        <v/>
      </c>
    </row>
    <row r="2686" customFormat="false" ht="15" hidden="false" customHeight="false" outlineLevel="0" collapsed="false">
      <c r="A2686" s="1" t="s">
        <v>711</v>
      </c>
      <c r="B2686" s="1" t="s">
        <v>712</v>
      </c>
      <c r="C2686" s="1" t="s">
        <v>918</v>
      </c>
      <c r="D2686" s="1" t="s">
        <v>919</v>
      </c>
      <c r="E2686" s="1" t="n">
        <v>20171</v>
      </c>
      <c r="F2686" s="1" t="s">
        <v>208</v>
      </c>
      <c r="G2686" s="1" t="s">
        <v>18</v>
      </c>
      <c r="H2686" s="1" t="n">
        <v>3</v>
      </c>
      <c r="I2686" s="1" t="n">
        <v>0</v>
      </c>
      <c r="J2686" s="1" t="n">
        <v>20201</v>
      </c>
      <c r="L2686" s="1" t="str">
        <f aca="false">IF(D2685&lt;&gt;D2686,D2686,"")</f>
        <v/>
      </c>
      <c r="M2686" s="1" t="str">
        <f aca="false">IF(F2685&lt;&gt;F2686,F2686,"")</f>
        <v/>
      </c>
    </row>
    <row r="2687" customFormat="false" ht="15" hidden="false" customHeight="false" outlineLevel="0" collapsed="false">
      <c r="A2687" s="1" t="s">
        <v>279</v>
      </c>
      <c r="B2687" s="1" t="s">
        <v>280</v>
      </c>
      <c r="C2687" s="1" t="s">
        <v>918</v>
      </c>
      <c r="D2687" s="1" t="s">
        <v>919</v>
      </c>
      <c r="E2687" s="1" t="n">
        <v>20171</v>
      </c>
      <c r="F2687" s="1" t="s">
        <v>208</v>
      </c>
      <c r="G2687" s="1" t="s">
        <v>18</v>
      </c>
      <c r="H2687" s="1" t="n">
        <v>3</v>
      </c>
      <c r="I2687" s="1" t="n">
        <v>0</v>
      </c>
      <c r="J2687" s="1" t="n">
        <v>20201</v>
      </c>
      <c r="L2687" s="1" t="str">
        <f aca="false">IF(D2686&lt;&gt;D2687,D2687,"")</f>
        <v/>
      </c>
      <c r="M2687" s="1" t="str">
        <f aca="false">IF(F2686&lt;&gt;F2687,F2687,"")</f>
        <v/>
      </c>
    </row>
    <row r="2688" customFormat="false" ht="15" hidden="false" customHeight="false" outlineLevel="0" collapsed="false">
      <c r="A2688" s="1" t="s">
        <v>713</v>
      </c>
      <c r="B2688" s="1" t="s">
        <v>714</v>
      </c>
      <c r="C2688" s="1" t="s">
        <v>918</v>
      </c>
      <c r="D2688" s="1" t="s">
        <v>919</v>
      </c>
      <c r="E2688" s="1" t="n">
        <v>20171</v>
      </c>
      <c r="F2688" s="1" t="s">
        <v>208</v>
      </c>
      <c r="G2688" s="1" t="s">
        <v>18</v>
      </c>
      <c r="H2688" s="1" t="n">
        <v>3</v>
      </c>
      <c r="I2688" s="1" t="n">
        <v>0</v>
      </c>
      <c r="J2688" s="1" t="n">
        <v>20201</v>
      </c>
      <c r="L2688" s="1" t="str">
        <f aca="false">IF(D2687&lt;&gt;D2688,D2688,"")</f>
        <v/>
      </c>
      <c r="M2688" s="1" t="str">
        <f aca="false">IF(F2687&lt;&gt;F2688,F2688,"")</f>
        <v/>
      </c>
    </row>
    <row r="2689" customFormat="false" ht="15" hidden="false" customHeight="false" outlineLevel="0" collapsed="false">
      <c r="A2689" s="1" t="s">
        <v>225</v>
      </c>
      <c r="B2689" s="1" t="s">
        <v>226</v>
      </c>
      <c r="C2689" s="1" t="s">
        <v>918</v>
      </c>
      <c r="D2689" s="1" t="s">
        <v>919</v>
      </c>
      <c r="E2689" s="1" t="n">
        <v>20171</v>
      </c>
      <c r="F2689" s="1" t="s">
        <v>208</v>
      </c>
      <c r="G2689" s="1" t="s">
        <v>23</v>
      </c>
      <c r="H2689" s="1" t="n">
        <v>0</v>
      </c>
      <c r="I2689" s="1" t="n">
        <v>0</v>
      </c>
      <c r="J2689" s="1" t="n">
        <v>20201</v>
      </c>
      <c r="L2689" s="1" t="str">
        <f aca="false">IF(D2688&lt;&gt;D2689,D2689,"")</f>
        <v/>
      </c>
      <c r="M2689" s="1" t="str">
        <f aca="false">IF(F2688&lt;&gt;F2689,F2689,"")</f>
        <v/>
      </c>
    </row>
    <row r="2690" customFormat="false" ht="15" hidden="false" customHeight="false" outlineLevel="0" collapsed="false">
      <c r="A2690" s="1" t="s">
        <v>281</v>
      </c>
      <c r="B2690" s="1" t="s">
        <v>282</v>
      </c>
      <c r="C2690" s="1" t="s">
        <v>918</v>
      </c>
      <c r="D2690" s="1" t="s">
        <v>919</v>
      </c>
      <c r="E2690" s="1" t="n">
        <v>20171</v>
      </c>
      <c r="F2690" s="1" t="s">
        <v>208</v>
      </c>
      <c r="G2690" s="1" t="s">
        <v>14</v>
      </c>
      <c r="H2690" s="1" t="n">
        <v>4</v>
      </c>
      <c r="I2690" s="1" t="n">
        <v>0</v>
      </c>
      <c r="J2690" s="1" t="n">
        <v>20201</v>
      </c>
      <c r="L2690" s="1" t="str">
        <f aca="false">IF(D2689&lt;&gt;D2690,D2690,"")</f>
        <v/>
      </c>
      <c r="M2690" s="1" t="str">
        <f aca="false">IF(F2689&lt;&gt;F2690,F2690,"")</f>
        <v/>
      </c>
    </row>
    <row r="2691" customFormat="false" ht="15" hidden="false" customHeight="false" outlineLevel="0" collapsed="false">
      <c r="A2691" s="1" t="s">
        <v>227</v>
      </c>
      <c r="B2691" s="1" t="s">
        <v>228</v>
      </c>
      <c r="C2691" s="1" t="s">
        <v>918</v>
      </c>
      <c r="D2691" s="1" t="s">
        <v>919</v>
      </c>
      <c r="E2691" s="1" t="n">
        <v>20171</v>
      </c>
      <c r="F2691" s="1" t="s">
        <v>208</v>
      </c>
      <c r="G2691" s="1" t="s">
        <v>18</v>
      </c>
      <c r="H2691" s="1" t="n">
        <v>3</v>
      </c>
      <c r="I2691" s="1" t="n">
        <v>0</v>
      </c>
      <c r="J2691" s="1" t="n">
        <v>20201</v>
      </c>
      <c r="L2691" s="1" t="str">
        <f aca="false">IF(D2690&lt;&gt;D2691,D2691,"")</f>
        <v/>
      </c>
      <c r="M2691" s="1" t="str">
        <f aca="false">IF(F2690&lt;&gt;F2691,F2691,"")</f>
        <v/>
      </c>
    </row>
    <row r="2692" customFormat="false" ht="15" hidden="false" customHeight="false" outlineLevel="0" collapsed="false">
      <c r="A2692" s="1" t="s">
        <v>283</v>
      </c>
      <c r="B2692" s="1" t="s">
        <v>284</v>
      </c>
      <c r="C2692" s="1" t="s">
        <v>918</v>
      </c>
      <c r="D2692" s="1" t="s">
        <v>919</v>
      </c>
      <c r="E2692" s="1" t="n">
        <v>20171</v>
      </c>
      <c r="F2692" s="1" t="s">
        <v>208</v>
      </c>
      <c r="G2692" s="1" t="s">
        <v>18</v>
      </c>
      <c r="H2692" s="1" t="n">
        <v>3</v>
      </c>
      <c r="I2692" s="1" t="n">
        <v>0</v>
      </c>
      <c r="J2692" s="1" t="n">
        <v>20201</v>
      </c>
      <c r="L2692" s="1" t="str">
        <f aca="false">IF(D2691&lt;&gt;D2692,D2692,"")</f>
        <v/>
      </c>
      <c r="M2692" s="1" t="str">
        <f aca="false">IF(F2691&lt;&gt;F2692,F2692,"")</f>
        <v/>
      </c>
    </row>
    <row r="2693" customFormat="false" ht="15" hidden="false" customHeight="false" outlineLevel="0" collapsed="false">
      <c r="A2693" s="1" t="s">
        <v>541</v>
      </c>
      <c r="B2693" s="1" t="s">
        <v>542</v>
      </c>
      <c r="C2693" s="1" t="s">
        <v>918</v>
      </c>
      <c r="D2693" s="1" t="s">
        <v>919</v>
      </c>
      <c r="E2693" s="1" t="n">
        <v>20171</v>
      </c>
      <c r="F2693" s="1" t="s">
        <v>208</v>
      </c>
      <c r="G2693" s="1" t="s">
        <v>101</v>
      </c>
      <c r="H2693" s="1" t="n">
        <v>2.5</v>
      </c>
      <c r="I2693" s="1" t="n">
        <v>0</v>
      </c>
      <c r="J2693" s="1" t="n">
        <v>20201</v>
      </c>
      <c r="L2693" s="1" t="str">
        <f aca="false">IF(D2692&lt;&gt;D2693,D2693,"")</f>
        <v/>
      </c>
      <c r="M2693" s="1" t="str">
        <f aca="false">IF(F2692&lt;&gt;F2693,F2693,"")</f>
        <v/>
      </c>
    </row>
    <row r="2694" customFormat="false" ht="15" hidden="false" customHeight="false" outlineLevel="0" collapsed="false">
      <c r="A2694" s="1" t="s">
        <v>285</v>
      </c>
      <c r="B2694" s="1" t="s">
        <v>286</v>
      </c>
      <c r="C2694" s="1" t="s">
        <v>918</v>
      </c>
      <c r="D2694" s="1" t="s">
        <v>919</v>
      </c>
      <c r="E2694" s="1" t="n">
        <v>20171</v>
      </c>
      <c r="F2694" s="1" t="s">
        <v>208</v>
      </c>
      <c r="G2694" s="1" t="s">
        <v>23</v>
      </c>
      <c r="H2694" s="1" t="n">
        <v>0</v>
      </c>
      <c r="I2694" s="1" t="n">
        <v>0</v>
      </c>
      <c r="J2694" s="1" t="n">
        <v>20201</v>
      </c>
      <c r="L2694" s="1" t="str">
        <f aca="false">IF(D2693&lt;&gt;D2694,D2694,"")</f>
        <v/>
      </c>
      <c r="M2694" s="1" t="str">
        <f aca="false">IF(F2693&lt;&gt;F2694,F2694,"")</f>
        <v/>
      </c>
    </row>
    <row r="2695" customFormat="false" ht="15" hidden="false" customHeight="false" outlineLevel="0" collapsed="false">
      <c r="A2695" s="1" t="s">
        <v>229</v>
      </c>
      <c r="B2695" s="1" t="s">
        <v>230</v>
      </c>
      <c r="C2695" s="1" t="s">
        <v>918</v>
      </c>
      <c r="D2695" s="1" t="s">
        <v>919</v>
      </c>
      <c r="E2695" s="1" t="n">
        <v>20171</v>
      </c>
      <c r="F2695" s="1" t="s">
        <v>208</v>
      </c>
      <c r="G2695" s="1" t="s">
        <v>15</v>
      </c>
      <c r="H2695" s="1" t="n">
        <v>3.5</v>
      </c>
      <c r="I2695" s="1" t="n">
        <v>0</v>
      </c>
      <c r="J2695" s="1" t="n">
        <v>20201</v>
      </c>
      <c r="L2695" s="1" t="str">
        <f aca="false">IF(D2694&lt;&gt;D2695,D2695,"")</f>
        <v/>
      </c>
      <c r="M2695" s="1" t="str">
        <f aca="false">IF(F2694&lt;&gt;F2695,F2695,"")</f>
        <v/>
      </c>
    </row>
    <row r="2696" customFormat="false" ht="15" hidden="false" customHeight="false" outlineLevel="0" collapsed="false">
      <c r="A2696" s="1" t="s">
        <v>231</v>
      </c>
      <c r="B2696" s="1" t="s">
        <v>232</v>
      </c>
      <c r="C2696" s="1" t="s">
        <v>918</v>
      </c>
      <c r="D2696" s="1" t="s">
        <v>919</v>
      </c>
      <c r="E2696" s="1" t="n">
        <v>20171</v>
      </c>
      <c r="F2696" s="1" t="s">
        <v>208</v>
      </c>
      <c r="G2696" s="1" t="s">
        <v>101</v>
      </c>
      <c r="H2696" s="1" t="n">
        <v>2.5</v>
      </c>
      <c r="I2696" s="1" t="n">
        <v>0</v>
      </c>
      <c r="J2696" s="1" t="n">
        <v>20201</v>
      </c>
      <c r="L2696" s="1" t="str">
        <f aca="false">IF(D2695&lt;&gt;D2696,D2696,"")</f>
        <v/>
      </c>
      <c r="M2696" s="1" t="str">
        <f aca="false">IF(F2695&lt;&gt;F2696,F2696,"")</f>
        <v/>
      </c>
    </row>
    <row r="2697" customFormat="false" ht="15" hidden="false" customHeight="false" outlineLevel="0" collapsed="false">
      <c r="A2697" s="1" t="s">
        <v>715</v>
      </c>
      <c r="B2697" s="1" t="s">
        <v>716</v>
      </c>
      <c r="C2697" s="1" t="s">
        <v>918</v>
      </c>
      <c r="D2697" s="1" t="s">
        <v>919</v>
      </c>
      <c r="E2697" s="1" t="n">
        <v>20171</v>
      </c>
      <c r="F2697" s="1" t="s">
        <v>208</v>
      </c>
      <c r="G2697" s="1" t="s">
        <v>101</v>
      </c>
      <c r="H2697" s="1" t="n">
        <v>2.5</v>
      </c>
      <c r="I2697" s="1" t="n">
        <v>0</v>
      </c>
      <c r="J2697" s="1" t="n">
        <v>20201</v>
      </c>
      <c r="L2697" s="1" t="str">
        <f aca="false">IF(D2696&lt;&gt;D2697,D2697,"")</f>
        <v/>
      </c>
      <c r="M2697" s="1" t="str">
        <f aca="false">IF(F2696&lt;&gt;F2697,F2697,"")</f>
        <v/>
      </c>
    </row>
    <row r="2698" customFormat="false" ht="15" hidden="false" customHeight="false" outlineLevel="0" collapsed="false">
      <c r="A2698" s="1" t="s">
        <v>717</v>
      </c>
      <c r="B2698" s="1" t="s">
        <v>718</v>
      </c>
      <c r="C2698" s="1" t="s">
        <v>918</v>
      </c>
      <c r="D2698" s="1" t="s">
        <v>919</v>
      </c>
      <c r="E2698" s="1" t="n">
        <v>20171</v>
      </c>
      <c r="F2698" s="1" t="s">
        <v>208</v>
      </c>
      <c r="G2698" s="1" t="s">
        <v>127</v>
      </c>
      <c r="H2698" s="1" t="n">
        <v>2</v>
      </c>
      <c r="I2698" s="1" t="n">
        <v>0</v>
      </c>
      <c r="J2698" s="1" t="n">
        <v>20201</v>
      </c>
      <c r="L2698" s="1" t="str">
        <f aca="false">IF(D2697&lt;&gt;D2698,D2698,"")</f>
        <v/>
      </c>
      <c r="M2698" s="1" t="str">
        <f aca="false">IF(F2697&lt;&gt;F2698,F2698,"")</f>
        <v/>
      </c>
    </row>
    <row r="2699" customFormat="false" ht="15" hidden="false" customHeight="false" outlineLevel="0" collapsed="false">
      <c r="A2699" s="1" t="s">
        <v>233</v>
      </c>
      <c r="B2699" s="1" t="s">
        <v>234</v>
      </c>
      <c r="C2699" s="1" t="s">
        <v>918</v>
      </c>
      <c r="D2699" s="1" t="s">
        <v>919</v>
      </c>
      <c r="E2699" s="1" t="n">
        <v>20171</v>
      </c>
      <c r="F2699" s="1" t="s">
        <v>208</v>
      </c>
      <c r="G2699" s="1" t="s">
        <v>15</v>
      </c>
      <c r="H2699" s="1" t="n">
        <v>3.5</v>
      </c>
      <c r="I2699" s="1" t="n">
        <v>0</v>
      </c>
      <c r="J2699" s="1" t="n">
        <v>20201</v>
      </c>
      <c r="L2699" s="1" t="str">
        <f aca="false">IF(D2698&lt;&gt;D2699,D2699,"")</f>
        <v/>
      </c>
      <c r="M2699" s="1" t="str">
        <f aca="false">IF(F2698&lt;&gt;F2699,F2699,"")</f>
        <v/>
      </c>
    </row>
    <row r="2700" customFormat="false" ht="15" hidden="false" customHeight="false" outlineLevel="0" collapsed="false">
      <c r="A2700" s="1" t="s">
        <v>719</v>
      </c>
      <c r="B2700" s="1" t="s">
        <v>720</v>
      </c>
      <c r="C2700" s="1" t="s">
        <v>918</v>
      </c>
      <c r="D2700" s="1" t="s">
        <v>919</v>
      </c>
      <c r="E2700" s="1" t="n">
        <v>20171</v>
      </c>
      <c r="F2700" s="1" t="s">
        <v>208</v>
      </c>
      <c r="G2700" s="1" t="s">
        <v>15</v>
      </c>
      <c r="H2700" s="1" t="n">
        <v>3.5</v>
      </c>
      <c r="I2700" s="1" t="n">
        <v>0</v>
      </c>
      <c r="J2700" s="1" t="n">
        <v>20201</v>
      </c>
      <c r="L2700" s="1" t="str">
        <f aca="false">IF(D2699&lt;&gt;D2700,D2700,"")</f>
        <v/>
      </c>
      <c r="M2700" s="1" t="str">
        <f aca="false">IF(F2699&lt;&gt;F2700,F2700,"")</f>
        <v/>
      </c>
    </row>
    <row r="2701" customFormat="false" ht="15" hidden="false" customHeight="false" outlineLevel="0" collapsed="false">
      <c r="A2701" s="1" t="s">
        <v>663</v>
      </c>
      <c r="B2701" s="1" t="s">
        <v>664</v>
      </c>
      <c r="C2701" s="1" t="s">
        <v>918</v>
      </c>
      <c r="D2701" s="1" t="s">
        <v>919</v>
      </c>
      <c r="E2701" s="1" t="n">
        <v>20171</v>
      </c>
      <c r="F2701" s="1" t="s">
        <v>208</v>
      </c>
      <c r="G2701" s="1" t="s">
        <v>23</v>
      </c>
      <c r="H2701" s="1" t="n">
        <v>0</v>
      </c>
      <c r="I2701" s="1" t="n">
        <v>0</v>
      </c>
      <c r="J2701" s="1" t="n">
        <v>20201</v>
      </c>
      <c r="L2701" s="1" t="str">
        <f aca="false">IF(D2700&lt;&gt;D2701,D2701,"")</f>
        <v/>
      </c>
      <c r="M2701" s="1" t="str">
        <f aca="false">IF(F2700&lt;&gt;F2701,F2701,"")</f>
        <v/>
      </c>
    </row>
    <row r="2702" customFormat="false" ht="15" hidden="false" customHeight="false" outlineLevel="0" collapsed="false">
      <c r="A2702" s="1" t="s">
        <v>287</v>
      </c>
      <c r="B2702" s="1" t="s">
        <v>288</v>
      </c>
      <c r="C2702" s="1" t="s">
        <v>918</v>
      </c>
      <c r="D2702" s="1" t="s">
        <v>919</v>
      </c>
      <c r="E2702" s="1" t="n">
        <v>20171</v>
      </c>
      <c r="F2702" s="1" t="s">
        <v>208</v>
      </c>
      <c r="G2702" s="1" t="s">
        <v>23</v>
      </c>
      <c r="H2702" s="1" t="n">
        <v>0</v>
      </c>
      <c r="I2702" s="1" t="n">
        <v>0</v>
      </c>
      <c r="J2702" s="1" t="n">
        <v>20201</v>
      </c>
      <c r="L2702" s="1" t="str">
        <f aca="false">IF(D2701&lt;&gt;D2702,D2702,"")</f>
        <v/>
      </c>
      <c r="M2702" s="1" t="str">
        <f aca="false">IF(F2701&lt;&gt;F2702,F2702,"")</f>
        <v/>
      </c>
    </row>
    <row r="2703" customFormat="false" ht="15" hidden="false" customHeight="false" outlineLevel="0" collapsed="false">
      <c r="A2703" s="1" t="s">
        <v>543</v>
      </c>
      <c r="B2703" s="1" t="s">
        <v>544</v>
      </c>
      <c r="C2703" s="1" t="s">
        <v>918</v>
      </c>
      <c r="D2703" s="1" t="s">
        <v>919</v>
      </c>
      <c r="E2703" s="1" t="n">
        <v>20171</v>
      </c>
      <c r="F2703" s="1" t="s">
        <v>208</v>
      </c>
      <c r="G2703" s="1" t="s">
        <v>18</v>
      </c>
      <c r="H2703" s="1" t="n">
        <v>3</v>
      </c>
      <c r="I2703" s="1" t="n">
        <v>0</v>
      </c>
      <c r="J2703" s="1" t="n">
        <v>20201</v>
      </c>
      <c r="L2703" s="1" t="str">
        <f aca="false">IF(D2702&lt;&gt;D2703,D2703,"")</f>
        <v/>
      </c>
      <c r="M2703" s="1" t="str">
        <f aca="false">IF(F2702&lt;&gt;F2703,F2703,"")</f>
        <v/>
      </c>
    </row>
    <row r="2704" customFormat="false" ht="15" hidden="false" customHeight="false" outlineLevel="0" collapsed="false">
      <c r="A2704" s="1" t="s">
        <v>289</v>
      </c>
      <c r="B2704" s="1" t="s">
        <v>290</v>
      </c>
      <c r="C2704" s="1" t="s">
        <v>918</v>
      </c>
      <c r="D2704" s="1" t="s">
        <v>919</v>
      </c>
      <c r="E2704" s="1" t="n">
        <v>20171</v>
      </c>
      <c r="F2704" s="1" t="s">
        <v>208</v>
      </c>
      <c r="G2704" s="1" t="s">
        <v>15</v>
      </c>
      <c r="H2704" s="1" t="n">
        <v>3.5</v>
      </c>
      <c r="I2704" s="1" t="n">
        <v>0</v>
      </c>
      <c r="J2704" s="1" t="n">
        <v>20201</v>
      </c>
      <c r="L2704" s="1" t="str">
        <f aca="false">IF(D2703&lt;&gt;D2704,D2704,"")</f>
        <v/>
      </c>
      <c r="M2704" s="1" t="str">
        <f aca="false">IF(F2703&lt;&gt;F2704,F2704,"")</f>
        <v/>
      </c>
    </row>
    <row r="2705" customFormat="false" ht="15" hidden="false" customHeight="false" outlineLevel="0" collapsed="false">
      <c r="A2705" s="1" t="s">
        <v>235</v>
      </c>
      <c r="B2705" s="1" t="s">
        <v>236</v>
      </c>
      <c r="C2705" s="1" t="s">
        <v>918</v>
      </c>
      <c r="D2705" s="1" t="s">
        <v>919</v>
      </c>
      <c r="E2705" s="1" t="n">
        <v>20171</v>
      </c>
      <c r="F2705" s="1" t="s">
        <v>208</v>
      </c>
      <c r="G2705" s="1" t="s">
        <v>18</v>
      </c>
      <c r="H2705" s="1" t="n">
        <v>3</v>
      </c>
      <c r="I2705" s="1" t="n">
        <v>0</v>
      </c>
      <c r="J2705" s="1" t="n">
        <v>20201</v>
      </c>
      <c r="L2705" s="1" t="str">
        <f aca="false">IF(D2704&lt;&gt;D2705,D2705,"")</f>
        <v/>
      </c>
      <c r="M2705" s="1" t="str">
        <f aca="false">IF(F2704&lt;&gt;F2705,F2705,"")</f>
        <v/>
      </c>
    </row>
    <row r="2706" customFormat="false" ht="15" hidden="false" customHeight="false" outlineLevel="0" collapsed="false">
      <c r="A2706" s="1" t="s">
        <v>291</v>
      </c>
      <c r="B2706" s="1" t="s">
        <v>292</v>
      </c>
      <c r="C2706" s="1" t="s">
        <v>918</v>
      </c>
      <c r="D2706" s="1" t="s">
        <v>919</v>
      </c>
      <c r="E2706" s="1" t="n">
        <v>20171</v>
      </c>
      <c r="F2706" s="1" t="s">
        <v>208</v>
      </c>
      <c r="G2706" s="1" t="s">
        <v>18</v>
      </c>
      <c r="H2706" s="1" t="n">
        <v>3</v>
      </c>
      <c r="I2706" s="1" t="n">
        <v>0</v>
      </c>
      <c r="J2706" s="1" t="n">
        <v>20201</v>
      </c>
      <c r="L2706" s="1" t="str">
        <f aca="false">IF(D2705&lt;&gt;D2706,D2706,"")</f>
        <v/>
      </c>
      <c r="M2706" s="1" t="str">
        <f aca="false">IF(F2705&lt;&gt;F2706,F2706,"")</f>
        <v/>
      </c>
    </row>
    <row r="2707" customFormat="false" ht="15" hidden="false" customHeight="false" outlineLevel="0" collapsed="false">
      <c r="A2707" s="1" t="s">
        <v>721</v>
      </c>
      <c r="B2707" s="1" t="s">
        <v>722</v>
      </c>
      <c r="C2707" s="1" t="s">
        <v>918</v>
      </c>
      <c r="D2707" s="1" t="s">
        <v>919</v>
      </c>
      <c r="E2707" s="1" t="n">
        <v>20171</v>
      </c>
      <c r="F2707" s="1" t="s">
        <v>208</v>
      </c>
      <c r="G2707" s="1" t="s">
        <v>18</v>
      </c>
      <c r="H2707" s="1" t="n">
        <v>3</v>
      </c>
      <c r="I2707" s="1" t="n">
        <v>0</v>
      </c>
      <c r="J2707" s="1" t="n">
        <v>20201</v>
      </c>
      <c r="L2707" s="1" t="str">
        <f aca="false">IF(D2706&lt;&gt;D2707,D2707,"")</f>
        <v/>
      </c>
      <c r="M2707" s="1" t="str">
        <f aca="false">IF(F2706&lt;&gt;F2707,F2707,"")</f>
        <v/>
      </c>
    </row>
    <row r="2708" customFormat="false" ht="15" hidden="false" customHeight="false" outlineLevel="0" collapsed="false">
      <c r="A2708" s="1" t="s">
        <v>293</v>
      </c>
      <c r="B2708" s="1" t="s">
        <v>294</v>
      </c>
      <c r="C2708" s="1" t="s">
        <v>918</v>
      </c>
      <c r="D2708" s="1" t="s">
        <v>919</v>
      </c>
      <c r="E2708" s="1" t="n">
        <v>20171</v>
      </c>
      <c r="F2708" s="1" t="s">
        <v>208</v>
      </c>
      <c r="G2708" s="1" t="s">
        <v>15</v>
      </c>
      <c r="H2708" s="1" t="n">
        <v>3.5</v>
      </c>
      <c r="I2708" s="1" t="n">
        <v>0</v>
      </c>
      <c r="J2708" s="1" t="n">
        <v>20201</v>
      </c>
      <c r="L2708" s="1" t="str">
        <f aca="false">IF(D2707&lt;&gt;D2708,D2708,"")</f>
        <v/>
      </c>
      <c r="M2708" s="1" t="str">
        <f aca="false">IF(F2707&lt;&gt;F2708,F2708,"")</f>
        <v/>
      </c>
    </row>
    <row r="2709" customFormat="false" ht="15" hidden="false" customHeight="false" outlineLevel="0" collapsed="false">
      <c r="A2709" s="1" t="s">
        <v>237</v>
      </c>
      <c r="B2709" s="1" t="s">
        <v>238</v>
      </c>
      <c r="C2709" s="1" t="s">
        <v>918</v>
      </c>
      <c r="D2709" s="1" t="s">
        <v>919</v>
      </c>
      <c r="E2709" s="1" t="n">
        <v>20171</v>
      </c>
      <c r="F2709" s="1" t="s">
        <v>208</v>
      </c>
      <c r="G2709" s="1" t="s">
        <v>18</v>
      </c>
      <c r="H2709" s="1" t="n">
        <v>3</v>
      </c>
      <c r="I2709" s="1" t="n">
        <v>0</v>
      </c>
      <c r="J2709" s="1" t="n">
        <v>20201</v>
      </c>
      <c r="L2709" s="1" t="str">
        <f aca="false">IF(D2708&lt;&gt;D2709,D2709,"")</f>
        <v/>
      </c>
      <c r="M2709" s="1" t="str">
        <f aca="false">IF(F2708&lt;&gt;F2709,F2709,"")</f>
        <v/>
      </c>
    </row>
    <row r="2710" customFormat="false" ht="15" hidden="false" customHeight="false" outlineLevel="0" collapsed="false">
      <c r="A2710" s="1" t="s">
        <v>239</v>
      </c>
      <c r="B2710" s="1" t="s">
        <v>240</v>
      </c>
      <c r="C2710" s="1" t="s">
        <v>918</v>
      </c>
      <c r="D2710" s="1" t="s">
        <v>919</v>
      </c>
      <c r="E2710" s="1" t="n">
        <v>20171</v>
      </c>
      <c r="F2710" s="1" t="s">
        <v>208</v>
      </c>
      <c r="G2710" s="1" t="s">
        <v>101</v>
      </c>
      <c r="H2710" s="1" t="n">
        <v>2.5</v>
      </c>
      <c r="I2710" s="1" t="n">
        <v>0</v>
      </c>
      <c r="J2710" s="1" t="n">
        <v>20201</v>
      </c>
      <c r="L2710" s="1" t="str">
        <f aca="false">IF(D2709&lt;&gt;D2710,D2710,"")</f>
        <v/>
      </c>
      <c r="M2710" s="1" t="str">
        <f aca="false">IF(F2709&lt;&gt;F2710,F2710,"")</f>
        <v/>
      </c>
    </row>
    <row r="2711" customFormat="false" ht="15" hidden="false" customHeight="false" outlineLevel="0" collapsed="false">
      <c r="A2711" s="1" t="s">
        <v>241</v>
      </c>
      <c r="B2711" s="1" t="s">
        <v>242</v>
      </c>
      <c r="C2711" s="1" t="s">
        <v>918</v>
      </c>
      <c r="D2711" s="1" t="s">
        <v>919</v>
      </c>
      <c r="E2711" s="1" t="n">
        <v>20171</v>
      </c>
      <c r="F2711" s="1" t="s">
        <v>208</v>
      </c>
      <c r="G2711" s="1" t="s">
        <v>101</v>
      </c>
      <c r="H2711" s="1" t="n">
        <v>2.5</v>
      </c>
      <c r="I2711" s="1" t="n">
        <v>0</v>
      </c>
      <c r="J2711" s="1" t="n">
        <v>20201</v>
      </c>
      <c r="L2711" s="1" t="str">
        <f aca="false">IF(D2710&lt;&gt;D2711,D2711,"")</f>
        <v/>
      </c>
      <c r="M2711" s="1" t="str">
        <f aca="false">IF(F2710&lt;&gt;F2711,F2711,"")</f>
        <v/>
      </c>
    </row>
    <row r="2712" customFormat="false" ht="15" hidden="false" customHeight="false" outlineLevel="0" collapsed="false">
      <c r="A2712" s="1" t="s">
        <v>243</v>
      </c>
      <c r="B2712" s="1" t="s">
        <v>244</v>
      </c>
      <c r="C2712" s="1" t="s">
        <v>918</v>
      </c>
      <c r="D2712" s="1" t="s">
        <v>919</v>
      </c>
      <c r="E2712" s="1" t="n">
        <v>20171</v>
      </c>
      <c r="F2712" s="1" t="s">
        <v>208</v>
      </c>
      <c r="G2712" s="1" t="s">
        <v>101</v>
      </c>
      <c r="H2712" s="1" t="n">
        <v>2.5</v>
      </c>
      <c r="I2712" s="1" t="n">
        <v>0</v>
      </c>
      <c r="J2712" s="1" t="n">
        <v>20201</v>
      </c>
      <c r="L2712" s="1" t="str">
        <f aca="false">IF(D2711&lt;&gt;D2712,D2712,"")</f>
        <v/>
      </c>
      <c r="M2712" s="1" t="str">
        <f aca="false">IF(F2711&lt;&gt;F2712,F2712,"")</f>
        <v/>
      </c>
    </row>
    <row r="2713" customFormat="false" ht="15" hidden="false" customHeight="false" outlineLevel="0" collapsed="false">
      <c r="A2713" s="1" t="s">
        <v>245</v>
      </c>
      <c r="B2713" s="1" t="s">
        <v>246</v>
      </c>
      <c r="C2713" s="1" t="s">
        <v>918</v>
      </c>
      <c r="D2713" s="1" t="s">
        <v>919</v>
      </c>
      <c r="E2713" s="1" t="n">
        <v>20171</v>
      </c>
      <c r="F2713" s="1" t="s">
        <v>208</v>
      </c>
      <c r="G2713" s="1" t="s">
        <v>18</v>
      </c>
      <c r="H2713" s="1" t="n">
        <v>3</v>
      </c>
      <c r="I2713" s="1" t="n">
        <v>0</v>
      </c>
      <c r="J2713" s="1" t="n">
        <v>20201</v>
      </c>
      <c r="L2713" s="1" t="str">
        <f aca="false">IF(D2712&lt;&gt;D2713,D2713,"")</f>
        <v/>
      </c>
      <c r="M2713" s="1" t="str">
        <f aca="false">IF(F2712&lt;&gt;F2713,F2713,"")</f>
        <v/>
      </c>
    </row>
    <row r="2714" customFormat="false" ht="15" hidden="false" customHeight="false" outlineLevel="0" collapsed="false">
      <c r="A2714" s="1" t="s">
        <v>247</v>
      </c>
      <c r="B2714" s="1" t="s">
        <v>248</v>
      </c>
      <c r="C2714" s="1" t="s">
        <v>918</v>
      </c>
      <c r="D2714" s="1" t="s">
        <v>919</v>
      </c>
      <c r="E2714" s="1" t="n">
        <v>20171</v>
      </c>
      <c r="F2714" s="1" t="s">
        <v>208</v>
      </c>
      <c r="G2714" s="1" t="s">
        <v>18</v>
      </c>
      <c r="H2714" s="1" t="n">
        <v>3</v>
      </c>
      <c r="I2714" s="1" t="n">
        <v>0</v>
      </c>
      <c r="J2714" s="1" t="n">
        <v>20201</v>
      </c>
      <c r="L2714" s="1" t="str">
        <f aca="false">IF(D2713&lt;&gt;D2714,D2714,"")</f>
        <v/>
      </c>
      <c r="M2714" s="1" t="str">
        <f aca="false">IF(F2713&lt;&gt;F2714,F2714,"")</f>
        <v/>
      </c>
    </row>
    <row r="2715" customFormat="false" ht="15" hidden="false" customHeight="false" outlineLevel="0" collapsed="false">
      <c r="A2715" s="1" t="s">
        <v>665</v>
      </c>
      <c r="B2715" s="1" t="s">
        <v>666</v>
      </c>
      <c r="C2715" s="1" t="s">
        <v>918</v>
      </c>
      <c r="D2715" s="1" t="s">
        <v>919</v>
      </c>
      <c r="E2715" s="1" t="n">
        <v>20171</v>
      </c>
      <c r="F2715" s="1" t="s">
        <v>208</v>
      </c>
      <c r="G2715" s="1" t="s">
        <v>18</v>
      </c>
      <c r="H2715" s="1" t="n">
        <v>3</v>
      </c>
      <c r="I2715" s="1" t="n">
        <v>0</v>
      </c>
      <c r="J2715" s="1" t="n">
        <v>20201</v>
      </c>
      <c r="L2715" s="1" t="str">
        <f aca="false">IF(D2714&lt;&gt;D2715,D2715,"")</f>
        <v/>
      </c>
      <c r="M2715" s="1" t="str">
        <f aca="false">IF(F2714&lt;&gt;F2715,F2715,"")</f>
        <v/>
      </c>
    </row>
    <row r="2716" customFormat="false" ht="15" hidden="false" customHeight="false" outlineLevel="0" collapsed="false">
      <c r="A2716" s="1" t="s">
        <v>547</v>
      </c>
      <c r="B2716" s="1" t="s">
        <v>548</v>
      </c>
      <c r="C2716" s="1" t="s">
        <v>918</v>
      </c>
      <c r="D2716" s="1" t="s">
        <v>919</v>
      </c>
      <c r="E2716" s="1" t="n">
        <v>20171</v>
      </c>
      <c r="F2716" s="1" t="s">
        <v>208</v>
      </c>
      <c r="G2716" s="1" t="s">
        <v>18</v>
      </c>
      <c r="H2716" s="1" t="n">
        <v>3</v>
      </c>
      <c r="I2716" s="1" t="n">
        <v>0</v>
      </c>
      <c r="J2716" s="1" t="n">
        <v>20201</v>
      </c>
      <c r="L2716" s="1" t="str">
        <f aca="false">IF(D2715&lt;&gt;D2716,D2716,"")</f>
        <v/>
      </c>
      <c r="M2716" s="1" t="str">
        <f aca="false">IF(F2715&lt;&gt;F2716,F2716,"")</f>
        <v/>
      </c>
    </row>
    <row r="2717" customFormat="false" ht="15" hidden="false" customHeight="false" outlineLevel="0" collapsed="false">
      <c r="A2717" s="1" t="s">
        <v>683</v>
      </c>
      <c r="B2717" s="1" t="s">
        <v>684</v>
      </c>
      <c r="C2717" s="1" t="s">
        <v>918</v>
      </c>
      <c r="D2717" s="1" t="s">
        <v>919</v>
      </c>
      <c r="E2717" s="1" t="n">
        <v>20171</v>
      </c>
      <c r="F2717" s="1" t="s">
        <v>208</v>
      </c>
      <c r="G2717" s="1" t="s">
        <v>101</v>
      </c>
      <c r="H2717" s="1" t="n">
        <v>2.5</v>
      </c>
      <c r="I2717" s="1" t="n">
        <v>0</v>
      </c>
      <c r="J2717" s="1" t="n">
        <v>20201</v>
      </c>
      <c r="L2717" s="1" t="str">
        <f aca="false">IF(D2716&lt;&gt;D2717,D2717,"")</f>
        <v/>
      </c>
      <c r="M2717" s="1" t="str">
        <f aca="false">IF(F2716&lt;&gt;F2717,F2717,"")</f>
        <v/>
      </c>
    </row>
    <row r="2718" customFormat="false" ht="15" hidden="false" customHeight="false" outlineLevel="0" collapsed="false">
      <c r="A2718" s="1" t="s">
        <v>249</v>
      </c>
      <c r="B2718" s="1" t="s">
        <v>250</v>
      </c>
      <c r="C2718" s="1" t="s">
        <v>918</v>
      </c>
      <c r="D2718" s="1" t="s">
        <v>919</v>
      </c>
      <c r="E2718" s="1" t="n">
        <v>20171</v>
      </c>
      <c r="F2718" s="1" t="s">
        <v>208</v>
      </c>
      <c r="G2718" s="1" t="s">
        <v>101</v>
      </c>
      <c r="H2718" s="1" t="n">
        <v>2.5</v>
      </c>
      <c r="I2718" s="1" t="n">
        <v>0</v>
      </c>
      <c r="J2718" s="1" t="n">
        <v>20201</v>
      </c>
      <c r="L2718" s="1" t="str">
        <f aca="false">IF(D2717&lt;&gt;D2718,D2718,"")</f>
        <v/>
      </c>
      <c r="M2718" s="1" t="str">
        <f aca="false">IF(F2717&lt;&gt;F2718,F2718,"")</f>
        <v/>
      </c>
    </row>
    <row r="2719" customFormat="false" ht="15" hidden="false" customHeight="false" outlineLevel="0" collapsed="false">
      <c r="A2719" s="1" t="s">
        <v>251</v>
      </c>
      <c r="B2719" s="1" t="s">
        <v>252</v>
      </c>
      <c r="C2719" s="1" t="s">
        <v>918</v>
      </c>
      <c r="D2719" s="1" t="s">
        <v>919</v>
      </c>
      <c r="E2719" s="1" t="n">
        <v>20171</v>
      </c>
      <c r="F2719" s="1" t="s">
        <v>208</v>
      </c>
      <c r="G2719" s="1" t="s">
        <v>18</v>
      </c>
      <c r="H2719" s="1" t="n">
        <v>3</v>
      </c>
      <c r="I2719" s="1" t="n">
        <v>0</v>
      </c>
      <c r="J2719" s="1" t="n">
        <v>20201</v>
      </c>
      <c r="L2719" s="1" t="str">
        <f aca="false">IF(D2718&lt;&gt;D2719,D2719,"")</f>
        <v/>
      </c>
      <c r="M2719" s="1" t="str">
        <f aca="false">IF(F2718&lt;&gt;F2719,F2719,"")</f>
        <v/>
      </c>
    </row>
    <row r="2720" customFormat="false" ht="15" hidden="false" customHeight="false" outlineLevel="0" collapsed="false">
      <c r="A2720" s="1" t="s">
        <v>295</v>
      </c>
      <c r="B2720" s="1" t="s">
        <v>296</v>
      </c>
      <c r="C2720" s="1" t="s">
        <v>918</v>
      </c>
      <c r="D2720" s="1" t="s">
        <v>919</v>
      </c>
      <c r="E2720" s="1" t="n">
        <v>20171</v>
      </c>
      <c r="F2720" s="1" t="s">
        <v>208</v>
      </c>
      <c r="G2720" s="1" t="s">
        <v>101</v>
      </c>
      <c r="H2720" s="1" t="n">
        <v>2.5</v>
      </c>
      <c r="I2720" s="1" t="n">
        <v>0</v>
      </c>
      <c r="J2720" s="1" t="n">
        <v>20201</v>
      </c>
      <c r="L2720" s="1" t="str">
        <f aca="false">IF(D2719&lt;&gt;D2720,D2720,"")</f>
        <v/>
      </c>
      <c r="M2720" s="1" t="str">
        <f aca="false">IF(F2719&lt;&gt;F2720,F2720,"")</f>
        <v/>
      </c>
    </row>
    <row r="2721" customFormat="false" ht="15" hidden="false" customHeight="false" outlineLevel="0" collapsed="false">
      <c r="A2721" s="1" t="s">
        <v>253</v>
      </c>
      <c r="B2721" s="1" t="s">
        <v>254</v>
      </c>
      <c r="C2721" s="1" t="s">
        <v>918</v>
      </c>
      <c r="D2721" s="1" t="s">
        <v>919</v>
      </c>
      <c r="E2721" s="1" t="n">
        <v>20171</v>
      </c>
      <c r="F2721" s="1" t="s">
        <v>208</v>
      </c>
      <c r="G2721" s="1" t="s">
        <v>101</v>
      </c>
      <c r="H2721" s="1" t="n">
        <v>2.5</v>
      </c>
      <c r="I2721" s="1" t="n">
        <v>0</v>
      </c>
      <c r="J2721" s="1" t="n">
        <v>20201</v>
      </c>
      <c r="L2721" s="1" t="str">
        <f aca="false">IF(D2720&lt;&gt;D2721,D2721,"")</f>
        <v/>
      </c>
      <c r="M2721" s="1" t="str">
        <f aca="false">IF(F2720&lt;&gt;F2721,F2721,"")</f>
        <v/>
      </c>
    </row>
    <row r="2722" customFormat="false" ht="15" hidden="false" customHeight="false" outlineLevel="0" collapsed="false">
      <c r="A2722" s="1" t="s">
        <v>723</v>
      </c>
      <c r="B2722" s="1" t="s">
        <v>724</v>
      </c>
      <c r="C2722" s="1" t="s">
        <v>918</v>
      </c>
      <c r="D2722" s="1" t="s">
        <v>919</v>
      </c>
      <c r="E2722" s="1" t="n">
        <v>20171</v>
      </c>
      <c r="F2722" s="1" t="s">
        <v>208</v>
      </c>
      <c r="G2722" s="1" t="s">
        <v>101</v>
      </c>
      <c r="H2722" s="1" t="n">
        <v>2.5</v>
      </c>
      <c r="I2722" s="1" t="n">
        <v>0</v>
      </c>
      <c r="J2722" s="1" t="n">
        <v>20201</v>
      </c>
      <c r="L2722" s="1" t="str">
        <f aca="false">IF(D2721&lt;&gt;D2722,D2722,"")</f>
        <v/>
      </c>
      <c r="M2722" s="1" t="str">
        <f aca="false">IF(F2721&lt;&gt;F2722,F2722,"")</f>
        <v/>
      </c>
    </row>
    <row r="2723" customFormat="false" ht="15" hidden="false" customHeight="false" outlineLevel="0" collapsed="false">
      <c r="A2723" s="1" t="s">
        <v>255</v>
      </c>
      <c r="B2723" s="1" t="s">
        <v>256</v>
      </c>
      <c r="C2723" s="1" t="s">
        <v>918</v>
      </c>
      <c r="D2723" s="1" t="s">
        <v>919</v>
      </c>
      <c r="E2723" s="1" t="n">
        <v>20171</v>
      </c>
      <c r="F2723" s="1" t="s">
        <v>208</v>
      </c>
      <c r="G2723" s="1" t="s">
        <v>18</v>
      </c>
      <c r="H2723" s="1" t="n">
        <v>3</v>
      </c>
      <c r="I2723" s="1" t="n">
        <v>0</v>
      </c>
      <c r="J2723" s="1" t="n">
        <v>20201</v>
      </c>
      <c r="L2723" s="1" t="str">
        <f aca="false">IF(D2722&lt;&gt;D2723,D2723,"")</f>
        <v/>
      </c>
      <c r="M2723" s="1" t="str">
        <f aca="false">IF(F2722&lt;&gt;F2723,F2723,"")</f>
        <v/>
      </c>
    </row>
    <row r="2724" customFormat="false" ht="15" hidden="false" customHeight="false" outlineLevel="0" collapsed="false">
      <c r="A2724" s="1" t="s">
        <v>257</v>
      </c>
      <c r="B2724" s="1" t="s">
        <v>258</v>
      </c>
      <c r="C2724" s="1" t="s">
        <v>918</v>
      </c>
      <c r="D2724" s="1" t="s">
        <v>919</v>
      </c>
      <c r="E2724" s="1" t="n">
        <v>20171</v>
      </c>
      <c r="F2724" s="1" t="s">
        <v>208</v>
      </c>
      <c r="G2724" s="1" t="s">
        <v>18</v>
      </c>
      <c r="H2724" s="1" t="n">
        <v>3</v>
      </c>
      <c r="I2724" s="1" t="n">
        <v>0</v>
      </c>
      <c r="J2724" s="1" t="n">
        <v>20201</v>
      </c>
      <c r="L2724" s="1" t="str">
        <f aca="false">IF(D2723&lt;&gt;D2724,D2724,"")</f>
        <v/>
      </c>
      <c r="M2724" s="1" t="str">
        <f aca="false">IF(F2723&lt;&gt;F2724,F2724,"")</f>
        <v/>
      </c>
    </row>
    <row r="2725" customFormat="false" ht="15" hidden="false" customHeight="false" outlineLevel="0" collapsed="false">
      <c r="A2725" s="1" t="s">
        <v>549</v>
      </c>
      <c r="B2725" s="1" t="s">
        <v>550</v>
      </c>
      <c r="C2725" s="1" t="s">
        <v>918</v>
      </c>
      <c r="D2725" s="1" t="s">
        <v>919</v>
      </c>
      <c r="E2725" s="1" t="n">
        <v>20171</v>
      </c>
      <c r="F2725" s="1" t="s">
        <v>208</v>
      </c>
      <c r="G2725" s="1" t="s">
        <v>18</v>
      </c>
      <c r="H2725" s="1" t="n">
        <v>3</v>
      </c>
      <c r="I2725" s="1" t="n">
        <v>0</v>
      </c>
      <c r="J2725" s="1" t="n">
        <v>20201</v>
      </c>
      <c r="L2725" s="1" t="str">
        <f aca="false">IF(D2724&lt;&gt;D2725,D2725,"")</f>
        <v/>
      </c>
      <c r="M2725" s="1" t="str">
        <f aca="false">IF(F2724&lt;&gt;F2725,F2725,"")</f>
        <v/>
      </c>
    </row>
    <row r="2726" customFormat="false" ht="15" hidden="false" customHeight="false" outlineLevel="0" collapsed="false">
      <c r="A2726" s="1" t="s">
        <v>725</v>
      </c>
      <c r="B2726" s="1" t="s">
        <v>726</v>
      </c>
      <c r="C2726" s="1" t="s">
        <v>918</v>
      </c>
      <c r="D2726" s="1" t="s">
        <v>919</v>
      </c>
      <c r="E2726" s="1" t="n">
        <v>20171</v>
      </c>
      <c r="F2726" s="1" t="s">
        <v>208</v>
      </c>
      <c r="G2726" s="1" t="s">
        <v>18</v>
      </c>
      <c r="H2726" s="1" t="n">
        <v>3</v>
      </c>
      <c r="I2726" s="1" t="n">
        <v>0</v>
      </c>
      <c r="J2726" s="1" t="n">
        <v>20201</v>
      </c>
      <c r="L2726" s="1" t="str">
        <f aca="false">IF(D2725&lt;&gt;D2726,D2726,"")</f>
        <v/>
      </c>
      <c r="M2726" s="1" t="str">
        <f aca="false">IF(F2725&lt;&gt;F2726,F2726,"")</f>
        <v/>
      </c>
    </row>
    <row r="2727" customFormat="false" ht="15" hidden="false" customHeight="false" outlineLevel="0" collapsed="false">
      <c r="A2727" s="1" t="s">
        <v>297</v>
      </c>
      <c r="B2727" s="1" t="s">
        <v>298</v>
      </c>
      <c r="C2727" s="1" t="s">
        <v>918</v>
      </c>
      <c r="D2727" s="1" t="s">
        <v>919</v>
      </c>
      <c r="E2727" s="1" t="n">
        <v>20171</v>
      </c>
      <c r="F2727" s="1" t="s">
        <v>208</v>
      </c>
      <c r="G2727" s="1" t="s">
        <v>18</v>
      </c>
      <c r="H2727" s="1" t="n">
        <v>3</v>
      </c>
      <c r="I2727" s="1" t="n">
        <v>0</v>
      </c>
      <c r="J2727" s="1" t="n">
        <v>20201</v>
      </c>
      <c r="L2727" s="1" t="str">
        <f aca="false">IF(D2726&lt;&gt;D2727,D2727,"")</f>
        <v/>
      </c>
      <c r="M2727" s="1" t="str">
        <f aca="false">IF(F2726&lt;&gt;F2727,F2727,"")</f>
        <v/>
      </c>
    </row>
    <row r="2728" customFormat="false" ht="15" hidden="false" customHeight="false" outlineLevel="0" collapsed="false">
      <c r="A2728" s="1" t="s">
        <v>832</v>
      </c>
      <c r="B2728" s="1" t="s">
        <v>833</v>
      </c>
      <c r="C2728" s="1" t="s">
        <v>918</v>
      </c>
      <c r="D2728" s="1" t="s">
        <v>919</v>
      </c>
      <c r="E2728" s="1" t="n">
        <v>20171</v>
      </c>
      <c r="F2728" s="1" t="s">
        <v>208</v>
      </c>
      <c r="G2728" s="1" t="s">
        <v>101</v>
      </c>
      <c r="H2728" s="1" t="n">
        <v>2.5</v>
      </c>
      <c r="I2728" s="1" t="n">
        <v>0</v>
      </c>
      <c r="J2728" s="1" t="n">
        <v>20201</v>
      </c>
      <c r="L2728" s="1" t="str">
        <f aca="false">IF(D2727&lt;&gt;D2728,D2728,"")</f>
        <v/>
      </c>
      <c r="M2728" s="1" t="str">
        <f aca="false">IF(F2727&lt;&gt;F2728,F2728,"")</f>
        <v/>
      </c>
    </row>
    <row r="2729" customFormat="false" ht="15" hidden="false" customHeight="false" outlineLevel="0" collapsed="false">
      <c r="A2729" s="1" t="s">
        <v>200</v>
      </c>
      <c r="B2729" s="1" t="s">
        <v>201</v>
      </c>
      <c r="C2729" s="1" t="s">
        <v>918</v>
      </c>
      <c r="D2729" s="1" t="s">
        <v>919</v>
      </c>
      <c r="E2729" s="1" t="n">
        <v>20171</v>
      </c>
      <c r="F2729" s="1" t="s">
        <v>208</v>
      </c>
      <c r="G2729" s="1" t="s">
        <v>124</v>
      </c>
      <c r="H2729" s="1" t="n">
        <v>0</v>
      </c>
      <c r="I2729" s="1" t="n">
        <v>0</v>
      </c>
      <c r="J2729" s="1" t="n">
        <v>20201</v>
      </c>
      <c r="L2729" s="1" t="str">
        <f aca="false">IF(D2728&lt;&gt;D2729,D2729,"")</f>
        <v/>
      </c>
      <c r="M2729" s="1" t="str">
        <f aca="false">IF(F2728&lt;&gt;F2729,F2729,"")</f>
        <v/>
      </c>
    </row>
    <row r="2730" customFormat="false" ht="15" hidden="false" customHeight="false" outlineLevel="0" collapsed="false">
      <c r="A2730" s="1" t="s">
        <v>854</v>
      </c>
      <c r="B2730" s="1" t="s">
        <v>855</v>
      </c>
      <c r="C2730" s="1" t="s">
        <v>918</v>
      </c>
      <c r="D2730" s="1" t="s">
        <v>919</v>
      </c>
      <c r="E2730" s="1" t="n">
        <v>20171</v>
      </c>
      <c r="F2730" s="1" t="s">
        <v>208</v>
      </c>
      <c r="G2730" s="1" t="s">
        <v>18</v>
      </c>
      <c r="H2730" s="1" t="n">
        <v>3</v>
      </c>
      <c r="I2730" s="1" t="n">
        <v>0</v>
      </c>
      <c r="J2730" s="1" t="n">
        <v>20201</v>
      </c>
      <c r="L2730" s="1" t="str">
        <f aca="false">IF(D2729&lt;&gt;D2730,D2730,"")</f>
        <v/>
      </c>
      <c r="M2730" s="1" t="str">
        <f aca="false">IF(F2729&lt;&gt;F2730,F2730,"")</f>
        <v/>
      </c>
    </row>
    <row r="2731" customFormat="false" ht="15" hidden="false" customHeight="false" outlineLevel="0" collapsed="false">
      <c r="A2731" s="1" t="s">
        <v>904</v>
      </c>
      <c r="B2731" s="1" t="s">
        <v>905</v>
      </c>
      <c r="C2731" s="1" t="s">
        <v>920</v>
      </c>
      <c r="D2731" s="1" t="s">
        <v>921</v>
      </c>
      <c r="E2731" s="1" t="n">
        <v>20171</v>
      </c>
      <c r="F2731" s="1" t="s">
        <v>208</v>
      </c>
      <c r="G2731" s="1" t="s">
        <v>124</v>
      </c>
      <c r="H2731" s="1" t="n">
        <v>0</v>
      </c>
      <c r="I2731" s="1" t="n">
        <v>0</v>
      </c>
      <c r="J2731" s="1" t="n">
        <v>20201</v>
      </c>
      <c r="L2731" s="1" t="str">
        <f aca="false">IF(D2730&lt;&gt;D2731,D2731,"")</f>
        <v>PRAKTIKUM SISTEM TELEKOMUNIKASI</v>
      </c>
      <c r="M2731" s="1" t="str">
        <f aca="false">IF(F2730&lt;&gt;F2731,F2731,"")</f>
        <v/>
      </c>
    </row>
    <row r="2732" customFormat="false" ht="15" hidden="false" customHeight="false" outlineLevel="0" collapsed="false">
      <c r="A2732" s="1" t="s">
        <v>649</v>
      </c>
      <c r="B2732" s="1" t="s">
        <v>650</v>
      </c>
      <c r="C2732" s="1" t="s">
        <v>920</v>
      </c>
      <c r="D2732" s="1" t="s">
        <v>921</v>
      </c>
      <c r="E2732" s="1" t="n">
        <v>20171</v>
      </c>
      <c r="F2732" s="1" t="s">
        <v>208</v>
      </c>
      <c r="G2732" s="1" t="s">
        <v>15</v>
      </c>
      <c r="H2732" s="1" t="n">
        <v>3.5</v>
      </c>
      <c r="I2732" s="1" t="n">
        <v>0</v>
      </c>
      <c r="J2732" s="1" t="n">
        <v>20201</v>
      </c>
      <c r="L2732" s="1" t="str">
        <f aca="false">IF(D2731&lt;&gt;D2732,D2732,"")</f>
        <v/>
      </c>
      <c r="M2732" s="1" t="str">
        <f aca="false">IF(F2731&lt;&gt;F2732,F2732,"")</f>
        <v/>
      </c>
    </row>
    <row r="2733" customFormat="false" ht="15" hidden="false" customHeight="false" outlineLevel="0" collapsed="false">
      <c r="A2733" s="1" t="s">
        <v>611</v>
      </c>
      <c r="B2733" s="1" t="s">
        <v>612</v>
      </c>
      <c r="C2733" s="1" t="s">
        <v>920</v>
      </c>
      <c r="D2733" s="1" t="s">
        <v>921</v>
      </c>
      <c r="E2733" s="1" t="n">
        <v>20171</v>
      </c>
      <c r="F2733" s="1" t="s">
        <v>208</v>
      </c>
      <c r="G2733" s="1" t="s">
        <v>127</v>
      </c>
      <c r="H2733" s="1" t="n">
        <v>2</v>
      </c>
      <c r="I2733" s="1" t="n">
        <v>0</v>
      </c>
      <c r="J2733" s="1" t="n">
        <v>20201</v>
      </c>
      <c r="L2733" s="1" t="str">
        <f aca="false">IF(D2732&lt;&gt;D2733,D2733,"")</f>
        <v/>
      </c>
      <c r="M2733" s="1" t="str">
        <f aca="false">IF(F2732&lt;&gt;F2733,F2733,"")</f>
        <v/>
      </c>
    </row>
    <row r="2734" customFormat="false" ht="15" hidden="false" customHeight="false" outlineLevel="0" collapsed="false">
      <c r="A2734" s="1" t="s">
        <v>777</v>
      </c>
      <c r="B2734" s="1" t="s">
        <v>778</v>
      </c>
      <c r="C2734" s="1" t="s">
        <v>920</v>
      </c>
      <c r="D2734" s="1" t="s">
        <v>921</v>
      </c>
      <c r="E2734" s="1" t="n">
        <v>20171</v>
      </c>
      <c r="F2734" s="1" t="s">
        <v>208</v>
      </c>
      <c r="G2734" s="1" t="s">
        <v>18</v>
      </c>
      <c r="H2734" s="1" t="n">
        <v>3</v>
      </c>
      <c r="I2734" s="1" t="n">
        <v>0</v>
      </c>
      <c r="J2734" s="1" t="n">
        <v>20201</v>
      </c>
      <c r="L2734" s="1" t="str">
        <f aca="false">IF(D2733&lt;&gt;D2734,D2734,"")</f>
        <v/>
      </c>
      <c r="M2734" s="1" t="str">
        <f aca="false">IF(F2733&lt;&gt;F2734,F2734,"")</f>
        <v/>
      </c>
    </row>
    <row r="2735" customFormat="false" ht="15" hidden="false" customHeight="false" outlineLevel="0" collapsed="false">
      <c r="A2735" s="1" t="s">
        <v>655</v>
      </c>
      <c r="B2735" s="1" t="s">
        <v>656</v>
      </c>
      <c r="C2735" s="1" t="s">
        <v>920</v>
      </c>
      <c r="D2735" s="1" t="s">
        <v>921</v>
      </c>
      <c r="E2735" s="1" t="n">
        <v>20171</v>
      </c>
      <c r="F2735" s="1" t="s">
        <v>208</v>
      </c>
      <c r="G2735" s="1" t="s">
        <v>23</v>
      </c>
      <c r="H2735" s="1" t="n">
        <v>0</v>
      </c>
      <c r="I2735" s="1" t="n">
        <v>0</v>
      </c>
      <c r="J2735" s="1" t="n">
        <v>20201</v>
      </c>
      <c r="L2735" s="1" t="str">
        <f aca="false">IF(D2734&lt;&gt;D2735,D2735,"")</f>
        <v/>
      </c>
      <c r="M2735" s="1" t="str">
        <f aca="false">IF(F2734&lt;&gt;F2735,F2735,"")</f>
        <v/>
      </c>
    </row>
    <row r="2736" customFormat="false" ht="15" hidden="false" customHeight="false" outlineLevel="0" collapsed="false">
      <c r="A2736" s="1" t="s">
        <v>259</v>
      </c>
      <c r="B2736" s="1" t="s">
        <v>260</v>
      </c>
      <c r="C2736" s="1" t="s">
        <v>920</v>
      </c>
      <c r="D2736" s="1" t="s">
        <v>921</v>
      </c>
      <c r="E2736" s="1" t="n">
        <v>20171</v>
      </c>
      <c r="F2736" s="1" t="s">
        <v>208</v>
      </c>
      <c r="G2736" s="1" t="s">
        <v>127</v>
      </c>
      <c r="H2736" s="1" t="n">
        <v>2</v>
      </c>
      <c r="I2736" s="1" t="n">
        <v>0</v>
      </c>
      <c r="J2736" s="1" t="n">
        <v>20201</v>
      </c>
      <c r="L2736" s="1" t="str">
        <f aca="false">IF(D2735&lt;&gt;D2736,D2736,"")</f>
        <v/>
      </c>
      <c r="M2736" s="1" t="str">
        <f aca="false">IF(F2735&lt;&gt;F2736,F2736,"")</f>
        <v/>
      </c>
    </row>
    <row r="2737" customFormat="false" ht="15" hidden="false" customHeight="false" outlineLevel="0" collapsed="false">
      <c r="A2737" s="1" t="s">
        <v>804</v>
      </c>
      <c r="B2737" s="1" t="s">
        <v>805</v>
      </c>
      <c r="C2737" s="1" t="s">
        <v>920</v>
      </c>
      <c r="D2737" s="1" t="s">
        <v>921</v>
      </c>
      <c r="E2737" s="1" t="n">
        <v>20171</v>
      </c>
      <c r="F2737" s="1" t="s">
        <v>208</v>
      </c>
      <c r="G2737" s="1" t="s">
        <v>101</v>
      </c>
      <c r="H2737" s="1" t="n">
        <v>2.5</v>
      </c>
      <c r="I2737" s="1" t="n">
        <v>0</v>
      </c>
      <c r="J2737" s="1" t="n">
        <v>20201</v>
      </c>
      <c r="L2737" s="1" t="str">
        <f aca="false">IF(D2736&lt;&gt;D2737,D2737,"")</f>
        <v/>
      </c>
      <c r="M2737" s="1" t="str">
        <f aca="false">IF(F2736&lt;&gt;F2737,F2737,"")</f>
        <v/>
      </c>
    </row>
    <row r="2738" customFormat="false" ht="15" hidden="false" customHeight="false" outlineLevel="0" collapsed="false">
      <c r="A2738" s="1" t="s">
        <v>806</v>
      </c>
      <c r="B2738" s="1" t="s">
        <v>807</v>
      </c>
      <c r="C2738" s="1" t="s">
        <v>920</v>
      </c>
      <c r="D2738" s="1" t="s">
        <v>921</v>
      </c>
      <c r="E2738" s="1" t="n">
        <v>20171</v>
      </c>
      <c r="F2738" s="1" t="s">
        <v>208</v>
      </c>
      <c r="G2738" s="1" t="s">
        <v>15</v>
      </c>
      <c r="H2738" s="1" t="n">
        <v>3.5</v>
      </c>
      <c r="I2738" s="1" t="n">
        <v>0</v>
      </c>
      <c r="J2738" s="1" t="n">
        <v>20201</v>
      </c>
      <c r="L2738" s="1" t="str">
        <f aca="false">IF(D2737&lt;&gt;D2738,D2738,"")</f>
        <v/>
      </c>
      <c r="M2738" s="1" t="str">
        <f aca="false">IF(F2737&lt;&gt;F2738,F2738,"")</f>
        <v/>
      </c>
    </row>
    <row r="2739" customFormat="false" ht="15" hidden="false" customHeight="false" outlineLevel="0" collapsed="false">
      <c r="A2739" s="1" t="s">
        <v>21</v>
      </c>
      <c r="B2739" s="1" t="s">
        <v>22</v>
      </c>
      <c r="C2739" s="1" t="s">
        <v>920</v>
      </c>
      <c r="D2739" s="1" t="s">
        <v>921</v>
      </c>
      <c r="E2739" s="1" t="n">
        <v>20171</v>
      </c>
      <c r="F2739" s="1" t="s">
        <v>208</v>
      </c>
      <c r="G2739" s="1" t="s">
        <v>127</v>
      </c>
      <c r="H2739" s="1" t="n">
        <v>2</v>
      </c>
      <c r="I2739" s="1" t="n">
        <v>0</v>
      </c>
      <c r="J2739" s="1" t="n">
        <v>20201</v>
      </c>
      <c r="L2739" s="1" t="str">
        <f aca="false">IF(D2738&lt;&gt;D2739,D2739,"")</f>
        <v/>
      </c>
      <c r="M2739" s="1" t="str">
        <f aca="false">IF(F2738&lt;&gt;F2739,F2739,"")</f>
        <v/>
      </c>
    </row>
    <row r="2740" customFormat="false" ht="15" hidden="false" customHeight="false" outlineLevel="0" collapsed="false">
      <c r="A2740" s="1" t="s">
        <v>625</v>
      </c>
      <c r="B2740" s="1" t="s">
        <v>626</v>
      </c>
      <c r="C2740" s="1" t="s">
        <v>920</v>
      </c>
      <c r="D2740" s="1" t="s">
        <v>921</v>
      </c>
      <c r="E2740" s="1" t="n">
        <v>20171</v>
      </c>
      <c r="F2740" s="1" t="s">
        <v>208</v>
      </c>
      <c r="G2740" s="1" t="s">
        <v>124</v>
      </c>
      <c r="H2740" s="1" t="n">
        <v>0</v>
      </c>
      <c r="I2740" s="1" t="n">
        <v>0</v>
      </c>
      <c r="J2740" s="1" t="n">
        <v>20201</v>
      </c>
      <c r="L2740" s="1" t="str">
        <f aca="false">IF(D2739&lt;&gt;D2740,D2740,"")</f>
        <v/>
      </c>
      <c r="M2740" s="1" t="str">
        <f aca="false">IF(F2739&lt;&gt;F2740,F2740,"")</f>
        <v/>
      </c>
    </row>
    <row r="2741" customFormat="false" ht="15" hidden="false" customHeight="false" outlineLevel="0" collapsed="false">
      <c r="A2741" s="1" t="s">
        <v>816</v>
      </c>
      <c r="B2741" s="1" t="s">
        <v>817</v>
      </c>
      <c r="C2741" s="1" t="s">
        <v>920</v>
      </c>
      <c r="D2741" s="1" t="s">
        <v>921</v>
      </c>
      <c r="E2741" s="1" t="n">
        <v>20171</v>
      </c>
      <c r="F2741" s="1" t="s">
        <v>208</v>
      </c>
      <c r="G2741" s="1" t="s">
        <v>18</v>
      </c>
      <c r="H2741" s="1" t="n">
        <v>3</v>
      </c>
      <c r="I2741" s="1" t="n">
        <v>0</v>
      </c>
      <c r="J2741" s="1" t="n">
        <v>20201</v>
      </c>
      <c r="L2741" s="1" t="str">
        <f aca="false">IF(D2740&lt;&gt;D2741,D2741,"")</f>
        <v/>
      </c>
      <c r="M2741" s="1" t="str">
        <f aca="false">IF(F2740&lt;&gt;F2741,F2741,"")</f>
        <v/>
      </c>
    </row>
    <row r="2742" customFormat="false" ht="15" hidden="false" customHeight="false" outlineLevel="0" collapsed="false">
      <c r="A2742" s="1" t="s">
        <v>263</v>
      </c>
      <c r="B2742" s="1" t="s">
        <v>264</v>
      </c>
      <c r="C2742" s="1" t="s">
        <v>920</v>
      </c>
      <c r="D2742" s="1" t="s">
        <v>921</v>
      </c>
      <c r="E2742" s="1" t="n">
        <v>20171</v>
      </c>
      <c r="F2742" s="1" t="s">
        <v>208</v>
      </c>
      <c r="G2742" s="1" t="s">
        <v>124</v>
      </c>
      <c r="H2742" s="1" t="n">
        <v>0</v>
      </c>
      <c r="I2742" s="1" t="n">
        <v>0</v>
      </c>
      <c r="J2742" s="1" t="n">
        <v>20201</v>
      </c>
      <c r="L2742" s="1" t="str">
        <f aca="false">IF(D2741&lt;&gt;D2742,D2742,"")</f>
        <v/>
      </c>
      <c r="M2742" s="1" t="str">
        <f aca="false">IF(F2741&lt;&gt;F2742,F2742,"")</f>
        <v/>
      </c>
    </row>
    <row r="2743" customFormat="false" ht="15" hidden="false" customHeight="false" outlineLevel="0" collapsed="false">
      <c r="A2743" s="1" t="s">
        <v>265</v>
      </c>
      <c r="B2743" s="1" t="s">
        <v>266</v>
      </c>
      <c r="C2743" s="1" t="s">
        <v>920</v>
      </c>
      <c r="D2743" s="1" t="s">
        <v>921</v>
      </c>
      <c r="E2743" s="1" t="n">
        <v>20171</v>
      </c>
      <c r="F2743" s="1" t="s">
        <v>208</v>
      </c>
      <c r="G2743" s="1" t="s">
        <v>127</v>
      </c>
      <c r="H2743" s="1" t="n">
        <v>2</v>
      </c>
      <c r="I2743" s="1" t="n">
        <v>0</v>
      </c>
      <c r="J2743" s="1" t="n">
        <v>20201</v>
      </c>
      <c r="L2743" s="1" t="str">
        <f aca="false">IF(D2742&lt;&gt;D2743,D2743,"")</f>
        <v/>
      </c>
      <c r="M2743" s="1" t="str">
        <f aca="false">IF(F2742&lt;&gt;F2743,F2743,"")</f>
        <v/>
      </c>
    </row>
    <row r="2744" customFormat="false" ht="15" hidden="false" customHeight="false" outlineLevel="0" collapsed="false">
      <c r="A2744" s="1" t="s">
        <v>267</v>
      </c>
      <c r="B2744" s="1" t="s">
        <v>268</v>
      </c>
      <c r="C2744" s="1" t="s">
        <v>920</v>
      </c>
      <c r="D2744" s="1" t="s">
        <v>921</v>
      </c>
      <c r="E2744" s="1" t="n">
        <v>20171</v>
      </c>
      <c r="F2744" s="1" t="s">
        <v>208</v>
      </c>
      <c r="G2744" s="1" t="s">
        <v>18</v>
      </c>
      <c r="H2744" s="1" t="n">
        <v>3</v>
      </c>
      <c r="I2744" s="1" t="n">
        <v>0</v>
      </c>
      <c r="J2744" s="1" t="n">
        <v>20201</v>
      </c>
      <c r="L2744" s="1" t="str">
        <f aca="false">IF(D2743&lt;&gt;D2744,D2744,"")</f>
        <v/>
      </c>
      <c r="M2744" s="1" t="str">
        <f aca="false">IF(F2743&lt;&gt;F2744,F2744,"")</f>
        <v/>
      </c>
    </row>
    <row r="2745" customFormat="false" ht="15" hidden="false" customHeight="false" outlineLevel="0" collapsed="false">
      <c r="A2745" s="1" t="s">
        <v>269</v>
      </c>
      <c r="B2745" s="1" t="s">
        <v>270</v>
      </c>
      <c r="C2745" s="1" t="s">
        <v>920</v>
      </c>
      <c r="D2745" s="1" t="s">
        <v>921</v>
      </c>
      <c r="E2745" s="1" t="n">
        <v>20171</v>
      </c>
      <c r="F2745" s="1" t="s">
        <v>208</v>
      </c>
      <c r="G2745" s="1" t="s">
        <v>18</v>
      </c>
      <c r="H2745" s="1" t="n">
        <v>3</v>
      </c>
      <c r="I2745" s="1" t="n">
        <v>0</v>
      </c>
      <c r="J2745" s="1" t="n">
        <v>20201</v>
      </c>
      <c r="L2745" s="1" t="str">
        <f aca="false">IF(D2744&lt;&gt;D2745,D2745,"")</f>
        <v/>
      </c>
      <c r="M2745" s="1" t="str">
        <f aca="false">IF(F2744&lt;&gt;F2745,F2745,"")</f>
        <v/>
      </c>
    </row>
    <row r="2746" customFormat="false" ht="15" hidden="false" customHeight="false" outlineLevel="0" collapsed="false">
      <c r="A2746" s="1" t="s">
        <v>271</v>
      </c>
      <c r="B2746" s="1" t="s">
        <v>272</v>
      </c>
      <c r="C2746" s="1" t="s">
        <v>920</v>
      </c>
      <c r="D2746" s="1" t="s">
        <v>921</v>
      </c>
      <c r="E2746" s="1" t="n">
        <v>20171</v>
      </c>
      <c r="F2746" s="1" t="s">
        <v>208</v>
      </c>
      <c r="G2746" s="1" t="s">
        <v>127</v>
      </c>
      <c r="H2746" s="1" t="n">
        <v>2</v>
      </c>
      <c r="I2746" s="1" t="n">
        <v>0</v>
      </c>
      <c r="J2746" s="1" t="n">
        <v>20201</v>
      </c>
      <c r="L2746" s="1" t="str">
        <f aca="false">IF(D2745&lt;&gt;D2746,D2746,"")</f>
        <v/>
      </c>
      <c r="M2746" s="1" t="str">
        <f aca="false">IF(F2745&lt;&gt;F2746,F2746,"")</f>
        <v/>
      </c>
    </row>
    <row r="2747" customFormat="false" ht="15" hidden="false" customHeight="false" outlineLevel="0" collapsed="false">
      <c r="A2747" s="1" t="s">
        <v>273</v>
      </c>
      <c r="B2747" s="1" t="s">
        <v>274</v>
      </c>
      <c r="C2747" s="1" t="s">
        <v>920</v>
      </c>
      <c r="D2747" s="1" t="s">
        <v>921</v>
      </c>
      <c r="E2747" s="1" t="n">
        <v>20171</v>
      </c>
      <c r="F2747" s="1" t="s">
        <v>208</v>
      </c>
      <c r="G2747" s="1" t="s">
        <v>101</v>
      </c>
      <c r="H2747" s="1" t="n">
        <v>2.5</v>
      </c>
      <c r="I2747" s="1" t="n">
        <v>0</v>
      </c>
      <c r="J2747" s="1" t="n">
        <v>20201</v>
      </c>
      <c r="L2747" s="1" t="str">
        <f aca="false">IF(D2746&lt;&gt;D2747,D2747,"")</f>
        <v/>
      </c>
      <c r="M2747" s="1" t="str">
        <f aca="false">IF(F2746&lt;&gt;F2747,F2747,"")</f>
        <v/>
      </c>
    </row>
    <row r="2748" customFormat="false" ht="15" hidden="false" customHeight="false" outlineLevel="0" collapsed="false">
      <c r="A2748" s="1" t="s">
        <v>749</v>
      </c>
      <c r="B2748" s="1" t="s">
        <v>750</v>
      </c>
      <c r="C2748" s="1" t="s">
        <v>922</v>
      </c>
      <c r="D2748" s="1" t="s">
        <v>923</v>
      </c>
      <c r="E2748" s="1" t="n">
        <v>20171</v>
      </c>
      <c r="F2748" s="1" t="s">
        <v>208</v>
      </c>
      <c r="G2748" s="1" t="s">
        <v>101</v>
      </c>
      <c r="H2748" s="1" t="n">
        <v>2.5</v>
      </c>
      <c r="I2748" s="1" t="n">
        <v>0</v>
      </c>
      <c r="J2748" s="1" t="n">
        <v>20201</v>
      </c>
      <c r="L2748" s="1" t="str">
        <f aca="false">IF(D2747&lt;&gt;D2748,D2748,"")</f>
        <v>PRAKTIKUM TRANSMISI DAN DISTRIBUSI TL</v>
      </c>
      <c r="M2748" s="1" t="str">
        <f aca="false">IF(F2747&lt;&gt;F2748,F2748,"")</f>
        <v/>
      </c>
    </row>
    <row r="2749" customFormat="false" ht="15" hidden="false" customHeight="false" outlineLevel="0" collapsed="false">
      <c r="A2749" s="1" t="s">
        <v>204</v>
      </c>
      <c r="B2749" s="1" t="s">
        <v>205</v>
      </c>
      <c r="C2749" s="1" t="s">
        <v>922</v>
      </c>
      <c r="D2749" s="1" t="s">
        <v>923</v>
      </c>
      <c r="E2749" s="1" t="n">
        <v>20171</v>
      </c>
      <c r="F2749" s="1" t="s">
        <v>208</v>
      </c>
      <c r="G2749" s="1" t="s">
        <v>18</v>
      </c>
      <c r="H2749" s="1" t="n">
        <v>3</v>
      </c>
      <c r="I2749" s="1" t="n">
        <v>0</v>
      </c>
      <c r="J2749" s="1" t="n">
        <v>20201</v>
      </c>
      <c r="L2749" s="1" t="str">
        <f aca="false">IF(D2748&lt;&gt;D2749,D2749,"")</f>
        <v/>
      </c>
      <c r="M2749" s="1" t="str">
        <f aca="false">IF(F2748&lt;&gt;F2749,F2749,"")</f>
        <v/>
      </c>
    </row>
    <row r="2750" customFormat="false" ht="15" hidden="false" customHeight="false" outlineLevel="0" collapsed="false">
      <c r="A2750" s="1" t="s">
        <v>637</v>
      </c>
      <c r="B2750" s="1" t="s">
        <v>638</v>
      </c>
      <c r="C2750" s="1" t="s">
        <v>922</v>
      </c>
      <c r="D2750" s="1" t="s">
        <v>923</v>
      </c>
      <c r="E2750" s="1" t="n">
        <v>20171</v>
      </c>
      <c r="F2750" s="1" t="s">
        <v>208</v>
      </c>
      <c r="G2750" s="1" t="s">
        <v>514</v>
      </c>
      <c r="H2750" s="1" t="n">
        <v>1</v>
      </c>
      <c r="I2750" s="1" t="n">
        <v>0</v>
      </c>
      <c r="J2750" s="1" t="n">
        <v>20201</v>
      </c>
      <c r="L2750" s="1" t="str">
        <f aca="false">IF(D2749&lt;&gt;D2750,D2750,"")</f>
        <v/>
      </c>
      <c r="M2750" s="1" t="str">
        <f aca="false">IF(F2749&lt;&gt;F2750,F2750,"")</f>
        <v/>
      </c>
    </row>
    <row r="2751" customFormat="false" ht="15" hidden="false" customHeight="false" outlineLevel="0" collapsed="false">
      <c r="A2751" s="1" t="s">
        <v>643</v>
      </c>
      <c r="B2751" s="1" t="s">
        <v>644</v>
      </c>
      <c r="C2751" s="1" t="s">
        <v>922</v>
      </c>
      <c r="D2751" s="1" t="s">
        <v>923</v>
      </c>
      <c r="E2751" s="1" t="n">
        <v>20171</v>
      </c>
      <c r="F2751" s="1" t="s">
        <v>208</v>
      </c>
      <c r="G2751" s="1" t="s">
        <v>514</v>
      </c>
      <c r="H2751" s="1" t="n">
        <v>1</v>
      </c>
      <c r="I2751" s="1" t="n">
        <v>0</v>
      </c>
      <c r="J2751" s="1" t="n">
        <v>20201</v>
      </c>
      <c r="L2751" s="1" t="str">
        <f aca="false">IF(D2750&lt;&gt;D2751,D2751,"")</f>
        <v/>
      </c>
      <c r="M2751" s="1" t="str">
        <f aca="false">IF(F2750&lt;&gt;F2751,F2751,"")</f>
        <v/>
      </c>
    </row>
    <row r="2752" customFormat="false" ht="15" hidden="false" customHeight="false" outlineLevel="0" collapsed="false">
      <c r="A2752" s="1" t="s">
        <v>731</v>
      </c>
      <c r="B2752" s="1" t="s">
        <v>732</v>
      </c>
      <c r="C2752" s="1" t="s">
        <v>922</v>
      </c>
      <c r="D2752" s="1" t="s">
        <v>923</v>
      </c>
      <c r="E2752" s="1" t="n">
        <v>20171</v>
      </c>
      <c r="F2752" s="1" t="s">
        <v>208</v>
      </c>
      <c r="G2752" s="1" t="s">
        <v>101</v>
      </c>
      <c r="H2752" s="1" t="n">
        <v>2.5</v>
      </c>
      <c r="I2752" s="1" t="n">
        <v>0</v>
      </c>
      <c r="J2752" s="1" t="n">
        <v>20201</v>
      </c>
      <c r="L2752" s="1" t="str">
        <f aca="false">IF(D2751&lt;&gt;D2752,D2752,"")</f>
        <v/>
      </c>
      <c r="M2752" s="1" t="str">
        <f aca="false">IF(F2751&lt;&gt;F2752,F2752,"")</f>
        <v/>
      </c>
    </row>
    <row r="2753" customFormat="false" ht="15" hidden="false" customHeight="false" outlineLevel="0" collapsed="false">
      <c r="A2753" s="1" t="s">
        <v>798</v>
      </c>
      <c r="B2753" s="1" t="s">
        <v>799</v>
      </c>
      <c r="C2753" s="1" t="s">
        <v>922</v>
      </c>
      <c r="D2753" s="1" t="s">
        <v>923</v>
      </c>
      <c r="E2753" s="1" t="n">
        <v>20171</v>
      </c>
      <c r="F2753" s="1" t="s">
        <v>208</v>
      </c>
      <c r="G2753" s="1" t="s">
        <v>101</v>
      </c>
      <c r="H2753" s="1" t="n">
        <v>2.5</v>
      </c>
      <c r="I2753" s="1" t="n">
        <v>0</v>
      </c>
      <c r="J2753" s="1" t="n">
        <v>20201</v>
      </c>
      <c r="L2753" s="1" t="str">
        <f aca="false">IF(D2752&lt;&gt;D2753,D2753,"")</f>
        <v/>
      </c>
      <c r="M2753" s="1" t="str">
        <f aca="false">IF(F2752&lt;&gt;F2753,F2753,"")</f>
        <v/>
      </c>
    </row>
    <row r="2754" customFormat="false" ht="15" hidden="false" customHeight="false" outlineLevel="0" collapsed="false">
      <c r="A2754" s="1" t="s">
        <v>733</v>
      </c>
      <c r="B2754" s="1" t="s">
        <v>734</v>
      </c>
      <c r="C2754" s="1" t="s">
        <v>922</v>
      </c>
      <c r="D2754" s="1" t="s">
        <v>923</v>
      </c>
      <c r="E2754" s="1" t="n">
        <v>20171</v>
      </c>
      <c r="F2754" s="1" t="s">
        <v>208</v>
      </c>
      <c r="G2754" s="1" t="s">
        <v>101</v>
      </c>
      <c r="H2754" s="1" t="n">
        <v>2.5</v>
      </c>
      <c r="I2754" s="1" t="n">
        <v>0</v>
      </c>
      <c r="J2754" s="1" t="n">
        <v>20201</v>
      </c>
      <c r="L2754" s="1" t="str">
        <f aca="false">IF(D2753&lt;&gt;D2754,D2754,"")</f>
        <v/>
      </c>
      <c r="M2754" s="1" t="str">
        <f aca="false">IF(F2753&lt;&gt;F2754,F2754,"")</f>
        <v/>
      </c>
    </row>
    <row r="2755" customFormat="false" ht="15" hidden="false" customHeight="false" outlineLevel="0" collapsed="false">
      <c r="A2755" s="1" t="s">
        <v>651</v>
      </c>
      <c r="B2755" s="1" t="s">
        <v>652</v>
      </c>
      <c r="C2755" s="1" t="s">
        <v>922</v>
      </c>
      <c r="D2755" s="1" t="s">
        <v>923</v>
      </c>
      <c r="E2755" s="1" t="n">
        <v>20171</v>
      </c>
      <c r="F2755" s="1" t="s">
        <v>208</v>
      </c>
      <c r="G2755" s="1" t="s">
        <v>101</v>
      </c>
      <c r="H2755" s="1" t="n">
        <v>2.5</v>
      </c>
      <c r="I2755" s="1" t="n">
        <v>0</v>
      </c>
      <c r="J2755" s="1" t="n">
        <v>20201</v>
      </c>
      <c r="L2755" s="1" t="str">
        <f aca="false">IF(D2754&lt;&gt;D2755,D2755,"")</f>
        <v/>
      </c>
      <c r="M2755" s="1" t="str">
        <f aca="false">IF(F2754&lt;&gt;F2755,F2755,"")</f>
        <v/>
      </c>
    </row>
    <row r="2756" customFormat="false" ht="15" hidden="false" customHeight="false" outlineLevel="0" collapsed="false">
      <c r="A2756" s="1" t="s">
        <v>735</v>
      </c>
      <c r="B2756" s="1" t="s">
        <v>736</v>
      </c>
      <c r="C2756" s="1" t="s">
        <v>922</v>
      </c>
      <c r="D2756" s="1" t="s">
        <v>923</v>
      </c>
      <c r="E2756" s="1" t="n">
        <v>20171</v>
      </c>
      <c r="F2756" s="1" t="s">
        <v>208</v>
      </c>
      <c r="G2756" s="1" t="s">
        <v>23</v>
      </c>
      <c r="H2756" s="1" t="n">
        <v>0</v>
      </c>
      <c r="I2756" s="1" t="n">
        <v>0</v>
      </c>
      <c r="J2756" s="1" t="n">
        <v>20201</v>
      </c>
      <c r="L2756" s="1" t="str">
        <f aca="false">IF(D2755&lt;&gt;D2756,D2756,"")</f>
        <v/>
      </c>
      <c r="M2756" s="1" t="str">
        <f aca="false">IF(F2755&lt;&gt;F2756,F2756,"")</f>
        <v/>
      </c>
    </row>
    <row r="2757" customFormat="false" ht="15" hidden="false" customHeight="false" outlineLevel="0" collapsed="false">
      <c r="A2757" s="1" t="s">
        <v>755</v>
      </c>
      <c r="B2757" s="1" t="s">
        <v>756</v>
      </c>
      <c r="C2757" s="1" t="s">
        <v>922</v>
      </c>
      <c r="D2757" s="1" t="s">
        <v>923</v>
      </c>
      <c r="E2757" s="1" t="n">
        <v>20171</v>
      </c>
      <c r="F2757" s="1" t="s">
        <v>208</v>
      </c>
      <c r="G2757" s="1" t="s">
        <v>101</v>
      </c>
      <c r="H2757" s="1" t="n">
        <v>2.5</v>
      </c>
      <c r="I2757" s="1" t="n">
        <v>0</v>
      </c>
      <c r="J2757" s="1" t="n">
        <v>20201</v>
      </c>
      <c r="L2757" s="1" t="str">
        <f aca="false">IF(D2756&lt;&gt;D2757,D2757,"")</f>
        <v/>
      </c>
      <c r="M2757" s="1" t="str">
        <f aca="false">IF(F2756&lt;&gt;F2757,F2757,"")</f>
        <v/>
      </c>
    </row>
    <row r="2758" customFormat="false" ht="15" hidden="false" customHeight="false" outlineLevel="0" collapsed="false">
      <c r="A2758" s="1" t="s">
        <v>575</v>
      </c>
      <c r="B2758" s="1" t="s">
        <v>576</v>
      </c>
      <c r="C2758" s="1" t="s">
        <v>922</v>
      </c>
      <c r="D2758" s="1" t="s">
        <v>923</v>
      </c>
      <c r="E2758" s="1" t="n">
        <v>20171</v>
      </c>
      <c r="F2758" s="1" t="s">
        <v>208</v>
      </c>
      <c r="G2758" s="1" t="s">
        <v>101</v>
      </c>
      <c r="H2758" s="1" t="n">
        <v>2.5</v>
      </c>
      <c r="I2758" s="1" t="n">
        <v>0</v>
      </c>
      <c r="J2758" s="1" t="n">
        <v>20201</v>
      </c>
      <c r="L2758" s="1" t="str">
        <f aca="false">IF(D2757&lt;&gt;D2758,D2758,"")</f>
        <v/>
      </c>
      <c r="M2758" s="1" t="str">
        <f aca="false">IF(F2757&lt;&gt;F2758,F2758,"")</f>
        <v/>
      </c>
    </row>
    <row r="2759" customFormat="false" ht="15" hidden="false" customHeight="false" outlineLevel="0" collapsed="false">
      <c r="A2759" s="1" t="s">
        <v>601</v>
      </c>
      <c r="B2759" s="1" t="s">
        <v>602</v>
      </c>
      <c r="C2759" s="1" t="s">
        <v>922</v>
      </c>
      <c r="D2759" s="1" t="s">
        <v>923</v>
      </c>
      <c r="E2759" s="1" t="n">
        <v>20171</v>
      </c>
      <c r="F2759" s="1" t="s">
        <v>208</v>
      </c>
      <c r="G2759" s="1" t="s">
        <v>101</v>
      </c>
      <c r="H2759" s="1" t="n">
        <v>2.5</v>
      </c>
      <c r="I2759" s="1" t="n">
        <v>0</v>
      </c>
      <c r="J2759" s="1" t="n">
        <v>20201</v>
      </c>
      <c r="L2759" s="1" t="str">
        <f aca="false">IF(D2758&lt;&gt;D2759,D2759,"")</f>
        <v/>
      </c>
      <c r="M2759" s="1" t="str">
        <f aca="false">IF(F2758&lt;&gt;F2759,F2759,"")</f>
        <v/>
      </c>
    </row>
    <row r="2760" customFormat="false" ht="15" hidden="false" customHeight="false" outlineLevel="0" collapsed="false">
      <c r="A2760" s="1" t="s">
        <v>737</v>
      </c>
      <c r="B2760" s="1" t="s">
        <v>738</v>
      </c>
      <c r="C2760" s="1" t="s">
        <v>922</v>
      </c>
      <c r="D2760" s="1" t="s">
        <v>923</v>
      </c>
      <c r="E2760" s="1" t="n">
        <v>20171</v>
      </c>
      <c r="F2760" s="1" t="s">
        <v>208</v>
      </c>
      <c r="G2760" s="1" t="s">
        <v>101</v>
      </c>
      <c r="H2760" s="1" t="n">
        <v>2.5</v>
      </c>
      <c r="I2760" s="1" t="n">
        <v>0</v>
      </c>
      <c r="J2760" s="1" t="n">
        <v>20201</v>
      </c>
      <c r="L2760" s="1" t="str">
        <f aca="false">IF(D2759&lt;&gt;D2760,D2760,"")</f>
        <v/>
      </c>
      <c r="M2760" s="1" t="str">
        <f aca="false">IF(F2759&lt;&gt;F2760,F2760,"")</f>
        <v/>
      </c>
    </row>
    <row r="2761" customFormat="false" ht="15" hidden="false" customHeight="false" outlineLevel="0" collapsed="false">
      <c r="A2761" s="1" t="s">
        <v>810</v>
      </c>
      <c r="B2761" s="1" t="s">
        <v>811</v>
      </c>
      <c r="C2761" s="1" t="s">
        <v>922</v>
      </c>
      <c r="D2761" s="1" t="s">
        <v>923</v>
      </c>
      <c r="E2761" s="1" t="n">
        <v>20171</v>
      </c>
      <c r="F2761" s="1" t="s">
        <v>208</v>
      </c>
      <c r="G2761" s="1" t="s">
        <v>18</v>
      </c>
      <c r="H2761" s="1" t="n">
        <v>3</v>
      </c>
      <c r="I2761" s="1" t="n">
        <v>0</v>
      </c>
      <c r="J2761" s="1" t="n">
        <v>20201</v>
      </c>
      <c r="L2761" s="1" t="str">
        <f aca="false">IF(D2760&lt;&gt;D2761,D2761,"")</f>
        <v/>
      </c>
      <c r="M2761" s="1" t="str">
        <f aca="false">IF(F2760&lt;&gt;F2761,F2761,"")</f>
        <v/>
      </c>
    </row>
    <row r="2762" customFormat="false" ht="15" hidden="false" customHeight="false" outlineLevel="0" collapsed="false">
      <c r="A2762" s="1" t="s">
        <v>812</v>
      </c>
      <c r="B2762" s="1" t="s">
        <v>813</v>
      </c>
      <c r="C2762" s="1" t="s">
        <v>922</v>
      </c>
      <c r="D2762" s="1" t="s">
        <v>923</v>
      </c>
      <c r="E2762" s="1" t="n">
        <v>20171</v>
      </c>
      <c r="F2762" s="1" t="s">
        <v>208</v>
      </c>
      <c r="G2762" s="1" t="s">
        <v>18</v>
      </c>
      <c r="H2762" s="1" t="n">
        <v>3</v>
      </c>
      <c r="I2762" s="1" t="n">
        <v>0</v>
      </c>
      <c r="J2762" s="1" t="n">
        <v>20201</v>
      </c>
      <c r="L2762" s="1" t="str">
        <f aca="false">IF(D2761&lt;&gt;D2762,D2762,"")</f>
        <v/>
      </c>
      <c r="M2762" s="1" t="str">
        <f aca="false">IF(F2761&lt;&gt;F2762,F2762,"")</f>
        <v/>
      </c>
    </row>
    <row r="2763" customFormat="false" ht="15" hidden="false" customHeight="false" outlineLevel="0" collapsed="false">
      <c r="A2763" s="1" t="s">
        <v>627</v>
      </c>
      <c r="B2763" s="1" t="s">
        <v>628</v>
      </c>
      <c r="C2763" s="1" t="s">
        <v>922</v>
      </c>
      <c r="D2763" s="1" t="s">
        <v>923</v>
      </c>
      <c r="E2763" s="1" t="n">
        <v>20171</v>
      </c>
      <c r="F2763" s="1" t="s">
        <v>208</v>
      </c>
      <c r="G2763" s="1" t="s">
        <v>18</v>
      </c>
      <c r="H2763" s="1" t="n">
        <v>3</v>
      </c>
      <c r="I2763" s="1" t="n">
        <v>0</v>
      </c>
      <c r="J2763" s="1" t="n">
        <v>20201</v>
      </c>
      <c r="L2763" s="1" t="str">
        <f aca="false">IF(D2762&lt;&gt;D2763,D2763,"")</f>
        <v/>
      </c>
      <c r="M2763" s="1" t="str">
        <f aca="false">IF(F2762&lt;&gt;F2763,F2763,"")</f>
        <v/>
      </c>
    </row>
    <row r="2764" customFormat="false" ht="15" hidden="false" customHeight="false" outlineLevel="0" collapsed="false">
      <c r="A2764" s="1" t="s">
        <v>589</v>
      </c>
      <c r="B2764" s="1" t="s">
        <v>590</v>
      </c>
      <c r="C2764" s="1" t="s">
        <v>922</v>
      </c>
      <c r="D2764" s="1" t="s">
        <v>923</v>
      </c>
      <c r="E2764" s="1" t="n">
        <v>20171</v>
      </c>
      <c r="F2764" s="1" t="s">
        <v>208</v>
      </c>
      <c r="G2764" s="1" t="s">
        <v>18</v>
      </c>
      <c r="H2764" s="1" t="n">
        <v>3</v>
      </c>
      <c r="I2764" s="1" t="n">
        <v>0</v>
      </c>
      <c r="J2764" s="1" t="n">
        <v>20201</v>
      </c>
      <c r="L2764" s="1" t="str">
        <f aca="false">IF(D2763&lt;&gt;D2764,D2764,"")</f>
        <v/>
      </c>
      <c r="M2764" s="1" t="str">
        <f aca="false">IF(F2763&lt;&gt;F2764,F2764,"")</f>
        <v/>
      </c>
    </row>
    <row r="2765" customFormat="false" ht="15" hidden="false" customHeight="false" outlineLevel="0" collapsed="false">
      <c r="A2765" s="1" t="s">
        <v>769</v>
      </c>
      <c r="B2765" s="1" t="s">
        <v>770</v>
      </c>
      <c r="C2765" s="1" t="s">
        <v>922</v>
      </c>
      <c r="D2765" s="1" t="s">
        <v>923</v>
      </c>
      <c r="E2765" s="1" t="n">
        <v>20171</v>
      </c>
      <c r="F2765" s="1" t="s">
        <v>208</v>
      </c>
      <c r="G2765" s="1" t="s">
        <v>18</v>
      </c>
      <c r="H2765" s="1" t="n">
        <v>3</v>
      </c>
      <c r="I2765" s="1" t="n">
        <v>0</v>
      </c>
      <c r="J2765" s="1" t="n">
        <v>20201</v>
      </c>
      <c r="L2765" s="1" t="str">
        <f aca="false">IF(D2764&lt;&gt;D2765,D2765,"")</f>
        <v/>
      </c>
      <c r="M2765" s="1" t="str">
        <f aca="false">IF(F2764&lt;&gt;F2765,F2765,"")</f>
        <v/>
      </c>
    </row>
    <row r="2766" customFormat="false" ht="15" hidden="false" customHeight="false" outlineLevel="0" collapsed="false">
      <c r="A2766" s="1" t="s">
        <v>771</v>
      </c>
      <c r="B2766" s="1" t="s">
        <v>772</v>
      </c>
      <c r="C2766" s="1" t="s">
        <v>922</v>
      </c>
      <c r="D2766" s="1" t="s">
        <v>923</v>
      </c>
      <c r="E2766" s="1" t="n">
        <v>20171</v>
      </c>
      <c r="F2766" s="1" t="s">
        <v>208</v>
      </c>
      <c r="G2766" s="1" t="s">
        <v>18</v>
      </c>
      <c r="H2766" s="1" t="n">
        <v>3</v>
      </c>
      <c r="I2766" s="1" t="n">
        <v>0</v>
      </c>
      <c r="J2766" s="1" t="n">
        <v>20201</v>
      </c>
      <c r="L2766" s="1" t="str">
        <f aca="false">IF(D2765&lt;&gt;D2766,D2766,"")</f>
        <v/>
      </c>
      <c r="M2766" s="1" t="str">
        <f aca="false">IF(F2765&lt;&gt;F2766,F2766,"")</f>
        <v/>
      </c>
    </row>
    <row r="2767" customFormat="false" ht="15" hidden="false" customHeight="false" outlineLevel="0" collapsed="false">
      <c r="A2767" s="1" t="s">
        <v>826</v>
      </c>
      <c r="B2767" s="1" t="s">
        <v>827</v>
      </c>
      <c r="C2767" s="1" t="s">
        <v>922</v>
      </c>
      <c r="D2767" s="1" t="s">
        <v>923</v>
      </c>
      <c r="E2767" s="1" t="n">
        <v>20171</v>
      </c>
      <c r="F2767" s="1" t="s">
        <v>208</v>
      </c>
      <c r="G2767" s="1" t="s">
        <v>101</v>
      </c>
      <c r="H2767" s="1" t="n">
        <v>2.5</v>
      </c>
      <c r="I2767" s="1" t="n">
        <v>0</v>
      </c>
      <c r="J2767" s="1" t="n">
        <v>20201</v>
      </c>
      <c r="L2767" s="1" t="str">
        <f aca="false">IF(D2766&lt;&gt;D2767,D2767,"")</f>
        <v/>
      </c>
      <c r="M2767" s="1" t="str">
        <f aca="false">IF(F2766&lt;&gt;F2767,F2767,"")</f>
        <v/>
      </c>
    </row>
    <row r="2768" customFormat="false" ht="15" hidden="false" customHeight="false" outlineLevel="0" collapsed="false">
      <c r="A2768" s="1" t="s">
        <v>773</v>
      </c>
      <c r="B2768" s="1" t="s">
        <v>774</v>
      </c>
      <c r="C2768" s="1" t="s">
        <v>922</v>
      </c>
      <c r="D2768" s="1" t="s">
        <v>923</v>
      </c>
      <c r="E2768" s="1" t="n">
        <v>20171</v>
      </c>
      <c r="F2768" s="1" t="s">
        <v>208</v>
      </c>
      <c r="G2768" s="1" t="s">
        <v>101</v>
      </c>
      <c r="H2768" s="1" t="n">
        <v>2.5</v>
      </c>
      <c r="I2768" s="1" t="n">
        <v>0</v>
      </c>
      <c r="J2768" s="1" t="n">
        <v>20201</v>
      </c>
      <c r="L2768" s="1" t="str">
        <f aca="false">IF(D2767&lt;&gt;D2768,D2768,"")</f>
        <v/>
      </c>
      <c r="M2768" s="1" t="str">
        <f aca="false">IF(F2767&lt;&gt;F2768,F2768,"")</f>
        <v/>
      </c>
    </row>
    <row r="2769" customFormat="false" ht="15" hidden="false" customHeight="false" outlineLevel="0" collapsed="false">
      <c r="A2769" s="1" t="s">
        <v>202</v>
      </c>
      <c r="B2769" s="1" t="s">
        <v>203</v>
      </c>
      <c r="C2769" s="1" t="s">
        <v>922</v>
      </c>
      <c r="D2769" s="1" t="s">
        <v>923</v>
      </c>
      <c r="E2769" s="1" t="n">
        <v>20171</v>
      </c>
      <c r="F2769" s="1" t="s">
        <v>208</v>
      </c>
      <c r="G2769" s="1" t="s">
        <v>101</v>
      </c>
      <c r="H2769" s="1" t="n">
        <v>2.5</v>
      </c>
      <c r="I2769" s="1" t="n">
        <v>0</v>
      </c>
      <c r="J2769" s="1" t="n">
        <v>20201</v>
      </c>
      <c r="L2769" s="1" t="str">
        <f aca="false">IF(D2768&lt;&gt;D2769,D2769,"")</f>
        <v/>
      </c>
      <c r="M2769" s="1" t="str">
        <f aca="false">IF(F2768&lt;&gt;F2769,F2769,"")</f>
        <v/>
      </c>
    </row>
    <row r="2770" customFormat="false" ht="15" hidden="false" customHeight="false" outlineLevel="0" collapsed="false">
      <c r="A2770" s="1" t="s">
        <v>751</v>
      </c>
      <c r="B2770" s="1" t="s">
        <v>752</v>
      </c>
      <c r="C2770" s="1" t="s">
        <v>922</v>
      </c>
      <c r="D2770" s="1" t="s">
        <v>923</v>
      </c>
      <c r="E2770" s="1" t="n">
        <v>20171</v>
      </c>
      <c r="F2770" s="1" t="s">
        <v>208</v>
      </c>
      <c r="G2770" s="1" t="s">
        <v>101</v>
      </c>
      <c r="H2770" s="1" t="n">
        <v>2.5</v>
      </c>
      <c r="I2770" s="1" t="n">
        <v>0</v>
      </c>
      <c r="J2770" s="1" t="n">
        <v>20201</v>
      </c>
      <c r="L2770" s="1" t="str">
        <f aca="false">IF(D2769&lt;&gt;D2770,D2770,"")</f>
        <v/>
      </c>
      <c r="M2770" s="1" t="str">
        <f aca="false">IF(F2769&lt;&gt;F2770,F2770,"")</f>
        <v/>
      </c>
    </row>
    <row r="2771" customFormat="false" ht="15" hidden="false" customHeight="false" outlineLevel="0" collapsed="false">
      <c r="A2771" s="1" t="s">
        <v>739</v>
      </c>
      <c r="B2771" s="1" t="s">
        <v>740</v>
      </c>
      <c r="C2771" s="1" t="s">
        <v>922</v>
      </c>
      <c r="D2771" s="1" t="s">
        <v>923</v>
      </c>
      <c r="E2771" s="1" t="n">
        <v>20171</v>
      </c>
      <c r="F2771" s="1" t="s">
        <v>208</v>
      </c>
      <c r="G2771" s="1" t="s">
        <v>23</v>
      </c>
      <c r="H2771" s="1" t="n">
        <v>0</v>
      </c>
      <c r="I2771" s="1" t="n">
        <v>0</v>
      </c>
      <c r="J2771" s="1" t="n">
        <v>20201</v>
      </c>
      <c r="L2771" s="1" t="str">
        <f aca="false">IF(D2770&lt;&gt;D2771,D2771,"")</f>
        <v/>
      </c>
      <c r="M2771" s="1" t="str">
        <f aca="false">IF(F2770&lt;&gt;F2771,F2771,"")</f>
        <v/>
      </c>
    </row>
    <row r="2772" customFormat="false" ht="15" hidden="false" customHeight="false" outlineLevel="0" collapsed="false">
      <c r="A2772" s="1" t="s">
        <v>209</v>
      </c>
      <c r="B2772" s="1" t="s">
        <v>210</v>
      </c>
      <c r="C2772" s="1" t="s">
        <v>922</v>
      </c>
      <c r="D2772" s="1" t="s">
        <v>923</v>
      </c>
      <c r="E2772" s="1" t="n">
        <v>20171</v>
      </c>
      <c r="F2772" s="1" t="s">
        <v>208</v>
      </c>
      <c r="G2772" s="1" t="s">
        <v>18</v>
      </c>
      <c r="H2772" s="1" t="n">
        <v>3</v>
      </c>
      <c r="I2772" s="1" t="n">
        <v>0</v>
      </c>
      <c r="J2772" s="1" t="n">
        <v>20201</v>
      </c>
      <c r="L2772" s="1" t="str">
        <f aca="false">IF(D2771&lt;&gt;D2772,D2772,"")</f>
        <v/>
      </c>
      <c r="M2772" s="1" t="str">
        <f aca="false">IF(F2771&lt;&gt;F2772,F2772,"")</f>
        <v/>
      </c>
    </row>
    <row r="2773" customFormat="false" ht="15" hidden="false" customHeight="false" outlineLevel="0" collapsed="false">
      <c r="A2773" s="1" t="s">
        <v>649</v>
      </c>
      <c r="B2773" s="1" t="s">
        <v>650</v>
      </c>
      <c r="C2773" s="1" t="s">
        <v>924</v>
      </c>
      <c r="D2773" s="1" t="s">
        <v>925</v>
      </c>
      <c r="E2773" s="1" t="n">
        <v>20171</v>
      </c>
      <c r="F2773" s="1" t="s">
        <v>208</v>
      </c>
      <c r="G2773" s="1" t="s">
        <v>18</v>
      </c>
      <c r="H2773" s="1" t="n">
        <v>3</v>
      </c>
      <c r="I2773" s="1" t="n">
        <v>0</v>
      </c>
      <c r="J2773" s="1" t="n">
        <v>20201</v>
      </c>
      <c r="L2773" s="1" t="str">
        <f aca="false">IF(D2772&lt;&gt;D2773,D2773,"")</f>
        <v>PROSES STOKASTIK</v>
      </c>
      <c r="M2773" s="1" t="str">
        <f aca="false">IF(F2772&lt;&gt;F2773,F2773,"")</f>
        <v/>
      </c>
    </row>
    <row r="2774" customFormat="false" ht="15" hidden="false" customHeight="false" outlineLevel="0" collapsed="false">
      <c r="A2774" s="1" t="s">
        <v>671</v>
      </c>
      <c r="B2774" s="1" t="s">
        <v>672</v>
      </c>
      <c r="C2774" s="1" t="s">
        <v>924</v>
      </c>
      <c r="D2774" s="1" t="s">
        <v>925</v>
      </c>
      <c r="E2774" s="1" t="n">
        <v>20171</v>
      </c>
      <c r="F2774" s="1" t="s">
        <v>208</v>
      </c>
      <c r="G2774" s="1" t="s">
        <v>18</v>
      </c>
      <c r="H2774" s="1" t="n">
        <v>3</v>
      </c>
      <c r="I2774" s="1" t="n">
        <v>0</v>
      </c>
      <c r="J2774" s="1" t="n">
        <v>20201</v>
      </c>
      <c r="L2774" s="1" t="str">
        <f aca="false">IF(D2773&lt;&gt;D2774,D2774,"")</f>
        <v/>
      </c>
      <c r="M2774" s="1" t="str">
        <f aca="false">IF(F2773&lt;&gt;F2774,F2774,"")</f>
        <v/>
      </c>
    </row>
    <row r="2775" customFormat="false" ht="15" hidden="false" customHeight="false" outlineLevel="0" collapsed="false">
      <c r="A2775" s="1" t="s">
        <v>110</v>
      </c>
      <c r="B2775" s="1" t="s">
        <v>111</v>
      </c>
      <c r="C2775" s="1" t="s">
        <v>924</v>
      </c>
      <c r="D2775" s="1" t="s">
        <v>925</v>
      </c>
      <c r="E2775" s="1" t="n">
        <v>20171</v>
      </c>
      <c r="F2775" s="1" t="s">
        <v>208</v>
      </c>
      <c r="G2775" s="1" t="s">
        <v>18</v>
      </c>
      <c r="H2775" s="1" t="n">
        <v>3</v>
      </c>
      <c r="I2775" s="1" t="n">
        <v>0</v>
      </c>
      <c r="J2775" s="1" t="n">
        <v>20201</v>
      </c>
      <c r="L2775" s="1" t="str">
        <f aca="false">IF(D2774&lt;&gt;D2775,D2775,"")</f>
        <v/>
      </c>
      <c r="M2775" s="1" t="str">
        <f aca="false">IF(F2774&lt;&gt;F2775,F2775,"")</f>
        <v/>
      </c>
    </row>
    <row r="2776" customFormat="false" ht="15" hidden="false" customHeight="false" outlineLevel="0" collapsed="false">
      <c r="A2776" s="1" t="s">
        <v>19</v>
      </c>
      <c r="B2776" s="1" t="s">
        <v>20</v>
      </c>
      <c r="C2776" s="1" t="s">
        <v>924</v>
      </c>
      <c r="D2776" s="1" t="s">
        <v>925</v>
      </c>
      <c r="E2776" s="1" t="n">
        <v>20171</v>
      </c>
      <c r="F2776" s="1" t="s">
        <v>208</v>
      </c>
      <c r="G2776" s="1" t="s">
        <v>18</v>
      </c>
      <c r="H2776" s="1" t="n">
        <v>3</v>
      </c>
      <c r="I2776" s="1" t="n">
        <v>0</v>
      </c>
      <c r="J2776" s="1" t="n">
        <v>20201</v>
      </c>
      <c r="L2776" s="1" t="str">
        <f aca="false">IF(D2775&lt;&gt;D2776,D2776,"")</f>
        <v/>
      </c>
      <c r="M2776" s="1" t="str">
        <f aca="false">IF(F2775&lt;&gt;F2776,F2776,"")</f>
        <v/>
      </c>
    </row>
    <row r="2777" customFormat="false" ht="15" hidden="false" customHeight="false" outlineLevel="0" collapsed="false">
      <c r="A2777" s="1" t="s">
        <v>625</v>
      </c>
      <c r="B2777" s="1" t="s">
        <v>626</v>
      </c>
      <c r="C2777" s="1" t="s">
        <v>924</v>
      </c>
      <c r="D2777" s="1" t="s">
        <v>925</v>
      </c>
      <c r="E2777" s="1" t="n">
        <v>20171</v>
      </c>
      <c r="F2777" s="1" t="s">
        <v>208</v>
      </c>
      <c r="G2777" s="1" t="s">
        <v>18</v>
      </c>
      <c r="H2777" s="1" t="n">
        <v>3</v>
      </c>
      <c r="I2777" s="1" t="n">
        <v>0</v>
      </c>
      <c r="J2777" s="1" t="n">
        <v>20201</v>
      </c>
      <c r="L2777" s="1" t="str">
        <f aca="false">IF(D2776&lt;&gt;D2777,D2777,"")</f>
        <v/>
      </c>
      <c r="M2777" s="1" t="str">
        <f aca="false">IF(F2776&lt;&gt;F2777,F2777,"")</f>
        <v/>
      </c>
    </row>
    <row r="2778" customFormat="false" ht="15" hidden="false" customHeight="false" outlineLevel="0" collapsed="false">
      <c r="A2778" s="1" t="s">
        <v>687</v>
      </c>
      <c r="B2778" s="1" t="s">
        <v>688</v>
      </c>
      <c r="C2778" s="1" t="s">
        <v>924</v>
      </c>
      <c r="D2778" s="1" t="s">
        <v>925</v>
      </c>
      <c r="E2778" s="1" t="n">
        <v>20171</v>
      </c>
      <c r="F2778" s="1" t="s">
        <v>208</v>
      </c>
      <c r="G2778" s="1" t="s">
        <v>101</v>
      </c>
      <c r="H2778" s="1" t="n">
        <v>2.5</v>
      </c>
      <c r="I2778" s="1" t="n">
        <v>0</v>
      </c>
      <c r="J2778" s="1" t="n">
        <v>20201</v>
      </c>
      <c r="L2778" s="1" t="str">
        <f aca="false">IF(D2777&lt;&gt;D2778,D2778,"")</f>
        <v/>
      </c>
      <c r="M2778" s="1" t="str">
        <f aca="false">IF(F2777&lt;&gt;F2778,F2778,"")</f>
        <v/>
      </c>
    </row>
    <row r="2779" customFormat="false" ht="15" hidden="false" customHeight="false" outlineLevel="0" collapsed="false">
      <c r="A2779" s="1" t="s">
        <v>689</v>
      </c>
      <c r="B2779" s="1" t="s">
        <v>690</v>
      </c>
      <c r="C2779" s="1" t="s">
        <v>924</v>
      </c>
      <c r="D2779" s="1" t="s">
        <v>925</v>
      </c>
      <c r="E2779" s="1" t="n">
        <v>20171</v>
      </c>
      <c r="F2779" s="1" t="s">
        <v>208</v>
      </c>
      <c r="G2779" s="1" t="s">
        <v>101</v>
      </c>
      <c r="H2779" s="1" t="n">
        <v>2.5</v>
      </c>
      <c r="I2779" s="1" t="n">
        <v>0</v>
      </c>
      <c r="J2779" s="1" t="n">
        <v>20201</v>
      </c>
      <c r="L2779" s="1" t="str">
        <f aca="false">IF(D2778&lt;&gt;D2779,D2779,"")</f>
        <v/>
      </c>
      <c r="M2779" s="1" t="str">
        <f aca="false">IF(F2778&lt;&gt;F2779,F2779,"")</f>
        <v/>
      </c>
    </row>
    <row r="2780" customFormat="false" ht="15" hidden="false" customHeight="false" outlineLevel="0" collapsed="false">
      <c r="A2780" s="1" t="s">
        <v>693</v>
      </c>
      <c r="B2780" s="1" t="s">
        <v>694</v>
      </c>
      <c r="C2780" s="1" t="s">
        <v>924</v>
      </c>
      <c r="D2780" s="1" t="s">
        <v>925</v>
      </c>
      <c r="E2780" s="1" t="n">
        <v>20171</v>
      </c>
      <c r="F2780" s="1" t="s">
        <v>208</v>
      </c>
      <c r="G2780" s="1" t="s">
        <v>15</v>
      </c>
      <c r="H2780" s="1" t="n">
        <v>3.5</v>
      </c>
      <c r="I2780" s="1" t="n">
        <v>0</v>
      </c>
      <c r="J2780" s="1" t="n">
        <v>20201</v>
      </c>
      <c r="L2780" s="1" t="str">
        <f aca="false">IF(D2779&lt;&gt;D2780,D2780,"")</f>
        <v/>
      </c>
      <c r="M2780" s="1" t="str">
        <f aca="false">IF(F2779&lt;&gt;F2780,F2780,"")</f>
        <v/>
      </c>
    </row>
    <row r="2781" customFormat="false" ht="15" hidden="false" customHeight="false" outlineLevel="0" collapsed="false">
      <c r="A2781" s="1" t="s">
        <v>211</v>
      </c>
      <c r="B2781" s="1" t="s">
        <v>212</v>
      </c>
      <c r="C2781" s="1" t="s">
        <v>924</v>
      </c>
      <c r="D2781" s="1" t="s">
        <v>925</v>
      </c>
      <c r="E2781" s="1" t="n">
        <v>20171</v>
      </c>
      <c r="F2781" s="1" t="s">
        <v>208</v>
      </c>
      <c r="G2781" s="1" t="s">
        <v>18</v>
      </c>
      <c r="H2781" s="1" t="n">
        <v>3</v>
      </c>
      <c r="I2781" s="1" t="n">
        <v>0</v>
      </c>
      <c r="J2781" s="1" t="n">
        <v>20201</v>
      </c>
      <c r="L2781" s="1" t="str">
        <f aca="false">IF(D2780&lt;&gt;D2781,D2781,"")</f>
        <v/>
      </c>
      <c r="M2781" s="1" t="str">
        <f aca="false">IF(F2780&lt;&gt;F2781,F2781,"")</f>
        <v/>
      </c>
    </row>
    <row r="2782" customFormat="false" ht="15" hidden="false" customHeight="false" outlineLevel="0" collapsed="false">
      <c r="A2782" s="1" t="s">
        <v>529</v>
      </c>
      <c r="B2782" s="1" t="s">
        <v>530</v>
      </c>
      <c r="C2782" s="1" t="s">
        <v>924</v>
      </c>
      <c r="D2782" s="1" t="s">
        <v>925</v>
      </c>
      <c r="E2782" s="1" t="n">
        <v>20171</v>
      </c>
      <c r="F2782" s="1" t="s">
        <v>208</v>
      </c>
      <c r="G2782" s="1" t="s">
        <v>18</v>
      </c>
      <c r="H2782" s="1" t="n">
        <v>3</v>
      </c>
      <c r="I2782" s="1" t="n">
        <v>0</v>
      </c>
      <c r="J2782" s="1" t="n">
        <v>20201</v>
      </c>
      <c r="L2782" s="1" t="str">
        <f aca="false">IF(D2781&lt;&gt;D2782,D2782,"")</f>
        <v/>
      </c>
      <c r="M2782" s="1" t="str">
        <f aca="false">IF(F2781&lt;&gt;F2782,F2782,"")</f>
        <v/>
      </c>
    </row>
    <row r="2783" customFormat="false" ht="15" hidden="false" customHeight="false" outlineLevel="0" collapsed="false">
      <c r="A2783" s="1" t="s">
        <v>531</v>
      </c>
      <c r="B2783" s="1" t="s">
        <v>532</v>
      </c>
      <c r="C2783" s="1" t="s">
        <v>924</v>
      </c>
      <c r="D2783" s="1" t="s">
        <v>925</v>
      </c>
      <c r="E2783" s="1" t="n">
        <v>20171</v>
      </c>
      <c r="F2783" s="1" t="s">
        <v>208</v>
      </c>
      <c r="G2783" s="1" t="s">
        <v>101</v>
      </c>
      <c r="H2783" s="1" t="n">
        <v>2.5</v>
      </c>
      <c r="I2783" s="1" t="n">
        <v>0</v>
      </c>
      <c r="J2783" s="1" t="n">
        <v>20201</v>
      </c>
      <c r="L2783" s="1" t="str">
        <f aca="false">IF(D2782&lt;&gt;D2783,D2783,"")</f>
        <v/>
      </c>
      <c r="M2783" s="1" t="str">
        <f aca="false">IF(F2782&lt;&gt;F2783,F2783,"")</f>
        <v/>
      </c>
    </row>
    <row r="2784" customFormat="false" ht="15" hidden="false" customHeight="false" outlineLevel="0" collapsed="false">
      <c r="A2784" s="1" t="s">
        <v>275</v>
      </c>
      <c r="B2784" s="1" t="s">
        <v>276</v>
      </c>
      <c r="C2784" s="1" t="s">
        <v>924</v>
      </c>
      <c r="D2784" s="1" t="s">
        <v>925</v>
      </c>
      <c r="E2784" s="1" t="n">
        <v>20171</v>
      </c>
      <c r="F2784" s="1" t="s">
        <v>208</v>
      </c>
      <c r="G2784" s="1" t="s">
        <v>18</v>
      </c>
      <c r="H2784" s="1" t="n">
        <v>3</v>
      </c>
      <c r="I2784" s="1" t="n">
        <v>0</v>
      </c>
      <c r="J2784" s="1" t="n">
        <v>20201</v>
      </c>
      <c r="L2784" s="1" t="str">
        <f aca="false">IF(D2783&lt;&gt;D2784,D2784,"")</f>
        <v/>
      </c>
      <c r="M2784" s="1" t="str">
        <f aca="false">IF(F2783&lt;&gt;F2784,F2784,"")</f>
        <v/>
      </c>
    </row>
    <row r="2785" customFormat="false" ht="15" hidden="false" customHeight="false" outlineLevel="0" collapsed="false">
      <c r="A2785" s="1" t="s">
        <v>535</v>
      </c>
      <c r="B2785" s="1" t="s">
        <v>536</v>
      </c>
      <c r="C2785" s="1" t="s">
        <v>924</v>
      </c>
      <c r="D2785" s="1" t="s">
        <v>925</v>
      </c>
      <c r="E2785" s="1" t="n">
        <v>20171</v>
      </c>
      <c r="F2785" s="1" t="s">
        <v>208</v>
      </c>
      <c r="G2785" s="1" t="s">
        <v>101</v>
      </c>
      <c r="H2785" s="1" t="n">
        <v>2.5</v>
      </c>
      <c r="I2785" s="1" t="n">
        <v>0</v>
      </c>
      <c r="J2785" s="1" t="n">
        <v>20201</v>
      </c>
      <c r="L2785" s="1" t="str">
        <f aca="false">IF(D2784&lt;&gt;D2785,D2785,"")</f>
        <v/>
      </c>
      <c r="M2785" s="1" t="str">
        <f aca="false">IF(F2784&lt;&gt;F2785,F2785,"")</f>
        <v/>
      </c>
    </row>
    <row r="2786" customFormat="false" ht="15" hidden="false" customHeight="false" outlineLevel="0" collapsed="false">
      <c r="A2786" s="1" t="s">
        <v>699</v>
      </c>
      <c r="B2786" s="1" t="s">
        <v>700</v>
      </c>
      <c r="C2786" s="1" t="s">
        <v>924</v>
      </c>
      <c r="D2786" s="1" t="s">
        <v>925</v>
      </c>
      <c r="E2786" s="1" t="n">
        <v>20171</v>
      </c>
      <c r="F2786" s="1" t="s">
        <v>208</v>
      </c>
      <c r="G2786" s="1" t="s">
        <v>14</v>
      </c>
      <c r="H2786" s="1" t="n">
        <v>4</v>
      </c>
      <c r="I2786" s="1" t="n">
        <v>0</v>
      </c>
      <c r="J2786" s="1" t="n">
        <v>20201</v>
      </c>
      <c r="L2786" s="1" t="str">
        <f aca="false">IF(D2785&lt;&gt;D2786,D2786,"")</f>
        <v/>
      </c>
      <c r="M2786" s="1" t="str">
        <f aca="false">IF(F2785&lt;&gt;F2786,F2786,"")</f>
        <v/>
      </c>
    </row>
    <row r="2787" customFormat="false" ht="15" hidden="false" customHeight="false" outlineLevel="0" collapsed="false">
      <c r="A2787" s="1" t="s">
        <v>215</v>
      </c>
      <c r="B2787" s="1" t="s">
        <v>216</v>
      </c>
      <c r="C2787" s="1" t="s">
        <v>924</v>
      </c>
      <c r="D2787" s="1" t="s">
        <v>925</v>
      </c>
      <c r="E2787" s="1" t="n">
        <v>20171</v>
      </c>
      <c r="F2787" s="1" t="s">
        <v>208</v>
      </c>
      <c r="G2787" s="1" t="s">
        <v>101</v>
      </c>
      <c r="H2787" s="1" t="n">
        <v>2.5</v>
      </c>
      <c r="I2787" s="1" t="n">
        <v>0</v>
      </c>
      <c r="J2787" s="1" t="n">
        <v>20201</v>
      </c>
      <c r="L2787" s="1" t="str">
        <f aca="false">IF(D2786&lt;&gt;D2787,D2787,"")</f>
        <v/>
      </c>
      <c r="M2787" s="1" t="str">
        <f aca="false">IF(F2786&lt;&gt;F2787,F2787,"")</f>
        <v/>
      </c>
    </row>
    <row r="2788" customFormat="false" ht="15" hidden="false" customHeight="false" outlineLevel="0" collapsed="false">
      <c r="A2788" s="1" t="s">
        <v>217</v>
      </c>
      <c r="B2788" s="1" t="s">
        <v>218</v>
      </c>
      <c r="C2788" s="1" t="s">
        <v>924</v>
      </c>
      <c r="D2788" s="1" t="s">
        <v>925</v>
      </c>
      <c r="E2788" s="1" t="n">
        <v>20171</v>
      </c>
      <c r="F2788" s="1" t="s">
        <v>208</v>
      </c>
      <c r="G2788" s="1" t="s">
        <v>101</v>
      </c>
      <c r="H2788" s="1" t="n">
        <v>2.5</v>
      </c>
      <c r="I2788" s="1" t="n">
        <v>0</v>
      </c>
      <c r="J2788" s="1" t="n">
        <v>20201</v>
      </c>
      <c r="L2788" s="1" t="str">
        <f aca="false">IF(D2787&lt;&gt;D2788,D2788,"")</f>
        <v/>
      </c>
      <c r="M2788" s="1" t="str">
        <f aca="false">IF(F2787&lt;&gt;F2788,F2788,"")</f>
        <v/>
      </c>
    </row>
    <row r="2789" customFormat="false" ht="15" hidden="false" customHeight="false" outlineLevel="0" collapsed="false">
      <c r="A2789" s="1" t="s">
        <v>703</v>
      </c>
      <c r="B2789" s="1" t="s">
        <v>704</v>
      </c>
      <c r="C2789" s="1" t="s">
        <v>924</v>
      </c>
      <c r="D2789" s="1" t="s">
        <v>925</v>
      </c>
      <c r="E2789" s="1" t="n">
        <v>20171</v>
      </c>
      <c r="F2789" s="1" t="s">
        <v>208</v>
      </c>
      <c r="G2789" s="1" t="s">
        <v>101</v>
      </c>
      <c r="H2789" s="1" t="n">
        <v>2.5</v>
      </c>
      <c r="I2789" s="1" t="n">
        <v>0</v>
      </c>
      <c r="J2789" s="1" t="n">
        <v>20201</v>
      </c>
      <c r="L2789" s="1" t="str">
        <f aca="false">IF(D2788&lt;&gt;D2789,D2789,"")</f>
        <v/>
      </c>
      <c r="M2789" s="1" t="str">
        <f aca="false">IF(F2788&lt;&gt;F2789,F2789,"")</f>
        <v/>
      </c>
    </row>
    <row r="2790" customFormat="false" ht="15" hidden="false" customHeight="false" outlineLevel="0" collapsed="false">
      <c r="A2790" s="1" t="s">
        <v>221</v>
      </c>
      <c r="B2790" s="1" t="s">
        <v>222</v>
      </c>
      <c r="C2790" s="1" t="s">
        <v>924</v>
      </c>
      <c r="D2790" s="1" t="s">
        <v>925</v>
      </c>
      <c r="E2790" s="1" t="n">
        <v>20171</v>
      </c>
      <c r="F2790" s="1" t="s">
        <v>208</v>
      </c>
      <c r="G2790" s="1" t="s">
        <v>18</v>
      </c>
      <c r="H2790" s="1" t="n">
        <v>3</v>
      </c>
      <c r="I2790" s="1" t="n">
        <v>0</v>
      </c>
      <c r="J2790" s="1" t="n">
        <v>20201</v>
      </c>
      <c r="L2790" s="1" t="str">
        <f aca="false">IF(D2789&lt;&gt;D2790,D2790,"")</f>
        <v/>
      </c>
      <c r="M2790" s="1" t="str">
        <f aca="false">IF(F2789&lt;&gt;F2790,F2790,"")</f>
        <v/>
      </c>
    </row>
    <row r="2791" customFormat="false" ht="15" hidden="false" customHeight="false" outlineLevel="0" collapsed="false">
      <c r="A2791" s="1" t="s">
        <v>705</v>
      </c>
      <c r="B2791" s="1" t="s">
        <v>706</v>
      </c>
      <c r="C2791" s="1" t="s">
        <v>924</v>
      </c>
      <c r="D2791" s="1" t="s">
        <v>925</v>
      </c>
      <c r="E2791" s="1" t="n">
        <v>20171</v>
      </c>
      <c r="F2791" s="1" t="s">
        <v>208</v>
      </c>
      <c r="G2791" s="1" t="s">
        <v>101</v>
      </c>
      <c r="H2791" s="1" t="n">
        <v>2.5</v>
      </c>
      <c r="I2791" s="1" t="n">
        <v>0</v>
      </c>
      <c r="J2791" s="1" t="n">
        <v>20201</v>
      </c>
      <c r="L2791" s="1" t="str">
        <f aca="false">IF(D2790&lt;&gt;D2791,D2791,"")</f>
        <v/>
      </c>
      <c r="M2791" s="1" t="str">
        <f aca="false">IF(F2790&lt;&gt;F2791,F2791,"")</f>
        <v/>
      </c>
    </row>
    <row r="2792" customFormat="false" ht="15" hidden="false" customHeight="false" outlineLevel="0" collapsed="false">
      <c r="A2792" s="1" t="s">
        <v>707</v>
      </c>
      <c r="B2792" s="1" t="s">
        <v>708</v>
      </c>
      <c r="C2792" s="1" t="s">
        <v>924</v>
      </c>
      <c r="D2792" s="1" t="s">
        <v>925</v>
      </c>
      <c r="E2792" s="1" t="n">
        <v>20171</v>
      </c>
      <c r="F2792" s="1" t="s">
        <v>208</v>
      </c>
      <c r="G2792" s="1" t="s">
        <v>18</v>
      </c>
      <c r="H2792" s="1" t="n">
        <v>3</v>
      </c>
      <c r="I2792" s="1" t="n">
        <v>0</v>
      </c>
      <c r="J2792" s="1" t="n">
        <v>20201</v>
      </c>
      <c r="L2792" s="1" t="str">
        <f aca="false">IF(D2791&lt;&gt;D2792,D2792,"")</f>
        <v/>
      </c>
      <c r="M2792" s="1" t="str">
        <f aca="false">IF(F2791&lt;&gt;F2792,F2792,"")</f>
        <v/>
      </c>
    </row>
    <row r="2793" customFormat="false" ht="15" hidden="false" customHeight="false" outlineLevel="0" collapsed="false">
      <c r="A2793" s="1" t="s">
        <v>312</v>
      </c>
      <c r="B2793" s="1" t="s">
        <v>313</v>
      </c>
      <c r="C2793" s="1" t="s">
        <v>924</v>
      </c>
      <c r="D2793" s="1" t="s">
        <v>925</v>
      </c>
      <c r="E2793" s="1" t="n">
        <v>20171</v>
      </c>
      <c r="F2793" s="1" t="s">
        <v>208</v>
      </c>
      <c r="G2793" s="1" t="s">
        <v>30</v>
      </c>
      <c r="H2793" s="1" t="n">
        <v>1.5</v>
      </c>
      <c r="I2793" s="1" t="n">
        <v>0</v>
      </c>
      <c r="J2793" s="1" t="n">
        <v>20201</v>
      </c>
      <c r="L2793" s="1" t="str">
        <f aca="false">IF(D2792&lt;&gt;D2793,D2793,"")</f>
        <v/>
      </c>
      <c r="M2793" s="1" t="str">
        <f aca="false">IF(F2792&lt;&gt;F2793,F2793,"")</f>
        <v/>
      </c>
    </row>
    <row r="2794" customFormat="false" ht="15" hidden="false" customHeight="false" outlineLevel="0" collapsed="false">
      <c r="A2794" s="1" t="s">
        <v>711</v>
      </c>
      <c r="B2794" s="1" t="s">
        <v>712</v>
      </c>
      <c r="C2794" s="1" t="s">
        <v>924</v>
      </c>
      <c r="D2794" s="1" t="s">
        <v>925</v>
      </c>
      <c r="E2794" s="1" t="n">
        <v>20171</v>
      </c>
      <c r="F2794" s="1" t="s">
        <v>208</v>
      </c>
      <c r="G2794" s="1" t="s">
        <v>127</v>
      </c>
      <c r="H2794" s="1" t="n">
        <v>2</v>
      </c>
      <c r="I2794" s="1" t="n">
        <v>0</v>
      </c>
      <c r="J2794" s="1" t="n">
        <v>20201</v>
      </c>
      <c r="L2794" s="1" t="str">
        <f aca="false">IF(D2793&lt;&gt;D2794,D2794,"")</f>
        <v/>
      </c>
      <c r="M2794" s="1" t="str">
        <f aca="false">IF(F2793&lt;&gt;F2794,F2794,"")</f>
        <v/>
      </c>
    </row>
    <row r="2795" customFormat="false" ht="15" hidden="false" customHeight="false" outlineLevel="0" collapsed="false">
      <c r="A2795" s="1" t="s">
        <v>713</v>
      </c>
      <c r="B2795" s="1" t="s">
        <v>714</v>
      </c>
      <c r="C2795" s="1" t="s">
        <v>924</v>
      </c>
      <c r="D2795" s="1" t="s">
        <v>925</v>
      </c>
      <c r="E2795" s="1" t="n">
        <v>20171</v>
      </c>
      <c r="F2795" s="1" t="s">
        <v>208</v>
      </c>
      <c r="G2795" s="1" t="s">
        <v>18</v>
      </c>
      <c r="H2795" s="1" t="n">
        <v>3</v>
      </c>
      <c r="I2795" s="1" t="n">
        <v>0</v>
      </c>
      <c r="J2795" s="1" t="n">
        <v>20201</v>
      </c>
      <c r="L2795" s="1" t="str">
        <f aca="false">IF(D2794&lt;&gt;D2795,D2795,"")</f>
        <v/>
      </c>
      <c r="M2795" s="1" t="str">
        <f aca="false">IF(F2794&lt;&gt;F2795,F2795,"")</f>
        <v/>
      </c>
    </row>
    <row r="2796" customFormat="false" ht="15" hidden="false" customHeight="false" outlineLevel="0" collapsed="false">
      <c r="A2796" s="1" t="s">
        <v>225</v>
      </c>
      <c r="B2796" s="1" t="s">
        <v>226</v>
      </c>
      <c r="C2796" s="1" t="s">
        <v>924</v>
      </c>
      <c r="D2796" s="1" t="s">
        <v>925</v>
      </c>
      <c r="E2796" s="1" t="n">
        <v>20171</v>
      </c>
      <c r="F2796" s="1" t="s">
        <v>208</v>
      </c>
      <c r="G2796" s="1" t="s">
        <v>23</v>
      </c>
      <c r="H2796" s="1" t="n">
        <v>0</v>
      </c>
      <c r="I2796" s="1" t="n">
        <v>0</v>
      </c>
      <c r="J2796" s="1" t="n">
        <v>20201</v>
      </c>
      <c r="L2796" s="1" t="str">
        <f aca="false">IF(D2795&lt;&gt;D2796,D2796,"")</f>
        <v/>
      </c>
      <c r="M2796" s="1" t="str">
        <f aca="false">IF(F2795&lt;&gt;F2796,F2796,"")</f>
        <v/>
      </c>
    </row>
    <row r="2797" customFormat="false" ht="15" hidden="false" customHeight="false" outlineLevel="0" collapsed="false">
      <c r="A2797" s="1" t="s">
        <v>283</v>
      </c>
      <c r="B2797" s="1" t="s">
        <v>284</v>
      </c>
      <c r="C2797" s="1" t="s">
        <v>924</v>
      </c>
      <c r="D2797" s="1" t="s">
        <v>925</v>
      </c>
      <c r="E2797" s="1" t="n">
        <v>20171</v>
      </c>
      <c r="F2797" s="1" t="s">
        <v>208</v>
      </c>
      <c r="G2797" s="1" t="s">
        <v>101</v>
      </c>
      <c r="H2797" s="1" t="n">
        <v>2.5</v>
      </c>
      <c r="I2797" s="1" t="n">
        <v>0</v>
      </c>
      <c r="J2797" s="1" t="n">
        <v>20201</v>
      </c>
      <c r="L2797" s="1" t="str">
        <f aca="false">IF(D2796&lt;&gt;D2797,D2797,"")</f>
        <v/>
      </c>
      <c r="M2797" s="1" t="str">
        <f aca="false">IF(F2796&lt;&gt;F2797,F2797,"")</f>
        <v/>
      </c>
    </row>
    <row r="2798" customFormat="false" ht="15" hidden="false" customHeight="false" outlineLevel="0" collapsed="false">
      <c r="A2798" s="1" t="s">
        <v>285</v>
      </c>
      <c r="B2798" s="1" t="s">
        <v>286</v>
      </c>
      <c r="C2798" s="1" t="s">
        <v>924</v>
      </c>
      <c r="D2798" s="1" t="s">
        <v>925</v>
      </c>
      <c r="E2798" s="1" t="n">
        <v>20171</v>
      </c>
      <c r="F2798" s="1" t="s">
        <v>208</v>
      </c>
      <c r="G2798" s="1" t="s">
        <v>101</v>
      </c>
      <c r="H2798" s="1" t="n">
        <v>2.5</v>
      </c>
      <c r="I2798" s="1" t="n">
        <v>0</v>
      </c>
      <c r="J2798" s="1" t="n">
        <v>20201</v>
      </c>
      <c r="L2798" s="1" t="str">
        <f aca="false">IF(D2797&lt;&gt;D2798,D2798,"")</f>
        <v/>
      </c>
      <c r="M2798" s="1" t="str">
        <f aca="false">IF(F2797&lt;&gt;F2798,F2798,"")</f>
        <v/>
      </c>
    </row>
    <row r="2799" customFormat="false" ht="15" hidden="false" customHeight="false" outlineLevel="0" collapsed="false">
      <c r="A2799" s="1" t="s">
        <v>231</v>
      </c>
      <c r="B2799" s="1" t="s">
        <v>232</v>
      </c>
      <c r="C2799" s="1" t="s">
        <v>924</v>
      </c>
      <c r="D2799" s="1" t="s">
        <v>925</v>
      </c>
      <c r="E2799" s="1" t="n">
        <v>20171</v>
      </c>
      <c r="F2799" s="1" t="s">
        <v>208</v>
      </c>
      <c r="G2799" s="1" t="s">
        <v>514</v>
      </c>
      <c r="H2799" s="1" t="n">
        <v>1</v>
      </c>
      <c r="I2799" s="1" t="n">
        <v>0</v>
      </c>
      <c r="J2799" s="1" t="n">
        <v>20201</v>
      </c>
      <c r="L2799" s="1" t="str">
        <f aca="false">IF(D2798&lt;&gt;D2799,D2799,"")</f>
        <v/>
      </c>
      <c r="M2799" s="1" t="str">
        <f aca="false">IF(F2798&lt;&gt;F2799,F2799,"")</f>
        <v/>
      </c>
    </row>
    <row r="2800" customFormat="false" ht="15" hidden="false" customHeight="false" outlineLevel="0" collapsed="false">
      <c r="A2800" s="1" t="s">
        <v>717</v>
      </c>
      <c r="B2800" s="1" t="s">
        <v>718</v>
      </c>
      <c r="C2800" s="1" t="s">
        <v>924</v>
      </c>
      <c r="D2800" s="1" t="s">
        <v>925</v>
      </c>
      <c r="E2800" s="1" t="n">
        <v>20171</v>
      </c>
      <c r="F2800" s="1" t="s">
        <v>208</v>
      </c>
      <c r="G2800" s="1" t="s">
        <v>18</v>
      </c>
      <c r="H2800" s="1" t="n">
        <v>3</v>
      </c>
      <c r="I2800" s="1" t="n">
        <v>0</v>
      </c>
      <c r="J2800" s="1" t="n">
        <v>20201</v>
      </c>
      <c r="L2800" s="1" t="str">
        <f aca="false">IF(D2799&lt;&gt;D2800,D2800,"")</f>
        <v/>
      </c>
      <c r="M2800" s="1" t="str">
        <f aca="false">IF(F2799&lt;&gt;F2800,F2800,"")</f>
        <v/>
      </c>
    </row>
    <row r="2801" customFormat="false" ht="15" hidden="false" customHeight="false" outlineLevel="0" collapsed="false">
      <c r="A2801" s="1" t="s">
        <v>233</v>
      </c>
      <c r="B2801" s="1" t="s">
        <v>234</v>
      </c>
      <c r="C2801" s="1" t="s">
        <v>924</v>
      </c>
      <c r="D2801" s="1" t="s">
        <v>925</v>
      </c>
      <c r="E2801" s="1" t="n">
        <v>20171</v>
      </c>
      <c r="F2801" s="1" t="s">
        <v>208</v>
      </c>
      <c r="G2801" s="1" t="s">
        <v>127</v>
      </c>
      <c r="H2801" s="1" t="n">
        <v>2</v>
      </c>
      <c r="I2801" s="1" t="n">
        <v>0</v>
      </c>
      <c r="J2801" s="1" t="n">
        <v>20201</v>
      </c>
      <c r="L2801" s="1" t="str">
        <f aca="false">IF(D2800&lt;&gt;D2801,D2801,"")</f>
        <v/>
      </c>
      <c r="M2801" s="1" t="str">
        <f aca="false">IF(F2800&lt;&gt;F2801,F2801,"")</f>
        <v/>
      </c>
    </row>
    <row r="2802" customFormat="false" ht="15" hidden="false" customHeight="false" outlineLevel="0" collapsed="false">
      <c r="A2802" s="1" t="s">
        <v>719</v>
      </c>
      <c r="B2802" s="1" t="s">
        <v>720</v>
      </c>
      <c r="C2802" s="1" t="s">
        <v>924</v>
      </c>
      <c r="D2802" s="1" t="s">
        <v>925</v>
      </c>
      <c r="E2802" s="1" t="n">
        <v>20171</v>
      </c>
      <c r="F2802" s="1" t="s">
        <v>208</v>
      </c>
      <c r="G2802" s="1" t="s">
        <v>18</v>
      </c>
      <c r="H2802" s="1" t="n">
        <v>3</v>
      </c>
      <c r="I2802" s="1" t="n">
        <v>0</v>
      </c>
      <c r="J2802" s="1" t="n">
        <v>20201</v>
      </c>
      <c r="L2802" s="1" t="str">
        <f aca="false">IF(D2801&lt;&gt;D2802,D2802,"")</f>
        <v/>
      </c>
      <c r="M2802" s="1" t="str">
        <f aca="false">IF(F2801&lt;&gt;F2802,F2802,"")</f>
        <v/>
      </c>
    </row>
    <row r="2803" customFormat="false" ht="15" hidden="false" customHeight="false" outlineLevel="0" collapsed="false">
      <c r="A2803" s="1" t="s">
        <v>287</v>
      </c>
      <c r="B2803" s="1" t="s">
        <v>288</v>
      </c>
      <c r="C2803" s="1" t="s">
        <v>924</v>
      </c>
      <c r="D2803" s="1" t="s">
        <v>925</v>
      </c>
      <c r="E2803" s="1" t="n">
        <v>20171</v>
      </c>
      <c r="F2803" s="1" t="s">
        <v>208</v>
      </c>
      <c r="G2803" s="1" t="s">
        <v>14</v>
      </c>
      <c r="H2803" s="1" t="n">
        <v>4</v>
      </c>
      <c r="I2803" s="1" t="n">
        <v>0</v>
      </c>
      <c r="J2803" s="1" t="n">
        <v>20201</v>
      </c>
      <c r="L2803" s="1" t="str">
        <f aca="false">IF(D2802&lt;&gt;D2803,D2803,"")</f>
        <v/>
      </c>
      <c r="M2803" s="1" t="str">
        <f aca="false">IF(F2802&lt;&gt;F2803,F2803,"")</f>
        <v/>
      </c>
    </row>
    <row r="2804" customFormat="false" ht="15" hidden="false" customHeight="false" outlineLevel="0" collapsed="false">
      <c r="A2804" s="1" t="s">
        <v>235</v>
      </c>
      <c r="B2804" s="1" t="s">
        <v>236</v>
      </c>
      <c r="C2804" s="1" t="s">
        <v>924</v>
      </c>
      <c r="D2804" s="1" t="s">
        <v>925</v>
      </c>
      <c r="E2804" s="1" t="n">
        <v>20171</v>
      </c>
      <c r="F2804" s="1" t="s">
        <v>208</v>
      </c>
      <c r="G2804" s="1" t="s">
        <v>101</v>
      </c>
      <c r="H2804" s="1" t="n">
        <v>2.5</v>
      </c>
      <c r="I2804" s="1" t="n">
        <v>0</v>
      </c>
      <c r="J2804" s="1" t="n">
        <v>20201</v>
      </c>
      <c r="L2804" s="1" t="str">
        <f aca="false">IF(D2803&lt;&gt;D2804,D2804,"")</f>
        <v/>
      </c>
      <c r="M2804" s="1" t="str">
        <f aca="false">IF(F2803&lt;&gt;F2804,F2804,"")</f>
        <v/>
      </c>
    </row>
    <row r="2805" customFormat="false" ht="15" hidden="false" customHeight="false" outlineLevel="0" collapsed="false">
      <c r="A2805" s="1" t="s">
        <v>721</v>
      </c>
      <c r="B2805" s="1" t="s">
        <v>722</v>
      </c>
      <c r="C2805" s="1" t="s">
        <v>924</v>
      </c>
      <c r="D2805" s="1" t="s">
        <v>925</v>
      </c>
      <c r="E2805" s="1" t="n">
        <v>20171</v>
      </c>
      <c r="F2805" s="1" t="s">
        <v>208</v>
      </c>
      <c r="G2805" s="1" t="s">
        <v>101</v>
      </c>
      <c r="H2805" s="1" t="n">
        <v>2.5</v>
      </c>
      <c r="I2805" s="1" t="n">
        <v>0</v>
      </c>
      <c r="J2805" s="1" t="n">
        <v>20201</v>
      </c>
      <c r="L2805" s="1" t="str">
        <f aca="false">IF(D2804&lt;&gt;D2805,D2805,"")</f>
        <v/>
      </c>
      <c r="M2805" s="1" t="str">
        <f aca="false">IF(F2804&lt;&gt;F2805,F2805,"")</f>
        <v/>
      </c>
    </row>
    <row r="2806" customFormat="false" ht="15" hidden="false" customHeight="false" outlineLevel="0" collapsed="false">
      <c r="A2806" s="1" t="s">
        <v>237</v>
      </c>
      <c r="B2806" s="1" t="s">
        <v>238</v>
      </c>
      <c r="C2806" s="1" t="s">
        <v>924</v>
      </c>
      <c r="D2806" s="1" t="s">
        <v>925</v>
      </c>
      <c r="E2806" s="1" t="n">
        <v>20171</v>
      </c>
      <c r="F2806" s="1" t="s">
        <v>208</v>
      </c>
      <c r="G2806" s="1" t="s">
        <v>101</v>
      </c>
      <c r="H2806" s="1" t="n">
        <v>2.5</v>
      </c>
      <c r="I2806" s="1" t="n">
        <v>0</v>
      </c>
      <c r="J2806" s="1" t="n">
        <v>20201</v>
      </c>
      <c r="L2806" s="1" t="str">
        <f aca="false">IF(D2805&lt;&gt;D2806,D2806,"")</f>
        <v/>
      </c>
      <c r="M2806" s="1" t="str">
        <f aca="false">IF(F2805&lt;&gt;F2806,F2806,"")</f>
        <v/>
      </c>
    </row>
    <row r="2807" customFormat="false" ht="15" hidden="false" customHeight="false" outlineLevel="0" collapsed="false">
      <c r="A2807" s="1" t="s">
        <v>239</v>
      </c>
      <c r="B2807" s="1" t="s">
        <v>240</v>
      </c>
      <c r="C2807" s="1" t="s">
        <v>924</v>
      </c>
      <c r="D2807" s="1" t="s">
        <v>925</v>
      </c>
      <c r="E2807" s="1" t="n">
        <v>20171</v>
      </c>
      <c r="F2807" s="1" t="s">
        <v>208</v>
      </c>
      <c r="G2807" s="1" t="s">
        <v>18</v>
      </c>
      <c r="H2807" s="1" t="n">
        <v>3</v>
      </c>
      <c r="I2807" s="1" t="n">
        <v>0</v>
      </c>
      <c r="J2807" s="1" t="n">
        <v>20201</v>
      </c>
      <c r="L2807" s="1" t="str">
        <f aca="false">IF(D2806&lt;&gt;D2807,D2807,"")</f>
        <v/>
      </c>
      <c r="M2807" s="1" t="str">
        <f aca="false">IF(F2806&lt;&gt;F2807,F2807,"")</f>
        <v/>
      </c>
    </row>
    <row r="2808" customFormat="false" ht="15" hidden="false" customHeight="false" outlineLevel="0" collapsed="false">
      <c r="A2808" s="1" t="s">
        <v>241</v>
      </c>
      <c r="B2808" s="1" t="s">
        <v>242</v>
      </c>
      <c r="C2808" s="1" t="s">
        <v>924</v>
      </c>
      <c r="D2808" s="1" t="s">
        <v>925</v>
      </c>
      <c r="E2808" s="1" t="n">
        <v>20171</v>
      </c>
      <c r="F2808" s="1" t="s">
        <v>208</v>
      </c>
      <c r="G2808" s="1" t="s">
        <v>101</v>
      </c>
      <c r="H2808" s="1" t="n">
        <v>2.5</v>
      </c>
      <c r="I2808" s="1" t="n">
        <v>0</v>
      </c>
      <c r="J2808" s="1" t="n">
        <v>20201</v>
      </c>
      <c r="L2808" s="1" t="str">
        <f aca="false">IF(D2807&lt;&gt;D2808,D2808,"")</f>
        <v/>
      </c>
      <c r="M2808" s="1" t="str">
        <f aca="false">IF(F2807&lt;&gt;F2808,F2808,"")</f>
        <v/>
      </c>
    </row>
    <row r="2809" customFormat="false" ht="15" hidden="false" customHeight="false" outlineLevel="0" collapsed="false">
      <c r="A2809" s="1" t="s">
        <v>245</v>
      </c>
      <c r="B2809" s="1" t="s">
        <v>246</v>
      </c>
      <c r="C2809" s="1" t="s">
        <v>924</v>
      </c>
      <c r="D2809" s="1" t="s">
        <v>925</v>
      </c>
      <c r="E2809" s="1" t="n">
        <v>20171</v>
      </c>
      <c r="F2809" s="1" t="s">
        <v>208</v>
      </c>
      <c r="G2809" s="1" t="s">
        <v>14</v>
      </c>
      <c r="H2809" s="1" t="n">
        <v>4</v>
      </c>
      <c r="I2809" s="1" t="n">
        <v>0</v>
      </c>
      <c r="J2809" s="1" t="n">
        <v>20201</v>
      </c>
      <c r="L2809" s="1" t="str">
        <f aca="false">IF(D2808&lt;&gt;D2809,D2809,"")</f>
        <v/>
      </c>
      <c r="M2809" s="1" t="str">
        <f aca="false">IF(F2808&lt;&gt;F2809,F2809,"")</f>
        <v/>
      </c>
    </row>
    <row r="2810" customFormat="false" ht="15" hidden="false" customHeight="false" outlineLevel="0" collapsed="false">
      <c r="A2810" s="1" t="s">
        <v>247</v>
      </c>
      <c r="B2810" s="1" t="s">
        <v>248</v>
      </c>
      <c r="C2810" s="1" t="s">
        <v>924</v>
      </c>
      <c r="D2810" s="1" t="s">
        <v>925</v>
      </c>
      <c r="E2810" s="1" t="n">
        <v>20171</v>
      </c>
      <c r="F2810" s="1" t="s">
        <v>208</v>
      </c>
      <c r="G2810" s="1" t="s">
        <v>101</v>
      </c>
      <c r="H2810" s="1" t="n">
        <v>2.5</v>
      </c>
      <c r="I2810" s="1" t="n">
        <v>0</v>
      </c>
      <c r="J2810" s="1" t="n">
        <v>20201</v>
      </c>
      <c r="L2810" s="1" t="str">
        <f aca="false">IF(D2809&lt;&gt;D2810,D2810,"")</f>
        <v/>
      </c>
      <c r="M2810" s="1" t="str">
        <f aca="false">IF(F2809&lt;&gt;F2810,F2810,"")</f>
        <v/>
      </c>
    </row>
    <row r="2811" customFormat="false" ht="15" hidden="false" customHeight="false" outlineLevel="0" collapsed="false">
      <c r="A2811" s="1" t="s">
        <v>547</v>
      </c>
      <c r="B2811" s="1" t="s">
        <v>548</v>
      </c>
      <c r="C2811" s="1" t="s">
        <v>924</v>
      </c>
      <c r="D2811" s="1" t="s">
        <v>925</v>
      </c>
      <c r="E2811" s="1" t="n">
        <v>20171</v>
      </c>
      <c r="F2811" s="1" t="s">
        <v>208</v>
      </c>
      <c r="G2811" s="1" t="s">
        <v>101</v>
      </c>
      <c r="H2811" s="1" t="n">
        <v>2.5</v>
      </c>
      <c r="I2811" s="1" t="n">
        <v>0</v>
      </c>
      <c r="J2811" s="1" t="n">
        <v>20201</v>
      </c>
      <c r="L2811" s="1" t="str">
        <f aca="false">IF(D2810&lt;&gt;D2811,D2811,"")</f>
        <v/>
      </c>
      <c r="M2811" s="1" t="str">
        <f aca="false">IF(F2810&lt;&gt;F2811,F2811,"")</f>
        <v/>
      </c>
    </row>
    <row r="2812" customFormat="false" ht="15" hidden="false" customHeight="false" outlineLevel="0" collapsed="false">
      <c r="A2812" s="1" t="s">
        <v>249</v>
      </c>
      <c r="B2812" s="1" t="s">
        <v>250</v>
      </c>
      <c r="C2812" s="1" t="s">
        <v>924</v>
      </c>
      <c r="D2812" s="1" t="s">
        <v>925</v>
      </c>
      <c r="E2812" s="1" t="n">
        <v>20171</v>
      </c>
      <c r="F2812" s="1" t="s">
        <v>208</v>
      </c>
      <c r="G2812" s="1" t="s">
        <v>15</v>
      </c>
      <c r="H2812" s="1" t="n">
        <v>3.5</v>
      </c>
      <c r="I2812" s="1" t="n">
        <v>0</v>
      </c>
      <c r="J2812" s="1" t="n">
        <v>20201</v>
      </c>
      <c r="L2812" s="1" t="str">
        <f aca="false">IF(D2811&lt;&gt;D2812,D2812,"")</f>
        <v/>
      </c>
      <c r="M2812" s="1" t="str">
        <f aca="false">IF(F2811&lt;&gt;F2812,F2812,"")</f>
        <v/>
      </c>
    </row>
    <row r="2813" customFormat="false" ht="15" hidden="false" customHeight="false" outlineLevel="0" collapsed="false">
      <c r="A2813" s="1" t="s">
        <v>295</v>
      </c>
      <c r="B2813" s="1" t="s">
        <v>296</v>
      </c>
      <c r="C2813" s="1" t="s">
        <v>924</v>
      </c>
      <c r="D2813" s="1" t="s">
        <v>925</v>
      </c>
      <c r="E2813" s="1" t="n">
        <v>20171</v>
      </c>
      <c r="F2813" s="1" t="s">
        <v>208</v>
      </c>
      <c r="G2813" s="1" t="s">
        <v>127</v>
      </c>
      <c r="H2813" s="1" t="n">
        <v>2</v>
      </c>
      <c r="I2813" s="1" t="n">
        <v>0</v>
      </c>
      <c r="J2813" s="1" t="n">
        <v>20201</v>
      </c>
      <c r="L2813" s="1" t="str">
        <f aca="false">IF(D2812&lt;&gt;D2813,D2813,"")</f>
        <v/>
      </c>
      <c r="M2813" s="1" t="str">
        <f aca="false">IF(F2812&lt;&gt;F2813,F2813,"")</f>
        <v/>
      </c>
    </row>
    <row r="2814" customFormat="false" ht="15" hidden="false" customHeight="false" outlineLevel="0" collapsed="false">
      <c r="A2814" s="1" t="s">
        <v>723</v>
      </c>
      <c r="B2814" s="1" t="s">
        <v>724</v>
      </c>
      <c r="C2814" s="1" t="s">
        <v>924</v>
      </c>
      <c r="D2814" s="1" t="s">
        <v>925</v>
      </c>
      <c r="E2814" s="1" t="n">
        <v>20171</v>
      </c>
      <c r="F2814" s="1" t="s">
        <v>208</v>
      </c>
      <c r="G2814" s="1" t="s">
        <v>18</v>
      </c>
      <c r="H2814" s="1" t="n">
        <v>3</v>
      </c>
      <c r="I2814" s="1" t="n">
        <v>0</v>
      </c>
      <c r="J2814" s="1" t="n">
        <v>20201</v>
      </c>
      <c r="L2814" s="1" t="str">
        <f aca="false">IF(D2813&lt;&gt;D2814,D2814,"")</f>
        <v/>
      </c>
      <c r="M2814" s="1" t="str">
        <f aca="false">IF(F2813&lt;&gt;F2814,F2814,"")</f>
        <v/>
      </c>
    </row>
    <row r="2815" customFormat="false" ht="15" hidden="false" customHeight="false" outlineLevel="0" collapsed="false">
      <c r="A2815" s="1" t="s">
        <v>257</v>
      </c>
      <c r="B2815" s="1" t="s">
        <v>258</v>
      </c>
      <c r="C2815" s="1" t="s">
        <v>924</v>
      </c>
      <c r="D2815" s="1" t="s">
        <v>925</v>
      </c>
      <c r="E2815" s="1" t="n">
        <v>20171</v>
      </c>
      <c r="F2815" s="1" t="s">
        <v>208</v>
      </c>
      <c r="G2815" s="1" t="s">
        <v>18</v>
      </c>
      <c r="H2815" s="1" t="n">
        <v>3</v>
      </c>
      <c r="I2815" s="1" t="n">
        <v>0</v>
      </c>
      <c r="J2815" s="1" t="n">
        <v>20201</v>
      </c>
      <c r="L2815" s="1" t="str">
        <f aca="false">IF(D2814&lt;&gt;D2815,D2815,"")</f>
        <v/>
      </c>
      <c r="M2815" s="1" t="str">
        <f aca="false">IF(F2814&lt;&gt;F2815,F2815,"")</f>
        <v/>
      </c>
    </row>
    <row r="2816" customFormat="false" ht="15" hidden="false" customHeight="false" outlineLevel="0" collapsed="false">
      <c r="A2816" s="1" t="s">
        <v>725</v>
      </c>
      <c r="B2816" s="1" t="s">
        <v>726</v>
      </c>
      <c r="C2816" s="1" t="s">
        <v>924</v>
      </c>
      <c r="D2816" s="1" t="s">
        <v>925</v>
      </c>
      <c r="E2816" s="1" t="n">
        <v>20171</v>
      </c>
      <c r="F2816" s="1" t="s">
        <v>208</v>
      </c>
      <c r="G2816" s="1" t="s">
        <v>101</v>
      </c>
      <c r="H2816" s="1" t="n">
        <v>2.5</v>
      </c>
      <c r="I2816" s="1" t="n">
        <v>0</v>
      </c>
      <c r="J2816" s="1" t="n">
        <v>20201</v>
      </c>
      <c r="L2816" s="1" t="str">
        <f aca="false">IF(D2815&lt;&gt;D2816,D2816,"")</f>
        <v/>
      </c>
      <c r="M2816" s="1" t="str">
        <f aca="false">IF(F2815&lt;&gt;F2816,F2816,"")</f>
        <v/>
      </c>
    </row>
    <row r="2817" customFormat="false" ht="15" hidden="false" customHeight="false" outlineLevel="0" collapsed="false">
      <c r="A2817" s="1" t="s">
        <v>10</v>
      </c>
      <c r="B2817" s="1" t="s">
        <v>11</v>
      </c>
      <c r="C2817" s="1" t="s">
        <v>924</v>
      </c>
      <c r="D2817" s="1" t="s">
        <v>925</v>
      </c>
      <c r="E2817" s="1" t="n">
        <v>20171</v>
      </c>
      <c r="F2817" s="1" t="s">
        <v>208</v>
      </c>
      <c r="G2817" s="1" t="s">
        <v>18</v>
      </c>
      <c r="H2817" s="1" t="n">
        <v>3</v>
      </c>
      <c r="I2817" s="1" t="n">
        <v>0</v>
      </c>
      <c r="J2817" s="1" t="n">
        <v>20201</v>
      </c>
      <c r="L2817" s="1" t="str">
        <f aca="false">IF(D2816&lt;&gt;D2817,D2817,"")</f>
        <v/>
      </c>
      <c r="M2817" s="1" t="str">
        <f aca="false">IF(F2816&lt;&gt;F2817,F2817,"")</f>
        <v/>
      </c>
    </row>
    <row r="2818" customFormat="false" ht="15" hidden="false" customHeight="false" outlineLevel="0" collapsed="false">
      <c r="A2818" s="1" t="s">
        <v>559</v>
      </c>
      <c r="B2818" s="1" t="s">
        <v>560</v>
      </c>
      <c r="C2818" s="1" t="s">
        <v>924</v>
      </c>
      <c r="D2818" s="1" t="s">
        <v>925</v>
      </c>
      <c r="E2818" s="1" t="n">
        <v>20171</v>
      </c>
      <c r="F2818" s="1" t="s">
        <v>208</v>
      </c>
      <c r="G2818" s="1" t="s">
        <v>18</v>
      </c>
      <c r="H2818" s="1" t="n">
        <v>3</v>
      </c>
      <c r="I2818" s="1" t="n">
        <v>0</v>
      </c>
      <c r="J2818" s="1" t="n">
        <v>20201</v>
      </c>
      <c r="L2818" s="1" t="str">
        <f aca="false">IF(D2817&lt;&gt;D2818,D2818,"")</f>
        <v/>
      </c>
      <c r="M2818" s="1" t="str">
        <f aca="false">IF(F2817&lt;&gt;F2818,F2818,"")</f>
        <v/>
      </c>
    </row>
    <row r="2819" customFormat="false" ht="15" hidden="false" customHeight="false" outlineLevel="0" collapsed="false">
      <c r="A2819" s="1" t="s">
        <v>561</v>
      </c>
      <c r="B2819" s="1" t="s">
        <v>562</v>
      </c>
      <c r="C2819" s="1" t="s">
        <v>924</v>
      </c>
      <c r="D2819" s="1" t="s">
        <v>925</v>
      </c>
      <c r="E2819" s="1" t="n">
        <v>20171</v>
      </c>
      <c r="F2819" s="1" t="s">
        <v>208</v>
      </c>
      <c r="G2819" s="1" t="s">
        <v>18</v>
      </c>
      <c r="H2819" s="1" t="n">
        <v>3</v>
      </c>
      <c r="I2819" s="1" t="n">
        <v>0</v>
      </c>
      <c r="J2819" s="1" t="n">
        <v>20201</v>
      </c>
      <c r="L2819" s="1" t="str">
        <f aca="false">IF(D2818&lt;&gt;D2819,D2819,"")</f>
        <v/>
      </c>
      <c r="M2819" s="1" t="str">
        <f aca="false">IF(F2818&lt;&gt;F2819,F2819,"")</f>
        <v/>
      </c>
    </row>
    <row r="2820" customFormat="false" ht="15" hidden="false" customHeight="false" outlineLevel="0" collapsed="false">
      <c r="A2820" s="1" t="s">
        <v>565</v>
      </c>
      <c r="B2820" s="1" t="s">
        <v>566</v>
      </c>
      <c r="C2820" s="1" t="s">
        <v>924</v>
      </c>
      <c r="D2820" s="1" t="s">
        <v>925</v>
      </c>
      <c r="E2820" s="1" t="n">
        <v>20171</v>
      </c>
      <c r="F2820" s="1" t="s">
        <v>208</v>
      </c>
      <c r="G2820" s="1" t="s">
        <v>18</v>
      </c>
      <c r="H2820" s="1" t="n">
        <v>3</v>
      </c>
      <c r="I2820" s="1" t="n">
        <v>0</v>
      </c>
      <c r="J2820" s="1" t="n">
        <v>20201</v>
      </c>
      <c r="L2820" s="1" t="str">
        <f aca="false">IF(D2819&lt;&gt;D2820,D2820,"")</f>
        <v/>
      </c>
      <c r="M2820" s="1" t="str">
        <f aca="false">IF(F2819&lt;&gt;F2820,F2820,"")</f>
        <v/>
      </c>
    </row>
    <row r="2821" customFormat="false" ht="15" hidden="false" customHeight="false" outlineLevel="0" collapsed="false">
      <c r="A2821" s="1" t="s">
        <v>735</v>
      </c>
      <c r="B2821" s="1" t="s">
        <v>736</v>
      </c>
      <c r="C2821" s="1" t="s">
        <v>924</v>
      </c>
      <c r="D2821" s="1" t="s">
        <v>925</v>
      </c>
      <c r="E2821" s="1" t="n">
        <v>20171</v>
      </c>
      <c r="F2821" s="1" t="s">
        <v>208</v>
      </c>
      <c r="G2821" s="1" t="s">
        <v>18</v>
      </c>
      <c r="H2821" s="1" t="n">
        <v>3</v>
      </c>
      <c r="I2821" s="1" t="n">
        <v>0</v>
      </c>
      <c r="J2821" s="1" t="n">
        <v>20201</v>
      </c>
      <c r="L2821" s="1" t="str">
        <f aca="false">IF(D2820&lt;&gt;D2821,D2821,"")</f>
        <v/>
      </c>
      <c r="M2821" s="1" t="str">
        <f aca="false">IF(F2820&lt;&gt;F2821,F2821,"")</f>
        <v/>
      </c>
    </row>
    <row r="2822" customFormat="false" ht="15" hidden="false" customHeight="false" outlineLevel="0" collapsed="false">
      <c r="A2822" s="1" t="s">
        <v>691</v>
      </c>
      <c r="B2822" s="1" t="s">
        <v>692</v>
      </c>
      <c r="C2822" s="1" t="s">
        <v>924</v>
      </c>
      <c r="D2822" s="1" t="s">
        <v>925</v>
      </c>
      <c r="E2822" s="1" t="n">
        <v>20171</v>
      </c>
      <c r="F2822" s="1" t="s">
        <v>208</v>
      </c>
      <c r="G2822" s="1" t="s">
        <v>18</v>
      </c>
      <c r="H2822" s="1" t="n">
        <v>3</v>
      </c>
      <c r="I2822" s="1" t="n">
        <v>0</v>
      </c>
      <c r="J2822" s="1" t="n">
        <v>20201</v>
      </c>
      <c r="L2822" s="1" t="str">
        <f aca="false">IF(D2821&lt;&gt;D2822,D2822,"")</f>
        <v/>
      </c>
      <c r="M2822" s="1" t="str">
        <f aca="false">IF(F2821&lt;&gt;F2822,F2822,"")</f>
        <v/>
      </c>
    </row>
    <row r="2823" customFormat="false" ht="15" hidden="false" customHeight="false" outlineLevel="0" collapsed="false">
      <c r="A2823" s="1" t="s">
        <v>695</v>
      </c>
      <c r="B2823" s="1" t="s">
        <v>696</v>
      </c>
      <c r="C2823" s="1" t="s">
        <v>924</v>
      </c>
      <c r="D2823" s="1" t="s">
        <v>925</v>
      </c>
      <c r="E2823" s="1" t="n">
        <v>20171</v>
      </c>
      <c r="F2823" s="1" t="s">
        <v>208</v>
      </c>
      <c r="G2823" s="1" t="s">
        <v>18</v>
      </c>
      <c r="H2823" s="1" t="n">
        <v>3</v>
      </c>
      <c r="I2823" s="1" t="n">
        <v>0</v>
      </c>
      <c r="J2823" s="1" t="n">
        <v>20201</v>
      </c>
      <c r="L2823" s="1" t="str">
        <f aca="false">IF(D2822&lt;&gt;D2823,D2823,"")</f>
        <v/>
      </c>
      <c r="M2823" s="1" t="str">
        <f aca="false">IF(F2822&lt;&gt;F2823,F2823,"")</f>
        <v/>
      </c>
    </row>
    <row r="2824" customFormat="false" ht="15" hidden="false" customHeight="false" outlineLevel="0" collapsed="false">
      <c r="A2824" s="1" t="s">
        <v>213</v>
      </c>
      <c r="B2824" s="1" t="s">
        <v>214</v>
      </c>
      <c r="C2824" s="1" t="s">
        <v>924</v>
      </c>
      <c r="D2824" s="1" t="s">
        <v>925</v>
      </c>
      <c r="E2824" s="1" t="n">
        <v>20171</v>
      </c>
      <c r="F2824" s="1" t="s">
        <v>208</v>
      </c>
      <c r="G2824" s="1" t="s">
        <v>18</v>
      </c>
      <c r="H2824" s="1" t="n">
        <v>3</v>
      </c>
      <c r="I2824" s="1" t="n">
        <v>0</v>
      </c>
      <c r="J2824" s="1" t="n">
        <v>20201</v>
      </c>
      <c r="L2824" s="1" t="str">
        <f aca="false">IF(D2823&lt;&gt;D2824,D2824,"")</f>
        <v/>
      </c>
      <c r="M2824" s="1" t="str">
        <f aca="false">IF(F2823&lt;&gt;F2824,F2824,"")</f>
        <v/>
      </c>
    </row>
    <row r="2825" customFormat="false" ht="15" hidden="false" customHeight="false" outlineLevel="0" collapsed="false">
      <c r="A2825" s="1" t="s">
        <v>310</v>
      </c>
      <c r="B2825" s="1" t="s">
        <v>311</v>
      </c>
      <c r="C2825" s="1" t="s">
        <v>924</v>
      </c>
      <c r="D2825" s="1" t="s">
        <v>925</v>
      </c>
      <c r="E2825" s="1" t="n">
        <v>20171</v>
      </c>
      <c r="F2825" s="1" t="s">
        <v>208</v>
      </c>
      <c r="G2825" s="1" t="s">
        <v>18</v>
      </c>
      <c r="H2825" s="1" t="n">
        <v>3</v>
      </c>
      <c r="I2825" s="1" t="n">
        <v>0</v>
      </c>
      <c r="J2825" s="1" t="n">
        <v>20201</v>
      </c>
      <c r="L2825" s="1" t="str">
        <f aca="false">IF(D2824&lt;&gt;D2825,D2825,"")</f>
        <v/>
      </c>
      <c r="M2825" s="1" t="str">
        <f aca="false">IF(F2824&lt;&gt;F2825,F2825,"")</f>
        <v/>
      </c>
    </row>
    <row r="2826" customFormat="false" ht="15" hidden="false" customHeight="false" outlineLevel="0" collapsed="false">
      <c r="A2826" s="1" t="s">
        <v>697</v>
      </c>
      <c r="B2826" s="1" t="s">
        <v>698</v>
      </c>
      <c r="C2826" s="1" t="s">
        <v>924</v>
      </c>
      <c r="D2826" s="1" t="s">
        <v>925</v>
      </c>
      <c r="E2826" s="1" t="n">
        <v>20171</v>
      </c>
      <c r="F2826" s="1" t="s">
        <v>208</v>
      </c>
      <c r="G2826" s="1" t="s">
        <v>18</v>
      </c>
      <c r="H2826" s="1" t="n">
        <v>3</v>
      </c>
      <c r="I2826" s="1" t="n">
        <v>0</v>
      </c>
      <c r="J2826" s="1" t="n">
        <v>20201</v>
      </c>
      <c r="L2826" s="1" t="str">
        <f aca="false">IF(D2825&lt;&gt;D2826,D2826,"")</f>
        <v/>
      </c>
      <c r="M2826" s="1" t="str">
        <f aca="false">IF(F2825&lt;&gt;F2826,F2826,"")</f>
        <v/>
      </c>
    </row>
    <row r="2827" customFormat="false" ht="15" hidden="false" customHeight="false" outlineLevel="0" collapsed="false">
      <c r="A2827" s="1" t="s">
        <v>537</v>
      </c>
      <c r="B2827" s="1" t="s">
        <v>538</v>
      </c>
      <c r="C2827" s="1" t="s">
        <v>924</v>
      </c>
      <c r="D2827" s="1" t="s">
        <v>925</v>
      </c>
      <c r="E2827" s="1" t="n">
        <v>20171</v>
      </c>
      <c r="F2827" s="1" t="s">
        <v>208</v>
      </c>
      <c r="G2827" s="1" t="s">
        <v>18</v>
      </c>
      <c r="H2827" s="1" t="n">
        <v>3</v>
      </c>
      <c r="I2827" s="1" t="n">
        <v>0</v>
      </c>
      <c r="J2827" s="1" t="n">
        <v>20201</v>
      </c>
      <c r="L2827" s="1" t="str">
        <f aca="false">IF(D2826&lt;&gt;D2827,D2827,"")</f>
        <v/>
      </c>
      <c r="M2827" s="1" t="str">
        <f aca="false">IF(F2826&lt;&gt;F2827,F2827,"")</f>
        <v/>
      </c>
    </row>
    <row r="2828" customFormat="false" ht="15" hidden="false" customHeight="false" outlineLevel="0" collapsed="false">
      <c r="A2828" s="1" t="s">
        <v>681</v>
      </c>
      <c r="B2828" s="1" t="s">
        <v>682</v>
      </c>
      <c r="C2828" s="1" t="s">
        <v>924</v>
      </c>
      <c r="D2828" s="1" t="s">
        <v>925</v>
      </c>
      <c r="E2828" s="1" t="n">
        <v>20171</v>
      </c>
      <c r="F2828" s="1" t="s">
        <v>208</v>
      </c>
      <c r="G2828" s="1" t="s">
        <v>18</v>
      </c>
      <c r="H2828" s="1" t="n">
        <v>3</v>
      </c>
      <c r="I2828" s="1" t="n">
        <v>0</v>
      </c>
      <c r="J2828" s="1" t="n">
        <v>20201</v>
      </c>
      <c r="L2828" s="1" t="str">
        <f aca="false">IF(D2827&lt;&gt;D2828,D2828,"")</f>
        <v/>
      </c>
      <c r="M2828" s="1" t="str">
        <f aca="false">IF(F2827&lt;&gt;F2828,F2828,"")</f>
        <v/>
      </c>
    </row>
    <row r="2829" customFormat="false" ht="15" hidden="false" customHeight="false" outlineLevel="0" collapsed="false">
      <c r="A2829" s="1" t="s">
        <v>701</v>
      </c>
      <c r="B2829" s="1" t="s">
        <v>702</v>
      </c>
      <c r="C2829" s="1" t="s">
        <v>924</v>
      </c>
      <c r="D2829" s="1" t="s">
        <v>925</v>
      </c>
      <c r="E2829" s="1" t="n">
        <v>20171</v>
      </c>
      <c r="F2829" s="1" t="s">
        <v>208</v>
      </c>
      <c r="G2829" s="1" t="s">
        <v>18</v>
      </c>
      <c r="H2829" s="1" t="n">
        <v>3</v>
      </c>
      <c r="I2829" s="1" t="n">
        <v>0</v>
      </c>
      <c r="J2829" s="1" t="n">
        <v>20201</v>
      </c>
      <c r="L2829" s="1" t="str">
        <f aca="false">IF(D2828&lt;&gt;D2829,D2829,"")</f>
        <v/>
      </c>
      <c r="M2829" s="1" t="str">
        <f aca="false">IF(F2828&lt;&gt;F2829,F2829,"")</f>
        <v/>
      </c>
    </row>
    <row r="2830" customFormat="false" ht="15" hidden="false" customHeight="false" outlineLevel="0" collapsed="false">
      <c r="A2830" s="1" t="s">
        <v>223</v>
      </c>
      <c r="B2830" s="1" t="s">
        <v>224</v>
      </c>
      <c r="C2830" s="1" t="s">
        <v>924</v>
      </c>
      <c r="D2830" s="1" t="s">
        <v>925</v>
      </c>
      <c r="E2830" s="1" t="n">
        <v>20171</v>
      </c>
      <c r="F2830" s="1" t="s">
        <v>208</v>
      </c>
      <c r="G2830" s="1" t="s">
        <v>18</v>
      </c>
      <c r="H2830" s="1" t="n">
        <v>3</v>
      </c>
      <c r="I2830" s="1" t="n">
        <v>0</v>
      </c>
      <c r="J2830" s="1" t="n">
        <v>20201</v>
      </c>
      <c r="L2830" s="1" t="str">
        <f aca="false">IF(D2829&lt;&gt;D2830,D2830,"")</f>
        <v/>
      </c>
      <c r="M2830" s="1" t="str">
        <f aca="false">IF(F2829&lt;&gt;F2830,F2830,"")</f>
        <v/>
      </c>
    </row>
    <row r="2831" customFormat="false" ht="15" hidden="false" customHeight="false" outlineLevel="0" collapsed="false">
      <c r="A2831" s="1" t="s">
        <v>277</v>
      </c>
      <c r="B2831" s="1" t="s">
        <v>278</v>
      </c>
      <c r="C2831" s="1" t="s">
        <v>924</v>
      </c>
      <c r="D2831" s="1" t="s">
        <v>925</v>
      </c>
      <c r="E2831" s="1" t="n">
        <v>20171</v>
      </c>
      <c r="F2831" s="1" t="s">
        <v>208</v>
      </c>
      <c r="G2831" s="1" t="s">
        <v>18</v>
      </c>
      <c r="H2831" s="1" t="n">
        <v>3</v>
      </c>
      <c r="I2831" s="1" t="n">
        <v>0</v>
      </c>
      <c r="J2831" s="1" t="n">
        <v>20201</v>
      </c>
      <c r="L2831" s="1" t="str">
        <f aca="false">IF(D2830&lt;&gt;D2831,D2831,"")</f>
        <v/>
      </c>
      <c r="M2831" s="1" t="str">
        <f aca="false">IF(F2830&lt;&gt;F2831,F2831,"")</f>
        <v/>
      </c>
    </row>
    <row r="2832" customFormat="false" ht="15" hidden="false" customHeight="false" outlineLevel="0" collapsed="false">
      <c r="A2832" s="1" t="s">
        <v>709</v>
      </c>
      <c r="B2832" s="1" t="s">
        <v>710</v>
      </c>
      <c r="C2832" s="1" t="s">
        <v>924</v>
      </c>
      <c r="D2832" s="1" t="s">
        <v>925</v>
      </c>
      <c r="E2832" s="1" t="n">
        <v>20171</v>
      </c>
      <c r="F2832" s="1" t="s">
        <v>208</v>
      </c>
      <c r="G2832" s="1" t="s">
        <v>18</v>
      </c>
      <c r="H2832" s="1" t="n">
        <v>3</v>
      </c>
      <c r="I2832" s="1" t="n">
        <v>0</v>
      </c>
      <c r="J2832" s="1" t="n">
        <v>20201</v>
      </c>
      <c r="L2832" s="1" t="str">
        <f aca="false">IF(D2831&lt;&gt;D2832,D2832,"")</f>
        <v/>
      </c>
      <c r="M2832" s="1" t="str">
        <f aca="false">IF(F2831&lt;&gt;F2832,F2832,"")</f>
        <v/>
      </c>
    </row>
    <row r="2833" customFormat="false" ht="15" hidden="false" customHeight="false" outlineLevel="0" collapsed="false">
      <c r="A2833" s="1" t="s">
        <v>539</v>
      </c>
      <c r="B2833" s="1" t="s">
        <v>540</v>
      </c>
      <c r="C2833" s="1" t="s">
        <v>924</v>
      </c>
      <c r="D2833" s="1" t="s">
        <v>925</v>
      </c>
      <c r="E2833" s="1" t="n">
        <v>20171</v>
      </c>
      <c r="F2833" s="1" t="s">
        <v>208</v>
      </c>
      <c r="G2833" s="1" t="s">
        <v>18</v>
      </c>
      <c r="H2833" s="1" t="n">
        <v>3</v>
      </c>
      <c r="I2833" s="1" t="n">
        <v>0</v>
      </c>
      <c r="J2833" s="1" t="n">
        <v>20201</v>
      </c>
      <c r="L2833" s="1" t="str">
        <f aca="false">IF(D2832&lt;&gt;D2833,D2833,"")</f>
        <v/>
      </c>
      <c r="M2833" s="1" t="str">
        <f aca="false">IF(F2832&lt;&gt;F2833,F2833,"")</f>
        <v/>
      </c>
    </row>
    <row r="2834" customFormat="false" ht="15" hidden="false" customHeight="false" outlineLevel="0" collapsed="false">
      <c r="A2834" s="1" t="s">
        <v>279</v>
      </c>
      <c r="B2834" s="1" t="s">
        <v>280</v>
      </c>
      <c r="C2834" s="1" t="s">
        <v>924</v>
      </c>
      <c r="D2834" s="1" t="s">
        <v>925</v>
      </c>
      <c r="E2834" s="1" t="n">
        <v>20171</v>
      </c>
      <c r="F2834" s="1" t="s">
        <v>208</v>
      </c>
      <c r="G2834" s="1" t="s">
        <v>18</v>
      </c>
      <c r="H2834" s="1" t="n">
        <v>3</v>
      </c>
      <c r="I2834" s="1" t="n">
        <v>0</v>
      </c>
      <c r="J2834" s="1" t="n">
        <v>20201</v>
      </c>
      <c r="L2834" s="1" t="str">
        <f aca="false">IF(D2833&lt;&gt;D2834,D2834,"")</f>
        <v/>
      </c>
      <c r="M2834" s="1" t="str">
        <f aca="false">IF(F2833&lt;&gt;F2834,F2834,"")</f>
        <v/>
      </c>
    </row>
    <row r="2835" customFormat="false" ht="15" hidden="false" customHeight="false" outlineLevel="0" collapsed="false">
      <c r="A2835" s="1" t="s">
        <v>281</v>
      </c>
      <c r="B2835" s="1" t="s">
        <v>282</v>
      </c>
      <c r="C2835" s="1" t="s">
        <v>924</v>
      </c>
      <c r="D2835" s="1" t="s">
        <v>925</v>
      </c>
      <c r="E2835" s="1" t="n">
        <v>20171</v>
      </c>
      <c r="F2835" s="1" t="s">
        <v>208</v>
      </c>
      <c r="G2835" s="1" t="s">
        <v>18</v>
      </c>
      <c r="H2835" s="1" t="n">
        <v>3</v>
      </c>
      <c r="I2835" s="1" t="n">
        <v>0</v>
      </c>
      <c r="J2835" s="1" t="n">
        <v>20201</v>
      </c>
      <c r="L2835" s="1" t="str">
        <f aca="false">IF(D2834&lt;&gt;D2835,D2835,"")</f>
        <v/>
      </c>
      <c r="M2835" s="1" t="str">
        <f aca="false">IF(F2834&lt;&gt;F2835,F2835,"")</f>
        <v/>
      </c>
    </row>
    <row r="2836" customFormat="false" ht="15" hidden="false" customHeight="false" outlineLevel="0" collapsed="false">
      <c r="A2836" s="1" t="s">
        <v>227</v>
      </c>
      <c r="B2836" s="1" t="s">
        <v>228</v>
      </c>
      <c r="C2836" s="1" t="s">
        <v>924</v>
      </c>
      <c r="D2836" s="1" t="s">
        <v>925</v>
      </c>
      <c r="E2836" s="1" t="n">
        <v>20171</v>
      </c>
      <c r="F2836" s="1" t="s">
        <v>208</v>
      </c>
      <c r="G2836" s="1" t="s">
        <v>18</v>
      </c>
      <c r="H2836" s="1" t="n">
        <v>3</v>
      </c>
      <c r="I2836" s="1" t="n">
        <v>0</v>
      </c>
      <c r="J2836" s="1" t="n">
        <v>20201</v>
      </c>
      <c r="L2836" s="1" t="str">
        <f aca="false">IF(D2835&lt;&gt;D2836,D2836,"")</f>
        <v/>
      </c>
      <c r="M2836" s="1" t="str">
        <f aca="false">IF(F2835&lt;&gt;F2836,F2836,"")</f>
        <v/>
      </c>
    </row>
    <row r="2837" customFormat="false" ht="15" hidden="false" customHeight="false" outlineLevel="0" collapsed="false">
      <c r="A2837" s="1" t="s">
        <v>541</v>
      </c>
      <c r="B2837" s="1" t="s">
        <v>542</v>
      </c>
      <c r="C2837" s="1" t="s">
        <v>924</v>
      </c>
      <c r="D2837" s="1" t="s">
        <v>925</v>
      </c>
      <c r="E2837" s="1" t="n">
        <v>20171</v>
      </c>
      <c r="F2837" s="1" t="s">
        <v>208</v>
      </c>
      <c r="G2837" s="1" t="s">
        <v>18</v>
      </c>
      <c r="H2837" s="1" t="n">
        <v>3</v>
      </c>
      <c r="I2837" s="1" t="n">
        <v>0</v>
      </c>
      <c r="J2837" s="1" t="n">
        <v>20201</v>
      </c>
      <c r="L2837" s="1" t="str">
        <f aca="false">IF(D2836&lt;&gt;D2837,D2837,"")</f>
        <v/>
      </c>
      <c r="M2837" s="1" t="str">
        <f aca="false">IF(F2836&lt;&gt;F2837,F2837,"")</f>
        <v/>
      </c>
    </row>
    <row r="2838" customFormat="false" ht="15" hidden="false" customHeight="false" outlineLevel="0" collapsed="false">
      <c r="A2838" s="1" t="s">
        <v>229</v>
      </c>
      <c r="B2838" s="1" t="s">
        <v>230</v>
      </c>
      <c r="C2838" s="1" t="s">
        <v>924</v>
      </c>
      <c r="D2838" s="1" t="s">
        <v>925</v>
      </c>
      <c r="E2838" s="1" t="n">
        <v>20171</v>
      </c>
      <c r="F2838" s="1" t="s">
        <v>208</v>
      </c>
      <c r="G2838" s="1" t="s">
        <v>18</v>
      </c>
      <c r="H2838" s="1" t="n">
        <v>3</v>
      </c>
      <c r="I2838" s="1" t="n">
        <v>0</v>
      </c>
      <c r="J2838" s="1" t="n">
        <v>20201</v>
      </c>
      <c r="L2838" s="1" t="str">
        <f aca="false">IF(D2837&lt;&gt;D2838,D2838,"")</f>
        <v/>
      </c>
      <c r="M2838" s="1" t="str">
        <f aca="false">IF(F2837&lt;&gt;F2838,F2838,"")</f>
        <v/>
      </c>
    </row>
    <row r="2839" customFormat="false" ht="15" hidden="false" customHeight="false" outlineLevel="0" collapsed="false">
      <c r="A2839" s="1" t="s">
        <v>715</v>
      </c>
      <c r="B2839" s="1" t="s">
        <v>716</v>
      </c>
      <c r="C2839" s="1" t="s">
        <v>924</v>
      </c>
      <c r="D2839" s="1" t="s">
        <v>925</v>
      </c>
      <c r="E2839" s="1" t="n">
        <v>20171</v>
      </c>
      <c r="F2839" s="1" t="s">
        <v>208</v>
      </c>
      <c r="G2839" s="1" t="s">
        <v>18</v>
      </c>
      <c r="H2839" s="1" t="n">
        <v>3</v>
      </c>
      <c r="I2839" s="1" t="n">
        <v>0</v>
      </c>
      <c r="J2839" s="1" t="n">
        <v>20201</v>
      </c>
      <c r="L2839" s="1" t="str">
        <f aca="false">IF(D2838&lt;&gt;D2839,D2839,"")</f>
        <v/>
      </c>
      <c r="M2839" s="1" t="str">
        <f aca="false">IF(F2838&lt;&gt;F2839,F2839,"")</f>
        <v/>
      </c>
    </row>
    <row r="2840" customFormat="false" ht="15" hidden="false" customHeight="false" outlineLevel="0" collapsed="false">
      <c r="A2840" s="1" t="s">
        <v>663</v>
      </c>
      <c r="B2840" s="1" t="s">
        <v>664</v>
      </c>
      <c r="C2840" s="1" t="s">
        <v>924</v>
      </c>
      <c r="D2840" s="1" t="s">
        <v>925</v>
      </c>
      <c r="E2840" s="1" t="n">
        <v>20171</v>
      </c>
      <c r="F2840" s="1" t="s">
        <v>208</v>
      </c>
      <c r="G2840" s="1" t="s">
        <v>18</v>
      </c>
      <c r="H2840" s="1" t="n">
        <v>3</v>
      </c>
      <c r="I2840" s="1" t="n">
        <v>0</v>
      </c>
      <c r="J2840" s="1" t="n">
        <v>20201</v>
      </c>
      <c r="L2840" s="1" t="str">
        <f aca="false">IF(D2839&lt;&gt;D2840,D2840,"")</f>
        <v/>
      </c>
      <c r="M2840" s="1" t="str">
        <f aca="false">IF(F2839&lt;&gt;F2840,F2840,"")</f>
        <v/>
      </c>
    </row>
    <row r="2841" customFormat="false" ht="15" hidden="false" customHeight="false" outlineLevel="0" collapsed="false">
      <c r="A2841" s="1" t="s">
        <v>543</v>
      </c>
      <c r="B2841" s="1" t="s">
        <v>544</v>
      </c>
      <c r="C2841" s="1" t="s">
        <v>924</v>
      </c>
      <c r="D2841" s="1" t="s">
        <v>925</v>
      </c>
      <c r="E2841" s="1" t="n">
        <v>20171</v>
      </c>
      <c r="F2841" s="1" t="s">
        <v>208</v>
      </c>
      <c r="G2841" s="1" t="s">
        <v>18</v>
      </c>
      <c r="H2841" s="1" t="n">
        <v>3</v>
      </c>
      <c r="I2841" s="1" t="n">
        <v>0</v>
      </c>
      <c r="J2841" s="1" t="n">
        <v>20201</v>
      </c>
      <c r="L2841" s="1" t="str">
        <f aca="false">IF(D2840&lt;&gt;D2841,D2841,"")</f>
        <v/>
      </c>
      <c r="M2841" s="1" t="str">
        <f aca="false">IF(F2840&lt;&gt;F2841,F2841,"")</f>
        <v/>
      </c>
    </row>
    <row r="2842" customFormat="false" ht="15" hidden="false" customHeight="false" outlineLevel="0" collapsed="false">
      <c r="A2842" s="1" t="s">
        <v>289</v>
      </c>
      <c r="B2842" s="1" t="s">
        <v>290</v>
      </c>
      <c r="C2842" s="1" t="s">
        <v>924</v>
      </c>
      <c r="D2842" s="1" t="s">
        <v>925</v>
      </c>
      <c r="E2842" s="1" t="n">
        <v>20171</v>
      </c>
      <c r="F2842" s="1" t="s">
        <v>208</v>
      </c>
      <c r="G2842" s="1" t="s">
        <v>18</v>
      </c>
      <c r="H2842" s="1" t="n">
        <v>3</v>
      </c>
      <c r="I2842" s="1" t="n">
        <v>0</v>
      </c>
      <c r="J2842" s="1" t="n">
        <v>20201</v>
      </c>
      <c r="L2842" s="1" t="str">
        <f aca="false">IF(D2841&lt;&gt;D2842,D2842,"")</f>
        <v/>
      </c>
      <c r="M2842" s="1" t="str">
        <f aca="false">IF(F2841&lt;&gt;F2842,F2842,"")</f>
        <v/>
      </c>
    </row>
    <row r="2843" customFormat="false" ht="15" hidden="false" customHeight="false" outlineLevel="0" collapsed="false">
      <c r="A2843" s="1" t="s">
        <v>291</v>
      </c>
      <c r="B2843" s="1" t="s">
        <v>292</v>
      </c>
      <c r="C2843" s="1" t="s">
        <v>924</v>
      </c>
      <c r="D2843" s="1" t="s">
        <v>925</v>
      </c>
      <c r="E2843" s="1" t="n">
        <v>20171</v>
      </c>
      <c r="F2843" s="1" t="s">
        <v>208</v>
      </c>
      <c r="G2843" s="1" t="s">
        <v>18</v>
      </c>
      <c r="H2843" s="1" t="n">
        <v>3</v>
      </c>
      <c r="I2843" s="1" t="n">
        <v>0</v>
      </c>
      <c r="J2843" s="1" t="n">
        <v>20201</v>
      </c>
      <c r="L2843" s="1" t="str">
        <f aca="false">IF(D2842&lt;&gt;D2843,D2843,"")</f>
        <v/>
      </c>
      <c r="M2843" s="1" t="str">
        <f aca="false">IF(F2842&lt;&gt;F2843,F2843,"")</f>
        <v/>
      </c>
    </row>
    <row r="2844" customFormat="false" ht="15" hidden="false" customHeight="false" outlineLevel="0" collapsed="false">
      <c r="A2844" s="1" t="s">
        <v>293</v>
      </c>
      <c r="B2844" s="1" t="s">
        <v>294</v>
      </c>
      <c r="C2844" s="1" t="s">
        <v>924</v>
      </c>
      <c r="D2844" s="1" t="s">
        <v>925</v>
      </c>
      <c r="E2844" s="1" t="n">
        <v>20171</v>
      </c>
      <c r="F2844" s="1" t="s">
        <v>208</v>
      </c>
      <c r="G2844" s="1" t="s">
        <v>18</v>
      </c>
      <c r="H2844" s="1" t="n">
        <v>3</v>
      </c>
      <c r="I2844" s="1" t="n">
        <v>0</v>
      </c>
      <c r="J2844" s="1" t="n">
        <v>20201</v>
      </c>
      <c r="L2844" s="1" t="str">
        <f aca="false">IF(D2843&lt;&gt;D2844,D2844,"")</f>
        <v/>
      </c>
      <c r="M2844" s="1" t="str">
        <f aca="false">IF(F2843&lt;&gt;F2844,F2844,"")</f>
        <v/>
      </c>
    </row>
    <row r="2845" customFormat="false" ht="15" hidden="false" customHeight="false" outlineLevel="0" collapsed="false">
      <c r="A2845" s="1" t="s">
        <v>243</v>
      </c>
      <c r="B2845" s="1" t="s">
        <v>244</v>
      </c>
      <c r="C2845" s="1" t="s">
        <v>924</v>
      </c>
      <c r="D2845" s="1" t="s">
        <v>925</v>
      </c>
      <c r="E2845" s="1" t="n">
        <v>20171</v>
      </c>
      <c r="F2845" s="1" t="s">
        <v>208</v>
      </c>
      <c r="G2845" s="1" t="s">
        <v>18</v>
      </c>
      <c r="H2845" s="1" t="n">
        <v>3</v>
      </c>
      <c r="I2845" s="1" t="n">
        <v>0</v>
      </c>
      <c r="J2845" s="1" t="n">
        <v>20201</v>
      </c>
      <c r="L2845" s="1" t="str">
        <f aca="false">IF(D2844&lt;&gt;D2845,D2845,"")</f>
        <v/>
      </c>
      <c r="M2845" s="1" t="str">
        <f aca="false">IF(F2844&lt;&gt;F2845,F2845,"")</f>
        <v/>
      </c>
    </row>
    <row r="2846" customFormat="false" ht="15" hidden="false" customHeight="false" outlineLevel="0" collapsed="false">
      <c r="A2846" s="1" t="s">
        <v>665</v>
      </c>
      <c r="B2846" s="1" t="s">
        <v>666</v>
      </c>
      <c r="C2846" s="1" t="s">
        <v>924</v>
      </c>
      <c r="D2846" s="1" t="s">
        <v>925</v>
      </c>
      <c r="E2846" s="1" t="n">
        <v>20171</v>
      </c>
      <c r="F2846" s="1" t="s">
        <v>208</v>
      </c>
      <c r="G2846" s="1" t="s">
        <v>18</v>
      </c>
      <c r="H2846" s="1" t="n">
        <v>3</v>
      </c>
      <c r="I2846" s="1" t="n">
        <v>0</v>
      </c>
      <c r="J2846" s="1" t="n">
        <v>20201</v>
      </c>
      <c r="L2846" s="1" t="str">
        <f aca="false">IF(D2845&lt;&gt;D2846,D2846,"")</f>
        <v/>
      </c>
      <c r="M2846" s="1" t="str">
        <f aca="false">IF(F2845&lt;&gt;F2846,F2846,"")</f>
        <v/>
      </c>
    </row>
    <row r="2847" customFormat="false" ht="15" hidden="false" customHeight="false" outlineLevel="0" collapsed="false">
      <c r="A2847" s="1" t="s">
        <v>683</v>
      </c>
      <c r="B2847" s="1" t="s">
        <v>684</v>
      </c>
      <c r="C2847" s="1" t="s">
        <v>924</v>
      </c>
      <c r="D2847" s="1" t="s">
        <v>925</v>
      </c>
      <c r="E2847" s="1" t="n">
        <v>20171</v>
      </c>
      <c r="F2847" s="1" t="s">
        <v>208</v>
      </c>
      <c r="G2847" s="1" t="s">
        <v>18</v>
      </c>
      <c r="H2847" s="1" t="n">
        <v>3</v>
      </c>
      <c r="I2847" s="1" t="n">
        <v>0</v>
      </c>
      <c r="J2847" s="1" t="n">
        <v>20201</v>
      </c>
      <c r="L2847" s="1" t="str">
        <f aca="false">IF(D2846&lt;&gt;D2847,D2847,"")</f>
        <v/>
      </c>
      <c r="M2847" s="1" t="str">
        <f aca="false">IF(F2846&lt;&gt;F2847,F2847,"")</f>
        <v/>
      </c>
    </row>
    <row r="2848" customFormat="false" ht="15" hidden="false" customHeight="false" outlineLevel="0" collapsed="false">
      <c r="A2848" s="1" t="s">
        <v>251</v>
      </c>
      <c r="B2848" s="1" t="s">
        <v>252</v>
      </c>
      <c r="C2848" s="1" t="s">
        <v>924</v>
      </c>
      <c r="D2848" s="1" t="s">
        <v>925</v>
      </c>
      <c r="E2848" s="1" t="n">
        <v>20171</v>
      </c>
      <c r="F2848" s="1" t="s">
        <v>208</v>
      </c>
      <c r="G2848" s="1" t="s">
        <v>18</v>
      </c>
      <c r="H2848" s="1" t="n">
        <v>3</v>
      </c>
      <c r="I2848" s="1" t="n">
        <v>0</v>
      </c>
      <c r="J2848" s="1" t="n">
        <v>20201</v>
      </c>
      <c r="L2848" s="1" t="str">
        <f aca="false">IF(D2847&lt;&gt;D2848,D2848,"")</f>
        <v/>
      </c>
      <c r="M2848" s="1" t="str">
        <f aca="false">IF(F2847&lt;&gt;F2848,F2848,"")</f>
        <v/>
      </c>
    </row>
    <row r="2849" customFormat="false" ht="15" hidden="false" customHeight="false" outlineLevel="0" collapsed="false">
      <c r="A2849" s="1" t="s">
        <v>253</v>
      </c>
      <c r="B2849" s="1" t="s">
        <v>254</v>
      </c>
      <c r="C2849" s="1" t="s">
        <v>924</v>
      </c>
      <c r="D2849" s="1" t="s">
        <v>925</v>
      </c>
      <c r="E2849" s="1" t="n">
        <v>20171</v>
      </c>
      <c r="F2849" s="1" t="s">
        <v>208</v>
      </c>
      <c r="G2849" s="1" t="s">
        <v>18</v>
      </c>
      <c r="H2849" s="1" t="n">
        <v>3</v>
      </c>
      <c r="I2849" s="1" t="n">
        <v>0</v>
      </c>
      <c r="J2849" s="1" t="n">
        <v>20201</v>
      </c>
      <c r="L2849" s="1" t="str">
        <f aca="false">IF(D2848&lt;&gt;D2849,D2849,"")</f>
        <v/>
      </c>
      <c r="M2849" s="1" t="str">
        <f aca="false">IF(F2848&lt;&gt;F2849,F2849,"")</f>
        <v/>
      </c>
    </row>
    <row r="2850" customFormat="false" ht="15" hidden="false" customHeight="false" outlineLevel="0" collapsed="false">
      <c r="A2850" s="1" t="s">
        <v>255</v>
      </c>
      <c r="B2850" s="1" t="s">
        <v>256</v>
      </c>
      <c r="C2850" s="1" t="s">
        <v>924</v>
      </c>
      <c r="D2850" s="1" t="s">
        <v>925</v>
      </c>
      <c r="E2850" s="1" t="n">
        <v>20171</v>
      </c>
      <c r="F2850" s="1" t="s">
        <v>208</v>
      </c>
      <c r="G2850" s="1" t="s">
        <v>18</v>
      </c>
      <c r="H2850" s="1" t="n">
        <v>3</v>
      </c>
      <c r="I2850" s="1" t="n">
        <v>0</v>
      </c>
      <c r="J2850" s="1" t="n">
        <v>20201</v>
      </c>
      <c r="L2850" s="1" t="str">
        <f aca="false">IF(D2849&lt;&gt;D2850,D2850,"")</f>
        <v/>
      </c>
      <c r="M2850" s="1" t="str">
        <f aca="false">IF(F2849&lt;&gt;F2850,F2850,"")</f>
        <v/>
      </c>
    </row>
    <row r="2851" customFormat="false" ht="15" hidden="false" customHeight="false" outlineLevel="0" collapsed="false">
      <c r="A2851" s="1" t="s">
        <v>549</v>
      </c>
      <c r="B2851" s="1" t="s">
        <v>550</v>
      </c>
      <c r="C2851" s="1" t="s">
        <v>924</v>
      </c>
      <c r="D2851" s="1" t="s">
        <v>925</v>
      </c>
      <c r="E2851" s="1" t="n">
        <v>20171</v>
      </c>
      <c r="F2851" s="1" t="s">
        <v>208</v>
      </c>
      <c r="G2851" s="1" t="s">
        <v>18</v>
      </c>
      <c r="H2851" s="1" t="n">
        <v>3</v>
      </c>
      <c r="I2851" s="1" t="n">
        <v>0</v>
      </c>
      <c r="J2851" s="1" t="n">
        <v>20201</v>
      </c>
      <c r="L2851" s="1" t="str">
        <f aca="false">IF(D2850&lt;&gt;D2851,D2851,"")</f>
        <v/>
      </c>
      <c r="M2851" s="1" t="str">
        <f aca="false">IF(F2850&lt;&gt;F2851,F2851,"")</f>
        <v/>
      </c>
    </row>
    <row r="2852" customFormat="false" ht="15" hidden="false" customHeight="false" outlineLevel="0" collapsed="false">
      <c r="A2852" s="1" t="s">
        <v>297</v>
      </c>
      <c r="B2852" s="1" t="s">
        <v>298</v>
      </c>
      <c r="C2852" s="1" t="s">
        <v>924</v>
      </c>
      <c r="D2852" s="1" t="s">
        <v>925</v>
      </c>
      <c r="E2852" s="1" t="n">
        <v>20171</v>
      </c>
      <c r="F2852" s="1" t="s">
        <v>208</v>
      </c>
      <c r="G2852" s="1" t="s">
        <v>18</v>
      </c>
      <c r="H2852" s="1" t="n">
        <v>3</v>
      </c>
      <c r="I2852" s="1" t="n">
        <v>0</v>
      </c>
      <c r="J2852" s="1" t="n">
        <v>20201</v>
      </c>
      <c r="L2852" s="1" t="str">
        <f aca="false">IF(D2851&lt;&gt;D2852,D2852,"")</f>
        <v/>
      </c>
      <c r="M2852" s="1" t="str">
        <f aca="false">IF(F2851&lt;&gt;F2852,F2852,"")</f>
        <v/>
      </c>
    </row>
    <row r="2853" customFormat="false" ht="15" hidden="false" customHeight="false" outlineLevel="0" collapsed="false">
      <c r="A2853" s="1" t="s">
        <v>832</v>
      </c>
      <c r="B2853" s="1" t="s">
        <v>833</v>
      </c>
      <c r="C2853" s="1" t="s">
        <v>924</v>
      </c>
      <c r="D2853" s="1" t="s">
        <v>925</v>
      </c>
      <c r="E2853" s="1" t="n">
        <v>20171</v>
      </c>
      <c r="F2853" s="1" t="s">
        <v>208</v>
      </c>
      <c r="G2853" s="1" t="s">
        <v>18</v>
      </c>
      <c r="H2853" s="1" t="n">
        <v>3</v>
      </c>
      <c r="I2853" s="1" t="n">
        <v>0</v>
      </c>
      <c r="J2853" s="1" t="n">
        <v>20201</v>
      </c>
      <c r="L2853" s="1" t="str">
        <f aca="false">IF(D2852&lt;&gt;D2853,D2853,"")</f>
        <v/>
      </c>
      <c r="M2853" s="1" t="str">
        <f aca="false">IF(F2852&lt;&gt;F2853,F2853,"")</f>
        <v/>
      </c>
    </row>
    <row r="2854" customFormat="false" ht="15" hidden="false" customHeight="false" outlineLevel="0" collapsed="false">
      <c r="A2854" s="1" t="s">
        <v>200</v>
      </c>
      <c r="B2854" s="1" t="s">
        <v>201</v>
      </c>
      <c r="C2854" s="1" t="s">
        <v>924</v>
      </c>
      <c r="D2854" s="1" t="s">
        <v>925</v>
      </c>
      <c r="E2854" s="1" t="n">
        <v>20171</v>
      </c>
      <c r="F2854" s="1" t="s">
        <v>208</v>
      </c>
      <c r="G2854" s="1" t="s">
        <v>18</v>
      </c>
      <c r="H2854" s="1" t="n">
        <v>3</v>
      </c>
      <c r="I2854" s="1" t="n">
        <v>0</v>
      </c>
      <c r="J2854" s="1" t="n">
        <v>20201</v>
      </c>
      <c r="L2854" s="1" t="str">
        <f aca="false">IF(D2853&lt;&gt;D2854,D2854,"")</f>
        <v/>
      </c>
      <c r="M2854" s="1" t="str">
        <f aca="false">IF(F2853&lt;&gt;F2854,F2854,"")</f>
        <v/>
      </c>
    </row>
    <row r="2855" customFormat="false" ht="15" hidden="false" customHeight="false" outlineLevel="0" collapsed="false">
      <c r="A2855" s="1" t="s">
        <v>854</v>
      </c>
      <c r="B2855" s="1" t="s">
        <v>855</v>
      </c>
      <c r="C2855" s="1" t="s">
        <v>924</v>
      </c>
      <c r="D2855" s="1" t="s">
        <v>925</v>
      </c>
      <c r="E2855" s="1" t="n">
        <v>20171</v>
      </c>
      <c r="F2855" s="1" t="s">
        <v>208</v>
      </c>
      <c r="G2855" s="1" t="s">
        <v>18</v>
      </c>
      <c r="H2855" s="1" t="n">
        <v>3</v>
      </c>
      <c r="I2855" s="1" t="n">
        <v>0</v>
      </c>
      <c r="J2855" s="1" t="n">
        <v>20201</v>
      </c>
      <c r="L2855" s="1" t="str">
        <f aca="false">IF(D2854&lt;&gt;D2855,D2855,"")</f>
        <v/>
      </c>
      <c r="M2855" s="1" t="str">
        <f aca="false">IF(F2854&lt;&gt;F2855,F2855,"")</f>
        <v/>
      </c>
    </row>
    <row r="2856" customFormat="false" ht="15" hidden="false" customHeight="false" outlineLevel="0" collapsed="false">
      <c r="A2856" s="1" t="s">
        <v>749</v>
      </c>
      <c r="B2856" s="1" t="s">
        <v>750</v>
      </c>
      <c r="C2856" s="1" t="s">
        <v>926</v>
      </c>
      <c r="D2856" s="1" t="s">
        <v>927</v>
      </c>
      <c r="E2856" s="1" t="n">
        <v>20171</v>
      </c>
      <c r="F2856" s="1" t="s">
        <v>208</v>
      </c>
      <c r="G2856" s="1" t="s">
        <v>15</v>
      </c>
      <c r="H2856" s="1" t="n">
        <v>3.5</v>
      </c>
      <c r="I2856" s="1" t="n">
        <v>0</v>
      </c>
      <c r="J2856" s="1" t="n">
        <v>20201</v>
      </c>
      <c r="L2856" s="1" t="str">
        <f aca="false">IF(D2855&lt;&gt;D2856,D2856,"")</f>
        <v>PROTEKSI SISTEM TENAGA</v>
      </c>
      <c r="M2856" s="1" t="str">
        <f aca="false">IF(F2855&lt;&gt;F2856,F2856,"")</f>
        <v/>
      </c>
    </row>
    <row r="2857" customFormat="false" ht="15" hidden="false" customHeight="false" outlineLevel="0" collapsed="false">
      <c r="A2857" s="1" t="s">
        <v>204</v>
      </c>
      <c r="B2857" s="1" t="s">
        <v>205</v>
      </c>
      <c r="C2857" s="1" t="s">
        <v>926</v>
      </c>
      <c r="D2857" s="1" t="s">
        <v>927</v>
      </c>
      <c r="E2857" s="1" t="n">
        <v>20171</v>
      </c>
      <c r="F2857" s="1" t="s">
        <v>208</v>
      </c>
      <c r="G2857" s="1" t="s">
        <v>18</v>
      </c>
      <c r="H2857" s="1" t="n">
        <v>3</v>
      </c>
      <c r="I2857" s="1" t="n">
        <v>0</v>
      </c>
      <c r="J2857" s="1" t="n">
        <v>20201</v>
      </c>
      <c r="L2857" s="1" t="str">
        <f aca="false">IF(D2856&lt;&gt;D2857,D2857,"")</f>
        <v/>
      </c>
      <c r="M2857" s="1" t="str">
        <f aca="false">IF(F2856&lt;&gt;F2857,F2857,"")</f>
        <v/>
      </c>
    </row>
    <row r="2858" customFormat="false" ht="15" hidden="false" customHeight="false" outlineLevel="0" collapsed="false">
      <c r="A2858" s="1" t="s">
        <v>643</v>
      </c>
      <c r="B2858" s="1" t="s">
        <v>644</v>
      </c>
      <c r="C2858" s="1" t="s">
        <v>926</v>
      </c>
      <c r="D2858" s="1" t="s">
        <v>927</v>
      </c>
      <c r="E2858" s="1" t="n">
        <v>20171</v>
      </c>
      <c r="F2858" s="1" t="s">
        <v>208</v>
      </c>
      <c r="G2858" s="1" t="s">
        <v>124</v>
      </c>
      <c r="H2858" s="1" t="n">
        <v>0</v>
      </c>
      <c r="I2858" s="1" t="n">
        <v>0</v>
      </c>
      <c r="J2858" s="1" t="n">
        <v>20201</v>
      </c>
      <c r="L2858" s="1" t="str">
        <f aca="false">IF(D2857&lt;&gt;D2858,D2858,"")</f>
        <v/>
      </c>
      <c r="M2858" s="1" t="str">
        <f aca="false">IF(F2857&lt;&gt;F2858,F2858,"")</f>
        <v/>
      </c>
    </row>
    <row r="2859" customFormat="false" ht="15" hidden="false" customHeight="false" outlineLevel="0" collapsed="false">
      <c r="A2859" s="1" t="s">
        <v>731</v>
      </c>
      <c r="B2859" s="1" t="s">
        <v>732</v>
      </c>
      <c r="C2859" s="1" t="s">
        <v>926</v>
      </c>
      <c r="D2859" s="1" t="s">
        <v>927</v>
      </c>
      <c r="E2859" s="1" t="n">
        <v>20171</v>
      </c>
      <c r="F2859" s="1" t="s">
        <v>208</v>
      </c>
      <c r="G2859" s="1" t="s">
        <v>23</v>
      </c>
      <c r="H2859" s="1" t="n">
        <v>0</v>
      </c>
      <c r="I2859" s="1" t="n">
        <v>0</v>
      </c>
      <c r="J2859" s="1" t="n">
        <v>20201</v>
      </c>
      <c r="L2859" s="1" t="str">
        <f aca="false">IF(D2858&lt;&gt;D2859,D2859,"")</f>
        <v/>
      </c>
      <c r="M2859" s="1" t="str">
        <f aca="false">IF(F2858&lt;&gt;F2859,F2859,"")</f>
        <v/>
      </c>
    </row>
    <row r="2860" customFormat="false" ht="15" hidden="false" customHeight="false" outlineLevel="0" collapsed="false">
      <c r="A2860" s="1" t="s">
        <v>798</v>
      </c>
      <c r="B2860" s="1" t="s">
        <v>799</v>
      </c>
      <c r="C2860" s="1" t="s">
        <v>926</v>
      </c>
      <c r="D2860" s="1" t="s">
        <v>927</v>
      </c>
      <c r="E2860" s="1" t="n">
        <v>20171</v>
      </c>
      <c r="F2860" s="1" t="s">
        <v>208</v>
      </c>
      <c r="G2860" s="1" t="s">
        <v>15</v>
      </c>
      <c r="H2860" s="1" t="n">
        <v>3.5</v>
      </c>
      <c r="I2860" s="1" t="n">
        <v>0</v>
      </c>
      <c r="J2860" s="1" t="n">
        <v>20201</v>
      </c>
      <c r="L2860" s="1" t="str">
        <f aca="false">IF(D2859&lt;&gt;D2860,D2860,"")</f>
        <v/>
      </c>
      <c r="M2860" s="1" t="str">
        <f aca="false">IF(F2859&lt;&gt;F2860,F2860,"")</f>
        <v/>
      </c>
    </row>
    <row r="2861" customFormat="false" ht="15" hidden="false" customHeight="false" outlineLevel="0" collapsed="false">
      <c r="A2861" s="1" t="s">
        <v>733</v>
      </c>
      <c r="B2861" s="1" t="s">
        <v>734</v>
      </c>
      <c r="C2861" s="1" t="s">
        <v>926</v>
      </c>
      <c r="D2861" s="1" t="s">
        <v>927</v>
      </c>
      <c r="E2861" s="1" t="n">
        <v>20171</v>
      </c>
      <c r="F2861" s="1" t="s">
        <v>208</v>
      </c>
      <c r="G2861" s="1" t="s">
        <v>127</v>
      </c>
      <c r="H2861" s="1" t="n">
        <v>2</v>
      </c>
      <c r="I2861" s="1" t="n">
        <v>0</v>
      </c>
      <c r="J2861" s="1" t="n">
        <v>20201</v>
      </c>
      <c r="L2861" s="1" t="str">
        <f aca="false">IF(D2860&lt;&gt;D2861,D2861,"")</f>
        <v/>
      </c>
      <c r="M2861" s="1" t="str">
        <f aca="false">IF(F2860&lt;&gt;F2861,F2861,"")</f>
        <v/>
      </c>
    </row>
    <row r="2862" customFormat="false" ht="15" hidden="false" customHeight="false" outlineLevel="0" collapsed="false">
      <c r="A2862" s="1" t="s">
        <v>651</v>
      </c>
      <c r="B2862" s="1" t="s">
        <v>652</v>
      </c>
      <c r="C2862" s="1" t="s">
        <v>926</v>
      </c>
      <c r="D2862" s="1" t="s">
        <v>927</v>
      </c>
      <c r="E2862" s="1" t="n">
        <v>20171</v>
      </c>
      <c r="F2862" s="1" t="s">
        <v>208</v>
      </c>
      <c r="G2862" s="1" t="s">
        <v>15</v>
      </c>
      <c r="H2862" s="1" t="n">
        <v>3.5</v>
      </c>
      <c r="I2862" s="1" t="n">
        <v>0</v>
      </c>
      <c r="J2862" s="1" t="n">
        <v>20201</v>
      </c>
      <c r="L2862" s="1" t="str">
        <f aca="false">IF(D2861&lt;&gt;D2862,D2862,"")</f>
        <v/>
      </c>
      <c r="M2862" s="1" t="str">
        <f aca="false">IF(F2861&lt;&gt;F2862,F2862,"")</f>
        <v/>
      </c>
    </row>
    <row r="2863" customFormat="false" ht="15" hidden="false" customHeight="false" outlineLevel="0" collapsed="false">
      <c r="A2863" s="1" t="s">
        <v>735</v>
      </c>
      <c r="B2863" s="1" t="s">
        <v>736</v>
      </c>
      <c r="C2863" s="1" t="s">
        <v>926</v>
      </c>
      <c r="D2863" s="1" t="s">
        <v>927</v>
      </c>
      <c r="E2863" s="1" t="n">
        <v>20171</v>
      </c>
      <c r="F2863" s="1" t="s">
        <v>208</v>
      </c>
      <c r="G2863" s="1" t="s">
        <v>15</v>
      </c>
      <c r="H2863" s="1" t="n">
        <v>3.5</v>
      </c>
      <c r="I2863" s="1" t="n">
        <v>0</v>
      </c>
      <c r="J2863" s="1" t="n">
        <v>20201</v>
      </c>
      <c r="L2863" s="1" t="str">
        <f aca="false">IF(D2862&lt;&gt;D2863,D2863,"")</f>
        <v/>
      </c>
      <c r="M2863" s="1" t="str">
        <f aca="false">IF(F2862&lt;&gt;F2863,F2863,"")</f>
        <v/>
      </c>
    </row>
    <row r="2864" customFormat="false" ht="15" hidden="false" customHeight="false" outlineLevel="0" collapsed="false">
      <c r="A2864" s="1" t="s">
        <v>755</v>
      </c>
      <c r="B2864" s="1" t="s">
        <v>756</v>
      </c>
      <c r="C2864" s="1" t="s">
        <v>926</v>
      </c>
      <c r="D2864" s="1" t="s">
        <v>927</v>
      </c>
      <c r="E2864" s="1" t="n">
        <v>20171</v>
      </c>
      <c r="F2864" s="1" t="s">
        <v>208</v>
      </c>
      <c r="G2864" s="1" t="s">
        <v>14</v>
      </c>
      <c r="H2864" s="1" t="n">
        <v>4</v>
      </c>
      <c r="I2864" s="1" t="n">
        <v>0</v>
      </c>
      <c r="J2864" s="1" t="n">
        <v>20201</v>
      </c>
      <c r="L2864" s="1" t="str">
        <f aca="false">IF(D2863&lt;&gt;D2864,D2864,"")</f>
        <v/>
      </c>
      <c r="M2864" s="1" t="str">
        <f aca="false">IF(F2863&lt;&gt;F2864,F2864,"")</f>
        <v/>
      </c>
    </row>
    <row r="2865" customFormat="false" ht="15" hidden="false" customHeight="false" outlineLevel="0" collapsed="false">
      <c r="A2865" s="1" t="s">
        <v>575</v>
      </c>
      <c r="B2865" s="1" t="s">
        <v>576</v>
      </c>
      <c r="C2865" s="1" t="s">
        <v>926</v>
      </c>
      <c r="D2865" s="1" t="s">
        <v>927</v>
      </c>
      <c r="E2865" s="1" t="n">
        <v>20171</v>
      </c>
      <c r="F2865" s="1" t="s">
        <v>208</v>
      </c>
      <c r="G2865" s="1" t="s">
        <v>127</v>
      </c>
      <c r="H2865" s="1" t="n">
        <v>2</v>
      </c>
      <c r="I2865" s="1" t="n">
        <v>0</v>
      </c>
      <c r="J2865" s="1" t="n">
        <v>20201</v>
      </c>
      <c r="L2865" s="1" t="str">
        <f aca="false">IF(D2864&lt;&gt;D2865,D2865,"")</f>
        <v/>
      </c>
      <c r="M2865" s="1" t="str">
        <f aca="false">IF(F2864&lt;&gt;F2865,F2865,"")</f>
        <v/>
      </c>
    </row>
    <row r="2866" customFormat="false" ht="15" hidden="false" customHeight="false" outlineLevel="0" collapsed="false">
      <c r="A2866" s="1" t="s">
        <v>601</v>
      </c>
      <c r="B2866" s="1" t="s">
        <v>602</v>
      </c>
      <c r="C2866" s="1" t="s">
        <v>926</v>
      </c>
      <c r="D2866" s="1" t="s">
        <v>927</v>
      </c>
      <c r="E2866" s="1" t="n">
        <v>20171</v>
      </c>
      <c r="F2866" s="1" t="s">
        <v>208</v>
      </c>
      <c r="G2866" s="1" t="s">
        <v>30</v>
      </c>
      <c r="H2866" s="1" t="n">
        <v>1.5</v>
      </c>
      <c r="I2866" s="1" t="n">
        <v>0</v>
      </c>
      <c r="J2866" s="1" t="n">
        <v>20201</v>
      </c>
      <c r="L2866" s="1" t="str">
        <f aca="false">IF(D2865&lt;&gt;D2866,D2866,"")</f>
        <v/>
      </c>
      <c r="M2866" s="1" t="str">
        <f aca="false">IF(F2865&lt;&gt;F2866,F2866,"")</f>
        <v/>
      </c>
    </row>
    <row r="2867" customFormat="false" ht="15" hidden="false" customHeight="false" outlineLevel="0" collapsed="false">
      <c r="A2867" s="1" t="s">
        <v>737</v>
      </c>
      <c r="B2867" s="1" t="s">
        <v>738</v>
      </c>
      <c r="C2867" s="1" t="s">
        <v>926</v>
      </c>
      <c r="D2867" s="1" t="s">
        <v>927</v>
      </c>
      <c r="E2867" s="1" t="n">
        <v>20171</v>
      </c>
      <c r="F2867" s="1" t="s">
        <v>208</v>
      </c>
      <c r="G2867" s="1" t="s">
        <v>18</v>
      </c>
      <c r="H2867" s="1" t="n">
        <v>3</v>
      </c>
      <c r="I2867" s="1" t="n">
        <v>0</v>
      </c>
      <c r="J2867" s="1" t="n">
        <v>20201</v>
      </c>
      <c r="L2867" s="1" t="str">
        <f aca="false">IF(D2866&lt;&gt;D2867,D2867,"")</f>
        <v/>
      </c>
      <c r="M2867" s="1" t="str">
        <f aca="false">IF(F2866&lt;&gt;F2867,F2867,"")</f>
        <v/>
      </c>
    </row>
    <row r="2868" customFormat="false" ht="15" hidden="false" customHeight="false" outlineLevel="0" collapsed="false">
      <c r="A2868" s="1" t="s">
        <v>810</v>
      </c>
      <c r="B2868" s="1" t="s">
        <v>811</v>
      </c>
      <c r="C2868" s="1" t="s">
        <v>926</v>
      </c>
      <c r="D2868" s="1" t="s">
        <v>927</v>
      </c>
      <c r="E2868" s="1" t="n">
        <v>20171</v>
      </c>
      <c r="F2868" s="1" t="s">
        <v>208</v>
      </c>
      <c r="G2868" s="1" t="s">
        <v>15</v>
      </c>
      <c r="H2868" s="1" t="n">
        <v>3.5</v>
      </c>
      <c r="I2868" s="1" t="n">
        <v>0</v>
      </c>
      <c r="J2868" s="1" t="n">
        <v>20201</v>
      </c>
      <c r="L2868" s="1" t="str">
        <f aca="false">IF(D2867&lt;&gt;D2868,D2868,"")</f>
        <v/>
      </c>
      <c r="M2868" s="1" t="str">
        <f aca="false">IF(F2867&lt;&gt;F2868,F2868,"")</f>
        <v/>
      </c>
    </row>
    <row r="2869" customFormat="false" ht="15" hidden="false" customHeight="false" outlineLevel="0" collapsed="false">
      <c r="A2869" s="1" t="s">
        <v>812</v>
      </c>
      <c r="B2869" s="1" t="s">
        <v>813</v>
      </c>
      <c r="C2869" s="1" t="s">
        <v>926</v>
      </c>
      <c r="D2869" s="1" t="s">
        <v>927</v>
      </c>
      <c r="E2869" s="1" t="n">
        <v>20171</v>
      </c>
      <c r="F2869" s="1" t="s">
        <v>208</v>
      </c>
      <c r="G2869" s="1" t="s">
        <v>15</v>
      </c>
      <c r="H2869" s="1" t="n">
        <v>3.5</v>
      </c>
      <c r="I2869" s="1" t="n">
        <v>0</v>
      </c>
      <c r="J2869" s="1" t="n">
        <v>20201</v>
      </c>
      <c r="L2869" s="1" t="str">
        <f aca="false">IF(D2868&lt;&gt;D2869,D2869,"")</f>
        <v/>
      </c>
      <c r="M2869" s="1" t="str">
        <f aca="false">IF(F2868&lt;&gt;F2869,F2869,"")</f>
        <v/>
      </c>
    </row>
    <row r="2870" customFormat="false" ht="15" hidden="false" customHeight="false" outlineLevel="0" collapsed="false">
      <c r="A2870" s="1" t="s">
        <v>627</v>
      </c>
      <c r="B2870" s="1" t="s">
        <v>628</v>
      </c>
      <c r="C2870" s="1" t="s">
        <v>926</v>
      </c>
      <c r="D2870" s="1" t="s">
        <v>927</v>
      </c>
      <c r="E2870" s="1" t="n">
        <v>20171</v>
      </c>
      <c r="F2870" s="1" t="s">
        <v>208</v>
      </c>
      <c r="G2870" s="1" t="s">
        <v>15</v>
      </c>
      <c r="H2870" s="1" t="n">
        <v>3.5</v>
      </c>
      <c r="I2870" s="1" t="n">
        <v>0</v>
      </c>
      <c r="J2870" s="1" t="n">
        <v>20201</v>
      </c>
      <c r="L2870" s="1" t="str">
        <f aca="false">IF(D2869&lt;&gt;D2870,D2870,"")</f>
        <v/>
      </c>
      <c r="M2870" s="1" t="str">
        <f aca="false">IF(F2869&lt;&gt;F2870,F2870,"")</f>
        <v/>
      </c>
    </row>
    <row r="2871" customFormat="false" ht="15" hidden="false" customHeight="false" outlineLevel="0" collapsed="false">
      <c r="A2871" s="1" t="s">
        <v>589</v>
      </c>
      <c r="B2871" s="1" t="s">
        <v>590</v>
      </c>
      <c r="C2871" s="1" t="s">
        <v>926</v>
      </c>
      <c r="D2871" s="1" t="s">
        <v>927</v>
      </c>
      <c r="E2871" s="1" t="n">
        <v>20171</v>
      </c>
      <c r="F2871" s="1" t="s">
        <v>208</v>
      </c>
      <c r="G2871" s="1" t="s">
        <v>18</v>
      </c>
      <c r="H2871" s="1" t="n">
        <v>3</v>
      </c>
      <c r="I2871" s="1" t="n">
        <v>0</v>
      </c>
      <c r="J2871" s="1" t="n">
        <v>20201</v>
      </c>
      <c r="L2871" s="1" t="str">
        <f aca="false">IF(D2870&lt;&gt;D2871,D2871,"")</f>
        <v/>
      </c>
      <c r="M2871" s="1" t="str">
        <f aca="false">IF(F2870&lt;&gt;F2871,F2871,"")</f>
        <v/>
      </c>
    </row>
    <row r="2872" customFormat="false" ht="15" hidden="false" customHeight="false" outlineLevel="0" collapsed="false">
      <c r="A2872" s="1" t="s">
        <v>769</v>
      </c>
      <c r="B2872" s="1" t="s">
        <v>770</v>
      </c>
      <c r="C2872" s="1" t="s">
        <v>926</v>
      </c>
      <c r="D2872" s="1" t="s">
        <v>927</v>
      </c>
      <c r="E2872" s="1" t="n">
        <v>20171</v>
      </c>
      <c r="F2872" s="1" t="s">
        <v>208</v>
      </c>
      <c r="G2872" s="1" t="s">
        <v>15</v>
      </c>
      <c r="H2872" s="1" t="n">
        <v>3.5</v>
      </c>
      <c r="I2872" s="1" t="n">
        <v>0</v>
      </c>
      <c r="J2872" s="1" t="n">
        <v>20201</v>
      </c>
      <c r="L2872" s="1" t="str">
        <f aca="false">IF(D2871&lt;&gt;D2872,D2872,"")</f>
        <v/>
      </c>
      <c r="M2872" s="1" t="str">
        <f aca="false">IF(F2871&lt;&gt;F2872,F2872,"")</f>
        <v/>
      </c>
    </row>
    <row r="2873" customFormat="false" ht="15" hidden="false" customHeight="false" outlineLevel="0" collapsed="false">
      <c r="A2873" s="1" t="s">
        <v>771</v>
      </c>
      <c r="B2873" s="1" t="s">
        <v>772</v>
      </c>
      <c r="C2873" s="1" t="s">
        <v>926</v>
      </c>
      <c r="D2873" s="1" t="s">
        <v>927</v>
      </c>
      <c r="E2873" s="1" t="n">
        <v>20171</v>
      </c>
      <c r="F2873" s="1" t="s">
        <v>208</v>
      </c>
      <c r="G2873" s="1" t="s">
        <v>14</v>
      </c>
      <c r="H2873" s="1" t="n">
        <v>4</v>
      </c>
      <c r="I2873" s="1" t="n">
        <v>0</v>
      </c>
      <c r="J2873" s="1" t="n">
        <v>20201</v>
      </c>
      <c r="L2873" s="1" t="str">
        <f aca="false">IF(D2872&lt;&gt;D2873,D2873,"")</f>
        <v/>
      </c>
      <c r="M2873" s="1" t="str">
        <f aca="false">IF(F2872&lt;&gt;F2873,F2873,"")</f>
        <v/>
      </c>
    </row>
    <row r="2874" customFormat="false" ht="15" hidden="false" customHeight="false" outlineLevel="0" collapsed="false">
      <c r="A2874" s="1" t="s">
        <v>826</v>
      </c>
      <c r="B2874" s="1" t="s">
        <v>827</v>
      </c>
      <c r="C2874" s="1" t="s">
        <v>926</v>
      </c>
      <c r="D2874" s="1" t="s">
        <v>927</v>
      </c>
      <c r="E2874" s="1" t="n">
        <v>20171</v>
      </c>
      <c r="F2874" s="1" t="s">
        <v>208</v>
      </c>
      <c r="G2874" s="1" t="s">
        <v>14</v>
      </c>
      <c r="H2874" s="1" t="n">
        <v>4</v>
      </c>
      <c r="I2874" s="1" t="n">
        <v>0</v>
      </c>
      <c r="J2874" s="1" t="n">
        <v>20201</v>
      </c>
      <c r="L2874" s="1" t="str">
        <f aca="false">IF(D2873&lt;&gt;D2874,D2874,"")</f>
        <v/>
      </c>
      <c r="M2874" s="1" t="str">
        <f aca="false">IF(F2873&lt;&gt;F2874,F2874,"")</f>
        <v/>
      </c>
    </row>
    <row r="2875" customFormat="false" ht="15" hidden="false" customHeight="false" outlineLevel="0" collapsed="false">
      <c r="A2875" s="1" t="s">
        <v>773</v>
      </c>
      <c r="B2875" s="1" t="s">
        <v>774</v>
      </c>
      <c r="C2875" s="1" t="s">
        <v>926</v>
      </c>
      <c r="D2875" s="1" t="s">
        <v>927</v>
      </c>
      <c r="E2875" s="1" t="n">
        <v>20171</v>
      </c>
      <c r="F2875" s="1" t="s">
        <v>208</v>
      </c>
      <c r="G2875" s="1" t="s">
        <v>18</v>
      </c>
      <c r="H2875" s="1" t="n">
        <v>3</v>
      </c>
      <c r="I2875" s="1" t="n">
        <v>0</v>
      </c>
      <c r="J2875" s="1" t="n">
        <v>20201</v>
      </c>
      <c r="L2875" s="1" t="str">
        <f aca="false">IF(D2874&lt;&gt;D2875,D2875,"")</f>
        <v/>
      </c>
      <c r="M2875" s="1" t="str">
        <f aca="false">IF(F2874&lt;&gt;F2875,F2875,"")</f>
        <v/>
      </c>
    </row>
    <row r="2876" customFormat="false" ht="15" hidden="false" customHeight="false" outlineLevel="0" collapsed="false">
      <c r="A2876" s="1" t="s">
        <v>202</v>
      </c>
      <c r="B2876" s="1" t="s">
        <v>203</v>
      </c>
      <c r="C2876" s="1" t="s">
        <v>926</v>
      </c>
      <c r="D2876" s="1" t="s">
        <v>927</v>
      </c>
      <c r="E2876" s="1" t="n">
        <v>20171</v>
      </c>
      <c r="F2876" s="1" t="s">
        <v>208</v>
      </c>
      <c r="G2876" s="1" t="s">
        <v>14</v>
      </c>
      <c r="H2876" s="1" t="n">
        <v>4</v>
      </c>
      <c r="I2876" s="1" t="n">
        <v>0</v>
      </c>
      <c r="J2876" s="1" t="n">
        <v>20201</v>
      </c>
      <c r="L2876" s="1" t="str">
        <f aca="false">IF(D2875&lt;&gt;D2876,D2876,"")</f>
        <v/>
      </c>
      <c r="M2876" s="1" t="str">
        <f aca="false">IF(F2875&lt;&gt;F2876,F2876,"")</f>
        <v/>
      </c>
    </row>
    <row r="2877" customFormat="false" ht="15" hidden="false" customHeight="false" outlineLevel="0" collapsed="false">
      <c r="A2877" s="1" t="s">
        <v>739</v>
      </c>
      <c r="B2877" s="1" t="s">
        <v>740</v>
      </c>
      <c r="C2877" s="1" t="s">
        <v>926</v>
      </c>
      <c r="D2877" s="1" t="s">
        <v>927</v>
      </c>
      <c r="E2877" s="1" t="n">
        <v>20171</v>
      </c>
      <c r="F2877" s="1" t="s">
        <v>208</v>
      </c>
      <c r="G2877" s="1" t="s">
        <v>101</v>
      </c>
      <c r="H2877" s="1" t="n">
        <v>2.5</v>
      </c>
      <c r="I2877" s="1" t="n">
        <v>0</v>
      </c>
      <c r="J2877" s="1" t="n">
        <v>20201</v>
      </c>
      <c r="L2877" s="1" t="str">
        <f aca="false">IF(D2876&lt;&gt;D2877,D2877,"")</f>
        <v/>
      </c>
      <c r="M2877" s="1" t="str">
        <f aca="false">IF(F2876&lt;&gt;F2877,F2877,"")</f>
        <v/>
      </c>
    </row>
    <row r="2878" customFormat="false" ht="15" hidden="false" customHeight="false" outlineLevel="0" collapsed="false">
      <c r="A2878" s="1" t="s">
        <v>209</v>
      </c>
      <c r="B2878" s="1" t="s">
        <v>210</v>
      </c>
      <c r="C2878" s="1" t="s">
        <v>926</v>
      </c>
      <c r="D2878" s="1" t="s">
        <v>927</v>
      </c>
      <c r="E2878" s="1" t="n">
        <v>20171</v>
      </c>
      <c r="F2878" s="1" t="s">
        <v>208</v>
      </c>
      <c r="G2878" s="1" t="s">
        <v>15</v>
      </c>
      <c r="H2878" s="1" t="n">
        <v>3.5</v>
      </c>
      <c r="I2878" s="1" t="n">
        <v>0</v>
      </c>
      <c r="J2878" s="1" t="n">
        <v>20201</v>
      </c>
      <c r="L2878" s="1" t="str">
        <f aca="false">IF(D2877&lt;&gt;D2878,D2878,"")</f>
        <v/>
      </c>
      <c r="M2878" s="1" t="str">
        <f aca="false">IF(F2877&lt;&gt;F2878,F2878,"")</f>
        <v/>
      </c>
    </row>
    <row r="2879" customFormat="false" ht="15" hidden="false" customHeight="false" outlineLevel="0" collapsed="false">
      <c r="A2879" s="1" t="s">
        <v>225</v>
      </c>
      <c r="B2879" s="1" t="s">
        <v>226</v>
      </c>
      <c r="C2879" s="1" t="s">
        <v>926</v>
      </c>
      <c r="D2879" s="1" t="s">
        <v>927</v>
      </c>
      <c r="E2879" s="1" t="n">
        <v>20171</v>
      </c>
      <c r="F2879" s="1" t="s">
        <v>208</v>
      </c>
      <c r="G2879" s="1" t="s">
        <v>124</v>
      </c>
      <c r="H2879" s="1" t="n">
        <v>0</v>
      </c>
      <c r="I2879" s="1" t="n">
        <v>0</v>
      </c>
      <c r="J2879" s="1" t="n">
        <v>20201</v>
      </c>
      <c r="L2879" s="1" t="str">
        <f aca="false">IF(D2878&lt;&gt;D2879,D2879,"")</f>
        <v/>
      </c>
      <c r="M2879" s="1" t="str">
        <f aca="false">IF(F2878&lt;&gt;F2879,F2879,"")</f>
        <v/>
      </c>
    </row>
    <row r="2880" customFormat="false" ht="15" hidden="false" customHeight="false" outlineLevel="0" collapsed="false">
      <c r="A2880" s="1" t="s">
        <v>751</v>
      </c>
      <c r="B2880" s="1" t="s">
        <v>752</v>
      </c>
      <c r="C2880" s="1" t="s">
        <v>926</v>
      </c>
      <c r="D2880" s="1" t="s">
        <v>927</v>
      </c>
      <c r="E2880" s="1" t="n">
        <v>20171</v>
      </c>
      <c r="F2880" s="1" t="s">
        <v>208</v>
      </c>
      <c r="G2880" s="1" t="s">
        <v>18</v>
      </c>
      <c r="H2880" s="1" t="n">
        <v>3</v>
      </c>
      <c r="I2880" s="1" t="n">
        <v>0</v>
      </c>
      <c r="J2880" s="1" t="n">
        <v>20201</v>
      </c>
      <c r="L2880" s="1" t="str">
        <f aca="false">IF(D2879&lt;&gt;D2880,D2880,"")</f>
        <v/>
      </c>
      <c r="M2880" s="1" t="str">
        <f aca="false">IF(F2879&lt;&gt;F2880,F2880,"")</f>
        <v/>
      </c>
    </row>
    <row r="2881" customFormat="false" ht="15" hidden="false" customHeight="false" outlineLevel="0" collapsed="false">
      <c r="A2881" s="1" t="s">
        <v>785</v>
      </c>
      <c r="B2881" s="1" t="s">
        <v>786</v>
      </c>
      <c r="C2881" s="1" t="s">
        <v>928</v>
      </c>
      <c r="D2881" s="1" t="s">
        <v>929</v>
      </c>
      <c r="E2881" s="1" t="n">
        <v>20171</v>
      </c>
      <c r="F2881" s="1" t="s">
        <v>208</v>
      </c>
      <c r="G2881" s="1" t="s">
        <v>14</v>
      </c>
      <c r="H2881" s="1" t="n">
        <v>4</v>
      </c>
      <c r="I2881" s="1" t="n">
        <v>0</v>
      </c>
      <c r="J2881" s="1" t="n">
        <v>20201</v>
      </c>
      <c r="L2881" s="1" t="str">
        <f aca="false">IF(D2880&lt;&gt;D2881,D2881,"")</f>
        <v>PROYEK PERANGKAT LUNAK</v>
      </c>
      <c r="M2881" s="1" t="str">
        <f aca="false">IF(F2880&lt;&gt;F2881,F2881,"")</f>
        <v/>
      </c>
    </row>
    <row r="2882" customFormat="false" ht="15" hidden="false" customHeight="false" outlineLevel="0" collapsed="false">
      <c r="A2882" s="1" t="s">
        <v>525</v>
      </c>
      <c r="B2882" s="1" t="s">
        <v>526</v>
      </c>
      <c r="C2882" s="1" t="s">
        <v>928</v>
      </c>
      <c r="D2882" s="1" t="s">
        <v>929</v>
      </c>
      <c r="E2882" s="1" t="n">
        <v>20171</v>
      </c>
      <c r="F2882" s="1" t="s">
        <v>208</v>
      </c>
      <c r="G2882" s="1" t="s">
        <v>14</v>
      </c>
      <c r="H2882" s="1" t="n">
        <v>4</v>
      </c>
      <c r="I2882" s="1" t="n">
        <v>0</v>
      </c>
      <c r="J2882" s="1" t="n">
        <v>20201</v>
      </c>
      <c r="L2882" s="1" t="str">
        <f aca="false">IF(D2881&lt;&gt;D2882,D2882,"")</f>
        <v/>
      </c>
      <c r="M2882" s="1" t="str">
        <f aca="false">IF(F2881&lt;&gt;F2882,F2882,"")</f>
        <v/>
      </c>
    </row>
    <row r="2883" customFormat="false" ht="15" hidden="false" customHeight="false" outlineLevel="0" collapsed="false">
      <c r="A2883" s="1" t="s">
        <v>844</v>
      </c>
      <c r="B2883" s="1" t="s">
        <v>845</v>
      </c>
      <c r="C2883" s="1" t="s">
        <v>928</v>
      </c>
      <c r="D2883" s="1" t="s">
        <v>929</v>
      </c>
      <c r="E2883" s="1" t="n">
        <v>20171</v>
      </c>
      <c r="F2883" s="1" t="s">
        <v>208</v>
      </c>
      <c r="G2883" s="1" t="s">
        <v>14</v>
      </c>
      <c r="H2883" s="1" t="n">
        <v>4</v>
      </c>
      <c r="I2883" s="1" t="n">
        <v>0</v>
      </c>
      <c r="J2883" s="1" t="n">
        <v>20201</v>
      </c>
      <c r="L2883" s="1" t="str">
        <f aca="false">IF(D2882&lt;&gt;D2883,D2883,"")</f>
        <v/>
      </c>
      <c r="M2883" s="1" t="str">
        <f aca="false">IF(F2882&lt;&gt;F2883,F2883,"")</f>
        <v/>
      </c>
    </row>
    <row r="2884" customFormat="false" ht="15" hidden="false" customHeight="false" outlineLevel="0" collapsed="false">
      <c r="A2884" s="1" t="s">
        <v>623</v>
      </c>
      <c r="B2884" s="1" t="s">
        <v>624</v>
      </c>
      <c r="C2884" s="1" t="s">
        <v>928</v>
      </c>
      <c r="D2884" s="1" t="s">
        <v>929</v>
      </c>
      <c r="E2884" s="1" t="n">
        <v>20171</v>
      </c>
      <c r="F2884" s="1" t="s">
        <v>208</v>
      </c>
      <c r="G2884" s="1" t="s">
        <v>14</v>
      </c>
      <c r="H2884" s="1" t="n">
        <v>4</v>
      </c>
      <c r="I2884" s="1" t="n">
        <v>0</v>
      </c>
      <c r="J2884" s="1" t="n">
        <v>20201</v>
      </c>
      <c r="L2884" s="1" t="str">
        <f aca="false">IF(D2883&lt;&gt;D2884,D2884,"")</f>
        <v/>
      </c>
      <c r="M2884" s="1" t="str">
        <f aca="false">IF(F2883&lt;&gt;F2884,F2884,"")</f>
        <v/>
      </c>
    </row>
    <row r="2885" customFormat="false" ht="15" hidden="false" customHeight="false" outlineLevel="0" collapsed="false">
      <c r="A2885" s="1" t="s">
        <v>814</v>
      </c>
      <c r="B2885" s="1" t="s">
        <v>815</v>
      </c>
      <c r="C2885" s="1" t="s">
        <v>928</v>
      </c>
      <c r="D2885" s="1" t="s">
        <v>929</v>
      </c>
      <c r="E2885" s="1" t="n">
        <v>20171</v>
      </c>
      <c r="F2885" s="1" t="s">
        <v>208</v>
      </c>
      <c r="G2885" s="1" t="s">
        <v>14</v>
      </c>
      <c r="H2885" s="1" t="n">
        <v>4</v>
      </c>
      <c r="I2885" s="1" t="n">
        <v>0</v>
      </c>
      <c r="J2885" s="1" t="n">
        <v>20201</v>
      </c>
      <c r="L2885" s="1" t="str">
        <f aca="false">IF(D2884&lt;&gt;D2885,D2885,"")</f>
        <v/>
      </c>
      <c r="M2885" s="1" t="str">
        <f aca="false">IF(F2884&lt;&gt;F2885,F2885,"")</f>
        <v/>
      </c>
    </row>
    <row r="2886" customFormat="false" ht="15" hidden="false" customHeight="false" outlineLevel="0" collapsed="false">
      <c r="A2886" s="1" t="s">
        <v>673</v>
      </c>
      <c r="B2886" s="1" t="s">
        <v>674</v>
      </c>
      <c r="C2886" s="1" t="s">
        <v>928</v>
      </c>
      <c r="D2886" s="1" t="s">
        <v>929</v>
      </c>
      <c r="E2886" s="1" t="n">
        <v>20171</v>
      </c>
      <c r="F2886" s="1" t="s">
        <v>208</v>
      </c>
      <c r="G2886" s="1" t="s">
        <v>14</v>
      </c>
      <c r="H2886" s="1" t="n">
        <v>4</v>
      </c>
      <c r="I2886" s="1" t="n">
        <v>0</v>
      </c>
      <c r="J2886" s="1" t="n">
        <v>20201</v>
      </c>
      <c r="L2886" s="1" t="str">
        <f aca="false">IF(D2885&lt;&gt;D2886,D2886,"")</f>
        <v/>
      </c>
      <c r="M2886" s="1" t="str">
        <f aca="false">IF(F2885&lt;&gt;F2886,F2886,"")</f>
        <v/>
      </c>
    </row>
    <row r="2887" customFormat="false" ht="15" hidden="false" customHeight="false" outlineLevel="0" collapsed="false">
      <c r="A2887" s="1" t="s">
        <v>820</v>
      </c>
      <c r="B2887" s="1" t="s">
        <v>821</v>
      </c>
      <c r="C2887" s="1" t="s">
        <v>928</v>
      </c>
      <c r="D2887" s="1" t="s">
        <v>929</v>
      </c>
      <c r="E2887" s="1" t="n">
        <v>20171</v>
      </c>
      <c r="F2887" s="1" t="s">
        <v>208</v>
      </c>
      <c r="G2887" s="1" t="s">
        <v>15</v>
      </c>
      <c r="H2887" s="1" t="n">
        <v>3.5</v>
      </c>
      <c r="I2887" s="1" t="n">
        <v>0</v>
      </c>
      <c r="J2887" s="1" t="n">
        <v>20201</v>
      </c>
      <c r="L2887" s="1" t="str">
        <f aca="false">IF(D2886&lt;&gt;D2887,D2887,"")</f>
        <v/>
      </c>
      <c r="M2887" s="1" t="str">
        <f aca="false">IF(F2886&lt;&gt;F2887,F2887,"")</f>
        <v/>
      </c>
    </row>
    <row r="2888" customFormat="false" ht="15" hidden="false" customHeight="false" outlineLevel="0" collapsed="false">
      <c r="A2888" s="1" t="s">
        <v>659</v>
      </c>
      <c r="B2888" s="1" t="s">
        <v>660</v>
      </c>
      <c r="C2888" s="1" t="s">
        <v>928</v>
      </c>
      <c r="D2888" s="1" t="s">
        <v>929</v>
      </c>
      <c r="E2888" s="1" t="n">
        <v>20171</v>
      </c>
      <c r="F2888" s="1" t="s">
        <v>208</v>
      </c>
      <c r="G2888" s="1" t="s">
        <v>14</v>
      </c>
      <c r="H2888" s="1" t="n">
        <v>4</v>
      </c>
      <c r="I2888" s="1" t="n">
        <v>0</v>
      </c>
      <c r="J2888" s="1" t="n">
        <v>20201</v>
      </c>
      <c r="L2888" s="1" t="str">
        <f aca="false">IF(D2887&lt;&gt;D2888,D2888,"")</f>
        <v/>
      </c>
      <c r="M2888" s="1" t="str">
        <f aca="false">IF(F2887&lt;&gt;F2888,F2888,"")</f>
        <v/>
      </c>
    </row>
    <row r="2889" customFormat="false" ht="15" hidden="false" customHeight="false" outlineLevel="0" collapsed="false">
      <c r="A2889" s="1" t="s">
        <v>878</v>
      </c>
      <c r="B2889" s="1" t="s">
        <v>879</v>
      </c>
      <c r="C2889" s="1" t="s">
        <v>930</v>
      </c>
      <c r="D2889" s="1" t="s">
        <v>931</v>
      </c>
      <c r="E2889" s="1" t="n">
        <v>20171</v>
      </c>
      <c r="F2889" s="1" t="s">
        <v>208</v>
      </c>
      <c r="G2889" s="1" t="s">
        <v>124</v>
      </c>
      <c r="H2889" s="1" t="n">
        <v>0</v>
      </c>
      <c r="I2889" s="1" t="n">
        <v>0</v>
      </c>
      <c r="J2889" s="1" t="n">
        <v>20201</v>
      </c>
      <c r="L2889" s="1" t="str">
        <f aca="false">IF(D2888&lt;&gt;D2889,D2889,"")</f>
        <v>RANGKAIAN ELEKTRONIKA</v>
      </c>
      <c r="M2889" s="1" t="str">
        <f aca="false">IF(F2888&lt;&gt;F2889,F2889,"")</f>
        <v/>
      </c>
    </row>
    <row r="2890" customFormat="false" ht="15" hidden="false" customHeight="false" outlineLevel="0" collapsed="false">
      <c r="A2890" s="1" t="s">
        <v>299</v>
      </c>
      <c r="B2890" s="1" t="s">
        <v>300</v>
      </c>
      <c r="C2890" s="1" t="s">
        <v>930</v>
      </c>
      <c r="D2890" s="1" t="s">
        <v>931</v>
      </c>
      <c r="E2890" s="1" t="n">
        <v>20171</v>
      </c>
      <c r="F2890" s="1" t="s">
        <v>208</v>
      </c>
      <c r="G2890" s="1" t="s">
        <v>124</v>
      </c>
      <c r="H2890" s="1" t="n">
        <v>0</v>
      </c>
      <c r="I2890" s="1" t="n">
        <v>0</v>
      </c>
      <c r="J2890" s="1" t="n">
        <v>20201</v>
      </c>
      <c r="L2890" s="1" t="str">
        <f aca="false">IF(D2889&lt;&gt;D2890,D2890,"")</f>
        <v/>
      </c>
      <c r="M2890" s="1" t="str">
        <f aca="false">IF(F2889&lt;&gt;F2890,F2890,"")</f>
        <v/>
      </c>
    </row>
    <row r="2891" customFormat="false" ht="15" hidden="false" customHeight="false" outlineLevel="0" collapsed="false">
      <c r="A2891" s="1" t="s">
        <v>741</v>
      </c>
      <c r="B2891" s="1" t="s">
        <v>742</v>
      </c>
      <c r="C2891" s="1" t="s">
        <v>930</v>
      </c>
      <c r="D2891" s="1" t="s">
        <v>931</v>
      </c>
      <c r="E2891" s="1" t="n">
        <v>20171</v>
      </c>
      <c r="F2891" s="1" t="s">
        <v>208</v>
      </c>
      <c r="G2891" s="1" t="s">
        <v>23</v>
      </c>
      <c r="H2891" s="1" t="n">
        <v>0</v>
      </c>
      <c r="I2891" s="1" t="n">
        <v>0</v>
      </c>
      <c r="J2891" s="1" t="n">
        <v>20201</v>
      </c>
      <c r="L2891" s="1" t="str">
        <f aca="false">IF(D2890&lt;&gt;D2891,D2891,"")</f>
        <v/>
      </c>
      <c r="M2891" s="1" t="str">
        <f aca="false">IF(F2890&lt;&gt;F2891,F2891,"")</f>
        <v/>
      </c>
    </row>
    <row r="2892" customFormat="false" ht="15" hidden="false" customHeight="false" outlineLevel="0" collapsed="false">
      <c r="A2892" s="1" t="s">
        <v>308</v>
      </c>
      <c r="B2892" s="1" t="s">
        <v>309</v>
      </c>
      <c r="C2892" s="1" t="s">
        <v>930</v>
      </c>
      <c r="D2892" s="1" t="s">
        <v>931</v>
      </c>
      <c r="E2892" s="1" t="n">
        <v>20171</v>
      </c>
      <c r="F2892" s="1" t="s">
        <v>208</v>
      </c>
      <c r="G2892" s="1" t="s">
        <v>124</v>
      </c>
      <c r="H2892" s="1" t="n">
        <v>0</v>
      </c>
      <c r="I2892" s="1" t="n">
        <v>0</v>
      </c>
      <c r="J2892" s="1" t="n">
        <v>20201</v>
      </c>
      <c r="L2892" s="1" t="str">
        <f aca="false">IF(D2891&lt;&gt;D2892,D2892,"")</f>
        <v/>
      </c>
      <c r="M2892" s="1" t="str">
        <f aca="false">IF(F2891&lt;&gt;F2892,F2892,"")</f>
        <v/>
      </c>
    </row>
    <row r="2893" customFormat="false" ht="15" hidden="false" customHeight="false" outlineLevel="0" collapsed="false">
      <c r="A2893" s="1" t="s">
        <v>635</v>
      </c>
      <c r="B2893" s="1" t="s">
        <v>636</v>
      </c>
      <c r="C2893" s="1" t="s">
        <v>930</v>
      </c>
      <c r="D2893" s="1" t="s">
        <v>931</v>
      </c>
      <c r="E2893" s="1" t="n">
        <v>20171</v>
      </c>
      <c r="F2893" s="1" t="s">
        <v>208</v>
      </c>
      <c r="G2893" s="1" t="s">
        <v>124</v>
      </c>
      <c r="H2893" s="1" t="n">
        <v>0</v>
      </c>
      <c r="I2893" s="1" t="n">
        <v>0</v>
      </c>
      <c r="J2893" s="1" t="n">
        <v>20201</v>
      </c>
      <c r="L2893" s="1" t="str">
        <f aca="false">IF(D2892&lt;&gt;D2893,D2893,"")</f>
        <v/>
      </c>
      <c r="M2893" s="1" t="str">
        <f aca="false">IF(F2892&lt;&gt;F2893,F2893,"")</f>
        <v/>
      </c>
    </row>
    <row r="2894" customFormat="false" ht="15" hidden="false" customHeight="false" outlineLevel="0" collapsed="false">
      <c r="A2894" s="1" t="s">
        <v>687</v>
      </c>
      <c r="B2894" s="1" t="s">
        <v>688</v>
      </c>
      <c r="C2894" s="1" t="s">
        <v>930</v>
      </c>
      <c r="D2894" s="1" t="s">
        <v>931</v>
      </c>
      <c r="E2894" s="1" t="n">
        <v>20171</v>
      </c>
      <c r="F2894" s="1" t="s">
        <v>208</v>
      </c>
      <c r="G2894" s="1" t="s">
        <v>23</v>
      </c>
      <c r="H2894" s="1" t="n">
        <v>0</v>
      </c>
      <c r="I2894" s="1" t="n">
        <v>0</v>
      </c>
      <c r="J2894" s="1" t="n">
        <v>20201</v>
      </c>
      <c r="L2894" s="1" t="str">
        <f aca="false">IF(D2893&lt;&gt;D2894,D2894,"")</f>
        <v/>
      </c>
      <c r="M2894" s="1" t="str">
        <f aca="false">IF(F2893&lt;&gt;F2894,F2894,"")</f>
        <v/>
      </c>
    </row>
    <row r="2895" customFormat="false" ht="15" hidden="false" customHeight="false" outlineLevel="0" collapsed="false">
      <c r="A2895" s="1" t="s">
        <v>114</v>
      </c>
      <c r="B2895" s="1" t="s">
        <v>115</v>
      </c>
      <c r="C2895" s="1" t="s">
        <v>930</v>
      </c>
      <c r="D2895" s="1" t="s">
        <v>931</v>
      </c>
      <c r="E2895" s="1" t="n">
        <v>20171</v>
      </c>
      <c r="F2895" s="1" t="s">
        <v>208</v>
      </c>
      <c r="G2895" s="1" t="s">
        <v>15</v>
      </c>
      <c r="H2895" s="1" t="n">
        <v>3.5</v>
      </c>
      <c r="I2895" s="1" t="n">
        <v>0</v>
      </c>
      <c r="J2895" s="1" t="n">
        <v>20201</v>
      </c>
      <c r="L2895" s="1" t="str">
        <f aca="false">IF(D2894&lt;&gt;D2895,D2895,"")</f>
        <v/>
      </c>
      <c r="M2895" s="1" t="str">
        <f aca="false">IF(F2894&lt;&gt;F2895,F2895,"")</f>
        <v/>
      </c>
    </row>
    <row r="2896" customFormat="false" ht="15" hidden="false" customHeight="false" outlineLevel="0" collapsed="false">
      <c r="A2896" s="1" t="s">
        <v>689</v>
      </c>
      <c r="B2896" s="1" t="s">
        <v>690</v>
      </c>
      <c r="C2896" s="1" t="s">
        <v>930</v>
      </c>
      <c r="D2896" s="1" t="s">
        <v>931</v>
      </c>
      <c r="E2896" s="1" t="n">
        <v>20171</v>
      </c>
      <c r="F2896" s="1" t="s">
        <v>208</v>
      </c>
      <c r="G2896" s="1" t="s">
        <v>18</v>
      </c>
      <c r="H2896" s="1" t="n">
        <v>3</v>
      </c>
      <c r="I2896" s="1" t="n">
        <v>0</v>
      </c>
      <c r="J2896" s="1" t="n">
        <v>20201</v>
      </c>
      <c r="L2896" s="1" t="str">
        <f aca="false">IF(D2895&lt;&gt;D2896,D2896,"")</f>
        <v/>
      </c>
      <c r="M2896" s="1" t="str">
        <f aca="false">IF(F2895&lt;&gt;F2896,F2896,"")</f>
        <v/>
      </c>
    </row>
    <row r="2897" customFormat="false" ht="15" hidden="false" customHeight="false" outlineLevel="0" collapsed="false">
      <c r="A2897" s="1" t="s">
        <v>691</v>
      </c>
      <c r="B2897" s="1" t="s">
        <v>692</v>
      </c>
      <c r="C2897" s="1" t="s">
        <v>930</v>
      </c>
      <c r="D2897" s="1" t="s">
        <v>931</v>
      </c>
      <c r="E2897" s="1" t="n">
        <v>20171</v>
      </c>
      <c r="F2897" s="1" t="s">
        <v>208</v>
      </c>
      <c r="G2897" s="1" t="s">
        <v>514</v>
      </c>
      <c r="H2897" s="1" t="n">
        <v>1</v>
      </c>
      <c r="I2897" s="1" t="n">
        <v>0</v>
      </c>
      <c r="J2897" s="1" t="n">
        <v>20201</v>
      </c>
      <c r="L2897" s="1" t="str">
        <f aca="false">IF(D2896&lt;&gt;D2897,D2897,"")</f>
        <v/>
      </c>
      <c r="M2897" s="1" t="str">
        <f aca="false">IF(F2896&lt;&gt;F2897,F2897,"")</f>
        <v/>
      </c>
    </row>
    <row r="2898" customFormat="false" ht="15" hidden="false" customHeight="false" outlineLevel="0" collapsed="false">
      <c r="A2898" s="1" t="s">
        <v>693</v>
      </c>
      <c r="B2898" s="1" t="s">
        <v>694</v>
      </c>
      <c r="C2898" s="1" t="s">
        <v>930</v>
      </c>
      <c r="D2898" s="1" t="s">
        <v>931</v>
      </c>
      <c r="E2898" s="1" t="n">
        <v>20171</v>
      </c>
      <c r="F2898" s="1" t="s">
        <v>208</v>
      </c>
      <c r="G2898" s="1" t="s">
        <v>18</v>
      </c>
      <c r="H2898" s="1" t="n">
        <v>3</v>
      </c>
      <c r="I2898" s="1" t="n">
        <v>0</v>
      </c>
      <c r="J2898" s="1" t="n">
        <v>20201</v>
      </c>
      <c r="L2898" s="1" t="str">
        <f aca="false">IF(D2897&lt;&gt;D2898,D2898,"")</f>
        <v/>
      </c>
      <c r="M2898" s="1" t="str">
        <f aca="false">IF(F2897&lt;&gt;F2898,F2898,"")</f>
        <v/>
      </c>
    </row>
    <row r="2899" customFormat="false" ht="15" hidden="false" customHeight="false" outlineLevel="0" collapsed="false">
      <c r="A2899" s="1" t="s">
        <v>695</v>
      </c>
      <c r="B2899" s="1" t="s">
        <v>696</v>
      </c>
      <c r="C2899" s="1" t="s">
        <v>930</v>
      </c>
      <c r="D2899" s="1" t="s">
        <v>931</v>
      </c>
      <c r="E2899" s="1" t="n">
        <v>20171</v>
      </c>
      <c r="F2899" s="1" t="s">
        <v>208</v>
      </c>
      <c r="G2899" s="1" t="s">
        <v>15</v>
      </c>
      <c r="H2899" s="1" t="n">
        <v>3.5</v>
      </c>
      <c r="I2899" s="1" t="n">
        <v>0</v>
      </c>
      <c r="J2899" s="1" t="n">
        <v>20201</v>
      </c>
      <c r="L2899" s="1" t="str">
        <f aca="false">IF(D2898&lt;&gt;D2899,D2899,"")</f>
        <v/>
      </c>
      <c r="M2899" s="1" t="str">
        <f aca="false">IF(F2898&lt;&gt;F2899,F2899,"")</f>
        <v/>
      </c>
    </row>
    <row r="2900" customFormat="false" ht="15" hidden="false" customHeight="false" outlineLevel="0" collapsed="false">
      <c r="A2900" s="1" t="s">
        <v>697</v>
      </c>
      <c r="B2900" s="1" t="s">
        <v>698</v>
      </c>
      <c r="C2900" s="1" t="s">
        <v>930</v>
      </c>
      <c r="D2900" s="1" t="s">
        <v>931</v>
      </c>
      <c r="E2900" s="1" t="n">
        <v>20171</v>
      </c>
      <c r="F2900" s="1" t="s">
        <v>208</v>
      </c>
      <c r="G2900" s="1" t="s">
        <v>15</v>
      </c>
      <c r="H2900" s="1" t="n">
        <v>3.5</v>
      </c>
      <c r="I2900" s="1" t="n">
        <v>0</v>
      </c>
      <c r="J2900" s="1" t="n">
        <v>20201</v>
      </c>
      <c r="L2900" s="1" t="str">
        <f aca="false">IF(D2899&lt;&gt;D2900,D2900,"")</f>
        <v/>
      </c>
      <c r="M2900" s="1" t="str">
        <f aca="false">IF(F2899&lt;&gt;F2900,F2900,"")</f>
        <v/>
      </c>
    </row>
    <row r="2901" customFormat="false" ht="15" hidden="false" customHeight="false" outlineLevel="0" collapsed="false">
      <c r="A2901" s="1" t="s">
        <v>699</v>
      </c>
      <c r="B2901" s="1" t="s">
        <v>700</v>
      </c>
      <c r="C2901" s="1" t="s">
        <v>930</v>
      </c>
      <c r="D2901" s="1" t="s">
        <v>931</v>
      </c>
      <c r="E2901" s="1" t="n">
        <v>20171</v>
      </c>
      <c r="F2901" s="1" t="s">
        <v>208</v>
      </c>
      <c r="G2901" s="1" t="s">
        <v>14</v>
      </c>
      <c r="H2901" s="1" t="n">
        <v>4</v>
      </c>
      <c r="I2901" s="1" t="n">
        <v>0</v>
      </c>
      <c r="J2901" s="1" t="n">
        <v>20201</v>
      </c>
      <c r="L2901" s="1" t="str">
        <f aca="false">IF(D2900&lt;&gt;D2901,D2901,"")</f>
        <v/>
      </c>
      <c r="M2901" s="1" t="str">
        <f aca="false">IF(F2900&lt;&gt;F2901,F2901,"")</f>
        <v/>
      </c>
    </row>
    <row r="2902" customFormat="false" ht="15" hidden="false" customHeight="false" outlineLevel="0" collapsed="false">
      <c r="A2902" s="1" t="s">
        <v>701</v>
      </c>
      <c r="B2902" s="1" t="s">
        <v>702</v>
      </c>
      <c r="C2902" s="1" t="s">
        <v>930</v>
      </c>
      <c r="D2902" s="1" t="s">
        <v>931</v>
      </c>
      <c r="E2902" s="1" t="n">
        <v>20171</v>
      </c>
      <c r="F2902" s="1" t="s">
        <v>208</v>
      </c>
      <c r="G2902" s="1" t="s">
        <v>18</v>
      </c>
      <c r="H2902" s="1" t="n">
        <v>3</v>
      </c>
      <c r="I2902" s="1" t="n">
        <v>0</v>
      </c>
      <c r="J2902" s="1" t="n">
        <v>20201</v>
      </c>
      <c r="L2902" s="1" t="str">
        <f aca="false">IF(D2901&lt;&gt;D2902,D2902,"")</f>
        <v/>
      </c>
      <c r="M2902" s="1" t="str">
        <f aca="false">IF(F2901&lt;&gt;F2902,F2902,"")</f>
        <v/>
      </c>
    </row>
    <row r="2903" customFormat="false" ht="15" hidden="false" customHeight="false" outlineLevel="0" collapsed="false">
      <c r="A2903" s="1" t="s">
        <v>703</v>
      </c>
      <c r="B2903" s="1" t="s">
        <v>704</v>
      </c>
      <c r="C2903" s="1" t="s">
        <v>930</v>
      </c>
      <c r="D2903" s="1" t="s">
        <v>931</v>
      </c>
      <c r="E2903" s="1" t="n">
        <v>20171</v>
      </c>
      <c r="F2903" s="1" t="s">
        <v>208</v>
      </c>
      <c r="G2903" s="1" t="s">
        <v>18</v>
      </c>
      <c r="H2903" s="1" t="n">
        <v>3</v>
      </c>
      <c r="I2903" s="1" t="n">
        <v>0</v>
      </c>
      <c r="J2903" s="1" t="n">
        <v>20201</v>
      </c>
      <c r="L2903" s="1" t="str">
        <f aca="false">IF(D2902&lt;&gt;D2903,D2903,"")</f>
        <v/>
      </c>
      <c r="M2903" s="1" t="str">
        <f aca="false">IF(F2902&lt;&gt;F2903,F2903,"")</f>
        <v/>
      </c>
    </row>
    <row r="2904" customFormat="false" ht="15" hidden="false" customHeight="false" outlineLevel="0" collapsed="false">
      <c r="A2904" s="1" t="s">
        <v>705</v>
      </c>
      <c r="B2904" s="1" t="s">
        <v>706</v>
      </c>
      <c r="C2904" s="1" t="s">
        <v>930</v>
      </c>
      <c r="D2904" s="1" t="s">
        <v>931</v>
      </c>
      <c r="E2904" s="1" t="n">
        <v>20171</v>
      </c>
      <c r="F2904" s="1" t="s">
        <v>208</v>
      </c>
      <c r="G2904" s="1" t="s">
        <v>30</v>
      </c>
      <c r="H2904" s="1" t="n">
        <v>1.5</v>
      </c>
      <c r="I2904" s="1" t="n">
        <v>0</v>
      </c>
      <c r="J2904" s="1" t="n">
        <v>20201</v>
      </c>
      <c r="L2904" s="1" t="str">
        <f aca="false">IF(D2903&lt;&gt;D2904,D2904,"")</f>
        <v/>
      </c>
      <c r="M2904" s="1" t="str">
        <f aca="false">IF(F2903&lt;&gt;F2904,F2904,"")</f>
        <v/>
      </c>
    </row>
    <row r="2905" customFormat="false" ht="15" hidden="false" customHeight="false" outlineLevel="0" collapsed="false">
      <c r="A2905" s="1" t="s">
        <v>707</v>
      </c>
      <c r="B2905" s="1" t="s">
        <v>708</v>
      </c>
      <c r="C2905" s="1" t="s">
        <v>930</v>
      </c>
      <c r="D2905" s="1" t="s">
        <v>931</v>
      </c>
      <c r="E2905" s="1" t="n">
        <v>20171</v>
      </c>
      <c r="F2905" s="1" t="s">
        <v>208</v>
      </c>
      <c r="G2905" s="1" t="s">
        <v>18</v>
      </c>
      <c r="H2905" s="1" t="n">
        <v>3</v>
      </c>
      <c r="I2905" s="1" t="n">
        <v>0</v>
      </c>
      <c r="J2905" s="1" t="n">
        <v>20201</v>
      </c>
      <c r="L2905" s="1" t="str">
        <f aca="false">IF(D2904&lt;&gt;D2905,D2905,"")</f>
        <v/>
      </c>
      <c r="M2905" s="1" t="str">
        <f aca="false">IF(F2904&lt;&gt;F2905,F2905,"")</f>
        <v/>
      </c>
    </row>
    <row r="2906" customFormat="false" ht="15" hidden="false" customHeight="false" outlineLevel="0" collapsed="false">
      <c r="A2906" s="1" t="s">
        <v>709</v>
      </c>
      <c r="B2906" s="1" t="s">
        <v>710</v>
      </c>
      <c r="C2906" s="1" t="s">
        <v>930</v>
      </c>
      <c r="D2906" s="1" t="s">
        <v>931</v>
      </c>
      <c r="E2906" s="1" t="n">
        <v>20171</v>
      </c>
      <c r="F2906" s="1" t="s">
        <v>208</v>
      </c>
      <c r="G2906" s="1" t="s">
        <v>18</v>
      </c>
      <c r="H2906" s="1" t="n">
        <v>3</v>
      </c>
      <c r="I2906" s="1" t="n">
        <v>0</v>
      </c>
      <c r="J2906" s="1" t="n">
        <v>20201</v>
      </c>
      <c r="L2906" s="1" t="str">
        <f aca="false">IF(D2905&lt;&gt;D2906,D2906,"")</f>
        <v/>
      </c>
      <c r="M2906" s="1" t="str">
        <f aca="false">IF(F2905&lt;&gt;F2906,F2906,"")</f>
        <v/>
      </c>
    </row>
    <row r="2907" customFormat="false" ht="15" hidden="false" customHeight="false" outlineLevel="0" collapsed="false">
      <c r="A2907" s="1" t="s">
        <v>711</v>
      </c>
      <c r="B2907" s="1" t="s">
        <v>712</v>
      </c>
      <c r="C2907" s="1" t="s">
        <v>930</v>
      </c>
      <c r="D2907" s="1" t="s">
        <v>931</v>
      </c>
      <c r="E2907" s="1" t="n">
        <v>20171</v>
      </c>
      <c r="F2907" s="1" t="s">
        <v>208</v>
      </c>
      <c r="G2907" s="1" t="s">
        <v>101</v>
      </c>
      <c r="H2907" s="1" t="n">
        <v>2.5</v>
      </c>
      <c r="I2907" s="1" t="n">
        <v>0</v>
      </c>
      <c r="J2907" s="1" t="n">
        <v>20201</v>
      </c>
      <c r="L2907" s="1" t="str">
        <f aca="false">IF(D2906&lt;&gt;D2907,D2907,"")</f>
        <v/>
      </c>
      <c r="M2907" s="1" t="str">
        <f aca="false">IF(F2906&lt;&gt;F2907,F2907,"")</f>
        <v/>
      </c>
    </row>
    <row r="2908" customFormat="false" ht="15" hidden="false" customHeight="false" outlineLevel="0" collapsed="false">
      <c r="A2908" s="1" t="s">
        <v>713</v>
      </c>
      <c r="B2908" s="1" t="s">
        <v>714</v>
      </c>
      <c r="C2908" s="1" t="s">
        <v>930</v>
      </c>
      <c r="D2908" s="1" t="s">
        <v>931</v>
      </c>
      <c r="E2908" s="1" t="n">
        <v>20171</v>
      </c>
      <c r="F2908" s="1" t="s">
        <v>208</v>
      </c>
      <c r="G2908" s="1" t="s">
        <v>15</v>
      </c>
      <c r="H2908" s="1" t="n">
        <v>3.5</v>
      </c>
      <c r="I2908" s="1" t="n">
        <v>0</v>
      </c>
      <c r="J2908" s="1" t="n">
        <v>20201</v>
      </c>
      <c r="L2908" s="1" t="str">
        <f aca="false">IF(D2907&lt;&gt;D2908,D2908,"")</f>
        <v/>
      </c>
      <c r="M2908" s="1" t="str">
        <f aca="false">IF(F2907&lt;&gt;F2908,F2908,"")</f>
        <v/>
      </c>
    </row>
    <row r="2909" customFormat="false" ht="15" hidden="false" customHeight="false" outlineLevel="0" collapsed="false">
      <c r="A2909" s="1" t="s">
        <v>715</v>
      </c>
      <c r="B2909" s="1" t="s">
        <v>716</v>
      </c>
      <c r="C2909" s="1" t="s">
        <v>930</v>
      </c>
      <c r="D2909" s="1" t="s">
        <v>931</v>
      </c>
      <c r="E2909" s="1" t="n">
        <v>20171</v>
      </c>
      <c r="F2909" s="1" t="s">
        <v>208</v>
      </c>
      <c r="G2909" s="1" t="s">
        <v>101</v>
      </c>
      <c r="H2909" s="1" t="n">
        <v>2.5</v>
      </c>
      <c r="I2909" s="1" t="n">
        <v>0</v>
      </c>
      <c r="J2909" s="1" t="n">
        <v>20201</v>
      </c>
      <c r="L2909" s="1" t="str">
        <f aca="false">IF(D2908&lt;&gt;D2909,D2909,"")</f>
        <v/>
      </c>
      <c r="M2909" s="1" t="str">
        <f aca="false">IF(F2908&lt;&gt;F2909,F2909,"")</f>
        <v/>
      </c>
    </row>
    <row r="2910" customFormat="false" ht="15" hidden="false" customHeight="false" outlineLevel="0" collapsed="false">
      <c r="A2910" s="1" t="s">
        <v>717</v>
      </c>
      <c r="B2910" s="1" t="s">
        <v>718</v>
      </c>
      <c r="C2910" s="1" t="s">
        <v>930</v>
      </c>
      <c r="D2910" s="1" t="s">
        <v>931</v>
      </c>
      <c r="E2910" s="1" t="n">
        <v>20171</v>
      </c>
      <c r="F2910" s="1" t="s">
        <v>208</v>
      </c>
      <c r="G2910" s="1" t="s">
        <v>101</v>
      </c>
      <c r="H2910" s="1" t="n">
        <v>2.5</v>
      </c>
      <c r="I2910" s="1" t="n">
        <v>0</v>
      </c>
      <c r="J2910" s="1" t="n">
        <v>20201</v>
      </c>
      <c r="L2910" s="1" t="str">
        <f aca="false">IF(D2909&lt;&gt;D2910,D2910,"")</f>
        <v/>
      </c>
      <c r="M2910" s="1" t="str">
        <f aca="false">IF(F2909&lt;&gt;F2910,F2910,"")</f>
        <v/>
      </c>
    </row>
    <row r="2911" customFormat="false" ht="15" hidden="false" customHeight="false" outlineLevel="0" collapsed="false">
      <c r="A2911" s="1" t="s">
        <v>719</v>
      </c>
      <c r="B2911" s="1" t="s">
        <v>720</v>
      </c>
      <c r="C2911" s="1" t="s">
        <v>930</v>
      </c>
      <c r="D2911" s="1" t="s">
        <v>931</v>
      </c>
      <c r="E2911" s="1" t="n">
        <v>20171</v>
      </c>
      <c r="F2911" s="1" t="s">
        <v>208</v>
      </c>
      <c r="G2911" s="1" t="s">
        <v>101</v>
      </c>
      <c r="H2911" s="1" t="n">
        <v>2.5</v>
      </c>
      <c r="I2911" s="1" t="n">
        <v>0</v>
      </c>
      <c r="J2911" s="1" t="n">
        <v>20201</v>
      </c>
      <c r="L2911" s="1" t="str">
        <f aca="false">IF(D2910&lt;&gt;D2911,D2911,"")</f>
        <v/>
      </c>
      <c r="M2911" s="1" t="str">
        <f aca="false">IF(F2910&lt;&gt;F2911,F2911,"")</f>
        <v/>
      </c>
    </row>
    <row r="2912" customFormat="false" ht="15" hidden="false" customHeight="false" outlineLevel="0" collapsed="false">
      <c r="A2912" s="1" t="s">
        <v>663</v>
      </c>
      <c r="B2912" s="1" t="s">
        <v>664</v>
      </c>
      <c r="C2912" s="1" t="s">
        <v>930</v>
      </c>
      <c r="D2912" s="1" t="s">
        <v>931</v>
      </c>
      <c r="E2912" s="1" t="n">
        <v>20171</v>
      </c>
      <c r="F2912" s="1" t="s">
        <v>208</v>
      </c>
      <c r="G2912" s="1" t="s">
        <v>514</v>
      </c>
      <c r="H2912" s="1" t="n">
        <v>1</v>
      </c>
      <c r="I2912" s="1" t="n">
        <v>0</v>
      </c>
      <c r="J2912" s="1" t="n">
        <v>20201</v>
      </c>
      <c r="L2912" s="1" t="str">
        <f aca="false">IF(D2911&lt;&gt;D2912,D2912,"")</f>
        <v/>
      </c>
      <c r="M2912" s="1" t="str">
        <f aca="false">IF(F2911&lt;&gt;F2912,F2912,"")</f>
        <v/>
      </c>
    </row>
    <row r="2913" customFormat="false" ht="15" hidden="false" customHeight="false" outlineLevel="0" collapsed="false">
      <c r="A2913" s="1" t="s">
        <v>721</v>
      </c>
      <c r="B2913" s="1" t="s">
        <v>722</v>
      </c>
      <c r="C2913" s="1" t="s">
        <v>930</v>
      </c>
      <c r="D2913" s="1" t="s">
        <v>931</v>
      </c>
      <c r="E2913" s="1" t="n">
        <v>20171</v>
      </c>
      <c r="F2913" s="1" t="s">
        <v>208</v>
      </c>
      <c r="G2913" s="1" t="s">
        <v>15</v>
      </c>
      <c r="H2913" s="1" t="n">
        <v>3.5</v>
      </c>
      <c r="I2913" s="1" t="n">
        <v>0</v>
      </c>
      <c r="J2913" s="1" t="n">
        <v>20201</v>
      </c>
      <c r="L2913" s="1" t="str">
        <f aca="false">IF(D2912&lt;&gt;D2913,D2913,"")</f>
        <v/>
      </c>
      <c r="M2913" s="1" t="str">
        <f aca="false">IF(F2912&lt;&gt;F2913,F2913,"")</f>
        <v/>
      </c>
    </row>
    <row r="2914" customFormat="false" ht="15" hidden="false" customHeight="false" outlineLevel="0" collapsed="false">
      <c r="A2914" s="1" t="s">
        <v>665</v>
      </c>
      <c r="B2914" s="1" t="s">
        <v>666</v>
      </c>
      <c r="C2914" s="1" t="s">
        <v>930</v>
      </c>
      <c r="D2914" s="1" t="s">
        <v>931</v>
      </c>
      <c r="E2914" s="1" t="n">
        <v>20171</v>
      </c>
      <c r="F2914" s="1" t="s">
        <v>208</v>
      </c>
      <c r="G2914" s="1" t="s">
        <v>15</v>
      </c>
      <c r="H2914" s="1" t="n">
        <v>3.5</v>
      </c>
      <c r="I2914" s="1" t="n">
        <v>0</v>
      </c>
      <c r="J2914" s="1" t="n">
        <v>20201</v>
      </c>
      <c r="L2914" s="1" t="str">
        <f aca="false">IF(D2913&lt;&gt;D2914,D2914,"")</f>
        <v/>
      </c>
      <c r="M2914" s="1" t="str">
        <f aca="false">IF(F2913&lt;&gt;F2914,F2914,"")</f>
        <v/>
      </c>
    </row>
    <row r="2915" customFormat="false" ht="15" hidden="false" customHeight="false" outlineLevel="0" collapsed="false">
      <c r="A2915" s="1" t="s">
        <v>723</v>
      </c>
      <c r="B2915" s="1" t="s">
        <v>724</v>
      </c>
      <c r="C2915" s="1" t="s">
        <v>930</v>
      </c>
      <c r="D2915" s="1" t="s">
        <v>931</v>
      </c>
      <c r="E2915" s="1" t="n">
        <v>20171</v>
      </c>
      <c r="F2915" s="1" t="s">
        <v>208</v>
      </c>
      <c r="G2915" s="1" t="s">
        <v>514</v>
      </c>
      <c r="H2915" s="1" t="n">
        <v>1</v>
      </c>
      <c r="I2915" s="1" t="n">
        <v>0</v>
      </c>
      <c r="J2915" s="1" t="n">
        <v>20201</v>
      </c>
      <c r="L2915" s="1" t="str">
        <f aca="false">IF(D2914&lt;&gt;D2915,D2915,"")</f>
        <v/>
      </c>
      <c r="M2915" s="1" t="str">
        <f aca="false">IF(F2914&lt;&gt;F2915,F2915,"")</f>
        <v/>
      </c>
    </row>
    <row r="2916" customFormat="false" ht="15" hidden="false" customHeight="false" outlineLevel="0" collapsed="false">
      <c r="A2916" s="1" t="s">
        <v>725</v>
      </c>
      <c r="B2916" s="1" t="s">
        <v>726</v>
      </c>
      <c r="C2916" s="1" t="s">
        <v>930</v>
      </c>
      <c r="D2916" s="1" t="s">
        <v>931</v>
      </c>
      <c r="E2916" s="1" t="n">
        <v>20171</v>
      </c>
      <c r="F2916" s="1" t="s">
        <v>208</v>
      </c>
      <c r="G2916" s="1" t="s">
        <v>101</v>
      </c>
      <c r="H2916" s="1" t="n">
        <v>2.5</v>
      </c>
      <c r="I2916" s="1" t="n">
        <v>0</v>
      </c>
      <c r="J2916" s="1" t="n">
        <v>20201</v>
      </c>
      <c r="L2916" s="1" t="str">
        <f aca="false">IF(D2915&lt;&gt;D2916,D2916,"")</f>
        <v/>
      </c>
      <c r="M2916" s="1" t="str">
        <f aca="false">IF(F2915&lt;&gt;F2916,F2916,"")</f>
        <v/>
      </c>
    </row>
    <row r="2917" customFormat="false" ht="15" hidden="false" customHeight="false" outlineLevel="0" collapsed="false">
      <c r="A2917" s="1" t="s">
        <v>597</v>
      </c>
      <c r="B2917" s="1" t="s">
        <v>598</v>
      </c>
      <c r="C2917" s="1" t="s">
        <v>932</v>
      </c>
      <c r="D2917" s="1" t="s">
        <v>933</v>
      </c>
      <c r="E2917" s="1" t="n">
        <v>20171</v>
      </c>
      <c r="F2917" s="1" t="s">
        <v>208</v>
      </c>
      <c r="G2917" s="1" t="s">
        <v>18</v>
      </c>
      <c r="H2917" s="1" t="n">
        <v>3</v>
      </c>
      <c r="I2917" s="1" t="n">
        <v>0</v>
      </c>
      <c r="J2917" s="1" t="n">
        <v>20201</v>
      </c>
      <c r="L2917" s="1" t="str">
        <f aca="false">IF(D2916&lt;&gt;D2917,D2917,"")</f>
        <v>RANGKAIAN LISTRIK I</v>
      </c>
      <c r="M2917" s="1" t="str">
        <f aca="false">IF(F2916&lt;&gt;F2917,F2917,"")</f>
        <v/>
      </c>
    </row>
    <row r="2918" customFormat="false" ht="15" hidden="false" customHeight="false" outlineLevel="0" collapsed="false">
      <c r="A2918" s="1" t="s">
        <v>934</v>
      </c>
      <c r="B2918" s="1" t="s">
        <v>935</v>
      </c>
      <c r="C2918" s="1" t="s">
        <v>932</v>
      </c>
      <c r="D2918" s="1" t="s">
        <v>933</v>
      </c>
      <c r="E2918" s="1" t="n">
        <v>20171</v>
      </c>
      <c r="F2918" s="1" t="s">
        <v>208</v>
      </c>
      <c r="G2918" s="1" t="s">
        <v>18</v>
      </c>
      <c r="H2918" s="1" t="n">
        <v>3</v>
      </c>
      <c r="I2918" s="1" t="n">
        <v>0</v>
      </c>
      <c r="J2918" s="1" t="n">
        <v>20201</v>
      </c>
      <c r="L2918" s="1" t="str">
        <f aca="false">IF(D2917&lt;&gt;D2918,D2918,"")</f>
        <v/>
      </c>
      <c r="M2918" s="1" t="str">
        <f aca="false">IF(F2917&lt;&gt;F2918,F2918,"")</f>
        <v/>
      </c>
    </row>
    <row r="2919" customFormat="false" ht="15" hidden="false" customHeight="false" outlineLevel="0" collapsed="false">
      <c r="A2919" s="1" t="s">
        <v>519</v>
      </c>
      <c r="B2919" s="1" t="s">
        <v>520</v>
      </c>
      <c r="C2919" s="1" t="s">
        <v>932</v>
      </c>
      <c r="D2919" s="1" t="s">
        <v>933</v>
      </c>
      <c r="E2919" s="1" t="n">
        <v>20171</v>
      </c>
      <c r="F2919" s="1" t="s">
        <v>208</v>
      </c>
      <c r="G2919" s="1" t="s">
        <v>18</v>
      </c>
      <c r="H2919" s="1" t="n">
        <v>3</v>
      </c>
      <c r="I2919" s="1" t="n">
        <v>0</v>
      </c>
      <c r="J2919" s="1" t="n">
        <v>20201</v>
      </c>
      <c r="L2919" s="1" t="str">
        <f aca="false">IF(D2918&lt;&gt;D2919,D2919,"")</f>
        <v/>
      </c>
      <c r="M2919" s="1" t="str">
        <f aca="false">IF(F2918&lt;&gt;F2919,F2919,"")</f>
        <v/>
      </c>
    </row>
    <row r="2920" customFormat="false" ht="15" hidden="false" customHeight="false" outlineLevel="0" collapsed="false">
      <c r="A2920" s="1" t="s">
        <v>521</v>
      </c>
      <c r="B2920" s="1" t="s">
        <v>522</v>
      </c>
      <c r="C2920" s="1" t="s">
        <v>932</v>
      </c>
      <c r="D2920" s="1" t="s">
        <v>933</v>
      </c>
      <c r="E2920" s="1" t="n">
        <v>20171</v>
      </c>
      <c r="F2920" s="1" t="s">
        <v>208</v>
      </c>
      <c r="G2920" s="1" t="s">
        <v>18</v>
      </c>
      <c r="H2920" s="1" t="n">
        <v>3</v>
      </c>
      <c r="I2920" s="1" t="n">
        <v>0</v>
      </c>
      <c r="J2920" s="1" t="n">
        <v>20201</v>
      </c>
      <c r="L2920" s="1" t="str">
        <f aca="false">IF(D2919&lt;&gt;D2920,D2920,"")</f>
        <v/>
      </c>
      <c r="M2920" s="1" t="str">
        <f aca="false">IF(F2919&lt;&gt;F2920,F2920,"")</f>
        <v/>
      </c>
    </row>
    <row r="2921" customFormat="false" ht="15" hidden="false" customHeight="false" outlineLevel="0" collapsed="false">
      <c r="A2921" s="1" t="s">
        <v>619</v>
      </c>
      <c r="B2921" s="1" t="s">
        <v>620</v>
      </c>
      <c r="C2921" s="1" t="s">
        <v>932</v>
      </c>
      <c r="D2921" s="1" t="s">
        <v>933</v>
      </c>
      <c r="E2921" s="1" t="n">
        <v>20171</v>
      </c>
      <c r="F2921" s="1" t="s">
        <v>208</v>
      </c>
      <c r="G2921" s="1" t="s">
        <v>101</v>
      </c>
      <c r="H2921" s="1" t="n">
        <v>2.5</v>
      </c>
      <c r="I2921" s="1" t="n">
        <v>0</v>
      </c>
      <c r="J2921" s="1" t="n">
        <v>20201</v>
      </c>
      <c r="L2921" s="1" t="str">
        <f aca="false">IF(D2920&lt;&gt;D2921,D2921,"")</f>
        <v/>
      </c>
      <c r="M2921" s="1" t="str">
        <f aca="false">IF(F2920&lt;&gt;F2921,F2921,"")</f>
        <v/>
      </c>
    </row>
    <row r="2922" customFormat="false" ht="15" hidden="false" customHeight="false" outlineLevel="0" collapsed="false">
      <c r="A2922" s="1" t="s">
        <v>561</v>
      </c>
      <c r="B2922" s="1" t="s">
        <v>562</v>
      </c>
      <c r="C2922" s="1" t="s">
        <v>932</v>
      </c>
      <c r="D2922" s="1" t="s">
        <v>933</v>
      </c>
      <c r="E2922" s="1" t="n">
        <v>20171</v>
      </c>
      <c r="F2922" s="1" t="s">
        <v>208</v>
      </c>
      <c r="G2922" s="1" t="s">
        <v>15</v>
      </c>
      <c r="H2922" s="1" t="n">
        <v>3.5</v>
      </c>
      <c r="I2922" s="1" t="n">
        <v>0</v>
      </c>
      <c r="J2922" s="1" t="n">
        <v>20201</v>
      </c>
      <c r="L2922" s="1" t="str">
        <f aca="false">IF(D2921&lt;&gt;D2922,D2922,"")</f>
        <v/>
      </c>
      <c r="M2922" s="1" t="str">
        <f aca="false">IF(F2921&lt;&gt;F2922,F2922,"")</f>
        <v/>
      </c>
    </row>
    <row r="2923" customFormat="false" ht="15" hidden="false" customHeight="false" outlineLevel="0" collapsed="false">
      <c r="A2923" s="1" t="s">
        <v>565</v>
      </c>
      <c r="B2923" s="1" t="s">
        <v>566</v>
      </c>
      <c r="C2923" s="1" t="s">
        <v>932</v>
      </c>
      <c r="D2923" s="1" t="s">
        <v>933</v>
      </c>
      <c r="E2923" s="1" t="n">
        <v>20171</v>
      </c>
      <c r="F2923" s="1" t="s">
        <v>208</v>
      </c>
      <c r="G2923" s="1" t="s">
        <v>101</v>
      </c>
      <c r="H2923" s="1" t="n">
        <v>2.5</v>
      </c>
      <c r="I2923" s="1" t="n">
        <v>0</v>
      </c>
      <c r="J2923" s="1" t="n">
        <v>20201</v>
      </c>
      <c r="L2923" s="1" t="str">
        <f aca="false">IF(D2922&lt;&gt;D2923,D2923,"")</f>
        <v/>
      </c>
      <c r="M2923" s="1" t="str">
        <f aca="false">IF(F2922&lt;&gt;F2923,F2923,"")</f>
        <v/>
      </c>
    </row>
    <row r="2924" customFormat="false" ht="15" hidden="false" customHeight="false" outlineLevel="0" collapsed="false">
      <c r="A2924" s="1" t="s">
        <v>19</v>
      </c>
      <c r="B2924" s="1" t="s">
        <v>20</v>
      </c>
      <c r="C2924" s="1" t="s">
        <v>932</v>
      </c>
      <c r="D2924" s="1" t="s">
        <v>933</v>
      </c>
      <c r="E2924" s="1" t="n">
        <v>20171</v>
      </c>
      <c r="F2924" s="1" t="s">
        <v>208</v>
      </c>
      <c r="G2924" s="1" t="s">
        <v>101</v>
      </c>
      <c r="H2924" s="1" t="n">
        <v>2.5</v>
      </c>
      <c r="I2924" s="1" t="n">
        <v>0</v>
      </c>
      <c r="J2924" s="1" t="n">
        <v>20201</v>
      </c>
      <c r="L2924" s="1" t="str">
        <f aca="false">IF(D2923&lt;&gt;D2924,D2924,"")</f>
        <v/>
      </c>
      <c r="M2924" s="1" t="str">
        <f aca="false">IF(F2923&lt;&gt;F2924,F2924,"")</f>
        <v/>
      </c>
    </row>
    <row r="2925" customFormat="false" ht="15" hidden="false" customHeight="false" outlineLevel="0" collapsed="false">
      <c r="A2925" s="1" t="s">
        <v>806</v>
      </c>
      <c r="B2925" s="1" t="s">
        <v>807</v>
      </c>
      <c r="C2925" s="1" t="s">
        <v>932</v>
      </c>
      <c r="D2925" s="1" t="s">
        <v>933</v>
      </c>
      <c r="E2925" s="1" t="n">
        <v>20171</v>
      </c>
      <c r="F2925" s="1" t="s">
        <v>208</v>
      </c>
      <c r="G2925" s="1" t="s">
        <v>101</v>
      </c>
      <c r="H2925" s="1" t="n">
        <v>2.5</v>
      </c>
      <c r="I2925" s="1" t="n">
        <v>0</v>
      </c>
      <c r="J2925" s="1" t="n">
        <v>20201</v>
      </c>
      <c r="L2925" s="1" t="str">
        <f aca="false">IF(D2924&lt;&gt;D2925,D2925,"")</f>
        <v/>
      </c>
      <c r="M2925" s="1" t="str">
        <f aca="false">IF(F2924&lt;&gt;F2925,F2925,"")</f>
        <v/>
      </c>
    </row>
    <row r="2926" customFormat="false" ht="15" hidden="false" customHeight="false" outlineLevel="0" collapsed="false">
      <c r="A2926" s="1" t="s">
        <v>621</v>
      </c>
      <c r="B2926" s="1" t="s">
        <v>622</v>
      </c>
      <c r="C2926" s="1" t="s">
        <v>932</v>
      </c>
      <c r="D2926" s="1" t="s">
        <v>933</v>
      </c>
      <c r="E2926" s="1" t="n">
        <v>20171</v>
      </c>
      <c r="F2926" s="1" t="s">
        <v>208</v>
      </c>
      <c r="G2926" s="1" t="s">
        <v>101</v>
      </c>
      <c r="H2926" s="1" t="n">
        <v>2.5</v>
      </c>
      <c r="I2926" s="1" t="n">
        <v>0</v>
      </c>
      <c r="J2926" s="1" t="n">
        <v>20201</v>
      </c>
      <c r="L2926" s="1" t="str">
        <f aca="false">IF(D2925&lt;&gt;D2926,D2926,"")</f>
        <v/>
      </c>
      <c r="M2926" s="1" t="str">
        <f aca="false">IF(F2925&lt;&gt;F2926,F2926,"")</f>
        <v/>
      </c>
    </row>
    <row r="2927" customFormat="false" ht="15" hidden="false" customHeight="false" outlineLevel="0" collapsed="false">
      <c r="A2927" s="1" t="s">
        <v>512</v>
      </c>
      <c r="B2927" s="1" t="s">
        <v>513</v>
      </c>
      <c r="C2927" s="1" t="s">
        <v>932</v>
      </c>
      <c r="D2927" s="1" t="s">
        <v>933</v>
      </c>
      <c r="E2927" s="1" t="n">
        <v>20171</v>
      </c>
      <c r="F2927" s="1" t="s">
        <v>208</v>
      </c>
      <c r="G2927" s="1" t="s">
        <v>101</v>
      </c>
      <c r="H2927" s="1" t="n">
        <v>2.5</v>
      </c>
      <c r="I2927" s="1" t="n">
        <v>0</v>
      </c>
      <c r="J2927" s="1" t="n">
        <v>20201</v>
      </c>
      <c r="L2927" s="1" t="str">
        <f aca="false">IF(D2926&lt;&gt;D2927,D2927,"")</f>
        <v/>
      </c>
      <c r="M2927" s="1" t="str">
        <f aca="false">IF(F2926&lt;&gt;F2927,F2927,"")</f>
        <v/>
      </c>
    </row>
    <row r="2928" customFormat="false" ht="15" hidden="false" customHeight="false" outlineLevel="0" collapsed="false">
      <c r="A2928" s="1" t="s">
        <v>527</v>
      </c>
      <c r="B2928" s="1" t="s">
        <v>528</v>
      </c>
      <c r="C2928" s="1" t="s">
        <v>932</v>
      </c>
      <c r="D2928" s="1" t="s">
        <v>933</v>
      </c>
      <c r="E2928" s="1" t="n">
        <v>20171</v>
      </c>
      <c r="F2928" s="1" t="s">
        <v>208</v>
      </c>
      <c r="G2928" s="1" t="s">
        <v>101</v>
      </c>
      <c r="H2928" s="1" t="n">
        <v>2.5</v>
      </c>
      <c r="I2928" s="1" t="n">
        <v>0</v>
      </c>
      <c r="J2928" s="1" t="n">
        <v>20201</v>
      </c>
      <c r="L2928" s="1" t="str">
        <f aca="false">IF(D2927&lt;&gt;D2928,D2928,"")</f>
        <v/>
      </c>
      <c r="M2928" s="1" t="str">
        <f aca="false">IF(F2927&lt;&gt;F2928,F2928,"")</f>
        <v/>
      </c>
    </row>
    <row r="2929" customFormat="false" ht="15" hidden="false" customHeight="false" outlineLevel="0" collapsed="false">
      <c r="A2929" s="1" t="s">
        <v>629</v>
      </c>
      <c r="B2929" s="1" t="s">
        <v>630</v>
      </c>
      <c r="C2929" s="1" t="s">
        <v>932</v>
      </c>
      <c r="D2929" s="1" t="s">
        <v>933</v>
      </c>
      <c r="E2929" s="1" t="n">
        <v>20171</v>
      </c>
      <c r="F2929" s="1" t="s">
        <v>208</v>
      </c>
      <c r="G2929" s="1" t="s">
        <v>101</v>
      </c>
      <c r="H2929" s="1" t="n">
        <v>2.5</v>
      </c>
      <c r="I2929" s="1" t="n">
        <v>0</v>
      </c>
      <c r="J2929" s="1" t="n">
        <v>20201</v>
      </c>
      <c r="L2929" s="1" t="str">
        <f aca="false">IF(D2928&lt;&gt;D2929,D2929,"")</f>
        <v/>
      </c>
      <c r="M2929" s="1" t="str">
        <f aca="false">IF(F2928&lt;&gt;F2929,F2929,"")</f>
        <v/>
      </c>
    </row>
    <row r="2930" customFormat="false" ht="15" hidden="false" customHeight="false" outlineLevel="0" collapsed="false">
      <c r="A2930" s="1" t="s">
        <v>202</v>
      </c>
      <c r="B2930" s="1" t="s">
        <v>203</v>
      </c>
      <c r="C2930" s="1" t="s">
        <v>932</v>
      </c>
      <c r="D2930" s="1" t="s">
        <v>933</v>
      </c>
      <c r="E2930" s="1" t="n">
        <v>20171</v>
      </c>
      <c r="F2930" s="1" t="s">
        <v>208</v>
      </c>
      <c r="G2930" s="1" t="s">
        <v>18</v>
      </c>
      <c r="H2930" s="1" t="n">
        <v>3</v>
      </c>
      <c r="I2930" s="1" t="n">
        <v>0</v>
      </c>
      <c r="J2930" s="1" t="n">
        <v>20201</v>
      </c>
      <c r="L2930" s="1" t="str">
        <f aca="false">IF(D2929&lt;&gt;D2930,D2930,"")</f>
        <v/>
      </c>
      <c r="M2930" s="1" t="str">
        <f aca="false">IF(F2929&lt;&gt;F2930,F2930,"")</f>
        <v/>
      </c>
    </row>
    <row r="2931" customFormat="false" ht="15" hidden="false" customHeight="false" outlineLevel="0" collapsed="false">
      <c r="A2931" s="1" t="s">
        <v>273</v>
      </c>
      <c r="B2931" s="1" t="s">
        <v>274</v>
      </c>
      <c r="C2931" s="1" t="s">
        <v>932</v>
      </c>
      <c r="D2931" s="1" t="s">
        <v>933</v>
      </c>
      <c r="E2931" s="1" t="n">
        <v>20171</v>
      </c>
      <c r="F2931" s="1" t="s">
        <v>208</v>
      </c>
      <c r="G2931" s="1" t="s">
        <v>101</v>
      </c>
      <c r="H2931" s="1" t="n">
        <v>2.5</v>
      </c>
      <c r="I2931" s="1" t="n">
        <v>0</v>
      </c>
      <c r="J2931" s="1" t="n">
        <v>20201</v>
      </c>
      <c r="L2931" s="1" t="str">
        <f aca="false">IF(D2930&lt;&gt;D2931,D2931,"")</f>
        <v/>
      </c>
      <c r="M2931" s="1" t="str">
        <f aca="false">IF(F2930&lt;&gt;F2931,F2931,"")</f>
        <v/>
      </c>
    </row>
    <row r="2932" customFormat="false" ht="15" hidden="false" customHeight="false" outlineLevel="0" collapsed="false">
      <c r="A2932" s="1" t="s">
        <v>693</v>
      </c>
      <c r="B2932" s="1" t="s">
        <v>694</v>
      </c>
      <c r="C2932" s="1" t="s">
        <v>932</v>
      </c>
      <c r="D2932" s="1" t="s">
        <v>933</v>
      </c>
      <c r="E2932" s="1" t="n">
        <v>20171</v>
      </c>
      <c r="F2932" s="1" t="s">
        <v>208</v>
      </c>
      <c r="G2932" s="1" t="s">
        <v>15</v>
      </c>
      <c r="H2932" s="1" t="n">
        <v>3.5</v>
      </c>
      <c r="I2932" s="1" t="n">
        <v>0</v>
      </c>
      <c r="J2932" s="1" t="n">
        <v>20201</v>
      </c>
      <c r="L2932" s="1" t="str">
        <f aca="false">IF(D2931&lt;&gt;D2932,D2932,"")</f>
        <v/>
      </c>
      <c r="M2932" s="1" t="str">
        <f aca="false">IF(F2931&lt;&gt;F2932,F2932,"")</f>
        <v/>
      </c>
    </row>
    <row r="2933" customFormat="false" ht="15" hidden="false" customHeight="false" outlineLevel="0" collapsed="false">
      <c r="A2933" s="1" t="s">
        <v>715</v>
      </c>
      <c r="B2933" s="1" t="s">
        <v>716</v>
      </c>
      <c r="C2933" s="1" t="s">
        <v>932</v>
      </c>
      <c r="D2933" s="1" t="s">
        <v>933</v>
      </c>
      <c r="E2933" s="1" t="n">
        <v>20171</v>
      </c>
      <c r="F2933" s="1" t="s">
        <v>208</v>
      </c>
      <c r="G2933" s="1" t="s">
        <v>101</v>
      </c>
      <c r="H2933" s="1" t="n">
        <v>2.5</v>
      </c>
      <c r="I2933" s="1" t="n">
        <v>0</v>
      </c>
      <c r="J2933" s="1" t="n">
        <v>20201</v>
      </c>
      <c r="L2933" s="1" t="str">
        <f aca="false">IF(D2932&lt;&gt;D2933,D2933,"")</f>
        <v/>
      </c>
      <c r="M2933" s="1" t="str">
        <f aca="false">IF(F2932&lt;&gt;F2933,F2933,"")</f>
        <v/>
      </c>
    </row>
    <row r="2934" customFormat="false" ht="15" hidden="false" customHeight="false" outlineLevel="0" collapsed="false">
      <c r="A2934" s="1" t="s">
        <v>24</v>
      </c>
      <c r="B2934" s="1" t="s">
        <v>25</v>
      </c>
      <c r="C2934" s="1" t="s">
        <v>932</v>
      </c>
      <c r="D2934" s="1" t="s">
        <v>933</v>
      </c>
      <c r="E2934" s="1" t="n">
        <v>20171</v>
      </c>
      <c r="F2934" s="1" t="s">
        <v>208</v>
      </c>
      <c r="G2934" s="1" t="s">
        <v>18</v>
      </c>
      <c r="H2934" s="1" t="n">
        <v>3</v>
      </c>
      <c r="I2934" s="1" t="n">
        <v>0</v>
      </c>
      <c r="J2934" s="1" t="n">
        <v>20201</v>
      </c>
      <c r="L2934" s="1" t="str">
        <f aca="false">IF(D2933&lt;&gt;D2934,D2934,"")</f>
        <v/>
      </c>
      <c r="M2934" s="1" t="str">
        <f aca="false">IF(F2933&lt;&gt;F2934,F2934,"")</f>
        <v/>
      </c>
    </row>
    <row r="2935" customFormat="false" ht="15" hidden="false" customHeight="false" outlineLevel="0" collapsed="false">
      <c r="A2935" s="1" t="s">
        <v>116</v>
      </c>
      <c r="B2935" s="1" t="s">
        <v>117</v>
      </c>
      <c r="C2935" s="1" t="s">
        <v>932</v>
      </c>
      <c r="D2935" s="1" t="s">
        <v>933</v>
      </c>
      <c r="E2935" s="1" t="n">
        <v>20171</v>
      </c>
      <c r="F2935" s="1" t="s">
        <v>208</v>
      </c>
      <c r="G2935" s="1" t="s">
        <v>18</v>
      </c>
      <c r="H2935" s="1" t="n">
        <v>3</v>
      </c>
      <c r="I2935" s="1" t="n">
        <v>0</v>
      </c>
      <c r="J2935" s="1" t="n">
        <v>20201</v>
      </c>
      <c r="L2935" s="1" t="str">
        <f aca="false">IF(D2934&lt;&gt;D2935,D2935,"")</f>
        <v/>
      </c>
      <c r="M2935" s="1" t="str">
        <f aca="false">IF(F2934&lt;&gt;F2935,F2935,"")</f>
        <v/>
      </c>
    </row>
    <row r="2936" customFormat="false" ht="15" hidden="false" customHeight="false" outlineLevel="0" collapsed="false">
      <c r="A2936" s="1" t="s">
        <v>26</v>
      </c>
      <c r="B2936" s="1" t="s">
        <v>27</v>
      </c>
      <c r="C2936" s="1" t="s">
        <v>932</v>
      </c>
      <c r="D2936" s="1" t="s">
        <v>933</v>
      </c>
      <c r="E2936" s="1" t="n">
        <v>20171</v>
      </c>
      <c r="F2936" s="1" t="s">
        <v>208</v>
      </c>
      <c r="G2936" s="1" t="s">
        <v>15</v>
      </c>
      <c r="H2936" s="1" t="n">
        <v>3.5</v>
      </c>
      <c r="I2936" s="1" t="n">
        <v>0</v>
      </c>
      <c r="J2936" s="1" t="n">
        <v>20201</v>
      </c>
      <c r="L2936" s="1" t="str">
        <f aca="false">IF(D2935&lt;&gt;D2936,D2936,"")</f>
        <v/>
      </c>
      <c r="M2936" s="1" t="str">
        <f aca="false">IF(F2935&lt;&gt;F2936,F2936,"")</f>
        <v/>
      </c>
    </row>
    <row r="2937" customFormat="false" ht="15" hidden="false" customHeight="false" outlineLevel="0" collapsed="false">
      <c r="A2937" s="1" t="s">
        <v>122</v>
      </c>
      <c r="B2937" s="1" t="s">
        <v>123</v>
      </c>
      <c r="C2937" s="1" t="s">
        <v>932</v>
      </c>
      <c r="D2937" s="1" t="s">
        <v>933</v>
      </c>
      <c r="E2937" s="1" t="n">
        <v>20171</v>
      </c>
      <c r="F2937" s="1" t="s">
        <v>208</v>
      </c>
      <c r="G2937" s="1" t="s">
        <v>124</v>
      </c>
      <c r="H2937" s="1" t="n">
        <v>0</v>
      </c>
      <c r="I2937" s="1" t="n">
        <v>0</v>
      </c>
      <c r="J2937" s="1" t="n">
        <v>20201</v>
      </c>
      <c r="L2937" s="1" t="str">
        <f aca="false">IF(D2936&lt;&gt;D2937,D2937,"")</f>
        <v/>
      </c>
      <c r="M2937" s="1" t="str">
        <f aca="false">IF(F2936&lt;&gt;F2937,F2937,"")</f>
        <v/>
      </c>
    </row>
    <row r="2938" customFormat="false" ht="15" hidden="false" customHeight="false" outlineLevel="0" collapsed="false">
      <c r="A2938" s="1" t="s">
        <v>125</v>
      </c>
      <c r="B2938" s="1" t="s">
        <v>126</v>
      </c>
      <c r="C2938" s="1" t="s">
        <v>932</v>
      </c>
      <c r="D2938" s="1" t="s">
        <v>933</v>
      </c>
      <c r="E2938" s="1" t="n">
        <v>20171</v>
      </c>
      <c r="F2938" s="1" t="s">
        <v>208</v>
      </c>
      <c r="G2938" s="1" t="s">
        <v>101</v>
      </c>
      <c r="H2938" s="1" t="n">
        <v>2.5</v>
      </c>
      <c r="I2938" s="1" t="n">
        <v>0</v>
      </c>
      <c r="J2938" s="1" t="n">
        <v>20201</v>
      </c>
      <c r="L2938" s="1" t="str">
        <f aca="false">IF(D2937&lt;&gt;D2938,D2938,"")</f>
        <v/>
      </c>
      <c r="M2938" s="1" t="str">
        <f aca="false">IF(F2937&lt;&gt;F2938,F2938,"")</f>
        <v/>
      </c>
    </row>
    <row r="2939" customFormat="false" ht="15" hidden="false" customHeight="false" outlineLevel="0" collapsed="false">
      <c r="A2939" s="1" t="s">
        <v>35</v>
      </c>
      <c r="B2939" s="1" t="s">
        <v>36</v>
      </c>
      <c r="C2939" s="1" t="s">
        <v>932</v>
      </c>
      <c r="D2939" s="1" t="s">
        <v>933</v>
      </c>
      <c r="E2939" s="1" t="n">
        <v>20171</v>
      </c>
      <c r="F2939" s="1" t="s">
        <v>208</v>
      </c>
      <c r="G2939" s="1" t="s">
        <v>18</v>
      </c>
      <c r="H2939" s="1" t="n">
        <v>3</v>
      </c>
      <c r="I2939" s="1" t="n">
        <v>0</v>
      </c>
      <c r="J2939" s="1" t="n">
        <v>20201</v>
      </c>
      <c r="L2939" s="1" t="str">
        <f aca="false">IF(D2938&lt;&gt;D2939,D2939,"")</f>
        <v/>
      </c>
      <c r="M2939" s="1" t="str">
        <f aca="false">IF(F2938&lt;&gt;F2939,F2939,"")</f>
        <v/>
      </c>
    </row>
    <row r="2940" customFormat="false" ht="15" hidden="false" customHeight="false" outlineLevel="0" collapsed="false">
      <c r="A2940" s="1" t="s">
        <v>132</v>
      </c>
      <c r="B2940" s="1" t="s">
        <v>133</v>
      </c>
      <c r="C2940" s="1" t="s">
        <v>932</v>
      </c>
      <c r="D2940" s="1" t="s">
        <v>933</v>
      </c>
      <c r="E2940" s="1" t="n">
        <v>20171</v>
      </c>
      <c r="F2940" s="1" t="s">
        <v>208</v>
      </c>
      <c r="G2940" s="1" t="s">
        <v>15</v>
      </c>
      <c r="H2940" s="1" t="n">
        <v>3.5</v>
      </c>
      <c r="I2940" s="1" t="n">
        <v>0</v>
      </c>
      <c r="J2940" s="1" t="n">
        <v>20201</v>
      </c>
      <c r="L2940" s="1" t="str">
        <f aca="false">IF(D2939&lt;&gt;D2940,D2940,"")</f>
        <v/>
      </c>
      <c r="M2940" s="1" t="str">
        <f aca="false">IF(F2939&lt;&gt;F2940,F2940,"")</f>
        <v/>
      </c>
    </row>
    <row r="2941" customFormat="false" ht="15" hidden="false" customHeight="false" outlineLevel="0" collapsed="false">
      <c r="A2941" s="1" t="s">
        <v>41</v>
      </c>
      <c r="B2941" s="1" t="s">
        <v>42</v>
      </c>
      <c r="C2941" s="1" t="s">
        <v>932</v>
      </c>
      <c r="D2941" s="1" t="s">
        <v>933</v>
      </c>
      <c r="E2941" s="1" t="n">
        <v>20171</v>
      </c>
      <c r="F2941" s="1" t="s">
        <v>208</v>
      </c>
      <c r="G2941" s="1" t="s">
        <v>15</v>
      </c>
      <c r="H2941" s="1" t="n">
        <v>3.5</v>
      </c>
      <c r="I2941" s="1" t="n">
        <v>0</v>
      </c>
      <c r="J2941" s="1" t="n">
        <v>20201</v>
      </c>
      <c r="L2941" s="1" t="str">
        <f aca="false">IF(D2940&lt;&gt;D2941,D2941,"")</f>
        <v/>
      </c>
      <c r="M2941" s="1" t="str">
        <f aca="false">IF(F2940&lt;&gt;F2941,F2941,"")</f>
        <v/>
      </c>
    </row>
    <row r="2942" customFormat="false" ht="15" hidden="false" customHeight="false" outlineLevel="0" collapsed="false">
      <c r="A2942" s="1" t="s">
        <v>134</v>
      </c>
      <c r="B2942" s="1" t="s">
        <v>135</v>
      </c>
      <c r="C2942" s="1" t="s">
        <v>932</v>
      </c>
      <c r="D2942" s="1" t="s">
        <v>933</v>
      </c>
      <c r="E2942" s="1" t="n">
        <v>20171</v>
      </c>
      <c r="F2942" s="1" t="s">
        <v>208</v>
      </c>
      <c r="G2942" s="1" t="s">
        <v>15</v>
      </c>
      <c r="H2942" s="1" t="n">
        <v>3.5</v>
      </c>
      <c r="I2942" s="1" t="n">
        <v>0</v>
      </c>
      <c r="J2942" s="1" t="n">
        <v>20201</v>
      </c>
      <c r="L2942" s="1" t="str">
        <f aca="false">IF(D2941&lt;&gt;D2942,D2942,"")</f>
        <v/>
      </c>
      <c r="M2942" s="1" t="str">
        <f aca="false">IF(F2941&lt;&gt;F2942,F2942,"")</f>
        <v/>
      </c>
    </row>
    <row r="2943" customFormat="false" ht="15" hidden="false" customHeight="false" outlineLevel="0" collapsed="false">
      <c r="A2943" s="1" t="s">
        <v>43</v>
      </c>
      <c r="B2943" s="1" t="s">
        <v>44</v>
      </c>
      <c r="C2943" s="1" t="s">
        <v>932</v>
      </c>
      <c r="D2943" s="1" t="s">
        <v>933</v>
      </c>
      <c r="E2943" s="1" t="n">
        <v>20171</v>
      </c>
      <c r="F2943" s="1" t="s">
        <v>208</v>
      </c>
      <c r="G2943" s="1" t="s">
        <v>15</v>
      </c>
      <c r="H2943" s="1" t="n">
        <v>3.5</v>
      </c>
      <c r="I2943" s="1" t="n">
        <v>0</v>
      </c>
      <c r="J2943" s="1" t="n">
        <v>20201</v>
      </c>
      <c r="L2943" s="1" t="str">
        <f aca="false">IF(D2942&lt;&gt;D2943,D2943,"")</f>
        <v/>
      </c>
      <c r="M2943" s="1" t="str">
        <f aca="false">IF(F2942&lt;&gt;F2943,F2943,"")</f>
        <v/>
      </c>
    </row>
    <row r="2944" customFormat="false" ht="15" hidden="false" customHeight="false" outlineLevel="0" collapsed="false">
      <c r="A2944" s="1" t="s">
        <v>142</v>
      </c>
      <c r="B2944" s="1" t="s">
        <v>143</v>
      </c>
      <c r="C2944" s="1" t="s">
        <v>932</v>
      </c>
      <c r="D2944" s="1" t="s">
        <v>933</v>
      </c>
      <c r="E2944" s="1" t="n">
        <v>20171</v>
      </c>
      <c r="F2944" s="1" t="s">
        <v>208</v>
      </c>
      <c r="G2944" s="1" t="s">
        <v>18</v>
      </c>
      <c r="H2944" s="1" t="n">
        <v>3</v>
      </c>
      <c r="I2944" s="1" t="n">
        <v>0</v>
      </c>
      <c r="J2944" s="1" t="n">
        <v>20201</v>
      </c>
      <c r="L2944" s="1" t="str">
        <f aca="false">IF(D2943&lt;&gt;D2944,D2944,"")</f>
        <v/>
      </c>
      <c r="M2944" s="1" t="str">
        <f aca="false">IF(F2943&lt;&gt;F2944,F2944,"")</f>
        <v/>
      </c>
    </row>
    <row r="2945" customFormat="false" ht="15" hidden="false" customHeight="false" outlineLevel="0" collapsed="false">
      <c r="A2945" s="1" t="s">
        <v>49</v>
      </c>
      <c r="B2945" s="1" t="s">
        <v>50</v>
      </c>
      <c r="C2945" s="1" t="s">
        <v>932</v>
      </c>
      <c r="D2945" s="1" t="s">
        <v>933</v>
      </c>
      <c r="E2945" s="1" t="n">
        <v>20171</v>
      </c>
      <c r="F2945" s="1" t="s">
        <v>208</v>
      </c>
      <c r="G2945" s="1" t="s">
        <v>18</v>
      </c>
      <c r="H2945" s="1" t="n">
        <v>3</v>
      </c>
      <c r="I2945" s="1" t="n">
        <v>0</v>
      </c>
      <c r="J2945" s="1" t="n">
        <v>20201</v>
      </c>
      <c r="L2945" s="1" t="str">
        <f aca="false">IF(D2944&lt;&gt;D2945,D2945,"")</f>
        <v/>
      </c>
      <c r="M2945" s="1" t="str">
        <f aca="false">IF(F2944&lt;&gt;F2945,F2945,"")</f>
        <v/>
      </c>
    </row>
    <row r="2946" customFormat="false" ht="15" hidden="false" customHeight="false" outlineLevel="0" collapsed="false">
      <c r="A2946" s="1" t="s">
        <v>148</v>
      </c>
      <c r="B2946" s="1" t="s">
        <v>149</v>
      </c>
      <c r="C2946" s="1" t="s">
        <v>932</v>
      </c>
      <c r="D2946" s="1" t="s">
        <v>933</v>
      </c>
      <c r="E2946" s="1" t="n">
        <v>20171</v>
      </c>
      <c r="F2946" s="1" t="s">
        <v>208</v>
      </c>
      <c r="G2946" s="1" t="s">
        <v>15</v>
      </c>
      <c r="H2946" s="1" t="n">
        <v>3.5</v>
      </c>
      <c r="I2946" s="1" t="n">
        <v>0</v>
      </c>
      <c r="J2946" s="1" t="n">
        <v>20201</v>
      </c>
      <c r="L2946" s="1" t="str">
        <f aca="false">IF(D2945&lt;&gt;D2946,D2946,"")</f>
        <v/>
      </c>
      <c r="M2946" s="1" t="str">
        <f aca="false">IF(F2945&lt;&gt;F2946,F2946,"")</f>
        <v/>
      </c>
    </row>
    <row r="2947" customFormat="false" ht="15" hidden="false" customHeight="false" outlineLevel="0" collapsed="false">
      <c r="A2947" s="1" t="s">
        <v>57</v>
      </c>
      <c r="B2947" s="1" t="s">
        <v>58</v>
      </c>
      <c r="C2947" s="1" t="s">
        <v>932</v>
      </c>
      <c r="D2947" s="1" t="s">
        <v>933</v>
      </c>
      <c r="E2947" s="1" t="n">
        <v>20171</v>
      </c>
      <c r="F2947" s="1" t="s">
        <v>208</v>
      </c>
      <c r="G2947" s="1" t="s">
        <v>14</v>
      </c>
      <c r="H2947" s="1" t="n">
        <v>4</v>
      </c>
      <c r="I2947" s="1" t="n">
        <v>0</v>
      </c>
      <c r="J2947" s="1" t="n">
        <v>20201</v>
      </c>
      <c r="L2947" s="1" t="str">
        <f aca="false">IF(D2946&lt;&gt;D2947,D2947,"")</f>
        <v/>
      </c>
      <c r="M2947" s="1" t="str">
        <f aca="false">IF(F2946&lt;&gt;F2947,F2947,"")</f>
        <v/>
      </c>
    </row>
    <row r="2948" customFormat="false" ht="15" hidden="false" customHeight="false" outlineLevel="0" collapsed="false">
      <c r="A2948" s="1" t="s">
        <v>150</v>
      </c>
      <c r="B2948" s="1" t="s">
        <v>151</v>
      </c>
      <c r="C2948" s="1" t="s">
        <v>932</v>
      </c>
      <c r="D2948" s="1" t="s">
        <v>933</v>
      </c>
      <c r="E2948" s="1" t="n">
        <v>20171</v>
      </c>
      <c r="F2948" s="1" t="s">
        <v>208</v>
      </c>
      <c r="G2948" s="1" t="s">
        <v>15</v>
      </c>
      <c r="H2948" s="1" t="n">
        <v>3.5</v>
      </c>
      <c r="I2948" s="1" t="n">
        <v>0</v>
      </c>
      <c r="J2948" s="1" t="n">
        <v>20201</v>
      </c>
      <c r="L2948" s="1" t="str">
        <f aca="false">IF(D2947&lt;&gt;D2948,D2948,"")</f>
        <v/>
      </c>
      <c r="M2948" s="1" t="str">
        <f aca="false">IF(F2947&lt;&gt;F2948,F2948,"")</f>
        <v/>
      </c>
    </row>
    <row r="2949" customFormat="false" ht="15" hidden="false" customHeight="false" outlineLevel="0" collapsed="false">
      <c r="A2949" s="1" t="s">
        <v>156</v>
      </c>
      <c r="B2949" s="1" t="s">
        <v>157</v>
      </c>
      <c r="C2949" s="1" t="s">
        <v>932</v>
      </c>
      <c r="D2949" s="1" t="s">
        <v>933</v>
      </c>
      <c r="E2949" s="1" t="n">
        <v>20171</v>
      </c>
      <c r="F2949" s="1" t="s">
        <v>208</v>
      </c>
      <c r="G2949" s="1" t="s">
        <v>18</v>
      </c>
      <c r="H2949" s="1" t="n">
        <v>3</v>
      </c>
      <c r="I2949" s="1" t="n">
        <v>0</v>
      </c>
      <c r="J2949" s="1" t="n">
        <v>20201</v>
      </c>
      <c r="L2949" s="1" t="str">
        <f aca="false">IF(D2948&lt;&gt;D2949,D2949,"")</f>
        <v/>
      </c>
      <c r="M2949" s="1" t="str">
        <f aca="false">IF(F2948&lt;&gt;F2949,F2949,"")</f>
        <v/>
      </c>
    </row>
    <row r="2950" customFormat="false" ht="15" hidden="false" customHeight="false" outlineLevel="0" collapsed="false">
      <c r="A2950" s="1" t="s">
        <v>65</v>
      </c>
      <c r="B2950" s="1" t="s">
        <v>66</v>
      </c>
      <c r="C2950" s="1" t="s">
        <v>932</v>
      </c>
      <c r="D2950" s="1" t="s">
        <v>933</v>
      </c>
      <c r="E2950" s="1" t="n">
        <v>20171</v>
      </c>
      <c r="F2950" s="1" t="s">
        <v>208</v>
      </c>
      <c r="G2950" s="1" t="s">
        <v>18</v>
      </c>
      <c r="H2950" s="1" t="n">
        <v>3</v>
      </c>
      <c r="I2950" s="1" t="n">
        <v>0</v>
      </c>
      <c r="J2950" s="1" t="n">
        <v>20201</v>
      </c>
      <c r="L2950" s="1" t="str">
        <f aca="false">IF(D2949&lt;&gt;D2950,D2950,"")</f>
        <v/>
      </c>
      <c r="M2950" s="1" t="str">
        <f aca="false">IF(F2949&lt;&gt;F2950,F2950,"")</f>
        <v/>
      </c>
    </row>
    <row r="2951" customFormat="false" ht="15" hidden="false" customHeight="false" outlineLevel="0" collapsed="false">
      <c r="A2951" s="1" t="s">
        <v>158</v>
      </c>
      <c r="B2951" s="1" t="s">
        <v>159</v>
      </c>
      <c r="C2951" s="1" t="s">
        <v>932</v>
      </c>
      <c r="D2951" s="1" t="s">
        <v>933</v>
      </c>
      <c r="E2951" s="1" t="n">
        <v>20171</v>
      </c>
      <c r="F2951" s="1" t="s">
        <v>208</v>
      </c>
      <c r="G2951" s="1" t="s">
        <v>18</v>
      </c>
      <c r="H2951" s="1" t="n">
        <v>3</v>
      </c>
      <c r="I2951" s="1" t="n">
        <v>0</v>
      </c>
      <c r="J2951" s="1" t="n">
        <v>20201</v>
      </c>
      <c r="L2951" s="1" t="str">
        <f aca="false">IF(D2950&lt;&gt;D2951,D2951,"")</f>
        <v/>
      </c>
      <c r="M2951" s="1" t="str">
        <f aca="false">IF(F2950&lt;&gt;F2951,F2951,"")</f>
        <v/>
      </c>
    </row>
    <row r="2952" customFormat="false" ht="15" hidden="false" customHeight="false" outlineLevel="0" collapsed="false">
      <c r="A2952" s="1" t="s">
        <v>160</v>
      </c>
      <c r="B2952" s="1" t="s">
        <v>161</v>
      </c>
      <c r="C2952" s="1" t="s">
        <v>932</v>
      </c>
      <c r="D2952" s="1" t="s">
        <v>933</v>
      </c>
      <c r="E2952" s="1" t="n">
        <v>20171</v>
      </c>
      <c r="F2952" s="1" t="s">
        <v>208</v>
      </c>
      <c r="G2952" s="1" t="s">
        <v>15</v>
      </c>
      <c r="H2952" s="1" t="n">
        <v>3.5</v>
      </c>
      <c r="I2952" s="1" t="n">
        <v>0</v>
      </c>
      <c r="J2952" s="1" t="n">
        <v>20201</v>
      </c>
      <c r="L2952" s="1" t="str">
        <f aca="false">IF(D2951&lt;&gt;D2952,D2952,"")</f>
        <v/>
      </c>
      <c r="M2952" s="1" t="str">
        <f aca="false">IF(F2951&lt;&gt;F2952,F2952,"")</f>
        <v/>
      </c>
    </row>
    <row r="2953" customFormat="false" ht="15" hidden="false" customHeight="false" outlineLevel="0" collapsed="false">
      <c r="A2953" s="1" t="s">
        <v>162</v>
      </c>
      <c r="B2953" s="1" t="s">
        <v>163</v>
      </c>
      <c r="C2953" s="1" t="s">
        <v>932</v>
      </c>
      <c r="D2953" s="1" t="s">
        <v>933</v>
      </c>
      <c r="E2953" s="1" t="n">
        <v>20171</v>
      </c>
      <c r="F2953" s="1" t="s">
        <v>208</v>
      </c>
      <c r="G2953" s="1" t="s">
        <v>15</v>
      </c>
      <c r="H2953" s="1" t="n">
        <v>3.5</v>
      </c>
      <c r="I2953" s="1" t="n">
        <v>0</v>
      </c>
      <c r="J2953" s="1" t="n">
        <v>20201</v>
      </c>
      <c r="L2953" s="1" t="str">
        <f aca="false">IF(D2952&lt;&gt;D2953,D2953,"")</f>
        <v/>
      </c>
      <c r="M2953" s="1" t="str">
        <f aca="false">IF(F2952&lt;&gt;F2953,F2953,"")</f>
        <v/>
      </c>
    </row>
    <row r="2954" customFormat="false" ht="15" hidden="false" customHeight="false" outlineLevel="0" collapsed="false">
      <c r="A2954" s="1" t="s">
        <v>73</v>
      </c>
      <c r="B2954" s="1" t="s">
        <v>74</v>
      </c>
      <c r="C2954" s="1" t="s">
        <v>932</v>
      </c>
      <c r="D2954" s="1" t="s">
        <v>933</v>
      </c>
      <c r="E2954" s="1" t="n">
        <v>20171</v>
      </c>
      <c r="F2954" s="1" t="s">
        <v>208</v>
      </c>
      <c r="G2954" s="1" t="s">
        <v>18</v>
      </c>
      <c r="H2954" s="1" t="n">
        <v>3</v>
      </c>
      <c r="I2954" s="1" t="n">
        <v>0</v>
      </c>
      <c r="J2954" s="1" t="n">
        <v>20201</v>
      </c>
      <c r="L2954" s="1" t="str">
        <f aca="false">IF(D2953&lt;&gt;D2954,D2954,"")</f>
        <v/>
      </c>
      <c r="M2954" s="1" t="str">
        <f aca="false">IF(F2953&lt;&gt;F2954,F2954,"")</f>
        <v/>
      </c>
    </row>
    <row r="2955" customFormat="false" ht="15" hidden="false" customHeight="false" outlineLevel="0" collapsed="false">
      <c r="A2955" s="1" t="s">
        <v>170</v>
      </c>
      <c r="B2955" s="1" t="s">
        <v>171</v>
      </c>
      <c r="C2955" s="1" t="s">
        <v>932</v>
      </c>
      <c r="D2955" s="1" t="s">
        <v>933</v>
      </c>
      <c r="E2955" s="1" t="n">
        <v>20171</v>
      </c>
      <c r="F2955" s="1" t="s">
        <v>208</v>
      </c>
      <c r="G2955" s="1" t="s">
        <v>101</v>
      </c>
      <c r="H2955" s="1" t="n">
        <v>2.5</v>
      </c>
      <c r="I2955" s="1" t="n">
        <v>0</v>
      </c>
      <c r="J2955" s="1" t="n">
        <v>20201</v>
      </c>
      <c r="L2955" s="1" t="str">
        <f aca="false">IF(D2954&lt;&gt;D2955,D2955,"")</f>
        <v/>
      </c>
      <c r="M2955" s="1" t="str">
        <f aca="false">IF(F2954&lt;&gt;F2955,F2955,"")</f>
        <v/>
      </c>
    </row>
    <row r="2956" customFormat="false" ht="15" hidden="false" customHeight="false" outlineLevel="0" collapsed="false">
      <c r="A2956" s="1" t="s">
        <v>172</v>
      </c>
      <c r="B2956" s="1" t="s">
        <v>173</v>
      </c>
      <c r="C2956" s="1" t="s">
        <v>932</v>
      </c>
      <c r="D2956" s="1" t="s">
        <v>933</v>
      </c>
      <c r="E2956" s="1" t="n">
        <v>20171</v>
      </c>
      <c r="F2956" s="1" t="s">
        <v>208</v>
      </c>
      <c r="G2956" s="1" t="s">
        <v>18</v>
      </c>
      <c r="H2956" s="1" t="n">
        <v>3</v>
      </c>
      <c r="I2956" s="1" t="n">
        <v>0</v>
      </c>
      <c r="J2956" s="1" t="n">
        <v>20201</v>
      </c>
      <c r="L2956" s="1" t="str">
        <f aca="false">IF(D2955&lt;&gt;D2956,D2956,"")</f>
        <v/>
      </c>
      <c r="M2956" s="1" t="str">
        <f aca="false">IF(F2955&lt;&gt;F2956,F2956,"")</f>
        <v/>
      </c>
    </row>
    <row r="2957" customFormat="false" ht="15" hidden="false" customHeight="false" outlineLevel="0" collapsed="false">
      <c r="A2957" s="1" t="s">
        <v>178</v>
      </c>
      <c r="B2957" s="1" t="s">
        <v>179</v>
      </c>
      <c r="C2957" s="1" t="s">
        <v>932</v>
      </c>
      <c r="D2957" s="1" t="s">
        <v>933</v>
      </c>
      <c r="E2957" s="1" t="n">
        <v>20171</v>
      </c>
      <c r="F2957" s="1" t="s">
        <v>208</v>
      </c>
      <c r="G2957" s="1" t="s">
        <v>14</v>
      </c>
      <c r="H2957" s="1" t="n">
        <v>4</v>
      </c>
      <c r="I2957" s="1" t="n">
        <v>0</v>
      </c>
      <c r="J2957" s="1" t="n">
        <v>20201</v>
      </c>
      <c r="L2957" s="1" t="str">
        <f aca="false">IF(D2956&lt;&gt;D2957,D2957,"")</f>
        <v/>
      </c>
      <c r="M2957" s="1" t="str">
        <f aca="false">IF(F2956&lt;&gt;F2957,F2957,"")</f>
        <v/>
      </c>
    </row>
    <row r="2958" customFormat="false" ht="15" hidden="false" customHeight="false" outlineLevel="0" collapsed="false">
      <c r="A2958" s="1" t="s">
        <v>180</v>
      </c>
      <c r="B2958" s="1" t="s">
        <v>181</v>
      </c>
      <c r="C2958" s="1" t="s">
        <v>932</v>
      </c>
      <c r="D2958" s="1" t="s">
        <v>933</v>
      </c>
      <c r="E2958" s="1" t="n">
        <v>20171</v>
      </c>
      <c r="F2958" s="1" t="s">
        <v>208</v>
      </c>
      <c r="G2958" s="1" t="s">
        <v>124</v>
      </c>
      <c r="H2958" s="1" t="n">
        <v>0</v>
      </c>
      <c r="I2958" s="1" t="n">
        <v>0</v>
      </c>
      <c r="J2958" s="1" t="n">
        <v>20201</v>
      </c>
      <c r="L2958" s="1" t="str">
        <f aca="false">IF(D2957&lt;&gt;D2958,D2958,"")</f>
        <v/>
      </c>
      <c r="M2958" s="1" t="str">
        <f aca="false">IF(F2957&lt;&gt;F2958,F2958,"")</f>
        <v/>
      </c>
    </row>
    <row r="2959" customFormat="false" ht="15" hidden="false" customHeight="false" outlineLevel="0" collapsed="false">
      <c r="A2959" s="1" t="s">
        <v>85</v>
      </c>
      <c r="B2959" s="1" t="s">
        <v>86</v>
      </c>
      <c r="C2959" s="1" t="s">
        <v>932</v>
      </c>
      <c r="D2959" s="1" t="s">
        <v>933</v>
      </c>
      <c r="E2959" s="1" t="n">
        <v>20171</v>
      </c>
      <c r="F2959" s="1" t="s">
        <v>208</v>
      </c>
      <c r="G2959" s="1" t="s">
        <v>15</v>
      </c>
      <c r="H2959" s="1" t="n">
        <v>3.5</v>
      </c>
      <c r="I2959" s="1" t="n">
        <v>0</v>
      </c>
      <c r="J2959" s="1" t="n">
        <v>20201</v>
      </c>
      <c r="L2959" s="1" t="str">
        <f aca="false">IF(D2958&lt;&gt;D2959,D2959,"")</f>
        <v/>
      </c>
      <c r="M2959" s="1" t="str">
        <f aca="false">IF(F2958&lt;&gt;F2959,F2959,"")</f>
        <v/>
      </c>
    </row>
    <row r="2960" customFormat="false" ht="15" hidden="false" customHeight="false" outlineLevel="0" collapsed="false">
      <c r="A2960" s="1" t="s">
        <v>186</v>
      </c>
      <c r="B2960" s="1" t="s">
        <v>187</v>
      </c>
      <c r="C2960" s="1" t="s">
        <v>932</v>
      </c>
      <c r="D2960" s="1" t="s">
        <v>933</v>
      </c>
      <c r="E2960" s="1" t="n">
        <v>20171</v>
      </c>
      <c r="F2960" s="1" t="s">
        <v>208</v>
      </c>
      <c r="G2960" s="1" t="s">
        <v>18</v>
      </c>
      <c r="H2960" s="1" t="n">
        <v>3</v>
      </c>
      <c r="I2960" s="1" t="n">
        <v>0</v>
      </c>
      <c r="J2960" s="1" t="n">
        <v>20201</v>
      </c>
      <c r="L2960" s="1" t="str">
        <f aca="false">IF(D2959&lt;&gt;D2960,D2960,"")</f>
        <v/>
      </c>
      <c r="M2960" s="1" t="str">
        <f aca="false">IF(F2959&lt;&gt;F2960,F2960,"")</f>
        <v/>
      </c>
    </row>
    <row r="2961" customFormat="false" ht="15" hidden="false" customHeight="false" outlineLevel="0" collapsed="false">
      <c r="A2961" s="1" t="s">
        <v>93</v>
      </c>
      <c r="B2961" s="1" t="s">
        <v>94</v>
      </c>
      <c r="C2961" s="1" t="s">
        <v>932</v>
      </c>
      <c r="D2961" s="1" t="s">
        <v>933</v>
      </c>
      <c r="E2961" s="1" t="n">
        <v>20171</v>
      </c>
      <c r="F2961" s="1" t="s">
        <v>208</v>
      </c>
      <c r="G2961" s="1" t="s">
        <v>15</v>
      </c>
      <c r="H2961" s="1" t="n">
        <v>3.5</v>
      </c>
      <c r="I2961" s="1" t="n">
        <v>0</v>
      </c>
      <c r="J2961" s="1" t="n">
        <v>20201</v>
      </c>
      <c r="L2961" s="1" t="str">
        <f aca="false">IF(D2960&lt;&gt;D2961,D2961,"")</f>
        <v/>
      </c>
      <c r="M2961" s="1" t="str">
        <f aca="false">IF(F2960&lt;&gt;F2961,F2961,"")</f>
        <v/>
      </c>
    </row>
    <row r="2962" customFormat="false" ht="15" hidden="false" customHeight="false" outlineLevel="0" collapsed="false">
      <c r="A2962" s="1" t="s">
        <v>188</v>
      </c>
      <c r="B2962" s="1" t="s">
        <v>189</v>
      </c>
      <c r="C2962" s="1" t="s">
        <v>932</v>
      </c>
      <c r="D2962" s="1" t="s">
        <v>933</v>
      </c>
      <c r="E2962" s="1" t="n">
        <v>20171</v>
      </c>
      <c r="F2962" s="1" t="s">
        <v>208</v>
      </c>
      <c r="G2962" s="1" t="s">
        <v>15</v>
      </c>
      <c r="H2962" s="1" t="n">
        <v>3.5</v>
      </c>
      <c r="I2962" s="1" t="n">
        <v>0</v>
      </c>
      <c r="J2962" s="1" t="n">
        <v>20201</v>
      </c>
      <c r="L2962" s="1" t="str">
        <f aca="false">IF(D2961&lt;&gt;D2962,D2962,"")</f>
        <v/>
      </c>
      <c r="M2962" s="1" t="str">
        <f aca="false">IF(F2961&lt;&gt;F2962,F2962,"")</f>
        <v/>
      </c>
    </row>
    <row r="2963" customFormat="false" ht="15" hidden="false" customHeight="false" outlineLevel="0" collapsed="false">
      <c r="A2963" s="1" t="s">
        <v>95</v>
      </c>
      <c r="B2963" s="1" t="s">
        <v>96</v>
      </c>
      <c r="C2963" s="1" t="s">
        <v>932</v>
      </c>
      <c r="D2963" s="1" t="s">
        <v>933</v>
      </c>
      <c r="E2963" s="1" t="n">
        <v>20171</v>
      </c>
      <c r="F2963" s="1" t="s">
        <v>208</v>
      </c>
      <c r="G2963" s="1" t="s">
        <v>14</v>
      </c>
      <c r="H2963" s="1" t="n">
        <v>4</v>
      </c>
      <c r="I2963" s="1" t="n">
        <v>0</v>
      </c>
      <c r="J2963" s="1" t="n">
        <v>20201</v>
      </c>
      <c r="L2963" s="1" t="str">
        <f aca="false">IF(D2962&lt;&gt;D2963,D2963,"")</f>
        <v/>
      </c>
      <c r="M2963" s="1" t="str">
        <f aca="false">IF(F2962&lt;&gt;F2963,F2963,"")</f>
        <v/>
      </c>
    </row>
    <row r="2964" customFormat="false" ht="15" hidden="false" customHeight="false" outlineLevel="0" collapsed="false">
      <c r="A2964" s="1" t="s">
        <v>104</v>
      </c>
      <c r="B2964" s="1" t="s">
        <v>105</v>
      </c>
      <c r="C2964" s="1" t="s">
        <v>932</v>
      </c>
      <c r="D2964" s="1" t="s">
        <v>933</v>
      </c>
      <c r="E2964" s="1" t="n">
        <v>20171</v>
      </c>
      <c r="F2964" s="1" t="s">
        <v>208</v>
      </c>
      <c r="G2964" s="1" t="s">
        <v>101</v>
      </c>
      <c r="H2964" s="1" t="n">
        <v>2.5</v>
      </c>
      <c r="I2964" s="1" t="n">
        <v>0</v>
      </c>
      <c r="J2964" s="1" t="n">
        <v>20201</v>
      </c>
      <c r="L2964" s="1" t="str">
        <f aca="false">IF(D2963&lt;&gt;D2964,D2964,"")</f>
        <v/>
      </c>
      <c r="M2964" s="1" t="str">
        <f aca="false">IF(F2963&lt;&gt;F2964,F2964,"")</f>
        <v/>
      </c>
    </row>
    <row r="2965" customFormat="false" ht="15" hidden="false" customHeight="false" outlineLevel="0" collapsed="false">
      <c r="A2965" s="1" t="s">
        <v>106</v>
      </c>
      <c r="B2965" s="1" t="s">
        <v>107</v>
      </c>
      <c r="C2965" s="1" t="s">
        <v>932</v>
      </c>
      <c r="D2965" s="1" t="s">
        <v>933</v>
      </c>
      <c r="E2965" s="1" t="n">
        <v>20171</v>
      </c>
      <c r="F2965" s="1" t="s">
        <v>208</v>
      </c>
      <c r="G2965" s="1" t="s">
        <v>15</v>
      </c>
      <c r="H2965" s="1" t="n">
        <v>3.5</v>
      </c>
      <c r="I2965" s="1" t="n">
        <v>0</v>
      </c>
      <c r="J2965" s="1" t="n">
        <v>20201</v>
      </c>
      <c r="L2965" s="1" t="str">
        <f aca="false">IF(D2964&lt;&gt;D2965,D2965,"")</f>
        <v/>
      </c>
      <c r="M2965" s="1" t="str">
        <f aca="false">IF(F2964&lt;&gt;F2965,F2965,"")</f>
        <v/>
      </c>
    </row>
    <row r="2966" customFormat="false" ht="15" hidden="false" customHeight="false" outlineLevel="0" collapsed="false">
      <c r="A2966" s="1" t="s">
        <v>832</v>
      </c>
      <c r="B2966" s="1" t="s">
        <v>833</v>
      </c>
      <c r="C2966" s="1" t="s">
        <v>932</v>
      </c>
      <c r="D2966" s="1" t="s">
        <v>933</v>
      </c>
      <c r="E2966" s="1" t="n">
        <v>20171</v>
      </c>
      <c r="F2966" s="1" t="s">
        <v>208</v>
      </c>
      <c r="G2966" s="1" t="s">
        <v>18</v>
      </c>
      <c r="H2966" s="1" t="n">
        <v>3</v>
      </c>
      <c r="I2966" s="1" t="n">
        <v>0</v>
      </c>
      <c r="J2966" s="1" t="n">
        <v>20201</v>
      </c>
      <c r="L2966" s="1" t="str">
        <f aca="false">IF(D2965&lt;&gt;D2966,D2966,"")</f>
        <v/>
      </c>
      <c r="M2966" s="1" t="str">
        <f aca="false">IF(F2965&lt;&gt;F2966,F2966,"")</f>
        <v/>
      </c>
    </row>
    <row r="2967" customFormat="false" ht="15" hidden="false" customHeight="false" outlineLevel="0" collapsed="false">
      <c r="A2967" s="1" t="s">
        <v>866</v>
      </c>
      <c r="B2967" s="1" t="s">
        <v>867</v>
      </c>
      <c r="C2967" s="1" t="s">
        <v>932</v>
      </c>
      <c r="D2967" s="1" t="s">
        <v>933</v>
      </c>
      <c r="E2967" s="1" t="n">
        <v>20171</v>
      </c>
      <c r="F2967" s="1" t="s">
        <v>208</v>
      </c>
      <c r="G2967" s="1" t="s">
        <v>18</v>
      </c>
      <c r="H2967" s="1" t="n">
        <v>3</v>
      </c>
      <c r="I2967" s="1" t="n">
        <v>0</v>
      </c>
      <c r="J2967" s="1" t="n">
        <v>20201</v>
      </c>
      <c r="L2967" s="1" t="str">
        <f aca="false">IF(D2966&lt;&gt;D2967,D2967,"")</f>
        <v/>
      </c>
      <c r="M2967" s="1" t="str">
        <f aca="false">IF(F2966&lt;&gt;F2967,F2967,"")</f>
        <v/>
      </c>
    </row>
    <row r="2968" customFormat="false" ht="15" hidden="false" customHeight="false" outlineLevel="0" collapsed="false">
      <c r="A2968" s="1" t="s">
        <v>846</v>
      </c>
      <c r="B2968" s="1" t="s">
        <v>847</v>
      </c>
      <c r="C2968" s="1" t="s">
        <v>932</v>
      </c>
      <c r="D2968" s="1" t="s">
        <v>933</v>
      </c>
      <c r="E2968" s="1" t="n">
        <v>20171</v>
      </c>
      <c r="F2968" s="1" t="s">
        <v>208</v>
      </c>
      <c r="G2968" s="1" t="s">
        <v>15</v>
      </c>
      <c r="H2968" s="1" t="n">
        <v>3.5</v>
      </c>
      <c r="I2968" s="1" t="n">
        <v>0</v>
      </c>
      <c r="J2968" s="1" t="n">
        <v>20201</v>
      </c>
      <c r="L2968" s="1" t="str">
        <f aca="false">IF(D2967&lt;&gt;D2968,D2968,"")</f>
        <v/>
      </c>
      <c r="M2968" s="1" t="str">
        <f aca="false">IF(F2967&lt;&gt;F2968,F2968,"")</f>
        <v/>
      </c>
    </row>
    <row r="2969" customFormat="false" ht="15" hidden="false" customHeight="false" outlineLevel="0" collapsed="false">
      <c r="A2969" s="1" t="s">
        <v>655</v>
      </c>
      <c r="B2969" s="1" t="s">
        <v>656</v>
      </c>
      <c r="C2969" s="1" t="s">
        <v>932</v>
      </c>
      <c r="D2969" s="1" t="s">
        <v>933</v>
      </c>
      <c r="E2969" s="1" t="n">
        <v>20171</v>
      </c>
      <c r="F2969" s="1" t="s">
        <v>208</v>
      </c>
      <c r="G2969" s="1" t="s">
        <v>101</v>
      </c>
      <c r="H2969" s="1" t="n">
        <v>2.5</v>
      </c>
      <c r="I2969" s="1" t="n">
        <v>0</v>
      </c>
      <c r="J2969" s="1" t="n">
        <v>20201</v>
      </c>
      <c r="L2969" s="1" t="str">
        <f aca="false">IF(D2968&lt;&gt;D2969,D2969,"")</f>
        <v/>
      </c>
      <c r="M2969" s="1" t="str">
        <f aca="false">IF(F2968&lt;&gt;F2969,F2969,"")</f>
        <v/>
      </c>
    </row>
    <row r="2970" customFormat="false" ht="15" hidden="false" customHeight="false" outlineLevel="0" collapsed="false">
      <c r="A2970" s="1" t="s">
        <v>577</v>
      </c>
      <c r="B2970" s="1" t="s">
        <v>578</v>
      </c>
      <c r="C2970" s="1" t="s">
        <v>932</v>
      </c>
      <c r="D2970" s="1" t="s">
        <v>933</v>
      </c>
      <c r="E2970" s="1" t="n">
        <v>20171</v>
      </c>
      <c r="F2970" s="1" t="s">
        <v>208</v>
      </c>
      <c r="G2970" s="1" t="s">
        <v>124</v>
      </c>
      <c r="H2970" s="1" t="n">
        <v>0</v>
      </c>
      <c r="I2970" s="1" t="n">
        <v>0</v>
      </c>
      <c r="J2970" s="1" t="n">
        <v>20201</v>
      </c>
      <c r="L2970" s="1" t="str">
        <f aca="false">IF(D2969&lt;&gt;D2970,D2970,"")</f>
        <v/>
      </c>
      <c r="M2970" s="1" t="str">
        <f aca="false">IF(F2969&lt;&gt;F2970,F2970,"")</f>
        <v/>
      </c>
    </row>
    <row r="2971" customFormat="false" ht="15" hidden="false" customHeight="false" outlineLevel="0" collapsed="false">
      <c r="A2971" s="1" t="s">
        <v>118</v>
      </c>
      <c r="B2971" s="1" t="s">
        <v>119</v>
      </c>
      <c r="C2971" s="1" t="s">
        <v>932</v>
      </c>
      <c r="D2971" s="1" t="s">
        <v>933</v>
      </c>
      <c r="E2971" s="1" t="n">
        <v>20171</v>
      </c>
      <c r="F2971" s="1" t="s">
        <v>208</v>
      </c>
      <c r="G2971" s="1" t="s">
        <v>15</v>
      </c>
      <c r="H2971" s="1" t="n">
        <v>3.5</v>
      </c>
      <c r="I2971" s="1" t="n">
        <v>0</v>
      </c>
      <c r="J2971" s="1" t="n">
        <v>20201</v>
      </c>
      <c r="L2971" s="1" t="str">
        <f aca="false">IF(D2970&lt;&gt;D2971,D2971,"")</f>
        <v/>
      </c>
      <c r="M2971" s="1" t="str">
        <f aca="false">IF(F2970&lt;&gt;F2971,F2971,"")</f>
        <v/>
      </c>
    </row>
    <row r="2972" customFormat="false" ht="15" hidden="false" customHeight="false" outlineLevel="0" collapsed="false">
      <c r="A2972" s="1" t="s">
        <v>128</v>
      </c>
      <c r="B2972" s="1" t="s">
        <v>129</v>
      </c>
      <c r="C2972" s="1" t="s">
        <v>932</v>
      </c>
      <c r="D2972" s="1" t="s">
        <v>933</v>
      </c>
      <c r="E2972" s="1" t="n">
        <v>20171</v>
      </c>
      <c r="F2972" s="1" t="s">
        <v>208</v>
      </c>
      <c r="G2972" s="1" t="s">
        <v>30</v>
      </c>
      <c r="H2972" s="1" t="n">
        <v>1.5</v>
      </c>
      <c r="I2972" s="1" t="n">
        <v>0</v>
      </c>
      <c r="J2972" s="1" t="n">
        <v>20201</v>
      </c>
      <c r="L2972" s="1" t="str">
        <f aca="false">IF(D2971&lt;&gt;D2972,D2972,"")</f>
        <v/>
      </c>
      <c r="M2972" s="1" t="str">
        <f aca="false">IF(F2971&lt;&gt;F2972,F2972,"")</f>
        <v/>
      </c>
    </row>
    <row r="2973" customFormat="false" ht="15" hidden="false" customHeight="false" outlineLevel="0" collapsed="false">
      <c r="A2973" s="1" t="s">
        <v>37</v>
      </c>
      <c r="B2973" s="1" t="s">
        <v>38</v>
      </c>
      <c r="C2973" s="1" t="s">
        <v>932</v>
      </c>
      <c r="D2973" s="1" t="s">
        <v>933</v>
      </c>
      <c r="E2973" s="1" t="n">
        <v>20171</v>
      </c>
      <c r="F2973" s="1" t="s">
        <v>208</v>
      </c>
      <c r="G2973" s="1" t="s">
        <v>127</v>
      </c>
      <c r="H2973" s="1" t="n">
        <v>2</v>
      </c>
      <c r="I2973" s="1" t="n">
        <v>0</v>
      </c>
      <c r="J2973" s="1" t="n">
        <v>20201</v>
      </c>
      <c r="L2973" s="1" t="str">
        <f aca="false">IF(D2972&lt;&gt;D2973,D2973,"")</f>
        <v/>
      </c>
      <c r="M2973" s="1" t="str">
        <f aca="false">IF(F2972&lt;&gt;F2973,F2973,"")</f>
        <v/>
      </c>
    </row>
    <row r="2974" customFormat="false" ht="15" hidden="false" customHeight="false" outlineLevel="0" collapsed="false">
      <c r="A2974" s="1" t="s">
        <v>579</v>
      </c>
      <c r="B2974" s="1" t="s">
        <v>580</v>
      </c>
      <c r="C2974" s="1" t="s">
        <v>932</v>
      </c>
      <c r="D2974" s="1" t="s">
        <v>933</v>
      </c>
      <c r="E2974" s="1" t="n">
        <v>20171</v>
      </c>
      <c r="F2974" s="1" t="s">
        <v>208</v>
      </c>
      <c r="G2974" s="1" t="s">
        <v>30</v>
      </c>
      <c r="H2974" s="1" t="n">
        <v>1.5</v>
      </c>
      <c r="I2974" s="1" t="n">
        <v>0</v>
      </c>
      <c r="J2974" s="1" t="n">
        <v>20201</v>
      </c>
      <c r="L2974" s="1" t="str">
        <f aca="false">IF(D2973&lt;&gt;D2974,D2974,"")</f>
        <v/>
      </c>
      <c r="M2974" s="1" t="str">
        <f aca="false">IF(F2973&lt;&gt;F2974,F2974,"")</f>
        <v/>
      </c>
    </row>
    <row r="2975" customFormat="false" ht="15" hidden="false" customHeight="false" outlineLevel="0" collapsed="false">
      <c r="A2975" s="1" t="s">
        <v>136</v>
      </c>
      <c r="B2975" s="1" t="s">
        <v>137</v>
      </c>
      <c r="C2975" s="1" t="s">
        <v>932</v>
      </c>
      <c r="D2975" s="1" t="s">
        <v>933</v>
      </c>
      <c r="E2975" s="1" t="n">
        <v>20171</v>
      </c>
      <c r="F2975" s="1" t="s">
        <v>208</v>
      </c>
      <c r="G2975" s="1" t="s">
        <v>124</v>
      </c>
      <c r="H2975" s="1" t="n">
        <v>0</v>
      </c>
      <c r="I2975" s="1" t="n">
        <v>0</v>
      </c>
      <c r="J2975" s="1" t="n">
        <v>20201</v>
      </c>
      <c r="L2975" s="1" t="str">
        <f aca="false">IF(D2974&lt;&gt;D2975,D2975,"")</f>
        <v/>
      </c>
      <c r="M2975" s="1" t="str">
        <f aca="false">IF(F2974&lt;&gt;F2975,F2975,"")</f>
        <v/>
      </c>
    </row>
    <row r="2976" customFormat="false" ht="15" hidden="false" customHeight="false" outlineLevel="0" collapsed="false">
      <c r="A2976" s="1" t="s">
        <v>138</v>
      </c>
      <c r="B2976" s="1" t="s">
        <v>139</v>
      </c>
      <c r="C2976" s="1" t="s">
        <v>932</v>
      </c>
      <c r="D2976" s="1" t="s">
        <v>933</v>
      </c>
      <c r="E2976" s="1" t="n">
        <v>20171</v>
      </c>
      <c r="F2976" s="1" t="s">
        <v>208</v>
      </c>
      <c r="G2976" s="1" t="s">
        <v>124</v>
      </c>
      <c r="H2976" s="1" t="n">
        <v>0</v>
      </c>
      <c r="I2976" s="1" t="n">
        <v>0</v>
      </c>
      <c r="J2976" s="1" t="n">
        <v>20201</v>
      </c>
      <c r="L2976" s="1" t="str">
        <f aca="false">IF(D2975&lt;&gt;D2976,D2976,"")</f>
        <v/>
      </c>
      <c r="M2976" s="1" t="str">
        <f aca="false">IF(F2975&lt;&gt;F2976,F2976,"")</f>
        <v/>
      </c>
    </row>
    <row r="2977" customFormat="false" ht="15" hidden="false" customHeight="false" outlineLevel="0" collapsed="false">
      <c r="A2977" s="1" t="s">
        <v>144</v>
      </c>
      <c r="B2977" s="1" t="s">
        <v>145</v>
      </c>
      <c r="C2977" s="1" t="s">
        <v>932</v>
      </c>
      <c r="D2977" s="1" t="s">
        <v>933</v>
      </c>
      <c r="E2977" s="1" t="n">
        <v>20171</v>
      </c>
      <c r="F2977" s="1" t="s">
        <v>208</v>
      </c>
      <c r="G2977" s="1" t="s">
        <v>124</v>
      </c>
      <c r="H2977" s="1" t="n">
        <v>0</v>
      </c>
      <c r="I2977" s="1" t="n">
        <v>0</v>
      </c>
      <c r="J2977" s="1" t="n">
        <v>20201</v>
      </c>
      <c r="L2977" s="1" t="str">
        <f aca="false">IF(D2976&lt;&gt;D2977,D2977,"")</f>
        <v/>
      </c>
      <c r="M2977" s="1" t="str">
        <f aca="false">IF(F2976&lt;&gt;F2977,F2977,"")</f>
        <v/>
      </c>
    </row>
    <row r="2978" customFormat="false" ht="15" hidden="false" customHeight="false" outlineLevel="0" collapsed="false">
      <c r="A2978" s="1" t="s">
        <v>51</v>
      </c>
      <c r="B2978" s="1" t="s">
        <v>52</v>
      </c>
      <c r="C2978" s="1" t="s">
        <v>932</v>
      </c>
      <c r="D2978" s="1" t="s">
        <v>933</v>
      </c>
      <c r="E2978" s="1" t="n">
        <v>20171</v>
      </c>
      <c r="F2978" s="1" t="s">
        <v>208</v>
      </c>
      <c r="G2978" s="1" t="s">
        <v>101</v>
      </c>
      <c r="H2978" s="1" t="n">
        <v>2.5</v>
      </c>
      <c r="I2978" s="1" t="n">
        <v>0</v>
      </c>
      <c r="J2978" s="1" t="n">
        <v>20201</v>
      </c>
      <c r="L2978" s="1" t="str">
        <f aca="false">IF(D2977&lt;&gt;D2978,D2978,"")</f>
        <v/>
      </c>
      <c r="M2978" s="1" t="str">
        <f aca="false">IF(F2977&lt;&gt;F2978,F2978,"")</f>
        <v/>
      </c>
    </row>
    <row r="2979" customFormat="false" ht="15" hidden="false" customHeight="false" outlineLevel="0" collapsed="false">
      <c r="A2979" s="1" t="s">
        <v>146</v>
      </c>
      <c r="B2979" s="1" t="s">
        <v>147</v>
      </c>
      <c r="C2979" s="1" t="s">
        <v>932</v>
      </c>
      <c r="D2979" s="1" t="s">
        <v>933</v>
      </c>
      <c r="E2979" s="1" t="n">
        <v>20171</v>
      </c>
      <c r="F2979" s="1" t="s">
        <v>208</v>
      </c>
      <c r="G2979" s="1" t="s">
        <v>101</v>
      </c>
      <c r="H2979" s="1" t="n">
        <v>2.5</v>
      </c>
      <c r="I2979" s="1" t="n">
        <v>0</v>
      </c>
      <c r="J2979" s="1" t="n">
        <v>20201</v>
      </c>
      <c r="L2979" s="1" t="str">
        <f aca="false">IF(D2978&lt;&gt;D2979,D2979,"")</f>
        <v/>
      </c>
      <c r="M2979" s="1" t="str">
        <f aca="false">IF(F2978&lt;&gt;F2979,F2979,"")</f>
        <v/>
      </c>
    </row>
    <row r="2980" customFormat="false" ht="15" hidden="false" customHeight="false" outlineLevel="0" collapsed="false">
      <c r="A2980" s="1" t="s">
        <v>59</v>
      </c>
      <c r="B2980" s="1" t="s">
        <v>60</v>
      </c>
      <c r="C2980" s="1" t="s">
        <v>932</v>
      </c>
      <c r="D2980" s="1" t="s">
        <v>933</v>
      </c>
      <c r="E2980" s="1" t="n">
        <v>20171</v>
      </c>
      <c r="F2980" s="1" t="s">
        <v>208</v>
      </c>
      <c r="G2980" s="1" t="s">
        <v>101</v>
      </c>
      <c r="H2980" s="1" t="n">
        <v>2.5</v>
      </c>
      <c r="I2980" s="1" t="n">
        <v>0</v>
      </c>
      <c r="J2980" s="1" t="n">
        <v>20201</v>
      </c>
      <c r="L2980" s="1" t="str">
        <f aca="false">IF(D2979&lt;&gt;D2980,D2980,"")</f>
        <v/>
      </c>
      <c r="M2980" s="1" t="str">
        <f aca="false">IF(F2979&lt;&gt;F2980,F2980,"")</f>
        <v/>
      </c>
    </row>
    <row r="2981" customFormat="false" ht="15" hidden="false" customHeight="false" outlineLevel="0" collapsed="false">
      <c r="A2981" s="1" t="s">
        <v>152</v>
      </c>
      <c r="B2981" s="1" t="s">
        <v>153</v>
      </c>
      <c r="C2981" s="1" t="s">
        <v>932</v>
      </c>
      <c r="D2981" s="1" t="s">
        <v>933</v>
      </c>
      <c r="E2981" s="1" t="n">
        <v>20171</v>
      </c>
      <c r="F2981" s="1" t="s">
        <v>208</v>
      </c>
      <c r="G2981" s="1" t="s">
        <v>18</v>
      </c>
      <c r="H2981" s="1" t="n">
        <v>3</v>
      </c>
      <c r="I2981" s="1" t="n">
        <v>0</v>
      </c>
      <c r="J2981" s="1" t="n">
        <v>20201</v>
      </c>
      <c r="L2981" s="1" t="str">
        <f aca="false">IF(D2980&lt;&gt;D2981,D2981,"")</f>
        <v/>
      </c>
      <c r="M2981" s="1" t="str">
        <f aca="false">IF(F2980&lt;&gt;F2981,F2981,"")</f>
        <v/>
      </c>
    </row>
    <row r="2982" customFormat="false" ht="15" hidden="false" customHeight="false" outlineLevel="0" collapsed="false">
      <c r="A2982" s="1" t="s">
        <v>67</v>
      </c>
      <c r="B2982" s="1" t="s">
        <v>68</v>
      </c>
      <c r="C2982" s="1" t="s">
        <v>932</v>
      </c>
      <c r="D2982" s="1" t="s">
        <v>933</v>
      </c>
      <c r="E2982" s="1" t="n">
        <v>20171</v>
      </c>
      <c r="F2982" s="1" t="s">
        <v>208</v>
      </c>
      <c r="G2982" s="1" t="s">
        <v>101</v>
      </c>
      <c r="H2982" s="1" t="n">
        <v>2.5</v>
      </c>
      <c r="I2982" s="1" t="n">
        <v>0</v>
      </c>
      <c r="J2982" s="1" t="n">
        <v>20201</v>
      </c>
      <c r="L2982" s="1" t="str">
        <f aca="false">IF(D2981&lt;&gt;D2982,D2982,"")</f>
        <v/>
      </c>
      <c r="M2982" s="1" t="str">
        <f aca="false">IF(F2981&lt;&gt;F2982,F2982,"")</f>
        <v/>
      </c>
    </row>
    <row r="2983" customFormat="false" ht="15" hidden="false" customHeight="false" outlineLevel="0" collapsed="false">
      <c r="A2983" s="1" t="s">
        <v>164</v>
      </c>
      <c r="B2983" s="1" t="s">
        <v>165</v>
      </c>
      <c r="C2983" s="1" t="s">
        <v>932</v>
      </c>
      <c r="D2983" s="1" t="s">
        <v>933</v>
      </c>
      <c r="E2983" s="1" t="n">
        <v>20171</v>
      </c>
      <c r="F2983" s="1" t="s">
        <v>208</v>
      </c>
      <c r="G2983" s="1" t="s">
        <v>514</v>
      </c>
      <c r="H2983" s="1" t="n">
        <v>1</v>
      </c>
      <c r="I2983" s="1" t="n">
        <v>0</v>
      </c>
      <c r="J2983" s="1" t="n">
        <v>20201</v>
      </c>
      <c r="L2983" s="1" t="str">
        <f aca="false">IF(D2982&lt;&gt;D2983,D2983,"")</f>
        <v/>
      </c>
      <c r="M2983" s="1" t="str">
        <f aca="false">IF(F2982&lt;&gt;F2983,F2983,"")</f>
        <v/>
      </c>
    </row>
    <row r="2984" customFormat="false" ht="15" hidden="false" customHeight="false" outlineLevel="0" collapsed="false">
      <c r="A2984" s="1" t="s">
        <v>75</v>
      </c>
      <c r="B2984" s="1" t="s">
        <v>76</v>
      </c>
      <c r="C2984" s="1" t="s">
        <v>932</v>
      </c>
      <c r="D2984" s="1" t="s">
        <v>933</v>
      </c>
      <c r="E2984" s="1" t="n">
        <v>20171</v>
      </c>
      <c r="F2984" s="1" t="s">
        <v>208</v>
      </c>
      <c r="G2984" s="1" t="s">
        <v>18</v>
      </c>
      <c r="H2984" s="1" t="n">
        <v>3</v>
      </c>
      <c r="I2984" s="1" t="n">
        <v>0</v>
      </c>
      <c r="J2984" s="1" t="n">
        <v>20201</v>
      </c>
      <c r="L2984" s="1" t="str">
        <f aca="false">IF(D2983&lt;&gt;D2984,D2984,"")</f>
        <v/>
      </c>
      <c r="M2984" s="1" t="str">
        <f aca="false">IF(F2983&lt;&gt;F2984,F2984,"")</f>
        <v/>
      </c>
    </row>
    <row r="2985" customFormat="false" ht="15" hidden="false" customHeight="false" outlineLevel="0" collapsed="false">
      <c r="A2985" s="1" t="s">
        <v>166</v>
      </c>
      <c r="B2985" s="1" t="s">
        <v>167</v>
      </c>
      <c r="C2985" s="1" t="s">
        <v>932</v>
      </c>
      <c r="D2985" s="1" t="s">
        <v>933</v>
      </c>
      <c r="E2985" s="1" t="n">
        <v>20171</v>
      </c>
      <c r="F2985" s="1" t="s">
        <v>208</v>
      </c>
      <c r="G2985" s="1" t="s">
        <v>127</v>
      </c>
      <c r="H2985" s="1" t="n">
        <v>2</v>
      </c>
      <c r="I2985" s="1" t="n">
        <v>0</v>
      </c>
      <c r="J2985" s="1" t="n">
        <v>20201</v>
      </c>
      <c r="L2985" s="1" t="str">
        <f aca="false">IF(D2984&lt;&gt;D2985,D2985,"")</f>
        <v/>
      </c>
      <c r="M2985" s="1" t="str">
        <f aca="false">IF(F2984&lt;&gt;F2985,F2985,"")</f>
        <v/>
      </c>
    </row>
    <row r="2986" customFormat="false" ht="15" hidden="false" customHeight="false" outlineLevel="0" collapsed="false">
      <c r="A2986" s="1" t="s">
        <v>174</v>
      </c>
      <c r="B2986" s="1" t="s">
        <v>175</v>
      </c>
      <c r="C2986" s="1" t="s">
        <v>932</v>
      </c>
      <c r="D2986" s="1" t="s">
        <v>933</v>
      </c>
      <c r="E2986" s="1" t="n">
        <v>20171</v>
      </c>
      <c r="F2986" s="1" t="s">
        <v>208</v>
      </c>
      <c r="G2986" s="1" t="s">
        <v>124</v>
      </c>
      <c r="H2986" s="1" t="n">
        <v>0</v>
      </c>
      <c r="I2986" s="1" t="n">
        <v>0</v>
      </c>
      <c r="J2986" s="1" t="n">
        <v>20201</v>
      </c>
      <c r="L2986" s="1" t="str">
        <f aca="false">IF(D2985&lt;&gt;D2986,D2986,"")</f>
        <v/>
      </c>
      <c r="M2986" s="1" t="str">
        <f aca="false">IF(F2985&lt;&gt;F2986,F2986,"")</f>
        <v/>
      </c>
    </row>
    <row r="2987" customFormat="false" ht="15" hidden="false" customHeight="false" outlineLevel="0" collapsed="false">
      <c r="A2987" s="1" t="s">
        <v>81</v>
      </c>
      <c r="B2987" s="1" t="s">
        <v>82</v>
      </c>
      <c r="C2987" s="1" t="s">
        <v>932</v>
      </c>
      <c r="D2987" s="1" t="s">
        <v>933</v>
      </c>
      <c r="E2987" s="1" t="n">
        <v>20171</v>
      </c>
      <c r="F2987" s="1" t="s">
        <v>208</v>
      </c>
      <c r="G2987" s="1" t="s">
        <v>101</v>
      </c>
      <c r="H2987" s="1" t="n">
        <v>2.5</v>
      </c>
      <c r="I2987" s="1" t="n">
        <v>0</v>
      </c>
      <c r="J2987" s="1" t="n">
        <v>20201</v>
      </c>
      <c r="L2987" s="1" t="str">
        <f aca="false">IF(D2986&lt;&gt;D2987,D2987,"")</f>
        <v/>
      </c>
      <c r="M2987" s="1" t="str">
        <f aca="false">IF(F2986&lt;&gt;F2987,F2987,"")</f>
        <v/>
      </c>
    </row>
    <row r="2988" customFormat="false" ht="15" hidden="false" customHeight="false" outlineLevel="0" collapsed="false">
      <c r="A2988" s="1" t="s">
        <v>176</v>
      </c>
      <c r="B2988" s="1" t="s">
        <v>177</v>
      </c>
      <c r="C2988" s="1" t="s">
        <v>932</v>
      </c>
      <c r="D2988" s="1" t="s">
        <v>933</v>
      </c>
      <c r="E2988" s="1" t="n">
        <v>20171</v>
      </c>
      <c r="F2988" s="1" t="s">
        <v>208</v>
      </c>
      <c r="G2988" s="1" t="s">
        <v>127</v>
      </c>
      <c r="H2988" s="1" t="n">
        <v>2</v>
      </c>
      <c r="I2988" s="1" t="n">
        <v>0</v>
      </c>
      <c r="J2988" s="1" t="n">
        <v>20201</v>
      </c>
      <c r="L2988" s="1" t="str">
        <f aca="false">IF(D2987&lt;&gt;D2988,D2988,"")</f>
        <v/>
      </c>
      <c r="M2988" s="1" t="str">
        <f aca="false">IF(F2987&lt;&gt;F2988,F2988,"")</f>
        <v/>
      </c>
    </row>
    <row r="2989" customFormat="false" ht="15" hidden="false" customHeight="false" outlineLevel="0" collapsed="false">
      <c r="A2989" s="1" t="s">
        <v>87</v>
      </c>
      <c r="B2989" s="1" t="s">
        <v>88</v>
      </c>
      <c r="C2989" s="1" t="s">
        <v>932</v>
      </c>
      <c r="D2989" s="1" t="s">
        <v>933</v>
      </c>
      <c r="E2989" s="1" t="n">
        <v>20171</v>
      </c>
      <c r="F2989" s="1" t="s">
        <v>208</v>
      </c>
      <c r="G2989" s="1" t="s">
        <v>30</v>
      </c>
      <c r="H2989" s="1" t="n">
        <v>1.5</v>
      </c>
      <c r="I2989" s="1" t="n">
        <v>0</v>
      </c>
      <c r="J2989" s="1" t="n">
        <v>20201</v>
      </c>
      <c r="L2989" s="1" t="str">
        <f aca="false">IF(D2988&lt;&gt;D2989,D2989,"")</f>
        <v/>
      </c>
      <c r="M2989" s="1" t="str">
        <f aca="false">IF(F2988&lt;&gt;F2989,F2989,"")</f>
        <v/>
      </c>
    </row>
    <row r="2990" customFormat="false" ht="15" hidden="false" customHeight="false" outlineLevel="0" collapsed="false">
      <c r="A2990" s="1" t="s">
        <v>182</v>
      </c>
      <c r="B2990" s="1" t="s">
        <v>183</v>
      </c>
      <c r="C2990" s="1" t="s">
        <v>932</v>
      </c>
      <c r="D2990" s="1" t="s">
        <v>933</v>
      </c>
      <c r="E2990" s="1" t="n">
        <v>20171</v>
      </c>
      <c r="F2990" s="1" t="s">
        <v>208</v>
      </c>
      <c r="G2990" s="1" t="s">
        <v>18</v>
      </c>
      <c r="H2990" s="1" t="n">
        <v>3</v>
      </c>
      <c r="I2990" s="1" t="n">
        <v>0</v>
      </c>
      <c r="J2990" s="1" t="n">
        <v>20201</v>
      </c>
      <c r="L2990" s="1" t="str">
        <f aca="false">IF(D2989&lt;&gt;D2990,D2990,"")</f>
        <v/>
      </c>
      <c r="M2990" s="1" t="str">
        <f aca="false">IF(F2989&lt;&gt;F2990,F2990,"")</f>
        <v/>
      </c>
    </row>
    <row r="2991" customFormat="false" ht="15" hidden="false" customHeight="false" outlineLevel="0" collapsed="false">
      <c r="A2991" s="1" t="s">
        <v>190</v>
      </c>
      <c r="B2991" s="1" t="s">
        <v>191</v>
      </c>
      <c r="C2991" s="1" t="s">
        <v>932</v>
      </c>
      <c r="D2991" s="1" t="s">
        <v>933</v>
      </c>
      <c r="E2991" s="1" t="n">
        <v>20171</v>
      </c>
      <c r="F2991" s="1" t="s">
        <v>208</v>
      </c>
      <c r="G2991" s="1" t="s">
        <v>18</v>
      </c>
      <c r="H2991" s="1" t="n">
        <v>3</v>
      </c>
      <c r="I2991" s="1" t="n">
        <v>0</v>
      </c>
      <c r="J2991" s="1" t="n">
        <v>20201</v>
      </c>
      <c r="L2991" s="1" t="str">
        <f aca="false">IF(D2990&lt;&gt;D2991,D2991,"")</f>
        <v/>
      </c>
      <c r="M2991" s="1" t="str">
        <f aca="false">IF(F2990&lt;&gt;F2991,F2991,"")</f>
        <v/>
      </c>
    </row>
    <row r="2992" customFormat="false" ht="15" hidden="false" customHeight="false" outlineLevel="0" collapsed="false">
      <c r="A2992" s="1" t="s">
        <v>97</v>
      </c>
      <c r="B2992" s="1" t="s">
        <v>98</v>
      </c>
      <c r="C2992" s="1" t="s">
        <v>932</v>
      </c>
      <c r="D2992" s="1" t="s">
        <v>933</v>
      </c>
      <c r="E2992" s="1" t="n">
        <v>20171</v>
      </c>
      <c r="F2992" s="1" t="s">
        <v>208</v>
      </c>
      <c r="G2992" s="1" t="s">
        <v>18</v>
      </c>
      <c r="H2992" s="1" t="n">
        <v>3</v>
      </c>
      <c r="I2992" s="1" t="n">
        <v>0</v>
      </c>
      <c r="J2992" s="1" t="n">
        <v>20201</v>
      </c>
      <c r="L2992" s="1" t="str">
        <f aca="false">IF(D2991&lt;&gt;D2992,D2992,"")</f>
        <v/>
      </c>
      <c r="M2992" s="1" t="str">
        <f aca="false">IF(F2991&lt;&gt;F2992,F2992,"")</f>
        <v/>
      </c>
    </row>
    <row r="2993" customFormat="false" ht="15" hidden="false" customHeight="false" outlineLevel="0" collapsed="false">
      <c r="A2993" s="1" t="s">
        <v>192</v>
      </c>
      <c r="B2993" s="1" t="s">
        <v>193</v>
      </c>
      <c r="C2993" s="1" t="s">
        <v>932</v>
      </c>
      <c r="D2993" s="1" t="s">
        <v>933</v>
      </c>
      <c r="E2993" s="1" t="n">
        <v>20171</v>
      </c>
      <c r="F2993" s="1" t="s">
        <v>208</v>
      </c>
      <c r="G2993" s="1" t="s">
        <v>101</v>
      </c>
      <c r="H2993" s="1" t="n">
        <v>2.5</v>
      </c>
      <c r="I2993" s="1" t="n">
        <v>0</v>
      </c>
      <c r="J2993" s="1" t="n">
        <v>20201</v>
      </c>
      <c r="L2993" s="1" t="str">
        <f aca="false">IF(D2992&lt;&gt;D2993,D2993,"")</f>
        <v/>
      </c>
      <c r="M2993" s="1" t="str">
        <f aca="false">IF(F2992&lt;&gt;F2993,F2993,"")</f>
        <v/>
      </c>
    </row>
    <row r="2994" customFormat="false" ht="15" hidden="false" customHeight="false" outlineLevel="0" collapsed="false">
      <c r="A2994" s="1" t="s">
        <v>515</v>
      </c>
      <c r="B2994" s="1" t="s">
        <v>516</v>
      </c>
      <c r="C2994" s="1" t="s">
        <v>932</v>
      </c>
      <c r="D2994" s="1" t="s">
        <v>933</v>
      </c>
      <c r="E2994" s="1" t="n">
        <v>20171</v>
      </c>
      <c r="F2994" s="1" t="s">
        <v>208</v>
      </c>
      <c r="G2994" s="1" t="s">
        <v>124</v>
      </c>
      <c r="H2994" s="1" t="n">
        <v>0</v>
      </c>
      <c r="I2994" s="1" t="n">
        <v>0</v>
      </c>
      <c r="J2994" s="1" t="n">
        <v>20201</v>
      </c>
      <c r="L2994" s="1" t="str">
        <f aca="false">IF(D2993&lt;&gt;D2994,D2994,"")</f>
        <v/>
      </c>
      <c r="M2994" s="1" t="str">
        <f aca="false">IF(F2993&lt;&gt;F2994,F2994,"")</f>
        <v/>
      </c>
    </row>
    <row r="2995" customFormat="false" ht="15" hidden="false" customHeight="false" outlineLevel="0" collapsed="false">
      <c r="A2995" s="1" t="s">
        <v>667</v>
      </c>
      <c r="B2995" s="1" t="s">
        <v>668</v>
      </c>
      <c r="C2995" s="1" t="s">
        <v>932</v>
      </c>
      <c r="D2995" s="1" t="s">
        <v>933</v>
      </c>
      <c r="E2995" s="1" t="n">
        <v>20171</v>
      </c>
      <c r="F2995" s="1" t="s">
        <v>208</v>
      </c>
      <c r="G2995" s="1" t="s">
        <v>124</v>
      </c>
      <c r="H2995" s="1" t="n">
        <v>0</v>
      </c>
      <c r="I2995" s="1" t="n">
        <v>0</v>
      </c>
      <c r="J2995" s="1" t="n">
        <v>20201</v>
      </c>
      <c r="L2995" s="1" t="str">
        <f aca="false">IF(D2994&lt;&gt;D2995,D2995,"")</f>
        <v/>
      </c>
      <c r="M2995" s="1" t="str">
        <f aca="false">IF(F2994&lt;&gt;F2995,F2995,"")</f>
        <v/>
      </c>
    </row>
    <row r="2996" customFormat="false" ht="15" hidden="false" customHeight="false" outlineLevel="0" collapsed="false">
      <c r="A2996" s="1" t="s">
        <v>936</v>
      </c>
      <c r="B2996" s="1" t="s">
        <v>937</v>
      </c>
      <c r="C2996" s="1" t="s">
        <v>932</v>
      </c>
      <c r="D2996" s="1" t="s">
        <v>933</v>
      </c>
      <c r="E2996" s="1" t="n">
        <v>20171</v>
      </c>
      <c r="F2996" s="1" t="s">
        <v>208</v>
      </c>
      <c r="G2996" s="1" t="s">
        <v>30</v>
      </c>
      <c r="H2996" s="1" t="n">
        <v>1.5</v>
      </c>
      <c r="I2996" s="1" t="n">
        <v>0</v>
      </c>
      <c r="J2996" s="1" t="n">
        <v>20201</v>
      </c>
      <c r="L2996" s="1" t="str">
        <f aca="false">IF(D2995&lt;&gt;D2996,D2996,"")</f>
        <v/>
      </c>
      <c r="M2996" s="1" t="str">
        <f aca="false">IF(F2995&lt;&gt;F2996,F2996,"")</f>
        <v/>
      </c>
    </row>
    <row r="2997" customFormat="false" ht="15" hidden="false" customHeight="false" outlineLevel="0" collapsed="false">
      <c r="A2997" s="1" t="s">
        <v>581</v>
      </c>
      <c r="B2997" s="1" t="s">
        <v>582</v>
      </c>
      <c r="C2997" s="1" t="s">
        <v>932</v>
      </c>
      <c r="D2997" s="1" t="s">
        <v>933</v>
      </c>
      <c r="E2997" s="1" t="n">
        <v>20171</v>
      </c>
      <c r="F2997" s="1" t="s">
        <v>208</v>
      </c>
      <c r="G2997" s="1" t="s">
        <v>127</v>
      </c>
      <c r="H2997" s="1" t="n">
        <v>2</v>
      </c>
      <c r="I2997" s="1" t="n">
        <v>0</v>
      </c>
      <c r="J2997" s="1" t="n">
        <v>20201</v>
      </c>
      <c r="L2997" s="1" t="str">
        <f aca="false">IF(D2996&lt;&gt;D2997,D2997,"")</f>
        <v/>
      </c>
      <c r="M2997" s="1" t="str">
        <f aca="false">IF(F2996&lt;&gt;F2997,F2997,"")</f>
        <v/>
      </c>
    </row>
    <row r="2998" customFormat="false" ht="15" hidden="false" customHeight="false" outlineLevel="0" collapsed="false">
      <c r="A2998" s="1" t="s">
        <v>259</v>
      </c>
      <c r="B2998" s="1" t="s">
        <v>260</v>
      </c>
      <c r="C2998" s="1" t="s">
        <v>932</v>
      </c>
      <c r="D2998" s="1" t="s">
        <v>933</v>
      </c>
      <c r="E2998" s="1" t="n">
        <v>20171</v>
      </c>
      <c r="F2998" s="1" t="s">
        <v>208</v>
      </c>
      <c r="G2998" s="1" t="s">
        <v>127</v>
      </c>
      <c r="H2998" s="1" t="n">
        <v>2</v>
      </c>
      <c r="I2998" s="1" t="n">
        <v>0</v>
      </c>
      <c r="J2998" s="1" t="n">
        <v>20201</v>
      </c>
      <c r="L2998" s="1" t="str">
        <f aca="false">IF(D2997&lt;&gt;D2998,D2998,"")</f>
        <v/>
      </c>
      <c r="M2998" s="1" t="str">
        <f aca="false">IF(F2997&lt;&gt;F2998,F2998,"")</f>
        <v/>
      </c>
    </row>
    <row r="2999" customFormat="false" ht="15" hidden="false" customHeight="false" outlineLevel="0" collapsed="false">
      <c r="A2999" s="1" t="s">
        <v>802</v>
      </c>
      <c r="B2999" s="1" t="s">
        <v>803</v>
      </c>
      <c r="C2999" s="1" t="s">
        <v>932</v>
      </c>
      <c r="D2999" s="1" t="s">
        <v>933</v>
      </c>
      <c r="E2999" s="1" t="n">
        <v>20171</v>
      </c>
      <c r="F2999" s="1" t="s">
        <v>208</v>
      </c>
      <c r="G2999" s="1" t="s">
        <v>127</v>
      </c>
      <c r="H2999" s="1" t="n">
        <v>2</v>
      </c>
      <c r="I2999" s="1" t="n">
        <v>0</v>
      </c>
      <c r="J2999" s="1" t="n">
        <v>20201</v>
      </c>
      <c r="L2999" s="1" t="str">
        <f aca="false">IF(D2998&lt;&gt;D2999,D2999,"")</f>
        <v/>
      </c>
      <c r="M2999" s="1" t="str">
        <f aca="false">IF(F2998&lt;&gt;F2999,F2999,"")</f>
        <v/>
      </c>
    </row>
    <row r="3000" customFormat="false" ht="15" hidden="false" customHeight="false" outlineLevel="0" collapsed="false">
      <c r="A3000" s="1" t="s">
        <v>673</v>
      </c>
      <c r="B3000" s="1" t="s">
        <v>674</v>
      </c>
      <c r="C3000" s="1" t="s">
        <v>932</v>
      </c>
      <c r="D3000" s="1" t="s">
        <v>933</v>
      </c>
      <c r="E3000" s="1" t="n">
        <v>20171</v>
      </c>
      <c r="F3000" s="1" t="s">
        <v>208</v>
      </c>
      <c r="G3000" s="1" t="s">
        <v>127</v>
      </c>
      <c r="H3000" s="1" t="n">
        <v>2</v>
      </c>
      <c r="I3000" s="1" t="n">
        <v>0</v>
      </c>
      <c r="J3000" s="1" t="n">
        <v>20201</v>
      </c>
      <c r="L3000" s="1" t="str">
        <f aca="false">IF(D2999&lt;&gt;D3000,D3000,"")</f>
        <v/>
      </c>
      <c r="M3000" s="1" t="str">
        <f aca="false">IF(F2999&lt;&gt;F3000,F3000,"")</f>
        <v/>
      </c>
    </row>
    <row r="3001" customFormat="false" ht="15" hidden="false" customHeight="false" outlineLevel="0" collapsed="false">
      <c r="A3001" s="1" t="s">
        <v>263</v>
      </c>
      <c r="B3001" s="1" t="s">
        <v>264</v>
      </c>
      <c r="C3001" s="1" t="s">
        <v>932</v>
      </c>
      <c r="D3001" s="1" t="s">
        <v>933</v>
      </c>
      <c r="E3001" s="1" t="n">
        <v>20171</v>
      </c>
      <c r="F3001" s="1" t="s">
        <v>208</v>
      </c>
      <c r="G3001" s="1" t="s">
        <v>127</v>
      </c>
      <c r="H3001" s="1" t="n">
        <v>2</v>
      </c>
      <c r="I3001" s="1" t="n">
        <v>0</v>
      </c>
      <c r="J3001" s="1" t="n">
        <v>20201</v>
      </c>
      <c r="L3001" s="1" t="str">
        <f aca="false">IF(D3000&lt;&gt;D3001,D3001,"")</f>
        <v/>
      </c>
      <c r="M3001" s="1" t="str">
        <f aca="false">IF(F3000&lt;&gt;F3001,F3001,"")</f>
        <v/>
      </c>
    </row>
    <row r="3002" customFormat="false" ht="15" hidden="false" customHeight="false" outlineLevel="0" collapsed="false">
      <c r="A3002" s="1" t="s">
        <v>114</v>
      </c>
      <c r="B3002" s="1" t="s">
        <v>115</v>
      </c>
      <c r="C3002" s="1" t="s">
        <v>932</v>
      </c>
      <c r="D3002" s="1" t="s">
        <v>933</v>
      </c>
      <c r="E3002" s="1" t="n">
        <v>20171</v>
      </c>
      <c r="F3002" s="1" t="s">
        <v>208</v>
      </c>
      <c r="G3002" s="1" t="s">
        <v>18</v>
      </c>
      <c r="H3002" s="1" t="n">
        <v>3</v>
      </c>
      <c r="I3002" s="1" t="n">
        <v>0</v>
      </c>
      <c r="J3002" s="1" t="n">
        <v>20201</v>
      </c>
      <c r="L3002" s="1" t="str">
        <f aca="false">IF(D3001&lt;&gt;D3002,D3002,"")</f>
        <v/>
      </c>
      <c r="M3002" s="1" t="str">
        <f aca="false">IF(F3001&lt;&gt;F3002,F3002,"")</f>
        <v/>
      </c>
    </row>
    <row r="3003" customFormat="false" ht="15" hidden="false" customHeight="false" outlineLevel="0" collapsed="false">
      <c r="A3003" s="1" t="s">
        <v>531</v>
      </c>
      <c r="B3003" s="1" t="s">
        <v>532</v>
      </c>
      <c r="C3003" s="1" t="s">
        <v>932</v>
      </c>
      <c r="D3003" s="1" t="s">
        <v>933</v>
      </c>
      <c r="E3003" s="1" t="n">
        <v>20171</v>
      </c>
      <c r="F3003" s="1" t="s">
        <v>208</v>
      </c>
      <c r="G3003" s="1" t="s">
        <v>18</v>
      </c>
      <c r="H3003" s="1" t="n">
        <v>3</v>
      </c>
      <c r="I3003" s="1" t="n">
        <v>0</v>
      </c>
      <c r="J3003" s="1" t="n">
        <v>20201</v>
      </c>
      <c r="L3003" s="1" t="str">
        <f aca="false">IF(D3002&lt;&gt;D3003,D3003,"")</f>
        <v/>
      </c>
      <c r="M3003" s="1" t="str">
        <f aca="false">IF(F3002&lt;&gt;F3003,F3003,"")</f>
        <v/>
      </c>
    </row>
    <row r="3004" customFormat="false" ht="15" hidden="false" customHeight="false" outlineLevel="0" collapsed="false">
      <c r="A3004" s="1" t="s">
        <v>28</v>
      </c>
      <c r="B3004" s="1" t="s">
        <v>29</v>
      </c>
      <c r="C3004" s="1" t="s">
        <v>932</v>
      </c>
      <c r="D3004" s="1" t="s">
        <v>933</v>
      </c>
      <c r="E3004" s="1" t="n">
        <v>20171</v>
      </c>
      <c r="F3004" s="1" t="s">
        <v>208</v>
      </c>
      <c r="G3004" s="1" t="s">
        <v>30</v>
      </c>
      <c r="H3004" s="1" t="n">
        <v>1.5</v>
      </c>
      <c r="I3004" s="1" t="n">
        <v>0</v>
      </c>
      <c r="J3004" s="1" t="n">
        <v>20201</v>
      </c>
      <c r="L3004" s="1" t="str">
        <f aca="false">IF(D3003&lt;&gt;D3004,D3004,"")</f>
        <v/>
      </c>
      <c r="M3004" s="1" t="str">
        <f aca="false">IF(F3003&lt;&gt;F3004,F3004,"")</f>
        <v/>
      </c>
    </row>
    <row r="3005" customFormat="false" ht="15" hidden="false" customHeight="false" outlineLevel="0" collapsed="false">
      <c r="A3005" s="1" t="s">
        <v>120</v>
      </c>
      <c r="B3005" s="1" t="s">
        <v>121</v>
      </c>
      <c r="C3005" s="1" t="s">
        <v>932</v>
      </c>
      <c r="D3005" s="1" t="s">
        <v>933</v>
      </c>
      <c r="E3005" s="1" t="n">
        <v>20171</v>
      </c>
      <c r="F3005" s="1" t="s">
        <v>208</v>
      </c>
      <c r="G3005" s="1" t="s">
        <v>101</v>
      </c>
      <c r="H3005" s="1" t="n">
        <v>2.5</v>
      </c>
      <c r="I3005" s="1" t="n">
        <v>0</v>
      </c>
      <c r="J3005" s="1" t="n">
        <v>20201</v>
      </c>
      <c r="L3005" s="1" t="str">
        <f aca="false">IF(D3004&lt;&gt;D3005,D3005,"")</f>
        <v/>
      </c>
      <c r="M3005" s="1" t="str">
        <f aca="false">IF(F3004&lt;&gt;F3005,F3005,"")</f>
        <v/>
      </c>
    </row>
    <row r="3006" customFormat="false" ht="15" hidden="false" customHeight="false" outlineLevel="0" collapsed="false">
      <c r="A3006" s="1" t="s">
        <v>31</v>
      </c>
      <c r="B3006" s="1" t="s">
        <v>32</v>
      </c>
      <c r="C3006" s="1" t="s">
        <v>932</v>
      </c>
      <c r="D3006" s="1" t="s">
        <v>933</v>
      </c>
      <c r="E3006" s="1" t="n">
        <v>20171</v>
      </c>
      <c r="F3006" s="1" t="s">
        <v>208</v>
      </c>
      <c r="G3006" s="1" t="s">
        <v>127</v>
      </c>
      <c r="H3006" s="1" t="n">
        <v>2</v>
      </c>
      <c r="I3006" s="1" t="n">
        <v>0</v>
      </c>
      <c r="J3006" s="1" t="n">
        <v>20201</v>
      </c>
      <c r="L3006" s="1" t="str">
        <f aca="false">IF(D3005&lt;&gt;D3006,D3006,"")</f>
        <v/>
      </c>
      <c r="M3006" s="1" t="str">
        <f aca="false">IF(F3005&lt;&gt;F3006,F3006,"")</f>
        <v/>
      </c>
    </row>
    <row r="3007" customFormat="false" ht="15" hidden="false" customHeight="false" outlineLevel="0" collapsed="false">
      <c r="A3007" s="1" t="s">
        <v>39</v>
      </c>
      <c r="B3007" s="1" t="s">
        <v>40</v>
      </c>
      <c r="C3007" s="1" t="s">
        <v>932</v>
      </c>
      <c r="D3007" s="1" t="s">
        <v>933</v>
      </c>
      <c r="E3007" s="1" t="n">
        <v>20171</v>
      </c>
      <c r="F3007" s="1" t="s">
        <v>208</v>
      </c>
      <c r="G3007" s="1" t="s">
        <v>18</v>
      </c>
      <c r="H3007" s="1" t="n">
        <v>3</v>
      </c>
      <c r="I3007" s="1" t="n">
        <v>0</v>
      </c>
      <c r="J3007" s="1" t="n">
        <v>20201</v>
      </c>
      <c r="L3007" s="1" t="str">
        <f aca="false">IF(D3006&lt;&gt;D3007,D3007,"")</f>
        <v/>
      </c>
      <c r="M3007" s="1" t="str">
        <f aca="false">IF(F3006&lt;&gt;F3007,F3007,"")</f>
        <v/>
      </c>
    </row>
    <row r="3008" customFormat="false" ht="15" hidden="false" customHeight="false" outlineLevel="0" collapsed="false">
      <c r="A3008" s="1" t="s">
        <v>130</v>
      </c>
      <c r="B3008" s="1" t="s">
        <v>131</v>
      </c>
      <c r="C3008" s="1" t="s">
        <v>932</v>
      </c>
      <c r="D3008" s="1" t="s">
        <v>933</v>
      </c>
      <c r="E3008" s="1" t="n">
        <v>20171</v>
      </c>
      <c r="F3008" s="1" t="s">
        <v>208</v>
      </c>
      <c r="G3008" s="1" t="s">
        <v>101</v>
      </c>
      <c r="H3008" s="1" t="n">
        <v>2.5</v>
      </c>
      <c r="I3008" s="1" t="n">
        <v>0</v>
      </c>
      <c r="J3008" s="1" t="n">
        <v>20201</v>
      </c>
      <c r="L3008" s="1" t="str">
        <f aca="false">IF(D3007&lt;&gt;D3008,D3008,"")</f>
        <v/>
      </c>
      <c r="M3008" s="1" t="str">
        <f aca="false">IF(F3007&lt;&gt;F3008,F3008,"")</f>
        <v/>
      </c>
    </row>
    <row r="3009" customFormat="false" ht="15" hidden="false" customHeight="false" outlineLevel="0" collapsed="false">
      <c r="A3009" s="1" t="s">
        <v>45</v>
      </c>
      <c r="B3009" s="1" t="s">
        <v>46</v>
      </c>
      <c r="C3009" s="1" t="s">
        <v>932</v>
      </c>
      <c r="D3009" s="1" t="s">
        <v>933</v>
      </c>
      <c r="E3009" s="1" t="n">
        <v>20171</v>
      </c>
      <c r="F3009" s="1" t="s">
        <v>208</v>
      </c>
      <c r="G3009" s="1" t="s">
        <v>18</v>
      </c>
      <c r="H3009" s="1" t="n">
        <v>3</v>
      </c>
      <c r="I3009" s="1" t="n">
        <v>0</v>
      </c>
      <c r="J3009" s="1" t="n">
        <v>20201</v>
      </c>
      <c r="L3009" s="1" t="str">
        <f aca="false">IF(D3008&lt;&gt;D3009,D3009,"")</f>
        <v/>
      </c>
      <c r="M3009" s="1" t="str">
        <f aca="false">IF(F3008&lt;&gt;F3009,F3009,"")</f>
        <v/>
      </c>
    </row>
    <row r="3010" customFormat="false" ht="15" hidden="false" customHeight="false" outlineLevel="0" collapsed="false">
      <c r="A3010" s="1" t="s">
        <v>140</v>
      </c>
      <c r="B3010" s="1" t="s">
        <v>141</v>
      </c>
      <c r="C3010" s="1" t="s">
        <v>932</v>
      </c>
      <c r="D3010" s="1" t="s">
        <v>933</v>
      </c>
      <c r="E3010" s="1" t="n">
        <v>20171</v>
      </c>
      <c r="F3010" s="1" t="s">
        <v>208</v>
      </c>
      <c r="G3010" s="1" t="s">
        <v>101</v>
      </c>
      <c r="H3010" s="1" t="n">
        <v>2.5</v>
      </c>
      <c r="I3010" s="1" t="n">
        <v>0</v>
      </c>
      <c r="J3010" s="1" t="n">
        <v>20201</v>
      </c>
      <c r="L3010" s="1" t="str">
        <f aca="false">IF(D3009&lt;&gt;D3010,D3010,"")</f>
        <v/>
      </c>
      <c r="M3010" s="1" t="str">
        <f aca="false">IF(F3009&lt;&gt;F3010,F3010,"")</f>
        <v/>
      </c>
    </row>
    <row r="3011" customFormat="false" ht="15" hidden="false" customHeight="false" outlineLevel="0" collapsed="false">
      <c r="A3011" s="1" t="s">
        <v>47</v>
      </c>
      <c r="B3011" s="1" t="s">
        <v>48</v>
      </c>
      <c r="C3011" s="1" t="s">
        <v>932</v>
      </c>
      <c r="D3011" s="1" t="s">
        <v>933</v>
      </c>
      <c r="E3011" s="1" t="n">
        <v>20171</v>
      </c>
      <c r="F3011" s="1" t="s">
        <v>208</v>
      </c>
      <c r="G3011" s="1" t="s">
        <v>101</v>
      </c>
      <c r="H3011" s="1" t="n">
        <v>2.5</v>
      </c>
      <c r="I3011" s="1" t="n">
        <v>0</v>
      </c>
      <c r="J3011" s="1" t="n">
        <v>20201</v>
      </c>
      <c r="L3011" s="1" t="str">
        <f aca="false">IF(D3010&lt;&gt;D3011,D3011,"")</f>
        <v/>
      </c>
      <c r="M3011" s="1" t="str">
        <f aca="false">IF(F3010&lt;&gt;F3011,F3011,"")</f>
        <v/>
      </c>
    </row>
    <row r="3012" customFormat="false" ht="15" hidden="false" customHeight="false" outlineLevel="0" collapsed="false">
      <c r="A3012" s="1" t="s">
        <v>53</v>
      </c>
      <c r="B3012" s="1" t="s">
        <v>54</v>
      </c>
      <c r="C3012" s="1" t="s">
        <v>932</v>
      </c>
      <c r="D3012" s="1" t="s">
        <v>933</v>
      </c>
      <c r="E3012" s="1" t="n">
        <v>20171</v>
      </c>
      <c r="F3012" s="1" t="s">
        <v>208</v>
      </c>
      <c r="G3012" s="1" t="s">
        <v>127</v>
      </c>
      <c r="H3012" s="1" t="n">
        <v>2</v>
      </c>
      <c r="I3012" s="1" t="n">
        <v>0</v>
      </c>
      <c r="J3012" s="1" t="n">
        <v>20201</v>
      </c>
      <c r="L3012" s="1" t="str">
        <f aca="false">IF(D3011&lt;&gt;D3012,D3012,"")</f>
        <v/>
      </c>
      <c r="M3012" s="1" t="str">
        <f aca="false">IF(F3011&lt;&gt;F3012,F3012,"")</f>
        <v/>
      </c>
    </row>
    <row r="3013" customFormat="false" ht="15" hidden="false" customHeight="false" outlineLevel="0" collapsed="false">
      <c r="A3013" s="1" t="s">
        <v>55</v>
      </c>
      <c r="B3013" s="1" t="s">
        <v>56</v>
      </c>
      <c r="C3013" s="1" t="s">
        <v>932</v>
      </c>
      <c r="D3013" s="1" t="s">
        <v>933</v>
      </c>
      <c r="E3013" s="1" t="n">
        <v>20171</v>
      </c>
      <c r="F3013" s="1" t="s">
        <v>208</v>
      </c>
      <c r="G3013" s="1" t="s">
        <v>127</v>
      </c>
      <c r="H3013" s="1" t="n">
        <v>2</v>
      </c>
      <c r="I3013" s="1" t="n">
        <v>0</v>
      </c>
      <c r="J3013" s="1" t="n">
        <v>20201</v>
      </c>
      <c r="L3013" s="1" t="str">
        <f aca="false">IF(D3012&lt;&gt;D3013,D3013,"")</f>
        <v/>
      </c>
      <c r="M3013" s="1" t="str">
        <f aca="false">IF(F3012&lt;&gt;F3013,F3013,"")</f>
        <v/>
      </c>
    </row>
    <row r="3014" customFormat="false" ht="15" hidden="false" customHeight="false" outlineLevel="0" collapsed="false">
      <c r="A3014" s="1" t="s">
        <v>61</v>
      </c>
      <c r="B3014" s="1" t="s">
        <v>62</v>
      </c>
      <c r="C3014" s="1" t="s">
        <v>932</v>
      </c>
      <c r="D3014" s="1" t="s">
        <v>933</v>
      </c>
      <c r="E3014" s="1" t="n">
        <v>20171</v>
      </c>
      <c r="F3014" s="1" t="s">
        <v>208</v>
      </c>
      <c r="G3014" s="1" t="s">
        <v>101</v>
      </c>
      <c r="H3014" s="1" t="n">
        <v>2.5</v>
      </c>
      <c r="I3014" s="1" t="n">
        <v>0</v>
      </c>
      <c r="J3014" s="1" t="n">
        <v>20201</v>
      </c>
      <c r="L3014" s="1" t="str">
        <f aca="false">IF(D3013&lt;&gt;D3014,D3014,"")</f>
        <v/>
      </c>
      <c r="M3014" s="1" t="str">
        <f aca="false">IF(F3013&lt;&gt;F3014,F3014,"")</f>
        <v/>
      </c>
    </row>
    <row r="3015" customFormat="false" ht="15" hidden="false" customHeight="false" outlineLevel="0" collapsed="false">
      <c r="A3015" s="1" t="s">
        <v>154</v>
      </c>
      <c r="B3015" s="1" t="s">
        <v>155</v>
      </c>
      <c r="C3015" s="1" t="s">
        <v>932</v>
      </c>
      <c r="D3015" s="1" t="s">
        <v>933</v>
      </c>
      <c r="E3015" s="1" t="n">
        <v>20171</v>
      </c>
      <c r="F3015" s="1" t="s">
        <v>208</v>
      </c>
      <c r="G3015" s="1" t="s">
        <v>124</v>
      </c>
      <c r="H3015" s="1" t="n">
        <v>0</v>
      </c>
      <c r="I3015" s="1" t="n">
        <v>0</v>
      </c>
      <c r="J3015" s="1" t="n">
        <v>20201</v>
      </c>
      <c r="L3015" s="1" t="str">
        <f aca="false">IF(D3014&lt;&gt;D3015,D3015,"")</f>
        <v/>
      </c>
      <c r="M3015" s="1" t="str">
        <f aca="false">IF(F3014&lt;&gt;F3015,F3015,"")</f>
        <v/>
      </c>
    </row>
    <row r="3016" customFormat="false" ht="15" hidden="false" customHeight="false" outlineLevel="0" collapsed="false">
      <c r="A3016" s="1" t="s">
        <v>63</v>
      </c>
      <c r="B3016" s="1" t="s">
        <v>64</v>
      </c>
      <c r="C3016" s="1" t="s">
        <v>932</v>
      </c>
      <c r="D3016" s="1" t="s">
        <v>933</v>
      </c>
      <c r="E3016" s="1" t="n">
        <v>20171</v>
      </c>
      <c r="F3016" s="1" t="s">
        <v>208</v>
      </c>
      <c r="G3016" s="1" t="s">
        <v>101</v>
      </c>
      <c r="H3016" s="1" t="n">
        <v>2.5</v>
      </c>
      <c r="I3016" s="1" t="n">
        <v>0</v>
      </c>
      <c r="J3016" s="1" t="n">
        <v>20201</v>
      </c>
      <c r="L3016" s="1" t="str">
        <f aca="false">IF(D3015&lt;&gt;D3016,D3016,"")</f>
        <v/>
      </c>
      <c r="M3016" s="1" t="str">
        <f aca="false">IF(F3015&lt;&gt;F3016,F3016,"")</f>
        <v/>
      </c>
    </row>
    <row r="3017" customFormat="false" ht="15" hidden="false" customHeight="false" outlineLevel="0" collapsed="false">
      <c r="A3017" s="1" t="s">
        <v>69</v>
      </c>
      <c r="B3017" s="1" t="s">
        <v>70</v>
      </c>
      <c r="C3017" s="1" t="s">
        <v>932</v>
      </c>
      <c r="D3017" s="1" t="s">
        <v>933</v>
      </c>
      <c r="E3017" s="1" t="n">
        <v>20171</v>
      </c>
      <c r="F3017" s="1" t="s">
        <v>208</v>
      </c>
      <c r="G3017" s="1" t="s">
        <v>101</v>
      </c>
      <c r="H3017" s="1" t="n">
        <v>2.5</v>
      </c>
      <c r="I3017" s="1" t="n">
        <v>0</v>
      </c>
      <c r="J3017" s="1" t="n">
        <v>20201</v>
      </c>
      <c r="L3017" s="1" t="str">
        <f aca="false">IF(D3016&lt;&gt;D3017,D3017,"")</f>
        <v/>
      </c>
      <c r="M3017" s="1" t="str">
        <f aca="false">IF(F3016&lt;&gt;F3017,F3017,"")</f>
        <v/>
      </c>
    </row>
    <row r="3018" customFormat="false" ht="15" hidden="false" customHeight="false" outlineLevel="0" collapsed="false">
      <c r="A3018" s="1" t="s">
        <v>71</v>
      </c>
      <c r="B3018" s="1" t="s">
        <v>72</v>
      </c>
      <c r="C3018" s="1" t="s">
        <v>932</v>
      </c>
      <c r="D3018" s="1" t="s">
        <v>933</v>
      </c>
      <c r="E3018" s="1" t="n">
        <v>20171</v>
      </c>
      <c r="F3018" s="1" t="s">
        <v>208</v>
      </c>
      <c r="G3018" s="1" t="s">
        <v>30</v>
      </c>
      <c r="H3018" s="1" t="n">
        <v>1.5</v>
      </c>
      <c r="I3018" s="1" t="n">
        <v>0</v>
      </c>
      <c r="J3018" s="1" t="n">
        <v>20201</v>
      </c>
      <c r="L3018" s="1" t="str">
        <f aca="false">IF(D3017&lt;&gt;D3018,D3018,"")</f>
        <v/>
      </c>
      <c r="M3018" s="1" t="str">
        <f aca="false">IF(F3017&lt;&gt;F3018,F3018,"")</f>
        <v/>
      </c>
    </row>
    <row r="3019" customFormat="false" ht="15" hidden="false" customHeight="false" outlineLevel="0" collapsed="false">
      <c r="A3019" s="1" t="s">
        <v>77</v>
      </c>
      <c r="B3019" s="1" t="s">
        <v>78</v>
      </c>
      <c r="C3019" s="1" t="s">
        <v>932</v>
      </c>
      <c r="D3019" s="1" t="s">
        <v>933</v>
      </c>
      <c r="E3019" s="1" t="n">
        <v>20171</v>
      </c>
      <c r="F3019" s="1" t="s">
        <v>208</v>
      </c>
      <c r="G3019" s="1" t="s">
        <v>101</v>
      </c>
      <c r="H3019" s="1" t="n">
        <v>2.5</v>
      </c>
      <c r="I3019" s="1" t="n">
        <v>0</v>
      </c>
      <c r="J3019" s="1" t="n">
        <v>20201</v>
      </c>
      <c r="L3019" s="1" t="str">
        <f aca="false">IF(D3018&lt;&gt;D3019,D3019,"")</f>
        <v/>
      </c>
      <c r="M3019" s="1" t="str">
        <f aca="false">IF(F3018&lt;&gt;F3019,F3019,"")</f>
        <v/>
      </c>
    </row>
    <row r="3020" customFormat="false" ht="15" hidden="false" customHeight="false" outlineLevel="0" collapsed="false">
      <c r="A3020" s="1" t="s">
        <v>168</v>
      </c>
      <c r="B3020" s="1" t="s">
        <v>169</v>
      </c>
      <c r="C3020" s="1" t="s">
        <v>932</v>
      </c>
      <c r="D3020" s="1" t="s">
        <v>933</v>
      </c>
      <c r="E3020" s="1" t="n">
        <v>20171</v>
      </c>
      <c r="F3020" s="1" t="s">
        <v>208</v>
      </c>
      <c r="G3020" s="1" t="s">
        <v>514</v>
      </c>
      <c r="H3020" s="1" t="n">
        <v>1</v>
      </c>
      <c r="I3020" s="1" t="n">
        <v>0</v>
      </c>
      <c r="J3020" s="1" t="n">
        <v>20201</v>
      </c>
      <c r="L3020" s="1" t="str">
        <f aca="false">IF(D3019&lt;&gt;D3020,D3020,"")</f>
        <v/>
      </c>
      <c r="M3020" s="1" t="str">
        <f aca="false">IF(F3019&lt;&gt;F3020,F3020,"")</f>
        <v/>
      </c>
    </row>
    <row r="3021" customFormat="false" ht="15" hidden="false" customHeight="false" outlineLevel="0" collapsed="false">
      <c r="A3021" s="1" t="s">
        <v>79</v>
      </c>
      <c r="B3021" s="1" t="s">
        <v>80</v>
      </c>
      <c r="C3021" s="1" t="s">
        <v>932</v>
      </c>
      <c r="D3021" s="1" t="s">
        <v>933</v>
      </c>
      <c r="E3021" s="1" t="n">
        <v>20171</v>
      </c>
      <c r="F3021" s="1" t="s">
        <v>208</v>
      </c>
      <c r="G3021" s="1" t="s">
        <v>127</v>
      </c>
      <c r="H3021" s="1" t="n">
        <v>2</v>
      </c>
      <c r="I3021" s="1" t="n">
        <v>0</v>
      </c>
      <c r="J3021" s="1" t="n">
        <v>20201</v>
      </c>
      <c r="L3021" s="1" t="str">
        <f aca="false">IF(D3020&lt;&gt;D3021,D3021,"")</f>
        <v/>
      </c>
      <c r="M3021" s="1" t="str">
        <f aca="false">IF(F3020&lt;&gt;F3021,F3021,"")</f>
        <v/>
      </c>
    </row>
    <row r="3022" customFormat="false" ht="15" hidden="false" customHeight="false" outlineLevel="0" collapsed="false">
      <c r="A3022" s="1" t="s">
        <v>83</v>
      </c>
      <c r="B3022" s="1" t="s">
        <v>84</v>
      </c>
      <c r="C3022" s="1" t="s">
        <v>932</v>
      </c>
      <c r="D3022" s="1" t="s">
        <v>933</v>
      </c>
      <c r="E3022" s="1" t="n">
        <v>20171</v>
      </c>
      <c r="F3022" s="1" t="s">
        <v>208</v>
      </c>
      <c r="G3022" s="1" t="s">
        <v>127</v>
      </c>
      <c r="H3022" s="1" t="n">
        <v>2</v>
      </c>
      <c r="I3022" s="1" t="n">
        <v>0</v>
      </c>
      <c r="J3022" s="1" t="n">
        <v>20201</v>
      </c>
      <c r="L3022" s="1" t="str">
        <f aca="false">IF(D3021&lt;&gt;D3022,D3022,"")</f>
        <v/>
      </c>
      <c r="M3022" s="1" t="str">
        <f aca="false">IF(F3021&lt;&gt;F3022,F3022,"")</f>
        <v/>
      </c>
    </row>
    <row r="3023" customFormat="false" ht="15" hidden="false" customHeight="false" outlineLevel="0" collapsed="false">
      <c r="A3023" s="1" t="s">
        <v>591</v>
      </c>
      <c r="B3023" s="1" t="s">
        <v>592</v>
      </c>
      <c r="C3023" s="1" t="s">
        <v>932</v>
      </c>
      <c r="D3023" s="1" t="s">
        <v>933</v>
      </c>
      <c r="E3023" s="1" t="n">
        <v>20171</v>
      </c>
      <c r="F3023" s="1" t="s">
        <v>208</v>
      </c>
      <c r="G3023" s="1" t="s">
        <v>127</v>
      </c>
      <c r="H3023" s="1" t="n">
        <v>2</v>
      </c>
      <c r="I3023" s="1" t="n">
        <v>0</v>
      </c>
      <c r="J3023" s="1" t="n">
        <v>20201</v>
      </c>
      <c r="L3023" s="1" t="str">
        <f aca="false">IF(D3022&lt;&gt;D3023,D3023,"")</f>
        <v/>
      </c>
      <c r="M3023" s="1" t="str">
        <f aca="false">IF(F3022&lt;&gt;F3023,F3023,"")</f>
        <v/>
      </c>
    </row>
    <row r="3024" customFormat="false" ht="15" hidden="false" customHeight="false" outlineLevel="0" collapsed="false">
      <c r="A3024" s="1" t="s">
        <v>89</v>
      </c>
      <c r="B3024" s="1" t="s">
        <v>90</v>
      </c>
      <c r="C3024" s="1" t="s">
        <v>932</v>
      </c>
      <c r="D3024" s="1" t="s">
        <v>933</v>
      </c>
      <c r="E3024" s="1" t="n">
        <v>20171</v>
      </c>
      <c r="F3024" s="1" t="s">
        <v>208</v>
      </c>
      <c r="G3024" s="1" t="s">
        <v>101</v>
      </c>
      <c r="H3024" s="1" t="n">
        <v>2.5</v>
      </c>
      <c r="I3024" s="1" t="n">
        <v>0</v>
      </c>
      <c r="J3024" s="1" t="n">
        <v>20201</v>
      </c>
      <c r="L3024" s="1" t="str">
        <f aca="false">IF(D3023&lt;&gt;D3024,D3024,"")</f>
        <v/>
      </c>
      <c r="M3024" s="1" t="str">
        <f aca="false">IF(F3023&lt;&gt;F3024,F3024,"")</f>
        <v/>
      </c>
    </row>
    <row r="3025" customFormat="false" ht="15" hidden="false" customHeight="false" outlineLevel="0" collapsed="false">
      <c r="A3025" s="1" t="s">
        <v>184</v>
      </c>
      <c r="B3025" s="1" t="s">
        <v>185</v>
      </c>
      <c r="C3025" s="1" t="s">
        <v>932</v>
      </c>
      <c r="D3025" s="1" t="s">
        <v>933</v>
      </c>
      <c r="E3025" s="1" t="n">
        <v>20171</v>
      </c>
      <c r="F3025" s="1" t="s">
        <v>208</v>
      </c>
      <c r="G3025" s="1" t="s">
        <v>127</v>
      </c>
      <c r="H3025" s="1" t="n">
        <v>2</v>
      </c>
      <c r="I3025" s="1" t="n">
        <v>0</v>
      </c>
      <c r="J3025" s="1" t="n">
        <v>20201</v>
      </c>
      <c r="L3025" s="1" t="str">
        <f aca="false">IF(D3024&lt;&gt;D3025,D3025,"")</f>
        <v/>
      </c>
      <c r="M3025" s="1" t="str">
        <f aca="false">IF(F3024&lt;&gt;F3025,F3025,"")</f>
        <v/>
      </c>
    </row>
    <row r="3026" customFormat="false" ht="15" hidden="false" customHeight="false" outlineLevel="0" collapsed="false">
      <c r="A3026" s="1" t="s">
        <v>91</v>
      </c>
      <c r="B3026" s="1" t="s">
        <v>92</v>
      </c>
      <c r="C3026" s="1" t="s">
        <v>932</v>
      </c>
      <c r="D3026" s="1" t="s">
        <v>933</v>
      </c>
      <c r="E3026" s="1" t="n">
        <v>20171</v>
      </c>
      <c r="F3026" s="1" t="s">
        <v>208</v>
      </c>
      <c r="G3026" s="1" t="s">
        <v>18</v>
      </c>
      <c r="H3026" s="1" t="n">
        <v>3</v>
      </c>
      <c r="I3026" s="1" t="n">
        <v>0</v>
      </c>
      <c r="J3026" s="1" t="n">
        <v>20201</v>
      </c>
      <c r="L3026" s="1" t="str">
        <f aca="false">IF(D3025&lt;&gt;D3026,D3026,"")</f>
        <v/>
      </c>
      <c r="M3026" s="1" t="str">
        <f aca="false">IF(F3025&lt;&gt;F3026,F3026,"")</f>
        <v/>
      </c>
    </row>
    <row r="3027" customFormat="false" ht="15" hidden="false" customHeight="false" outlineLevel="0" collapsed="false">
      <c r="A3027" s="1" t="s">
        <v>99</v>
      </c>
      <c r="B3027" s="1" t="s">
        <v>100</v>
      </c>
      <c r="C3027" s="1" t="s">
        <v>932</v>
      </c>
      <c r="D3027" s="1" t="s">
        <v>933</v>
      </c>
      <c r="E3027" s="1" t="n">
        <v>20171</v>
      </c>
      <c r="F3027" s="1" t="s">
        <v>208</v>
      </c>
      <c r="G3027" s="1" t="s">
        <v>127</v>
      </c>
      <c r="H3027" s="1" t="n">
        <v>2</v>
      </c>
      <c r="I3027" s="1" t="n">
        <v>0</v>
      </c>
      <c r="J3027" s="1" t="n">
        <v>20201</v>
      </c>
      <c r="L3027" s="1" t="str">
        <f aca="false">IF(D3026&lt;&gt;D3027,D3027,"")</f>
        <v/>
      </c>
      <c r="M3027" s="1" t="str">
        <f aca="false">IF(F3026&lt;&gt;F3027,F3027,"")</f>
        <v/>
      </c>
    </row>
    <row r="3028" customFormat="false" ht="15" hidden="false" customHeight="false" outlineLevel="0" collapsed="false">
      <c r="A3028" s="1" t="s">
        <v>194</v>
      </c>
      <c r="B3028" s="1" t="s">
        <v>195</v>
      </c>
      <c r="C3028" s="1" t="s">
        <v>932</v>
      </c>
      <c r="D3028" s="1" t="s">
        <v>933</v>
      </c>
      <c r="E3028" s="1" t="n">
        <v>20171</v>
      </c>
      <c r="F3028" s="1" t="s">
        <v>208</v>
      </c>
      <c r="G3028" s="1" t="s">
        <v>101</v>
      </c>
      <c r="H3028" s="1" t="n">
        <v>2.5</v>
      </c>
      <c r="I3028" s="1" t="n">
        <v>0</v>
      </c>
      <c r="J3028" s="1" t="n">
        <v>20201</v>
      </c>
      <c r="L3028" s="1" t="str">
        <f aca="false">IF(D3027&lt;&gt;D3028,D3028,"")</f>
        <v/>
      </c>
      <c r="M3028" s="1" t="str">
        <f aca="false">IF(F3027&lt;&gt;F3028,F3028,"")</f>
        <v/>
      </c>
    </row>
    <row r="3029" customFormat="false" ht="15" hidden="false" customHeight="false" outlineLevel="0" collapsed="false">
      <c r="A3029" s="1" t="s">
        <v>102</v>
      </c>
      <c r="B3029" s="1" t="s">
        <v>103</v>
      </c>
      <c r="C3029" s="1" t="s">
        <v>932</v>
      </c>
      <c r="D3029" s="1" t="s">
        <v>933</v>
      </c>
      <c r="E3029" s="1" t="n">
        <v>20171</v>
      </c>
      <c r="F3029" s="1" t="s">
        <v>208</v>
      </c>
      <c r="G3029" s="1" t="s">
        <v>101</v>
      </c>
      <c r="H3029" s="1" t="n">
        <v>2.5</v>
      </c>
      <c r="I3029" s="1" t="n">
        <v>0</v>
      </c>
      <c r="J3029" s="1" t="n">
        <v>20201</v>
      </c>
      <c r="L3029" s="1" t="str">
        <f aca="false">IF(D3028&lt;&gt;D3029,D3029,"")</f>
        <v/>
      </c>
      <c r="M3029" s="1" t="str">
        <f aca="false">IF(F3028&lt;&gt;F3029,F3029,"")</f>
        <v/>
      </c>
    </row>
    <row r="3030" customFormat="false" ht="15" hidden="false" customHeight="false" outlineLevel="0" collapsed="false">
      <c r="A3030" s="1" t="s">
        <v>687</v>
      </c>
      <c r="B3030" s="1" t="s">
        <v>688</v>
      </c>
      <c r="C3030" s="1" t="s">
        <v>932</v>
      </c>
      <c r="D3030" s="1" t="s">
        <v>933</v>
      </c>
      <c r="E3030" s="1" t="n">
        <v>20171</v>
      </c>
      <c r="F3030" s="1" t="s">
        <v>208</v>
      </c>
      <c r="G3030" s="1" t="s">
        <v>127</v>
      </c>
      <c r="H3030" s="1" t="n">
        <v>2</v>
      </c>
      <c r="I3030" s="1" t="n">
        <v>0</v>
      </c>
      <c r="J3030" s="1" t="n">
        <v>20201</v>
      </c>
      <c r="L3030" s="1" t="str">
        <f aca="false">IF(D3029&lt;&gt;D3030,D3030,"")</f>
        <v/>
      </c>
      <c r="M3030" s="1" t="str">
        <f aca="false">IF(F3029&lt;&gt;F3030,F3030,"")</f>
        <v/>
      </c>
    </row>
    <row r="3031" customFormat="false" ht="15" hidden="false" customHeight="false" outlineLevel="0" collapsed="false">
      <c r="A3031" s="1" t="s">
        <v>527</v>
      </c>
      <c r="B3031" s="1" t="s">
        <v>528</v>
      </c>
      <c r="C3031" s="1" t="s">
        <v>938</v>
      </c>
      <c r="D3031" s="1" t="s">
        <v>939</v>
      </c>
      <c r="E3031" s="1" t="n">
        <v>20171</v>
      </c>
      <c r="F3031" s="1" t="s">
        <v>208</v>
      </c>
      <c r="G3031" s="1" t="s">
        <v>15</v>
      </c>
      <c r="H3031" s="1" t="n">
        <v>3.5</v>
      </c>
      <c r="I3031" s="1" t="n">
        <v>0</v>
      </c>
      <c r="J3031" s="1" t="n">
        <v>20201</v>
      </c>
      <c r="L3031" s="1" t="str">
        <f aca="false">IF(D3030&lt;&gt;D3031,D3031,"")</f>
        <v>REKAYASA PERANGKAT LUNAK</v>
      </c>
      <c r="M3031" s="1" t="str">
        <f aca="false">IF(F3030&lt;&gt;F3031,F3031,"")</f>
        <v/>
      </c>
    </row>
    <row r="3032" customFormat="false" ht="15" hidden="false" customHeight="false" outlineLevel="0" collapsed="false">
      <c r="A3032" s="1" t="s">
        <v>631</v>
      </c>
      <c r="B3032" s="1" t="s">
        <v>632</v>
      </c>
      <c r="C3032" s="1" t="s">
        <v>938</v>
      </c>
      <c r="D3032" s="1" t="s">
        <v>939</v>
      </c>
      <c r="E3032" s="1" t="n">
        <v>20171</v>
      </c>
      <c r="F3032" s="1" t="s">
        <v>208</v>
      </c>
      <c r="G3032" s="1" t="s">
        <v>127</v>
      </c>
      <c r="H3032" s="1" t="n">
        <v>2</v>
      </c>
      <c r="I3032" s="1" t="n">
        <v>0</v>
      </c>
      <c r="J3032" s="1" t="n">
        <v>20201</v>
      </c>
      <c r="L3032" s="1" t="str">
        <f aca="false">IF(D3031&lt;&gt;D3032,D3032,"")</f>
        <v/>
      </c>
      <c r="M3032" s="1" t="str">
        <f aca="false">IF(F3031&lt;&gt;F3032,F3032,"")</f>
        <v/>
      </c>
    </row>
    <row r="3033" customFormat="false" ht="15" hidden="false" customHeight="false" outlineLevel="0" collapsed="false">
      <c r="A3033" s="1" t="s">
        <v>529</v>
      </c>
      <c r="B3033" s="1" t="s">
        <v>530</v>
      </c>
      <c r="C3033" s="1" t="s">
        <v>938</v>
      </c>
      <c r="D3033" s="1" t="s">
        <v>939</v>
      </c>
      <c r="E3033" s="1" t="n">
        <v>20171</v>
      </c>
      <c r="F3033" s="1" t="s">
        <v>208</v>
      </c>
      <c r="G3033" s="1" t="s">
        <v>101</v>
      </c>
      <c r="H3033" s="1" t="n">
        <v>2.5</v>
      </c>
      <c r="I3033" s="1" t="n">
        <v>0</v>
      </c>
      <c r="J3033" s="1" t="n">
        <v>20201</v>
      </c>
      <c r="L3033" s="1" t="str">
        <f aca="false">IF(D3032&lt;&gt;D3033,D3033,"")</f>
        <v/>
      </c>
      <c r="M3033" s="1" t="str">
        <f aca="false">IF(F3032&lt;&gt;F3033,F3033,"")</f>
        <v/>
      </c>
    </row>
    <row r="3034" customFormat="false" ht="15" hidden="false" customHeight="false" outlineLevel="0" collapsed="false">
      <c r="A3034" s="1" t="s">
        <v>531</v>
      </c>
      <c r="B3034" s="1" t="s">
        <v>532</v>
      </c>
      <c r="C3034" s="1" t="s">
        <v>938</v>
      </c>
      <c r="D3034" s="1" t="s">
        <v>939</v>
      </c>
      <c r="E3034" s="1" t="n">
        <v>20171</v>
      </c>
      <c r="F3034" s="1" t="s">
        <v>208</v>
      </c>
      <c r="G3034" s="1" t="s">
        <v>18</v>
      </c>
      <c r="H3034" s="1" t="n">
        <v>3</v>
      </c>
      <c r="I3034" s="1" t="n">
        <v>0</v>
      </c>
      <c r="J3034" s="1" t="n">
        <v>20201</v>
      </c>
      <c r="L3034" s="1" t="str">
        <f aca="false">IF(D3033&lt;&gt;D3034,D3034,"")</f>
        <v/>
      </c>
      <c r="M3034" s="1" t="str">
        <f aca="false">IF(F3033&lt;&gt;F3034,F3034,"")</f>
        <v/>
      </c>
    </row>
    <row r="3035" customFormat="false" ht="15" hidden="false" customHeight="false" outlineLevel="0" collapsed="false">
      <c r="A3035" s="1" t="s">
        <v>533</v>
      </c>
      <c r="B3035" s="1" t="s">
        <v>534</v>
      </c>
      <c r="C3035" s="1" t="s">
        <v>938</v>
      </c>
      <c r="D3035" s="1" t="s">
        <v>939</v>
      </c>
      <c r="E3035" s="1" t="n">
        <v>20171</v>
      </c>
      <c r="F3035" s="1" t="s">
        <v>208</v>
      </c>
      <c r="G3035" s="1" t="s">
        <v>101</v>
      </c>
      <c r="H3035" s="1" t="n">
        <v>2.5</v>
      </c>
      <c r="I3035" s="1" t="n">
        <v>0</v>
      </c>
      <c r="J3035" s="1" t="n">
        <v>20201</v>
      </c>
      <c r="L3035" s="1" t="str">
        <f aca="false">IF(D3034&lt;&gt;D3035,D3035,"")</f>
        <v/>
      </c>
      <c r="M3035" s="1" t="str">
        <f aca="false">IF(F3034&lt;&gt;F3035,F3035,"")</f>
        <v/>
      </c>
    </row>
    <row r="3036" customFormat="false" ht="15" hidden="false" customHeight="false" outlineLevel="0" collapsed="false">
      <c r="A3036" s="1" t="s">
        <v>535</v>
      </c>
      <c r="B3036" s="1" t="s">
        <v>536</v>
      </c>
      <c r="C3036" s="1" t="s">
        <v>938</v>
      </c>
      <c r="D3036" s="1" t="s">
        <v>939</v>
      </c>
      <c r="E3036" s="1" t="n">
        <v>20171</v>
      </c>
      <c r="F3036" s="1" t="s">
        <v>208</v>
      </c>
      <c r="G3036" s="1" t="s">
        <v>127</v>
      </c>
      <c r="H3036" s="1" t="n">
        <v>2</v>
      </c>
      <c r="I3036" s="1" t="n">
        <v>0</v>
      </c>
      <c r="J3036" s="1" t="n">
        <v>20201</v>
      </c>
      <c r="L3036" s="1" t="str">
        <f aca="false">IF(D3035&lt;&gt;D3036,D3036,"")</f>
        <v/>
      </c>
      <c r="M3036" s="1" t="str">
        <f aca="false">IF(F3035&lt;&gt;F3036,F3036,"")</f>
        <v/>
      </c>
    </row>
    <row r="3037" customFormat="false" ht="15" hidden="false" customHeight="false" outlineLevel="0" collapsed="false">
      <c r="A3037" s="1" t="s">
        <v>537</v>
      </c>
      <c r="B3037" s="1" t="s">
        <v>538</v>
      </c>
      <c r="C3037" s="1" t="s">
        <v>938</v>
      </c>
      <c r="D3037" s="1" t="s">
        <v>939</v>
      </c>
      <c r="E3037" s="1" t="n">
        <v>20171</v>
      </c>
      <c r="F3037" s="1" t="s">
        <v>208</v>
      </c>
      <c r="G3037" s="1" t="s">
        <v>101</v>
      </c>
      <c r="H3037" s="1" t="n">
        <v>2.5</v>
      </c>
      <c r="I3037" s="1" t="n">
        <v>0</v>
      </c>
      <c r="J3037" s="1" t="n">
        <v>20201</v>
      </c>
      <c r="L3037" s="1" t="str">
        <f aca="false">IF(D3036&lt;&gt;D3037,D3037,"")</f>
        <v/>
      </c>
      <c r="M3037" s="1" t="str">
        <f aca="false">IF(F3036&lt;&gt;F3037,F3037,"")</f>
        <v/>
      </c>
    </row>
    <row r="3038" customFormat="false" ht="15" hidden="false" customHeight="false" outlineLevel="0" collapsed="false">
      <c r="A3038" s="1" t="s">
        <v>312</v>
      </c>
      <c r="B3038" s="1" t="s">
        <v>313</v>
      </c>
      <c r="C3038" s="1" t="s">
        <v>938</v>
      </c>
      <c r="D3038" s="1" t="s">
        <v>939</v>
      </c>
      <c r="E3038" s="1" t="n">
        <v>20171</v>
      </c>
      <c r="F3038" s="1" t="s">
        <v>208</v>
      </c>
      <c r="G3038" s="1" t="s">
        <v>18</v>
      </c>
      <c r="H3038" s="1" t="n">
        <v>3</v>
      </c>
      <c r="I3038" s="1" t="n">
        <v>0</v>
      </c>
      <c r="J3038" s="1" t="n">
        <v>20201</v>
      </c>
      <c r="L3038" s="1" t="str">
        <f aca="false">IF(D3037&lt;&gt;D3038,D3038,"")</f>
        <v/>
      </c>
      <c r="M3038" s="1" t="str">
        <f aca="false">IF(F3037&lt;&gt;F3038,F3038,"")</f>
        <v/>
      </c>
    </row>
    <row r="3039" customFormat="false" ht="15" hidden="false" customHeight="false" outlineLevel="0" collapsed="false">
      <c r="A3039" s="1" t="s">
        <v>539</v>
      </c>
      <c r="B3039" s="1" t="s">
        <v>540</v>
      </c>
      <c r="C3039" s="1" t="s">
        <v>938</v>
      </c>
      <c r="D3039" s="1" t="s">
        <v>939</v>
      </c>
      <c r="E3039" s="1" t="n">
        <v>20171</v>
      </c>
      <c r="F3039" s="1" t="s">
        <v>208</v>
      </c>
      <c r="G3039" s="1" t="s">
        <v>30</v>
      </c>
      <c r="H3039" s="1" t="n">
        <v>1.5</v>
      </c>
      <c r="I3039" s="1" t="n">
        <v>0</v>
      </c>
      <c r="J3039" s="1" t="n">
        <v>20201</v>
      </c>
      <c r="L3039" s="1" t="str">
        <f aca="false">IF(D3038&lt;&gt;D3039,D3039,"")</f>
        <v/>
      </c>
      <c r="M3039" s="1" t="str">
        <f aca="false">IF(F3038&lt;&gt;F3039,F3039,"")</f>
        <v/>
      </c>
    </row>
    <row r="3040" customFormat="false" ht="15" hidden="false" customHeight="false" outlineLevel="0" collapsed="false">
      <c r="A3040" s="1" t="s">
        <v>541</v>
      </c>
      <c r="B3040" s="1" t="s">
        <v>542</v>
      </c>
      <c r="C3040" s="1" t="s">
        <v>938</v>
      </c>
      <c r="D3040" s="1" t="s">
        <v>939</v>
      </c>
      <c r="E3040" s="1" t="n">
        <v>20171</v>
      </c>
      <c r="F3040" s="1" t="s">
        <v>208</v>
      </c>
      <c r="G3040" s="1" t="s">
        <v>127</v>
      </c>
      <c r="H3040" s="1" t="n">
        <v>2</v>
      </c>
      <c r="I3040" s="1" t="n">
        <v>0</v>
      </c>
      <c r="J3040" s="1" t="n">
        <v>20201</v>
      </c>
      <c r="L3040" s="1" t="str">
        <f aca="false">IF(D3039&lt;&gt;D3040,D3040,"")</f>
        <v/>
      </c>
      <c r="M3040" s="1" t="str">
        <f aca="false">IF(F3039&lt;&gt;F3040,F3040,"")</f>
        <v/>
      </c>
    </row>
    <row r="3041" customFormat="false" ht="15" hidden="false" customHeight="false" outlineLevel="0" collapsed="false">
      <c r="A3041" s="1" t="s">
        <v>543</v>
      </c>
      <c r="B3041" s="1" t="s">
        <v>544</v>
      </c>
      <c r="C3041" s="1" t="s">
        <v>938</v>
      </c>
      <c r="D3041" s="1" t="s">
        <v>939</v>
      </c>
      <c r="E3041" s="1" t="n">
        <v>20171</v>
      </c>
      <c r="F3041" s="1" t="s">
        <v>208</v>
      </c>
      <c r="G3041" s="1" t="s">
        <v>18</v>
      </c>
      <c r="H3041" s="1" t="n">
        <v>3</v>
      </c>
      <c r="I3041" s="1" t="n">
        <v>0</v>
      </c>
      <c r="J3041" s="1" t="n">
        <v>20201</v>
      </c>
      <c r="L3041" s="1" t="str">
        <f aca="false">IF(D3040&lt;&gt;D3041,D3041,"")</f>
        <v/>
      </c>
      <c r="M3041" s="1" t="str">
        <f aca="false">IF(F3040&lt;&gt;F3041,F3041,"")</f>
        <v/>
      </c>
    </row>
    <row r="3042" customFormat="false" ht="15" hidden="false" customHeight="false" outlineLevel="0" collapsed="false">
      <c r="A3042" s="1" t="s">
        <v>545</v>
      </c>
      <c r="B3042" s="1" t="s">
        <v>546</v>
      </c>
      <c r="C3042" s="1" t="s">
        <v>938</v>
      </c>
      <c r="D3042" s="1" t="s">
        <v>939</v>
      </c>
      <c r="E3042" s="1" t="n">
        <v>20171</v>
      </c>
      <c r="F3042" s="1" t="s">
        <v>208</v>
      </c>
      <c r="G3042" s="1" t="s">
        <v>127</v>
      </c>
      <c r="H3042" s="1" t="n">
        <v>2</v>
      </c>
      <c r="I3042" s="1" t="n">
        <v>0</v>
      </c>
      <c r="J3042" s="1" t="n">
        <v>20201</v>
      </c>
      <c r="L3042" s="1" t="str">
        <f aca="false">IF(D3041&lt;&gt;D3042,D3042,"")</f>
        <v/>
      </c>
      <c r="M3042" s="1" t="str">
        <f aca="false">IF(F3041&lt;&gt;F3042,F3042,"")</f>
        <v/>
      </c>
    </row>
    <row r="3043" customFormat="false" ht="15" hidden="false" customHeight="false" outlineLevel="0" collapsed="false">
      <c r="A3043" s="1" t="s">
        <v>549</v>
      </c>
      <c r="B3043" s="1" t="s">
        <v>550</v>
      </c>
      <c r="C3043" s="1" t="s">
        <v>938</v>
      </c>
      <c r="D3043" s="1" t="s">
        <v>939</v>
      </c>
      <c r="E3043" s="1" t="n">
        <v>20171</v>
      </c>
      <c r="F3043" s="1" t="s">
        <v>208</v>
      </c>
      <c r="G3043" s="1" t="s">
        <v>18</v>
      </c>
      <c r="H3043" s="1" t="n">
        <v>3</v>
      </c>
      <c r="I3043" s="1" t="n">
        <v>0</v>
      </c>
      <c r="J3043" s="1" t="n">
        <v>20201</v>
      </c>
      <c r="L3043" s="1" t="str">
        <f aca="false">IF(D3042&lt;&gt;D3043,D3043,"")</f>
        <v/>
      </c>
      <c r="M3043" s="1" t="str">
        <f aca="false">IF(F3042&lt;&gt;F3043,F3043,"")</f>
        <v/>
      </c>
    </row>
    <row r="3044" customFormat="false" ht="15" hidden="false" customHeight="false" outlineLevel="0" collapsed="false">
      <c r="A3044" s="1" t="s">
        <v>265</v>
      </c>
      <c r="B3044" s="1" t="s">
        <v>266</v>
      </c>
      <c r="C3044" s="1" t="s">
        <v>940</v>
      </c>
      <c r="D3044" s="1" t="s">
        <v>941</v>
      </c>
      <c r="E3044" s="1" t="n">
        <v>20171</v>
      </c>
      <c r="F3044" s="1" t="s">
        <v>208</v>
      </c>
      <c r="G3044" s="1" t="s">
        <v>127</v>
      </c>
      <c r="H3044" s="1" t="n">
        <v>2</v>
      </c>
      <c r="I3044" s="1" t="n">
        <v>0</v>
      </c>
      <c r="J3044" s="1" t="n">
        <v>20201</v>
      </c>
      <c r="L3044" s="1" t="str">
        <f aca="false">IF(D3043&lt;&gt;D3044,D3044,"")</f>
        <v>REKAYASA TRAFIK</v>
      </c>
      <c r="M3044" s="1" t="str">
        <f aca="false">IF(F3043&lt;&gt;F3044,F3044,"")</f>
        <v/>
      </c>
    </row>
    <row r="3045" customFormat="false" ht="15" hidden="false" customHeight="false" outlineLevel="0" collapsed="false">
      <c r="A3045" s="1" t="s">
        <v>267</v>
      </c>
      <c r="B3045" s="1" t="s">
        <v>268</v>
      </c>
      <c r="C3045" s="1" t="s">
        <v>940</v>
      </c>
      <c r="D3045" s="1" t="s">
        <v>941</v>
      </c>
      <c r="E3045" s="1" t="n">
        <v>20171</v>
      </c>
      <c r="F3045" s="1" t="s">
        <v>208</v>
      </c>
      <c r="G3045" s="1" t="s">
        <v>127</v>
      </c>
      <c r="H3045" s="1" t="n">
        <v>2</v>
      </c>
      <c r="I3045" s="1" t="n">
        <v>0</v>
      </c>
      <c r="J3045" s="1" t="n">
        <v>20201</v>
      </c>
      <c r="L3045" s="1" t="str">
        <f aca="false">IF(D3044&lt;&gt;D3045,D3045,"")</f>
        <v/>
      </c>
      <c r="M3045" s="1" t="str">
        <f aca="false">IF(F3044&lt;&gt;F3045,F3045,"")</f>
        <v/>
      </c>
    </row>
    <row r="3046" customFormat="false" ht="15" hidden="false" customHeight="false" outlineLevel="0" collapsed="false">
      <c r="A3046" s="1" t="s">
        <v>275</v>
      </c>
      <c r="B3046" s="1" t="s">
        <v>276</v>
      </c>
      <c r="C3046" s="1" t="s">
        <v>940</v>
      </c>
      <c r="D3046" s="1" t="s">
        <v>941</v>
      </c>
      <c r="E3046" s="1" t="n">
        <v>20171</v>
      </c>
      <c r="F3046" s="1" t="s">
        <v>208</v>
      </c>
      <c r="G3046" s="1" t="s">
        <v>15</v>
      </c>
      <c r="H3046" s="1" t="n">
        <v>3.5</v>
      </c>
      <c r="I3046" s="1" t="n">
        <v>0</v>
      </c>
      <c r="J3046" s="1" t="n">
        <v>20201</v>
      </c>
      <c r="L3046" s="1" t="str">
        <f aca="false">IF(D3045&lt;&gt;D3046,D3046,"")</f>
        <v/>
      </c>
      <c r="M3046" s="1" t="str">
        <f aca="false">IF(F3045&lt;&gt;F3046,F3046,"")</f>
        <v/>
      </c>
    </row>
    <row r="3047" customFormat="false" ht="15" hidden="false" customHeight="false" outlineLevel="0" collapsed="false">
      <c r="A3047" s="1" t="s">
        <v>681</v>
      </c>
      <c r="B3047" s="1" t="s">
        <v>682</v>
      </c>
      <c r="C3047" s="1" t="s">
        <v>940</v>
      </c>
      <c r="D3047" s="1" t="s">
        <v>941</v>
      </c>
      <c r="E3047" s="1" t="n">
        <v>20171</v>
      </c>
      <c r="F3047" s="1" t="s">
        <v>208</v>
      </c>
      <c r="G3047" s="1" t="s">
        <v>18</v>
      </c>
      <c r="H3047" s="1" t="n">
        <v>3</v>
      </c>
      <c r="I3047" s="1" t="n">
        <v>0</v>
      </c>
      <c r="J3047" s="1" t="n">
        <v>20201</v>
      </c>
      <c r="L3047" s="1" t="str">
        <f aca="false">IF(D3046&lt;&gt;D3047,D3047,"")</f>
        <v/>
      </c>
      <c r="M3047" s="1" t="str">
        <f aca="false">IF(F3046&lt;&gt;F3047,F3047,"")</f>
        <v/>
      </c>
    </row>
    <row r="3048" customFormat="false" ht="15" hidden="false" customHeight="false" outlineLevel="0" collapsed="false">
      <c r="A3048" s="1" t="s">
        <v>765</v>
      </c>
      <c r="B3048" s="1" t="s">
        <v>766</v>
      </c>
      <c r="C3048" s="1" t="s">
        <v>940</v>
      </c>
      <c r="D3048" s="1" t="s">
        <v>941</v>
      </c>
      <c r="E3048" s="1" t="n">
        <v>20171</v>
      </c>
      <c r="F3048" s="1" t="s">
        <v>208</v>
      </c>
      <c r="G3048" s="1" t="s">
        <v>124</v>
      </c>
      <c r="H3048" s="1" t="n">
        <v>0</v>
      </c>
      <c r="I3048" s="1" t="n">
        <v>0</v>
      </c>
      <c r="J3048" s="1" t="n">
        <v>20201</v>
      </c>
      <c r="L3048" s="1" t="str">
        <f aca="false">IF(D3047&lt;&gt;D3048,D3048,"")</f>
        <v/>
      </c>
      <c r="M3048" s="1" t="str">
        <f aca="false">IF(F3047&lt;&gt;F3048,F3048,"")</f>
        <v/>
      </c>
    </row>
    <row r="3049" customFormat="false" ht="15" hidden="false" customHeight="false" outlineLevel="0" collapsed="false">
      <c r="A3049" s="1" t="s">
        <v>277</v>
      </c>
      <c r="B3049" s="1" t="s">
        <v>278</v>
      </c>
      <c r="C3049" s="1" t="s">
        <v>940</v>
      </c>
      <c r="D3049" s="1" t="s">
        <v>941</v>
      </c>
      <c r="E3049" s="1" t="n">
        <v>20171</v>
      </c>
      <c r="F3049" s="1" t="s">
        <v>208</v>
      </c>
      <c r="G3049" s="1" t="s">
        <v>15</v>
      </c>
      <c r="H3049" s="1" t="n">
        <v>3.5</v>
      </c>
      <c r="I3049" s="1" t="n">
        <v>0</v>
      </c>
      <c r="J3049" s="1" t="n">
        <v>20201</v>
      </c>
      <c r="L3049" s="1" t="str">
        <f aca="false">IF(D3048&lt;&gt;D3049,D3049,"")</f>
        <v/>
      </c>
      <c r="M3049" s="1" t="str">
        <f aca="false">IF(F3048&lt;&gt;F3049,F3049,"")</f>
        <v/>
      </c>
    </row>
    <row r="3050" customFormat="false" ht="15" hidden="false" customHeight="false" outlineLevel="0" collapsed="false">
      <c r="A3050" s="1" t="s">
        <v>279</v>
      </c>
      <c r="B3050" s="1" t="s">
        <v>280</v>
      </c>
      <c r="C3050" s="1" t="s">
        <v>940</v>
      </c>
      <c r="D3050" s="1" t="s">
        <v>941</v>
      </c>
      <c r="E3050" s="1" t="n">
        <v>20171</v>
      </c>
      <c r="F3050" s="1" t="s">
        <v>208</v>
      </c>
      <c r="G3050" s="1" t="s">
        <v>14</v>
      </c>
      <c r="H3050" s="1" t="n">
        <v>4</v>
      </c>
      <c r="I3050" s="1" t="n">
        <v>0</v>
      </c>
      <c r="J3050" s="1" t="n">
        <v>20201</v>
      </c>
      <c r="L3050" s="1" t="str">
        <f aca="false">IF(D3049&lt;&gt;D3050,D3050,"")</f>
        <v/>
      </c>
      <c r="M3050" s="1" t="str">
        <f aca="false">IF(F3049&lt;&gt;F3050,F3050,"")</f>
        <v/>
      </c>
    </row>
    <row r="3051" customFormat="false" ht="15" hidden="false" customHeight="false" outlineLevel="0" collapsed="false">
      <c r="A3051" s="1" t="s">
        <v>281</v>
      </c>
      <c r="B3051" s="1" t="s">
        <v>282</v>
      </c>
      <c r="C3051" s="1" t="s">
        <v>940</v>
      </c>
      <c r="D3051" s="1" t="s">
        <v>941</v>
      </c>
      <c r="E3051" s="1" t="n">
        <v>20171</v>
      </c>
      <c r="F3051" s="1" t="s">
        <v>208</v>
      </c>
      <c r="G3051" s="1" t="s">
        <v>15</v>
      </c>
      <c r="H3051" s="1" t="n">
        <v>3.5</v>
      </c>
      <c r="I3051" s="1" t="n">
        <v>0</v>
      </c>
      <c r="J3051" s="1" t="n">
        <v>20201</v>
      </c>
      <c r="L3051" s="1" t="str">
        <f aca="false">IF(D3050&lt;&gt;D3051,D3051,"")</f>
        <v/>
      </c>
      <c r="M3051" s="1" t="str">
        <f aca="false">IF(F3050&lt;&gt;F3051,F3051,"")</f>
        <v/>
      </c>
    </row>
    <row r="3052" customFormat="false" ht="15" hidden="false" customHeight="false" outlineLevel="0" collapsed="false">
      <c r="A3052" s="1" t="s">
        <v>283</v>
      </c>
      <c r="B3052" s="1" t="s">
        <v>284</v>
      </c>
      <c r="C3052" s="1" t="s">
        <v>940</v>
      </c>
      <c r="D3052" s="1" t="s">
        <v>941</v>
      </c>
      <c r="E3052" s="1" t="n">
        <v>20171</v>
      </c>
      <c r="F3052" s="1" t="s">
        <v>208</v>
      </c>
      <c r="G3052" s="1" t="s">
        <v>18</v>
      </c>
      <c r="H3052" s="1" t="n">
        <v>3</v>
      </c>
      <c r="I3052" s="1" t="n">
        <v>0</v>
      </c>
      <c r="J3052" s="1" t="n">
        <v>20201</v>
      </c>
      <c r="L3052" s="1" t="str">
        <f aca="false">IF(D3051&lt;&gt;D3052,D3052,"")</f>
        <v/>
      </c>
      <c r="M3052" s="1" t="str">
        <f aca="false">IF(F3051&lt;&gt;F3052,F3052,"")</f>
        <v/>
      </c>
    </row>
    <row r="3053" customFormat="false" ht="15" hidden="false" customHeight="false" outlineLevel="0" collapsed="false">
      <c r="A3053" s="1" t="s">
        <v>285</v>
      </c>
      <c r="B3053" s="1" t="s">
        <v>286</v>
      </c>
      <c r="C3053" s="1" t="s">
        <v>940</v>
      </c>
      <c r="D3053" s="1" t="s">
        <v>941</v>
      </c>
      <c r="E3053" s="1" t="n">
        <v>20171</v>
      </c>
      <c r="F3053" s="1" t="s">
        <v>208</v>
      </c>
      <c r="G3053" s="1" t="s">
        <v>15</v>
      </c>
      <c r="H3053" s="1" t="n">
        <v>3.5</v>
      </c>
      <c r="I3053" s="1" t="n">
        <v>0</v>
      </c>
      <c r="J3053" s="1" t="n">
        <v>20201</v>
      </c>
      <c r="L3053" s="1" t="str">
        <f aca="false">IF(D3052&lt;&gt;D3053,D3053,"")</f>
        <v/>
      </c>
      <c r="M3053" s="1" t="str">
        <f aca="false">IF(F3052&lt;&gt;F3053,F3053,"")</f>
        <v/>
      </c>
    </row>
    <row r="3054" customFormat="false" ht="15" hidden="false" customHeight="false" outlineLevel="0" collapsed="false">
      <c r="A3054" s="1" t="s">
        <v>287</v>
      </c>
      <c r="B3054" s="1" t="s">
        <v>288</v>
      </c>
      <c r="C3054" s="1" t="s">
        <v>940</v>
      </c>
      <c r="D3054" s="1" t="s">
        <v>941</v>
      </c>
      <c r="E3054" s="1" t="n">
        <v>20171</v>
      </c>
      <c r="F3054" s="1" t="s">
        <v>208</v>
      </c>
      <c r="G3054" s="1" t="s">
        <v>14</v>
      </c>
      <c r="H3054" s="1" t="n">
        <v>4</v>
      </c>
      <c r="I3054" s="1" t="n">
        <v>0</v>
      </c>
      <c r="J3054" s="1" t="n">
        <v>20201</v>
      </c>
      <c r="L3054" s="1" t="str">
        <f aca="false">IF(D3053&lt;&gt;D3054,D3054,"")</f>
        <v/>
      </c>
      <c r="M3054" s="1" t="str">
        <f aca="false">IF(F3053&lt;&gt;F3054,F3054,"")</f>
        <v/>
      </c>
    </row>
    <row r="3055" customFormat="false" ht="15" hidden="false" customHeight="false" outlineLevel="0" collapsed="false">
      <c r="A3055" s="1" t="s">
        <v>289</v>
      </c>
      <c r="B3055" s="1" t="s">
        <v>290</v>
      </c>
      <c r="C3055" s="1" t="s">
        <v>940</v>
      </c>
      <c r="D3055" s="1" t="s">
        <v>941</v>
      </c>
      <c r="E3055" s="1" t="n">
        <v>20171</v>
      </c>
      <c r="F3055" s="1" t="s">
        <v>208</v>
      </c>
      <c r="G3055" s="1" t="s">
        <v>15</v>
      </c>
      <c r="H3055" s="1" t="n">
        <v>3.5</v>
      </c>
      <c r="I3055" s="1" t="n">
        <v>0</v>
      </c>
      <c r="J3055" s="1" t="n">
        <v>20201</v>
      </c>
      <c r="L3055" s="1" t="str">
        <f aca="false">IF(D3054&lt;&gt;D3055,D3055,"")</f>
        <v/>
      </c>
      <c r="M3055" s="1" t="str">
        <f aca="false">IF(F3054&lt;&gt;F3055,F3055,"")</f>
        <v/>
      </c>
    </row>
    <row r="3056" customFormat="false" ht="15" hidden="false" customHeight="false" outlineLevel="0" collapsed="false">
      <c r="A3056" s="1" t="s">
        <v>291</v>
      </c>
      <c r="B3056" s="1" t="s">
        <v>292</v>
      </c>
      <c r="C3056" s="1" t="s">
        <v>940</v>
      </c>
      <c r="D3056" s="1" t="s">
        <v>941</v>
      </c>
      <c r="E3056" s="1" t="n">
        <v>20171</v>
      </c>
      <c r="F3056" s="1" t="s">
        <v>208</v>
      </c>
      <c r="G3056" s="1" t="s">
        <v>15</v>
      </c>
      <c r="H3056" s="1" t="n">
        <v>3.5</v>
      </c>
      <c r="I3056" s="1" t="n">
        <v>0</v>
      </c>
      <c r="J3056" s="1" t="n">
        <v>20201</v>
      </c>
      <c r="L3056" s="1" t="str">
        <f aca="false">IF(D3055&lt;&gt;D3056,D3056,"")</f>
        <v/>
      </c>
      <c r="M3056" s="1" t="str">
        <f aca="false">IF(F3055&lt;&gt;F3056,F3056,"")</f>
        <v/>
      </c>
    </row>
    <row r="3057" customFormat="false" ht="15" hidden="false" customHeight="false" outlineLevel="0" collapsed="false">
      <c r="A3057" s="1" t="s">
        <v>293</v>
      </c>
      <c r="B3057" s="1" t="s">
        <v>294</v>
      </c>
      <c r="C3057" s="1" t="s">
        <v>940</v>
      </c>
      <c r="D3057" s="1" t="s">
        <v>941</v>
      </c>
      <c r="E3057" s="1" t="n">
        <v>20171</v>
      </c>
      <c r="F3057" s="1" t="s">
        <v>208</v>
      </c>
      <c r="G3057" s="1" t="s">
        <v>127</v>
      </c>
      <c r="H3057" s="1" t="n">
        <v>2</v>
      </c>
      <c r="I3057" s="1" t="n">
        <v>0</v>
      </c>
      <c r="J3057" s="1" t="n">
        <v>20201</v>
      </c>
      <c r="L3057" s="1" t="str">
        <f aca="false">IF(D3056&lt;&gt;D3057,D3057,"")</f>
        <v/>
      </c>
      <c r="M3057" s="1" t="str">
        <f aca="false">IF(F3056&lt;&gt;F3057,F3057,"")</f>
        <v/>
      </c>
    </row>
    <row r="3058" customFormat="false" ht="15" hidden="false" customHeight="false" outlineLevel="0" collapsed="false">
      <c r="A3058" s="1" t="s">
        <v>683</v>
      </c>
      <c r="B3058" s="1" t="s">
        <v>684</v>
      </c>
      <c r="C3058" s="1" t="s">
        <v>940</v>
      </c>
      <c r="D3058" s="1" t="s">
        <v>941</v>
      </c>
      <c r="E3058" s="1" t="n">
        <v>20171</v>
      </c>
      <c r="F3058" s="1" t="s">
        <v>208</v>
      </c>
      <c r="G3058" s="1" t="s">
        <v>15</v>
      </c>
      <c r="H3058" s="1" t="n">
        <v>3.5</v>
      </c>
      <c r="I3058" s="1" t="n">
        <v>0</v>
      </c>
      <c r="J3058" s="1" t="n">
        <v>20201</v>
      </c>
      <c r="L3058" s="1" t="str">
        <f aca="false">IF(D3057&lt;&gt;D3058,D3058,"")</f>
        <v/>
      </c>
      <c r="M3058" s="1" t="str">
        <f aca="false">IF(F3057&lt;&gt;F3058,F3058,"")</f>
        <v/>
      </c>
    </row>
    <row r="3059" customFormat="false" ht="15" hidden="false" customHeight="false" outlineLevel="0" collapsed="false">
      <c r="A3059" s="1" t="s">
        <v>295</v>
      </c>
      <c r="B3059" s="1" t="s">
        <v>296</v>
      </c>
      <c r="C3059" s="1" t="s">
        <v>940</v>
      </c>
      <c r="D3059" s="1" t="s">
        <v>941</v>
      </c>
      <c r="E3059" s="1" t="n">
        <v>20171</v>
      </c>
      <c r="F3059" s="1" t="s">
        <v>208</v>
      </c>
      <c r="G3059" s="1" t="s">
        <v>127</v>
      </c>
      <c r="H3059" s="1" t="n">
        <v>2</v>
      </c>
      <c r="I3059" s="1" t="n">
        <v>0</v>
      </c>
      <c r="J3059" s="1" t="n">
        <v>20201</v>
      </c>
      <c r="L3059" s="1" t="str">
        <f aca="false">IF(D3058&lt;&gt;D3059,D3059,"")</f>
        <v/>
      </c>
      <c r="M3059" s="1" t="str">
        <f aca="false">IF(F3058&lt;&gt;F3059,F3059,"")</f>
        <v/>
      </c>
    </row>
    <row r="3060" customFormat="false" ht="15" hidden="false" customHeight="false" outlineLevel="0" collapsed="false">
      <c r="A3060" s="1" t="s">
        <v>297</v>
      </c>
      <c r="B3060" s="1" t="s">
        <v>298</v>
      </c>
      <c r="C3060" s="1" t="s">
        <v>940</v>
      </c>
      <c r="D3060" s="1" t="s">
        <v>941</v>
      </c>
      <c r="E3060" s="1" t="n">
        <v>20171</v>
      </c>
      <c r="F3060" s="1" t="s">
        <v>208</v>
      </c>
      <c r="G3060" s="1" t="s">
        <v>18</v>
      </c>
      <c r="H3060" s="1" t="n">
        <v>3</v>
      </c>
      <c r="I3060" s="1" t="n">
        <v>0</v>
      </c>
      <c r="J3060" s="1" t="n">
        <v>20201</v>
      </c>
      <c r="L3060" s="1" t="str">
        <f aca="false">IF(D3059&lt;&gt;D3060,D3060,"")</f>
        <v/>
      </c>
      <c r="M3060" s="1" t="str">
        <f aca="false">IF(F3059&lt;&gt;F3060,F3060,"")</f>
        <v/>
      </c>
    </row>
    <row r="3061" customFormat="false" ht="15" hidden="false" customHeight="false" outlineLevel="0" collapsed="false">
      <c r="A3061" s="1" t="s">
        <v>531</v>
      </c>
      <c r="B3061" s="1" t="s">
        <v>532</v>
      </c>
      <c r="C3061" s="1" t="s">
        <v>942</v>
      </c>
      <c r="D3061" s="1" t="s">
        <v>943</v>
      </c>
      <c r="E3061" s="1" t="n">
        <v>20171</v>
      </c>
      <c r="F3061" s="1" t="s">
        <v>208</v>
      </c>
      <c r="G3061" s="1" t="s">
        <v>18</v>
      </c>
      <c r="H3061" s="1" t="n">
        <v>3</v>
      </c>
      <c r="I3061" s="1" t="n">
        <v>0</v>
      </c>
      <c r="J3061" s="1" t="n">
        <v>20201</v>
      </c>
      <c r="L3061" s="1" t="str">
        <f aca="false">IF(D3060&lt;&gt;D3061,D3061,"")</f>
        <v>SISTEM INFORMASI MANAJEMEN</v>
      </c>
      <c r="M3061" s="1" t="str">
        <f aca="false">IF(F3060&lt;&gt;F3061,F3061,"")</f>
        <v/>
      </c>
    </row>
    <row r="3062" customFormat="false" ht="15" hidden="false" customHeight="false" outlineLevel="0" collapsed="false">
      <c r="A3062" s="1" t="s">
        <v>535</v>
      </c>
      <c r="B3062" s="1" t="s">
        <v>536</v>
      </c>
      <c r="C3062" s="1" t="s">
        <v>942</v>
      </c>
      <c r="D3062" s="1" t="s">
        <v>943</v>
      </c>
      <c r="E3062" s="1" t="n">
        <v>20171</v>
      </c>
      <c r="F3062" s="1" t="s">
        <v>208</v>
      </c>
      <c r="G3062" s="1" t="s">
        <v>127</v>
      </c>
      <c r="H3062" s="1" t="n">
        <v>2</v>
      </c>
      <c r="I3062" s="1" t="n">
        <v>0</v>
      </c>
      <c r="J3062" s="1" t="n">
        <v>20201</v>
      </c>
      <c r="L3062" s="1" t="str">
        <f aca="false">IF(D3061&lt;&gt;D3062,D3062,"")</f>
        <v/>
      </c>
      <c r="M3062" s="1" t="str">
        <f aca="false">IF(F3061&lt;&gt;F3062,F3062,"")</f>
        <v/>
      </c>
    </row>
    <row r="3063" customFormat="false" ht="15" hidden="false" customHeight="false" outlineLevel="0" collapsed="false">
      <c r="A3063" s="1" t="s">
        <v>547</v>
      </c>
      <c r="B3063" s="1" t="s">
        <v>548</v>
      </c>
      <c r="C3063" s="1" t="s">
        <v>942</v>
      </c>
      <c r="D3063" s="1" t="s">
        <v>943</v>
      </c>
      <c r="E3063" s="1" t="n">
        <v>20171</v>
      </c>
      <c r="F3063" s="1" t="s">
        <v>208</v>
      </c>
      <c r="G3063" s="1" t="s">
        <v>18</v>
      </c>
      <c r="H3063" s="1" t="n">
        <v>3</v>
      </c>
      <c r="I3063" s="1" t="n">
        <v>0</v>
      </c>
      <c r="J3063" s="1" t="n">
        <v>20201</v>
      </c>
      <c r="L3063" s="1" t="str">
        <f aca="false">IF(D3062&lt;&gt;D3063,D3063,"")</f>
        <v/>
      </c>
      <c r="M3063" s="1" t="str">
        <f aca="false">IF(F3062&lt;&gt;F3063,F3063,"")</f>
        <v/>
      </c>
    </row>
    <row r="3064" customFormat="false" ht="15" hidden="false" customHeight="false" outlineLevel="0" collapsed="false">
      <c r="A3064" s="1" t="s">
        <v>549</v>
      </c>
      <c r="B3064" s="1" t="s">
        <v>550</v>
      </c>
      <c r="C3064" s="1" t="s">
        <v>942</v>
      </c>
      <c r="D3064" s="1" t="s">
        <v>943</v>
      </c>
      <c r="E3064" s="1" t="n">
        <v>20171</v>
      </c>
      <c r="F3064" s="1" t="s">
        <v>208</v>
      </c>
      <c r="G3064" s="1" t="s">
        <v>18</v>
      </c>
      <c r="H3064" s="1" t="n">
        <v>3</v>
      </c>
      <c r="I3064" s="1" t="n">
        <v>0</v>
      </c>
      <c r="J3064" s="1" t="n">
        <v>20201</v>
      </c>
      <c r="L3064" s="1" t="str">
        <f aca="false">IF(D3063&lt;&gt;D3064,D3064,"")</f>
        <v/>
      </c>
      <c r="M3064" s="1" t="str">
        <f aca="false">IF(F3063&lt;&gt;F3064,F3064,"")</f>
        <v/>
      </c>
    </row>
    <row r="3065" customFormat="false" ht="15" hidden="false" customHeight="false" outlineLevel="0" collapsed="false">
      <c r="A3065" s="1" t="s">
        <v>679</v>
      </c>
      <c r="B3065" s="1" t="s">
        <v>680</v>
      </c>
      <c r="C3065" s="1" t="s">
        <v>942</v>
      </c>
      <c r="D3065" s="1" t="s">
        <v>943</v>
      </c>
      <c r="E3065" s="1" t="n">
        <v>20171</v>
      </c>
      <c r="F3065" s="1" t="s">
        <v>208</v>
      </c>
      <c r="G3065" s="1" t="s">
        <v>124</v>
      </c>
      <c r="H3065" s="1" t="n">
        <v>0</v>
      </c>
      <c r="I3065" s="1" t="n">
        <v>0</v>
      </c>
      <c r="J3065" s="1" t="n">
        <v>20201</v>
      </c>
      <c r="L3065" s="1" t="str">
        <f aca="false">IF(D3064&lt;&gt;D3065,D3065,"")</f>
        <v/>
      </c>
      <c r="M3065" s="1" t="str">
        <f aca="false">IF(F3064&lt;&gt;F3065,F3065,"")</f>
        <v/>
      </c>
    </row>
    <row r="3066" customFormat="false" ht="15" hidden="false" customHeight="false" outlineLevel="0" collapsed="false">
      <c r="A3066" s="1" t="s">
        <v>525</v>
      </c>
      <c r="B3066" s="1" t="s">
        <v>526</v>
      </c>
      <c r="C3066" s="1" t="s">
        <v>942</v>
      </c>
      <c r="D3066" s="1" t="s">
        <v>943</v>
      </c>
      <c r="E3066" s="1" t="n">
        <v>20171</v>
      </c>
      <c r="F3066" s="1" t="s">
        <v>208</v>
      </c>
      <c r="G3066" s="1" t="s">
        <v>124</v>
      </c>
      <c r="H3066" s="1" t="n">
        <v>0</v>
      </c>
      <c r="I3066" s="1" t="n">
        <v>0</v>
      </c>
      <c r="J3066" s="1" t="n">
        <v>20201</v>
      </c>
      <c r="L3066" s="1" t="str">
        <f aca="false">IF(D3065&lt;&gt;D3066,D3066,"")</f>
        <v/>
      </c>
      <c r="M3066" s="1" t="str">
        <f aca="false">IF(F3065&lt;&gt;F3066,F3066,"")</f>
        <v/>
      </c>
    </row>
    <row r="3067" customFormat="false" ht="15" hidden="false" customHeight="false" outlineLevel="0" collapsed="false">
      <c r="A3067" s="1" t="s">
        <v>802</v>
      </c>
      <c r="B3067" s="1" t="s">
        <v>803</v>
      </c>
      <c r="C3067" s="1" t="s">
        <v>942</v>
      </c>
      <c r="D3067" s="1" t="s">
        <v>943</v>
      </c>
      <c r="E3067" s="1" t="n">
        <v>20171</v>
      </c>
      <c r="F3067" s="1" t="s">
        <v>208</v>
      </c>
      <c r="G3067" s="1" t="s">
        <v>18</v>
      </c>
      <c r="H3067" s="1" t="n">
        <v>3</v>
      </c>
      <c r="I3067" s="1" t="n">
        <v>0</v>
      </c>
      <c r="J3067" s="1" t="n">
        <v>20201</v>
      </c>
      <c r="L3067" s="1" t="str">
        <f aca="false">IF(D3066&lt;&gt;D3067,D3067,"")</f>
        <v/>
      </c>
      <c r="M3067" s="1" t="str">
        <f aca="false">IF(F3066&lt;&gt;F3067,F3067,"")</f>
        <v/>
      </c>
    </row>
    <row r="3068" customFormat="false" ht="15" hidden="false" customHeight="false" outlineLevel="0" collapsed="false">
      <c r="A3068" s="1" t="s">
        <v>844</v>
      </c>
      <c r="B3068" s="1" t="s">
        <v>845</v>
      </c>
      <c r="C3068" s="1" t="s">
        <v>942</v>
      </c>
      <c r="D3068" s="1" t="s">
        <v>943</v>
      </c>
      <c r="E3068" s="1" t="n">
        <v>20171</v>
      </c>
      <c r="F3068" s="1" t="s">
        <v>208</v>
      </c>
      <c r="G3068" s="1" t="s">
        <v>124</v>
      </c>
      <c r="H3068" s="1" t="n">
        <v>0</v>
      </c>
      <c r="I3068" s="1" t="n">
        <v>0</v>
      </c>
      <c r="J3068" s="1" t="n">
        <v>20201</v>
      </c>
      <c r="L3068" s="1" t="str">
        <f aca="false">IF(D3067&lt;&gt;D3068,D3068,"")</f>
        <v/>
      </c>
      <c r="M3068" s="1" t="str">
        <f aca="false">IF(F3067&lt;&gt;F3068,F3068,"")</f>
        <v/>
      </c>
    </row>
    <row r="3069" customFormat="false" ht="15" hidden="false" customHeight="false" outlineLevel="0" collapsed="false">
      <c r="A3069" s="1" t="s">
        <v>623</v>
      </c>
      <c r="B3069" s="1" t="s">
        <v>624</v>
      </c>
      <c r="C3069" s="1" t="s">
        <v>942</v>
      </c>
      <c r="D3069" s="1" t="s">
        <v>943</v>
      </c>
      <c r="E3069" s="1" t="n">
        <v>20171</v>
      </c>
      <c r="F3069" s="1" t="s">
        <v>208</v>
      </c>
      <c r="G3069" s="1" t="s">
        <v>101</v>
      </c>
      <c r="H3069" s="1" t="n">
        <v>2.5</v>
      </c>
      <c r="I3069" s="1" t="n">
        <v>0</v>
      </c>
      <c r="J3069" s="1" t="n">
        <v>20201</v>
      </c>
      <c r="L3069" s="1" t="str">
        <f aca="false">IF(D3068&lt;&gt;D3069,D3069,"")</f>
        <v/>
      </c>
      <c r="M3069" s="1" t="str">
        <f aca="false">IF(F3068&lt;&gt;F3069,F3069,"")</f>
        <v/>
      </c>
    </row>
    <row r="3070" customFormat="false" ht="15" hidden="false" customHeight="false" outlineLevel="0" collapsed="false">
      <c r="A3070" s="1" t="s">
        <v>585</v>
      </c>
      <c r="B3070" s="1" t="s">
        <v>586</v>
      </c>
      <c r="C3070" s="1" t="s">
        <v>942</v>
      </c>
      <c r="D3070" s="1" t="s">
        <v>943</v>
      </c>
      <c r="E3070" s="1" t="n">
        <v>20171</v>
      </c>
      <c r="F3070" s="1" t="s">
        <v>208</v>
      </c>
      <c r="G3070" s="1" t="s">
        <v>18</v>
      </c>
      <c r="H3070" s="1" t="n">
        <v>3</v>
      </c>
      <c r="I3070" s="1" t="n">
        <v>0</v>
      </c>
      <c r="J3070" s="1" t="n">
        <v>20201</v>
      </c>
      <c r="L3070" s="1" t="str">
        <f aca="false">IF(D3069&lt;&gt;D3070,D3070,"")</f>
        <v/>
      </c>
      <c r="M3070" s="1" t="str">
        <f aca="false">IF(F3069&lt;&gt;F3070,F3070,"")</f>
        <v/>
      </c>
    </row>
    <row r="3071" customFormat="false" ht="15" hidden="false" customHeight="false" outlineLevel="0" collapsed="false">
      <c r="A3071" s="1" t="s">
        <v>587</v>
      </c>
      <c r="B3071" s="1" t="s">
        <v>588</v>
      </c>
      <c r="C3071" s="1" t="s">
        <v>942</v>
      </c>
      <c r="D3071" s="1" t="s">
        <v>943</v>
      </c>
      <c r="E3071" s="1" t="n">
        <v>20171</v>
      </c>
      <c r="F3071" s="1" t="s">
        <v>208</v>
      </c>
      <c r="G3071" s="1" t="s">
        <v>23</v>
      </c>
      <c r="H3071" s="1" t="n">
        <v>0</v>
      </c>
      <c r="I3071" s="1" t="n">
        <v>0</v>
      </c>
      <c r="J3071" s="1" t="n">
        <v>20201</v>
      </c>
      <c r="L3071" s="1" t="str">
        <f aca="false">IF(D3070&lt;&gt;D3071,D3071,"")</f>
        <v/>
      </c>
      <c r="M3071" s="1" t="str">
        <f aca="false">IF(F3070&lt;&gt;F3071,F3071,"")</f>
        <v/>
      </c>
    </row>
    <row r="3072" customFormat="false" ht="15" hidden="false" customHeight="false" outlineLevel="0" collapsed="false">
      <c r="A3072" s="1" t="s">
        <v>512</v>
      </c>
      <c r="B3072" s="1" t="s">
        <v>513</v>
      </c>
      <c r="C3072" s="1" t="s">
        <v>942</v>
      </c>
      <c r="D3072" s="1" t="s">
        <v>943</v>
      </c>
      <c r="E3072" s="1" t="n">
        <v>20171</v>
      </c>
      <c r="F3072" s="1" t="s">
        <v>208</v>
      </c>
      <c r="G3072" s="1" t="s">
        <v>18</v>
      </c>
      <c r="H3072" s="1" t="n">
        <v>3</v>
      </c>
      <c r="I3072" s="1" t="n">
        <v>0</v>
      </c>
      <c r="J3072" s="1" t="n">
        <v>20201</v>
      </c>
      <c r="L3072" s="1" t="str">
        <f aca="false">IF(D3071&lt;&gt;D3072,D3072,"")</f>
        <v/>
      </c>
      <c r="M3072" s="1" t="str">
        <f aca="false">IF(F3071&lt;&gt;F3072,F3072,"")</f>
        <v/>
      </c>
    </row>
    <row r="3073" customFormat="false" ht="15" hidden="false" customHeight="false" outlineLevel="0" collapsed="false">
      <c r="A3073" s="1" t="s">
        <v>818</v>
      </c>
      <c r="B3073" s="1" t="s">
        <v>819</v>
      </c>
      <c r="C3073" s="1" t="s">
        <v>942</v>
      </c>
      <c r="D3073" s="1" t="s">
        <v>943</v>
      </c>
      <c r="E3073" s="1" t="n">
        <v>20171</v>
      </c>
      <c r="F3073" s="1" t="s">
        <v>208</v>
      </c>
      <c r="G3073" s="1" t="s">
        <v>18</v>
      </c>
      <c r="H3073" s="1" t="n">
        <v>3</v>
      </c>
      <c r="I3073" s="1" t="n">
        <v>0</v>
      </c>
      <c r="J3073" s="1" t="n">
        <v>20201</v>
      </c>
      <c r="L3073" s="1" t="str">
        <f aca="false">IF(D3072&lt;&gt;D3073,D3073,"")</f>
        <v/>
      </c>
      <c r="M3073" s="1" t="str">
        <f aca="false">IF(F3072&lt;&gt;F3073,F3073,"")</f>
        <v/>
      </c>
    </row>
    <row r="3074" customFormat="false" ht="15" hidden="false" customHeight="false" outlineLevel="0" collapsed="false">
      <c r="A3074" s="1" t="s">
        <v>673</v>
      </c>
      <c r="B3074" s="1" t="s">
        <v>674</v>
      </c>
      <c r="C3074" s="1" t="s">
        <v>942</v>
      </c>
      <c r="D3074" s="1" t="s">
        <v>943</v>
      </c>
      <c r="E3074" s="1" t="n">
        <v>20171</v>
      </c>
      <c r="F3074" s="1" t="s">
        <v>208</v>
      </c>
      <c r="G3074" s="1" t="s">
        <v>18</v>
      </c>
      <c r="H3074" s="1" t="n">
        <v>3</v>
      </c>
      <c r="I3074" s="1" t="n">
        <v>0</v>
      </c>
      <c r="J3074" s="1" t="n">
        <v>20201</v>
      </c>
      <c r="L3074" s="1" t="str">
        <f aca="false">IF(D3073&lt;&gt;D3074,D3074,"")</f>
        <v/>
      </c>
      <c r="M3074" s="1" t="str">
        <f aca="false">IF(F3073&lt;&gt;F3074,F3074,"")</f>
        <v/>
      </c>
    </row>
    <row r="3075" customFormat="false" ht="15" hidden="false" customHeight="false" outlineLevel="0" collapsed="false">
      <c r="A3075" s="1" t="s">
        <v>527</v>
      </c>
      <c r="B3075" s="1" t="s">
        <v>528</v>
      </c>
      <c r="C3075" s="1" t="s">
        <v>942</v>
      </c>
      <c r="D3075" s="1" t="s">
        <v>943</v>
      </c>
      <c r="E3075" s="1" t="n">
        <v>20171</v>
      </c>
      <c r="F3075" s="1" t="s">
        <v>208</v>
      </c>
      <c r="G3075" s="1" t="s">
        <v>18</v>
      </c>
      <c r="H3075" s="1" t="n">
        <v>3</v>
      </c>
      <c r="I3075" s="1" t="n">
        <v>0</v>
      </c>
      <c r="J3075" s="1" t="n">
        <v>20201</v>
      </c>
      <c r="L3075" s="1" t="str">
        <f aca="false">IF(D3074&lt;&gt;D3075,D3075,"")</f>
        <v/>
      </c>
      <c r="M3075" s="1" t="str">
        <f aca="false">IF(F3074&lt;&gt;F3075,F3075,"")</f>
        <v/>
      </c>
    </row>
    <row r="3076" customFormat="false" ht="15" hidden="false" customHeight="false" outlineLevel="0" collapsed="false">
      <c r="A3076" s="1" t="s">
        <v>659</v>
      </c>
      <c r="B3076" s="1" t="s">
        <v>660</v>
      </c>
      <c r="C3076" s="1" t="s">
        <v>942</v>
      </c>
      <c r="D3076" s="1" t="s">
        <v>943</v>
      </c>
      <c r="E3076" s="1" t="n">
        <v>20171</v>
      </c>
      <c r="F3076" s="1" t="s">
        <v>208</v>
      </c>
      <c r="G3076" s="1" t="s">
        <v>101</v>
      </c>
      <c r="H3076" s="1" t="n">
        <v>2.5</v>
      </c>
      <c r="I3076" s="1" t="n">
        <v>0</v>
      </c>
      <c r="J3076" s="1" t="n">
        <v>20201</v>
      </c>
      <c r="L3076" s="1" t="str">
        <f aca="false">IF(D3075&lt;&gt;D3076,D3076,"")</f>
        <v/>
      </c>
      <c r="M3076" s="1" t="str">
        <f aca="false">IF(F3075&lt;&gt;F3076,F3076,"")</f>
        <v/>
      </c>
    </row>
    <row r="3077" customFormat="false" ht="15" hidden="false" customHeight="false" outlineLevel="0" collapsed="false">
      <c r="A3077" s="1" t="s">
        <v>629</v>
      </c>
      <c r="B3077" s="1" t="s">
        <v>630</v>
      </c>
      <c r="C3077" s="1" t="s">
        <v>942</v>
      </c>
      <c r="D3077" s="1" t="s">
        <v>943</v>
      </c>
      <c r="E3077" s="1" t="n">
        <v>20171</v>
      </c>
      <c r="F3077" s="1" t="s">
        <v>208</v>
      </c>
      <c r="G3077" s="1" t="s">
        <v>18</v>
      </c>
      <c r="H3077" s="1" t="n">
        <v>3</v>
      </c>
      <c r="I3077" s="1" t="n">
        <v>0</v>
      </c>
      <c r="J3077" s="1" t="n">
        <v>20201</v>
      </c>
      <c r="L3077" s="1" t="str">
        <f aca="false">IF(D3076&lt;&gt;D3077,D3077,"")</f>
        <v/>
      </c>
      <c r="M3077" s="1" t="str">
        <f aca="false">IF(F3076&lt;&gt;F3077,F3077,"")</f>
        <v/>
      </c>
    </row>
    <row r="3078" customFormat="false" ht="15" hidden="false" customHeight="false" outlineLevel="0" collapsed="false">
      <c r="A3078" s="1" t="s">
        <v>631</v>
      </c>
      <c r="B3078" s="1" t="s">
        <v>632</v>
      </c>
      <c r="C3078" s="1" t="s">
        <v>942</v>
      </c>
      <c r="D3078" s="1" t="s">
        <v>943</v>
      </c>
      <c r="E3078" s="1" t="n">
        <v>20171</v>
      </c>
      <c r="F3078" s="1" t="s">
        <v>208</v>
      </c>
      <c r="G3078" s="1" t="s">
        <v>18</v>
      </c>
      <c r="H3078" s="1" t="n">
        <v>3</v>
      </c>
      <c r="I3078" s="1" t="n">
        <v>0</v>
      </c>
      <c r="J3078" s="1" t="n">
        <v>20201</v>
      </c>
      <c r="L3078" s="1" t="str">
        <f aca="false">IF(D3077&lt;&gt;D3078,D3078,"")</f>
        <v/>
      </c>
      <c r="M3078" s="1" t="str">
        <f aca="false">IF(F3077&lt;&gt;F3078,F3078,"")</f>
        <v/>
      </c>
    </row>
    <row r="3079" customFormat="false" ht="15" hidden="false" customHeight="false" outlineLevel="0" collapsed="false">
      <c r="A3079" s="1" t="s">
        <v>633</v>
      </c>
      <c r="B3079" s="1" t="s">
        <v>634</v>
      </c>
      <c r="C3079" s="1" t="s">
        <v>942</v>
      </c>
      <c r="D3079" s="1" t="s">
        <v>943</v>
      </c>
      <c r="E3079" s="1" t="n">
        <v>20171</v>
      </c>
      <c r="F3079" s="1" t="s">
        <v>208</v>
      </c>
      <c r="G3079" s="1" t="s">
        <v>23</v>
      </c>
      <c r="H3079" s="1" t="n">
        <v>0</v>
      </c>
      <c r="I3079" s="1" t="n">
        <v>0</v>
      </c>
      <c r="J3079" s="1" t="n">
        <v>20201</v>
      </c>
      <c r="L3079" s="1" t="str">
        <f aca="false">IF(D3078&lt;&gt;D3079,D3079,"")</f>
        <v/>
      </c>
      <c r="M3079" s="1" t="str">
        <f aca="false">IF(F3078&lt;&gt;F3079,F3079,"")</f>
        <v/>
      </c>
    </row>
    <row r="3080" customFormat="false" ht="15" hidden="false" customHeight="false" outlineLevel="0" collapsed="false">
      <c r="A3080" s="1" t="s">
        <v>615</v>
      </c>
      <c r="B3080" s="1" t="s">
        <v>616</v>
      </c>
      <c r="C3080" s="1" t="s">
        <v>942</v>
      </c>
      <c r="D3080" s="1" t="s">
        <v>943</v>
      </c>
      <c r="E3080" s="1" t="n">
        <v>20171</v>
      </c>
      <c r="F3080" s="1" t="s">
        <v>208</v>
      </c>
      <c r="G3080" s="1" t="s">
        <v>101</v>
      </c>
      <c r="H3080" s="1" t="n">
        <v>2.5</v>
      </c>
      <c r="I3080" s="1" t="n">
        <v>0</v>
      </c>
      <c r="J3080" s="1" t="n">
        <v>20201</v>
      </c>
      <c r="L3080" s="1" t="str">
        <f aca="false">IF(D3079&lt;&gt;D3080,D3080,"")</f>
        <v/>
      </c>
      <c r="M3080" s="1" t="str">
        <f aca="false">IF(F3079&lt;&gt;F3080,F3080,"")</f>
        <v/>
      </c>
    </row>
    <row r="3081" customFormat="false" ht="15" hidden="false" customHeight="false" outlineLevel="0" collapsed="false">
      <c r="A3081" s="1" t="s">
        <v>824</v>
      </c>
      <c r="B3081" s="1" t="s">
        <v>825</v>
      </c>
      <c r="C3081" s="1" t="s">
        <v>942</v>
      </c>
      <c r="D3081" s="1" t="s">
        <v>943</v>
      </c>
      <c r="E3081" s="1" t="n">
        <v>20171</v>
      </c>
      <c r="F3081" s="1" t="s">
        <v>208</v>
      </c>
      <c r="G3081" s="1" t="s">
        <v>18</v>
      </c>
      <c r="H3081" s="1" t="n">
        <v>3</v>
      </c>
      <c r="I3081" s="1" t="n">
        <v>0</v>
      </c>
      <c r="J3081" s="1" t="n">
        <v>20201</v>
      </c>
      <c r="L3081" s="1" t="str">
        <f aca="false">IF(D3080&lt;&gt;D3081,D3081,"")</f>
        <v/>
      </c>
      <c r="M3081" s="1" t="str">
        <f aca="false">IF(F3080&lt;&gt;F3081,F3081,"")</f>
        <v/>
      </c>
    </row>
    <row r="3082" customFormat="false" ht="15" hidden="false" customHeight="false" outlineLevel="0" collapsed="false">
      <c r="A3082" s="1" t="s">
        <v>529</v>
      </c>
      <c r="B3082" s="1" t="s">
        <v>530</v>
      </c>
      <c r="C3082" s="1" t="s">
        <v>942</v>
      </c>
      <c r="D3082" s="1" t="s">
        <v>943</v>
      </c>
      <c r="E3082" s="1" t="n">
        <v>20171</v>
      </c>
      <c r="F3082" s="1" t="s">
        <v>208</v>
      </c>
      <c r="G3082" s="1" t="s">
        <v>23</v>
      </c>
      <c r="H3082" s="1" t="n">
        <v>0</v>
      </c>
      <c r="I3082" s="1" t="n">
        <v>0</v>
      </c>
      <c r="J3082" s="1" t="n">
        <v>20201</v>
      </c>
      <c r="L3082" s="1" t="str">
        <f aca="false">IF(D3081&lt;&gt;D3082,D3082,"")</f>
        <v/>
      </c>
      <c r="M3082" s="1" t="str">
        <f aca="false">IF(F3081&lt;&gt;F3082,F3082,"")</f>
        <v/>
      </c>
    </row>
    <row r="3083" customFormat="false" ht="15" hidden="false" customHeight="false" outlineLevel="0" collapsed="false">
      <c r="A3083" s="1" t="s">
        <v>523</v>
      </c>
      <c r="B3083" s="1" t="s">
        <v>524</v>
      </c>
      <c r="C3083" s="1" t="s">
        <v>944</v>
      </c>
      <c r="D3083" s="1" t="s">
        <v>945</v>
      </c>
      <c r="E3083" s="1" t="n">
        <v>20171</v>
      </c>
      <c r="F3083" s="1" t="s">
        <v>208</v>
      </c>
      <c r="G3083" s="1" t="s">
        <v>15</v>
      </c>
      <c r="H3083" s="1" t="n">
        <v>3.5</v>
      </c>
      <c r="I3083" s="1" t="n">
        <v>0</v>
      </c>
      <c r="J3083" s="1" t="n">
        <v>20201</v>
      </c>
      <c r="L3083" s="1" t="str">
        <f aca="false">IF(D3082&lt;&gt;D3083,D3083,"")</f>
        <v>SISTEM KENDALI</v>
      </c>
      <c r="M3083" s="1" t="str">
        <f aca="false">IF(F3082&lt;&gt;F3083,F3083,"")</f>
        <v/>
      </c>
    </row>
    <row r="3084" customFormat="false" ht="15" hidden="false" customHeight="false" outlineLevel="0" collapsed="false">
      <c r="A3084" s="1" t="s">
        <v>585</v>
      </c>
      <c r="B3084" s="1" t="s">
        <v>586</v>
      </c>
      <c r="C3084" s="1" t="s">
        <v>944</v>
      </c>
      <c r="D3084" s="1" t="s">
        <v>945</v>
      </c>
      <c r="E3084" s="1" t="n">
        <v>20171</v>
      </c>
      <c r="F3084" s="1" t="s">
        <v>208</v>
      </c>
      <c r="G3084" s="1" t="s">
        <v>15</v>
      </c>
      <c r="H3084" s="1" t="n">
        <v>3.5</v>
      </c>
      <c r="I3084" s="1" t="n">
        <v>0</v>
      </c>
      <c r="J3084" s="1" t="n">
        <v>20201</v>
      </c>
      <c r="L3084" s="1" t="str">
        <f aca="false">IF(D3083&lt;&gt;D3084,D3084,"")</f>
        <v/>
      </c>
      <c r="M3084" s="1" t="str">
        <f aca="false">IF(F3083&lt;&gt;F3084,F3084,"")</f>
        <v/>
      </c>
    </row>
    <row r="3085" customFormat="false" ht="15" hidden="false" customHeight="false" outlineLevel="0" collapsed="false">
      <c r="A3085" s="1" t="s">
        <v>589</v>
      </c>
      <c r="B3085" s="1" t="s">
        <v>590</v>
      </c>
      <c r="C3085" s="1" t="s">
        <v>944</v>
      </c>
      <c r="D3085" s="1" t="s">
        <v>945</v>
      </c>
      <c r="E3085" s="1" t="n">
        <v>20171</v>
      </c>
      <c r="F3085" s="1" t="s">
        <v>208</v>
      </c>
      <c r="G3085" s="1" t="s">
        <v>15</v>
      </c>
      <c r="H3085" s="1" t="n">
        <v>3.5</v>
      </c>
      <c r="I3085" s="1" t="n">
        <v>0</v>
      </c>
      <c r="J3085" s="1" t="n">
        <v>20201</v>
      </c>
      <c r="L3085" s="1" t="str">
        <f aca="false">IF(D3084&lt;&gt;D3085,D3085,"")</f>
        <v/>
      </c>
      <c r="M3085" s="1" t="str">
        <f aca="false">IF(F3084&lt;&gt;F3085,F3085,"")</f>
        <v/>
      </c>
    </row>
    <row r="3086" customFormat="false" ht="15" hidden="false" customHeight="false" outlineLevel="0" collapsed="false">
      <c r="A3086" s="1" t="s">
        <v>657</v>
      </c>
      <c r="B3086" s="1" t="s">
        <v>658</v>
      </c>
      <c r="C3086" s="1" t="s">
        <v>944</v>
      </c>
      <c r="D3086" s="1" t="s">
        <v>945</v>
      </c>
      <c r="E3086" s="1" t="n">
        <v>20171</v>
      </c>
      <c r="F3086" s="1" t="s">
        <v>208</v>
      </c>
      <c r="G3086" s="1" t="s">
        <v>15</v>
      </c>
      <c r="H3086" s="1" t="n">
        <v>3.5</v>
      </c>
      <c r="I3086" s="1" t="n">
        <v>0</v>
      </c>
      <c r="J3086" s="1" t="n">
        <v>20201</v>
      </c>
      <c r="L3086" s="1" t="str">
        <f aca="false">IF(D3085&lt;&gt;D3086,D3086,"")</f>
        <v/>
      </c>
      <c r="M3086" s="1" t="str">
        <f aca="false">IF(F3085&lt;&gt;F3086,F3086,"")</f>
        <v/>
      </c>
    </row>
    <row r="3087" customFormat="false" ht="15" hidden="false" customHeight="false" outlineLevel="0" collapsed="false">
      <c r="A3087" s="1" t="s">
        <v>691</v>
      </c>
      <c r="B3087" s="1" t="s">
        <v>692</v>
      </c>
      <c r="C3087" s="1" t="s">
        <v>944</v>
      </c>
      <c r="D3087" s="1" t="s">
        <v>945</v>
      </c>
      <c r="E3087" s="1" t="n">
        <v>20171</v>
      </c>
      <c r="F3087" s="1" t="s">
        <v>208</v>
      </c>
      <c r="G3087" s="1" t="s">
        <v>14</v>
      </c>
      <c r="H3087" s="1" t="n">
        <v>4</v>
      </c>
      <c r="I3087" s="1" t="n">
        <v>0</v>
      </c>
      <c r="J3087" s="1" t="n">
        <v>20201</v>
      </c>
      <c r="L3087" s="1" t="str">
        <f aca="false">IF(D3086&lt;&gt;D3087,D3087,"")</f>
        <v/>
      </c>
      <c r="M3087" s="1" t="str">
        <f aca="false">IF(F3086&lt;&gt;F3087,F3087,"")</f>
        <v/>
      </c>
    </row>
    <row r="3088" customFormat="false" ht="15" hidden="false" customHeight="false" outlineLevel="0" collapsed="false">
      <c r="A3088" s="1" t="s">
        <v>310</v>
      </c>
      <c r="B3088" s="1" t="s">
        <v>311</v>
      </c>
      <c r="C3088" s="1" t="s">
        <v>944</v>
      </c>
      <c r="D3088" s="1" t="s">
        <v>945</v>
      </c>
      <c r="E3088" s="1" t="n">
        <v>20171</v>
      </c>
      <c r="F3088" s="1" t="s">
        <v>208</v>
      </c>
      <c r="G3088" s="1" t="s">
        <v>15</v>
      </c>
      <c r="H3088" s="1" t="n">
        <v>3.5</v>
      </c>
      <c r="I3088" s="1" t="n">
        <v>0</v>
      </c>
      <c r="J3088" s="1" t="n">
        <v>20201</v>
      </c>
      <c r="L3088" s="1" t="str">
        <f aca="false">IF(D3087&lt;&gt;D3088,D3088,"")</f>
        <v/>
      </c>
      <c r="M3088" s="1" t="str">
        <f aca="false">IF(F3087&lt;&gt;F3088,F3088,"")</f>
        <v/>
      </c>
    </row>
    <row r="3089" customFormat="false" ht="15" hidden="false" customHeight="false" outlineLevel="0" collapsed="false">
      <c r="A3089" s="1" t="s">
        <v>275</v>
      </c>
      <c r="B3089" s="1" t="s">
        <v>276</v>
      </c>
      <c r="C3089" s="1" t="s">
        <v>944</v>
      </c>
      <c r="D3089" s="1" t="s">
        <v>945</v>
      </c>
      <c r="E3089" s="1" t="n">
        <v>20171</v>
      </c>
      <c r="F3089" s="1" t="s">
        <v>208</v>
      </c>
      <c r="G3089" s="1" t="s">
        <v>15</v>
      </c>
      <c r="H3089" s="1" t="n">
        <v>3.5</v>
      </c>
      <c r="I3089" s="1" t="n">
        <v>0</v>
      </c>
      <c r="J3089" s="1" t="n">
        <v>20201</v>
      </c>
      <c r="L3089" s="1" t="str">
        <f aca="false">IF(D3088&lt;&gt;D3089,D3089,"")</f>
        <v/>
      </c>
      <c r="M3089" s="1" t="str">
        <f aca="false">IF(F3088&lt;&gt;F3089,F3089,"")</f>
        <v/>
      </c>
    </row>
    <row r="3090" customFormat="false" ht="15" hidden="false" customHeight="false" outlineLevel="0" collapsed="false">
      <c r="A3090" s="1" t="s">
        <v>697</v>
      </c>
      <c r="B3090" s="1" t="s">
        <v>698</v>
      </c>
      <c r="C3090" s="1" t="s">
        <v>944</v>
      </c>
      <c r="D3090" s="1" t="s">
        <v>945</v>
      </c>
      <c r="E3090" s="1" t="n">
        <v>20171</v>
      </c>
      <c r="F3090" s="1" t="s">
        <v>208</v>
      </c>
      <c r="G3090" s="1" t="s">
        <v>15</v>
      </c>
      <c r="H3090" s="1" t="n">
        <v>3.5</v>
      </c>
      <c r="I3090" s="1" t="n">
        <v>0</v>
      </c>
      <c r="J3090" s="1" t="n">
        <v>20201</v>
      </c>
      <c r="L3090" s="1" t="str">
        <f aca="false">IF(D3089&lt;&gt;D3090,D3090,"")</f>
        <v/>
      </c>
      <c r="M3090" s="1" t="str">
        <f aca="false">IF(F3089&lt;&gt;F3090,F3090,"")</f>
        <v/>
      </c>
    </row>
    <row r="3091" customFormat="false" ht="15" hidden="false" customHeight="false" outlineLevel="0" collapsed="false">
      <c r="A3091" s="1" t="s">
        <v>537</v>
      </c>
      <c r="B3091" s="1" t="s">
        <v>538</v>
      </c>
      <c r="C3091" s="1" t="s">
        <v>944</v>
      </c>
      <c r="D3091" s="1" t="s">
        <v>945</v>
      </c>
      <c r="E3091" s="1" t="n">
        <v>20171</v>
      </c>
      <c r="F3091" s="1" t="s">
        <v>208</v>
      </c>
      <c r="G3091" s="1" t="s">
        <v>15</v>
      </c>
      <c r="H3091" s="1" t="n">
        <v>3.5</v>
      </c>
      <c r="I3091" s="1" t="n">
        <v>0</v>
      </c>
      <c r="J3091" s="1" t="n">
        <v>20201</v>
      </c>
      <c r="L3091" s="1" t="str">
        <f aca="false">IF(D3090&lt;&gt;D3091,D3091,"")</f>
        <v/>
      </c>
      <c r="M3091" s="1" t="str">
        <f aca="false">IF(F3090&lt;&gt;F3091,F3091,"")</f>
        <v/>
      </c>
    </row>
    <row r="3092" customFormat="false" ht="15" hidden="false" customHeight="false" outlineLevel="0" collapsed="false">
      <c r="A3092" s="1" t="s">
        <v>703</v>
      </c>
      <c r="B3092" s="1" t="s">
        <v>704</v>
      </c>
      <c r="C3092" s="1" t="s">
        <v>944</v>
      </c>
      <c r="D3092" s="1" t="s">
        <v>945</v>
      </c>
      <c r="E3092" s="1" t="n">
        <v>20171</v>
      </c>
      <c r="F3092" s="1" t="s">
        <v>208</v>
      </c>
      <c r="G3092" s="1" t="s">
        <v>14</v>
      </c>
      <c r="H3092" s="1" t="n">
        <v>4</v>
      </c>
      <c r="I3092" s="1" t="n">
        <v>0</v>
      </c>
      <c r="J3092" s="1" t="n">
        <v>20201</v>
      </c>
      <c r="L3092" s="1" t="str">
        <f aca="false">IF(D3091&lt;&gt;D3092,D3092,"")</f>
        <v/>
      </c>
      <c r="M3092" s="1" t="str">
        <f aca="false">IF(F3091&lt;&gt;F3092,F3092,"")</f>
        <v/>
      </c>
    </row>
    <row r="3093" customFormat="false" ht="15" hidden="false" customHeight="false" outlineLevel="0" collapsed="false">
      <c r="A3093" s="1" t="s">
        <v>221</v>
      </c>
      <c r="B3093" s="1" t="s">
        <v>222</v>
      </c>
      <c r="C3093" s="1" t="s">
        <v>944</v>
      </c>
      <c r="D3093" s="1" t="s">
        <v>945</v>
      </c>
      <c r="E3093" s="1" t="n">
        <v>20171</v>
      </c>
      <c r="F3093" s="1" t="s">
        <v>208</v>
      </c>
      <c r="G3093" s="1" t="s">
        <v>14</v>
      </c>
      <c r="H3093" s="1" t="n">
        <v>4</v>
      </c>
      <c r="I3093" s="1" t="n">
        <v>0</v>
      </c>
      <c r="J3093" s="1" t="n">
        <v>20201</v>
      </c>
      <c r="L3093" s="1" t="str">
        <f aca="false">IF(D3092&lt;&gt;D3093,D3093,"")</f>
        <v/>
      </c>
      <c r="M3093" s="1" t="str">
        <f aca="false">IF(F3092&lt;&gt;F3093,F3093,"")</f>
        <v/>
      </c>
    </row>
    <row r="3094" customFormat="false" ht="15" hidden="false" customHeight="false" outlineLevel="0" collapsed="false">
      <c r="A3094" s="1" t="s">
        <v>705</v>
      </c>
      <c r="B3094" s="1" t="s">
        <v>706</v>
      </c>
      <c r="C3094" s="1" t="s">
        <v>944</v>
      </c>
      <c r="D3094" s="1" t="s">
        <v>945</v>
      </c>
      <c r="E3094" s="1" t="n">
        <v>20171</v>
      </c>
      <c r="F3094" s="1" t="s">
        <v>208</v>
      </c>
      <c r="G3094" s="1" t="s">
        <v>15</v>
      </c>
      <c r="H3094" s="1" t="n">
        <v>3.5</v>
      </c>
      <c r="I3094" s="1" t="n">
        <v>0</v>
      </c>
      <c r="J3094" s="1" t="n">
        <v>20201</v>
      </c>
      <c r="L3094" s="1" t="str">
        <f aca="false">IF(D3093&lt;&gt;D3094,D3094,"")</f>
        <v/>
      </c>
      <c r="M3094" s="1" t="str">
        <f aca="false">IF(F3093&lt;&gt;F3094,F3094,"")</f>
        <v/>
      </c>
    </row>
    <row r="3095" customFormat="false" ht="15" hidden="false" customHeight="false" outlineLevel="0" collapsed="false">
      <c r="A3095" s="1" t="s">
        <v>285</v>
      </c>
      <c r="B3095" s="1" t="s">
        <v>286</v>
      </c>
      <c r="C3095" s="1" t="s">
        <v>944</v>
      </c>
      <c r="D3095" s="1" t="s">
        <v>945</v>
      </c>
      <c r="E3095" s="1" t="n">
        <v>20171</v>
      </c>
      <c r="F3095" s="1" t="s">
        <v>208</v>
      </c>
      <c r="G3095" s="1" t="s">
        <v>15</v>
      </c>
      <c r="H3095" s="1" t="n">
        <v>3.5</v>
      </c>
      <c r="I3095" s="1" t="n">
        <v>0</v>
      </c>
      <c r="J3095" s="1" t="n">
        <v>20201</v>
      </c>
      <c r="L3095" s="1" t="str">
        <f aca="false">IF(D3094&lt;&gt;D3095,D3095,"")</f>
        <v/>
      </c>
      <c r="M3095" s="1" t="str">
        <f aca="false">IF(F3094&lt;&gt;F3095,F3095,"")</f>
        <v/>
      </c>
    </row>
    <row r="3096" customFormat="false" ht="15" hidden="false" customHeight="false" outlineLevel="0" collapsed="false">
      <c r="A3096" s="1" t="s">
        <v>715</v>
      </c>
      <c r="B3096" s="1" t="s">
        <v>716</v>
      </c>
      <c r="C3096" s="1" t="s">
        <v>944</v>
      </c>
      <c r="D3096" s="1" t="s">
        <v>945</v>
      </c>
      <c r="E3096" s="1" t="n">
        <v>20171</v>
      </c>
      <c r="F3096" s="1" t="s">
        <v>208</v>
      </c>
      <c r="G3096" s="1" t="s">
        <v>15</v>
      </c>
      <c r="H3096" s="1" t="n">
        <v>3.5</v>
      </c>
      <c r="I3096" s="1" t="n">
        <v>0</v>
      </c>
      <c r="J3096" s="1" t="n">
        <v>20201</v>
      </c>
      <c r="L3096" s="1" t="str">
        <f aca="false">IF(D3095&lt;&gt;D3096,D3096,"")</f>
        <v/>
      </c>
      <c r="M3096" s="1" t="str">
        <f aca="false">IF(F3095&lt;&gt;F3096,F3096,"")</f>
        <v/>
      </c>
    </row>
    <row r="3097" customFormat="false" ht="15" hidden="false" customHeight="false" outlineLevel="0" collapsed="false">
      <c r="A3097" s="1" t="s">
        <v>717</v>
      </c>
      <c r="B3097" s="1" t="s">
        <v>718</v>
      </c>
      <c r="C3097" s="1" t="s">
        <v>944</v>
      </c>
      <c r="D3097" s="1" t="s">
        <v>945</v>
      </c>
      <c r="E3097" s="1" t="n">
        <v>20171</v>
      </c>
      <c r="F3097" s="1" t="s">
        <v>208</v>
      </c>
      <c r="G3097" s="1" t="s">
        <v>14</v>
      </c>
      <c r="H3097" s="1" t="n">
        <v>4</v>
      </c>
      <c r="I3097" s="1" t="n">
        <v>0</v>
      </c>
      <c r="J3097" s="1" t="n">
        <v>20201</v>
      </c>
      <c r="L3097" s="1" t="str">
        <f aca="false">IF(D3096&lt;&gt;D3097,D3097,"")</f>
        <v/>
      </c>
      <c r="M3097" s="1" t="str">
        <f aca="false">IF(F3096&lt;&gt;F3097,F3097,"")</f>
        <v/>
      </c>
    </row>
    <row r="3098" customFormat="false" ht="15" hidden="false" customHeight="false" outlineLevel="0" collapsed="false">
      <c r="A3098" s="1" t="s">
        <v>235</v>
      </c>
      <c r="B3098" s="1" t="s">
        <v>236</v>
      </c>
      <c r="C3098" s="1" t="s">
        <v>944</v>
      </c>
      <c r="D3098" s="1" t="s">
        <v>945</v>
      </c>
      <c r="E3098" s="1" t="n">
        <v>20171</v>
      </c>
      <c r="F3098" s="1" t="s">
        <v>208</v>
      </c>
      <c r="G3098" s="1" t="s">
        <v>14</v>
      </c>
      <c r="H3098" s="1" t="n">
        <v>4</v>
      </c>
      <c r="I3098" s="1" t="n">
        <v>0</v>
      </c>
      <c r="J3098" s="1" t="n">
        <v>20201</v>
      </c>
      <c r="L3098" s="1" t="str">
        <f aca="false">IF(D3097&lt;&gt;D3098,D3098,"")</f>
        <v/>
      </c>
      <c r="M3098" s="1" t="str">
        <f aca="false">IF(F3097&lt;&gt;F3098,F3098,"")</f>
        <v/>
      </c>
    </row>
    <row r="3099" customFormat="false" ht="15" hidden="false" customHeight="false" outlineLevel="0" collapsed="false">
      <c r="A3099" s="1" t="s">
        <v>239</v>
      </c>
      <c r="B3099" s="1" t="s">
        <v>240</v>
      </c>
      <c r="C3099" s="1" t="s">
        <v>944</v>
      </c>
      <c r="D3099" s="1" t="s">
        <v>945</v>
      </c>
      <c r="E3099" s="1" t="n">
        <v>20171</v>
      </c>
      <c r="F3099" s="1" t="s">
        <v>208</v>
      </c>
      <c r="G3099" s="1" t="s">
        <v>14</v>
      </c>
      <c r="H3099" s="1" t="n">
        <v>4</v>
      </c>
      <c r="I3099" s="1" t="n">
        <v>0</v>
      </c>
      <c r="J3099" s="1" t="n">
        <v>20201</v>
      </c>
      <c r="L3099" s="1" t="str">
        <f aca="false">IF(D3098&lt;&gt;D3099,D3099,"")</f>
        <v/>
      </c>
      <c r="M3099" s="1" t="str">
        <f aca="false">IF(F3098&lt;&gt;F3099,F3099,"")</f>
        <v/>
      </c>
    </row>
    <row r="3100" customFormat="false" ht="15" hidden="false" customHeight="false" outlineLevel="0" collapsed="false">
      <c r="A3100" s="1" t="s">
        <v>547</v>
      </c>
      <c r="B3100" s="1" t="s">
        <v>548</v>
      </c>
      <c r="C3100" s="1" t="s">
        <v>944</v>
      </c>
      <c r="D3100" s="1" t="s">
        <v>945</v>
      </c>
      <c r="E3100" s="1" t="n">
        <v>20171</v>
      </c>
      <c r="F3100" s="1" t="s">
        <v>208</v>
      </c>
      <c r="G3100" s="1" t="s">
        <v>14</v>
      </c>
      <c r="H3100" s="1" t="n">
        <v>4</v>
      </c>
      <c r="I3100" s="1" t="n">
        <v>0</v>
      </c>
      <c r="J3100" s="1" t="n">
        <v>20201</v>
      </c>
      <c r="L3100" s="1" t="str">
        <f aca="false">IF(D3099&lt;&gt;D3100,D3100,"")</f>
        <v/>
      </c>
      <c r="M3100" s="1" t="str">
        <f aca="false">IF(F3099&lt;&gt;F3100,F3100,"")</f>
        <v/>
      </c>
    </row>
    <row r="3101" customFormat="false" ht="15" hidden="false" customHeight="false" outlineLevel="0" collapsed="false">
      <c r="A3101" s="1" t="s">
        <v>200</v>
      </c>
      <c r="B3101" s="1" t="s">
        <v>201</v>
      </c>
      <c r="C3101" s="1" t="s">
        <v>944</v>
      </c>
      <c r="D3101" s="1" t="s">
        <v>945</v>
      </c>
      <c r="E3101" s="1" t="n">
        <v>20171</v>
      </c>
      <c r="F3101" s="1" t="s">
        <v>208</v>
      </c>
      <c r="G3101" s="1" t="s">
        <v>124</v>
      </c>
      <c r="H3101" s="1" t="n">
        <v>0</v>
      </c>
      <c r="I3101" s="1" t="n">
        <v>0</v>
      </c>
      <c r="J3101" s="1" t="n">
        <v>20201</v>
      </c>
      <c r="L3101" s="1" t="str">
        <f aca="false">IF(D3100&lt;&gt;D3101,D3101,"")</f>
        <v/>
      </c>
      <c r="M3101" s="1" t="str">
        <f aca="false">IF(F3100&lt;&gt;F3101,F3101,"")</f>
        <v/>
      </c>
    </row>
    <row r="3102" customFormat="false" ht="15" hidden="false" customHeight="false" outlineLevel="0" collapsed="false">
      <c r="A3102" s="1" t="s">
        <v>515</v>
      </c>
      <c r="B3102" s="1" t="s">
        <v>516</v>
      </c>
      <c r="C3102" s="1" t="s">
        <v>944</v>
      </c>
      <c r="D3102" s="1" t="s">
        <v>945</v>
      </c>
      <c r="E3102" s="1" t="n">
        <v>20171</v>
      </c>
      <c r="F3102" s="1" t="s">
        <v>208</v>
      </c>
      <c r="G3102" s="1" t="s">
        <v>124</v>
      </c>
      <c r="H3102" s="1" t="n">
        <v>0</v>
      </c>
      <c r="I3102" s="1" t="n">
        <v>0</v>
      </c>
      <c r="J3102" s="1" t="n">
        <v>20201</v>
      </c>
      <c r="L3102" s="1" t="str">
        <f aca="false">IF(D3101&lt;&gt;D3102,D3102,"")</f>
        <v/>
      </c>
      <c r="M3102" s="1" t="str">
        <f aca="false">IF(F3101&lt;&gt;F3102,F3102,"")</f>
        <v/>
      </c>
    </row>
    <row r="3103" customFormat="false" ht="15" hidden="false" customHeight="false" outlineLevel="0" collapsed="false">
      <c r="A3103" s="1" t="s">
        <v>914</v>
      </c>
      <c r="B3103" s="1" t="s">
        <v>915</v>
      </c>
      <c r="C3103" s="1" t="s">
        <v>944</v>
      </c>
      <c r="D3103" s="1" t="s">
        <v>945</v>
      </c>
      <c r="E3103" s="1" t="n">
        <v>20171</v>
      </c>
      <c r="F3103" s="1" t="s">
        <v>208</v>
      </c>
      <c r="G3103" s="1" t="s">
        <v>124</v>
      </c>
      <c r="H3103" s="1" t="n">
        <v>0</v>
      </c>
      <c r="I3103" s="1" t="n">
        <v>0</v>
      </c>
      <c r="J3103" s="1" t="n">
        <v>20201</v>
      </c>
      <c r="L3103" s="1" t="str">
        <f aca="false">IF(D3102&lt;&gt;D3103,D3103,"")</f>
        <v/>
      </c>
      <c r="M3103" s="1" t="str">
        <f aca="false">IF(F3102&lt;&gt;F3103,F3103,"")</f>
        <v/>
      </c>
    </row>
    <row r="3104" customFormat="false" ht="15" hidden="false" customHeight="false" outlineLevel="0" collapsed="false">
      <c r="A3104" s="1" t="s">
        <v>862</v>
      </c>
      <c r="B3104" s="1" t="s">
        <v>863</v>
      </c>
      <c r="C3104" s="1" t="s">
        <v>944</v>
      </c>
      <c r="D3104" s="1" t="s">
        <v>945</v>
      </c>
      <c r="E3104" s="1" t="n">
        <v>20171</v>
      </c>
      <c r="F3104" s="1" t="s">
        <v>208</v>
      </c>
      <c r="G3104" s="1" t="s">
        <v>124</v>
      </c>
      <c r="H3104" s="1" t="n">
        <v>0</v>
      </c>
      <c r="I3104" s="1" t="n">
        <v>0</v>
      </c>
      <c r="J3104" s="1" t="n">
        <v>20201</v>
      </c>
      <c r="L3104" s="1" t="str">
        <f aca="false">IF(D3103&lt;&gt;D3104,D3104,"")</f>
        <v/>
      </c>
      <c r="M3104" s="1" t="str">
        <f aca="false">IF(F3103&lt;&gt;F3104,F3104,"")</f>
        <v/>
      </c>
    </row>
    <row r="3105" customFormat="false" ht="15" hidden="false" customHeight="false" outlineLevel="0" collapsed="false">
      <c r="A3105" s="1" t="s">
        <v>559</v>
      </c>
      <c r="B3105" s="1" t="s">
        <v>560</v>
      </c>
      <c r="C3105" s="1" t="s">
        <v>944</v>
      </c>
      <c r="D3105" s="1" t="s">
        <v>945</v>
      </c>
      <c r="E3105" s="1" t="n">
        <v>20171</v>
      </c>
      <c r="F3105" s="1" t="s">
        <v>208</v>
      </c>
      <c r="G3105" s="1" t="s">
        <v>124</v>
      </c>
      <c r="H3105" s="1" t="n">
        <v>0</v>
      </c>
      <c r="I3105" s="1" t="n">
        <v>0</v>
      </c>
      <c r="J3105" s="1" t="n">
        <v>20201</v>
      </c>
      <c r="L3105" s="1" t="str">
        <f aca="false">IF(D3104&lt;&gt;D3105,D3105,"")</f>
        <v/>
      </c>
      <c r="M3105" s="1" t="str">
        <f aca="false">IF(F3104&lt;&gt;F3105,F3105,"")</f>
        <v/>
      </c>
    </row>
    <row r="3106" customFormat="false" ht="15" hidden="false" customHeight="false" outlineLevel="0" collapsed="false">
      <c r="A3106" s="1" t="s">
        <v>729</v>
      </c>
      <c r="B3106" s="1" t="s">
        <v>730</v>
      </c>
      <c r="C3106" s="1" t="s">
        <v>944</v>
      </c>
      <c r="D3106" s="1" t="s">
        <v>945</v>
      </c>
      <c r="E3106" s="1" t="n">
        <v>20171</v>
      </c>
      <c r="F3106" s="1" t="s">
        <v>208</v>
      </c>
      <c r="G3106" s="1" t="s">
        <v>127</v>
      </c>
      <c r="H3106" s="1" t="n">
        <v>2</v>
      </c>
      <c r="I3106" s="1" t="n">
        <v>0</v>
      </c>
      <c r="J3106" s="1" t="n">
        <v>20201</v>
      </c>
      <c r="L3106" s="1" t="str">
        <f aca="false">IF(D3105&lt;&gt;D3106,D3106,"")</f>
        <v/>
      </c>
      <c r="M3106" s="1" t="str">
        <f aca="false">IF(F3105&lt;&gt;F3106,F3106,"")</f>
        <v/>
      </c>
    </row>
    <row r="3107" customFormat="false" ht="15" hidden="false" customHeight="false" outlineLevel="0" collapsed="false">
      <c r="A3107" s="1" t="s">
        <v>569</v>
      </c>
      <c r="B3107" s="1" t="s">
        <v>570</v>
      </c>
      <c r="C3107" s="1" t="s">
        <v>944</v>
      </c>
      <c r="D3107" s="1" t="s">
        <v>945</v>
      </c>
      <c r="E3107" s="1" t="n">
        <v>20171</v>
      </c>
      <c r="F3107" s="1" t="s">
        <v>208</v>
      </c>
      <c r="G3107" s="1" t="s">
        <v>23</v>
      </c>
      <c r="H3107" s="1" t="n">
        <v>0</v>
      </c>
      <c r="I3107" s="1" t="n">
        <v>0</v>
      </c>
      <c r="J3107" s="1" t="n">
        <v>20201</v>
      </c>
      <c r="L3107" s="1" t="str">
        <f aca="false">IF(D3106&lt;&gt;D3107,D3107,"")</f>
        <v/>
      </c>
      <c r="M3107" s="1" t="str">
        <f aca="false">IF(F3106&lt;&gt;F3107,F3107,"")</f>
        <v/>
      </c>
    </row>
    <row r="3108" customFormat="false" ht="15" hidden="false" customHeight="false" outlineLevel="0" collapsed="false">
      <c r="A3108" s="1" t="s">
        <v>794</v>
      </c>
      <c r="B3108" s="1" t="s">
        <v>795</v>
      </c>
      <c r="C3108" s="1" t="s">
        <v>944</v>
      </c>
      <c r="D3108" s="1" t="s">
        <v>945</v>
      </c>
      <c r="E3108" s="1" t="n">
        <v>20171</v>
      </c>
      <c r="F3108" s="1" t="s">
        <v>208</v>
      </c>
      <c r="G3108" s="1" t="s">
        <v>23</v>
      </c>
      <c r="H3108" s="1" t="n">
        <v>0</v>
      </c>
      <c r="I3108" s="1" t="n">
        <v>0</v>
      </c>
      <c r="J3108" s="1" t="n">
        <v>20201</v>
      </c>
      <c r="L3108" s="1" t="str">
        <f aca="false">IF(D3107&lt;&gt;D3108,D3108,"")</f>
        <v/>
      </c>
      <c r="M3108" s="1" t="str">
        <f aca="false">IF(F3107&lt;&gt;F3108,F3108,"")</f>
        <v/>
      </c>
    </row>
    <row r="3109" customFormat="false" ht="15" hidden="false" customHeight="false" outlineLevel="0" collapsed="false">
      <c r="A3109" s="1" t="s">
        <v>561</v>
      </c>
      <c r="B3109" s="1" t="s">
        <v>562</v>
      </c>
      <c r="C3109" s="1" t="s">
        <v>944</v>
      </c>
      <c r="D3109" s="1" t="s">
        <v>945</v>
      </c>
      <c r="E3109" s="1" t="n">
        <v>20171</v>
      </c>
      <c r="F3109" s="1" t="s">
        <v>208</v>
      </c>
      <c r="G3109" s="1" t="s">
        <v>23</v>
      </c>
      <c r="H3109" s="1" t="n">
        <v>0</v>
      </c>
      <c r="I3109" s="1" t="n">
        <v>0</v>
      </c>
      <c r="J3109" s="1" t="n">
        <v>20201</v>
      </c>
      <c r="L3109" s="1" t="str">
        <f aca="false">IF(D3108&lt;&gt;D3109,D3109,"")</f>
        <v/>
      </c>
      <c r="M3109" s="1" t="str">
        <f aca="false">IF(F3108&lt;&gt;F3109,F3109,"")</f>
        <v/>
      </c>
    </row>
    <row r="3110" customFormat="false" ht="15" hidden="false" customHeight="false" outlineLevel="0" collapsed="false">
      <c r="A3110" s="1" t="s">
        <v>563</v>
      </c>
      <c r="B3110" s="1" t="s">
        <v>564</v>
      </c>
      <c r="C3110" s="1" t="s">
        <v>944</v>
      </c>
      <c r="D3110" s="1" t="s">
        <v>945</v>
      </c>
      <c r="E3110" s="1" t="n">
        <v>20171</v>
      </c>
      <c r="F3110" s="1" t="s">
        <v>208</v>
      </c>
      <c r="G3110" s="1" t="s">
        <v>124</v>
      </c>
      <c r="H3110" s="1" t="n">
        <v>0</v>
      </c>
      <c r="I3110" s="1" t="n">
        <v>0</v>
      </c>
      <c r="J3110" s="1" t="n">
        <v>20201</v>
      </c>
      <c r="L3110" s="1" t="str">
        <f aca="false">IF(D3109&lt;&gt;D3110,D3110,"")</f>
        <v/>
      </c>
      <c r="M3110" s="1" t="str">
        <f aca="false">IF(F3109&lt;&gt;F3110,F3110,"")</f>
        <v/>
      </c>
    </row>
    <row r="3111" customFormat="false" ht="15" hidden="false" customHeight="false" outlineLevel="0" collapsed="false">
      <c r="A3111" s="1" t="s">
        <v>110</v>
      </c>
      <c r="B3111" s="1" t="s">
        <v>111</v>
      </c>
      <c r="C3111" s="1" t="s">
        <v>944</v>
      </c>
      <c r="D3111" s="1" t="s">
        <v>945</v>
      </c>
      <c r="E3111" s="1" t="n">
        <v>20171</v>
      </c>
      <c r="F3111" s="1" t="s">
        <v>208</v>
      </c>
      <c r="G3111" s="1" t="s">
        <v>514</v>
      </c>
      <c r="H3111" s="1" t="n">
        <v>1</v>
      </c>
      <c r="I3111" s="1" t="n">
        <v>0</v>
      </c>
      <c r="J3111" s="1" t="n">
        <v>20201</v>
      </c>
      <c r="L3111" s="1" t="str">
        <f aca="false">IF(D3110&lt;&gt;D3111,D3111,"")</f>
        <v/>
      </c>
      <c r="M3111" s="1" t="str">
        <f aca="false">IF(F3110&lt;&gt;F3111,F3111,"")</f>
        <v/>
      </c>
    </row>
    <row r="3112" customFormat="false" ht="15" hidden="false" customHeight="false" outlineLevel="0" collapsed="false">
      <c r="A3112" s="1" t="s">
        <v>647</v>
      </c>
      <c r="B3112" s="1" t="s">
        <v>648</v>
      </c>
      <c r="C3112" s="1" t="s">
        <v>944</v>
      </c>
      <c r="D3112" s="1" t="s">
        <v>945</v>
      </c>
      <c r="E3112" s="1" t="n">
        <v>20171</v>
      </c>
      <c r="F3112" s="1" t="s">
        <v>208</v>
      </c>
      <c r="G3112" s="1" t="s">
        <v>514</v>
      </c>
      <c r="H3112" s="1" t="n">
        <v>1</v>
      </c>
      <c r="I3112" s="1" t="n">
        <v>0</v>
      </c>
      <c r="J3112" s="1" t="n">
        <v>20201</v>
      </c>
      <c r="L3112" s="1" t="str">
        <f aca="false">IF(D3111&lt;&gt;D3112,D3112,"")</f>
        <v/>
      </c>
      <c r="M3112" s="1" t="str">
        <f aca="false">IF(F3111&lt;&gt;F3112,F3112,"")</f>
        <v/>
      </c>
    </row>
    <row r="3113" customFormat="false" ht="15" hidden="false" customHeight="false" outlineLevel="0" collapsed="false">
      <c r="A3113" s="1" t="s">
        <v>661</v>
      </c>
      <c r="B3113" s="1" t="s">
        <v>662</v>
      </c>
      <c r="C3113" s="1" t="s">
        <v>944</v>
      </c>
      <c r="D3113" s="1" t="s">
        <v>945</v>
      </c>
      <c r="E3113" s="1" t="n">
        <v>20171</v>
      </c>
      <c r="F3113" s="1" t="s">
        <v>208</v>
      </c>
      <c r="G3113" s="1" t="s">
        <v>101</v>
      </c>
      <c r="H3113" s="1" t="n">
        <v>2.5</v>
      </c>
      <c r="I3113" s="1" t="n">
        <v>0</v>
      </c>
      <c r="J3113" s="1" t="n">
        <v>20201</v>
      </c>
      <c r="L3113" s="1" t="str">
        <f aca="false">IF(D3112&lt;&gt;D3113,D3113,"")</f>
        <v/>
      </c>
      <c r="M3113" s="1" t="str">
        <f aca="false">IF(F3112&lt;&gt;F3113,F3113,"")</f>
        <v/>
      </c>
    </row>
    <row r="3114" customFormat="false" ht="15" hidden="false" customHeight="false" outlineLevel="0" collapsed="false">
      <c r="A3114" s="1" t="s">
        <v>681</v>
      </c>
      <c r="B3114" s="1" t="s">
        <v>682</v>
      </c>
      <c r="C3114" s="1" t="s">
        <v>944</v>
      </c>
      <c r="D3114" s="1" t="s">
        <v>945</v>
      </c>
      <c r="E3114" s="1" t="n">
        <v>20171</v>
      </c>
      <c r="F3114" s="1" t="s">
        <v>208</v>
      </c>
      <c r="G3114" s="1" t="s">
        <v>514</v>
      </c>
      <c r="H3114" s="1" t="n">
        <v>1</v>
      </c>
      <c r="I3114" s="1" t="n">
        <v>0</v>
      </c>
      <c r="J3114" s="1" t="n">
        <v>20201</v>
      </c>
      <c r="L3114" s="1" t="str">
        <f aca="false">IF(D3113&lt;&gt;D3114,D3114,"")</f>
        <v/>
      </c>
      <c r="M3114" s="1" t="str">
        <f aca="false">IF(F3113&lt;&gt;F3114,F3114,"")</f>
        <v/>
      </c>
    </row>
    <row r="3115" customFormat="false" ht="15" hidden="false" customHeight="false" outlineLevel="0" collapsed="false">
      <c r="A3115" s="1" t="s">
        <v>539</v>
      </c>
      <c r="B3115" s="1" t="s">
        <v>540</v>
      </c>
      <c r="C3115" s="1" t="s">
        <v>944</v>
      </c>
      <c r="D3115" s="1" t="s">
        <v>945</v>
      </c>
      <c r="E3115" s="1" t="n">
        <v>20171</v>
      </c>
      <c r="F3115" s="1" t="s">
        <v>208</v>
      </c>
      <c r="G3115" s="1" t="s">
        <v>124</v>
      </c>
      <c r="H3115" s="1" t="n">
        <v>0</v>
      </c>
      <c r="I3115" s="1" t="n">
        <v>0</v>
      </c>
      <c r="J3115" s="1" t="n">
        <v>20201</v>
      </c>
      <c r="L3115" s="1" t="str">
        <f aca="false">IF(D3114&lt;&gt;D3115,D3115,"")</f>
        <v/>
      </c>
      <c r="M3115" s="1" t="str">
        <f aca="false">IF(F3114&lt;&gt;F3115,F3115,"")</f>
        <v/>
      </c>
    </row>
    <row r="3116" customFormat="false" ht="15" hidden="false" customHeight="false" outlineLevel="0" collapsed="false">
      <c r="A3116" s="1" t="s">
        <v>229</v>
      </c>
      <c r="B3116" s="1" t="s">
        <v>230</v>
      </c>
      <c r="C3116" s="1" t="s">
        <v>944</v>
      </c>
      <c r="D3116" s="1" t="s">
        <v>945</v>
      </c>
      <c r="E3116" s="1" t="n">
        <v>20171</v>
      </c>
      <c r="F3116" s="1" t="s">
        <v>208</v>
      </c>
      <c r="G3116" s="1" t="s">
        <v>127</v>
      </c>
      <c r="H3116" s="1" t="n">
        <v>2</v>
      </c>
      <c r="I3116" s="1" t="n">
        <v>0</v>
      </c>
      <c r="J3116" s="1" t="n">
        <v>20201</v>
      </c>
      <c r="L3116" s="1" t="str">
        <f aca="false">IF(D3115&lt;&gt;D3116,D3116,"")</f>
        <v/>
      </c>
      <c r="M3116" s="1" t="str">
        <f aca="false">IF(F3115&lt;&gt;F3116,F3116,"")</f>
        <v/>
      </c>
    </row>
    <row r="3117" customFormat="false" ht="15" hidden="false" customHeight="false" outlineLevel="0" collapsed="false">
      <c r="A3117" s="1" t="s">
        <v>243</v>
      </c>
      <c r="B3117" s="1" t="s">
        <v>244</v>
      </c>
      <c r="C3117" s="1" t="s">
        <v>944</v>
      </c>
      <c r="D3117" s="1" t="s">
        <v>945</v>
      </c>
      <c r="E3117" s="1" t="n">
        <v>20171</v>
      </c>
      <c r="F3117" s="1" t="s">
        <v>208</v>
      </c>
      <c r="G3117" s="1" t="s">
        <v>127</v>
      </c>
      <c r="H3117" s="1" t="n">
        <v>2</v>
      </c>
      <c r="I3117" s="1" t="n">
        <v>0</v>
      </c>
      <c r="J3117" s="1" t="n">
        <v>20201</v>
      </c>
      <c r="L3117" s="1" t="str">
        <f aca="false">IF(D3116&lt;&gt;D3117,D3117,"")</f>
        <v/>
      </c>
      <c r="M3117" s="1" t="str">
        <f aca="false">IF(F3116&lt;&gt;F3117,F3117,"")</f>
        <v/>
      </c>
    </row>
    <row r="3118" customFormat="false" ht="15" hidden="false" customHeight="false" outlineLevel="0" collapsed="false">
      <c r="A3118" s="1" t="s">
        <v>683</v>
      </c>
      <c r="B3118" s="1" t="s">
        <v>684</v>
      </c>
      <c r="C3118" s="1" t="s">
        <v>944</v>
      </c>
      <c r="D3118" s="1" t="s">
        <v>945</v>
      </c>
      <c r="E3118" s="1" t="n">
        <v>20171</v>
      </c>
      <c r="F3118" s="1" t="s">
        <v>208</v>
      </c>
      <c r="G3118" s="1" t="s">
        <v>127</v>
      </c>
      <c r="H3118" s="1" t="n">
        <v>2</v>
      </c>
      <c r="I3118" s="1" t="n">
        <v>0</v>
      </c>
      <c r="J3118" s="1" t="n">
        <v>20201</v>
      </c>
      <c r="L3118" s="1" t="str">
        <f aca="false">IF(D3117&lt;&gt;D3118,D3118,"")</f>
        <v/>
      </c>
      <c r="M3118" s="1" t="str">
        <f aca="false">IF(F3117&lt;&gt;F3118,F3118,"")</f>
        <v/>
      </c>
    </row>
    <row r="3119" customFormat="false" ht="15" hidden="false" customHeight="false" outlineLevel="0" collapsed="false">
      <c r="A3119" s="1" t="s">
        <v>255</v>
      </c>
      <c r="B3119" s="1" t="s">
        <v>256</v>
      </c>
      <c r="C3119" s="1" t="s">
        <v>944</v>
      </c>
      <c r="D3119" s="1" t="s">
        <v>945</v>
      </c>
      <c r="E3119" s="1" t="n">
        <v>20171</v>
      </c>
      <c r="F3119" s="1" t="s">
        <v>208</v>
      </c>
      <c r="G3119" s="1" t="s">
        <v>18</v>
      </c>
      <c r="H3119" s="1" t="n">
        <v>3</v>
      </c>
      <c r="I3119" s="1" t="n">
        <v>0</v>
      </c>
      <c r="J3119" s="1" t="n">
        <v>20201</v>
      </c>
      <c r="L3119" s="1" t="str">
        <f aca="false">IF(D3118&lt;&gt;D3119,D3119,"")</f>
        <v/>
      </c>
      <c r="M3119" s="1" t="str">
        <f aca="false">IF(F3118&lt;&gt;F3119,F3119,"")</f>
        <v/>
      </c>
    </row>
    <row r="3120" customFormat="false" ht="15" hidden="false" customHeight="false" outlineLevel="0" collapsed="false">
      <c r="A3120" s="1" t="s">
        <v>297</v>
      </c>
      <c r="B3120" s="1" t="s">
        <v>298</v>
      </c>
      <c r="C3120" s="1" t="s">
        <v>944</v>
      </c>
      <c r="D3120" s="1" t="s">
        <v>945</v>
      </c>
      <c r="E3120" s="1" t="n">
        <v>20171</v>
      </c>
      <c r="F3120" s="1" t="s">
        <v>208</v>
      </c>
      <c r="G3120" s="1" t="s">
        <v>127</v>
      </c>
      <c r="H3120" s="1" t="n">
        <v>2</v>
      </c>
      <c r="I3120" s="1" t="n">
        <v>0</v>
      </c>
      <c r="J3120" s="1" t="n">
        <v>20201</v>
      </c>
      <c r="L3120" s="1" t="str">
        <f aca="false">IF(D3119&lt;&gt;D3120,D3120,"")</f>
        <v/>
      </c>
      <c r="M3120" s="1" t="str">
        <f aca="false">IF(F3119&lt;&gt;F3120,F3120,"")</f>
        <v/>
      </c>
    </row>
    <row r="3121" customFormat="false" ht="15" hidden="false" customHeight="false" outlineLevel="0" collapsed="false">
      <c r="A3121" s="1" t="s">
        <v>741</v>
      </c>
      <c r="B3121" s="1" t="s">
        <v>742</v>
      </c>
      <c r="C3121" s="1" t="s">
        <v>944</v>
      </c>
      <c r="D3121" s="1" t="s">
        <v>945</v>
      </c>
      <c r="E3121" s="1" t="n">
        <v>20171</v>
      </c>
      <c r="F3121" s="1" t="s">
        <v>208</v>
      </c>
      <c r="G3121" s="1" t="s">
        <v>514</v>
      </c>
      <c r="H3121" s="1" t="n">
        <v>1</v>
      </c>
      <c r="I3121" s="1" t="n">
        <v>0</v>
      </c>
      <c r="J3121" s="1" t="n">
        <v>20201</v>
      </c>
      <c r="L3121" s="1" t="str">
        <f aca="false">IF(D3120&lt;&gt;D3121,D3121,"")</f>
        <v/>
      </c>
      <c r="M3121" s="1" t="str">
        <f aca="false">IF(F3120&lt;&gt;F3121,F3121,"")</f>
        <v/>
      </c>
    </row>
    <row r="3122" customFormat="false" ht="15" hidden="false" customHeight="false" outlineLevel="0" collapsed="false">
      <c r="A3122" s="1" t="s">
        <v>701</v>
      </c>
      <c r="B3122" s="1" t="s">
        <v>702</v>
      </c>
      <c r="C3122" s="1" t="s">
        <v>944</v>
      </c>
      <c r="D3122" s="1" t="s">
        <v>945</v>
      </c>
      <c r="E3122" s="1" t="n">
        <v>20171</v>
      </c>
      <c r="F3122" s="1" t="s">
        <v>208</v>
      </c>
      <c r="G3122" s="1" t="s">
        <v>127</v>
      </c>
      <c r="H3122" s="1" t="n">
        <v>2</v>
      </c>
      <c r="I3122" s="1" t="n">
        <v>0</v>
      </c>
      <c r="J3122" s="1" t="n">
        <v>20201</v>
      </c>
      <c r="L3122" s="1" t="str">
        <f aca="false">IF(D3121&lt;&gt;D3122,D3122,"")</f>
        <v/>
      </c>
      <c r="M3122" s="1" t="str">
        <f aca="false">IF(F3121&lt;&gt;F3122,F3122,"")</f>
        <v/>
      </c>
    </row>
    <row r="3123" customFormat="false" ht="15" hidden="false" customHeight="false" outlineLevel="0" collapsed="false">
      <c r="A3123" s="1" t="s">
        <v>603</v>
      </c>
      <c r="B3123" s="1" t="s">
        <v>604</v>
      </c>
      <c r="C3123" s="1" t="s">
        <v>946</v>
      </c>
      <c r="D3123" s="1" t="s">
        <v>947</v>
      </c>
      <c r="E3123" s="1" t="n">
        <v>20171</v>
      </c>
      <c r="F3123" s="1" t="s">
        <v>208</v>
      </c>
      <c r="G3123" s="1" t="s">
        <v>14</v>
      </c>
      <c r="H3123" s="1" t="n">
        <v>4</v>
      </c>
      <c r="I3123" s="1" t="n">
        <v>0</v>
      </c>
      <c r="J3123" s="1" t="n">
        <v>20201</v>
      </c>
      <c r="L3123" s="1" t="str">
        <f aca="false">IF(D3122&lt;&gt;D3123,D3123,"")</f>
        <v>SISTEM MIKROPROSESOR</v>
      </c>
      <c r="M3123" s="1" t="str">
        <f aca="false">IF(F3122&lt;&gt;F3123,F3123,"")</f>
        <v/>
      </c>
    </row>
    <row r="3124" customFormat="false" ht="15" hidden="false" customHeight="false" outlineLevel="0" collapsed="false">
      <c r="A3124" s="1" t="s">
        <v>523</v>
      </c>
      <c r="B3124" s="1" t="s">
        <v>524</v>
      </c>
      <c r="C3124" s="1" t="s">
        <v>946</v>
      </c>
      <c r="D3124" s="1" t="s">
        <v>947</v>
      </c>
      <c r="E3124" s="1" t="n">
        <v>20171</v>
      </c>
      <c r="F3124" s="1" t="s">
        <v>208</v>
      </c>
      <c r="G3124" s="1" t="s">
        <v>14</v>
      </c>
      <c r="H3124" s="1" t="n">
        <v>4</v>
      </c>
      <c r="I3124" s="1" t="n">
        <v>0</v>
      </c>
      <c r="J3124" s="1" t="n">
        <v>20201</v>
      </c>
      <c r="L3124" s="1" t="str">
        <f aca="false">IF(D3123&lt;&gt;D3124,D3124,"")</f>
        <v/>
      </c>
      <c r="M3124" s="1" t="str">
        <f aca="false">IF(F3123&lt;&gt;F3124,F3124,"")</f>
        <v/>
      </c>
    </row>
    <row r="3125" customFormat="false" ht="15" hidden="false" customHeight="false" outlineLevel="0" collapsed="false">
      <c r="A3125" s="1" t="s">
        <v>633</v>
      </c>
      <c r="B3125" s="1" t="s">
        <v>634</v>
      </c>
      <c r="C3125" s="1" t="s">
        <v>946</v>
      </c>
      <c r="D3125" s="1" t="s">
        <v>947</v>
      </c>
      <c r="E3125" s="1" t="n">
        <v>20171</v>
      </c>
      <c r="F3125" s="1" t="s">
        <v>208</v>
      </c>
      <c r="G3125" s="1" t="s">
        <v>14</v>
      </c>
      <c r="H3125" s="1" t="n">
        <v>4</v>
      </c>
      <c r="I3125" s="1" t="n">
        <v>0</v>
      </c>
      <c r="J3125" s="1" t="n">
        <v>20201</v>
      </c>
      <c r="L3125" s="1" t="str">
        <f aca="false">IF(D3124&lt;&gt;D3125,D3125,"")</f>
        <v/>
      </c>
      <c r="M3125" s="1" t="str">
        <f aca="false">IF(F3124&lt;&gt;F3125,F3125,"")</f>
        <v/>
      </c>
    </row>
    <row r="3126" customFormat="false" ht="15" hidden="false" customHeight="false" outlineLevel="0" collapsed="false">
      <c r="A3126" s="1" t="s">
        <v>221</v>
      </c>
      <c r="B3126" s="1" t="s">
        <v>222</v>
      </c>
      <c r="C3126" s="1" t="s">
        <v>946</v>
      </c>
      <c r="D3126" s="1" t="s">
        <v>947</v>
      </c>
      <c r="E3126" s="1" t="n">
        <v>20171</v>
      </c>
      <c r="F3126" s="1" t="s">
        <v>208</v>
      </c>
      <c r="G3126" s="1" t="s">
        <v>14</v>
      </c>
      <c r="H3126" s="1" t="n">
        <v>4</v>
      </c>
      <c r="I3126" s="1" t="n">
        <v>0</v>
      </c>
      <c r="J3126" s="1" t="n">
        <v>20201</v>
      </c>
      <c r="L3126" s="1" t="str">
        <f aca="false">IF(D3125&lt;&gt;D3126,D3126,"")</f>
        <v/>
      </c>
      <c r="M3126" s="1" t="str">
        <f aca="false">IF(F3125&lt;&gt;F3126,F3126,"")</f>
        <v/>
      </c>
    </row>
    <row r="3127" customFormat="false" ht="15" hidden="false" customHeight="false" outlineLevel="0" collapsed="false">
      <c r="A3127" s="1" t="s">
        <v>277</v>
      </c>
      <c r="B3127" s="1" t="s">
        <v>278</v>
      </c>
      <c r="C3127" s="1" t="s">
        <v>946</v>
      </c>
      <c r="D3127" s="1" t="s">
        <v>947</v>
      </c>
      <c r="E3127" s="1" t="n">
        <v>20171</v>
      </c>
      <c r="F3127" s="1" t="s">
        <v>208</v>
      </c>
      <c r="G3127" s="1" t="s">
        <v>14</v>
      </c>
      <c r="H3127" s="1" t="n">
        <v>4</v>
      </c>
      <c r="I3127" s="1" t="n">
        <v>0</v>
      </c>
      <c r="J3127" s="1" t="n">
        <v>20201</v>
      </c>
      <c r="L3127" s="1" t="str">
        <f aca="false">IF(D3126&lt;&gt;D3127,D3127,"")</f>
        <v/>
      </c>
      <c r="M3127" s="1" t="str">
        <f aca="false">IF(F3126&lt;&gt;F3127,F3127,"")</f>
        <v/>
      </c>
    </row>
    <row r="3128" customFormat="false" ht="15" hidden="false" customHeight="false" outlineLevel="0" collapsed="false">
      <c r="A3128" s="1" t="s">
        <v>749</v>
      </c>
      <c r="B3128" s="1" t="s">
        <v>750</v>
      </c>
      <c r="C3128" s="1" t="s">
        <v>948</v>
      </c>
      <c r="D3128" s="1" t="s">
        <v>949</v>
      </c>
      <c r="E3128" s="1" t="n">
        <v>20171</v>
      </c>
      <c r="F3128" s="1" t="s">
        <v>208</v>
      </c>
      <c r="G3128" s="1" t="s">
        <v>15</v>
      </c>
      <c r="H3128" s="1" t="n">
        <v>3.5</v>
      </c>
      <c r="I3128" s="1" t="n">
        <v>0</v>
      </c>
      <c r="J3128" s="1" t="n">
        <v>20201</v>
      </c>
      <c r="L3128" s="1" t="str">
        <f aca="false">IF(D3127&lt;&gt;D3128,D3128,"")</f>
        <v>SISTEM SCADA</v>
      </c>
      <c r="M3128" s="1" t="str">
        <f aca="false">IF(F3127&lt;&gt;F3128,F3128,"")</f>
        <v/>
      </c>
    </row>
    <row r="3129" customFormat="false" ht="15" hidden="false" customHeight="false" outlineLevel="0" collapsed="false">
      <c r="A3129" s="1" t="s">
        <v>729</v>
      </c>
      <c r="B3129" s="1" t="s">
        <v>730</v>
      </c>
      <c r="C3129" s="1" t="s">
        <v>948</v>
      </c>
      <c r="D3129" s="1" t="s">
        <v>949</v>
      </c>
      <c r="E3129" s="1" t="n">
        <v>20171</v>
      </c>
      <c r="F3129" s="1" t="s">
        <v>208</v>
      </c>
      <c r="G3129" s="1" t="s">
        <v>101</v>
      </c>
      <c r="H3129" s="1" t="n">
        <v>2.5</v>
      </c>
      <c r="I3129" s="1" t="n">
        <v>0</v>
      </c>
      <c r="J3129" s="1" t="n">
        <v>20201</v>
      </c>
      <c r="L3129" s="1" t="str">
        <f aca="false">IF(D3128&lt;&gt;D3129,D3129,"")</f>
        <v/>
      </c>
      <c r="M3129" s="1" t="str">
        <f aca="false">IF(F3128&lt;&gt;F3129,F3129,"")</f>
        <v/>
      </c>
    </row>
    <row r="3130" customFormat="false" ht="15" hidden="false" customHeight="false" outlineLevel="0" collapsed="false">
      <c r="A3130" s="1" t="s">
        <v>731</v>
      </c>
      <c r="B3130" s="1" t="s">
        <v>732</v>
      </c>
      <c r="C3130" s="1" t="s">
        <v>948</v>
      </c>
      <c r="D3130" s="1" t="s">
        <v>949</v>
      </c>
      <c r="E3130" s="1" t="n">
        <v>20171</v>
      </c>
      <c r="F3130" s="1" t="s">
        <v>208</v>
      </c>
      <c r="G3130" s="1" t="s">
        <v>101</v>
      </c>
      <c r="H3130" s="1" t="n">
        <v>2.5</v>
      </c>
      <c r="I3130" s="1" t="n">
        <v>0</v>
      </c>
      <c r="J3130" s="1" t="n">
        <v>20201</v>
      </c>
      <c r="L3130" s="1" t="str">
        <f aca="false">IF(D3129&lt;&gt;D3130,D3130,"")</f>
        <v/>
      </c>
      <c r="M3130" s="1" t="str">
        <f aca="false">IF(F3129&lt;&gt;F3130,F3130,"")</f>
        <v/>
      </c>
    </row>
    <row r="3131" customFormat="false" ht="15" hidden="false" customHeight="false" outlineLevel="0" collapsed="false">
      <c r="A3131" s="1" t="s">
        <v>651</v>
      </c>
      <c r="B3131" s="1" t="s">
        <v>652</v>
      </c>
      <c r="C3131" s="1" t="s">
        <v>948</v>
      </c>
      <c r="D3131" s="1" t="s">
        <v>949</v>
      </c>
      <c r="E3131" s="1" t="n">
        <v>20171</v>
      </c>
      <c r="F3131" s="1" t="s">
        <v>208</v>
      </c>
      <c r="G3131" s="1" t="s">
        <v>15</v>
      </c>
      <c r="H3131" s="1" t="n">
        <v>3.5</v>
      </c>
      <c r="I3131" s="1" t="n">
        <v>0</v>
      </c>
      <c r="J3131" s="1" t="n">
        <v>20201</v>
      </c>
      <c r="L3131" s="1" t="str">
        <f aca="false">IF(D3130&lt;&gt;D3131,D3131,"")</f>
        <v/>
      </c>
      <c r="M3131" s="1" t="str">
        <f aca="false">IF(F3130&lt;&gt;F3131,F3131,"")</f>
        <v/>
      </c>
    </row>
    <row r="3132" customFormat="false" ht="15" hidden="false" customHeight="false" outlineLevel="0" collapsed="false">
      <c r="A3132" s="1" t="s">
        <v>735</v>
      </c>
      <c r="B3132" s="1" t="s">
        <v>736</v>
      </c>
      <c r="C3132" s="1" t="s">
        <v>948</v>
      </c>
      <c r="D3132" s="1" t="s">
        <v>949</v>
      </c>
      <c r="E3132" s="1" t="n">
        <v>20171</v>
      </c>
      <c r="F3132" s="1" t="s">
        <v>208</v>
      </c>
      <c r="G3132" s="1" t="s">
        <v>14</v>
      </c>
      <c r="H3132" s="1" t="n">
        <v>4</v>
      </c>
      <c r="I3132" s="1" t="n">
        <v>0</v>
      </c>
      <c r="J3132" s="1" t="n">
        <v>20201</v>
      </c>
      <c r="L3132" s="1" t="str">
        <f aca="false">IF(D3131&lt;&gt;D3132,D3132,"")</f>
        <v/>
      </c>
      <c r="M3132" s="1" t="str">
        <f aca="false">IF(F3131&lt;&gt;F3132,F3132,"")</f>
        <v/>
      </c>
    </row>
    <row r="3133" customFormat="false" ht="15" hidden="false" customHeight="false" outlineLevel="0" collapsed="false">
      <c r="A3133" s="1" t="s">
        <v>755</v>
      </c>
      <c r="B3133" s="1" t="s">
        <v>756</v>
      </c>
      <c r="C3133" s="1" t="s">
        <v>948</v>
      </c>
      <c r="D3133" s="1" t="s">
        <v>949</v>
      </c>
      <c r="E3133" s="1" t="n">
        <v>20171</v>
      </c>
      <c r="F3133" s="1" t="s">
        <v>208</v>
      </c>
      <c r="G3133" s="1" t="s">
        <v>101</v>
      </c>
      <c r="H3133" s="1" t="n">
        <v>2.5</v>
      </c>
      <c r="I3133" s="1" t="n">
        <v>0</v>
      </c>
      <c r="J3133" s="1" t="n">
        <v>20201</v>
      </c>
      <c r="L3133" s="1" t="str">
        <f aca="false">IF(D3132&lt;&gt;D3133,D3133,"")</f>
        <v/>
      </c>
      <c r="M3133" s="1" t="str">
        <f aca="false">IF(F3132&lt;&gt;F3133,F3133,"")</f>
        <v/>
      </c>
    </row>
    <row r="3134" customFormat="false" ht="15" hidden="false" customHeight="false" outlineLevel="0" collapsed="false">
      <c r="A3134" s="1" t="s">
        <v>810</v>
      </c>
      <c r="B3134" s="1" t="s">
        <v>811</v>
      </c>
      <c r="C3134" s="1" t="s">
        <v>948</v>
      </c>
      <c r="D3134" s="1" t="s">
        <v>949</v>
      </c>
      <c r="E3134" s="1" t="n">
        <v>20171</v>
      </c>
      <c r="F3134" s="1" t="s">
        <v>208</v>
      </c>
      <c r="G3134" s="1" t="s">
        <v>101</v>
      </c>
      <c r="H3134" s="1" t="n">
        <v>2.5</v>
      </c>
      <c r="I3134" s="1" t="n">
        <v>0</v>
      </c>
      <c r="J3134" s="1" t="n">
        <v>20201</v>
      </c>
      <c r="L3134" s="1" t="str">
        <f aca="false">IF(D3133&lt;&gt;D3134,D3134,"")</f>
        <v/>
      </c>
      <c r="M3134" s="1" t="str">
        <f aca="false">IF(F3133&lt;&gt;F3134,F3134,"")</f>
        <v/>
      </c>
    </row>
    <row r="3135" customFormat="false" ht="15" hidden="false" customHeight="false" outlineLevel="0" collapsed="false">
      <c r="A3135" s="1" t="s">
        <v>627</v>
      </c>
      <c r="B3135" s="1" t="s">
        <v>628</v>
      </c>
      <c r="C3135" s="1" t="s">
        <v>948</v>
      </c>
      <c r="D3135" s="1" t="s">
        <v>949</v>
      </c>
      <c r="E3135" s="1" t="n">
        <v>20171</v>
      </c>
      <c r="F3135" s="1" t="s">
        <v>208</v>
      </c>
      <c r="G3135" s="1" t="s">
        <v>18</v>
      </c>
      <c r="H3135" s="1" t="n">
        <v>3</v>
      </c>
      <c r="I3135" s="1" t="n">
        <v>0</v>
      </c>
      <c r="J3135" s="1" t="n">
        <v>20201</v>
      </c>
      <c r="L3135" s="1" t="str">
        <f aca="false">IF(D3134&lt;&gt;D3135,D3135,"")</f>
        <v/>
      </c>
      <c r="M3135" s="1" t="str">
        <f aca="false">IF(F3134&lt;&gt;F3135,F3135,"")</f>
        <v/>
      </c>
    </row>
    <row r="3136" customFormat="false" ht="15" hidden="false" customHeight="false" outlineLevel="0" collapsed="false">
      <c r="A3136" s="1" t="s">
        <v>769</v>
      </c>
      <c r="B3136" s="1" t="s">
        <v>770</v>
      </c>
      <c r="C3136" s="1" t="s">
        <v>948</v>
      </c>
      <c r="D3136" s="1" t="s">
        <v>949</v>
      </c>
      <c r="E3136" s="1" t="n">
        <v>20171</v>
      </c>
      <c r="F3136" s="1" t="s">
        <v>208</v>
      </c>
      <c r="G3136" s="1" t="s">
        <v>18</v>
      </c>
      <c r="H3136" s="1" t="n">
        <v>3</v>
      </c>
      <c r="I3136" s="1" t="n">
        <v>0</v>
      </c>
      <c r="J3136" s="1" t="n">
        <v>20201</v>
      </c>
      <c r="L3136" s="1" t="str">
        <f aca="false">IF(D3135&lt;&gt;D3136,D3136,"")</f>
        <v/>
      </c>
      <c r="M3136" s="1" t="str">
        <f aca="false">IF(F3135&lt;&gt;F3136,F3136,"")</f>
        <v/>
      </c>
    </row>
    <row r="3137" customFormat="false" ht="15" hidden="false" customHeight="false" outlineLevel="0" collapsed="false">
      <c r="A3137" s="1" t="s">
        <v>771</v>
      </c>
      <c r="B3137" s="1" t="s">
        <v>772</v>
      </c>
      <c r="C3137" s="1" t="s">
        <v>948</v>
      </c>
      <c r="D3137" s="1" t="s">
        <v>949</v>
      </c>
      <c r="E3137" s="1" t="n">
        <v>20171</v>
      </c>
      <c r="F3137" s="1" t="s">
        <v>208</v>
      </c>
      <c r="G3137" s="1" t="s">
        <v>18</v>
      </c>
      <c r="H3137" s="1" t="n">
        <v>3</v>
      </c>
      <c r="I3137" s="1" t="n">
        <v>0</v>
      </c>
      <c r="J3137" s="1" t="n">
        <v>20201</v>
      </c>
      <c r="L3137" s="1" t="str">
        <f aca="false">IF(D3136&lt;&gt;D3137,D3137,"")</f>
        <v/>
      </c>
      <c r="M3137" s="1" t="str">
        <f aca="false">IF(F3136&lt;&gt;F3137,F3137,"")</f>
        <v/>
      </c>
    </row>
    <row r="3138" customFormat="false" ht="15" hidden="false" customHeight="false" outlineLevel="0" collapsed="false">
      <c r="A3138" s="1" t="s">
        <v>773</v>
      </c>
      <c r="B3138" s="1" t="s">
        <v>774</v>
      </c>
      <c r="C3138" s="1" t="s">
        <v>948</v>
      </c>
      <c r="D3138" s="1" t="s">
        <v>949</v>
      </c>
      <c r="E3138" s="1" t="n">
        <v>20171</v>
      </c>
      <c r="F3138" s="1" t="s">
        <v>208</v>
      </c>
      <c r="G3138" s="1" t="s">
        <v>18</v>
      </c>
      <c r="H3138" s="1" t="n">
        <v>3</v>
      </c>
      <c r="I3138" s="1" t="n">
        <v>0</v>
      </c>
      <c r="J3138" s="1" t="n">
        <v>20201</v>
      </c>
      <c r="L3138" s="1" t="str">
        <f aca="false">IF(D3137&lt;&gt;D3138,D3138,"")</f>
        <v/>
      </c>
      <c r="M3138" s="1" t="str">
        <f aca="false">IF(F3137&lt;&gt;F3138,F3138,"")</f>
        <v/>
      </c>
    </row>
    <row r="3139" customFormat="false" ht="15" hidden="false" customHeight="false" outlineLevel="0" collapsed="false">
      <c r="A3139" s="1" t="s">
        <v>202</v>
      </c>
      <c r="B3139" s="1" t="s">
        <v>203</v>
      </c>
      <c r="C3139" s="1" t="s">
        <v>948</v>
      </c>
      <c r="D3139" s="1" t="s">
        <v>949</v>
      </c>
      <c r="E3139" s="1" t="n">
        <v>20171</v>
      </c>
      <c r="F3139" s="1" t="s">
        <v>208</v>
      </c>
      <c r="G3139" s="1" t="s">
        <v>15</v>
      </c>
      <c r="H3139" s="1" t="n">
        <v>3.5</v>
      </c>
      <c r="I3139" s="1" t="n">
        <v>0</v>
      </c>
      <c r="J3139" s="1" t="n">
        <v>20201</v>
      </c>
      <c r="L3139" s="1" t="str">
        <f aca="false">IF(D3138&lt;&gt;D3139,D3139,"")</f>
        <v/>
      </c>
      <c r="M3139" s="1" t="str">
        <f aca="false">IF(F3138&lt;&gt;F3139,F3139,"")</f>
        <v/>
      </c>
    </row>
    <row r="3140" customFormat="false" ht="15" hidden="false" customHeight="false" outlineLevel="0" collapsed="false">
      <c r="A3140" s="1" t="s">
        <v>751</v>
      </c>
      <c r="B3140" s="1" t="s">
        <v>752</v>
      </c>
      <c r="C3140" s="1" t="s">
        <v>948</v>
      </c>
      <c r="D3140" s="1" t="s">
        <v>949</v>
      </c>
      <c r="E3140" s="1" t="n">
        <v>20171</v>
      </c>
      <c r="F3140" s="1" t="s">
        <v>208</v>
      </c>
      <c r="G3140" s="1" t="s">
        <v>18</v>
      </c>
      <c r="H3140" s="1" t="n">
        <v>3</v>
      </c>
      <c r="I3140" s="1" t="n">
        <v>0</v>
      </c>
      <c r="J3140" s="1" t="n">
        <v>20201</v>
      </c>
      <c r="L3140" s="1" t="str">
        <f aca="false">IF(D3139&lt;&gt;D3140,D3140,"")</f>
        <v/>
      </c>
      <c r="M3140" s="1" t="str">
        <f aca="false">IF(F3139&lt;&gt;F3140,F3140,"")</f>
        <v/>
      </c>
    </row>
    <row r="3141" customFormat="false" ht="15" hidden="false" customHeight="false" outlineLevel="0" collapsed="false">
      <c r="A3141" s="1" t="s">
        <v>209</v>
      </c>
      <c r="B3141" s="1" t="s">
        <v>210</v>
      </c>
      <c r="C3141" s="1" t="s">
        <v>948</v>
      </c>
      <c r="D3141" s="1" t="s">
        <v>949</v>
      </c>
      <c r="E3141" s="1" t="n">
        <v>20171</v>
      </c>
      <c r="F3141" s="1" t="s">
        <v>208</v>
      </c>
      <c r="G3141" s="1" t="s">
        <v>15</v>
      </c>
      <c r="H3141" s="1" t="n">
        <v>3.5</v>
      </c>
      <c r="I3141" s="1" t="n">
        <v>0</v>
      </c>
      <c r="J3141" s="1" t="n">
        <v>20201</v>
      </c>
      <c r="L3141" s="1" t="str">
        <f aca="false">IF(D3140&lt;&gt;D3141,D3141,"")</f>
        <v/>
      </c>
      <c r="M3141" s="1" t="str">
        <f aca="false">IF(F3140&lt;&gt;F3141,F3141,"")</f>
        <v/>
      </c>
    </row>
    <row r="3142" customFormat="false" ht="15" hidden="false" customHeight="false" outlineLevel="0" collapsed="false">
      <c r="A3142" s="1" t="s">
        <v>950</v>
      </c>
      <c r="B3142" s="1" t="s">
        <v>951</v>
      </c>
      <c r="C3142" s="1" t="s">
        <v>952</v>
      </c>
      <c r="D3142" s="1" t="s">
        <v>953</v>
      </c>
      <c r="E3142" s="1" t="n">
        <v>20171</v>
      </c>
      <c r="F3142" s="1" t="s">
        <v>208</v>
      </c>
      <c r="G3142" s="1" t="s">
        <v>124</v>
      </c>
      <c r="H3142" s="1" t="n">
        <v>0</v>
      </c>
      <c r="I3142" s="1" t="n">
        <v>0</v>
      </c>
      <c r="J3142" s="1" t="n">
        <v>20201</v>
      </c>
      <c r="L3142" s="1" t="str">
        <f aca="false">IF(D3141&lt;&gt;D3142,D3142,"")</f>
        <v>SISTEM TELEKOMUNIKASI</v>
      </c>
      <c r="M3142" s="1" t="str">
        <f aca="false">IF(F3141&lt;&gt;F3142,F3142,"")</f>
        <v/>
      </c>
    </row>
    <row r="3143" customFormat="false" ht="15" hidden="false" customHeight="false" outlineLevel="0" collapsed="false">
      <c r="A3143" s="1" t="s">
        <v>611</v>
      </c>
      <c r="B3143" s="1" t="s">
        <v>612</v>
      </c>
      <c r="C3143" s="1" t="s">
        <v>952</v>
      </c>
      <c r="D3143" s="1" t="s">
        <v>953</v>
      </c>
      <c r="E3143" s="1" t="n">
        <v>20171</v>
      </c>
      <c r="F3143" s="1" t="s">
        <v>208</v>
      </c>
      <c r="G3143" s="1" t="s">
        <v>514</v>
      </c>
      <c r="H3143" s="1" t="n">
        <v>1</v>
      </c>
      <c r="I3143" s="1" t="n">
        <v>0</v>
      </c>
      <c r="J3143" s="1" t="n">
        <v>20201</v>
      </c>
      <c r="L3143" s="1" t="str">
        <f aca="false">IF(D3142&lt;&gt;D3143,D3143,"")</f>
        <v/>
      </c>
      <c r="M3143" s="1" t="str">
        <f aca="false">IF(F3142&lt;&gt;F3143,F3143,"")</f>
        <v/>
      </c>
    </row>
    <row r="3144" customFormat="false" ht="15" hidden="false" customHeight="false" outlineLevel="0" collapsed="false">
      <c r="A3144" s="1" t="s">
        <v>625</v>
      </c>
      <c r="B3144" s="1" t="s">
        <v>626</v>
      </c>
      <c r="C3144" s="1" t="s">
        <v>952</v>
      </c>
      <c r="D3144" s="1" t="s">
        <v>953</v>
      </c>
      <c r="E3144" s="1" t="n">
        <v>20171</v>
      </c>
      <c r="F3144" s="1" t="s">
        <v>208</v>
      </c>
      <c r="G3144" s="1" t="s">
        <v>514</v>
      </c>
      <c r="H3144" s="1" t="n">
        <v>1</v>
      </c>
      <c r="I3144" s="1" t="n">
        <v>0</v>
      </c>
      <c r="J3144" s="1" t="n">
        <v>20201</v>
      </c>
      <c r="L3144" s="1" t="str">
        <f aca="false">IF(D3143&lt;&gt;D3144,D3144,"")</f>
        <v/>
      </c>
      <c r="M3144" s="1" t="str">
        <f aca="false">IF(F3143&lt;&gt;F3144,F3144,"")</f>
        <v/>
      </c>
    </row>
    <row r="3145" customFormat="false" ht="15" hidden="false" customHeight="false" outlineLevel="0" collapsed="false">
      <c r="A3145" s="1" t="s">
        <v>816</v>
      </c>
      <c r="B3145" s="1" t="s">
        <v>817</v>
      </c>
      <c r="C3145" s="1" t="s">
        <v>952</v>
      </c>
      <c r="D3145" s="1" t="s">
        <v>953</v>
      </c>
      <c r="E3145" s="1" t="n">
        <v>20171</v>
      </c>
      <c r="F3145" s="1" t="s">
        <v>208</v>
      </c>
      <c r="G3145" s="1" t="s">
        <v>101</v>
      </c>
      <c r="H3145" s="1" t="n">
        <v>2.5</v>
      </c>
      <c r="I3145" s="1" t="n">
        <v>0</v>
      </c>
      <c r="J3145" s="1" t="n">
        <v>20201</v>
      </c>
      <c r="L3145" s="1" t="str">
        <f aca="false">IF(D3144&lt;&gt;D3145,D3145,"")</f>
        <v/>
      </c>
      <c r="M3145" s="1" t="str">
        <f aca="false">IF(F3144&lt;&gt;F3145,F3145,"")</f>
        <v/>
      </c>
    </row>
    <row r="3146" customFormat="false" ht="15" hidden="false" customHeight="false" outlineLevel="0" collapsed="false">
      <c r="A3146" s="1" t="s">
        <v>275</v>
      </c>
      <c r="B3146" s="1" t="s">
        <v>276</v>
      </c>
      <c r="C3146" s="1" t="s">
        <v>952</v>
      </c>
      <c r="D3146" s="1" t="s">
        <v>953</v>
      </c>
      <c r="E3146" s="1" t="n">
        <v>20171</v>
      </c>
      <c r="F3146" s="1" t="s">
        <v>208</v>
      </c>
      <c r="G3146" s="1" t="s">
        <v>15</v>
      </c>
      <c r="H3146" s="1" t="n">
        <v>3.5</v>
      </c>
      <c r="I3146" s="1" t="n">
        <v>0</v>
      </c>
      <c r="J3146" s="1" t="n">
        <v>20201</v>
      </c>
      <c r="L3146" s="1" t="str">
        <f aca="false">IF(D3145&lt;&gt;D3146,D3146,"")</f>
        <v/>
      </c>
      <c r="M3146" s="1" t="str">
        <f aca="false">IF(F3145&lt;&gt;F3146,F3146,"")</f>
        <v/>
      </c>
    </row>
    <row r="3147" customFormat="false" ht="15" hidden="false" customHeight="false" outlineLevel="0" collapsed="false">
      <c r="A3147" s="1" t="s">
        <v>681</v>
      </c>
      <c r="B3147" s="1" t="s">
        <v>682</v>
      </c>
      <c r="C3147" s="1" t="s">
        <v>952</v>
      </c>
      <c r="D3147" s="1" t="s">
        <v>953</v>
      </c>
      <c r="E3147" s="1" t="n">
        <v>20171</v>
      </c>
      <c r="F3147" s="1" t="s">
        <v>208</v>
      </c>
      <c r="G3147" s="1" t="s">
        <v>127</v>
      </c>
      <c r="H3147" s="1" t="n">
        <v>2</v>
      </c>
      <c r="I3147" s="1" t="n">
        <v>0</v>
      </c>
      <c r="J3147" s="1" t="n">
        <v>20201</v>
      </c>
      <c r="L3147" s="1" t="str">
        <f aca="false">IF(D3146&lt;&gt;D3147,D3147,"")</f>
        <v/>
      </c>
      <c r="M3147" s="1" t="str">
        <f aca="false">IF(F3146&lt;&gt;F3147,F3147,"")</f>
        <v/>
      </c>
    </row>
    <row r="3148" customFormat="false" ht="15" hidden="false" customHeight="false" outlineLevel="0" collapsed="false">
      <c r="A3148" s="1" t="s">
        <v>765</v>
      </c>
      <c r="B3148" s="1" t="s">
        <v>766</v>
      </c>
      <c r="C3148" s="1" t="s">
        <v>952</v>
      </c>
      <c r="D3148" s="1" t="s">
        <v>953</v>
      </c>
      <c r="E3148" s="1" t="n">
        <v>20171</v>
      </c>
      <c r="F3148" s="1" t="s">
        <v>208</v>
      </c>
      <c r="G3148" s="1" t="s">
        <v>124</v>
      </c>
      <c r="H3148" s="1" t="n">
        <v>0</v>
      </c>
      <c r="I3148" s="1" t="n">
        <v>0</v>
      </c>
      <c r="J3148" s="1" t="n">
        <v>20201</v>
      </c>
      <c r="L3148" s="1" t="str">
        <f aca="false">IF(D3147&lt;&gt;D3148,D3148,"")</f>
        <v/>
      </c>
      <c r="M3148" s="1" t="str">
        <f aca="false">IF(F3147&lt;&gt;F3148,F3148,"")</f>
        <v/>
      </c>
    </row>
    <row r="3149" customFormat="false" ht="15" hidden="false" customHeight="false" outlineLevel="0" collapsed="false">
      <c r="A3149" s="1" t="s">
        <v>277</v>
      </c>
      <c r="B3149" s="1" t="s">
        <v>278</v>
      </c>
      <c r="C3149" s="1" t="s">
        <v>952</v>
      </c>
      <c r="D3149" s="1" t="s">
        <v>953</v>
      </c>
      <c r="E3149" s="1" t="n">
        <v>20171</v>
      </c>
      <c r="F3149" s="1" t="s">
        <v>208</v>
      </c>
      <c r="G3149" s="1" t="s">
        <v>30</v>
      </c>
      <c r="H3149" s="1" t="n">
        <v>1.5</v>
      </c>
      <c r="I3149" s="1" t="n">
        <v>0</v>
      </c>
      <c r="J3149" s="1" t="n">
        <v>20201</v>
      </c>
      <c r="L3149" s="1" t="str">
        <f aca="false">IF(D3148&lt;&gt;D3149,D3149,"")</f>
        <v/>
      </c>
      <c r="M3149" s="1" t="str">
        <f aca="false">IF(F3148&lt;&gt;F3149,F3149,"")</f>
        <v/>
      </c>
    </row>
    <row r="3150" customFormat="false" ht="15" hidden="false" customHeight="false" outlineLevel="0" collapsed="false">
      <c r="A3150" s="1" t="s">
        <v>279</v>
      </c>
      <c r="B3150" s="1" t="s">
        <v>280</v>
      </c>
      <c r="C3150" s="1" t="s">
        <v>952</v>
      </c>
      <c r="D3150" s="1" t="s">
        <v>953</v>
      </c>
      <c r="E3150" s="1" t="n">
        <v>20171</v>
      </c>
      <c r="F3150" s="1" t="s">
        <v>208</v>
      </c>
      <c r="G3150" s="1" t="s">
        <v>14</v>
      </c>
      <c r="H3150" s="1" t="n">
        <v>4</v>
      </c>
      <c r="I3150" s="1" t="n">
        <v>0</v>
      </c>
      <c r="J3150" s="1" t="n">
        <v>20201</v>
      </c>
      <c r="L3150" s="1" t="str">
        <f aca="false">IF(D3149&lt;&gt;D3150,D3150,"")</f>
        <v/>
      </c>
      <c r="M3150" s="1" t="str">
        <f aca="false">IF(F3149&lt;&gt;F3150,F3150,"")</f>
        <v/>
      </c>
    </row>
    <row r="3151" customFormat="false" ht="15" hidden="false" customHeight="false" outlineLevel="0" collapsed="false">
      <c r="A3151" s="1" t="s">
        <v>281</v>
      </c>
      <c r="B3151" s="1" t="s">
        <v>282</v>
      </c>
      <c r="C3151" s="1" t="s">
        <v>952</v>
      </c>
      <c r="D3151" s="1" t="s">
        <v>953</v>
      </c>
      <c r="E3151" s="1" t="n">
        <v>20171</v>
      </c>
      <c r="F3151" s="1" t="s">
        <v>208</v>
      </c>
      <c r="G3151" s="1" t="s">
        <v>101</v>
      </c>
      <c r="H3151" s="1" t="n">
        <v>2.5</v>
      </c>
      <c r="I3151" s="1" t="n">
        <v>0</v>
      </c>
      <c r="J3151" s="1" t="n">
        <v>20201</v>
      </c>
      <c r="L3151" s="1" t="str">
        <f aca="false">IF(D3150&lt;&gt;D3151,D3151,"")</f>
        <v/>
      </c>
      <c r="M3151" s="1" t="str">
        <f aca="false">IF(F3150&lt;&gt;F3151,F3151,"")</f>
        <v/>
      </c>
    </row>
    <row r="3152" customFormat="false" ht="15" hidden="false" customHeight="false" outlineLevel="0" collapsed="false">
      <c r="A3152" s="1" t="s">
        <v>283</v>
      </c>
      <c r="B3152" s="1" t="s">
        <v>284</v>
      </c>
      <c r="C3152" s="1" t="s">
        <v>952</v>
      </c>
      <c r="D3152" s="1" t="s">
        <v>953</v>
      </c>
      <c r="E3152" s="1" t="n">
        <v>20171</v>
      </c>
      <c r="F3152" s="1" t="s">
        <v>208</v>
      </c>
      <c r="G3152" s="1" t="s">
        <v>127</v>
      </c>
      <c r="H3152" s="1" t="n">
        <v>2</v>
      </c>
      <c r="I3152" s="1" t="n">
        <v>0</v>
      </c>
      <c r="J3152" s="1" t="n">
        <v>20201</v>
      </c>
      <c r="L3152" s="1" t="str">
        <f aca="false">IF(D3151&lt;&gt;D3152,D3152,"")</f>
        <v/>
      </c>
      <c r="M3152" s="1" t="str">
        <f aca="false">IF(F3151&lt;&gt;F3152,F3152,"")</f>
        <v/>
      </c>
    </row>
    <row r="3153" customFormat="false" ht="15" hidden="false" customHeight="false" outlineLevel="0" collapsed="false">
      <c r="A3153" s="1" t="s">
        <v>285</v>
      </c>
      <c r="B3153" s="1" t="s">
        <v>286</v>
      </c>
      <c r="C3153" s="1" t="s">
        <v>952</v>
      </c>
      <c r="D3153" s="1" t="s">
        <v>953</v>
      </c>
      <c r="E3153" s="1" t="n">
        <v>20171</v>
      </c>
      <c r="F3153" s="1" t="s">
        <v>208</v>
      </c>
      <c r="G3153" s="1" t="s">
        <v>30</v>
      </c>
      <c r="H3153" s="1" t="n">
        <v>1.5</v>
      </c>
      <c r="I3153" s="1" t="n">
        <v>0</v>
      </c>
      <c r="J3153" s="1" t="n">
        <v>20201</v>
      </c>
      <c r="L3153" s="1" t="str">
        <f aca="false">IF(D3152&lt;&gt;D3153,D3153,"")</f>
        <v/>
      </c>
      <c r="M3153" s="1" t="str">
        <f aca="false">IF(F3152&lt;&gt;F3153,F3153,"")</f>
        <v/>
      </c>
    </row>
    <row r="3154" customFormat="false" ht="15" hidden="false" customHeight="false" outlineLevel="0" collapsed="false">
      <c r="A3154" s="1" t="s">
        <v>287</v>
      </c>
      <c r="B3154" s="1" t="s">
        <v>288</v>
      </c>
      <c r="C3154" s="1" t="s">
        <v>952</v>
      </c>
      <c r="D3154" s="1" t="s">
        <v>953</v>
      </c>
      <c r="E3154" s="1" t="n">
        <v>20171</v>
      </c>
      <c r="F3154" s="1" t="s">
        <v>208</v>
      </c>
      <c r="G3154" s="1" t="s">
        <v>18</v>
      </c>
      <c r="H3154" s="1" t="n">
        <v>3</v>
      </c>
      <c r="I3154" s="1" t="n">
        <v>0</v>
      </c>
      <c r="J3154" s="1" t="n">
        <v>20201</v>
      </c>
      <c r="L3154" s="1" t="str">
        <f aca="false">IF(D3153&lt;&gt;D3154,D3154,"")</f>
        <v/>
      </c>
      <c r="M3154" s="1" t="str">
        <f aca="false">IF(F3153&lt;&gt;F3154,F3154,"")</f>
        <v/>
      </c>
    </row>
    <row r="3155" customFormat="false" ht="15" hidden="false" customHeight="false" outlineLevel="0" collapsed="false">
      <c r="A3155" s="1" t="s">
        <v>289</v>
      </c>
      <c r="B3155" s="1" t="s">
        <v>290</v>
      </c>
      <c r="C3155" s="1" t="s">
        <v>952</v>
      </c>
      <c r="D3155" s="1" t="s">
        <v>953</v>
      </c>
      <c r="E3155" s="1" t="n">
        <v>20171</v>
      </c>
      <c r="F3155" s="1" t="s">
        <v>208</v>
      </c>
      <c r="G3155" s="1" t="s">
        <v>101</v>
      </c>
      <c r="H3155" s="1" t="n">
        <v>2.5</v>
      </c>
      <c r="I3155" s="1" t="n">
        <v>0</v>
      </c>
      <c r="J3155" s="1" t="n">
        <v>20201</v>
      </c>
      <c r="L3155" s="1" t="str">
        <f aca="false">IF(D3154&lt;&gt;D3155,D3155,"")</f>
        <v/>
      </c>
      <c r="M3155" s="1" t="str">
        <f aca="false">IF(F3154&lt;&gt;F3155,F3155,"")</f>
        <v/>
      </c>
    </row>
    <row r="3156" customFormat="false" ht="15" hidden="false" customHeight="false" outlineLevel="0" collapsed="false">
      <c r="A3156" s="1" t="s">
        <v>291</v>
      </c>
      <c r="B3156" s="1" t="s">
        <v>292</v>
      </c>
      <c r="C3156" s="1" t="s">
        <v>952</v>
      </c>
      <c r="D3156" s="1" t="s">
        <v>953</v>
      </c>
      <c r="E3156" s="1" t="n">
        <v>20171</v>
      </c>
      <c r="F3156" s="1" t="s">
        <v>208</v>
      </c>
      <c r="G3156" s="1" t="s">
        <v>18</v>
      </c>
      <c r="H3156" s="1" t="n">
        <v>3</v>
      </c>
      <c r="I3156" s="1" t="n">
        <v>0</v>
      </c>
      <c r="J3156" s="1" t="n">
        <v>20201</v>
      </c>
      <c r="L3156" s="1" t="str">
        <f aca="false">IF(D3155&lt;&gt;D3156,D3156,"")</f>
        <v/>
      </c>
      <c r="M3156" s="1" t="str">
        <f aca="false">IF(F3155&lt;&gt;F3156,F3156,"")</f>
        <v/>
      </c>
    </row>
    <row r="3157" customFormat="false" ht="15" hidden="false" customHeight="false" outlineLevel="0" collapsed="false">
      <c r="A3157" s="1" t="s">
        <v>293</v>
      </c>
      <c r="B3157" s="1" t="s">
        <v>294</v>
      </c>
      <c r="C3157" s="1" t="s">
        <v>952</v>
      </c>
      <c r="D3157" s="1" t="s">
        <v>953</v>
      </c>
      <c r="E3157" s="1" t="n">
        <v>20171</v>
      </c>
      <c r="F3157" s="1" t="s">
        <v>208</v>
      </c>
      <c r="G3157" s="1" t="s">
        <v>30</v>
      </c>
      <c r="H3157" s="1" t="n">
        <v>1.5</v>
      </c>
      <c r="I3157" s="1" t="n">
        <v>0</v>
      </c>
      <c r="J3157" s="1" t="n">
        <v>20201</v>
      </c>
      <c r="L3157" s="1" t="str">
        <f aca="false">IF(D3156&lt;&gt;D3157,D3157,"")</f>
        <v/>
      </c>
      <c r="M3157" s="1" t="str">
        <f aca="false">IF(F3156&lt;&gt;F3157,F3157,"")</f>
        <v/>
      </c>
    </row>
    <row r="3158" customFormat="false" ht="15" hidden="false" customHeight="false" outlineLevel="0" collapsed="false">
      <c r="A3158" s="1" t="s">
        <v>683</v>
      </c>
      <c r="B3158" s="1" t="s">
        <v>684</v>
      </c>
      <c r="C3158" s="1" t="s">
        <v>952</v>
      </c>
      <c r="D3158" s="1" t="s">
        <v>953</v>
      </c>
      <c r="E3158" s="1" t="n">
        <v>20171</v>
      </c>
      <c r="F3158" s="1" t="s">
        <v>208</v>
      </c>
      <c r="G3158" s="1" t="s">
        <v>101</v>
      </c>
      <c r="H3158" s="1" t="n">
        <v>2.5</v>
      </c>
      <c r="I3158" s="1" t="n">
        <v>0</v>
      </c>
      <c r="J3158" s="1" t="n">
        <v>20201</v>
      </c>
      <c r="L3158" s="1" t="str">
        <f aca="false">IF(D3157&lt;&gt;D3158,D3158,"")</f>
        <v/>
      </c>
      <c r="M3158" s="1" t="str">
        <f aca="false">IF(F3157&lt;&gt;F3158,F3158,"")</f>
        <v/>
      </c>
    </row>
    <row r="3159" customFormat="false" ht="15" hidden="false" customHeight="false" outlineLevel="0" collapsed="false">
      <c r="A3159" s="1" t="s">
        <v>295</v>
      </c>
      <c r="B3159" s="1" t="s">
        <v>296</v>
      </c>
      <c r="C3159" s="1" t="s">
        <v>952</v>
      </c>
      <c r="D3159" s="1" t="s">
        <v>953</v>
      </c>
      <c r="E3159" s="1" t="n">
        <v>20171</v>
      </c>
      <c r="F3159" s="1" t="s">
        <v>208</v>
      </c>
      <c r="G3159" s="1" t="s">
        <v>18</v>
      </c>
      <c r="H3159" s="1" t="n">
        <v>3</v>
      </c>
      <c r="I3159" s="1" t="n">
        <v>0</v>
      </c>
      <c r="J3159" s="1" t="n">
        <v>20201</v>
      </c>
      <c r="L3159" s="1" t="str">
        <f aca="false">IF(D3158&lt;&gt;D3159,D3159,"")</f>
        <v/>
      </c>
      <c r="M3159" s="1" t="str">
        <f aca="false">IF(F3158&lt;&gt;F3159,F3159,"")</f>
        <v/>
      </c>
    </row>
    <row r="3160" customFormat="false" ht="15" hidden="false" customHeight="false" outlineLevel="0" collapsed="false">
      <c r="A3160" s="1" t="s">
        <v>297</v>
      </c>
      <c r="B3160" s="1" t="s">
        <v>298</v>
      </c>
      <c r="C3160" s="1" t="s">
        <v>952</v>
      </c>
      <c r="D3160" s="1" t="s">
        <v>953</v>
      </c>
      <c r="E3160" s="1" t="n">
        <v>20171</v>
      </c>
      <c r="F3160" s="1" t="s">
        <v>208</v>
      </c>
      <c r="G3160" s="1" t="s">
        <v>101</v>
      </c>
      <c r="H3160" s="1" t="n">
        <v>2.5</v>
      </c>
      <c r="I3160" s="1" t="n">
        <v>0</v>
      </c>
      <c r="J3160" s="1" t="n">
        <v>20201</v>
      </c>
      <c r="L3160" s="1" t="str">
        <f aca="false">IF(D3159&lt;&gt;D3160,D3160,"")</f>
        <v/>
      </c>
      <c r="M3160" s="1" t="str">
        <f aca="false">IF(F3159&lt;&gt;F3160,F3160,"")</f>
        <v/>
      </c>
    </row>
    <row r="3161" customFormat="false" ht="15" hidden="false" customHeight="false" outlineLevel="0" collapsed="false">
      <c r="A3161" s="1" t="s">
        <v>10</v>
      </c>
      <c r="B3161" s="1" t="s">
        <v>11</v>
      </c>
      <c r="C3161" s="1" t="s">
        <v>954</v>
      </c>
      <c r="D3161" s="1" t="s">
        <v>955</v>
      </c>
      <c r="E3161" s="1" t="n">
        <v>20171</v>
      </c>
      <c r="F3161" s="1" t="s">
        <v>208</v>
      </c>
      <c r="G3161" s="1" t="s">
        <v>15</v>
      </c>
      <c r="H3161" s="1" t="n">
        <v>3.5</v>
      </c>
      <c r="I3161" s="1" t="n">
        <v>0</v>
      </c>
      <c r="J3161" s="1" t="n">
        <v>20201</v>
      </c>
      <c r="L3161" s="1" t="str">
        <f aca="false">IF(D3160&lt;&gt;D3161,D3161,"")</f>
        <v>TECHNOPRENEURSHIP</v>
      </c>
      <c r="M3161" s="1" t="str">
        <f aca="false">IF(F3160&lt;&gt;F3161,F3161,"")</f>
        <v/>
      </c>
    </row>
    <row r="3162" customFormat="false" ht="15" hidden="false" customHeight="false" outlineLevel="0" collapsed="false">
      <c r="A3162" s="1" t="s">
        <v>785</v>
      </c>
      <c r="B3162" s="1" t="s">
        <v>786</v>
      </c>
      <c r="C3162" s="1" t="s">
        <v>954</v>
      </c>
      <c r="D3162" s="1" t="s">
        <v>955</v>
      </c>
      <c r="E3162" s="1" t="n">
        <v>20171</v>
      </c>
      <c r="F3162" s="1" t="s">
        <v>208</v>
      </c>
      <c r="G3162" s="1" t="s">
        <v>18</v>
      </c>
      <c r="H3162" s="1" t="n">
        <v>3</v>
      </c>
      <c r="I3162" s="1" t="n">
        <v>0</v>
      </c>
      <c r="J3162" s="1" t="n">
        <v>20201</v>
      </c>
      <c r="L3162" s="1" t="str">
        <f aca="false">IF(D3161&lt;&gt;D3162,D3162,"")</f>
        <v/>
      </c>
      <c r="M3162" s="1" t="str">
        <f aca="false">IF(F3161&lt;&gt;F3162,F3162,"")</f>
        <v/>
      </c>
    </row>
    <row r="3163" customFormat="false" ht="15" hidden="false" customHeight="false" outlineLevel="0" collapsed="false">
      <c r="A3163" s="1" t="s">
        <v>204</v>
      </c>
      <c r="B3163" s="1" t="s">
        <v>205</v>
      </c>
      <c r="C3163" s="1" t="s">
        <v>954</v>
      </c>
      <c r="D3163" s="1" t="s">
        <v>955</v>
      </c>
      <c r="E3163" s="1" t="n">
        <v>20171</v>
      </c>
      <c r="F3163" s="1" t="s">
        <v>208</v>
      </c>
      <c r="G3163" s="1" t="s">
        <v>15</v>
      </c>
      <c r="H3163" s="1" t="n">
        <v>3.5</v>
      </c>
      <c r="I3163" s="1" t="n">
        <v>0</v>
      </c>
      <c r="J3163" s="1" t="n">
        <v>20201</v>
      </c>
      <c r="L3163" s="1" t="str">
        <f aca="false">IF(D3162&lt;&gt;D3163,D3163,"")</f>
        <v/>
      </c>
      <c r="M3163" s="1" t="str">
        <f aca="false">IF(F3162&lt;&gt;F3163,F3163,"")</f>
        <v/>
      </c>
    </row>
    <row r="3164" customFormat="false" ht="15" hidden="false" customHeight="false" outlineLevel="0" collapsed="false">
      <c r="A3164" s="1" t="s">
        <v>729</v>
      </c>
      <c r="B3164" s="1" t="s">
        <v>730</v>
      </c>
      <c r="C3164" s="1" t="s">
        <v>954</v>
      </c>
      <c r="D3164" s="1" t="s">
        <v>955</v>
      </c>
      <c r="E3164" s="1" t="n">
        <v>20171</v>
      </c>
      <c r="F3164" s="1" t="s">
        <v>208</v>
      </c>
      <c r="G3164" s="1" t="s">
        <v>15</v>
      </c>
      <c r="H3164" s="1" t="n">
        <v>3.5</v>
      </c>
      <c r="I3164" s="1" t="n">
        <v>0</v>
      </c>
      <c r="J3164" s="1" t="n">
        <v>20201</v>
      </c>
      <c r="L3164" s="1" t="str">
        <f aca="false">IF(D3163&lt;&gt;D3164,D3164,"")</f>
        <v/>
      </c>
      <c r="M3164" s="1" t="str">
        <f aca="false">IF(F3163&lt;&gt;F3164,F3164,"")</f>
        <v/>
      </c>
    </row>
    <row r="3165" customFormat="false" ht="15" hidden="false" customHeight="false" outlineLevel="0" collapsed="false">
      <c r="A3165" s="1" t="s">
        <v>790</v>
      </c>
      <c r="B3165" s="1" t="s">
        <v>791</v>
      </c>
      <c r="C3165" s="1" t="s">
        <v>954</v>
      </c>
      <c r="D3165" s="1" t="s">
        <v>955</v>
      </c>
      <c r="E3165" s="1" t="n">
        <v>20171</v>
      </c>
      <c r="F3165" s="1" t="s">
        <v>208</v>
      </c>
      <c r="G3165" s="1" t="s">
        <v>15</v>
      </c>
      <c r="H3165" s="1" t="n">
        <v>3.5</v>
      </c>
      <c r="I3165" s="1" t="n">
        <v>0</v>
      </c>
      <c r="J3165" s="1" t="n">
        <v>20201</v>
      </c>
      <c r="L3165" s="1" t="str">
        <f aca="false">IF(D3164&lt;&gt;D3165,D3165,"")</f>
        <v/>
      </c>
      <c r="M3165" s="1" t="str">
        <f aca="false">IF(F3164&lt;&gt;F3165,F3165,"")</f>
        <v/>
      </c>
    </row>
    <row r="3166" customFormat="false" ht="15" hidden="false" customHeight="false" outlineLevel="0" collapsed="false">
      <c r="A3166" s="1" t="s">
        <v>669</v>
      </c>
      <c r="B3166" s="1" t="s">
        <v>670</v>
      </c>
      <c r="C3166" s="1" t="s">
        <v>954</v>
      </c>
      <c r="D3166" s="1" t="s">
        <v>955</v>
      </c>
      <c r="E3166" s="1" t="n">
        <v>20171</v>
      </c>
      <c r="F3166" s="1" t="s">
        <v>208</v>
      </c>
      <c r="G3166" s="1" t="s">
        <v>18</v>
      </c>
      <c r="H3166" s="1" t="n">
        <v>3</v>
      </c>
      <c r="I3166" s="1" t="n">
        <v>0</v>
      </c>
      <c r="J3166" s="1" t="n">
        <v>20201</v>
      </c>
      <c r="L3166" s="1" t="str">
        <f aca="false">IF(D3165&lt;&gt;D3166,D3166,"")</f>
        <v/>
      </c>
      <c r="M3166" s="1" t="str">
        <f aca="false">IF(F3165&lt;&gt;F3166,F3166,"")</f>
        <v/>
      </c>
    </row>
    <row r="3167" customFormat="false" ht="15" hidden="false" customHeight="false" outlineLevel="0" collapsed="false">
      <c r="A3167" s="1" t="s">
        <v>611</v>
      </c>
      <c r="B3167" s="1" t="s">
        <v>612</v>
      </c>
      <c r="C3167" s="1" t="s">
        <v>954</v>
      </c>
      <c r="D3167" s="1" t="s">
        <v>955</v>
      </c>
      <c r="E3167" s="1" t="n">
        <v>20171</v>
      </c>
      <c r="F3167" s="1" t="s">
        <v>208</v>
      </c>
      <c r="G3167" s="1" t="s">
        <v>15</v>
      </c>
      <c r="H3167" s="1" t="n">
        <v>3.5</v>
      </c>
      <c r="I3167" s="1" t="n">
        <v>0</v>
      </c>
      <c r="J3167" s="1" t="n">
        <v>20201</v>
      </c>
      <c r="L3167" s="1" t="str">
        <f aca="false">IF(D3166&lt;&gt;D3167,D3167,"")</f>
        <v/>
      </c>
      <c r="M3167" s="1" t="str">
        <f aca="false">IF(F3166&lt;&gt;F3167,F3167,"")</f>
        <v/>
      </c>
    </row>
    <row r="3168" customFormat="false" ht="15" hidden="false" customHeight="false" outlineLevel="0" collapsed="false">
      <c r="A3168" s="1" t="s">
        <v>110</v>
      </c>
      <c r="B3168" s="1" t="s">
        <v>111</v>
      </c>
      <c r="C3168" s="1" t="s">
        <v>954</v>
      </c>
      <c r="D3168" s="1" t="s">
        <v>955</v>
      </c>
      <c r="E3168" s="1" t="n">
        <v>20171</v>
      </c>
      <c r="F3168" s="1" t="s">
        <v>208</v>
      </c>
      <c r="G3168" s="1" t="s">
        <v>15</v>
      </c>
      <c r="H3168" s="1" t="n">
        <v>3.5</v>
      </c>
      <c r="I3168" s="1" t="n">
        <v>0</v>
      </c>
      <c r="J3168" s="1" t="n">
        <v>20201</v>
      </c>
      <c r="L3168" s="1" t="str">
        <f aca="false">IF(D3167&lt;&gt;D3168,D3168,"")</f>
        <v/>
      </c>
      <c r="M3168" s="1" t="str">
        <f aca="false">IF(F3167&lt;&gt;F3168,F3168,"")</f>
        <v/>
      </c>
    </row>
    <row r="3169" customFormat="false" ht="15" hidden="false" customHeight="false" outlineLevel="0" collapsed="false">
      <c r="A3169" s="1" t="s">
        <v>733</v>
      </c>
      <c r="B3169" s="1" t="s">
        <v>734</v>
      </c>
      <c r="C3169" s="1" t="s">
        <v>954</v>
      </c>
      <c r="D3169" s="1" t="s">
        <v>955</v>
      </c>
      <c r="E3169" s="1" t="n">
        <v>20171</v>
      </c>
      <c r="F3169" s="1" t="s">
        <v>208</v>
      </c>
      <c r="G3169" s="1" t="s">
        <v>15</v>
      </c>
      <c r="H3169" s="1" t="n">
        <v>3.5</v>
      </c>
      <c r="I3169" s="1" t="n">
        <v>0</v>
      </c>
      <c r="J3169" s="1" t="n">
        <v>20201</v>
      </c>
      <c r="L3169" s="1" t="str">
        <f aca="false">IF(D3168&lt;&gt;D3169,D3169,"")</f>
        <v/>
      </c>
      <c r="M3169" s="1" t="str">
        <f aca="false">IF(F3168&lt;&gt;F3169,F3169,"")</f>
        <v/>
      </c>
    </row>
    <row r="3170" customFormat="false" ht="15" hidden="false" customHeight="false" outlineLevel="0" collapsed="false">
      <c r="A3170" s="1" t="s">
        <v>651</v>
      </c>
      <c r="B3170" s="1" t="s">
        <v>652</v>
      </c>
      <c r="C3170" s="1" t="s">
        <v>954</v>
      </c>
      <c r="D3170" s="1" t="s">
        <v>955</v>
      </c>
      <c r="E3170" s="1" t="n">
        <v>20171</v>
      </c>
      <c r="F3170" s="1" t="s">
        <v>208</v>
      </c>
      <c r="G3170" s="1" t="s">
        <v>18</v>
      </c>
      <c r="H3170" s="1" t="n">
        <v>3</v>
      </c>
      <c r="I3170" s="1" t="n">
        <v>0</v>
      </c>
      <c r="J3170" s="1" t="n">
        <v>20201</v>
      </c>
      <c r="L3170" s="1" t="str">
        <f aca="false">IF(D3169&lt;&gt;D3170,D3170,"")</f>
        <v/>
      </c>
      <c r="M3170" s="1" t="str">
        <f aca="false">IF(F3169&lt;&gt;F3170,F3170,"")</f>
        <v/>
      </c>
    </row>
    <row r="3171" customFormat="false" ht="15" hidden="false" customHeight="false" outlineLevel="0" collapsed="false">
      <c r="A3171" s="1" t="s">
        <v>525</v>
      </c>
      <c r="B3171" s="1" t="s">
        <v>526</v>
      </c>
      <c r="C3171" s="1" t="s">
        <v>954</v>
      </c>
      <c r="D3171" s="1" t="s">
        <v>955</v>
      </c>
      <c r="E3171" s="1" t="n">
        <v>20171</v>
      </c>
      <c r="F3171" s="1" t="s">
        <v>208</v>
      </c>
      <c r="G3171" s="1" t="s">
        <v>15</v>
      </c>
      <c r="H3171" s="1" t="n">
        <v>3.5</v>
      </c>
      <c r="I3171" s="1" t="n">
        <v>0</v>
      </c>
      <c r="J3171" s="1" t="n">
        <v>20201</v>
      </c>
      <c r="L3171" s="1" t="str">
        <f aca="false">IF(D3170&lt;&gt;D3171,D3171,"")</f>
        <v/>
      </c>
      <c r="M3171" s="1" t="str">
        <f aca="false">IF(F3170&lt;&gt;F3171,F3171,"")</f>
        <v/>
      </c>
    </row>
    <row r="3172" customFormat="false" ht="15" hidden="false" customHeight="false" outlineLevel="0" collapsed="false">
      <c r="A3172" s="1" t="s">
        <v>259</v>
      </c>
      <c r="B3172" s="1" t="s">
        <v>260</v>
      </c>
      <c r="C3172" s="1" t="s">
        <v>954</v>
      </c>
      <c r="D3172" s="1" t="s">
        <v>955</v>
      </c>
      <c r="E3172" s="1" t="n">
        <v>20171</v>
      </c>
      <c r="F3172" s="1" t="s">
        <v>208</v>
      </c>
      <c r="G3172" s="1" t="s">
        <v>18</v>
      </c>
      <c r="H3172" s="1" t="n">
        <v>3</v>
      </c>
      <c r="I3172" s="1" t="n">
        <v>0</v>
      </c>
      <c r="J3172" s="1" t="n">
        <v>20201</v>
      </c>
      <c r="L3172" s="1" t="str">
        <f aca="false">IF(D3171&lt;&gt;D3172,D3172,"")</f>
        <v/>
      </c>
      <c r="M3172" s="1" t="str">
        <f aca="false">IF(F3171&lt;&gt;F3172,F3172,"")</f>
        <v/>
      </c>
    </row>
    <row r="3173" customFormat="false" ht="15" hidden="false" customHeight="false" outlineLevel="0" collapsed="false">
      <c r="A3173" s="1" t="s">
        <v>575</v>
      </c>
      <c r="B3173" s="1" t="s">
        <v>576</v>
      </c>
      <c r="C3173" s="1" t="s">
        <v>954</v>
      </c>
      <c r="D3173" s="1" t="s">
        <v>955</v>
      </c>
      <c r="E3173" s="1" t="n">
        <v>20171</v>
      </c>
      <c r="F3173" s="1" t="s">
        <v>208</v>
      </c>
      <c r="G3173" s="1" t="s">
        <v>15</v>
      </c>
      <c r="H3173" s="1" t="n">
        <v>3.5</v>
      </c>
      <c r="I3173" s="1" t="n">
        <v>0</v>
      </c>
      <c r="J3173" s="1" t="n">
        <v>20201</v>
      </c>
      <c r="L3173" s="1" t="str">
        <f aca="false">IF(D3172&lt;&gt;D3173,D3173,"")</f>
        <v/>
      </c>
      <c r="M3173" s="1" t="str">
        <f aca="false">IF(F3172&lt;&gt;F3173,F3173,"")</f>
        <v/>
      </c>
    </row>
    <row r="3174" customFormat="false" ht="15" hidden="false" customHeight="false" outlineLevel="0" collapsed="false">
      <c r="A3174" s="1" t="s">
        <v>601</v>
      </c>
      <c r="B3174" s="1" t="s">
        <v>602</v>
      </c>
      <c r="C3174" s="1" t="s">
        <v>954</v>
      </c>
      <c r="D3174" s="1" t="s">
        <v>955</v>
      </c>
      <c r="E3174" s="1" t="n">
        <v>20171</v>
      </c>
      <c r="F3174" s="1" t="s">
        <v>208</v>
      </c>
      <c r="G3174" s="1" t="s">
        <v>15</v>
      </c>
      <c r="H3174" s="1" t="n">
        <v>3.5</v>
      </c>
      <c r="I3174" s="1" t="n">
        <v>0</v>
      </c>
      <c r="J3174" s="1" t="n">
        <v>20201</v>
      </c>
      <c r="L3174" s="1" t="str">
        <f aca="false">IF(D3173&lt;&gt;D3174,D3174,"")</f>
        <v/>
      </c>
      <c r="M3174" s="1" t="str">
        <f aca="false">IF(F3173&lt;&gt;F3174,F3174,"")</f>
        <v/>
      </c>
    </row>
    <row r="3175" customFormat="false" ht="15" hidden="false" customHeight="false" outlineLevel="0" collapsed="false">
      <c r="A3175" s="1" t="s">
        <v>844</v>
      </c>
      <c r="B3175" s="1" t="s">
        <v>845</v>
      </c>
      <c r="C3175" s="1" t="s">
        <v>954</v>
      </c>
      <c r="D3175" s="1" t="s">
        <v>955</v>
      </c>
      <c r="E3175" s="1" t="n">
        <v>20171</v>
      </c>
      <c r="F3175" s="1" t="s">
        <v>208</v>
      </c>
      <c r="G3175" s="1" t="s">
        <v>15</v>
      </c>
      <c r="H3175" s="1" t="n">
        <v>3.5</v>
      </c>
      <c r="I3175" s="1" t="n">
        <v>0</v>
      </c>
      <c r="J3175" s="1" t="n">
        <v>20201</v>
      </c>
      <c r="L3175" s="1" t="str">
        <f aca="false">IF(D3174&lt;&gt;D3175,D3175,"")</f>
        <v/>
      </c>
      <c r="M3175" s="1" t="str">
        <f aca="false">IF(F3174&lt;&gt;F3175,F3175,"")</f>
        <v/>
      </c>
    </row>
    <row r="3176" customFormat="false" ht="15" hidden="false" customHeight="false" outlineLevel="0" collapsed="false">
      <c r="A3176" s="1" t="s">
        <v>808</v>
      </c>
      <c r="B3176" s="1" t="s">
        <v>809</v>
      </c>
      <c r="C3176" s="1" t="s">
        <v>954</v>
      </c>
      <c r="D3176" s="1" t="s">
        <v>955</v>
      </c>
      <c r="E3176" s="1" t="n">
        <v>20171</v>
      </c>
      <c r="F3176" s="1" t="s">
        <v>208</v>
      </c>
      <c r="G3176" s="1" t="s">
        <v>15</v>
      </c>
      <c r="H3176" s="1" t="n">
        <v>3.5</v>
      </c>
      <c r="I3176" s="1" t="n">
        <v>0</v>
      </c>
      <c r="J3176" s="1" t="n">
        <v>20201</v>
      </c>
      <c r="L3176" s="1" t="str">
        <f aca="false">IF(D3175&lt;&gt;D3176,D3176,"")</f>
        <v/>
      </c>
      <c r="M3176" s="1" t="str">
        <f aca="false">IF(F3175&lt;&gt;F3176,F3176,"")</f>
        <v/>
      </c>
    </row>
    <row r="3177" customFormat="false" ht="15" hidden="false" customHeight="false" outlineLevel="0" collapsed="false">
      <c r="A3177" s="1" t="s">
        <v>645</v>
      </c>
      <c r="B3177" s="1" t="s">
        <v>646</v>
      </c>
      <c r="C3177" s="1" t="s">
        <v>954</v>
      </c>
      <c r="D3177" s="1" t="s">
        <v>955</v>
      </c>
      <c r="E3177" s="1" t="n">
        <v>20171</v>
      </c>
      <c r="F3177" s="1" t="s">
        <v>208</v>
      </c>
      <c r="G3177" s="1" t="s">
        <v>15</v>
      </c>
      <c r="H3177" s="1" t="n">
        <v>3.5</v>
      </c>
      <c r="I3177" s="1" t="n">
        <v>0</v>
      </c>
      <c r="J3177" s="1" t="n">
        <v>20201</v>
      </c>
      <c r="L3177" s="1" t="str">
        <f aca="false">IF(D3176&lt;&gt;D3177,D3177,"")</f>
        <v/>
      </c>
      <c r="M3177" s="1" t="str">
        <f aca="false">IF(F3176&lt;&gt;F3177,F3177,"")</f>
        <v/>
      </c>
    </row>
    <row r="3178" customFormat="false" ht="15" hidden="false" customHeight="false" outlineLevel="0" collapsed="false">
      <c r="A3178" s="1" t="s">
        <v>621</v>
      </c>
      <c r="B3178" s="1" t="s">
        <v>622</v>
      </c>
      <c r="C3178" s="1" t="s">
        <v>954</v>
      </c>
      <c r="D3178" s="1" t="s">
        <v>955</v>
      </c>
      <c r="E3178" s="1" t="n">
        <v>20171</v>
      </c>
      <c r="F3178" s="1" t="s">
        <v>208</v>
      </c>
      <c r="G3178" s="1" t="s">
        <v>15</v>
      </c>
      <c r="H3178" s="1" t="n">
        <v>3.5</v>
      </c>
      <c r="I3178" s="1" t="n">
        <v>0</v>
      </c>
      <c r="J3178" s="1" t="n">
        <v>20201</v>
      </c>
      <c r="L3178" s="1" t="str">
        <f aca="false">IF(D3177&lt;&gt;D3178,D3178,"")</f>
        <v/>
      </c>
      <c r="M3178" s="1" t="str">
        <f aca="false">IF(F3177&lt;&gt;F3178,F3178,"")</f>
        <v/>
      </c>
    </row>
    <row r="3179" customFormat="false" ht="15" hidden="false" customHeight="false" outlineLevel="0" collapsed="false">
      <c r="A3179" s="1" t="s">
        <v>585</v>
      </c>
      <c r="B3179" s="1" t="s">
        <v>586</v>
      </c>
      <c r="C3179" s="1" t="s">
        <v>954</v>
      </c>
      <c r="D3179" s="1" t="s">
        <v>955</v>
      </c>
      <c r="E3179" s="1" t="n">
        <v>20171</v>
      </c>
      <c r="F3179" s="1" t="s">
        <v>208</v>
      </c>
      <c r="G3179" s="1" t="s">
        <v>18</v>
      </c>
      <c r="H3179" s="1" t="n">
        <v>3</v>
      </c>
      <c r="I3179" s="1" t="n">
        <v>0</v>
      </c>
      <c r="J3179" s="1" t="n">
        <v>20201</v>
      </c>
      <c r="L3179" s="1" t="str">
        <f aca="false">IF(D3178&lt;&gt;D3179,D3179,"")</f>
        <v/>
      </c>
      <c r="M3179" s="1" t="str">
        <f aca="false">IF(F3178&lt;&gt;F3179,F3179,"")</f>
        <v/>
      </c>
    </row>
    <row r="3180" customFormat="false" ht="15" hidden="false" customHeight="false" outlineLevel="0" collapsed="false">
      <c r="A3180" s="1" t="s">
        <v>587</v>
      </c>
      <c r="B3180" s="1" t="s">
        <v>588</v>
      </c>
      <c r="C3180" s="1" t="s">
        <v>954</v>
      </c>
      <c r="D3180" s="1" t="s">
        <v>955</v>
      </c>
      <c r="E3180" s="1" t="n">
        <v>20171</v>
      </c>
      <c r="F3180" s="1" t="s">
        <v>208</v>
      </c>
      <c r="G3180" s="1" t="s">
        <v>14</v>
      </c>
      <c r="H3180" s="1" t="n">
        <v>4</v>
      </c>
      <c r="I3180" s="1" t="n">
        <v>0</v>
      </c>
      <c r="J3180" s="1" t="n">
        <v>20201</v>
      </c>
      <c r="L3180" s="1" t="str">
        <f aca="false">IF(D3179&lt;&gt;D3180,D3180,"")</f>
        <v/>
      </c>
      <c r="M3180" s="1" t="str">
        <f aca="false">IF(F3179&lt;&gt;F3180,F3180,"")</f>
        <v/>
      </c>
    </row>
    <row r="3181" customFormat="false" ht="15" hidden="false" customHeight="false" outlineLevel="0" collapsed="false">
      <c r="A3181" s="1" t="s">
        <v>814</v>
      </c>
      <c r="B3181" s="1" t="s">
        <v>815</v>
      </c>
      <c r="C3181" s="1" t="s">
        <v>954</v>
      </c>
      <c r="D3181" s="1" t="s">
        <v>955</v>
      </c>
      <c r="E3181" s="1" t="n">
        <v>20171</v>
      </c>
      <c r="F3181" s="1" t="s">
        <v>208</v>
      </c>
      <c r="G3181" s="1" t="s">
        <v>15</v>
      </c>
      <c r="H3181" s="1" t="n">
        <v>3.5</v>
      </c>
      <c r="I3181" s="1" t="n">
        <v>0</v>
      </c>
      <c r="J3181" s="1" t="n">
        <v>20201</v>
      </c>
      <c r="L3181" s="1" t="str">
        <f aca="false">IF(D3180&lt;&gt;D3181,D3181,"")</f>
        <v/>
      </c>
      <c r="M3181" s="1" t="str">
        <f aca="false">IF(F3180&lt;&gt;F3181,F3181,"")</f>
        <v/>
      </c>
    </row>
    <row r="3182" customFormat="false" ht="15" hidden="false" customHeight="false" outlineLevel="0" collapsed="false">
      <c r="A3182" s="1" t="s">
        <v>625</v>
      </c>
      <c r="B3182" s="1" t="s">
        <v>626</v>
      </c>
      <c r="C3182" s="1" t="s">
        <v>954</v>
      </c>
      <c r="D3182" s="1" t="s">
        <v>955</v>
      </c>
      <c r="E3182" s="1" t="n">
        <v>20171</v>
      </c>
      <c r="F3182" s="1" t="s">
        <v>208</v>
      </c>
      <c r="G3182" s="1" t="s">
        <v>23</v>
      </c>
      <c r="H3182" s="1" t="n">
        <v>0</v>
      </c>
      <c r="I3182" s="1" t="n">
        <v>0</v>
      </c>
      <c r="J3182" s="1" t="n">
        <v>20201</v>
      </c>
      <c r="L3182" s="1" t="str">
        <f aca="false">IF(D3181&lt;&gt;D3182,D3182,"")</f>
        <v/>
      </c>
      <c r="M3182" s="1" t="str">
        <f aca="false">IF(F3181&lt;&gt;F3182,F3182,"")</f>
        <v/>
      </c>
    </row>
    <row r="3183" customFormat="false" ht="15" hidden="false" customHeight="false" outlineLevel="0" collapsed="false">
      <c r="A3183" s="1" t="s">
        <v>816</v>
      </c>
      <c r="B3183" s="1" t="s">
        <v>817</v>
      </c>
      <c r="C3183" s="1" t="s">
        <v>954</v>
      </c>
      <c r="D3183" s="1" t="s">
        <v>955</v>
      </c>
      <c r="E3183" s="1" t="n">
        <v>20171</v>
      </c>
      <c r="F3183" s="1" t="s">
        <v>208</v>
      </c>
      <c r="G3183" s="1" t="s">
        <v>15</v>
      </c>
      <c r="H3183" s="1" t="n">
        <v>3.5</v>
      </c>
      <c r="I3183" s="1" t="n">
        <v>0</v>
      </c>
      <c r="J3183" s="1" t="n">
        <v>20201</v>
      </c>
      <c r="L3183" s="1" t="str">
        <f aca="false">IF(D3182&lt;&gt;D3183,D3183,"")</f>
        <v/>
      </c>
      <c r="M3183" s="1" t="str">
        <f aca="false">IF(F3182&lt;&gt;F3183,F3183,"")</f>
        <v/>
      </c>
    </row>
    <row r="3184" customFormat="false" ht="15" hidden="false" customHeight="false" outlineLevel="0" collapsed="false">
      <c r="A3184" s="1" t="s">
        <v>589</v>
      </c>
      <c r="B3184" s="1" t="s">
        <v>590</v>
      </c>
      <c r="C3184" s="1" t="s">
        <v>954</v>
      </c>
      <c r="D3184" s="1" t="s">
        <v>955</v>
      </c>
      <c r="E3184" s="1" t="n">
        <v>20171</v>
      </c>
      <c r="F3184" s="1" t="s">
        <v>208</v>
      </c>
      <c r="G3184" s="1" t="s">
        <v>15</v>
      </c>
      <c r="H3184" s="1" t="n">
        <v>3.5</v>
      </c>
      <c r="I3184" s="1" t="n">
        <v>0</v>
      </c>
      <c r="J3184" s="1" t="n">
        <v>20201</v>
      </c>
      <c r="L3184" s="1" t="str">
        <f aca="false">IF(D3183&lt;&gt;D3184,D3184,"")</f>
        <v/>
      </c>
      <c r="M3184" s="1" t="str">
        <f aca="false">IF(F3183&lt;&gt;F3184,F3184,"")</f>
        <v/>
      </c>
    </row>
    <row r="3185" customFormat="false" ht="15" hidden="false" customHeight="false" outlineLevel="0" collapsed="false">
      <c r="A3185" s="1" t="s">
        <v>577</v>
      </c>
      <c r="B3185" s="1" t="s">
        <v>578</v>
      </c>
      <c r="C3185" s="1" t="s">
        <v>954</v>
      </c>
      <c r="D3185" s="1" t="s">
        <v>955</v>
      </c>
      <c r="E3185" s="1" t="n">
        <v>20171</v>
      </c>
      <c r="F3185" s="1" t="s">
        <v>208</v>
      </c>
      <c r="G3185" s="1" t="s">
        <v>14</v>
      </c>
      <c r="H3185" s="1" t="n">
        <v>4</v>
      </c>
      <c r="I3185" s="1" t="n">
        <v>0</v>
      </c>
      <c r="J3185" s="1" t="n">
        <v>20201</v>
      </c>
      <c r="L3185" s="1" t="str">
        <f aca="false">IF(D3184&lt;&gt;D3185,D3185,"")</f>
        <v/>
      </c>
      <c r="M3185" s="1" t="str">
        <f aca="false">IF(F3184&lt;&gt;F3185,F3185,"")</f>
        <v/>
      </c>
    </row>
    <row r="3186" customFormat="false" ht="15" hidden="false" customHeight="false" outlineLevel="0" collapsed="false">
      <c r="A3186" s="1" t="s">
        <v>771</v>
      </c>
      <c r="B3186" s="1" t="s">
        <v>772</v>
      </c>
      <c r="C3186" s="1" t="s">
        <v>954</v>
      </c>
      <c r="D3186" s="1" t="s">
        <v>955</v>
      </c>
      <c r="E3186" s="1" t="n">
        <v>20171</v>
      </c>
      <c r="F3186" s="1" t="s">
        <v>208</v>
      </c>
      <c r="G3186" s="1" t="s">
        <v>15</v>
      </c>
      <c r="H3186" s="1" t="n">
        <v>3.5</v>
      </c>
      <c r="I3186" s="1" t="n">
        <v>0</v>
      </c>
      <c r="J3186" s="1" t="n">
        <v>20201</v>
      </c>
      <c r="L3186" s="1" t="str">
        <f aca="false">IF(D3185&lt;&gt;D3186,D3186,"")</f>
        <v/>
      </c>
      <c r="M3186" s="1" t="str">
        <f aca="false">IF(F3185&lt;&gt;F3186,F3186,"")</f>
        <v/>
      </c>
    </row>
    <row r="3187" customFormat="false" ht="15" hidden="false" customHeight="false" outlineLevel="0" collapsed="false">
      <c r="A3187" s="1" t="s">
        <v>629</v>
      </c>
      <c r="B3187" s="1" t="s">
        <v>630</v>
      </c>
      <c r="C3187" s="1" t="s">
        <v>954</v>
      </c>
      <c r="D3187" s="1" t="s">
        <v>955</v>
      </c>
      <c r="E3187" s="1" t="n">
        <v>20171</v>
      </c>
      <c r="F3187" s="1" t="s">
        <v>208</v>
      </c>
      <c r="G3187" s="1" t="s">
        <v>15</v>
      </c>
      <c r="H3187" s="1" t="n">
        <v>3.5</v>
      </c>
      <c r="I3187" s="1" t="n">
        <v>0</v>
      </c>
      <c r="J3187" s="1" t="n">
        <v>20201</v>
      </c>
      <c r="L3187" s="1" t="str">
        <f aca="false">IF(D3186&lt;&gt;D3187,D3187,"")</f>
        <v/>
      </c>
      <c r="M3187" s="1" t="str">
        <f aca="false">IF(F3186&lt;&gt;F3187,F3187,"")</f>
        <v/>
      </c>
    </row>
    <row r="3188" customFormat="false" ht="15" hidden="false" customHeight="false" outlineLevel="0" collapsed="false">
      <c r="A3188" s="1" t="s">
        <v>631</v>
      </c>
      <c r="B3188" s="1" t="s">
        <v>632</v>
      </c>
      <c r="C3188" s="1" t="s">
        <v>954</v>
      </c>
      <c r="D3188" s="1" t="s">
        <v>955</v>
      </c>
      <c r="E3188" s="1" t="n">
        <v>20171</v>
      </c>
      <c r="F3188" s="1" t="s">
        <v>208</v>
      </c>
      <c r="G3188" s="1" t="s">
        <v>18</v>
      </c>
      <c r="H3188" s="1" t="n">
        <v>3</v>
      </c>
      <c r="I3188" s="1" t="n">
        <v>0</v>
      </c>
      <c r="J3188" s="1" t="n">
        <v>20201</v>
      </c>
      <c r="L3188" s="1" t="str">
        <f aca="false">IF(D3187&lt;&gt;D3188,D3188,"")</f>
        <v/>
      </c>
      <c r="M3188" s="1" t="str">
        <f aca="false">IF(F3187&lt;&gt;F3188,F3188,"")</f>
        <v/>
      </c>
    </row>
    <row r="3189" customFormat="false" ht="15" hidden="false" customHeight="false" outlineLevel="0" collapsed="false">
      <c r="A3189" s="1" t="s">
        <v>687</v>
      </c>
      <c r="B3189" s="1" t="s">
        <v>688</v>
      </c>
      <c r="C3189" s="1" t="s">
        <v>954</v>
      </c>
      <c r="D3189" s="1" t="s">
        <v>955</v>
      </c>
      <c r="E3189" s="1" t="n">
        <v>20171</v>
      </c>
      <c r="F3189" s="1" t="s">
        <v>208</v>
      </c>
      <c r="G3189" s="1" t="s">
        <v>514</v>
      </c>
      <c r="H3189" s="1" t="n">
        <v>1</v>
      </c>
      <c r="I3189" s="1" t="n">
        <v>0</v>
      </c>
      <c r="J3189" s="1" t="n">
        <v>20201</v>
      </c>
      <c r="L3189" s="1" t="str">
        <f aca="false">IF(D3188&lt;&gt;D3189,D3189,"")</f>
        <v/>
      </c>
      <c r="M3189" s="1" t="str">
        <f aca="false">IF(F3188&lt;&gt;F3189,F3189,"")</f>
        <v/>
      </c>
    </row>
    <row r="3190" customFormat="false" ht="15" hidden="false" customHeight="false" outlineLevel="0" collapsed="false">
      <c r="A3190" s="1" t="s">
        <v>263</v>
      </c>
      <c r="B3190" s="1" t="s">
        <v>264</v>
      </c>
      <c r="C3190" s="1" t="s">
        <v>954</v>
      </c>
      <c r="D3190" s="1" t="s">
        <v>955</v>
      </c>
      <c r="E3190" s="1" t="n">
        <v>20171</v>
      </c>
      <c r="F3190" s="1" t="s">
        <v>208</v>
      </c>
      <c r="G3190" s="1" t="s">
        <v>18</v>
      </c>
      <c r="H3190" s="1" t="n">
        <v>3</v>
      </c>
      <c r="I3190" s="1" t="n">
        <v>0</v>
      </c>
      <c r="J3190" s="1" t="n">
        <v>20201</v>
      </c>
      <c r="L3190" s="1" t="str">
        <f aca="false">IF(D3189&lt;&gt;D3190,D3190,"")</f>
        <v/>
      </c>
      <c r="M3190" s="1" t="str">
        <f aca="false">IF(F3189&lt;&gt;F3190,F3190,"")</f>
        <v/>
      </c>
    </row>
    <row r="3191" customFormat="false" ht="15" hidden="false" customHeight="false" outlineLevel="0" collapsed="false">
      <c r="A3191" s="1" t="s">
        <v>265</v>
      </c>
      <c r="B3191" s="1" t="s">
        <v>266</v>
      </c>
      <c r="C3191" s="1" t="s">
        <v>954</v>
      </c>
      <c r="D3191" s="1" t="s">
        <v>955</v>
      </c>
      <c r="E3191" s="1" t="n">
        <v>20171</v>
      </c>
      <c r="F3191" s="1" t="s">
        <v>208</v>
      </c>
      <c r="G3191" s="1" t="s">
        <v>15</v>
      </c>
      <c r="H3191" s="1" t="n">
        <v>3.5</v>
      </c>
      <c r="I3191" s="1" t="n">
        <v>0</v>
      </c>
      <c r="J3191" s="1" t="n">
        <v>20201</v>
      </c>
      <c r="L3191" s="1" t="str">
        <f aca="false">IF(D3190&lt;&gt;D3191,D3191,"")</f>
        <v/>
      </c>
      <c r="M3191" s="1" t="str">
        <f aca="false">IF(F3190&lt;&gt;F3191,F3191,"")</f>
        <v/>
      </c>
    </row>
    <row r="3192" customFormat="false" ht="15" hidden="false" customHeight="false" outlineLevel="0" collapsed="false">
      <c r="A3192" s="1" t="s">
        <v>267</v>
      </c>
      <c r="B3192" s="1" t="s">
        <v>268</v>
      </c>
      <c r="C3192" s="1" t="s">
        <v>954</v>
      </c>
      <c r="D3192" s="1" t="s">
        <v>955</v>
      </c>
      <c r="E3192" s="1" t="n">
        <v>20171</v>
      </c>
      <c r="F3192" s="1" t="s">
        <v>208</v>
      </c>
      <c r="G3192" s="1" t="s">
        <v>14</v>
      </c>
      <c r="H3192" s="1" t="n">
        <v>4</v>
      </c>
      <c r="I3192" s="1" t="n">
        <v>0</v>
      </c>
      <c r="J3192" s="1" t="n">
        <v>20201</v>
      </c>
      <c r="L3192" s="1" t="str">
        <f aca="false">IF(D3191&lt;&gt;D3192,D3192,"")</f>
        <v/>
      </c>
      <c r="M3192" s="1" t="str">
        <f aca="false">IF(F3191&lt;&gt;F3192,F3192,"")</f>
        <v/>
      </c>
    </row>
    <row r="3193" customFormat="false" ht="15" hidden="false" customHeight="false" outlineLevel="0" collapsed="false">
      <c r="A3193" s="1" t="s">
        <v>269</v>
      </c>
      <c r="B3193" s="1" t="s">
        <v>270</v>
      </c>
      <c r="C3193" s="1" t="s">
        <v>954</v>
      </c>
      <c r="D3193" s="1" t="s">
        <v>955</v>
      </c>
      <c r="E3193" s="1" t="n">
        <v>20171</v>
      </c>
      <c r="F3193" s="1" t="s">
        <v>208</v>
      </c>
      <c r="G3193" s="1" t="s">
        <v>15</v>
      </c>
      <c r="H3193" s="1" t="n">
        <v>3.5</v>
      </c>
      <c r="I3193" s="1" t="n">
        <v>0</v>
      </c>
      <c r="J3193" s="1" t="n">
        <v>20201</v>
      </c>
      <c r="L3193" s="1" t="str">
        <f aca="false">IF(D3192&lt;&gt;D3193,D3193,"")</f>
        <v/>
      </c>
      <c r="M3193" s="1" t="str">
        <f aca="false">IF(F3192&lt;&gt;F3193,F3193,"")</f>
        <v/>
      </c>
    </row>
    <row r="3194" customFormat="false" ht="15" hidden="false" customHeight="false" outlineLevel="0" collapsed="false">
      <c r="A3194" s="1" t="s">
        <v>271</v>
      </c>
      <c r="B3194" s="1" t="s">
        <v>272</v>
      </c>
      <c r="C3194" s="1" t="s">
        <v>954</v>
      </c>
      <c r="D3194" s="1" t="s">
        <v>955</v>
      </c>
      <c r="E3194" s="1" t="n">
        <v>20171</v>
      </c>
      <c r="F3194" s="1" t="s">
        <v>208</v>
      </c>
      <c r="G3194" s="1" t="s">
        <v>14</v>
      </c>
      <c r="H3194" s="1" t="n">
        <v>4</v>
      </c>
      <c r="I3194" s="1" t="n">
        <v>0</v>
      </c>
      <c r="J3194" s="1" t="n">
        <v>20201</v>
      </c>
      <c r="L3194" s="1" t="str">
        <f aca="false">IF(D3193&lt;&gt;D3194,D3194,"")</f>
        <v/>
      </c>
      <c r="M3194" s="1" t="str">
        <f aca="false">IF(F3193&lt;&gt;F3194,F3194,"")</f>
        <v/>
      </c>
    </row>
    <row r="3195" customFormat="false" ht="15" hidden="false" customHeight="false" outlineLevel="0" collapsed="false">
      <c r="A3195" s="1" t="s">
        <v>273</v>
      </c>
      <c r="B3195" s="1" t="s">
        <v>274</v>
      </c>
      <c r="C3195" s="1" t="s">
        <v>954</v>
      </c>
      <c r="D3195" s="1" t="s">
        <v>955</v>
      </c>
      <c r="E3195" s="1" t="n">
        <v>20171</v>
      </c>
      <c r="F3195" s="1" t="s">
        <v>208</v>
      </c>
      <c r="G3195" s="1" t="s">
        <v>15</v>
      </c>
      <c r="H3195" s="1" t="n">
        <v>3.5</v>
      </c>
      <c r="I3195" s="1" t="n">
        <v>0</v>
      </c>
      <c r="J3195" s="1" t="n">
        <v>20201</v>
      </c>
      <c r="L3195" s="1" t="str">
        <f aca="false">IF(D3194&lt;&gt;D3195,D3195,"")</f>
        <v/>
      </c>
      <c r="M3195" s="1" t="str">
        <f aca="false">IF(F3194&lt;&gt;F3195,F3195,"")</f>
        <v/>
      </c>
    </row>
    <row r="3196" customFormat="false" ht="15" hidden="false" customHeight="false" outlineLevel="0" collapsed="false">
      <c r="A3196" s="1" t="s">
        <v>209</v>
      </c>
      <c r="B3196" s="1" t="s">
        <v>210</v>
      </c>
      <c r="C3196" s="1" t="s">
        <v>954</v>
      </c>
      <c r="D3196" s="1" t="s">
        <v>955</v>
      </c>
      <c r="E3196" s="1" t="n">
        <v>20171</v>
      </c>
      <c r="F3196" s="1" t="s">
        <v>208</v>
      </c>
      <c r="G3196" s="1" t="s">
        <v>15</v>
      </c>
      <c r="H3196" s="1" t="n">
        <v>3.5</v>
      </c>
      <c r="I3196" s="1" t="n">
        <v>0</v>
      </c>
      <c r="J3196" s="1" t="n">
        <v>20201</v>
      </c>
      <c r="L3196" s="1" t="str">
        <f aca="false">IF(D3195&lt;&gt;D3196,D3196,"")</f>
        <v/>
      </c>
      <c r="M3196" s="1" t="str">
        <f aca="false">IF(F3195&lt;&gt;F3196,F3196,"")</f>
        <v/>
      </c>
    </row>
    <row r="3197" customFormat="false" ht="15" hidden="false" customHeight="false" outlineLevel="0" collapsed="false">
      <c r="A3197" s="1" t="s">
        <v>689</v>
      </c>
      <c r="B3197" s="1" t="s">
        <v>690</v>
      </c>
      <c r="C3197" s="1" t="s">
        <v>954</v>
      </c>
      <c r="D3197" s="1" t="s">
        <v>955</v>
      </c>
      <c r="E3197" s="1" t="n">
        <v>20171</v>
      </c>
      <c r="F3197" s="1" t="s">
        <v>208</v>
      </c>
      <c r="G3197" s="1" t="s">
        <v>15</v>
      </c>
      <c r="H3197" s="1" t="n">
        <v>3.5</v>
      </c>
      <c r="I3197" s="1" t="n">
        <v>0</v>
      </c>
      <c r="J3197" s="1" t="n">
        <v>20201</v>
      </c>
      <c r="L3197" s="1" t="str">
        <f aca="false">IF(D3196&lt;&gt;D3197,D3197,"")</f>
        <v/>
      </c>
      <c r="M3197" s="1" t="str">
        <f aca="false">IF(F3196&lt;&gt;F3197,F3197,"")</f>
        <v/>
      </c>
    </row>
    <row r="3198" customFormat="false" ht="15" hidden="false" customHeight="false" outlineLevel="0" collapsed="false">
      <c r="A3198" s="1" t="s">
        <v>693</v>
      </c>
      <c r="B3198" s="1" t="s">
        <v>694</v>
      </c>
      <c r="C3198" s="1" t="s">
        <v>954</v>
      </c>
      <c r="D3198" s="1" t="s">
        <v>955</v>
      </c>
      <c r="E3198" s="1" t="n">
        <v>20171</v>
      </c>
      <c r="F3198" s="1" t="s">
        <v>208</v>
      </c>
      <c r="G3198" s="1" t="s">
        <v>14</v>
      </c>
      <c r="H3198" s="1" t="n">
        <v>4</v>
      </c>
      <c r="I3198" s="1" t="n">
        <v>0</v>
      </c>
      <c r="J3198" s="1" t="n">
        <v>20201</v>
      </c>
      <c r="L3198" s="1" t="str">
        <f aca="false">IF(D3197&lt;&gt;D3198,D3198,"")</f>
        <v/>
      </c>
      <c r="M3198" s="1" t="str">
        <f aca="false">IF(F3197&lt;&gt;F3198,F3198,"")</f>
        <v/>
      </c>
    </row>
    <row r="3199" customFormat="false" ht="15" hidden="false" customHeight="false" outlineLevel="0" collapsed="false">
      <c r="A3199" s="1" t="s">
        <v>529</v>
      </c>
      <c r="B3199" s="1" t="s">
        <v>530</v>
      </c>
      <c r="C3199" s="1" t="s">
        <v>954</v>
      </c>
      <c r="D3199" s="1" t="s">
        <v>955</v>
      </c>
      <c r="E3199" s="1" t="n">
        <v>20171</v>
      </c>
      <c r="F3199" s="1" t="s">
        <v>208</v>
      </c>
      <c r="G3199" s="1" t="s">
        <v>18</v>
      </c>
      <c r="H3199" s="1" t="n">
        <v>3</v>
      </c>
      <c r="I3199" s="1" t="n">
        <v>0</v>
      </c>
      <c r="J3199" s="1" t="n">
        <v>20201</v>
      </c>
      <c r="L3199" s="1" t="str">
        <f aca="false">IF(D3198&lt;&gt;D3199,D3199,"")</f>
        <v/>
      </c>
      <c r="M3199" s="1" t="str">
        <f aca="false">IF(F3198&lt;&gt;F3199,F3199,"")</f>
        <v/>
      </c>
    </row>
    <row r="3200" customFormat="false" ht="15" hidden="false" customHeight="false" outlineLevel="0" collapsed="false">
      <c r="A3200" s="1" t="s">
        <v>275</v>
      </c>
      <c r="B3200" s="1" t="s">
        <v>276</v>
      </c>
      <c r="C3200" s="1" t="s">
        <v>954</v>
      </c>
      <c r="D3200" s="1" t="s">
        <v>955</v>
      </c>
      <c r="E3200" s="1" t="n">
        <v>20171</v>
      </c>
      <c r="F3200" s="1" t="s">
        <v>208</v>
      </c>
      <c r="G3200" s="1" t="s">
        <v>18</v>
      </c>
      <c r="H3200" s="1" t="n">
        <v>3</v>
      </c>
      <c r="I3200" s="1" t="n">
        <v>0</v>
      </c>
      <c r="J3200" s="1" t="n">
        <v>20201</v>
      </c>
      <c r="L3200" s="1" t="str">
        <f aca="false">IF(D3199&lt;&gt;D3200,D3200,"")</f>
        <v/>
      </c>
      <c r="M3200" s="1" t="str">
        <f aca="false">IF(F3199&lt;&gt;F3200,F3200,"")</f>
        <v/>
      </c>
    </row>
    <row r="3201" customFormat="false" ht="15" hidden="false" customHeight="false" outlineLevel="0" collapsed="false">
      <c r="A3201" s="1" t="s">
        <v>215</v>
      </c>
      <c r="B3201" s="1" t="s">
        <v>216</v>
      </c>
      <c r="C3201" s="1" t="s">
        <v>954</v>
      </c>
      <c r="D3201" s="1" t="s">
        <v>955</v>
      </c>
      <c r="E3201" s="1" t="n">
        <v>20171</v>
      </c>
      <c r="F3201" s="1" t="s">
        <v>208</v>
      </c>
      <c r="G3201" s="1" t="s">
        <v>15</v>
      </c>
      <c r="H3201" s="1" t="n">
        <v>3.5</v>
      </c>
      <c r="I3201" s="1" t="n">
        <v>0</v>
      </c>
      <c r="J3201" s="1" t="n">
        <v>20201</v>
      </c>
      <c r="L3201" s="1" t="str">
        <f aca="false">IF(D3200&lt;&gt;D3201,D3201,"")</f>
        <v/>
      </c>
      <c r="M3201" s="1" t="str">
        <f aca="false">IF(F3200&lt;&gt;F3201,F3201,"")</f>
        <v/>
      </c>
    </row>
    <row r="3202" customFormat="false" ht="15" hidden="false" customHeight="false" outlineLevel="0" collapsed="false">
      <c r="A3202" s="1" t="s">
        <v>219</v>
      </c>
      <c r="B3202" s="1" t="s">
        <v>220</v>
      </c>
      <c r="C3202" s="1" t="s">
        <v>954</v>
      </c>
      <c r="D3202" s="1" t="s">
        <v>955</v>
      </c>
      <c r="E3202" s="1" t="n">
        <v>20171</v>
      </c>
      <c r="F3202" s="1" t="s">
        <v>208</v>
      </c>
      <c r="G3202" s="1" t="s">
        <v>15</v>
      </c>
      <c r="H3202" s="1" t="n">
        <v>3.5</v>
      </c>
      <c r="I3202" s="1" t="n">
        <v>0</v>
      </c>
      <c r="J3202" s="1" t="n">
        <v>20201</v>
      </c>
      <c r="L3202" s="1" t="str">
        <f aca="false">IF(D3201&lt;&gt;D3202,D3202,"")</f>
        <v/>
      </c>
      <c r="M3202" s="1" t="str">
        <f aca="false">IF(F3201&lt;&gt;F3202,F3202,"")</f>
        <v/>
      </c>
    </row>
    <row r="3203" customFormat="false" ht="15" hidden="false" customHeight="false" outlineLevel="0" collapsed="false">
      <c r="A3203" s="1" t="s">
        <v>705</v>
      </c>
      <c r="B3203" s="1" t="s">
        <v>706</v>
      </c>
      <c r="C3203" s="1" t="s">
        <v>954</v>
      </c>
      <c r="D3203" s="1" t="s">
        <v>955</v>
      </c>
      <c r="E3203" s="1" t="n">
        <v>20171</v>
      </c>
      <c r="F3203" s="1" t="s">
        <v>208</v>
      </c>
      <c r="G3203" s="1" t="s">
        <v>18</v>
      </c>
      <c r="H3203" s="1" t="n">
        <v>3</v>
      </c>
      <c r="I3203" s="1" t="n">
        <v>0</v>
      </c>
      <c r="J3203" s="1" t="n">
        <v>20201</v>
      </c>
      <c r="L3203" s="1" t="str">
        <f aca="false">IF(D3202&lt;&gt;D3203,D3203,"")</f>
        <v/>
      </c>
      <c r="M3203" s="1" t="str">
        <f aca="false">IF(F3202&lt;&gt;F3203,F3203,"")</f>
        <v/>
      </c>
    </row>
    <row r="3204" customFormat="false" ht="15" hidden="false" customHeight="false" outlineLevel="0" collapsed="false">
      <c r="A3204" s="1" t="s">
        <v>277</v>
      </c>
      <c r="B3204" s="1" t="s">
        <v>278</v>
      </c>
      <c r="C3204" s="1" t="s">
        <v>954</v>
      </c>
      <c r="D3204" s="1" t="s">
        <v>955</v>
      </c>
      <c r="E3204" s="1" t="n">
        <v>20171</v>
      </c>
      <c r="F3204" s="1" t="s">
        <v>208</v>
      </c>
      <c r="G3204" s="1" t="s">
        <v>15</v>
      </c>
      <c r="H3204" s="1" t="n">
        <v>3.5</v>
      </c>
      <c r="I3204" s="1" t="n">
        <v>0</v>
      </c>
      <c r="J3204" s="1" t="n">
        <v>20201</v>
      </c>
      <c r="L3204" s="1" t="str">
        <f aca="false">IF(D3203&lt;&gt;D3204,D3204,"")</f>
        <v/>
      </c>
      <c r="M3204" s="1" t="str">
        <f aca="false">IF(F3203&lt;&gt;F3204,F3204,"")</f>
        <v/>
      </c>
    </row>
    <row r="3205" customFormat="false" ht="15" hidden="false" customHeight="false" outlineLevel="0" collapsed="false">
      <c r="A3205" s="1" t="s">
        <v>312</v>
      </c>
      <c r="B3205" s="1" t="s">
        <v>313</v>
      </c>
      <c r="C3205" s="1" t="s">
        <v>954</v>
      </c>
      <c r="D3205" s="1" t="s">
        <v>955</v>
      </c>
      <c r="E3205" s="1" t="n">
        <v>20171</v>
      </c>
      <c r="F3205" s="1" t="s">
        <v>208</v>
      </c>
      <c r="G3205" s="1" t="s">
        <v>15</v>
      </c>
      <c r="H3205" s="1" t="n">
        <v>3.5</v>
      </c>
      <c r="I3205" s="1" t="n">
        <v>0</v>
      </c>
      <c r="J3205" s="1" t="n">
        <v>20201</v>
      </c>
      <c r="L3205" s="1" t="str">
        <f aca="false">IF(D3204&lt;&gt;D3205,D3205,"")</f>
        <v/>
      </c>
      <c r="M3205" s="1" t="str">
        <f aca="false">IF(F3204&lt;&gt;F3205,F3205,"")</f>
        <v/>
      </c>
    </row>
    <row r="3206" customFormat="false" ht="15" hidden="false" customHeight="false" outlineLevel="0" collapsed="false">
      <c r="A3206" s="1" t="s">
        <v>711</v>
      </c>
      <c r="B3206" s="1" t="s">
        <v>712</v>
      </c>
      <c r="C3206" s="1" t="s">
        <v>954</v>
      </c>
      <c r="D3206" s="1" t="s">
        <v>955</v>
      </c>
      <c r="E3206" s="1" t="n">
        <v>20171</v>
      </c>
      <c r="F3206" s="1" t="s">
        <v>208</v>
      </c>
      <c r="G3206" s="1" t="s">
        <v>15</v>
      </c>
      <c r="H3206" s="1" t="n">
        <v>3.5</v>
      </c>
      <c r="I3206" s="1" t="n">
        <v>0</v>
      </c>
      <c r="J3206" s="1" t="n">
        <v>20201</v>
      </c>
      <c r="L3206" s="1" t="str">
        <f aca="false">IF(D3205&lt;&gt;D3206,D3206,"")</f>
        <v/>
      </c>
      <c r="M3206" s="1" t="str">
        <f aca="false">IF(F3205&lt;&gt;F3206,F3206,"")</f>
        <v/>
      </c>
    </row>
    <row r="3207" customFormat="false" ht="15" hidden="false" customHeight="false" outlineLevel="0" collapsed="false">
      <c r="A3207" s="1" t="s">
        <v>717</v>
      </c>
      <c r="B3207" s="1" t="s">
        <v>718</v>
      </c>
      <c r="C3207" s="1" t="s">
        <v>954</v>
      </c>
      <c r="D3207" s="1" t="s">
        <v>955</v>
      </c>
      <c r="E3207" s="1" t="n">
        <v>20171</v>
      </c>
      <c r="F3207" s="1" t="s">
        <v>208</v>
      </c>
      <c r="G3207" s="1" t="s">
        <v>15</v>
      </c>
      <c r="H3207" s="1" t="n">
        <v>3.5</v>
      </c>
      <c r="I3207" s="1" t="n">
        <v>0</v>
      </c>
      <c r="J3207" s="1" t="n">
        <v>20201</v>
      </c>
      <c r="L3207" s="1" t="str">
        <f aca="false">IF(D3206&lt;&gt;D3207,D3207,"")</f>
        <v/>
      </c>
      <c r="M3207" s="1" t="str">
        <f aca="false">IF(F3206&lt;&gt;F3207,F3207,"")</f>
        <v/>
      </c>
    </row>
    <row r="3208" customFormat="false" ht="15" hidden="false" customHeight="false" outlineLevel="0" collapsed="false">
      <c r="A3208" s="1" t="s">
        <v>721</v>
      </c>
      <c r="B3208" s="1" t="s">
        <v>722</v>
      </c>
      <c r="C3208" s="1" t="s">
        <v>954</v>
      </c>
      <c r="D3208" s="1" t="s">
        <v>955</v>
      </c>
      <c r="E3208" s="1" t="n">
        <v>20171</v>
      </c>
      <c r="F3208" s="1" t="s">
        <v>208</v>
      </c>
      <c r="G3208" s="1" t="s">
        <v>18</v>
      </c>
      <c r="H3208" s="1" t="n">
        <v>3</v>
      </c>
      <c r="I3208" s="1" t="n">
        <v>0</v>
      </c>
      <c r="J3208" s="1" t="n">
        <v>20201</v>
      </c>
      <c r="L3208" s="1" t="str">
        <f aca="false">IF(D3207&lt;&gt;D3208,D3208,"")</f>
        <v/>
      </c>
      <c r="M3208" s="1" t="str">
        <f aca="false">IF(F3207&lt;&gt;F3208,F3208,"")</f>
        <v/>
      </c>
    </row>
    <row r="3209" customFormat="false" ht="15" hidden="false" customHeight="false" outlineLevel="0" collapsed="false">
      <c r="A3209" s="1" t="s">
        <v>683</v>
      </c>
      <c r="B3209" s="1" t="s">
        <v>684</v>
      </c>
      <c r="C3209" s="1" t="s">
        <v>954</v>
      </c>
      <c r="D3209" s="1" t="s">
        <v>955</v>
      </c>
      <c r="E3209" s="1" t="n">
        <v>20171</v>
      </c>
      <c r="F3209" s="1" t="s">
        <v>208</v>
      </c>
      <c r="G3209" s="1" t="s">
        <v>15</v>
      </c>
      <c r="H3209" s="1" t="n">
        <v>3.5</v>
      </c>
      <c r="I3209" s="1" t="n">
        <v>0</v>
      </c>
      <c r="J3209" s="1" t="n">
        <v>20201</v>
      </c>
      <c r="L3209" s="1" t="str">
        <f aca="false">IF(D3208&lt;&gt;D3209,D3209,"")</f>
        <v/>
      </c>
      <c r="M3209" s="1" t="str">
        <f aca="false">IF(F3208&lt;&gt;F3209,F3209,"")</f>
        <v/>
      </c>
    </row>
    <row r="3210" customFormat="false" ht="15" hidden="false" customHeight="false" outlineLevel="0" collapsed="false">
      <c r="A3210" s="1" t="s">
        <v>854</v>
      </c>
      <c r="B3210" s="1" t="s">
        <v>855</v>
      </c>
      <c r="C3210" s="1" t="s">
        <v>954</v>
      </c>
      <c r="D3210" s="1" t="s">
        <v>955</v>
      </c>
      <c r="E3210" s="1" t="n">
        <v>20171</v>
      </c>
      <c r="F3210" s="1" t="s">
        <v>208</v>
      </c>
      <c r="G3210" s="1" t="s">
        <v>15</v>
      </c>
      <c r="H3210" s="1" t="n">
        <v>3.5</v>
      </c>
      <c r="I3210" s="1" t="n">
        <v>0</v>
      </c>
      <c r="J3210" s="1" t="n">
        <v>20201</v>
      </c>
      <c r="L3210" s="1" t="str">
        <f aca="false">IF(D3209&lt;&gt;D3210,D3210,"")</f>
        <v/>
      </c>
      <c r="M3210" s="1" t="str">
        <f aca="false">IF(F3209&lt;&gt;F3210,F3210,"")</f>
        <v/>
      </c>
    </row>
    <row r="3211" customFormat="false" ht="15" hidden="false" customHeight="false" outlineLevel="0" collapsed="false">
      <c r="A3211" s="1" t="s">
        <v>551</v>
      </c>
      <c r="B3211" s="1" t="s">
        <v>552</v>
      </c>
      <c r="C3211" s="1" t="s">
        <v>956</v>
      </c>
      <c r="D3211" s="1" t="s">
        <v>957</v>
      </c>
      <c r="E3211" s="1" t="n">
        <v>20171</v>
      </c>
      <c r="F3211" s="1" t="s">
        <v>208</v>
      </c>
      <c r="G3211" s="1" t="s">
        <v>18</v>
      </c>
      <c r="H3211" s="1" t="n">
        <v>3</v>
      </c>
      <c r="I3211" s="1" t="n">
        <v>0</v>
      </c>
      <c r="J3211" s="1" t="n">
        <v>20201</v>
      </c>
      <c r="L3211" s="1" t="str">
        <f aca="false">IF(D3210&lt;&gt;D3211,D3211,"")</f>
        <v>TEKNIK INTERFACING DAN SISTEM EMBEDDED</v>
      </c>
      <c r="M3211" s="1" t="str">
        <f aca="false">IF(F3210&lt;&gt;F3211,F3211,"")</f>
        <v/>
      </c>
    </row>
    <row r="3212" customFormat="false" ht="15" hidden="false" customHeight="false" outlineLevel="0" collapsed="false">
      <c r="A3212" s="1" t="s">
        <v>299</v>
      </c>
      <c r="B3212" s="1" t="s">
        <v>300</v>
      </c>
      <c r="C3212" s="1" t="s">
        <v>956</v>
      </c>
      <c r="D3212" s="1" t="s">
        <v>957</v>
      </c>
      <c r="E3212" s="1" t="n">
        <v>20171</v>
      </c>
      <c r="F3212" s="1" t="s">
        <v>208</v>
      </c>
      <c r="G3212" s="1" t="s">
        <v>23</v>
      </c>
      <c r="H3212" s="1" t="n">
        <v>0</v>
      </c>
      <c r="I3212" s="1" t="n">
        <v>0</v>
      </c>
      <c r="J3212" s="1" t="n">
        <v>20201</v>
      </c>
      <c r="L3212" s="1" t="str">
        <f aca="false">IF(D3211&lt;&gt;D3212,D3212,"")</f>
        <v/>
      </c>
      <c r="M3212" s="1" t="str">
        <f aca="false">IF(F3211&lt;&gt;F3212,F3212,"")</f>
        <v/>
      </c>
    </row>
    <row r="3213" customFormat="false" ht="15" hidden="false" customHeight="false" outlineLevel="0" collapsed="false">
      <c r="A3213" s="1" t="s">
        <v>785</v>
      </c>
      <c r="B3213" s="1" t="s">
        <v>786</v>
      </c>
      <c r="C3213" s="1" t="s">
        <v>956</v>
      </c>
      <c r="D3213" s="1" t="s">
        <v>957</v>
      </c>
      <c r="E3213" s="1" t="n">
        <v>20171</v>
      </c>
      <c r="F3213" s="1" t="s">
        <v>208</v>
      </c>
      <c r="G3213" s="1" t="s">
        <v>101</v>
      </c>
      <c r="H3213" s="1" t="n">
        <v>2.5</v>
      </c>
      <c r="I3213" s="1" t="n">
        <v>0</v>
      </c>
      <c r="J3213" s="1" t="n">
        <v>20201</v>
      </c>
      <c r="L3213" s="1" t="str">
        <f aca="false">IF(D3212&lt;&gt;D3213,D3213,"")</f>
        <v/>
      </c>
      <c r="M3213" s="1" t="str">
        <f aca="false">IF(F3212&lt;&gt;F3213,F3213,"")</f>
        <v/>
      </c>
    </row>
    <row r="3214" customFormat="false" ht="15" hidden="false" customHeight="false" outlineLevel="0" collapsed="false">
      <c r="A3214" s="1" t="s">
        <v>788</v>
      </c>
      <c r="B3214" s="1" t="s">
        <v>789</v>
      </c>
      <c r="C3214" s="1" t="s">
        <v>956</v>
      </c>
      <c r="D3214" s="1" t="s">
        <v>957</v>
      </c>
      <c r="E3214" s="1" t="n">
        <v>20171</v>
      </c>
      <c r="F3214" s="1" t="s">
        <v>208</v>
      </c>
      <c r="G3214" s="1" t="s">
        <v>23</v>
      </c>
      <c r="H3214" s="1" t="n">
        <v>0</v>
      </c>
      <c r="I3214" s="1" t="n">
        <v>0</v>
      </c>
      <c r="J3214" s="1" t="n">
        <v>20201</v>
      </c>
      <c r="L3214" s="1" t="str">
        <f aca="false">IF(D3213&lt;&gt;D3214,D3214,"")</f>
        <v/>
      </c>
      <c r="M3214" s="1" t="str">
        <f aca="false">IF(F3213&lt;&gt;F3214,F3214,"")</f>
        <v/>
      </c>
    </row>
    <row r="3215" customFormat="false" ht="15" hidden="false" customHeight="false" outlineLevel="0" collapsed="false">
      <c r="A3215" s="1" t="s">
        <v>790</v>
      </c>
      <c r="B3215" s="1" t="s">
        <v>791</v>
      </c>
      <c r="C3215" s="1" t="s">
        <v>956</v>
      </c>
      <c r="D3215" s="1" t="s">
        <v>957</v>
      </c>
      <c r="E3215" s="1" t="n">
        <v>20171</v>
      </c>
      <c r="F3215" s="1" t="s">
        <v>208</v>
      </c>
      <c r="G3215" s="1" t="s">
        <v>15</v>
      </c>
      <c r="H3215" s="1" t="n">
        <v>3.5</v>
      </c>
      <c r="I3215" s="1" t="n">
        <v>0</v>
      </c>
      <c r="J3215" s="1" t="n">
        <v>20201</v>
      </c>
      <c r="L3215" s="1" t="str">
        <f aca="false">IF(D3214&lt;&gt;D3215,D3215,"")</f>
        <v/>
      </c>
      <c r="M3215" s="1" t="str">
        <f aca="false">IF(F3214&lt;&gt;F3215,F3215,"")</f>
        <v/>
      </c>
    </row>
    <row r="3216" customFormat="false" ht="15" hidden="false" customHeight="false" outlineLevel="0" collapsed="false">
      <c r="A3216" s="1" t="s">
        <v>759</v>
      </c>
      <c r="B3216" s="1" t="s">
        <v>760</v>
      </c>
      <c r="C3216" s="1" t="s">
        <v>956</v>
      </c>
      <c r="D3216" s="1" t="s">
        <v>957</v>
      </c>
      <c r="E3216" s="1" t="n">
        <v>20171</v>
      </c>
      <c r="F3216" s="1" t="s">
        <v>208</v>
      </c>
      <c r="G3216" s="1" t="s">
        <v>101</v>
      </c>
      <c r="H3216" s="1" t="n">
        <v>2.5</v>
      </c>
      <c r="I3216" s="1" t="n">
        <v>0</v>
      </c>
      <c r="J3216" s="1" t="n">
        <v>20201</v>
      </c>
      <c r="L3216" s="1" t="str">
        <f aca="false">IF(D3215&lt;&gt;D3216,D3216,"")</f>
        <v/>
      </c>
      <c r="M3216" s="1" t="str">
        <f aca="false">IF(F3215&lt;&gt;F3216,F3216,"")</f>
        <v/>
      </c>
    </row>
    <row r="3217" customFormat="false" ht="15" hidden="false" customHeight="false" outlineLevel="0" collapsed="false">
      <c r="A3217" s="1" t="s">
        <v>525</v>
      </c>
      <c r="B3217" s="1" t="s">
        <v>526</v>
      </c>
      <c r="C3217" s="1" t="s">
        <v>956</v>
      </c>
      <c r="D3217" s="1" t="s">
        <v>957</v>
      </c>
      <c r="E3217" s="1" t="n">
        <v>20171</v>
      </c>
      <c r="F3217" s="1" t="s">
        <v>208</v>
      </c>
      <c r="G3217" s="1" t="s">
        <v>15</v>
      </c>
      <c r="H3217" s="1" t="n">
        <v>3.5</v>
      </c>
      <c r="I3217" s="1" t="n">
        <v>0</v>
      </c>
      <c r="J3217" s="1" t="n">
        <v>20201</v>
      </c>
      <c r="L3217" s="1" t="str">
        <f aca="false">IF(D3216&lt;&gt;D3217,D3217,"")</f>
        <v/>
      </c>
      <c r="M3217" s="1" t="str">
        <f aca="false">IF(F3216&lt;&gt;F3217,F3217,"")</f>
        <v/>
      </c>
    </row>
    <row r="3218" customFormat="false" ht="15" hidden="false" customHeight="false" outlineLevel="0" collapsed="false">
      <c r="A3218" s="1" t="s">
        <v>800</v>
      </c>
      <c r="B3218" s="1" t="s">
        <v>801</v>
      </c>
      <c r="C3218" s="1" t="s">
        <v>956</v>
      </c>
      <c r="D3218" s="1" t="s">
        <v>957</v>
      </c>
      <c r="E3218" s="1" t="n">
        <v>20171</v>
      </c>
      <c r="F3218" s="1" t="s">
        <v>208</v>
      </c>
      <c r="G3218" s="1" t="s">
        <v>15</v>
      </c>
      <c r="H3218" s="1" t="n">
        <v>3.5</v>
      </c>
      <c r="I3218" s="1" t="n">
        <v>0</v>
      </c>
      <c r="J3218" s="1" t="n">
        <v>20201</v>
      </c>
      <c r="L3218" s="1" t="str">
        <f aca="false">IF(D3217&lt;&gt;D3218,D3218,"")</f>
        <v/>
      </c>
      <c r="M3218" s="1" t="str">
        <f aca="false">IF(F3217&lt;&gt;F3218,F3218,"")</f>
        <v/>
      </c>
    </row>
    <row r="3219" customFormat="false" ht="15" hidden="false" customHeight="false" outlineLevel="0" collapsed="false">
      <c r="A3219" s="1" t="s">
        <v>653</v>
      </c>
      <c r="B3219" s="1" t="s">
        <v>654</v>
      </c>
      <c r="C3219" s="1" t="s">
        <v>956</v>
      </c>
      <c r="D3219" s="1" t="s">
        <v>957</v>
      </c>
      <c r="E3219" s="1" t="n">
        <v>20171</v>
      </c>
      <c r="F3219" s="1" t="s">
        <v>208</v>
      </c>
      <c r="G3219" s="1" t="s">
        <v>127</v>
      </c>
      <c r="H3219" s="1" t="n">
        <v>2</v>
      </c>
      <c r="I3219" s="1" t="n">
        <v>0</v>
      </c>
      <c r="J3219" s="1" t="n">
        <v>20201</v>
      </c>
      <c r="L3219" s="1" t="str">
        <f aca="false">IF(D3218&lt;&gt;D3219,D3219,"")</f>
        <v/>
      </c>
      <c r="M3219" s="1" t="str">
        <f aca="false">IF(F3218&lt;&gt;F3219,F3219,"")</f>
        <v/>
      </c>
    </row>
    <row r="3220" customFormat="false" ht="15" hidden="false" customHeight="false" outlineLevel="0" collapsed="false">
      <c r="A3220" s="1" t="s">
        <v>802</v>
      </c>
      <c r="B3220" s="1" t="s">
        <v>803</v>
      </c>
      <c r="C3220" s="1" t="s">
        <v>956</v>
      </c>
      <c r="D3220" s="1" t="s">
        <v>957</v>
      </c>
      <c r="E3220" s="1" t="n">
        <v>20171</v>
      </c>
      <c r="F3220" s="1" t="s">
        <v>208</v>
      </c>
      <c r="G3220" s="1" t="s">
        <v>18</v>
      </c>
      <c r="H3220" s="1" t="n">
        <v>3</v>
      </c>
      <c r="I3220" s="1" t="n">
        <v>0</v>
      </c>
      <c r="J3220" s="1" t="n">
        <v>20201</v>
      </c>
      <c r="L3220" s="1" t="str">
        <f aca="false">IF(D3219&lt;&gt;D3220,D3220,"")</f>
        <v/>
      </c>
      <c r="M3220" s="1" t="str">
        <f aca="false">IF(F3219&lt;&gt;F3220,F3220,"")</f>
        <v/>
      </c>
    </row>
    <row r="3221" customFormat="false" ht="15" hidden="false" customHeight="false" outlineLevel="0" collapsed="false">
      <c r="A3221" s="1" t="s">
        <v>761</v>
      </c>
      <c r="B3221" s="1" t="s">
        <v>762</v>
      </c>
      <c r="C3221" s="1" t="s">
        <v>956</v>
      </c>
      <c r="D3221" s="1" t="s">
        <v>957</v>
      </c>
      <c r="E3221" s="1" t="n">
        <v>20171</v>
      </c>
      <c r="F3221" s="1" t="s">
        <v>208</v>
      </c>
      <c r="G3221" s="1" t="s">
        <v>15</v>
      </c>
      <c r="H3221" s="1" t="n">
        <v>3.5</v>
      </c>
      <c r="I3221" s="1" t="n">
        <v>0</v>
      </c>
      <c r="J3221" s="1" t="n">
        <v>20201</v>
      </c>
      <c r="L3221" s="1" t="str">
        <f aca="false">IF(D3220&lt;&gt;D3221,D3221,"")</f>
        <v/>
      </c>
      <c r="M3221" s="1" t="str">
        <f aca="false">IF(F3220&lt;&gt;F3221,F3221,"")</f>
        <v/>
      </c>
    </row>
    <row r="3222" customFormat="false" ht="15" hidden="false" customHeight="false" outlineLevel="0" collapsed="false">
      <c r="A3222" s="1" t="s">
        <v>112</v>
      </c>
      <c r="B3222" s="1" t="s">
        <v>113</v>
      </c>
      <c r="C3222" s="1" t="s">
        <v>956</v>
      </c>
      <c r="D3222" s="1" t="s">
        <v>957</v>
      </c>
      <c r="E3222" s="1" t="n">
        <v>20171</v>
      </c>
      <c r="F3222" s="1" t="s">
        <v>208</v>
      </c>
      <c r="G3222" s="1" t="s">
        <v>18</v>
      </c>
      <c r="H3222" s="1" t="n">
        <v>3</v>
      </c>
      <c r="I3222" s="1" t="n">
        <v>0</v>
      </c>
      <c r="J3222" s="1" t="n">
        <v>20201</v>
      </c>
      <c r="L3222" s="1" t="str">
        <f aca="false">IF(D3221&lt;&gt;D3222,D3222,"")</f>
        <v/>
      </c>
      <c r="M3222" s="1" t="str">
        <f aca="false">IF(F3221&lt;&gt;F3222,F3222,"")</f>
        <v/>
      </c>
    </row>
    <row r="3223" customFormat="false" ht="15" hidden="false" customHeight="false" outlineLevel="0" collapsed="false">
      <c r="A3223" s="1" t="s">
        <v>844</v>
      </c>
      <c r="B3223" s="1" t="s">
        <v>845</v>
      </c>
      <c r="C3223" s="1" t="s">
        <v>956</v>
      </c>
      <c r="D3223" s="1" t="s">
        <v>957</v>
      </c>
      <c r="E3223" s="1" t="n">
        <v>20171</v>
      </c>
      <c r="F3223" s="1" t="s">
        <v>208</v>
      </c>
      <c r="G3223" s="1" t="s">
        <v>18</v>
      </c>
      <c r="H3223" s="1" t="n">
        <v>3</v>
      </c>
      <c r="I3223" s="1" t="n">
        <v>0</v>
      </c>
      <c r="J3223" s="1" t="n">
        <v>20201</v>
      </c>
      <c r="L3223" s="1" t="str">
        <f aca="false">IF(D3222&lt;&gt;D3223,D3223,"")</f>
        <v/>
      </c>
      <c r="M3223" s="1" t="str">
        <f aca="false">IF(F3222&lt;&gt;F3223,F3223,"")</f>
        <v/>
      </c>
    </row>
    <row r="3224" customFormat="false" ht="15" hidden="false" customHeight="false" outlineLevel="0" collapsed="false">
      <c r="A3224" s="1" t="s">
        <v>613</v>
      </c>
      <c r="B3224" s="1" t="s">
        <v>614</v>
      </c>
      <c r="C3224" s="1" t="s">
        <v>956</v>
      </c>
      <c r="D3224" s="1" t="s">
        <v>957</v>
      </c>
      <c r="E3224" s="1" t="n">
        <v>20171</v>
      </c>
      <c r="F3224" s="1" t="s">
        <v>208</v>
      </c>
      <c r="G3224" s="1" t="s">
        <v>101</v>
      </c>
      <c r="H3224" s="1" t="n">
        <v>2.5</v>
      </c>
      <c r="I3224" s="1" t="n">
        <v>0</v>
      </c>
      <c r="J3224" s="1" t="n">
        <v>20201</v>
      </c>
      <c r="L3224" s="1" t="str">
        <f aca="false">IF(D3223&lt;&gt;D3224,D3224,"")</f>
        <v/>
      </c>
      <c r="M3224" s="1" t="str">
        <f aca="false">IF(F3223&lt;&gt;F3224,F3224,"")</f>
        <v/>
      </c>
    </row>
    <row r="3225" customFormat="false" ht="15" hidden="false" customHeight="false" outlineLevel="0" collapsed="false">
      <c r="A3225" s="1" t="s">
        <v>808</v>
      </c>
      <c r="B3225" s="1" t="s">
        <v>809</v>
      </c>
      <c r="C3225" s="1" t="s">
        <v>956</v>
      </c>
      <c r="D3225" s="1" t="s">
        <v>957</v>
      </c>
      <c r="E3225" s="1" t="n">
        <v>20171</v>
      </c>
      <c r="F3225" s="1" t="s">
        <v>208</v>
      </c>
      <c r="G3225" s="1" t="s">
        <v>14</v>
      </c>
      <c r="H3225" s="1" t="n">
        <v>4</v>
      </c>
      <c r="I3225" s="1" t="n">
        <v>0</v>
      </c>
      <c r="J3225" s="1" t="n">
        <v>20201</v>
      </c>
      <c r="L3225" s="1" t="str">
        <f aca="false">IF(D3224&lt;&gt;D3225,D3225,"")</f>
        <v/>
      </c>
      <c r="M3225" s="1" t="str">
        <f aca="false">IF(F3224&lt;&gt;F3225,F3225,"")</f>
        <v/>
      </c>
    </row>
    <row r="3226" customFormat="false" ht="15" hidden="false" customHeight="false" outlineLevel="0" collapsed="false">
      <c r="A3226" s="1" t="s">
        <v>593</v>
      </c>
      <c r="B3226" s="1" t="s">
        <v>594</v>
      </c>
      <c r="C3226" s="1" t="s">
        <v>956</v>
      </c>
      <c r="D3226" s="1" t="s">
        <v>957</v>
      </c>
      <c r="E3226" s="1" t="n">
        <v>20171</v>
      </c>
      <c r="F3226" s="1" t="s">
        <v>208</v>
      </c>
      <c r="G3226" s="1" t="s">
        <v>15</v>
      </c>
      <c r="H3226" s="1" t="n">
        <v>3.5</v>
      </c>
      <c r="I3226" s="1" t="n">
        <v>0</v>
      </c>
      <c r="J3226" s="1" t="n">
        <v>20201</v>
      </c>
      <c r="L3226" s="1" t="str">
        <f aca="false">IF(D3225&lt;&gt;D3226,D3226,"")</f>
        <v/>
      </c>
      <c r="M3226" s="1" t="str">
        <f aca="false">IF(F3225&lt;&gt;F3226,F3226,"")</f>
        <v/>
      </c>
    </row>
    <row r="3227" customFormat="false" ht="15" hidden="false" customHeight="false" outlineLevel="0" collapsed="false">
      <c r="A3227" s="1" t="s">
        <v>645</v>
      </c>
      <c r="B3227" s="1" t="s">
        <v>646</v>
      </c>
      <c r="C3227" s="1" t="s">
        <v>956</v>
      </c>
      <c r="D3227" s="1" t="s">
        <v>957</v>
      </c>
      <c r="E3227" s="1" t="n">
        <v>20171</v>
      </c>
      <c r="F3227" s="1" t="s">
        <v>208</v>
      </c>
      <c r="G3227" s="1" t="s">
        <v>18</v>
      </c>
      <c r="H3227" s="1" t="n">
        <v>3</v>
      </c>
      <c r="I3227" s="1" t="n">
        <v>0</v>
      </c>
      <c r="J3227" s="1" t="n">
        <v>20201</v>
      </c>
      <c r="L3227" s="1" t="str">
        <f aca="false">IF(D3226&lt;&gt;D3227,D3227,"")</f>
        <v/>
      </c>
      <c r="M3227" s="1" t="str">
        <f aca="false">IF(F3226&lt;&gt;F3227,F3227,"")</f>
        <v/>
      </c>
    </row>
    <row r="3228" customFormat="false" ht="15" hidden="false" customHeight="false" outlineLevel="0" collapsed="false">
      <c r="A3228" s="1" t="s">
        <v>621</v>
      </c>
      <c r="B3228" s="1" t="s">
        <v>622</v>
      </c>
      <c r="C3228" s="1" t="s">
        <v>956</v>
      </c>
      <c r="D3228" s="1" t="s">
        <v>957</v>
      </c>
      <c r="E3228" s="1" t="n">
        <v>20171</v>
      </c>
      <c r="F3228" s="1" t="s">
        <v>208</v>
      </c>
      <c r="G3228" s="1" t="s">
        <v>18</v>
      </c>
      <c r="H3228" s="1" t="n">
        <v>3</v>
      </c>
      <c r="I3228" s="1" t="n">
        <v>0</v>
      </c>
      <c r="J3228" s="1" t="n">
        <v>20201</v>
      </c>
      <c r="L3228" s="1" t="str">
        <f aca="false">IF(D3227&lt;&gt;D3228,D3228,"")</f>
        <v/>
      </c>
      <c r="M3228" s="1" t="str">
        <f aca="false">IF(F3227&lt;&gt;F3228,F3228,"")</f>
        <v/>
      </c>
    </row>
    <row r="3229" customFormat="false" ht="15" hidden="false" customHeight="false" outlineLevel="0" collapsed="false">
      <c r="A3229" s="1" t="s">
        <v>623</v>
      </c>
      <c r="B3229" s="1" t="s">
        <v>624</v>
      </c>
      <c r="C3229" s="1" t="s">
        <v>956</v>
      </c>
      <c r="D3229" s="1" t="s">
        <v>957</v>
      </c>
      <c r="E3229" s="1" t="n">
        <v>20171</v>
      </c>
      <c r="F3229" s="1" t="s">
        <v>208</v>
      </c>
      <c r="G3229" s="1" t="s">
        <v>18</v>
      </c>
      <c r="H3229" s="1" t="n">
        <v>3</v>
      </c>
      <c r="I3229" s="1" t="n">
        <v>0</v>
      </c>
      <c r="J3229" s="1" t="n">
        <v>20201</v>
      </c>
      <c r="L3229" s="1" t="str">
        <f aca="false">IF(D3228&lt;&gt;D3229,D3229,"")</f>
        <v/>
      </c>
      <c r="M3229" s="1" t="str">
        <f aca="false">IF(F3228&lt;&gt;F3229,F3229,"")</f>
        <v/>
      </c>
    </row>
    <row r="3230" customFormat="false" ht="15" hidden="false" customHeight="false" outlineLevel="0" collapsed="false">
      <c r="A3230" s="1" t="s">
        <v>585</v>
      </c>
      <c r="B3230" s="1" t="s">
        <v>586</v>
      </c>
      <c r="C3230" s="1" t="s">
        <v>956</v>
      </c>
      <c r="D3230" s="1" t="s">
        <v>957</v>
      </c>
      <c r="E3230" s="1" t="n">
        <v>20171</v>
      </c>
      <c r="F3230" s="1" t="s">
        <v>208</v>
      </c>
      <c r="G3230" s="1" t="s">
        <v>101</v>
      </c>
      <c r="H3230" s="1" t="n">
        <v>2.5</v>
      </c>
      <c r="I3230" s="1" t="n">
        <v>0</v>
      </c>
      <c r="J3230" s="1" t="n">
        <v>20201</v>
      </c>
      <c r="L3230" s="1" t="str">
        <f aca="false">IF(D3229&lt;&gt;D3230,D3230,"")</f>
        <v/>
      </c>
      <c r="M3230" s="1" t="str">
        <f aca="false">IF(F3229&lt;&gt;F3230,F3230,"")</f>
        <v/>
      </c>
    </row>
    <row r="3231" customFormat="false" ht="15" hidden="false" customHeight="false" outlineLevel="0" collapsed="false">
      <c r="A3231" s="1" t="s">
        <v>587</v>
      </c>
      <c r="B3231" s="1" t="s">
        <v>588</v>
      </c>
      <c r="C3231" s="1" t="s">
        <v>956</v>
      </c>
      <c r="D3231" s="1" t="s">
        <v>957</v>
      </c>
      <c r="E3231" s="1" t="n">
        <v>20171</v>
      </c>
      <c r="F3231" s="1" t="s">
        <v>208</v>
      </c>
      <c r="G3231" s="1" t="s">
        <v>101</v>
      </c>
      <c r="H3231" s="1" t="n">
        <v>2.5</v>
      </c>
      <c r="I3231" s="1" t="n">
        <v>0</v>
      </c>
      <c r="J3231" s="1" t="n">
        <v>20201</v>
      </c>
      <c r="L3231" s="1" t="str">
        <f aca="false">IF(D3230&lt;&gt;D3231,D3231,"")</f>
        <v/>
      </c>
      <c r="M3231" s="1" t="str">
        <f aca="false">IF(F3230&lt;&gt;F3231,F3231,"")</f>
        <v/>
      </c>
    </row>
    <row r="3232" customFormat="false" ht="15" hidden="false" customHeight="false" outlineLevel="0" collapsed="false">
      <c r="A3232" s="1" t="s">
        <v>814</v>
      </c>
      <c r="B3232" s="1" t="s">
        <v>815</v>
      </c>
      <c r="C3232" s="1" t="s">
        <v>956</v>
      </c>
      <c r="D3232" s="1" t="s">
        <v>957</v>
      </c>
      <c r="E3232" s="1" t="n">
        <v>20171</v>
      </c>
      <c r="F3232" s="1" t="s">
        <v>208</v>
      </c>
      <c r="G3232" s="1" t="s">
        <v>101</v>
      </c>
      <c r="H3232" s="1" t="n">
        <v>2.5</v>
      </c>
      <c r="I3232" s="1" t="n">
        <v>0</v>
      </c>
      <c r="J3232" s="1" t="n">
        <v>20201</v>
      </c>
      <c r="L3232" s="1" t="str">
        <f aca="false">IF(D3231&lt;&gt;D3232,D3232,"")</f>
        <v/>
      </c>
      <c r="M3232" s="1" t="str">
        <f aca="false">IF(F3231&lt;&gt;F3232,F3232,"")</f>
        <v/>
      </c>
    </row>
    <row r="3233" customFormat="false" ht="15" hidden="false" customHeight="false" outlineLevel="0" collapsed="false">
      <c r="A3233" s="1" t="s">
        <v>512</v>
      </c>
      <c r="B3233" s="1" t="s">
        <v>513</v>
      </c>
      <c r="C3233" s="1" t="s">
        <v>956</v>
      </c>
      <c r="D3233" s="1" t="s">
        <v>957</v>
      </c>
      <c r="E3233" s="1" t="n">
        <v>20171</v>
      </c>
      <c r="F3233" s="1" t="s">
        <v>208</v>
      </c>
      <c r="G3233" s="1" t="s">
        <v>18</v>
      </c>
      <c r="H3233" s="1" t="n">
        <v>3</v>
      </c>
      <c r="I3233" s="1" t="n">
        <v>0</v>
      </c>
      <c r="J3233" s="1" t="n">
        <v>20201</v>
      </c>
      <c r="L3233" s="1" t="str">
        <f aca="false">IF(D3232&lt;&gt;D3233,D3233,"")</f>
        <v/>
      </c>
      <c r="M3233" s="1" t="str">
        <f aca="false">IF(F3232&lt;&gt;F3233,F3233,"")</f>
        <v/>
      </c>
    </row>
    <row r="3234" customFormat="false" ht="15" hidden="false" customHeight="false" outlineLevel="0" collapsed="false">
      <c r="A3234" s="1" t="s">
        <v>818</v>
      </c>
      <c r="B3234" s="1" t="s">
        <v>819</v>
      </c>
      <c r="C3234" s="1" t="s">
        <v>956</v>
      </c>
      <c r="D3234" s="1" t="s">
        <v>957</v>
      </c>
      <c r="E3234" s="1" t="n">
        <v>20171</v>
      </c>
      <c r="F3234" s="1" t="s">
        <v>208</v>
      </c>
      <c r="G3234" s="1" t="s">
        <v>18</v>
      </c>
      <c r="H3234" s="1" t="n">
        <v>3</v>
      </c>
      <c r="I3234" s="1" t="n">
        <v>0</v>
      </c>
      <c r="J3234" s="1" t="n">
        <v>20201</v>
      </c>
      <c r="L3234" s="1" t="str">
        <f aca="false">IF(D3233&lt;&gt;D3234,D3234,"")</f>
        <v/>
      </c>
      <c r="M3234" s="1" t="str">
        <f aca="false">IF(F3233&lt;&gt;F3234,F3234,"")</f>
        <v/>
      </c>
    </row>
    <row r="3235" customFormat="false" ht="15" hidden="false" customHeight="false" outlineLevel="0" collapsed="false">
      <c r="A3235" s="1" t="s">
        <v>673</v>
      </c>
      <c r="B3235" s="1" t="s">
        <v>674</v>
      </c>
      <c r="C3235" s="1" t="s">
        <v>956</v>
      </c>
      <c r="D3235" s="1" t="s">
        <v>957</v>
      </c>
      <c r="E3235" s="1" t="n">
        <v>20171</v>
      </c>
      <c r="F3235" s="1" t="s">
        <v>208</v>
      </c>
      <c r="G3235" s="1" t="s">
        <v>15</v>
      </c>
      <c r="H3235" s="1" t="n">
        <v>3.5</v>
      </c>
      <c r="I3235" s="1" t="n">
        <v>0</v>
      </c>
      <c r="J3235" s="1" t="n">
        <v>20201</v>
      </c>
      <c r="L3235" s="1" t="str">
        <f aca="false">IF(D3234&lt;&gt;D3235,D3235,"")</f>
        <v/>
      </c>
      <c r="M3235" s="1" t="str">
        <f aca="false">IF(F3234&lt;&gt;F3235,F3235,"")</f>
        <v/>
      </c>
    </row>
    <row r="3236" customFormat="false" ht="15" hidden="false" customHeight="false" outlineLevel="0" collapsed="false">
      <c r="A3236" s="1" t="s">
        <v>527</v>
      </c>
      <c r="B3236" s="1" t="s">
        <v>528</v>
      </c>
      <c r="C3236" s="1" t="s">
        <v>956</v>
      </c>
      <c r="D3236" s="1" t="s">
        <v>957</v>
      </c>
      <c r="E3236" s="1" t="n">
        <v>20171</v>
      </c>
      <c r="F3236" s="1" t="s">
        <v>208</v>
      </c>
      <c r="G3236" s="1" t="s">
        <v>15</v>
      </c>
      <c r="H3236" s="1" t="n">
        <v>3.5</v>
      </c>
      <c r="I3236" s="1" t="n">
        <v>0</v>
      </c>
      <c r="J3236" s="1" t="n">
        <v>20201</v>
      </c>
      <c r="L3236" s="1" t="str">
        <f aca="false">IF(D3235&lt;&gt;D3236,D3236,"")</f>
        <v/>
      </c>
      <c r="M3236" s="1" t="str">
        <f aca="false">IF(F3235&lt;&gt;F3236,F3236,"")</f>
        <v/>
      </c>
    </row>
    <row r="3237" customFormat="false" ht="15" hidden="false" customHeight="false" outlineLevel="0" collapsed="false">
      <c r="A3237" s="1" t="s">
        <v>647</v>
      </c>
      <c r="B3237" s="1" t="s">
        <v>648</v>
      </c>
      <c r="C3237" s="1" t="s">
        <v>956</v>
      </c>
      <c r="D3237" s="1" t="s">
        <v>957</v>
      </c>
      <c r="E3237" s="1" t="n">
        <v>20171</v>
      </c>
      <c r="F3237" s="1" t="s">
        <v>208</v>
      </c>
      <c r="G3237" s="1" t="s">
        <v>18</v>
      </c>
      <c r="H3237" s="1" t="n">
        <v>3</v>
      </c>
      <c r="I3237" s="1" t="n">
        <v>0</v>
      </c>
      <c r="J3237" s="1" t="n">
        <v>20201</v>
      </c>
      <c r="L3237" s="1" t="str">
        <f aca="false">IF(D3236&lt;&gt;D3237,D3237,"")</f>
        <v/>
      </c>
      <c r="M3237" s="1" t="str">
        <f aca="false">IF(F3236&lt;&gt;F3237,F3237,"")</f>
        <v/>
      </c>
    </row>
    <row r="3238" customFormat="false" ht="15" hidden="false" customHeight="false" outlineLevel="0" collapsed="false">
      <c r="A3238" s="1" t="s">
        <v>820</v>
      </c>
      <c r="B3238" s="1" t="s">
        <v>821</v>
      </c>
      <c r="C3238" s="1" t="s">
        <v>956</v>
      </c>
      <c r="D3238" s="1" t="s">
        <v>957</v>
      </c>
      <c r="E3238" s="1" t="n">
        <v>20171</v>
      </c>
      <c r="F3238" s="1" t="s">
        <v>208</v>
      </c>
      <c r="G3238" s="1" t="s">
        <v>18</v>
      </c>
      <c r="H3238" s="1" t="n">
        <v>3</v>
      </c>
      <c r="I3238" s="1" t="n">
        <v>0</v>
      </c>
      <c r="J3238" s="1" t="n">
        <v>20201</v>
      </c>
      <c r="L3238" s="1" t="str">
        <f aca="false">IF(D3237&lt;&gt;D3238,D3238,"")</f>
        <v/>
      </c>
      <c r="M3238" s="1" t="str">
        <f aca="false">IF(F3237&lt;&gt;F3238,F3238,"")</f>
        <v/>
      </c>
    </row>
    <row r="3239" customFormat="false" ht="15" hidden="false" customHeight="false" outlineLevel="0" collapsed="false">
      <c r="A3239" s="1" t="s">
        <v>657</v>
      </c>
      <c r="B3239" s="1" t="s">
        <v>658</v>
      </c>
      <c r="C3239" s="1" t="s">
        <v>956</v>
      </c>
      <c r="D3239" s="1" t="s">
        <v>957</v>
      </c>
      <c r="E3239" s="1" t="n">
        <v>20171</v>
      </c>
      <c r="F3239" s="1" t="s">
        <v>208</v>
      </c>
      <c r="G3239" s="1" t="s">
        <v>14</v>
      </c>
      <c r="H3239" s="1" t="n">
        <v>4</v>
      </c>
      <c r="I3239" s="1" t="n">
        <v>0</v>
      </c>
      <c r="J3239" s="1" t="n">
        <v>20201</v>
      </c>
      <c r="L3239" s="1" t="str">
        <f aca="false">IF(D3238&lt;&gt;D3239,D3239,"")</f>
        <v/>
      </c>
      <c r="M3239" s="1" t="str">
        <f aca="false">IF(F3238&lt;&gt;F3239,F3239,"")</f>
        <v/>
      </c>
    </row>
    <row r="3240" customFormat="false" ht="15" hidden="false" customHeight="false" outlineLevel="0" collapsed="false">
      <c r="A3240" s="1" t="s">
        <v>659</v>
      </c>
      <c r="B3240" s="1" t="s">
        <v>660</v>
      </c>
      <c r="C3240" s="1" t="s">
        <v>956</v>
      </c>
      <c r="D3240" s="1" t="s">
        <v>957</v>
      </c>
      <c r="E3240" s="1" t="n">
        <v>20171</v>
      </c>
      <c r="F3240" s="1" t="s">
        <v>208</v>
      </c>
      <c r="G3240" s="1" t="s">
        <v>101</v>
      </c>
      <c r="H3240" s="1" t="n">
        <v>2.5</v>
      </c>
      <c r="I3240" s="1" t="n">
        <v>0</v>
      </c>
      <c r="J3240" s="1" t="n">
        <v>20201</v>
      </c>
      <c r="L3240" s="1" t="str">
        <f aca="false">IF(D3239&lt;&gt;D3240,D3240,"")</f>
        <v/>
      </c>
      <c r="M3240" s="1" t="str">
        <f aca="false">IF(F3239&lt;&gt;F3240,F3240,"")</f>
        <v/>
      </c>
    </row>
    <row r="3241" customFormat="false" ht="15" hidden="false" customHeight="false" outlineLevel="0" collapsed="false">
      <c r="A3241" s="1" t="s">
        <v>629</v>
      </c>
      <c r="B3241" s="1" t="s">
        <v>630</v>
      </c>
      <c r="C3241" s="1" t="s">
        <v>956</v>
      </c>
      <c r="D3241" s="1" t="s">
        <v>957</v>
      </c>
      <c r="E3241" s="1" t="n">
        <v>20171</v>
      </c>
      <c r="F3241" s="1" t="s">
        <v>208</v>
      </c>
      <c r="G3241" s="1" t="s">
        <v>18</v>
      </c>
      <c r="H3241" s="1" t="n">
        <v>3</v>
      </c>
      <c r="I3241" s="1" t="n">
        <v>0</v>
      </c>
      <c r="J3241" s="1" t="n">
        <v>20201</v>
      </c>
      <c r="L3241" s="1" t="str">
        <f aca="false">IF(D3240&lt;&gt;D3241,D3241,"")</f>
        <v/>
      </c>
      <c r="M3241" s="1" t="str">
        <f aca="false">IF(F3240&lt;&gt;F3241,F3241,"")</f>
        <v/>
      </c>
    </row>
    <row r="3242" customFormat="false" ht="15" hidden="false" customHeight="false" outlineLevel="0" collapsed="false">
      <c r="A3242" s="1" t="s">
        <v>631</v>
      </c>
      <c r="B3242" s="1" t="s">
        <v>632</v>
      </c>
      <c r="C3242" s="1" t="s">
        <v>956</v>
      </c>
      <c r="D3242" s="1" t="s">
        <v>957</v>
      </c>
      <c r="E3242" s="1" t="n">
        <v>20171</v>
      </c>
      <c r="F3242" s="1" t="s">
        <v>208</v>
      </c>
      <c r="G3242" s="1" t="s">
        <v>18</v>
      </c>
      <c r="H3242" s="1" t="n">
        <v>3</v>
      </c>
      <c r="I3242" s="1" t="n">
        <v>0</v>
      </c>
      <c r="J3242" s="1" t="n">
        <v>20201</v>
      </c>
      <c r="L3242" s="1" t="str">
        <f aca="false">IF(D3241&lt;&gt;D3242,D3242,"")</f>
        <v/>
      </c>
      <c r="M3242" s="1" t="str">
        <f aca="false">IF(F3241&lt;&gt;F3242,F3242,"")</f>
        <v/>
      </c>
    </row>
    <row r="3243" customFormat="false" ht="15" hidden="false" customHeight="false" outlineLevel="0" collapsed="false">
      <c r="A3243" s="1" t="s">
        <v>633</v>
      </c>
      <c r="B3243" s="1" t="s">
        <v>634</v>
      </c>
      <c r="C3243" s="1" t="s">
        <v>956</v>
      </c>
      <c r="D3243" s="1" t="s">
        <v>957</v>
      </c>
      <c r="E3243" s="1" t="n">
        <v>20171</v>
      </c>
      <c r="F3243" s="1" t="s">
        <v>208</v>
      </c>
      <c r="G3243" s="1" t="s">
        <v>127</v>
      </c>
      <c r="H3243" s="1" t="n">
        <v>2</v>
      </c>
      <c r="I3243" s="1" t="n">
        <v>0</v>
      </c>
      <c r="J3243" s="1" t="n">
        <v>20201</v>
      </c>
      <c r="L3243" s="1" t="str">
        <f aca="false">IF(D3242&lt;&gt;D3243,D3243,"")</f>
        <v/>
      </c>
      <c r="M3243" s="1" t="str">
        <f aca="false">IF(F3242&lt;&gt;F3243,F3243,"")</f>
        <v/>
      </c>
    </row>
    <row r="3244" customFormat="false" ht="15" hidden="false" customHeight="false" outlineLevel="0" collapsed="false">
      <c r="A3244" s="1" t="s">
        <v>822</v>
      </c>
      <c r="B3244" s="1" t="s">
        <v>823</v>
      </c>
      <c r="C3244" s="1" t="s">
        <v>956</v>
      </c>
      <c r="D3244" s="1" t="s">
        <v>957</v>
      </c>
      <c r="E3244" s="1" t="n">
        <v>20171</v>
      </c>
      <c r="F3244" s="1" t="s">
        <v>208</v>
      </c>
      <c r="G3244" s="1" t="s">
        <v>30</v>
      </c>
      <c r="H3244" s="1" t="n">
        <v>1.5</v>
      </c>
      <c r="I3244" s="1" t="n">
        <v>0</v>
      </c>
      <c r="J3244" s="1" t="n">
        <v>20201</v>
      </c>
      <c r="L3244" s="1" t="str">
        <f aca="false">IF(D3243&lt;&gt;D3244,D3244,"")</f>
        <v/>
      </c>
      <c r="M3244" s="1" t="str">
        <f aca="false">IF(F3243&lt;&gt;F3244,F3244,"")</f>
        <v/>
      </c>
    </row>
    <row r="3245" customFormat="false" ht="15" hidden="false" customHeight="false" outlineLevel="0" collapsed="false">
      <c r="A3245" s="1" t="s">
        <v>661</v>
      </c>
      <c r="B3245" s="1" t="s">
        <v>662</v>
      </c>
      <c r="C3245" s="1" t="s">
        <v>956</v>
      </c>
      <c r="D3245" s="1" t="s">
        <v>957</v>
      </c>
      <c r="E3245" s="1" t="n">
        <v>20171</v>
      </c>
      <c r="F3245" s="1" t="s">
        <v>208</v>
      </c>
      <c r="G3245" s="1" t="s">
        <v>18</v>
      </c>
      <c r="H3245" s="1" t="n">
        <v>3</v>
      </c>
      <c r="I3245" s="1" t="n">
        <v>0</v>
      </c>
      <c r="J3245" s="1" t="n">
        <v>20201</v>
      </c>
      <c r="L3245" s="1" t="str">
        <f aca="false">IF(D3244&lt;&gt;D3245,D3245,"")</f>
        <v/>
      </c>
      <c r="M3245" s="1" t="str">
        <f aca="false">IF(F3244&lt;&gt;F3245,F3245,"")</f>
        <v/>
      </c>
    </row>
    <row r="3246" customFormat="false" ht="15" hidden="false" customHeight="false" outlineLevel="0" collapsed="false">
      <c r="A3246" s="1" t="s">
        <v>615</v>
      </c>
      <c r="B3246" s="1" t="s">
        <v>616</v>
      </c>
      <c r="C3246" s="1" t="s">
        <v>956</v>
      </c>
      <c r="D3246" s="1" t="s">
        <v>957</v>
      </c>
      <c r="E3246" s="1" t="n">
        <v>20171</v>
      </c>
      <c r="F3246" s="1" t="s">
        <v>208</v>
      </c>
      <c r="G3246" s="1" t="s">
        <v>18</v>
      </c>
      <c r="H3246" s="1" t="n">
        <v>3</v>
      </c>
      <c r="I3246" s="1" t="n">
        <v>0</v>
      </c>
      <c r="J3246" s="1" t="n">
        <v>20201</v>
      </c>
      <c r="L3246" s="1" t="str">
        <f aca="false">IF(D3245&lt;&gt;D3246,D3246,"")</f>
        <v/>
      </c>
      <c r="M3246" s="1" t="str">
        <f aca="false">IF(F3245&lt;&gt;F3246,F3246,"")</f>
        <v/>
      </c>
    </row>
    <row r="3247" customFormat="false" ht="15" hidden="false" customHeight="false" outlineLevel="0" collapsed="false">
      <c r="A3247" s="1" t="s">
        <v>824</v>
      </c>
      <c r="B3247" s="1" t="s">
        <v>825</v>
      </c>
      <c r="C3247" s="1" t="s">
        <v>956</v>
      </c>
      <c r="D3247" s="1" t="s">
        <v>957</v>
      </c>
      <c r="E3247" s="1" t="n">
        <v>20171</v>
      </c>
      <c r="F3247" s="1" t="s">
        <v>208</v>
      </c>
      <c r="G3247" s="1" t="s">
        <v>15</v>
      </c>
      <c r="H3247" s="1" t="n">
        <v>3.5</v>
      </c>
      <c r="I3247" s="1" t="n">
        <v>0</v>
      </c>
      <c r="J3247" s="1" t="n">
        <v>20201</v>
      </c>
      <c r="L3247" s="1" t="str">
        <f aca="false">IF(D3246&lt;&gt;D3247,D3247,"")</f>
        <v/>
      </c>
      <c r="M3247" s="1" t="str">
        <f aca="false">IF(F3246&lt;&gt;F3247,F3247,"")</f>
        <v/>
      </c>
    </row>
    <row r="3248" customFormat="false" ht="15" hidden="false" customHeight="false" outlineLevel="0" collapsed="false">
      <c r="A3248" s="1" t="s">
        <v>595</v>
      </c>
      <c r="B3248" s="1" t="s">
        <v>596</v>
      </c>
      <c r="C3248" s="1" t="s">
        <v>956</v>
      </c>
      <c r="D3248" s="1" t="s">
        <v>957</v>
      </c>
      <c r="E3248" s="1" t="n">
        <v>20171</v>
      </c>
      <c r="F3248" s="1" t="s">
        <v>208</v>
      </c>
      <c r="G3248" s="1" t="s">
        <v>14</v>
      </c>
      <c r="H3248" s="1" t="n">
        <v>4</v>
      </c>
      <c r="I3248" s="1" t="n">
        <v>0</v>
      </c>
      <c r="J3248" s="1" t="n">
        <v>20201</v>
      </c>
      <c r="L3248" s="1" t="str">
        <f aca="false">IF(D3247&lt;&gt;D3248,D3248,"")</f>
        <v/>
      </c>
      <c r="M3248" s="1" t="str">
        <f aca="false">IF(F3247&lt;&gt;F3248,F3248,"")</f>
        <v/>
      </c>
    </row>
    <row r="3249" customFormat="false" ht="15" hidden="false" customHeight="false" outlineLevel="0" collapsed="false">
      <c r="A3249" s="1" t="s">
        <v>114</v>
      </c>
      <c r="B3249" s="1" t="s">
        <v>115</v>
      </c>
      <c r="C3249" s="1" t="s">
        <v>956</v>
      </c>
      <c r="D3249" s="1" t="s">
        <v>957</v>
      </c>
      <c r="E3249" s="1" t="n">
        <v>20171</v>
      </c>
      <c r="F3249" s="1" t="s">
        <v>208</v>
      </c>
      <c r="G3249" s="1" t="s">
        <v>15</v>
      </c>
      <c r="H3249" s="1" t="n">
        <v>3.5</v>
      </c>
      <c r="I3249" s="1" t="n">
        <v>0</v>
      </c>
      <c r="J3249" s="1" t="n">
        <v>20201</v>
      </c>
      <c r="L3249" s="1" t="str">
        <f aca="false">IF(D3248&lt;&gt;D3249,D3249,"")</f>
        <v/>
      </c>
      <c r="M3249" s="1" t="str">
        <f aca="false">IF(F3248&lt;&gt;F3249,F3249,"")</f>
        <v/>
      </c>
    </row>
    <row r="3250" customFormat="false" ht="15" hidden="false" customHeight="false" outlineLevel="0" collapsed="false">
      <c r="A3250" s="1" t="s">
        <v>828</v>
      </c>
      <c r="B3250" s="1" t="s">
        <v>829</v>
      </c>
      <c r="C3250" s="1" t="s">
        <v>956</v>
      </c>
      <c r="D3250" s="1" t="s">
        <v>957</v>
      </c>
      <c r="E3250" s="1" t="n">
        <v>20171</v>
      </c>
      <c r="F3250" s="1" t="s">
        <v>208</v>
      </c>
      <c r="G3250" s="1" t="s">
        <v>14</v>
      </c>
      <c r="H3250" s="1" t="n">
        <v>4</v>
      </c>
      <c r="I3250" s="1" t="n">
        <v>0</v>
      </c>
      <c r="J3250" s="1" t="n">
        <v>20201</v>
      </c>
      <c r="L3250" s="1" t="str">
        <f aca="false">IF(D3249&lt;&gt;D3250,D3250,"")</f>
        <v/>
      </c>
      <c r="M3250" s="1" t="str">
        <f aca="false">IF(F3249&lt;&gt;F3250,F3250,"")</f>
        <v/>
      </c>
    </row>
    <row r="3251" customFormat="false" ht="15" hidden="false" customHeight="false" outlineLevel="0" collapsed="false">
      <c r="A3251" s="1" t="s">
        <v>830</v>
      </c>
      <c r="B3251" s="1" t="s">
        <v>831</v>
      </c>
      <c r="C3251" s="1" t="s">
        <v>956</v>
      </c>
      <c r="D3251" s="1" t="s">
        <v>957</v>
      </c>
      <c r="E3251" s="1" t="n">
        <v>20171</v>
      </c>
      <c r="F3251" s="1" t="s">
        <v>208</v>
      </c>
      <c r="G3251" s="1" t="s">
        <v>15</v>
      </c>
      <c r="H3251" s="1" t="n">
        <v>3.5</v>
      </c>
      <c r="I3251" s="1" t="n">
        <v>0</v>
      </c>
      <c r="J3251" s="1" t="n">
        <v>20201</v>
      </c>
      <c r="L3251" s="1" t="str">
        <f aca="false">IF(D3250&lt;&gt;D3251,D3251,"")</f>
        <v/>
      </c>
      <c r="M3251" s="1" t="str">
        <f aca="false">IF(F3250&lt;&gt;F3251,F3251,"")</f>
        <v/>
      </c>
    </row>
    <row r="3252" customFormat="false" ht="15" hidden="false" customHeight="false" outlineLevel="0" collapsed="false">
      <c r="A3252" s="1" t="s">
        <v>531</v>
      </c>
      <c r="B3252" s="1" t="s">
        <v>532</v>
      </c>
      <c r="C3252" s="1" t="s">
        <v>956</v>
      </c>
      <c r="D3252" s="1" t="s">
        <v>957</v>
      </c>
      <c r="E3252" s="1" t="n">
        <v>20171</v>
      </c>
      <c r="F3252" s="1" t="s">
        <v>208</v>
      </c>
      <c r="G3252" s="1" t="s">
        <v>18</v>
      </c>
      <c r="H3252" s="1" t="n">
        <v>3</v>
      </c>
      <c r="I3252" s="1" t="n">
        <v>0</v>
      </c>
      <c r="J3252" s="1" t="n">
        <v>20201</v>
      </c>
      <c r="L3252" s="1" t="str">
        <f aca="false">IF(D3251&lt;&gt;D3252,D3252,"")</f>
        <v/>
      </c>
      <c r="M3252" s="1" t="str">
        <f aca="false">IF(F3251&lt;&gt;F3252,F3252,"")</f>
        <v/>
      </c>
    </row>
    <row r="3253" customFormat="false" ht="15" hidden="false" customHeight="false" outlineLevel="0" collapsed="false">
      <c r="A3253" s="1" t="s">
        <v>699</v>
      </c>
      <c r="B3253" s="1" t="s">
        <v>700</v>
      </c>
      <c r="C3253" s="1" t="s">
        <v>956</v>
      </c>
      <c r="D3253" s="1" t="s">
        <v>957</v>
      </c>
      <c r="E3253" s="1" t="n">
        <v>20171</v>
      </c>
      <c r="F3253" s="1" t="s">
        <v>208</v>
      </c>
      <c r="G3253" s="1" t="s">
        <v>15</v>
      </c>
      <c r="H3253" s="1" t="n">
        <v>3.5</v>
      </c>
      <c r="I3253" s="1" t="n">
        <v>0</v>
      </c>
      <c r="J3253" s="1" t="n">
        <v>20201</v>
      </c>
      <c r="L3253" s="1" t="str">
        <f aca="false">IF(D3252&lt;&gt;D3253,D3253,"")</f>
        <v/>
      </c>
      <c r="M3253" s="1" t="str">
        <f aca="false">IF(F3252&lt;&gt;F3253,F3253,"")</f>
        <v/>
      </c>
    </row>
    <row r="3254" customFormat="false" ht="15" hidden="false" customHeight="false" outlineLevel="0" collapsed="false">
      <c r="A3254" s="1" t="s">
        <v>703</v>
      </c>
      <c r="B3254" s="1" t="s">
        <v>704</v>
      </c>
      <c r="C3254" s="1" t="s">
        <v>956</v>
      </c>
      <c r="D3254" s="1" t="s">
        <v>957</v>
      </c>
      <c r="E3254" s="1" t="n">
        <v>20171</v>
      </c>
      <c r="F3254" s="1" t="s">
        <v>208</v>
      </c>
      <c r="G3254" s="1" t="s">
        <v>101</v>
      </c>
      <c r="H3254" s="1" t="n">
        <v>2.5</v>
      </c>
      <c r="I3254" s="1" t="n">
        <v>0</v>
      </c>
      <c r="J3254" s="1" t="n">
        <v>20201</v>
      </c>
      <c r="L3254" s="1" t="str">
        <f aca="false">IF(D3253&lt;&gt;D3254,D3254,"")</f>
        <v/>
      </c>
      <c r="M3254" s="1" t="str">
        <f aca="false">IF(F3253&lt;&gt;F3254,F3254,"")</f>
        <v/>
      </c>
    </row>
    <row r="3255" customFormat="false" ht="15" hidden="false" customHeight="false" outlineLevel="0" collapsed="false">
      <c r="A3255" s="1" t="s">
        <v>707</v>
      </c>
      <c r="B3255" s="1" t="s">
        <v>708</v>
      </c>
      <c r="C3255" s="1" t="s">
        <v>956</v>
      </c>
      <c r="D3255" s="1" t="s">
        <v>957</v>
      </c>
      <c r="E3255" s="1" t="n">
        <v>20171</v>
      </c>
      <c r="F3255" s="1" t="s">
        <v>208</v>
      </c>
      <c r="G3255" s="1" t="s">
        <v>15</v>
      </c>
      <c r="H3255" s="1" t="n">
        <v>3.5</v>
      </c>
      <c r="I3255" s="1" t="n">
        <v>0</v>
      </c>
      <c r="J3255" s="1" t="n">
        <v>20201</v>
      </c>
      <c r="L3255" s="1" t="str">
        <f aca="false">IF(D3254&lt;&gt;D3255,D3255,"")</f>
        <v/>
      </c>
      <c r="M3255" s="1" t="str">
        <f aca="false">IF(F3254&lt;&gt;F3255,F3255,"")</f>
        <v/>
      </c>
    </row>
    <row r="3256" customFormat="false" ht="15" hidden="false" customHeight="false" outlineLevel="0" collapsed="false">
      <c r="A3256" s="1" t="s">
        <v>709</v>
      </c>
      <c r="B3256" s="1" t="s">
        <v>710</v>
      </c>
      <c r="C3256" s="1" t="s">
        <v>956</v>
      </c>
      <c r="D3256" s="1" t="s">
        <v>957</v>
      </c>
      <c r="E3256" s="1" t="n">
        <v>20171</v>
      </c>
      <c r="F3256" s="1" t="s">
        <v>208</v>
      </c>
      <c r="G3256" s="1" t="s">
        <v>18</v>
      </c>
      <c r="H3256" s="1" t="n">
        <v>3</v>
      </c>
      <c r="I3256" s="1" t="n">
        <v>0</v>
      </c>
      <c r="J3256" s="1" t="n">
        <v>20201</v>
      </c>
      <c r="L3256" s="1" t="str">
        <f aca="false">IF(D3255&lt;&gt;D3256,D3256,"")</f>
        <v/>
      </c>
      <c r="M3256" s="1" t="str">
        <f aca="false">IF(F3255&lt;&gt;F3256,F3256,"")</f>
        <v/>
      </c>
    </row>
    <row r="3257" customFormat="false" ht="15" hidden="false" customHeight="false" outlineLevel="0" collapsed="false">
      <c r="A3257" s="1" t="s">
        <v>549</v>
      </c>
      <c r="B3257" s="1" t="s">
        <v>550</v>
      </c>
      <c r="C3257" s="1" t="s">
        <v>956</v>
      </c>
      <c r="D3257" s="1" t="s">
        <v>957</v>
      </c>
      <c r="E3257" s="1" t="n">
        <v>20171</v>
      </c>
      <c r="F3257" s="1" t="s">
        <v>208</v>
      </c>
      <c r="G3257" s="1" t="s">
        <v>101</v>
      </c>
      <c r="H3257" s="1" t="n">
        <v>2.5</v>
      </c>
      <c r="I3257" s="1" t="n">
        <v>0</v>
      </c>
      <c r="J3257" s="1" t="n">
        <v>20201</v>
      </c>
      <c r="L3257" s="1" t="str">
        <f aca="false">IF(D3256&lt;&gt;D3257,D3257,"")</f>
        <v/>
      </c>
      <c r="M3257" s="1" t="str">
        <f aca="false">IF(F3256&lt;&gt;F3257,F3257,"")</f>
        <v/>
      </c>
    </row>
    <row r="3258" customFormat="false" ht="15" hidden="false" customHeight="false" outlineLevel="0" collapsed="false">
      <c r="A3258" s="1" t="s">
        <v>725</v>
      </c>
      <c r="B3258" s="1" t="s">
        <v>726</v>
      </c>
      <c r="C3258" s="1" t="s">
        <v>956</v>
      </c>
      <c r="D3258" s="1" t="s">
        <v>957</v>
      </c>
      <c r="E3258" s="1" t="n">
        <v>20171</v>
      </c>
      <c r="F3258" s="1" t="s">
        <v>208</v>
      </c>
      <c r="G3258" s="1" t="s">
        <v>18</v>
      </c>
      <c r="H3258" s="1" t="n">
        <v>3</v>
      </c>
      <c r="I3258" s="1" t="n">
        <v>0</v>
      </c>
      <c r="J3258" s="1" t="n">
        <v>20201</v>
      </c>
      <c r="L3258" s="1" t="str">
        <f aca="false">IF(D3257&lt;&gt;D3258,D3258,"")</f>
        <v/>
      </c>
      <c r="M3258" s="1" t="str">
        <f aca="false">IF(F3257&lt;&gt;F3258,F3258,"")</f>
        <v/>
      </c>
    </row>
    <row r="3259" customFormat="false" ht="15" hidden="false" customHeight="false" outlineLevel="0" collapsed="false">
      <c r="A3259" s="1" t="s">
        <v>882</v>
      </c>
      <c r="B3259" s="1" t="s">
        <v>883</v>
      </c>
      <c r="C3259" s="1" t="s">
        <v>956</v>
      </c>
      <c r="D3259" s="1" t="s">
        <v>957</v>
      </c>
      <c r="E3259" s="1" t="n">
        <v>20171</v>
      </c>
      <c r="F3259" s="1" t="s">
        <v>208</v>
      </c>
      <c r="G3259" s="1" t="s">
        <v>23</v>
      </c>
      <c r="H3259" s="1" t="n">
        <v>0</v>
      </c>
      <c r="I3259" s="1" t="n">
        <v>0</v>
      </c>
      <c r="J3259" s="1" t="n">
        <v>20201</v>
      </c>
      <c r="L3259" s="1" t="str">
        <f aca="false">IF(D3258&lt;&gt;D3259,D3259,"")</f>
        <v/>
      </c>
      <c r="M3259" s="1" t="str">
        <f aca="false">IF(F3258&lt;&gt;F3259,F3259,"")</f>
        <v/>
      </c>
    </row>
    <row r="3260" customFormat="false" ht="15" hidden="false" customHeight="false" outlineLevel="0" collapsed="false">
      <c r="A3260" s="1" t="s">
        <v>299</v>
      </c>
      <c r="B3260" s="1" t="s">
        <v>300</v>
      </c>
      <c r="C3260" s="1" t="s">
        <v>958</v>
      </c>
      <c r="D3260" s="1" t="s">
        <v>959</v>
      </c>
      <c r="E3260" s="1" t="n">
        <v>20171</v>
      </c>
      <c r="F3260" s="1" t="s">
        <v>208</v>
      </c>
      <c r="G3260" s="1" t="s">
        <v>23</v>
      </c>
      <c r="H3260" s="1" t="n">
        <v>0</v>
      </c>
      <c r="I3260" s="1" t="n">
        <v>0</v>
      </c>
      <c r="J3260" s="1" t="n">
        <v>20201</v>
      </c>
      <c r="L3260" s="1" t="str">
        <f aca="false">IF(D3259&lt;&gt;D3260,D3260,"")</f>
        <v>TEKNIK KENDALI DIGITAL</v>
      </c>
      <c r="M3260" s="1" t="str">
        <f aca="false">IF(F3259&lt;&gt;F3260,F3260,"")</f>
        <v/>
      </c>
    </row>
    <row r="3261" customFormat="false" ht="15" hidden="false" customHeight="false" outlineLevel="0" collapsed="false">
      <c r="A3261" s="1" t="s">
        <v>10</v>
      </c>
      <c r="B3261" s="1" t="s">
        <v>11</v>
      </c>
      <c r="C3261" s="1" t="s">
        <v>958</v>
      </c>
      <c r="D3261" s="1" t="s">
        <v>959</v>
      </c>
      <c r="E3261" s="1" t="n">
        <v>20171</v>
      </c>
      <c r="F3261" s="1" t="s">
        <v>208</v>
      </c>
      <c r="G3261" s="1" t="s">
        <v>15</v>
      </c>
      <c r="H3261" s="1" t="n">
        <v>3.5</v>
      </c>
      <c r="I3261" s="1" t="n">
        <v>0</v>
      </c>
      <c r="J3261" s="1" t="n">
        <v>20201</v>
      </c>
      <c r="L3261" s="1" t="str">
        <f aca="false">IF(D3260&lt;&gt;D3261,D3261,"")</f>
        <v/>
      </c>
      <c r="M3261" s="1" t="str">
        <f aca="false">IF(F3260&lt;&gt;F3261,F3261,"")</f>
        <v/>
      </c>
    </row>
    <row r="3262" customFormat="false" ht="15" hidden="false" customHeight="false" outlineLevel="0" collapsed="false">
      <c r="A3262" s="1" t="s">
        <v>16</v>
      </c>
      <c r="B3262" s="1" t="s">
        <v>17</v>
      </c>
      <c r="C3262" s="1" t="s">
        <v>958</v>
      </c>
      <c r="D3262" s="1" t="s">
        <v>959</v>
      </c>
      <c r="E3262" s="1" t="n">
        <v>20171</v>
      </c>
      <c r="F3262" s="1" t="s">
        <v>208</v>
      </c>
      <c r="G3262" s="1" t="s">
        <v>23</v>
      </c>
      <c r="H3262" s="1" t="n">
        <v>0</v>
      </c>
      <c r="I3262" s="1" t="n">
        <v>0</v>
      </c>
      <c r="J3262" s="1" t="n">
        <v>20201</v>
      </c>
      <c r="L3262" s="1" t="str">
        <f aca="false">IF(D3261&lt;&gt;D3262,D3262,"")</f>
        <v/>
      </c>
      <c r="M3262" s="1" t="str">
        <f aca="false">IF(F3261&lt;&gt;F3262,F3262,"")</f>
        <v/>
      </c>
    </row>
    <row r="3263" customFormat="false" ht="15" hidden="false" customHeight="false" outlineLevel="0" collapsed="false">
      <c r="A3263" s="1" t="s">
        <v>667</v>
      </c>
      <c r="B3263" s="1" t="s">
        <v>668</v>
      </c>
      <c r="C3263" s="1" t="s">
        <v>958</v>
      </c>
      <c r="D3263" s="1" t="s">
        <v>959</v>
      </c>
      <c r="E3263" s="1" t="n">
        <v>20171</v>
      </c>
      <c r="F3263" s="1" t="s">
        <v>208</v>
      </c>
      <c r="G3263" s="1" t="s">
        <v>23</v>
      </c>
      <c r="H3263" s="1" t="n">
        <v>0</v>
      </c>
      <c r="I3263" s="1" t="n">
        <v>0</v>
      </c>
      <c r="J3263" s="1" t="n">
        <v>20201</v>
      </c>
      <c r="L3263" s="1" t="str">
        <f aca="false">IF(D3262&lt;&gt;D3263,D3263,"")</f>
        <v/>
      </c>
      <c r="M3263" s="1" t="str">
        <f aca="false">IF(F3262&lt;&gt;F3263,F3263,"")</f>
        <v/>
      </c>
    </row>
    <row r="3264" customFormat="false" ht="15" hidden="false" customHeight="false" outlineLevel="0" collapsed="false">
      <c r="A3264" s="1" t="s">
        <v>619</v>
      </c>
      <c r="B3264" s="1" t="s">
        <v>620</v>
      </c>
      <c r="C3264" s="1" t="s">
        <v>958</v>
      </c>
      <c r="D3264" s="1" t="s">
        <v>959</v>
      </c>
      <c r="E3264" s="1" t="n">
        <v>20171</v>
      </c>
      <c r="F3264" s="1" t="s">
        <v>208</v>
      </c>
      <c r="G3264" s="1" t="s">
        <v>30</v>
      </c>
      <c r="H3264" s="1" t="n">
        <v>1.5</v>
      </c>
      <c r="I3264" s="1" t="n">
        <v>0</v>
      </c>
      <c r="J3264" s="1" t="n">
        <v>20201</v>
      </c>
      <c r="L3264" s="1" t="str">
        <f aca="false">IF(D3263&lt;&gt;D3264,D3264,"")</f>
        <v/>
      </c>
      <c r="M3264" s="1" t="str">
        <f aca="false">IF(F3263&lt;&gt;F3264,F3264,"")</f>
        <v/>
      </c>
    </row>
    <row r="3265" customFormat="false" ht="15" hidden="false" customHeight="false" outlineLevel="0" collapsed="false">
      <c r="A3265" s="1" t="s">
        <v>790</v>
      </c>
      <c r="B3265" s="1" t="s">
        <v>791</v>
      </c>
      <c r="C3265" s="1" t="s">
        <v>958</v>
      </c>
      <c r="D3265" s="1" t="s">
        <v>959</v>
      </c>
      <c r="E3265" s="1" t="n">
        <v>20171</v>
      </c>
      <c r="F3265" s="1" t="s">
        <v>208</v>
      </c>
      <c r="G3265" s="1" t="s">
        <v>30</v>
      </c>
      <c r="H3265" s="1" t="n">
        <v>1.5</v>
      </c>
      <c r="I3265" s="1" t="n">
        <v>0</v>
      </c>
      <c r="J3265" s="1" t="n">
        <v>20201</v>
      </c>
      <c r="L3265" s="1" t="str">
        <f aca="false">IF(D3264&lt;&gt;D3265,D3265,"")</f>
        <v/>
      </c>
      <c r="M3265" s="1" t="str">
        <f aca="false">IF(F3264&lt;&gt;F3265,F3265,"")</f>
        <v/>
      </c>
    </row>
    <row r="3266" customFormat="false" ht="15" hidden="false" customHeight="false" outlineLevel="0" collapsed="false">
      <c r="A3266" s="1" t="s">
        <v>848</v>
      </c>
      <c r="B3266" s="1" t="s">
        <v>849</v>
      </c>
      <c r="C3266" s="1" t="s">
        <v>958</v>
      </c>
      <c r="D3266" s="1" t="s">
        <v>959</v>
      </c>
      <c r="E3266" s="1" t="n">
        <v>20171</v>
      </c>
      <c r="F3266" s="1" t="s">
        <v>208</v>
      </c>
      <c r="G3266" s="1" t="s">
        <v>30</v>
      </c>
      <c r="H3266" s="1" t="n">
        <v>1.5</v>
      </c>
      <c r="I3266" s="1" t="n">
        <v>0</v>
      </c>
      <c r="J3266" s="1" t="n">
        <v>20201</v>
      </c>
      <c r="L3266" s="1" t="str">
        <f aca="false">IF(D3265&lt;&gt;D3266,D3266,"")</f>
        <v/>
      </c>
      <c r="M3266" s="1" t="str">
        <f aca="false">IF(F3265&lt;&gt;F3266,F3266,"")</f>
        <v/>
      </c>
    </row>
    <row r="3267" customFormat="false" ht="15" hidden="false" customHeight="false" outlineLevel="0" collapsed="false">
      <c r="A3267" s="1" t="s">
        <v>563</v>
      </c>
      <c r="B3267" s="1" t="s">
        <v>564</v>
      </c>
      <c r="C3267" s="1" t="s">
        <v>958</v>
      </c>
      <c r="D3267" s="1" t="s">
        <v>959</v>
      </c>
      <c r="E3267" s="1" t="n">
        <v>20171</v>
      </c>
      <c r="F3267" s="1" t="s">
        <v>208</v>
      </c>
      <c r="G3267" s="1" t="s">
        <v>127</v>
      </c>
      <c r="H3267" s="1" t="n">
        <v>2</v>
      </c>
      <c r="I3267" s="1" t="n">
        <v>0</v>
      </c>
      <c r="J3267" s="1" t="n">
        <v>20201</v>
      </c>
      <c r="L3267" s="1" t="str">
        <f aca="false">IF(D3266&lt;&gt;D3267,D3267,"")</f>
        <v/>
      </c>
      <c r="M3267" s="1" t="str">
        <f aca="false">IF(F3266&lt;&gt;F3267,F3267,"")</f>
        <v/>
      </c>
    </row>
    <row r="3268" customFormat="false" ht="15" hidden="false" customHeight="false" outlineLevel="0" collapsed="false">
      <c r="A3268" s="1" t="s">
        <v>759</v>
      </c>
      <c r="B3268" s="1" t="s">
        <v>760</v>
      </c>
      <c r="C3268" s="1" t="s">
        <v>958</v>
      </c>
      <c r="D3268" s="1" t="s">
        <v>959</v>
      </c>
      <c r="E3268" s="1" t="n">
        <v>20171</v>
      </c>
      <c r="F3268" s="1" t="s">
        <v>208</v>
      </c>
      <c r="G3268" s="1" t="s">
        <v>101</v>
      </c>
      <c r="H3268" s="1" t="n">
        <v>2.5</v>
      </c>
      <c r="I3268" s="1" t="n">
        <v>0</v>
      </c>
      <c r="J3268" s="1" t="n">
        <v>20201</v>
      </c>
      <c r="L3268" s="1" t="str">
        <f aca="false">IF(D3267&lt;&gt;D3268,D3268,"")</f>
        <v/>
      </c>
      <c r="M3268" s="1" t="str">
        <f aca="false">IF(F3267&lt;&gt;F3268,F3268,"")</f>
        <v/>
      </c>
    </row>
    <row r="3269" customFormat="false" ht="15" hidden="false" customHeight="false" outlineLevel="0" collapsed="false">
      <c r="A3269" s="1" t="s">
        <v>800</v>
      </c>
      <c r="B3269" s="1" t="s">
        <v>801</v>
      </c>
      <c r="C3269" s="1" t="s">
        <v>958</v>
      </c>
      <c r="D3269" s="1" t="s">
        <v>959</v>
      </c>
      <c r="E3269" s="1" t="n">
        <v>20171</v>
      </c>
      <c r="F3269" s="1" t="s">
        <v>208</v>
      </c>
      <c r="G3269" s="1" t="s">
        <v>127</v>
      </c>
      <c r="H3269" s="1" t="n">
        <v>2</v>
      </c>
      <c r="I3269" s="1" t="n">
        <v>0</v>
      </c>
      <c r="J3269" s="1" t="n">
        <v>20201</v>
      </c>
      <c r="L3269" s="1" t="str">
        <f aca="false">IF(D3268&lt;&gt;D3269,D3269,"")</f>
        <v/>
      </c>
      <c r="M3269" s="1" t="str">
        <f aca="false">IF(F3268&lt;&gt;F3269,F3269,"")</f>
        <v/>
      </c>
    </row>
    <row r="3270" customFormat="false" ht="15" hidden="false" customHeight="false" outlineLevel="0" collapsed="false">
      <c r="A3270" s="1" t="s">
        <v>653</v>
      </c>
      <c r="B3270" s="1" t="s">
        <v>654</v>
      </c>
      <c r="C3270" s="1" t="s">
        <v>958</v>
      </c>
      <c r="D3270" s="1" t="s">
        <v>959</v>
      </c>
      <c r="E3270" s="1" t="n">
        <v>20171</v>
      </c>
      <c r="F3270" s="1" t="s">
        <v>208</v>
      </c>
      <c r="G3270" s="1" t="s">
        <v>30</v>
      </c>
      <c r="H3270" s="1" t="n">
        <v>1.5</v>
      </c>
      <c r="I3270" s="1" t="n">
        <v>0</v>
      </c>
      <c r="J3270" s="1" t="n">
        <v>20201</v>
      </c>
      <c r="L3270" s="1" t="str">
        <f aca="false">IF(D3269&lt;&gt;D3270,D3270,"")</f>
        <v/>
      </c>
      <c r="M3270" s="1" t="str">
        <f aca="false">IF(F3269&lt;&gt;F3270,F3270,"")</f>
        <v/>
      </c>
    </row>
    <row r="3271" customFormat="false" ht="15" hidden="false" customHeight="false" outlineLevel="0" collapsed="false">
      <c r="A3271" s="1" t="s">
        <v>761</v>
      </c>
      <c r="B3271" s="1" t="s">
        <v>762</v>
      </c>
      <c r="C3271" s="1" t="s">
        <v>958</v>
      </c>
      <c r="D3271" s="1" t="s">
        <v>959</v>
      </c>
      <c r="E3271" s="1" t="n">
        <v>20171</v>
      </c>
      <c r="F3271" s="1" t="s">
        <v>208</v>
      </c>
      <c r="G3271" s="1" t="s">
        <v>30</v>
      </c>
      <c r="H3271" s="1" t="n">
        <v>1.5</v>
      </c>
      <c r="I3271" s="1" t="n">
        <v>0</v>
      </c>
      <c r="J3271" s="1" t="n">
        <v>20201</v>
      </c>
      <c r="L3271" s="1" t="str">
        <f aca="false">IF(D3270&lt;&gt;D3271,D3271,"")</f>
        <v/>
      </c>
      <c r="M3271" s="1" t="str">
        <f aca="false">IF(F3270&lt;&gt;F3271,F3271,"")</f>
        <v/>
      </c>
    </row>
    <row r="3272" customFormat="false" ht="15" hidden="false" customHeight="false" outlineLevel="0" collapsed="false">
      <c r="A3272" s="1" t="s">
        <v>112</v>
      </c>
      <c r="B3272" s="1" t="s">
        <v>113</v>
      </c>
      <c r="C3272" s="1" t="s">
        <v>958</v>
      </c>
      <c r="D3272" s="1" t="s">
        <v>959</v>
      </c>
      <c r="E3272" s="1" t="n">
        <v>20171</v>
      </c>
      <c r="F3272" s="1" t="s">
        <v>208</v>
      </c>
      <c r="G3272" s="1" t="s">
        <v>30</v>
      </c>
      <c r="H3272" s="1" t="n">
        <v>1.5</v>
      </c>
      <c r="I3272" s="1" t="n">
        <v>0</v>
      </c>
      <c r="J3272" s="1" t="n">
        <v>20201</v>
      </c>
      <c r="L3272" s="1" t="str">
        <f aca="false">IF(D3271&lt;&gt;D3272,D3272,"")</f>
        <v/>
      </c>
      <c r="M3272" s="1" t="str">
        <f aca="false">IF(F3271&lt;&gt;F3272,F3272,"")</f>
        <v/>
      </c>
    </row>
    <row r="3273" customFormat="false" ht="15" hidden="false" customHeight="false" outlineLevel="0" collapsed="false">
      <c r="A3273" s="1" t="s">
        <v>613</v>
      </c>
      <c r="B3273" s="1" t="s">
        <v>614</v>
      </c>
      <c r="C3273" s="1" t="s">
        <v>958</v>
      </c>
      <c r="D3273" s="1" t="s">
        <v>959</v>
      </c>
      <c r="E3273" s="1" t="n">
        <v>20171</v>
      </c>
      <c r="F3273" s="1" t="s">
        <v>208</v>
      </c>
      <c r="G3273" s="1" t="s">
        <v>23</v>
      </c>
      <c r="H3273" s="1" t="n">
        <v>0</v>
      </c>
      <c r="I3273" s="1" t="n">
        <v>0</v>
      </c>
      <c r="J3273" s="1" t="n">
        <v>20201</v>
      </c>
      <c r="L3273" s="1" t="str">
        <f aca="false">IF(D3272&lt;&gt;D3273,D3273,"")</f>
        <v/>
      </c>
      <c r="M3273" s="1" t="str">
        <f aca="false">IF(F3272&lt;&gt;F3273,F3273,"")</f>
        <v/>
      </c>
    </row>
    <row r="3274" customFormat="false" ht="15" hidden="false" customHeight="false" outlineLevel="0" collapsed="false">
      <c r="A3274" s="1" t="s">
        <v>808</v>
      </c>
      <c r="B3274" s="1" t="s">
        <v>809</v>
      </c>
      <c r="C3274" s="1" t="s">
        <v>958</v>
      </c>
      <c r="D3274" s="1" t="s">
        <v>959</v>
      </c>
      <c r="E3274" s="1" t="n">
        <v>20171</v>
      </c>
      <c r="F3274" s="1" t="s">
        <v>208</v>
      </c>
      <c r="G3274" s="1" t="s">
        <v>14</v>
      </c>
      <c r="H3274" s="1" t="n">
        <v>4</v>
      </c>
      <c r="I3274" s="1" t="n">
        <v>0</v>
      </c>
      <c r="J3274" s="1" t="n">
        <v>20201</v>
      </c>
      <c r="L3274" s="1" t="str">
        <f aca="false">IF(D3273&lt;&gt;D3274,D3274,"")</f>
        <v/>
      </c>
      <c r="M3274" s="1" t="str">
        <f aca="false">IF(F3273&lt;&gt;F3274,F3274,"")</f>
        <v/>
      </c>
    </row>
    <row r="3275" customFormat="false" ht="15" hidden="false" customHeight="false" outlineLevel="0" collapsed="false">
      <c r="A3275" s="1" t="s">
        <v>593</v>
      </c>
      <c r="B3275" s="1" t="s">
        <v>594</v>
      </c>
      <c r="C3275" s="1" t="s">
        <v>958</v>
      </c>
      <c r="D3275" s="1" t="s">
        <v>959</v>
      </c>
      <c r="E3275" s="1" t="n">
        <v>20171</v>
      </c>
      <c r="F3275" s="1" t="s">
        <v>208</v>
      </c>
      <c r="G3275" s="1" t="s">
        <v>23</v>
      </c>
      <c r="H3275" s="1" t="n">
        <v>0</v>
      </c>
      <c r="I3275" s="1" t="n">
        <v>0</v>
      </c>
      <c r="J3275" s="1" t="n">
        <v>20201</v>
      </c>
      <c r="L3275" s="1" t="str">
        <f aca="false">IF(D3274&lt;&gt;D3275,D3275,"")</f>
        <v/>
      </c>
      <c r="M3275" s="1" t="str">
        <f aca="false">IF(F3274&lt;&gt;F3275,F3275,"")</f>
        <v/>
      </c>
    </row>
    <row r="3276" customFormat="false" ht="15" hidden="false" customHeight="false" outlineLevel="0" collapsed="false">
      <c r="A3276" s="1" t="s">
        <v>645</v>
      </c>
      <c r="B3276" s="1" t="s">
        <v>646</v>
      </c>
      <c r="C3276" s="1" t="s">
        <v>958</v>
      </c>
      <c r="D3276" s="1" t="s">
        <v>959</v>
      </c>
      <c r="E3276" s="1" t="n">
        <v>20171</v>
      </c>
      <c r="F3276" s="1" t="s">
        <v>208</v>
      </c>
      <c r="G3276" s="1" t="s">
        <v>30</v>
      </c>
      <c r="H3276" s="1" t="n">
        <v>1.5</v>
      </c>
      <c r="I3276" s="1" t="n">
        <v>0</v>
      </c>
      <c r="J3276" s="1" t="n">
        <v>20201</v>
      </c>
      <c r="L3276" s="1" t="str">
        <f aca="false">IF(D3275&lt;&gt;D3276,D3276,"")</f>
        <v/>
      </c>
      <c r="M3276" s="1" t="str">
        <f aca="false">IF(F3275&lt;&gt;F3276,F3276,"")</f>
        <v/>
      </c>
    </row>
    <row r="3277" customFormat="false" ht="15" hidden="false" customHeight="false" outlineLevel="0" collapsed="false">
      <c r="A3277" s="1" t="s">
        <v>621</v>
      </c>
      <c r="B3277" s="1" t="s">
        <v>622</v>
      </c>
      <c r="C3277" s="1" t="s">
        <v>958</v>
      </c>
      <c r="D3277" s="1" t="s">
        <v>959</v>
      </c>
      <c r="E3277" s="1" t="n">
        <v>20171</v>
      </c>
      <c r="F3277" s="1" t="s">
        <v>208</v>
      </c>
      <c r="G3277" s="1" t="s">
        <v>127</v>
      </c>
      <c r="H3277" s="1" t="n">
        <v>2</v>
      </c>
      <c r="I3277" s="1" t="n">
        <v>0</v>
      </c>
      <c r="J3277" s="1" t="n">
        <v>20201</v>
      </c>
      <c r="L3277" s="1" t="str">
        <f aca="false">IF(D3276&lt;&gt;D3277,D3277,"")</f>
        <v/>
      </c>
      <c r="M3277" s="1" t="str">
        <f aca="false">IF(F3276&lt;&gt;F3277,F3277,"")</f>
        <v/>
      </c>
    </row>
    <row r="3278" customFormat="false" ht="15" hidden="false" customHeight="false" outlineLevel="0" collapsed="false">
      <c r="A3278" s="1" t="s">
        <v>647</v>
      </c>
      <c r="B3278" s="1" t="s">
        <v>648</v>
      </c>
      <c r="C3278" s="1" t="s">
        <v>958</v>
      </c>
      <c r="D3278" s="1" t="s">
        <v>959</v>
      </c>
      <c r="E3278" s="1" t="n">
        <v>20171</v>
      </c>
      <c r="F3278" s="1" t="s">
        <v>208</v>
      </c>
      <c r="G3278" s="1" t="s">
        <v>23</v>
      </c>
      <c r="H3278" s="1" t="n">
        <v>0</v>
      </c>
      <c r="I3278" s="1" t="n">
        <v>0</v>
      </c>
      <c r="J3278" s="1" t="n">
        <v>20201</v>
      </c>
      <c r="L3278" s="1" t="str">
        <f aca="false">IF(D3277&lt;&gt;D3278,D3278,"")</f>
        <v/>
      </c>
      <c r="M3278" s="1" t="str">
        <f aca="false">IF(F3277&lt;&gt;F3278,F3278,"")</f>
        <v/>
      </c>
    </row>
    <row r="3279" customFormat="false" ht="15" hidden="false" customHeight="false" outlineLevel="0" collapsed="false">
      <c r="A3279" s="1" t="s">
        <v>657</v>
      </c>
      <c r="B3279" s="1" t="s">
        <v>658</v>
      </c>
      <c r="C3279" s="1" t="s">
        <v>958</v>
      </c>
      <c r="D3279" s="1" t="s">
        <v>959</v>
      </c>
      <c r="E3279" s="1" t="n">
        <v>20171</v>
      </c>
      <c r="F3279" s="1" t="s">
        <v>208</v>
      </c>
      <c r="G3279" s="1" t="s">
        <v>14</v>
      </c>
      <c r="H3279" s="1" t="n">
        <v>4</v>
      </c>
      <c r="I3279" s="1" t="n">
        <v>0</v>
      </c>
      <c r="J3279" s="1" t="n">
        <v>20201</v>
      </c>
      <c r="L3279" s="1" t="str">
        <f aca="false">IF(D3278&lt;&gt;D3279,D3279,"")</f>
        <v/>
      </c>
      <c r="M3279" s="1" t="str">
        <f aca="false">IF(F3278&lt;&gt;F3279,F3279,"")</f>
        <v/>
      </c>
    </row>
    <row r="3280" customFormat="false" ht="15" hidden="false" customHeight="false" outlineLevel="0" collapsed="false">
      <c r="A3280" s="1" t="s">
        <v>822</v>
      </c>
      <c r="B3280" s="1" t="s">
        <v>823</v>
      </c>
      <c r="C3280" s="1" t="s">
        <v>958</v>
      </c>
      <c r="D3280" s="1" t="s">
        <v>959</v>
      </c>
      <c r="E3280" s="1" t="n">
        <v>20171</v>
      </c>
      <c r="F3280" s="1" t="s">
        <v>208</v>
      </c>
      <c r="G3280" s="1" t="s">
        <v>127</v>
      </c>
      <c r="H3280" s="1" t="n">
        <v>2</v>
      </c>
      <c r="I3280" s="1" t="n">
        <v>0</v>
      </c>
      <c r="J3280" s="1" t="n">
        <v>20201</v>
      </c>
      <c r="L3280" s="1" t="str">
        <f aca="false">IF(D3279&lt;&gt;D3280,D3280,"")</f>
        <v/>
      </c>
      <c r="M3280" s="1" t="str">
        <f aca="false">IF(F3279&lt;&gt;F3280,F3280,"")</f>
        <v/>
      </c>
    </row>
    <row r="3281" customFormat="false" ht="15" hidden="false" customHeight="false" outlineLevel="0" collapsed="false">
      <c r="A3281" s="1" t="s">
        <v>687</v>
      </c>
      <c r="B3281" s="1" t="s">
        <v>688</v>
      </c>
      <c r="C3281" s="1" t="s">
        <v>958</v>
      </c>
      <c r="D3281" s="1" t="s">
        <v>959</v>
      </c>
      <c r="E3281" s="1" t="n">
        <v>20171</v>
      </c>
      <c r="F3281" s="1" t="s">
        <v>208</v>
      </c>
      <c r="G3281" s="1" t="s">
        <v>30</v>
      </c>
      <c r="H3281" s="1" t="n">
        <v>1.5</v>
      </c>
      <c r="I3281" s="1" t="n">
        <v>0</v>
      </c>
      <c r="J3281" s="1" t="n">
        <v>20201</v>
      </c>
      <c r="L3281" s="1" t="str">
        <f aca="false">IF(D3280&lt;&gt;D3281,D3281,"")</f>
        <v/>
      </c>
      <c r="M3281" s="1" t="str">
        <f aca="false">IF(F3280&lt;&gt;F3281,F3281,"")</f>
        <v/>
      </c>
    </row>
    <row r="3282" customFormat="false" ht="15" hidden="false" customHeight="false" outlineLevel="0" collapsed="false">
      <c r="A3282" s="1" t="s">
        <v>661</v>
      </c>
      <c r="B3282" s="1" t="s">
        <v>662</v>
      </c>
      <c r="C3282" s="1" t="s">
        <v>958</v>
      </c>
      <c r="D3282" s="1" t="s">
        <v>959</v>
      </c>
      <c r="E3282" s="1" t="n">
        <v>20171</v>
      </c>
      <c r="F3282" s="1" t="s">
        <v>208</v>
      </c>
      <c r="G3282" s="1" t="s">
        <v>14</v>
      </c>
      <c r="H3282" s="1" t="n">
        <v>4</v>
      </c>
      <c r="I3282" s="1" t="n">
        <v>0</v>
      </c>
      <c r="J3282" s="1" t="n">
        <v>20201</v>
      </c>
      <c r="L3282" s="1" t="str">
        <f aca="false">IF(D3281&lt;&gt;D3282,D3282,"")</f>
        <v/>
      </c>
      <c r="M3282" s="1" t="str">
        <f aca="false">IF(F3281&lt;&gt;F3282,F3282,"")</f>
        <v/>
      </c>
    </row>
    <row r="3283" customFormat="false" ht="15" hidden="false" customHeight="false" outlineLevel="0" collapsed="false">
      <c r="A3283" s="1" t="s">
        <v>595</v>
      </c>
      <c r="B3283" s="1" t="s">
        <v>596</v>
      </c>
      <c r="C3283" s="1" t="s">
        <v>958</v>
      </c>
      <c r="D3283" s="1" t="s">
        <v>959</v>
      </c>
      <c r="E3283" s="1" t="n">
        <v>20171</v>
      </c>
      <c r="F3283" s="1" t="s">
        <v>208</v>
      </c>
      <c r="G3283" s="1" t="s">
        <v>14</v>
      </c>
      <c r="H3283" s="1" t="n">
        <v>4</v>
      </c>
      <c r="I3283" s="1" t="n">
        <v>0</v>
      </c>
      <c r="J3283" s="1" t="n">
        <v>20201</v>
      </c>
      <c r="L3283" s="1" t="str">
        <f aca="false">IF(D3282&lt;&gt;D3283,D3283,"")</f>
        <v/>
      </c>
      <c r="M3283" s="1" t="str">
        <f aca="false">IF(F3282&lt;&gt;F3283,F3283,"")</f>
        <v/>
      </c>
    </row>
    <row r="3284" customFormat="false" ht="15" hidden="false" customHeight="false" outlineLevel="0" collapsed="false">
      <c r="A3284" s="1" t="s">
        <v>114</v>
      </c>
      <c r="B3284" s="1" t="s">
        <v>115</v>
      </c>
      <c r="C3284" s="1" t="s">
        <v>958</v>
      </c>
      <c r="D3284" s="1" t="s">
        <v>959</v>
      </c>
      <c r="E3284" s="1" t="n">
        <v>20171</v>
      </c>
      <c r="F3284" s="1" t="s">
        <v>208</v>
      </c>
      <c r="G3284" s="1" t="s">
        <v>14</v>
      </c>
      <c r="H3284" s="1" t="n">
        <v>4</v>
      </c>
      <c r="I3284" s="1" t="n">
        <v>0</v>
      </c>
      <c r="J3284" s="1" t="n">
        <v>20201</v>
      </c>
      <c r="L3284" s="1" t="str">
        <f aca="false">IF(D3283&lt;&gt;D3284,D3284,"")</f>
        <v/>
      </c>
      <c r="M3284" s="1" t="str">
        <f aca="false">IF(F3283&lt;&gt;F3284,F3284,"")</f>
        <v/>
      </c>
    </row>
    <row r="3285" customFormat="false" ht="15" hidden="false" customHeight="false" outlineLevel="0" collapsed="false">
      <c r="A3285" s="1" t="s">
        <v>828</v>
      </c>
      <c r="B3285" s="1" t="s">
        <v>829</v>
      </c>
      <c r="C3285" s="1" t="s">
        <v>958</v>
      </c>
      <c r="D3285" s="1" t="s">
        <v>959</v>
      </c>
      <c r="E3285" s="1" t="n">
        <v>20171</v>
      </c>
      <c r="F3285" s="1" t="s">
        <v>208</v>
      </c>
      <c r="G3285" s="1" t="s">
        <v>101</v>
      </c>
      <c r="H3285" s="1" t="n">
        <v>2.5</v>
      </c>
      <c r="I3285" s="1" t="n">
        <v>0</v>
      </c>
      <c r="J3285" s="1" t="n">
        <v>20201</v>
      </c>
      <c r="L3285" s="1" t="str">
        <f aca="false">IF(D3284&lt;&gt;D3285,D3285,"")</f>
        <v/>
      </c>
      <c r="M3285" s="1" t="str">
        <f aca="false">IF(F3284&lt;&gt;F3285,F3285,"")</f>
        <v/>
      </c>
    </row>
    <row r="3286" customFormat="false" ht="15" hidden="false" customHeight="false" outlineLevel="0" collapsed="false">
      <c r="A3286" s="1" t="s">
        <v>830</v>
      </c>
      <c r="B3286" s="1" t="s">
        <v>831</v>
      </c>
      <c r="C3286" s="1" t="s">
        <v>958</v>
      </c>
      <c r="D3286" s="1" t="s">
        <v>959</v>
      </c>
      <c r="E3286" s="1" t="n">
        <v>20171</v>
      </c>
      <c r="F3286" s="1" t="s">
        <v>208</v>
      </c>
      <c r="G3286" s="1" t="s">
        <v>30</v>
      </c>
      <c r="H3286" s="1" t="n">
        <v>1.5</v>
      </c>
      <c r="I3286" s="1" t="n">
        <v>0</v>
      </c>
      <c r="J3286" s="1" t="n">
        <v>20201</v>
      </c>
      <c r="L3286" s="1" t="str">
        <f aca="false">IF(D3285&lt;&gt;D3286,D3286,"")</f>
        <v/>
      </c>
      <c r="M3286" s="1" t="str">
        <f aca="false">IF(F3285&lt;&gt;F3286,F3286,"")</f>
        <v/>
      </c>
    </row>
    <row r="3287" customFormat="false" ht="15" hidden="false" customHeight="false" outlineLevel="0" collapsed="false">
      <c r="A3287" s="1" t="s">
        <v>689</v>
      </c>
      <c r="B3287" s="1" t="s">
        <v>690</v>
      </c>
      <c r="C3287" s="1" t="s">
        <v>958</v>
      </c>
      <c r="D3287" s="1" t="s">
        <v>959</v>
      </c>
      <c r="E3287" s="1" t="n">
        <v>20171</v>
      </c>
      <c r="F3287" s="1" t="s">
        <v>208</v>
      </c>
      <c r="G3287" s="1" t="s">
        <v>30</v>
      </c>
      <c r="H3287" s="1" t="n">
        <v>1.5</v>
      </c>
      <c r="I3287" s="1" t="n">
        <v>0</v>
      </c>
      <c r="J3287" s="1" t="n">
        <v>20201</v>
      </c>
      <c r="L3287" s="1" t="str">
        <f aca="false">IF(D3286&lt;&gt;D3287,D3287,"")</f>
        <v/>
      </c>
      <c r="M3287" s="1" t="str">
        <f aca="false">IF(F3286&lt;&gt;F3287,F3287,"")</f>
        <v/>
      </c>
    </row>
    <row r="3288" customFormat="false" ht="15" hidden="false" customHeight="false" outlineLevel="0" collapsed="false">
      <c r="A3288" s="1" t="s">
        <v>691</v>
      </c>
      <c r="B3288" s="1" t="s">
        <v>692</v>
      </c>
      <c r="C3288" s="1" t="s">
        <v>958</v>
      </c>
      <c r="D3288" s="1" t="s">
        <v>959</v>
      </c>
      <c r="E3288" s="1" t="n">
        <v>20171</v>
      </c>
      <c r="F3288" s="1" t="s">
        <v>208</v>
      </c>
      <c r="G3288" s="1" t="s">
        <v>14</v>
      </c>
      <c r="H3288" s="1" t="n">
        <v>4</v>
      </c>
      <c r="I3288" s="1" t="n">
        <v>0</v>
      </c>
      <c r="J3288" s="1" t="n">
        <v>20201</v>
      </c>
      <c r="L3288" s="1" t="str">
        <f aca="false">IF(D3287&lt;&gt;D3288,D3288,"")</f>
        <v/>
      </c>
      <c r="M3288" s="1" t="str">
        <f aca="false">IF(F3287&lt;&gt;F3288,F3288,"")</f>
        <v/>
      </c>
    </row>
    <row r="3289" customFormat="false" ht="15" hidden="false" customHeight="false" outlineLevel="0" collapsed="false">
      <c r="A3289" s="1" t="s">
        <v>693</v>
      </c>
      <c r="B3289" s="1" t="s">
        <v>694</v>
      </c>
      <c r="C3289" s="1" t="s">
        <v>958</v>
      </c>
      <c r="D3289" s="1" t="s">
        <v>959</v>
      </c>
      <c r="E3289" s="1" t="n">
        <v>20171</v>
      </c>
      <c r="F3289" s="1" t="s">
        <v>208</v>
      </c>
      <c r="G3289" s="1" t="s">
        <v>23</v>
      </c>
      <c r="H3289" s="1" t="n">
        <v>0</v>
      </c>
      <c r="I3289" s="1" t="n">
        <v>0</v>
      </c>
      <c r="J3289" s="1" t="n">
        <v>20201</v>
      </c>
      <c r="L3289" s="1" t="str">
        <f aca="false">IF(D3288&lt;&gt;D3289,D3289,"")</f>
        <v/>
      </c>
      <c r="M3289" s="1" t="str">
        <f aca="false">IF(F3288&lt;&gt;F3289,F3289,"")</f>
        <v/>
      </c>
    </row>
    <row r="3290" customFormat="false" ht="15" hidden="false" customHeight="false" outlineLevel="0" collapsed="false">
      <c r="A3290" s="1" t="s">
        <v>695</v>
      </c>
      <c r="B3290" s="1" t="s">
        <v>696</v>
      </c>
      <c r="C3290" s="1" t="s">
        <v>958</v>
      </c>
      <c r="D3290" s="1" t="s">
        <v>959</v>
      </c>
      <c r="E3290" s="1" t="n">
        <v>20171</v>
      </c>
      <c r="F3290" s="1" t="s">
        <v>208</v>
      </c>
      <c r="G3290" s="1" t="s">
        <v>14</v>
      </c>
      <c r="H3290" s="1" t="n">
        <v>4</v>
      </c>
      <c r="I3290" s="1" t="n">
        <v>0</v>
      </c>
      <c r="J3290" s="1" t="n">
        <v>20201</v>
      </c>
      <c r="L3290" s="1" t="str">
        <f aca="false">IF(D3289&lt;&gt;D3290,D3290,"")</f>
        <v/>
      </c>
      <c r="M3290" s="1" t="str">
        <f aca="false">IF(F3289&lt;&gt;F3290,F3290,"")</f>
        <v/>
      </c>
    </row>
    <row r="3291" customFormat="false" ht="15" hidden="false" customHeight="false" outlineLevel="0" collapsed="false">
      <c r="A3291" s="1" t="s">
        <v>697</v>
      </c>
      <c r="B3291" s="1" t="s">
        <v>698</v>
      </c>
      <c r="C3291" s="1" t="s">
        <v>958</v>
      </c>
      <c r="D3291" s="1" t="s">
        <v>959</v>
      </c>
      <c r="E3291" s="1" t="n">
        <v>20171</v>
      </c>
      <c r="F3291" s="1" t="s">
        <v>208</v>
      </c>
      <c r="G3291" s="1" t="s">
        <v>14</v>
      </c>
      <c r="H3291" s="1" t="n">
        <v>4</v>
      </c>
      <c r="I3291" s="1" t="n">
        <v>0</v>
      </c>
      <c r="J3291" s="1" t="n">
        <v>20201</v>
      </c>
      <c r="L3291" s="1" t="str">
        <f aca="false">IF(D3290&lt;&gt;D3291,D3291,"")</f>
        <v/>
      </c>
      <c r="M3291" s="1" t="str">
        <f aca="false">IF(F3290&lt;&gt;F3291,F3291,"")</f>
        <v/>
      </c>
    </row>
    <row r="3292" customFormat="false" ht="15" hidden="false" customHeight="false" outlineLevel="0" collapsed="false">
      <c r="A3292" s="1" t="s">
        <v>699</v>
      </c>
      <c r="B3292" s="1" t="s">
        <v>700</v>
      </c>
      <c r="C3292" s="1" t="s">
        <v>958</v>
      </c>
      <c r="D3292" s="1" t="s">
        <v>959</v>
      </c>
      <c r="E3292" s="1" t="n">
        <v>20171</v>
      </c>
      <c r="F3292" s="1" t="s">
        <v>208</v>
      </c>
      <c r="G3292" s="1" t="s">
        <v>14</v>
      </c>
      <c r="H3292" s="1" t="n">
        <v>4</v>
      </c>
      <c r="I3292" s="1" t="n">
        <v>0</v>
      </c>
      <c r="J3292" s="1" t="n">
        <v>20201</v>
      </c>
      <c r="L3292" s="1" t="str">
        <f aca="false">IF(D3291&lt;&gt;D3292,D3292,"")</f>
        <v/>
      </c>
      <c r="M3292" s="1" t="str">
        <f aca="false">IF(F3291&lt;&gt;F3292,F3292,"")</f>
        <v/>
      </c>
    </row>
    <row r="3293" customFormat="false" ht="15" hidden="false" customHeight="false" outlineLevel="0" collapsed="false">
      <c r="A3293" s="1" t="s">
        <v>703</v>
      </c>
      <c r="B3293" s="1" t="s">
        <v>704</v>
      </c>
      <c r="C3293" s="1" t="s">
        <v>958</v>
      </c>
      <c r="D3293" s="1" t="s">
        <v>959</v>
      </c>
      <c r="E3293" s="1" t="n">
        <v>20171</v>
      </c>
      <c r="F3293" s="1" t="s">
        <v>208</v>
      </c>
      <c r="G3293" s="1" t="s">
        <v>30</v>
      </c>
      <c r="H3293" s="1" t="n">
        <v>1.5</v>
      </c>
      <c r="I3293" s="1" t="n">
        <v>0</v>
      </c>
      <c r="J3293" s="1" t="n">
        <v>20201</v>
      </c>
      <c r="L3293" s="1" t="str">
        <f aca="false">IF(D3292&lt;&gt;D3293,D3293,"")</f>
        <v/>
      </c>
      <c r="M3293" s="1" t="str">
        <f aca="false">IF(F3292&lt;&gt;F3293,F3293,"")</f>
        <v/>
      </c>
    </row>
    <row r="3294" customFormat="false" ht="15" hidden="false" customHeight="false" outlineLevel="0" collapsed="false">
      <c r="A3294" s="1" t="s">
        <v>705</v>
      </c>
      <c r="B3294" s="1" t="s">
        <v>706</v>
      </c>
      <c r="C3294" s="1" t="s">
        <v>958</v>
      </c>
      <c r="D3294" s="1" t="s">
        <v>959</v>
      </c>
      <c r="E3294" s="1" t="n">
        <v>20171</v>
      </c>
      <c r="F3294" s="1" t="s">
        <v>208</v>
      </c>
      <c r="G3294" s="1" t="s">
        <v>127</v>
      </c>
      <c r="H3294" s="1" t="n">
        <v>2</v>
      </c>
      <c r="I3294" s="1" t="n">
        <v>0</v>
      </c>
      <c r="J3294" s="1" t="n">
        <v>20201</v>
      </c>
      <c r="L3294" s="1" t="str">
        <f aca="false">IF(D3293&lt;&gt;D3294,D3294,"")</f>
        <v/>
      </c>
      <c r="M3294" s="1" t="str">
        <f aca="false">IF(F3293&lt;&gt;F3294,F3294,"")</f>
        <v/>
      </c>
    </row>
    <row r="3295" customFormat="false" ht="15" hidden="false" customHeight="false" outlineLevel="0" collapsed="false">
      <c r="A3295" s="1" t="s">
        <v>707</v>
      </c>
      <c r="B3295" s="1" t="s">
        <v>708</v>
      </c>
      <c r="C3295" s="1" t="s">
        <v>958</v>
      </c>
      <c r="D3295" s="1" t="s">
        <v>959</v>
      </c>
      <c r="E3295" s="1" t="n">
        <v>20171</v>
      </c>
      <c r="F3295" s="1" t="s">
        <v>208</v>
      </c>
      <c r="G3295" s="1" t="s">
        <v>14</v>
      </c>
      <c r="H3295" s="1" t="n">
        <v>4</v>
      </c>
      <c r="I3295" s="1" t="n">
        <v>0</v>
      </c>
      <c r="J3295" s="1" t="n">
        <v>20201</v>
      </c>
      <c r="L3295" s="1" t="str">
        <f aca="false">IF(D3294&lt;&gt;D3295,D3295,"")</f>
        <v/>
      </c>
      <c r="M3295" s="1" t="str">
        <f aca="false">IF(F3294&lt;&gt;F3295,F3295,"")</f>
        <v/>
      </c>
    </row>
    <row r="3296" customFormat="false" ht="15" hidden="false" customHeight="false" outlineLevel="0" collapsed="false">
      <c r="A3296" s="1" t="s">
        <v>709</v>
      </c>
      <c r="B3296" s="1" t="s">
        <v>710</v>
      </c>
      <c r="C3296" s="1" t="s">
        <v>958</v>
      </c>
      <c r="D3296" s="1" t="s">
        <v>959</v>
      </c>
      <c r="E3296" s="1" t="n">
        <v>20171</v>
      </c>
      <c r="F3296" s="1" t="s">
        <v>208</v>
      </c>
      <c r="G3296" s="1" t="s">
        <v>18</v>
      </c>
      <c r="H3296" s="1" t="n">
        <v>3</v>
      </c>
      <c r="I3296" s="1" t="n">
        <v>0</v>
      </c>
      <c r="J3296" s="1" t="n">
        <v>20201</v>
      </c>
      <c r="L3296" s="1" t="str">
        <f aca="false">IF(D3295&lt;&gt;D3296,D3296,"")</f>
        <v/>
      </c>
      <c r="M3296" s="1" t="str">
        <f aca="false">IF(F3295&lt;&gt;F3296,F3296,"")</f>
        <v/>
      </c>
    </row>
    <row r="3297" customFormat="false" ht="15" hidden="false" customHeight="false" outlineLevel="0" collapsed="false">
      <c r="A3297" s="1" t="s">
        <v>711</v>
      </c>
      <c r="B3297" s="1" t="s">
        <v>712</v>
      </c>
      <c r="C3297" s="1" t="s">
        <v>958</v>
      </c>
      <c r="D3297" s="1" t="s">
        <v>959</v>
      </c>
      <c r="E3297" s="1" t="n">
        <v>20171</v>
      </c>
      <c r="F3297" s="1" t="s">
        <v>208</v>
      </c>
      <c r="G3297" s="1" t="s">
        <v>23</v>
      </c>
      <c r="H3297" s="1" t="n">
        <v>0</v>
      </c>
      <c r="I3297" s="1" t="n">
        <v>0</v>
      </c>
      <c r="J3297" s="1" t="n">
        <v>20201</v>
      </c>
      <c r="L3297" s="1" t="str">
        <f aca="false">IF(D3296&lt;&gt;D3297,D3297,"")</f>
        <v/>
      </c>
      <c r="M3297" s="1" t="str">
        <f aca="false">IF(F3296&lt;&gt;F3297,F3297,"")</f>
        <v/>
      </c>
    </row>
    <row r="3298" customFormat="false" ht="15" hidden="false" customHeight="false" outlineLevel="0" collapsed="false">
      <c r="A3298" s="1" t="s">
        <v>713</v>
      </c>
      <c r="B3298" s="1" t="s">
        <v>714</v>
      </c>
      <c r="C3298" s="1" t="s">
        <v>958</v>
      </c>
      <c r="D3298" s="1" t="s">
        <v>959</v>
      </c>
      <c r="E3298" s="1" t="n">
        <v>20171</v>
      </c>
      <c r="F3298" s="1" t="s">
        <v>208</v>
      </c>
      <c r="G3298" s="1" t="s">
        <v>23</v>
      </c>
      <c r="H3298" s="1" t="n">
        <v>0</v>
      </c>
      <c r="I3298" s="1" t="n">
        <v>0</v>
      </c>
      <c r="J3298" s="1" t="n">
        <v>20201</v>
      </c>
      <c r="L3298" s="1" t="str">
        <f aca="false">IF(D3297&lt;&gt;D3298,D3298,"")</f>
        <v/>
      </c>
      <c r="M3298" s="1" t="str">
        <f aca="false">IF(F3297&lt;&gt;F3298,F3298,"")</f>
        <v/>
      </c>
    </row>
    <row r="3299" customFormat="false" ht="15" hidden="false" customHeight="false" outlineLevel="0" collapsed="false">
      <c r="A3299" s="1" t="s">
        <v>717</v>
      </c>
      <c r="B3299" s="1" t="s">
        <v>718</v>
      </c>
      <c r="C3299" s="1" t="s">
        <v>958</v>
      </c>
      <c r="D3299" s="1" t="s">
        <v>959</v>
      </c>
      <c r="E3299" s="1" t="n">
        <v>20171</v>
      </c>
      <c r="F3299" s="1" t="s">
        <v>208</v>
      </c>
      <c r="G3299" s="1" t="s">
        <v>23</v>
      </c>
      <c r="H3299" s="1" t="n">
        <v>0</v>
      </c>
      <c r="I3299" s="1" t="n">
        <v>0</v>
      </c>
      <c r="J3299" s="1" t="n">
        <v>20201</v>
      </c>
      <c r="L3299" s="1" t="str">
        <f aca="false">IF(D3298&lt;&gt;D3299,D3299,"")</f>
        <v/>
      </c>
      <c r="M3299" s="1" t="str">
        <f aca="false">IF(F3298&lt;&gt;F3299,F3299,"")</f>
        <v/>
      </c>
    </row>
    <row r="3300" customFormat="false" ht="15" hidden="false" customHeight="false" outlineLevel="0" collapsed="false">
      <c r="A3300" s="1" t="s">
        <v>719</v>
      </c>
      <c r="B3300" s="1" t="s">
        <v>720</v>
      </c>
      <c r="C3300" s="1" t="s">
        <v>958</v>
      </c>
      <c r="D3300" s="1" t="s">
        <v>959</v>
      </c>
      <c r="E3300" s="1" t="n">
        <v>20171</v>
      </c>
      <c r="F3300" s="1" t="s">
        <v>208</v>
      </c>
      <c r="G3300" s="1" t="s">
        <v>15</v>
      </c>
      <c r="H3300" s="1" t="n">
        <v>3.5</v>
      </c>
      <c r="I3300" s="1" t="n">
        <v>0</v>
      </c>
      <c r="J3300" s="1" t="n">
        <v>20201</v>
      </c>
      <c r="L3300" s="1" t="str">
        <f aca="false">IF(D3299&lt;&gt;D3300,D3300,"")</f>
        <v/>
      </c>
      <c r="M3300" s="1" t="str">
        <f aca="false">IF(F3299&lt;&gt;F3300,F3300,"")</f>
        <v/>
      </c>
    </row>
    <row r="3301" customFormat="false" ht="15" hidden="false" customHeight="false" outlineLevel="0" collapsed="false">
      <c r="A3301" s="1" t="s">
        <v>663</v>
      </c>
      <c r="B3301" s="1" t="s">
        <v>664</v>
      </c>
      <c r="C3301" s="1" t="s">
        <v>958</v>
      </c>
      <c r="D3301" s="1" t="s">
        <v>959</v>
      </c>
      <c r="E3301" s="1" t="n">
        <v>20171</v>
      </c>
      <c r="F3301" s="1" t="s">
        <v>208</v>
      </c>
      <c r="G3301" s="1" t="s">
        <v>30</v>
      </c>
      <c r="H3301" s="1" t="n">
        <v>1.5</v>
      </c>
      <c r="I3301" s="1" t="n">
        <v>0</v>
      </c>
      <c r="J3301" s="1" t="n">
        <v>20201</v>
      </c>
      <c r="L3301" s="1" t="str">
        <f aca="false">IF(D3300&lt;&gt;D3301,D3301,"")</f>
        <v/>
      </c>
      <c r="M3301" s="1" t="str">
        <f aca="false">IF(F3300&lt;&gt;F3301,F3301,"")</f>
        <v/>
      </c>
    </row>
    <row r="3302" customFormat="false" ht="15" hidden="false" customHeight="false" outlineLevel="0" collapsed="false">
      <c r="A3302" s="1" t="s">
        <v>721</v>
      </c>
      <c r="B3302" s="1" t="s">
        <v>722</v>
      </c>
      <c r="C3302" s="1" t="s">
        <v>958</v>
      </c>
      <c r="D3302" s="1" t="s">
        <v>959</v>
      </c>
      <c r="E3302" s="1" t="n">
        <v>20171</v>
      </c>
      <c r="F3302" s="1" t="s">
        <v>208</v>
      </c>
      <c r="G3302" s="1" t="s">
        <v>14</v>
      </c>
      <c r="H3302" s="1" t="n">
        <v>4</v>
      </c>
      <c r="I3302" s="1" t="n">
        <v>0</v>
      </c>
      <c r="J3302" s="1" t="n">
        <v>20201</v>
      </c>
      <c r="L3302" s="1" t="str">
        <f aca="false">IF(D3301&lt;&gt;D3302,D3302,"")</f>
        <v/>
      </c>
      <c r="M3302" s="1" t="str">
        <f aca="false">IF(F3301&lt;&gt;F3302,F3302,"")</f>
        <v/>
      </c>
    </row>
    <row r="3303" customFormat="false" ht="15" hidden="false" customHeight="false" outlineLevel="0" collapsed="false">
      <c r="A3303" s="1" t="s">
        <v>665</v>
      </c>
      <c r="B3303" s="1" t="s">
        <v>666</v>
      </c>
      <c r="C3303" s="1" t="s">
        <v>958</v>
      </c>
      <c r="D3303" s="1" t="s">
        <v>959</v>
      </c>
      <c r="E3303" s="1" t="n">
        <v>20171</v>
      </c>
      <c r="F3303" s="1" t="s">
        <v>208</v>
      </c>
      <c r="G3303" s="1" t="s">
        <v>23</v>
      </c>
      <c r="H3303" s="1" t="n">
        <v>0</v>
      </c>
      <c r="I3303" s="1" t="n">
        <v>0</v>
      </c>
      <c r="J3303" s="1" t="n">
        <v>20201</v>
      </c>
      <c r="L3303" s="1" t="str">
        <f aca="false">IF(D3302&lt;&gt;D3303,D3303,"")</f>
        <v/>
      </c>
      <c r="M3303" s="1" t="str">
        <f aca="false">IF(F3302&lt;&gt;F3303,F3303,"")</f>
        <v/>
      </c>
    </row>
    <row r="3304" customFormat="false" ht="15" hidden="false" customHeight="false" outlineLevel="0" collapsed="false">
      <c r="A3304" s="1" t="s">
        <v>723</v>
      </c>
      <c r="B3304" s="1" t="s">
        <v>724</v>
      </c>
      <c r="C3304" s="1" t="s">
        <v>958</v>
      </c>
      <c r="D3304" s="1" t="s">
        <v>959</v>
      </c>
      <c r="E3304" s="1" t="n">
        <v>20171</v>
      </c>
      <c r="F3304" s="1" t="s">
        <v>208</v>
      </c>
      <c r="G3304" s="1" t="s">
        <v>14</v>
      </c>
      <c r="H3304" s="1" t="n">
        <v>4</v>
      </c>
      <c r="I3304" s="1" t="n">
        <v>0</v>
      </c>
      <c r="J3304" s="1" t="n">
        <v>20201</v>
      </c>
      <c r="L3304" s="1" t="str">
        <f aca="false">IF(D3303&lt;&gt;D3304,D3304,"")</f>
        <v/>
      </c>
      <c r="M3304" s="1" t="str">
        <f aca="false">IF(F3303&lt;&gt;F3304,F3304,"")</f>
        <v/>
      </c>
    </row>
    <row r="3305" customFormat="false" ht="15" hidden="false" customHeight="false" outlineLevel="0" collapsed="false">
      <c r="A3305" s="1" t="s">
        <v>725</v>
      </c>
      <c r="B3305" s="1" t="s">
        <v>726</v>
      </c>
      <c r="C3305" s="1" t="s">
        <v>958</v>
      </c>
      <c r="D3305" s="1" t="s">
        <v>959</v>
      </c>
      <c r="E3305" s="1" t="n">
        <v>20171</v>
      </c>
      <c r="F3305" s="1" t="s">
        <v>208</v>
      </c>
      <c r="G3305" s="1" t="s">
        <v>30</v>
      </c>
      <c r="H3305" s="1" t="n">
        <v>1.5</v>
      </c>
      <c r="I3305" s="1" t="n">
        <v>0</v>
      </c>
      <c r="J3305" s="1" t="n">
        <v>20201</v>
      </c>
      <c r="L3305" s="1" t="str">
        <f aca="false">IF(D3304&lt;&gt;D3305,D3305,"")</f>
        <v/>
      </c>
      <c r="M3305" s="1" t="str">
        <f aca="false">IF(F3304&lt;&gt;F3305,F3305,"")</f>
        <v/>
      </c>
    </row>
    <row r="3306" customFormat="false" ht="15" hidden="false" customHeight="false" outlineLevel="0" collapsed="false">
      <c r="A3306" s="1" t="s">
        <v>882</v>
      </c>
      <c r="B3306" s="1" t="s">
        <v>883</v>
      </c>
      <c r="C3306" s="1" t="s">
        <v>958</v>
      </c>
      <c r="D3306" s="1" t="s">
        <v>959</v>
      </c>
      <c r="E3306" s="1" t="n">
        <v>20171</v>
      </c>
      <c r="F3306" s="1" t="s">
        <v>208</v>
      </c>
      <c r="G3306" s="1" t="s">
        <v>23</v>
      </c>
      <c r="H3306" s="1" t="n">
        <v>0</v>
      </c>
      <c r="I3306" s="1" t="n">
        <v>0</v>
      </c>
      <c r="J3306" s="1" t="n">
        <v>20201</v>
      </c>
      <c r="L3306" s="1" t="str">
        <f aca="false">IF(D3305&lt;&gt;D3306,D3306,"")</f>
        <v/>
      </c>
      <c r="M3306" s="1" t="str">
        <f aca="false">IF(F3305&lt;&gt;F3306,F3306,"")</f>
        <v/>
      </c>
    </row>
    <row r="3307" customFormat="false" ht="15" hidden="false" customHeight="false" outlineLevel="0" collapsed="false">
      <c r="A3307" s="1" t="s">
        <v>912</v>
      </c>
      <c r="B3307" s="1" t="s">
        <v>913</v>
      </c>
      <c r="C3307" s="1" t="s">
        <v>960</v>
      </c>
      <c r="D3307" s="1" t="s">
        <v>961</v>
      </c>
      <c r="E3307" s="1" t="n">
        <v>20171</v>
      </c>
      <c r="F3307" s="1" t="s">
        <v>208</v>
      </c>
      <c r="G3307" s="1" t="s">
        <v>15</v>
      </c>
      <c r="H3307" s="1" t="n">
        <v>3.5</v>
      </c>
      <c r="I3307" s="1" t="n">
        <v>0</v>
      </c>
      <c r="J3307" s="1" t="n">
        <v>20201</v>
      </c>
      <c r="L3307" s="1" t="str">
        <f aca="false">IF(D3306&lt;&gt;D3307,D3307,"")</f>
        <v>TEKNIK NEURO FUZZY</v>
      </c>
      <c r="M3307" s="1" t="str">
        <f aca="false">IF(F3306&lt;&gt;F3307,F3307,"")</f>
        <v/>
      </c>
    </row>
    <row r="3308" customFormat="false" ht="15" hidden="false" customHeight="false" outlineLevel="0" collapsed="false">
      <c r="A3308" s="1" t="s">
        <v>521</v>
      </c>
      <c r="B3308" s="1" t="s">
        <v>522</v>
      </c>
      <c r="C3308" s="1" t="s">
        <v>960</v>
      </c>
      <c r="D3308" s="1" t="s">
        <v>961</v>
      </c>
      <c r="E3308" s="1" t="n">
        <v>20171</v>
      </c>
      <c r="F3308" s="1" t="s">
        <v>208</v>
      </c>
      <c r="G3308" s="1" t="s">
        <v>15</v>
      </c>
      <c r="H3308" s="1" t="n">
        <v>3.5</v>
      </c>
      <c r="I3308" s="1" t="n">
        <v>0</v>
      </c>
      <c r="J3308" s="1" t="n">
        <v>20201</v>
      </c>
      <c r="L3308" s="1" t="str">
        <f aca="false">IF(D3307&lt;&gt;D3308,D3308,"")</f>
        <v/>
      </c>
      <c r="M3308" s="1" t="str">
        <f aca="false">IF(F3307&lt;&gt;F3308,F3308,"")</f>
        <v/>
      </c>
    </row>
    <row r="3309" customFormat="false" ht="15" hidden="false" customHeight="false" outlineLevel="0" collapsed="false">
      <c r="A3309" s="1" t="s">
        <v>794</v>
      </c>
      <c r="B3309" s="1" t="s">
        <v>795</v>
      </c>
      <c r="C3309" s="1" t="s">
        <v>960</v>
      </c>
      <c r="D3309" s="1" t="s">
        <v>961</v>
      </c>
      <c r="E3309" s="1" t="n">
        <v>20171</v>
      </c>
      <c r="F3309" s="1" t="s">
        <v>208</v>
      </c>
      <c r="G3309" s="1" t="s">
        <v>14</v>
      </c>
      <c r="H3309" s="1" t="n">
        <v>4</v>
      </c>
      <c r="I3309" s="1" t="n">
        <v>0</v>
      </c>
      <c r="J3309" s="1" t="n">
        <v>20201</v>
      </c>
      <c r="L3309" s="1" t="str">
        <f aca="false">IF(D3308&lt;&gt;D3309,D3309,"")</f>
        <v/>
      </c>
      <c r="M3309" s="1" t="str">
        <f aca="false">IF(F3308&lt;&gt;F3309,F3309,"")</f>
        <v/>
      </c>
    </row>
    <row r="3310" customFormat="false" ht="15" hidden="false" customHeight="false" outlineLevel="0" collapsed="false">
      <c r="A3310" s="1" t="s">
        <v>844</v>
      </c>
      <c r="B3310" s="1" t="s">
        <v>845</v>
      </c>
      <c r="C3310" s="1" t="s">
        <v>960</v>
      </c>
      <c r="D3310" s="1" t="s">
        <v>961</v>
      </c>
      <c r="E3310" s="1" t="n">
        <v>20171</v>
      </c>
      <c r="F3310" s="1" t="s">
        <v>208</v>
      </c>
      <c r="G3310" s="1" t="s">
        <v>14</v>
      </c>
      <c r="H3310" s="1" t="n">
        <v>4</v>
      </c>
      <c r="I3310" s="1" t="n">
        <v>0</v>
      </c>
      <c r="J3310" s="1" t="n">
        <v>20201</v>
      </c>
      <c r="L3310" s="1" t="str">
        <f aca="false">IF(D3309&lt;&gt;D3310,D3310,"")</f>
        <v/>
      </c>
      <c r="M3310" s="1" t="str">
        <f aca="false">IF(F3309&lt;&gt;F3310,F3310,"")</f>
        <v/>
      </c>
    </row>
    <row r="3311" customFormat="false" ht="15" hidden="false" customHeight="false" outlineLevel="0" collapsed="false">
      <c r="A3311" s="1" t="s">
        <v>587</v>
      </c>
      <c r="B3311" s="1" t="s">
        <v>588</v>
      </c>
      <c r="C3311" s="1" t="s">
        <v>960</v>
      </c>
      <c r="D3311" s="1" t="s">
        <v>961</v>
      </c>
      <c r="E3311" s="1" t="n">
        <v>20171</v>
      </c>
      <c r="F3311" s="1" t="s">
        <v>208</v>
      </c>
      <c r="G3311" s="1" t="s">
        <v>18</v>
      </c>
      <c r="H3311" s="1" t="n">
        <v>3</v>
      </c>
      <c r="I3311" s="1" t="n">
        <v>0</v>
      </c>
      <c r="J3311" s="1" t="n">
        <v>20201</v>
      </c>
      <c r="L3311" s="1" t="str">
        <f aca="false">IF(D3310&lt;&gt;D3311,D3311,"")</f>
        <v/>
      </c>
      <c r="M3311" s="1" t="str">
        <f aca="false">IF(F3310&lt;&gt;F3311,F3311,"")</f>
        <v/>
      </c>
    </row>
    <row r="3312" customFormat="false" ht="15" hidden="false" customHeight="false" outlineLevel="0" collapsed="false">
      <c r="A3312" s="1" t="s">
        <v>814</v>
      </c>
      <c r="B3312" s="1" t="s">
        <v>815</v>
      </c>
      <c r="C3312" s="1" t="s">
        <v>960</v>
      </c>
      <c r="D3312" s="1" t="s">
        <v>961</v>
      </c>
      <c r="E3312" s="1" t="n">
        <v>20171</v>
      </c>
      <c r="F3312" s="1" t="s">
        <v>208</v>
      </c>
      <c r="G3312" s="1" t="s">
        <v>14</v>
      </c>
      <c r="H3312" s="1" t="n">
        <v>4</v>
      </c>
      <c r="I3312" s="1" t="n">
        <v>0</v>
      </c>
      <c r="J3312" s="1" t="n">
        <v>20201</v>
      </c>
      <c r="L3312" s="1" t="str">
        <f aca="false">IF(D3311&lt;&gt;D3312,D3312,"")</f>
        <v/>
      </c>
      <c r="M3312" s="1" t="str">
        <f aca="false">IF(F3311&lt;&gt;F3312,F3312,"")</f>
        <v/>
      </c>
    </row>
    <row r="3313" customFormat="false" ht="15" hidden="false" customHeight="false" outlineLevel="0" collapsed="false">
      <c r="A3313" s="1" t="s">
        <v>512</v>
      </c>
      <c r="B3313" s="1" t="s">
        <v>513</v>
      </c>
      <c r="C3313" s="1" t="s">
        <v>960</v>
      </c>
      <c r="D3313" s="1" t="s">
        <v>961</v>
      </c>
      <c r="E3313" s="1" t="n">
        <v>20171</v>
      </c>
      <c r="F3313" s="1" t="s">
        <v>208</v>
      </c>
      <c r="G3313" s="1" t="s">
        <v>14</v>
      </c>
      <c r="H3313" s="1" t="n">
        <v>4</v>
      </c>
      <c r="I3313" s="1" t="n">
        <v>0</v>
      </c>
      <c r="J3313" s="1" t="n">
        <v>20201</v>
      </c>
      <c r="L3313" s="1" t="str">
        <f aca="false">IF(D3312&lt;&gt;D3313,D3313,"")</f>
        <v/>
      </c>
      <c r="M3313" s="1" t="str">
        <f aca="false">IF(F3312&lt;&gt;F3313,F3313,"")</f>
        <v/>
      </c>
    </row>
    <row r="3314" customFormat="false" ht="15" hidden="false" customHeight="false" outlineLevel="0" collapsed="false">
      <c r="A3314" s="1" t="s">
        <v>818</v>
      </c>
      <c r="B3314" s="1" t="s">
        <v>819</v>
      </c>
      <c r="C3314" s="1" t="s">
        <v>960</v>
      </c>
      <c r="D3314" s="1" t="s">
        <v>961</v>
      </c>
      <c r="E3314" s="1" t="n">
        <v>20171</v>
      </c>
      <c r="F3314" s="1" t="s">
        <v>208</v>
      </c>
      <c r="G3314" s="1" t="s">
        <v>15</v>
      </c>
      <c r="H3314" s="1" t="n">
        <v>3.5</v>
      </c>
      <c r="I3314" s="1" t="n">
        <v>0</v>
      </c>
      <c r="J3314" s="1" t="n">
        <v>20201</v>
      </c>
      <c r="L3314" s="1" t="str">
        <f aca="false">IF(D3313&lt;&gt;D3314,D3314,"")</f>
        <v/>
      </c>
      <c r="M3314" s="1" t="str">
        <f aca="false">IF(F3313&lt;&gt;F3314,F3314,"")</f>
        <v/>
      </c>
    </row>
    <row r="3315" customFormat="false" ht="15" hidden="false" customHeight="false" outlineLevel="0" collapsed="false">
      <c r="A3315" s="1" t="s">
        <v>673</v>
      </c>
      <c r="B3315" s="1" t="s">
        <v>674</v>
      </c>
      <c r="C3315" s="1" t="s">
        <v>960</v>
      </c>
      <c r="D3315" s="1" t="s">
        <v>961</v>
      </c>
      <c r="E3315" s="1" t="n">
        <v>20171</v>
      </c>
      <c r="F3315" s="1" t="s">
        <v>208</v>
      </c>
      <c r="G3315" s="1" t="s">
        <v>14</v>
      </c>
      <c r="H3315" s="1" t="n">
        <v>4</v>
      </c>
      <c r="I3315" s="1" t="n">
        <v>0</v>
      </c>
      <c r="J3315" s="1" t="n">
        <v>20201</v>
      </c>
      <c r="L3315" s="1" t="str">
        <f aca="false">IF(D3314&lt;&gt;D3315,D3315,"")</f>
        <v/>
      </c>
      <c r="M3315" s="1" t="str">
        <f aca="false">IF(F3314&lt;&gt;F3315,F3315,"")</f>
        <v/>
      </c>
    </row>
    <row r="3316" customFormat="false" ht="15" hidden="false" customHeight="false" outlineLevel="0" collapsed="false">
      <c r="A3316" s="1" t="s">
        <v>820</v>
      </c>
      <c r="B3316" s="1" t="s">
        <v>821</v>
      </c>
      <c r="C3316" s="1" t="s">
        <v>960</v>
      </c>
      <c r="D3316" s="1" t="s">
        <v>961</v>
      </c>
      <c r="E3316" s="1" t="n">
        <v>20171</v>
      </c>
      <c r="F3316" s="1" t="s">
        <v>208</v>
      </c>
      <c r="G3316" s="1" t="s">
        <v>14</v>
      </c>
      <c r="H3316" s="1" t="n">
        <v>4</v>
      </c>
      <c r="I3316" s="1" t="n">
        <v>0</v>
      </c>
      <c r="J3316" s="1" t="n">
        <v>20201</v>
      </c>
      <c r="L3316" s="1" t="str">
        <f aca="false">IF(D3315&lt;&gt;D3316,D3316,"")</f>
        <v/>
      </c>
      <c r="M3316" s="1" t="str">
        <f aca="false">IF(F3315&lt;&gt;F3316,F3316,"")</f>
        <v/>
      </c>
    </row>
    <row r="3317" customFormat="false" ht="15" hidden="false" customHeight="false" outlineLevel="0" collapsed="false">
      <c r="A3317" s="1" t="s">
        <v>659</v>
      </c>
      <c r="B3317" s="1" t="s">
        <v>660</v>
      </c>
      <c r="C3317" s="1" t="s">
        <v>960</v>
      </c>
      <c r="D3317" s="1" t="s">
        <v>961</v>
      </c>
      <c r="E3317" s="1" t="n">
        <v>20171</v>
      </c>
      <c r="F3317" s="1" t="s">
        <v>208</v>
      </c>
      <c r="G3317" s="1" t="s">
        <v>14</v>
      </c>
      <c r="H3317" s="1" t="n">
        <v>4</v>
      </c>
      <c r="I3317" s="1" t="n">
        <v>0</v>
      </c>
      <c r="J3317" s="1" t="n">
        <v>20201</v>
      </c>
      <c r="L3317" s="1" t="str">
        <f aca="false">IF(D3316&lt;&gt;D3317,D3317,"")</f>
        <v/>
      </c>
      <c r="M3317" s="1" t="str">
        <f aca="false">IF(F3316&lt;&gt;F3317,F3317,"")</f>
        <v/>
      </c>
    </row>
    <row r="3318" customFormat="false" ht="15" hidden="false" customHeight="false" outlineLevel="0" collapsed="false">
      <c r="A3318" s="1" t="s">
        <v>615</v>
      </c>
      <c r="B3318" s="1" t="s">
        <v>616</v>
      </c>
      <c r="C3318" s="1" t="s">
        <v>960</v>
      </c>
      <c r="D3318" s="1" t="s">
        <v>961</v>
      </c>
      <c r="E3318" s="1" t="n">
        <v>20171</v>
      </c>
      <c r="F3318" s="1" t="s">
        <v>208</v>
      </c>
      <c r="G3318" s="1" t="s">
        <v>14</v>
      </c>
      <c r="H3318" s="1" t="n">
        <v>4</v>
      </c>
      <c r="I3318" s="1" t="n">
        <v>0</v>
      </c>
      <c r="J3318" s="1" t="n">
        <v>20201</v>
      </c>
      <c r="L3318" s="1" t="str">
        <f aca="false">IF(D3317&lt;&gt;D3318,D3318,"")</f>
        <v/>
      </c>
      <c r="M3318" s="1" t="str">
        <f aca="false">IF(F3317&lt;&gt;F3318,F3318,"")</f>
        <v/>
      </c>
    </row>
    <row r="3319" customFormat="false" ht="15" hidden="false" customHeight="false" outlineLevel="0" collapsed="false">
      <c r="A3319" s="1" t="s">
        <v>824</v>
      </c>
      <c r="B3319" s="1" t="s">
        <v>825</v>
      </c>
      <c r="C3319" s="1" t="s">
        <v>960</v>
      </c>
      <c r="D3319" s="1" t="s">
        <v>961</v>
      </c>
      <c r="E3319" s="1" t="n">
        <v>20171</v>
      </c>
      <c r="F3319" s="1" t="s">
        <v>208</v>
      </c>
      <c r="G3319" s="1" t="s">
        <v>14</v>
      </c>
      <c r="H3319" s="1" t="n">
        <v>4</v>
      </c>
      <c r="I3319" s="1" t="n">
        <v>0</v>
      </c>
      <c r="J3319" s="1" t="n">
        <v>20201</v>
      </c>
      <c r="L3319" s="1" t="str">
        <f aca="false">IF(D3318&lt;&gt;D3319,D3319,"")</f>
        <v/>
      </c>
      <c r="M3319" s="1" t="str">
        <f aca="false">IF(F3318&lt;&gt;F3319,F3319,"")</f>
        <v/>
      </c>
    </row>
    <row r="3320" customFormat="false" ht="15" hidden="false" customHeight="false" outlineLevel="0" collapsed="false">
      <c r="A3320" s="1" t="s">
        <v>649</v>
      </c>
      <c r="B3320" s="1" t="s">
        <v>650</v>
      </c>
      <c r="C3320" s="1" t="s">
        <v>962</v>
      </c>
      <c r="D3320" s="1" t="s">
        <v>963</v>
      </c>
      <c r="E3320" s="1" t="n">
        <v>20171</v>
      </c>
      <c r="F3320" s="1" t="s">
        <v>208</v>
      </c>
      <c r="G3320" s="1" t="s">
        <v>18</v>
      </c>
      <c r="H3320" s="1" t="n">
        <v>3</v>
      </c>
      <c r="I3320" s="1" t="n">
        <v>0</v>
      </c>
      <c r="J3320" s="1" t="n">
        <v>20201</v>
      </c>
      <c r="L3320" s="1" t="str">
        <f aca="false">IF(D3319&lt;&gt;D3320,D3320,"")</f>
        <v>TELEMETRI</v>
      </c>
      <c r="M3320" s="1" t="str">
        <f aca="false">IF(F3319&lt;&gt;F3320,F3320,"")</f>
        <v/>
      </c>
    </row>
    <row r="3321" customFormat="false" ht="15" hidden="false" customHeight="false" outlineLevel="0" collapsed="false">
      <c r="A3321" s="1" t="s">
        <v>777</v>
      </c>
      <c r="B3321" s="1" t="s">
        <v>778</v>
      </c>
      <c r="C3321" s="1" t="s">
        <v>962</v>
      </c>
      <c r="D3321" s="1" t="s">
        <v>963</v>
      </c>
      <c r="E3321" s="1" t="n">
        <v>20171</v>
      </c>
      <c r="F3321" s="1" t="s">
        <v>208</v>
      </c>
      <c r="G3321" s="1" t="s">
        <v>18</v>
      </c>
      <c r="H3321" s="1" t="n">
        <v>3</v>
      </c>
      <c r="I3321" s="1" t="n">
        <v>0</v>
      </c>
      <c r="J3321" s="1" t="n">
        <v>20201</v>
      </c>
      <c r="L3321" s="1" t="str">
        <f aca="false">IF(D3320&lt;&gt;D3321,D3321,"")</f>
        <v/>
      </c>
      <c r="M3321" s="1" t="str">
        <f aca="false">IF(F3320&lt;&gt;F3321,F3321,"")</f>
        <v/>
      </c>
    </row>
    <row r="3322" customFormat="false" ht="15" hidden="false" customHeight="false" outlineLevel="0" collapsed="false">
      <c r="A3322" s="1" t="s">
        <v>259</v>
      </c>
      <c r="B3322" s="1" t="s">
        <v>260</v>
      </c>
      <c r="C3322" s="1" t="s">
        <v>962</v>
      </c>
      <c r="D3322" s="1" t="s">
        <v>963</v>
      </c>
      <c r="E3322" s="1" t="n">
        <v>20171</v>
      </c>
      <c r="F3322" s="1" t="s">
        <v>208</v>
      </c>
      <c r="G3322" s="1" t="s">
        <v>18</v>
      </c>
      <c r="H3322" s="1" t="n">
        <v>3</v>
      </c>
      <c r="I3322" s="1" t="n">
        <v>0</v>
      </c>
      <c r="J3322" s="1" t="n">
        <v>20201</v>
      </c>
      <c r="L3322" s="1" t="str">
        <f aca="false">IF(D3321&lt;&gt;D3322,D3322,"")</f>
        <v/>
      </c>
      <c r="M3322" s="1" t="str">
        <f aca="false">IF(F3321&lt;&gt;F3322,F3322,"")</f>
        <v/>
      </c>
    </row>
    <row r="3323" customFormat="false" ht="15" hidden="false" customHeight="false" outlineLevel="0" collapsed="false">
      <c r="A3323" s="1" t="s">
        <v>806</v>
      </c>
      <c r="B3323" s="1" t="s">
        <v>807</v>
      </c>
      <c r="C3323" s="1" t="s">
        <v>962</v>
      </c>
      <c r="D3323" s="1" t="s">
        <v>963</v>
      </c>
      <c r="E3323" s="1" t="n">
        <v>20171</v>
      </c>
      <c r="F3323" s="1" t="s">
        <v>208</v>
      </c>
      <c r="G3323" s="1" t="s">
        <v>18</v>
      </c>
      <c r="H3323" s="1" t="n">
        <v>3</v>
      </c>
      <c r="I3323" s="1" t="n">
        <v>0</v>
      </c>
      <c r="J3323" s="1" t="n">
        <v>20201</v>
      </c>
      <c r="L3323" s="1" t="str">
        <f aca="false">IF(D3322&lt;&gt;D3323,D3323,"")</f>
        <v/>
      </c>
      <c r="M3323" s="1" t="str">
        <f aca="false">IF(F3322&lt;&gt;F3323,F3323,"")</f>
        <v/>
      </c>
    </row>
    <row r="3324" customFormat="false" ht="15" hidden="false" customHeight="false" outlineLevel="0" collapsed="false">
      <c r="A3324" s="1" t="s">
        <v>21</v>
      </c>
      <c r="B3324" s="1" t="s">
        <v>22</v>
      </c>
      <c r="C3324" s="1" t="s">
        <v>962</v>
      </c>
      <c r="D3324" s="1" t="s">
        <v>963</v>
      </c>
      <c r="E3324" s="1" t="n">
        <v>20171</v>
      </c>
      <c r="F3324" s="1" t="s">
        <v>208</v>
      </c>
      <c r="G3324" s="1" t="s">
        <v>18</v>
      </c>
      <c r="H3324" s="1" t="n">
        <v>3</v>
      </c>
      <c r="I3324" s="1" t="n">
        <v>0</v>
      </c>
      <c r="J3324" s="1" t="n">
        <v>20201</v>
      </c>
      <c r="L3324" s="1" t="str">
        <f aca="false">IF(D3323&lt;&gt;D3324,D3324,"")</f>
        <v/>
      </c>
      <c r="M3324" s="1" t="str">
        <f aca="false">IF(F3323&lt;&gt;F3324,F3324,"")</f>
        <v/>
      </c>
    </row>
    <row r="3325" customFormat="false" ht="15" hidden="false" customHeight="false" outlineLevel="0" collapsed="false">
      <c r="A3325" s="1" t="s">
        <v>816</v>
      </c>
      <c r="B3325" s="1" t="s">
        <v>817</v>
      </c>
      <c r="C3325" s="1" t="s">
        <v>962</v>
      </c>
      <c r="D3325" s="1" t="s">
        <v>963</v>
      </c>
      <c r="E3325" s="1" t="n">
        <v>20171</v>
      </c>
      <c r="F3325" s="1" t="s">
        <v>208</v>
      </c>
      <c r="G3325" s="1" t="s">
        <v>18</v>
      </c>
      <c r="H3325" s="1" t="n">
        <v>3</v>
      </c>
      <c r="I3325" s="1" t="n">
        <v>0</v>
      </c>
      <c r="J3325" s="1" t="n">
        <v>20201</v>
      </c>
      <c r="L3325" s="1" t="str">
        <f aca="false">IF(D3324&lt;&gt;D3325,D3325,"")</f>
        <v/>
      </c>
      <c r="M3325" s="1" t="str">
        <f aca="false">IF(F3324&lt;&gt;F3325,F3325,"")</f>
        <v/>
      </c>
    </row>
    <row r="3326" customFormat="false" ht="15" hidden="false" customHeight="false" outlineLevel="0" collapsed="false">
      <c r="A3326" s="1" t="s">
        <v>263</v>
      </c>
      <c r="B3326" s="1" t="s">
        <v>264</v>
      </c>
      <c r="C3326" s="1" t="s">
        <v>962</v>
      </c>
      <c r="D3326" s="1" t="s">
        <v>963</v>
      </c>
      <c r="E3326" s="1" t="n">
        <v>20171</v>
      </c>
      <c r="F3326" s="1" t="s">
        <v>208</v>
      </c>
      <c r="G3326" s="1" t="s">
        <v>18</v>
      </c>
      <c r="H3326" s="1" t="n">
        <v>3</v>
      </c>
      <c r="I3326" s="1" t="n">
        <v>0</v>
      </c>
      <c r="J3326" s="1" t="n">
        <v>20201</v>
      </c>
      <c r="L3326" s="1" t="str">
        <f aca="false">IF(D3325&lt;&gt;D3326,D3326,"")</f>
        <v/>
      </c>
      <c r="M3326" s="1" t="str">
        <f aca="false">IF(F3325&lt;&gt;F3326,F3326,"")</f>
        <v/>
      </c>
    </row>
    <row r="3327" customFormat="false" ht="15" hidden="false" customHeight="false" outlineLevel="0" collapsed="false">
      <c r="A3327" s="1" t="s">
        <v>265</v>
      </c>
      <c r="B3327" s="1" t="s">
        <v>266</v>
      </c>
      <c r="C3327" s="1" t="s">
        <v>962</v>
      </c>
      <c r="D3327" s="1" t="s">
        <v>963</v>
      </c>
      <c r="E3327" s="1" t="n">
        <v>20171</v>
      </c>
      <c r="F3327" s="1" t="s">
        <v>208</v>
      </c>
      <c r="G3327" s="1" t="s">
        <v>18</v>
      </c>
      <c r="H3327" s="1" t="n">
        <v>3</v>
      </c>
      <c r="I3327" s="1" t="n">
        <v>0</v>
      </c>
      <c r="J3327" s="1" t="n">
        <v>20201</v>
      </c>
      <c r="L3327" s="1" t="str">
        <f aca="false">IF(D3326&lt;&gt;D3327,D3327,"")</f>
        <v/>
      </c>
      <c r="M3327" s="1" t="str">
        <f aca="false">IF(F3326&lt;&gt;F3327,F3327,"")</f>
        <v/>
      </c>
    </row>
    <row r="3328" customFormat="false" ht="15" hidden="false" customHeight="false" outlineLevel="0" collapsed="false">
      <c r="A3328" s="1" t="s">
        <v>267</v>
      </c>
      <c r="B3328" s="1" t="s">
        <v>268</v>
      </c>
      <c r="C3328" s="1" t="s">
        <v>962</v>
      </c>
      <c r="D3328" s="1" t="s">
        <v>963</v>
      </c>
      <c r="E3328" s="1" t="n">
        <v>20171</v>
      </c>
      <c r="F3328" s="1" t="s">
        <v>208</v>
      </c>
      <c r="G3328" s="1" t="s">
        <v>18</v>
      </c>
      <c r="H3328" s="1" t="n">
        <v>3</v>
      </c>
      <c r="I3328" s="1" t="n">
        <v>0</v>
      </c>
      <c r="J3328" s="1" t="n">
        <v>20201</v>
      </c>
      <c r="L3328" s="1" t="str">
        <f aca="false">IF(D3327&lt;&gt;D3328,D3328,"")</f>
        <v/>
      </c>
      <c r="M3328" s="1" t="str">
        <f aca="false">IF(F3327&lt;&gt;F3328,F3328,"")</f>
        <v/>
      </c>
    </row>
    <row r="3329" customFormat="false" ht="15" hidden="false" customHeight="false" outlineLevel="0" collapsed="false">
      <c r="A3329" s="1" t="s">
        <v>269</v>
      </c>
      <c r="B3329" s="1" t="s">
        <v>270</v>
      </c>
      <c r="C3329" s="1" t="s">
        <v>962</v>
      </c>
      <c r="D3329" s="1" t="s">
        <v>963</v>
      </c>
      <c r="E3329" s="1" t="n">
        <v>20171</v>
      </c>
      <c r="F3329" s="1" t="s">
        <v>208</v>
      </c>
      <c r="G3329" s="1" t="s">
        <v>18</v>
      </c>
      <c r="H3329" s="1" t="n">
        <v>3</v>
      </c>
      <c r="I3329" s="1" t="n">
        <v>0</v>
      </c>
      <c r="J3329" s="1" t="n">
        <v>20201</v>
      </c>
      <c r="L3329" s="1" t="str">
        <f aca="false">IF(D3328&lt;&gt;D3329,D3329,"")</f>
        <v/>
      </c>
      <c r="M3329" s="1" t="str">
        <f aca="false">IF(F3328&lt;&gt;F3329,F3329,"")</f>
        <v/>
      </c>
    </row>
    <row r="3330" customFormat="false" ht="15" hidden="false" customHeight="false" outlineLevel="0" collapsed="false">
      <c r="A3330" s="1" t="s">
        <v>271</v>
      </c>
      <c r="B3330" s="1" t="s">
        <v>272</v>
      </c>
      <c r="C3330" s="1" t="s">
        <v>962</v>
      </c>
      <c r="D3330" s="1" t="s">
        <v>963</v>
      </c>
      <c r="E3330" s="1" t="n">
        <v>20171</v>
      </c>
      <c r="F3330" s="1" t="s">
        <v>208</v>
      </c>
      <c r="G3330" s="1" t="s">
        <v>18</v>
      </c>
      <c r="H3330" s="1" t="n">
        <v>3</v>
      </c>
      <c r="I3330" s="1" t="n">
        <v>0</v>
      </c>
      <c r="J3330" s="1" t="n">
        <v>20201</v>
      </c>
      <c r="L3330" s="1" t="str">
        <f aca="false">IF(D3329&lt;&gt;D3330,D3330,"")</f>
        <v/>
      </c>
      <c r="M3330" s="1" t="str">
        <f aca="false">IF(F3329&lt;&gt;F3330,F3330,"")</f>
        <v/>
      </c>
    </row>
    <row r="3331" customFormat="false" ht="15" hidden="false" customHeight="false" outlineLevel="0" collapsed="false">
      <c r="A3331" s="1" t="s">
        <v>273</v>
      </c>
      <c r="B3331" s="1" t="s">
        <v>274</v>
      </c>
      <c r="C3331" s="1" t="s">
        <v>962</v>
      </c>
      <c r="D3331" s="1" t="s">
        <v>963</v>
      </c>
      <c r="E3331" s="1" t="n">
        <v>20171</v>
      </c>
      <c r="F3331" s="1" t="s">
        <v>208</v>
      </c>
      <c r="G3331" s="1" t="s">
        <v>18</v>
      </c>
      <c r="H3331" s="1" t="n">
        <v>3</v>
      </c>
      <c r="I3331" s="1" t="n">
        <v>0</v>
      </c>
      <c r="J3331" s="1" t="n">
        <v>20201</v>
      </c>
      <c r="L3331" s="1" t="str">
        <f aca="false">IF(D3330&lt;&gt;D3331,D3331,"")</f>
        <v/>
      </c>
      <c r="M3331" s="1" t="str">
        <f aca="false">IF(F3330&lt;&gt;F3331,F3331,"")</f>
        <v/>
      </c>
    </row>
    <row r="3332" customFormat="false" ht="15" hidden="false" customHeight="false" outlineLevel="0" collapsed="false">
      <c r="A3332" s="1" t="s">
        <v>655</v>
      </c>
      <c r="B3332" s="1" t="s">
        <v>656</v>
      </c>
      <c r="C3332" s="1" t="s">
        <v>962</v>
      </c>
      <c r="D3332" s="1" t="s">
        <v>963</v>
      </c>
      <c r="E3332" s="1" t="n">
        <v>20171</v>
      </c>
      <c r="F3332" s="1" t="s">
        <v>208</v>
      </c>
      <c r="G3332" s="1" t="s">
        <v>18</v>
      </c>
      <c r="H3332" s="1" t="n">
        <v>3</v>
      </c>
      <c r="I3332" s="1" t="n">
        <v>0</v>
      </c>
      <c r="J3332" s="1" t="n">
        <v>20201</v>
      </c>
      <c r="L3332" s="1" t="str">
        <f aca="false">IF(D3331&lt;&gt;D3332,D3332,"")</f>
        <v/>
      </c>
      <c r="M3332" s="1" t="str">
        <f aca="false">IF(F3331&lt;&gt;F3332,F3332,"")</f>
        <v/>
      </c>
    </row>
    <row r="3333" customFormat="false" ht="15" hidden="false" customHeight="false" outlineLevel="0" collapsed="false">
      <c r="A3333" s="1" t="s">
        <v>777</v>
      </c>
      <c r="B3333" s="1" t="s">
        <v>778</v>
      </c>
      <c r="C3333" s="1" t="s">
        <v>964</v>
      </c>
      <c r="D3333" s="1" t="s">
        <v>965</v>
      </c>
      <c r="E3333" s="1" t="n">
        <v>20171</v>
      </c>
      <c r="F3333" s="1" t="s">
        <v>208</v>
      </c>
      <c r="G3333" s="1" t="s">
        <v>127</v>
      </c>
      <c r="H3333" s="1" t="n">
        <v>2</v>
      </c>
      <c r="I3333" s="1" t="n">
        <v>0</v>
      </c>
      <c r="J3333" s="1" t="n">
        <v>20201</v>
      </c>
      <c r="L3333" s="1" t="str">
        <f aca="false">IF(D3332&lt;&gt;D3333,D3333,"")</f>
        <v>TRANSMISI GEL ELEKTROMAGNETIK II</v>
      </c>
      <c r="M3333" s="1" t="str">
        <f aca="false">IF(F3332&lt;&gt;F3333,F3333,"")</f>
        <v/>
      </c>
    </row>
    <row r="3334" customFormat="false" ht="15" hidden="false" customHeight="false" outlineLevel="0" collapsed="false">
      <c r="A3334" s="1" t="s">
        <v>655</v>
      </c>
      <c r="B3334" s="1" t="s">
        <v>656</v>
      </c>
      <c r="C3334" s="1" t="s">
        <v>964</v>
      </c>
      <c r="D3334" s="1" t="s">
        <v>965</v>
      </c>
      <c r="E3334" s="1" t="n">
        <v>20171</v>
      </c>
      <c r="F3334" s="1" t="s">
        <v>208</v>
      </c>
      <c r="G3334" s="1" t="s">
        <v>30</v>
      </c>
      <c r="H3334" s="1" t="n">
        <v>1.5</v>
      </c>
      <c r="I3334" s="1" t="n">
        <v>0</v>
      </c>
      <c r="J3334" s="1" t="n">
        <v>20201</v>
      </c>
      <c r="L3334" s="1" t="str">
        <f aca="false">IF(D3333&lt;&gt;D3334,D3334,"")</f>
        <v/>
      </c>
      <c r="M3334" s="1" t="str">
        <f aca="false">IF(F3333&lt;&gt;F3334,F3334,"")</f>
        <v/>
      </c>
    </row>
    <row r="3335" customFormat="false" ht="15" hidden="false" customHeight="false" outlineLevel="0" collapsed="false">
      <c r="A3335" s="1" t="s">
        <v>259</v>
      </c>
      <c r="B3335" s="1" t="s">
        <v>260</v>
      </c>
      <c r="C3335" s="1" t="s">
        <v>964</v>
      </c>
      <c r="D3335" s="1" t="s">
        <v>965</v>
      </c>
      <c r="E3335" s="1" t="n">
        <v>20171</v>
      </c>
      <c r="F3335" s="1" t="s">
        <v>208</v>
      </c>
      <c r="G3335" s="1" t="s">
        <v>514</v>
      </c>
      <c r="H3335" s="1" t="n">
        <v>1</v>
      </c>
      <c r="I3335" s="1" t="n">
        <v>0</v>
      </c>
      <c r="J3335" s="1" t="n">
        <v>20201</v>
      </c>
      <c r="L3335" s="1" t="str">
        <f aca="false">IF(D3334&lt;&gt;D3335,D3335,"")</f>
        <v/>
      </c>
      <c r="M3335" s="1" t="str">
        <f aca="false">IF(F3334&lt;&gt;F3335,F3335,"")</f>
        <v/>
      </c>
    </row>
    <row r="3336" customFormat="false" ht="15" hidden="false" customHeight="false" outlineLevel="0" collapsed="false">
      <c r="A3336" s="1" t="s">
        <v>804</v>
      </c>
      <c r="B3336" s="1" t="s">
        <v>805</v>
      </c>
      <c r="C3336" s="1" t="s">
        <v>964</v>
      </c>
      <c r="D3336" s="1" t="s">
        <v>965</v>
      </c>
      <c r="E3336" s="1" t="n">
        <v>20171</v>
      </c>
      <c r="F3336" s="1" t="s">
        <v>208</v>
      </c>
      <c r="G3336" s="1" t="s">
        <v>15</v>
      </c>
      <c r="H3336" s="1" t="n">
        <v>3.5</v>
      </c>
      <c r="I3336" s="1" t="n">
        <v>0</v>
      </c>
      <c r="J3336" s="1" t="n">
        <v>20201</v>
      </c>
      <c r="L3336" s="1" t="str">
        <f aca="false">IF(D3335&lt;&gt;D3336,D3336,"")</f>
        <v/>
      </c>
      <c r="M3336" s="1" t="str">
        <f aca="false">IF(F3335&lt;&gt;F3336,F3336,"")</f>
        <v/>
      </c>
    </row>
    <row r="3337" customFormat="false" ht="15" hidden="false" customHeight="false" outlineLevel="0" collapsed="false">
      <c r="A3337" s="1" t="s">
        <v>806</v>
      </c>
      <c r="B3337" s="1" t="s">
        <v>807</v>
      </c>
      <c r="C3337" s="1" t="s">
        <v>964</v>
      </c>
      <c r="D3337" s="1" t="s">
        <v>965</v>
      </c>
      <c r="E3337" s="1" t="n">
        <v>20171</v>
      </c>
      <c r="F3337" s="1" t="s">
        <v>208</v>
      </c>
      <c r="G3337" s="1" t="s">
        <v>101</v>
      </c>
      <c r="H3337" s="1" t="n">
        <v>2.5</v>
      </c>
      <c r="I3337" s="1" t="n">
        <v>0</v>
      </c>
      <c r="J3337" s="1" t="n">
        <v>20201</v>
      </c>
      <c r="L3337" s="1" t="str">
        <f aca="false">IF(D3336&lt;&gt;D3337,D3337,"")</f>
        <v/>
      </c>
      <c r="M3337" s="1" t="str">
        <f aca="false">IF(F3336&lt;&gt;F3337,F3337,"")</f>
        <v/>
      </c>
    </row>
    <row r="3338" customFormat="false" ht="15" hidden="false" customHeight="false" outlineLevel="0" collapsed="false">
      <c r="A3338" s="1" t="s">
        <v>21</v>
      </c>
      <c r="B3338" s="1" t="s">
        <v>22</v>
      </c>
      <c r="C3338" s="1" t="s">
        <v>964</v>
      </c>
      <c r="D3338" s="1" t="s">
        <v>965</v>
      </c>
      <c r="E3338" s="1" t="n">
        <v>20171</v>
      </c>
      <c r="F3338" s="1" t="s">
        <v>208</v>
      </c>
      <c r="G3338" s="1" t="s">
        <v>101</v>
      </c>
      <c r="H3338" s="1" t="n">
        <v>2.5</v>
      </c>
      <c r="I3338" s="1" t="n">
        <v>0</v>
      </c>
      <c r="J3338" s="1" t="n">
        <v>20201</v>
      </c>
      <c r="L3338" s="1" t="str">
        <f aca="false">IF(D3337&lt;&gt;D3338,D3338,"")</f>
        <v/>
      </c>
      <c r="M3338" s="1" t="str">
        <f aca="false">IF(F3337&lt;&gt;F3338,F3338,"")</f>
        <v/>
      </c>
    </row>
    <row r="3339" customFormat="false" ht="15" hidden="false" customHeight="false" outlineLevel="0" collapsed="false">
      <c r="A3339" s="1" t="s">
        <v>816</v>
      </c>
      <c r="B3339" s="1" t="s">
        <v>817</v>
      </c>
      <c r="C3339" s="1" t="s">
        <v>964</v>
      </c>
      <c r="D3339" s="1" t="s">
        <v>965</v>
      </c>
      <c r="E3339" s="1" t="n">
        <v>20171</v>
      </c>
      <c r="F3339" s="1" t="s">
        <v>208</v>
      </c>
      <c r="G3339" s="1" t="s">
        <v>18</v>
      </c>
      <c r="H3339" s="1" t="n">
        <v>3</v>
      </c>
      <c r="I3339" s="1" t="n">
        <v>0</v>
      </c>
      <c r="J3339" s="1" t="n">
        <v>20201</v>
      </c>
      <c r="L3339" s="1" t="str">
        <f aca="false">IF(D3338&lt;&gt;D3339,D3339,"")</f>
        <v/>
      </c>
      <c r="M3339" s="1" t="str">
        <f aca="false">IF(F3338&lt;&gt;F3339,F3339,"")</f>
        <v/>
      </c>
    </row>
    <row r="3340" customFormat="false" ht="15" hidden="false" customHeight="false" outlineLevel="0" collapsed="false">
      <c r="A3340" s="1" t="s">
        <v>263</v>
      </c>
      <c r="B3340" s="1" t="s">
        <v>264</v>
      </c>
      <c r="C3340" s="1" t="s">
        <v>964</v>
      </c>
      <c r="D3340" s="1" t="s">
        <v>965</v>
      </c>
      <c r="E3340" s="1" t="n">
        <v>20171</v>
      </c>
      <c r="F3340" s="1" t="s">
        <v>208</v>
      </c>
      <c r="G3340" s="1" t="s">
        <v>23</v>
      </c>
      <c r="H3340" s="1" t="n">
        <v>0</v>
      </c>
      <c r="I3340" s="1" t="n">
        <v>0</v>
      </c>
      <c r="J3340" s="1" t="n">
        <v>20201</v>
      </c>
      <c r="L3340" s="1" t="str">
        <f aca="false">IF(D3339&lt;&gt;D3340,D3340,"")</f>
        <v/>
      </c>
      <c r="M3340" s="1" t="str">
        <f aca="false">IF(F3339&lt;&gt;F3340,F3340,"")</f>
        <v/>
      </c>
    </row>
    <row r="3341" customFormat="false" ht="15" hidden="false" customHeight="false" outlineLevel="0" collapsed="false">
      <c r="A3341" s="1" t="s">
        <v>265</v>
      </c>
      <c r="B3341" s="1" t="s">
        <v>266</v>
      </c>
      <c r="C3341" s="1" t="s">
        <v>964</v>
      </c>
      <c r="D3341" s="1" t="s">
        <v>965</v>
      </c>
      <c r="E3341" s="1" t="n">
        <v>20171</v>
      </c>
      <c r="F3341" s="1" t="s">
        <v>208</v>
      </c>
      <c r="G3341" s="1" t="s">
        <v>101</v>
      </c>
      <c r="H3341" s="1" t="n">
        <v>2.5</v>
      </c>
      <c r="I3341" s="1" t="n">
        <v>0</v>
      </c>
      <c r="J3341" s="1" t="n">
        <v>20201</v>
      </c>
      <c r="L3341" s="1" t="str">
        <f aca="false">IF(D3340&lt;&gt;D3341,D3341,"")</f>
        <v/>
      </c>
      <c r="M3341" s="1" t="str">
        <f aca="false">IF(F3340&lt;&gt;F3341,F3341,"")</f>
        <v/>
      </c>
    </row>
    <row r="3342" customFormat="false" ht="15" hidden="false" customHeight="false" outlineLevel="0" collapsed="false">
      <c r="A3342" s="1" t="s">
        <v>267</v>
      </c>
      <c r="B3342" s="1" t="s">
        <v>268</v>
      </c>
      <c r="C3342" s="1" t="s">
        <v>964</v>
      </c>
      <c r="D3342" s="1" t="s">
        <v>965</v>
      </c>
      <c r="E3342" s="1" t="n">
        <v>20171</v>
      </c>
      <c r="F3342" s="1" t="s">
        <v>208</v>
      </c>
      <c r="G3342" s="1" t="s">
        <v>23</v>
      </c>
      <c r="H3342" s="1" t="n">
        <v>0</v>
      </c>
      <c r="I3342" s="1" t="n">
        <v>0</v>
      </c>
      <c r="J3342" s="1" t="n">
        <v>20201</v>
      </c>
      <c r="L3342" s="1" t="str">
        <f aca="false">IF(D3341&lt;&gt;D3342,D3342,"")</f>
        <v/>
      </c>
      <c r="M3342" s="1" t="str">
        <f aca="false">IF(F3341&lt;&gt;F3342,F3342,"")</f>
        <v/>
      </c>
    </row>
    <row r="3343" customFormat="false" ht="15" hidden="false" customHeight="false" outlineLevel="0" collapsed="false">
      <c r="A3343" s="1" t="s">
        <v>269</v>
      </c>
      <c r="B3343" s="1" t="s">
        <v>270</v>
      </c>
      <c r="C3343" s="1" t="s">
        <v>964</v>
      </c>
      <c r="D3343" s="1" t="s">
        <v>965</v>
      </c>
      <c r="E3343" s="1" t="n">
        <v>20171</v>
      </c>
      <c r="F3343" s="1" t="s">
        <v>208</v>
      </c>
      <c r="G3343" s="1" t="s">
        <v>101</v>
      </c>
      <c r="H3343" s="1" t="n">
        <v>2.5</v>
      </c>
      <c r="I3343" s="1" t="n">
        <v>0</v>
      </c>
      <c r="J3343" s="1" t="n">
        <v>20201</v>
      </c>
      <c r="L3343" s="1" t="str">
        <f aca="false">IF(D3342&lt;&gt;D3343,D3343,"")</f>
        <v/>
      </c>
      <c r="M3343" s="1" t="str">
        <f aca="false">IF(F3342&lt;&gt;F3343,F3343,"")</f>
        <v/>
      </c>
    </row>
    <row r="3344" customFormat="false" ht="15" hidden="false" customHeight="false" outlineLevel="0" collapsed="false">
      <c r="A3344" s="1" t="s">
        <v>271</v>
      </c>
      <c r="B3344" s="1" t="s">
        <v>272</v>
      </c>
      <c r="C3344" s="1" t="s">
        <v>964</v>
      </c>
      <c r="D3344" s="1" t="s">
        <v>965</v>
      </c>
      <c r="E3344" s="1" t="n">
        <v>20171</v>
      </c>
      <c r="F3344" s="1" t="s">
        <v>208</v>
      </c>
      <c r="G3344" s="1" t="s">
        <v>127</v>
      </c>
      <c r="H3344" s="1" t="n">
        <v>2</v>
      </c>
      <c r="I3344" s="1" t="n">
        <v>0</v>
      </c>
      <c r="J3344" s="1" t="n">
        <v>20201</v>
      </c>
      <c r="L3344" s="1" t="str">
        <f aca="false">IF(D3343&lt;&gt;D3344,D3344,"")</f>
        <v/>
      </c>
      <c r="M3344" s="1" t="str">
        <f aca="false">IF(F3343&lt;&gt;F3344,F3344,"")</f>
        <v/>
      </c>
    </row>
    <row r="3345" customFormat="false" ht="15" hidden="false" customHeight="false" outlineLevel="0" collapsed="false">
      <c r="A3345" s="1" t="s">
        <v>273</v>
      </c>
      <c r="B3345" s="1" t="s">
        <v>274</v>
      </c>
      <c r="C3345" s="1" t="s">
        <v>964</v>
      </c>
      <c r="D3345" s="1" t="s">
        <v>965</v>
      </c>
      <c r="E3345" s="1" t="n">
        <v>20171</v>
      </c>
      <c r="F3345" s="1" t="s">
        <v>208</v>
      </c>
      <c r="G3345" s="1" t="s">
        <v>127</v>
      </c>
      <c r="H3345" s="1" t="n">
        <v>2</v>
      </c>
      <c r="I3345" s="1" t="n">
        <v>0</v>
      </c>
      <c r="J3345" s="1" t="n">
        <v>20201</v>
      </c>
      <c r="L3345" s="1" t="str">
        <f aca="false">IF(D3344&lt;&gt;D3345,D3345,"")</f>
        <v/>
      </c>
      <c r="M3345" s="1" t="str">
        <f aca="false">IF(F3344&lt;&gt;F3345,F3345,"")</f>
        <v/>
      </c>
    </row>
    <row r="3346" customFormat="false" ht="15" hidden="false" customHeight="false" outlineLevel="0" collapsed="false">
      <c r="A3346" s="1" t="s">
        <v>555</v>
      </c>
      <c r="B3346" s="1" t="s">
        <v>556</v>
      </c>
      <c r="C3346" s="1" t="s">
        <v>966</v>
      </c>
      <c r="D3346" s="1" t="s">
        <v>967</v>
      </c>
      <c r="E3346" s="1" t="n">
        <v>20171</v>
      </c>
      <c r="F3346" s="1" t="s">
        <v>208</v>
      </c>
      <c r="G3346" s="1" t="s">
        <v>127</v>
      </c>
      <c r="H3346" s="1" t="n">
        <v>2</v>
      </c>
      <c r="I3346" s="1" t="n">
        <v>0</v>
      </c>
      <c r="J3346" s="1" t="n">
        <v>20201</v>
      </c>
      <c r="L3346" s="1" t="str">
        <f aca="false">IF(D3345&lt;&gt;D3346,D3346,"")</f>
        <v>TRANSMISI TENAGA LISTRIK</v>
      </c>
      <c r="M3346" s="1" t="str">
        <f aca="false">IF(F3345&lt;&gt;F3346,F3346,"")</f>
        <v/>
      </c>
    </row>
    <row r="3347" customFormat="false" ht="15" hidden="false" customHeight="false" outlineLevel="0" collapsed="false">
      <c r="A3347" s="1" t="s">
        <v>729</v>
      </c>
      <c r="B3347" s="1" t="s">
        <v>730</v>
      </c>
      <c r="C3347" s="1" t="s">
        <v>966</v>
      </c>
      <c r="D3347" s="1" t="s">
        <v>967</v>
      </c>
      <c r="E3347" s="1" t="n">
        <v>20171</v>
      </c>
      <c r="F3347" s="1" t="s">
        <v>208</v>
      </c>
      <c r="G3347" s="1" t="s">
        <v>101</v>
      </c>
      <c r="H3347" s="1" t="n">
        <v>2.5</v>
      </c>
      <c r="I3347" s="1" t="n">
        <v>0</v>
      </c>
      <c r="J3347" s="1" t="n">
        <v>20201</v>
      </c>
      <c r="L3347" s="1" t="str">
        <f aca="false">IF(D3346&lt;&gt;D3347,D3347,"")</f>
        <v/>
      </c>
      <c r="M3347" s="1" t="str">
        <f aca="false">IF(F3346&lt;&gt;F3347,F3347,"")</f>
        <v/>
      </c>
    </row>
    <row r="3348" customFormat="false" ht="15" hidden="false" customHeight="false" outlineLevel="0" collapsed="false">
      <c r="A3348" s="1" t="s">
        <v>601</v>
      </c>
      <c r="B3348" s="1" t="s">
        <v>602</v>
      </c>
      <c r="C3348" s="1" t="s">
        <v>966</v>
      </c>
      <c r="D3348" s="1" t="s">
        <v>967</v>
      </c>
      <c r="E3348" s="1" t="n">
        <v>20171</v>
      </c>
      <c r="F3348" s="1" t="s">
        <v>208</v>
      </c>
      <c r="G3348" s="1" t="s">
        <v>30</v>
      </c>
      <c r="H3348" s="1" t="n">
        <v>1.5</v>
      </c>
      <c r="I3348" s="1" t="n">
        <v>0</v>
      </c>
      <c r="J3348" s="1" t="n">
        <v>20201</v>
      </c>
      <c r="L3348" s="1" t="str">
        <f aca="false">IF(D3347&lt;&gt;D3348,D3348,"")</f>
        <v/>
      </c>
      <c r="M3348" s="1" t="str">
        <f aca="false">IF(F3347&lt;&gt;F3348,F3348,"")</f>
        <v/>
      </c>
    </row>
    <row r="3349" customFormat="false" ht="15" hidden="false" customHeight="false" outlineLevel="0" collapsed="false">
      <c r="A3349" s="1" t="s">
        <v>211</v>
      </c>
      <c r="B3349" s="1" t="s">
        <v>212</v>
      </c>
      <c r="C3349" s="1" t="s">
        <v>966</v>
      </c>
      <c r="D3349" s="1" t="s">
        <v>967</v>
      </c>
      <c r="E3349" s="1" t="n">
        <v>20171</v>
      </c>
      <c r="F3349" s="1" t="s">
        <v>208</v>
      </c>
      <c r="G3349" s="1" t="s">
        <v>101</v>
      </c>
      <c r="H3349" s="1" t="n">
        <v>2.5</v>
      </c>
      <c r="I3349" s="1" t="n">
        <v>0</v>
      </c>
      <c r="J3349" s="1" t="n">
        <v>20201</v>
      </c>
      <c r="L3349" s="1" t="str">
        <f aca="false">IF(D3348&lt;&gt;D3349,D3349,"")</f>
        <v/>
      </c>
      <c r="M3349" s="1" t="str">
        <f aca="false">IF(F3348&lt;&gt;F3349,F3349,"")</f>
        <v/>
      </c>
    </row>
    <row r="3350" customFormat="false" ht="15" hidden="false" customHeight="false" outlineLevel="0" collapsed="false">
      <c r="A3350" s="1" t="s">
        <v>213</v>
      </c>
      <c r="B3350" s="1" t="s">
        <v>214</v>
      </c>
      <c r="C3350" s="1" t="s">
        <v>966</v>
      </c>
      <c r="D3350" s="1" t="s">
        <v>967</v>
      </c>
      <c r="E3350" s="1" t="n">
        <v>20171</v>
      </c>
      <c r="F3350" s="1" t="s">
        <v>208</v>
      </c>
      <c r="G3350" s="1" t="s">
        <v>18</v>
      </c>
      <c r="H3350" s="1" t="n">
        <v>3</v>
      </c>
      <c r="I3350" s="1" t="n">
        <v>0</v>
      </c>
      <c r="J3350" s="1" t="n">
        <v>20201</v>
      </c>
      <c r="L3350" s="1" t="str">
        <f aca="false">IF(D3349&lt;&gt;D3350,D3350,"")</f>
        <v/>
      </c>
      <c r="M3350" s="1" t="str">
        <f aca="false">IF(F3349&lt;&gt;F3350,F3350,"")</f>
        <v/>
      </c>
    </row>
    <row r="3351" customFormat="false" ht="15" hidden="false" customHeight="false" outlineLevel="0" collapsed="false">
      <c r="A3351" s="1" t="s">
        <v>215</v>
      </c>
      <c r="B3351" s="1" t="s">
        <v>216</v>
      </c>
      <c r="C3351" s="1" t="s">
        <v>966</v>
      </c>
      <c r="D3351" s="1" t="s">
        <v>967</v>
      </c>
      <c r="E3351" s="1" t="n">
        <v>20171</v>
      </c>
      <c r="F3351" s="1" t="s">
        <v>208</v>
      </c>
      <c r="G3351" s="1" t="s">
        <v>101</v>
      </c>
      <c r="H3351" s="1" t="n">
        <v>2.5</v>
      </c>
      <c r="I3351" s="1" t="n">
        <v>0</v>
      </c>
      <c r="J3351" s="1" t="n">
        <v>20201</v>
      </c>
      <c r="L3351" s="1" t="str">
        <f aca="false">IF(D3350&lt;&gt;D3351,D3351,"")</f>
        <v/>
      </c>
      <c r="M3351" s="1" t="str">
        <f aca="false">IF(F3350&lt;&gt;F3351,F3351,"")</f>
        <v/>
      </c>
    </row>
    <row r="3352" customFormat="false" ht="15" hidden="false" customHeight="false" outlineLevel="0" collapsed="false">
      <c r="A3352" s="1" t="s">
        <v>217</v>
      </c>
      <c r="B3352" s="1" t="s">
        <v>218</v>
      </c>
      <c r="C3352" s="1" t="s">
        <v>966</v>
      </c>
      <c r="D3352" s="1" t="s">
        <v>967</v>
      </c>
      <c r="E3352" s="1" t="n">
        <v>20171</v>
      </c>
      <c r="F3352" s="1" t="s">
        <v>208</v>
      </c>
      <c r="G3352" s="1" t="s">
        <v>15</v>
      </c>
      <c r="H3352" s="1" t="n">
        <v>3.5</v>
      </c>
      <c r="I3352" s="1" t="n">
        <v>0</v>
      </c>
      <c r="J3352" s="1" t="n">
        <v>20201</v>
      </c>
      <c r="L3352" s="1" t="str">
        <f aca="false">IF(D3351&lt;&gt;D3352,D3352,"")</f>
        <v/>
      </c>
      <c r="M3352" s="1" t="str">
        <f aca="false">IF(F3351&lt;&gt;F3352,F3352,"")</f>
        <v/>
      </c>
    </row>
    <row r="3353" customFormat="false" ht="15" hidden="false" customHeight="false" outlineLevel="0" collapsed="false">
      <c r="A3353" s="1" t="s">
        <v>219</v>
      </c>
      <c r="B3353" s="1" t="s">
        <v>220</v>
      </c>
      <c r="C3353" s="1" t="s">
        <v>966</v>
      </c>
      <c r="D3353" s="1" t="s">
        <v>967</v>
      </c>
      <c r="E3353" s="1" t="n">
        <v>20171</v>
      </c>
      <c r="F3353" s="1" t="s">
        <v>208</v>
      </c>
      <c r="G3353" s="1" t="s">
        <v>127</v>
      </c>
      <c r="H3353" s="1" t="n">
        <v>2</v>
      </c>
      <c r="I3353" s="1" t="n">
        <v>0</v>
      </c>
      <c r="J3353" s="1" t="n">
        <v>20201</v>
      </c>
      <c r="L3353" s="1" t="str">
        <f aca="false">IF(D3352&lt;&gt;D3353,D3353,"")</f>
        <v/>
      </c>
      <c r="M3353" s="1" t="str">
        <f aca="false">IF(F3352&lt;&gt;F3353,F3353,"")</f>
        <v/>
      </c>
    </row>
    <row r="3354" customFormat="false" ht="15" hidden="false" customHeight="false" outlineLevel="0" collapsed="false">
      <c r="A3354" s="1" t="s">
        <v>221</v>
      </c>
      <c r="B3354" s="1" t="s">
        <v>222</v>
      </c>
      <c r="C3354" s="1" t="s">
        <v>966</v>
      </c>
      <c r="D3354" s="1" t="s">
        <v>967</v>
      </c>
      <c r="E3354" s="1" t="n">
        <v>20171</v>
      </c>
      <c r="F3354" s="1" t="s">
        <v>208</v>
      </c>
      <c r="G3354" s="1" t="s">
        <v>101</v>
      </c>
      <c r="H3354" s="1" t="n">
        <v>2.5</v>
      </c>
      <c r="I3354" s="1" t="n">
        <v>0</v>
      </c>
      <c r="J3354" s="1" t="n">
        <v>20201</v>
      </c>
      <c r="L3354" s="1" t="str">
        <f aca="false">IF(D3353&lt;&gt;D3354,D3354,"")</f>
        <v/>
      </c>
      <c r="M3354" s="1" t="str">
        <f aca="false">IF(F3353&lt;&gt;F3354,F3354,"")</f>
        <v/>
      </c>
    </row>
    <row r="3355" customFormat="false" ht="15" hidden="false" customHeight="false" outlineLevel="0" collapsed="false">
      <c r="A3355" s="1" t="s">
        <v>223</v>
      </c>
      <c r="B3355" s="1" t="s">
        <v>224</v>
      </c>
      <c r="C3355" s="1" t="s">
        <v>966</v>
      </c>
      <c r="D3355" s="1" t="s">
        <v>967</v>
      </c>
      <c r="E3355" s="1" t="n">
        <v>20171</v>
      </c>
      <c r="F3355" s="1" t="s">
        <v>208</v>
      </c>
      <c r="G3355" s="1" t="s">
        <v>14</v>
      </c>
      <c r="H3355" s="1" t="n">
        <v>4</v>
      </c>
      <c r="I3355" s="1" t="n">
        <v>0</v>
      </c>
      <c r="J3355" s="1" t="n">
        <v>20201</v>
      </c>
      <c r="L3355" s="1" t="str">
        <f aca="false">IF(D3354&lt;&gt;D3355,D3355,"")</f>
        <v/>
      </c>
      <c r="M3355" s="1" t="str">
        <f aca="false">IF(F3354&lt;&gt;F3355,F3355,"")</f>
        <v/>
      </c>
    </row>
    <row r="3356" customFormat="false" ht="15" hidden="false" customHeight="false" outlineLevel="0" collapsed="false">
      <c r="A3356" s="1" t="s">
        <v>225</v>
      </c>
      <c r="B3356" s="1" t="s">
        <v>226</v>
      </c>
      <c r="C3356" s="1" t="s">
        <v>966</v>
      </c>
      <c r="D3356" s="1" t="s">
        <v>967</v>
      </c>
      <c r="E3356" s="1" t="n">
        <v>20171</v>
      </c>
      <c r="F3356" s="1" t="s">
        <v>208</v>
      </c>
      <c r="G3356" s="1" t="s">
        <v>23</v>
      </c>
      <c r="H3356" s="1" t="n">
        <v>0</v>
      </c>
      <c r="I3356" s="1" t="n">
        <v>0</v>
      </c>
      <c r="J3356" s="1" t="n">
        <v>20201</v>
      </c>
      <c r="L3356" s="1" t="str">
        <f aca="false">IF(D3355&lt;&gt;D3356,D3356,"")</f>
        <v/>
      </c>
      <c r="M3356" s="1" t="str">
        <f aca="false">IF(F3355&lt;&gt;F3356,F3356,"")</f>
        <v/>
      </c>
    </row>
    <row r="3357" customFormat="false" ht="15" hidden="false" customHeight="false" outlineLevel="0" collapsed="false">
      <c r="A3357" s="1" t="s">
        <v>227</v>
      </c>
      <c r="B3357" s="1" t="s">
        <v>228</v>
      </c>
      <c r="C3357" s="1" t="s">
        <v>966</v>
      </c>
      <c r="D3357" s="1" t="s">
        <v>967</v>
      </c>
      <c r="E3357" s="1" t="n">
        <v>20171</v>
      </c>
      <c r="F3357" s="1" t="s">
        <v>208</v>
      </c>
      <c r="G3357" s="1" t="s">
        <v>101</v>
      </c>
      <c r="H3357" s="1" t="n">
        <v>2.5</v>
      </c>
      <c r="I3357" s="1" t="n">
        <v>0</v>
      </c>
      <c r="J3357" s="1" t="n">
        <v>20201</v>
      </c>
      <c r="L3357" s="1" t="str">
        <f aca="false">IF(D3356&lt;&gt;D3357,D3357,"")</f>
        <v/>
      </c>
      <c r="M3357" s="1" t="str">
        <f aca="false">IF(F3356&lt;&gt;F3357,F3357,"")</f>
        <v/>
      </c>
    </row>
    <row r="3358" customFormat="false" ht="15" hidden="false" customHeight="false" outlineLevel="0" collapsed="false">
      <c r="A3358" s="1" t="s">
        <v>229</v>
      </c>
      <c r="B3358" s="1" t="s">
        <v>230</v>
      </c>
      <c r="C3358" s="1" t="s">
        <v>966</v>
      </c>
      <c r="D3358" s="1" t="s">
        <v>967</v>
      </c>
      <c r="E3358" s="1" t="n">
        <v>20171</v>
      </c>
      <c r="F3358" s="1" t="s">
        <v>208</v>
      </c>
      <c r="G3358" s="1" t="s">
        <v>18</v>
      </c>
      <c r="H3358" s="1" t="n">
        <v>3</v>
      </c>
      <c r="I3358" s="1" t="n">
        <v>0</v>
      </c>
      <c r="J3358" s="1" t="n">
        <v>20201</v>
      </c>
      <c r="L3358" s="1" t="str">
        <f aca="false">IF(D3357&lt;&gt;D3358,D3358,"")</f>
        <v/>
      </c>
      <c r="M3358" s="1" t="str">
        <f aca="false">IF(F3357&lt;&gt;F3358,F3358,"")</f>
        <v/>
      </c>
    </row>
    <row r="3359" customFormat="false" ht="15" hidden="false" customHeight="false" outlineLevel="0" collapsed="false">
      <c r="A3359" s="1" t="s">
        <v>231</v>
      </c>
      <c r="B3359" s="1" t="s">
        <v>232</v>
      </c>
      <c r="C3359" s="1" t="s">
        <v>966</v>
      </c>
      <c r="D3359" s="1" t="s">
        <v>967</v>
      </c>
      <c r="E3359" s="1" t="n">
        <v>20171</v>
      </c>
      <c r="F3359" s="1" t="s">
        <v>208</v>
      </c>
      <c r="G3359" s="1" t="s">
        <v>127</v>
      </c>
      <c r="H3359" s="1" t="n">
        <v>2</v>
      </c>
      <c r="I3359" s="1" t="n">
        <v>0</v>
      </c>
      <c r="J3359" s="1" t="n">
        <v>20201</v>
      </c>
      <c r="L3359" s="1" t="str">
        <f aca="false">IF(D3358&lt;&gt;D3359,D3359,"")</f>
        <v/>
      </c>
      <c r="M3359" s="1" t="str">
        <f aca="false">IF(F3358&lt;&gt;F3359,F3359,"")</f>
        <v/>
      </c>
    </row>
    <row r="3360" customFormat="false" ht="15" hidden="false" customHeight="false" outlineLevel="0" collapsed="false">
      <c r="A3360" s="1" t="s">
        <v>233</v>
      </c>
      <c r="B3360" s="1" t="s">
        <v>234</v>
      </c>
      <c r="C3360" s="1" t="s">
        <v>966</v>
      </c>
      <c r="D3360" s="1" t="s">
        <v>967</v>
      </c>
      <c r="E3360" s="1" t="n">
        <v>20171</v>
      </c>
      <c r="F3360" s="1" t="s">
        <v>208</v>
      </c>
      <c r="G3360" s="1" t="s">
        <v>15</v>
      </c>
      <c r="H3360" s="1" t="n">
        <v>3.5</v>
      </c>
      <c r="I3360" s="1" t="n">
        <v>0</v>
      </c>
      <c r="J3360" s="1" t="n">
        <v>20201</v>
      </c>
      <c r="L3360" s="1" t="str">
        <f aca="false">IF(D3359&lt;&gt;D3360,D3360,"")</f>
        <v/>
      </c>
      <c r="M3360" s="1" t="str">
        <f aca="false">IF(F3359&lt;&gt;F3360,F3360,"")</f>
        <v/>
      </c>
    </row>
    <row r="3361" customFormat="false" ht="15" hidden="false" customHeight="false" outlineLevel="0" collapsed="false">
      <c r="A3361" s="1" t="s">
        <v>235</v>
      </c>
      <c r="B3361" s="1" t="s">
        <v>236</v>
      </c>
      <c r="C3361" s="1" t="s">
        <v>966</v>
      </c>
      <c r="D3361" s="1" t="s">
        <v>967</v>
      </c>
      <c r="E3361" s="1" t="n">
        <v>20171</v>
      </c>
      <c r="F3361" s="1" t="s">
        <v>208</v>
      </c>
      <c r="G3361" s="1" t="s">
        <v>14</v>
      </c>
      <c r="H3361" s="1" t="n">
        <v>4</v>
      </c>
      <c r="I3361" s="1" t="n">
        <v>0</v>
      </c>
      <c r="J3361" s="1" t="n">
        <v>20201</v>
      </c>
      <c r="L3361" s="1" t="str">
        <f aca="false">IF(D3360&lt;&gt;D3361,D3361,"")</f>
        <v/>
      </c>
      <c r="M3361" s="1" t="str">
        <f aca="false">IF(F3360&lt;&gt;F3361,F3361,"")</f>
        <v/>
      </c>
    </row>
    <row r="3362" customFormat="false" ht="15" hidden="false" customHeight="false" outlineLevel="0" collapsed="false">
      <c r="A3362" s="1" t="s">
        <v>237</v>
      </c>
      <c r="B3362" s="1" t="s">
        <v>238</v>
      </c>
      <c r="C3362" s="1" t="s">
        <v>966</v>
      </c>
      <c r="D3362" s="1" t="s">
        <v>967</v>
      </c>
      <c r="E3362" s="1" t="n">
        <v>20171</v>
      </c>
      <c r="F3362" s="1" t="s">
        <v>208</v>
      </c>
      <c r="G3362" s="1" t="s">
        <v>18</v>
      </c>
      <c r="H3362" s="1" t="n">
        <v>3</v>
      </c>
      <c r="I3362" s="1" t="n">
        <v>0</v>
      </c>
      <c r="J3362" s="1" t="n">
        <v>20201</v>
      </c>
      <c r="L3362" s="1" t="str">
        <f aca="false">IF(D3361&lt;&gt;D3362,D3362,"")</f>
        <v/>
      </c>
      <c r="M3362" s="1" t="str">
        <f aca="false">IF(F3361&lt;&gt;F3362,F3362,"")</f>
        <v/>
      </c>
    </row>
    <row r="3363" customFormat="false" ht="15" hidden="false" customHeight="false" outlineLevel="0" collapsed="false">
      <c r="A3363" s="1" t="s">
        <v>239</v>
      </c>
      <c r="B3363" s="1" t="s">
        <v>240</v>
      </c>
      <c r="C3363" s="1" t="s">
        <v>966</v>
      </c>
      <c r="D3363" s="1" t="s">
        <v>967</v>
      </c>
      <c r="E3363" s="1" t="n">
        <v>20171</v>
      </c>
      <c r="F3363" s="1" t="s">
        <v>208</v>
      </c>
      <c r="G3363" s="1" t="s">
        <v>127</v>
      </c>
      <c r="H3363" s="1" t="n">
        <v>2</v>
      </c>
      <c r="I3363" s="1" t="n">
        <v>0</v>
      </c>
      <c r="J3363" s="1" t="n">
        <v>20201</v>
      </c>
      <c r="L3363" s="1" t="str">
        <f aca="false">IF(D3362&lt;&gt;D3363,D3363,"")</f>
        <v/>
      </c>
      <c r="M3363" s="1" t="str">
        <f aca="false">IF(F3362&lt;&gt;F3363,F3363,"")</f>
        <v/>
      </c>
    </row>
    <row r="3364" customFormat="false" ht="15" hidden="false" customHeight="false" outlineLevel="0" collapsed="false">
      <c r="A3364" s="1" t="s">
        <v>241</v>
      </c>
      <c r="B3364" s="1" t="s">
        <v>242</v>
      </c>
      <c r="C3364" s="1" t="s">
        <v>966</v>
      </c>
      <c r="D3364" s="1" t="s">
        <v>967</v>
      </c>
      <c r="E3364" s="1" t="n">
        <v>20171</v>
      </c>
      <c r="F3364" s="1" t="s">
        <v>208</v>
      </c>
      <c r="G3364" s="1" t="s">
        <v>101</v>
      </c>
      <c r="H3364" s="1" t="n">
        <v>2.5</v>
      </c>
      <c r="I3364" s="1" t="n">
        <v>0</v>
      </c>
      <c r="J3364" s="1" t="n">
        <v>20201</v>
      </c>
      <c r="L3364" s="1" t="str">
        <f aca="false">IF(D3363&lt;&gt;D3364,D3364,"")</f>
        <v/>
      </c>
      <c r="M3364" s="1" t="str">
        <f aca="false">IF(F3363&lt;&gt;F3364,F3364,"")</f>
        <v/>
      </c>
    </row>
    <row r="3365" customFormat="false" ht="15" hidden="false" customHeight="false" outlineLevel="0" collapsed="false">
      <c r="A3365" s="1" t="s">
        <v>243</v>
      </c>
      <c r="B3365" s="1" t="s">
        <v>244</v>
      </c>
      <c r="C3365" s="1" t="s">
        <v>966</v>
      </c>
      <c r="D3365" s="1" t="s">
        <v>967</v>
      </c>
      <c r="E3365" s="1" t="n">
        <v>20171</v>
      </c>
      <c r="F3365" s="1" t="s">
        <v>208</v>
      </c>
      <c r="G3365" s="1" t="s">
        <v>101</v>
      </c>
      <c r="H3365" s="1" t="n">
        <v>2.5</v>
      </c>
      <c r="I3365" s="1" t="n">
        <v>0</v>
      </c>
      <c r="J3365" s="1" t="n">
        <v>20201</v>
      </c>
      <c r="L3365" s="1" t="str">
        <f aca="false">IF(D3364&lt;&gt;D3365,D3365,"")</f>
        <v/>
      </c>
      <c r="M3365" s="1" t="str">
        <f aca="false">IF(F3364&lt;&gt;F3365,F3365,"")</f>
        <v/>
      </c>
    </row>
    <row r="3366" customFormat="false" ht="15" hidden="false" customHeight="false" outlineLevel="0" collapsed="false">
      <c r="A3366" s="1" t="s">
        <v>245</v>
      </c>
      <c r="B3366" s="1" t="s">
        <v>246</v>
      </c>
      <c r="C3366" s="1" t="s">
        <v>966</v>
      </c>
      <c r="D3366" s="1" t="s">
        <v>967</v>
      </c>
      <c r="E3366" s="1" t="n">
        <v>20171</v>
      </c>
      <c r="F3366" s="1" t="s">
        <v>208</v>
      </c>
      <c r="G3366" s="1" t="s">
        <v>14</v>
      </c>
      <c r="H3366" s="1" t="n">
        <v>4</v>
      </c>
      <c r="I3366" s="1" t="n">
        <v>0</v>
      </c>
      <c r="J3366" s="1" t="n">
        <v>20201</v>
      </c>
      <c r="L3366" s="1" t="str">
        <f aca="false">IF(D3365&lt;&gt;D3366,D3366,"")</f>
        <v/>
      </c>
      <c r="M3366" s="1" t="str">
        <f aca="false">IF(F3365&lt;&gt;F3366,F3366,"")</f>
        <v/>
      </c>
    </row>
    <row r="3367" customFormat="false" ht="15" hidden="false" customHeight="false" outlineLevel="0" collapsed="false">
      <c r="A3367" s="1" t="s">
        <v>247</v>
      </c>
      <c r="B3367" s="1" t="s">
        <v>248</v>
      </c>
      <c r="C3367" s="1" t="s">
        <v>966</v>
      </c>
      <c r="D3367" s="1" t="s">
        <v>967</v>
      </c>
      <c r="E3367" s="1" t="n">
        <v>20171</v>
      </c>
      <c r="F3367" s="1" t="s">
        <v>208</v>
      </c>
      <c r="G3367" s="1" t="s">
        <v>101</v>
      </c>
      <c r="H3367" s="1" t="n">
        <v>2.5</v>
      </c>
      <c r="I3367" s="1" t="n">
        <v>0</v>
      </c>
      <c r="J3367" s="1" t="n">
        <v>20201</v>
      </c>
      <c r="L3367" s="1" t="str">
        <f aca="false">IF(D3366&lt;&gt;D3367,D3367,"")</f>
        <v/>
      </c>
      <c r="M3367" s="1" t="str">
        <f aca="false">IF(F3366&lt;&gt;F3367,F3367,"")</f>
        <v/>
      </c>
    </row>
    <row r="3368" customFormat="false" ht="15" hidden="false" customHeight="false" outlineLevel="0" collapsed="false">
      <c r="A3368" s="1" t="s">
        <v>249</v>
      </c>
      <c r="B3368" s="1" t="s">
        <v>250</v>
      </c>
      <c r="C3368" s="1" t="s">
        <v>966</v>
      </c>
      <c r="D3368" s="1" t="s">
        <v>967</v>
      </c>
      <c r="E3368" s="1" t="n">
        <v>20171</v>
      </c>
      <c r="F3368" s="1" t="s">
        <v>208</v>
      </c>
      <c r="G3368" s="1" t="s">
        <v>18</v>
      </c>
      <c r="H3368" s="1" t="n">
        <v>3</v>
      </c>
      <c r="I3368" s="1" t="n">
        <v>0</v>
      </c>
      <c r="J3368" s="1" t="n">
        <v>20201</v>
      </c>
      <c r="L3368" s="1" t="str">
        <f aca="false">IF(D3367&lt;&gt;D3368,D3368,"")</f>
        <v/>
      </c>
      <c r="M3368" s="1" t="str">
        <f aca="false">IF(F3367&lt;&gt;F3368,F3368,"")</f>
        <v/>
      </c>
    </row>
    <row r="3369" customFormat="false" ht="15" hidden="false" customHeight="false" outlineLevel="0" collapsed="false">
      <c r="A3369" s="1" t="s">
        <v>251</v>
      </c>
      <c r="B3369" s="1" t="s">
        <v>252</v>
      </c>
      <c r="C3369" s="1" t="s">
        <v>966</v>
      </c>
      <c r="D3369" s="1" t="s">
        <v>967</v>
      </c>
      <c r="E3369" s="1" t="n">
        <v>20171</v>
      </c>
      <c r="F3369" s="1" t="s">
        <v>208</v>
      </c>
      <c r="G3369" s="1" t="s">
        <v>15</v>
      </c>
      <c r="H3369" s="1" t="n">
        <v>3.5</v>
      </c>
      <c r="I3369" s="1" t="n">
        <v>0</v>
      </c>
      <c r="J3369" s="1" t="n">
        <v>20201</v>
      </c>
      <c r="L3369" s="1" t="str">
        <f aca="false">IF(D3368&lt;&gt;D3369,D3369,"")</f>
        <v/>
      </c>
      <c r="M3369" s="1" t="str">
        <f aca="false">IF(F3368&lt;&gt;F3369,F3369,"")</f>
        <v/>
      </c>
    </row>
    <row r="3370" customFormat="false" ht="15" hidden="false" customHeight="false" outlineLevel="0" collapsed="false">
      <c r="A3370" s="1" t="s">
        <v>253</v>
      </c>
      <c r="B3370" s="1" t="s">
        <v>254</v>
      </c>
      <c r="C3370" s="1" t="s">
        <v>966</v>
      </c>
      <c r="D3370" s="1" t="s">
        <v>967</v>
      </c>
      <c r="E3370" s="1" t="n">
        <v>20171</v>
      </c>
      <c r="F3370" s="1" t="s">
        <v>208</v>
      </c>
      <c r="G3370" s="1" t="s">
        <v>14</v>
      </c>
      <c r="H3370" s="1" t="n">
        <v>4</v>
      </c>
      <c r="I3370" s="1" t="n">
        <v>0</v>
      </c>
      <c r="J3370" s="1" t="n">
        <v>20201</v>
      </c>
      <c r="L3370" s="1" t="str">
        <f aca="false">IF(D3369&lt;&gt;D3370,D3370,"")</f>
        <v/>
      </c>
      <c r="M3370" s="1" t="str">
        <f aca="false">IF(F3369&lt;&gt;F3370,F3370,"")</f>
        <v/>
      </c>
    </row>
    <row r="3371" customFormat="false" ht="15" hidden="false" customHeight="false" outlineLevel="0" collapsed="false">
      <c r="A3371" s="1" t="s">
        <v>255</v>
      </c>
      <c r="B3371" s="1" t="s">
        <v>256</v>
      </c>
      <c r="C3371" s="1" t="s">
        <v>966</v>
      </c>
      <c r="D3371" s="1" t="s">
        <v>967</v>
      </c>
      <c r="E3371" s="1" t="n">
        <v>20171</v>
      </c>
      <c r="F3371" s="1" t="s">
        <v>208</v>
      </c>
      <c r="G3371" s="1" t="s">
        <v>101</v>
      </c>
      <c r="H3371" s="1" t="n">
        <v>2.5</v>
      </c>
      <c r="I3371" s="1" t="n">
        <v>0</v>
      </c>
      <c r="J3371" s="1" t="n">
        <v>20201</v>
      </c>
      <c r="L3371" s="1" t="str">
        <f aca="false">IF(D3370&lt;&gt;D3371,D3371,"")</f>
        <v/>
      </c>
      <c r="M3371" s="1" t="str">
        <f aca="false">IF(F3370&lt;&gt;F3371,F3371,"")</f>
        <v/>
      </c>
    </row>
    <row r="3372" customFormat="false" ht="15" hidden="false" customHeight="false" outlineLevel="0" collapsed="false">
      <c r="A3372" s="1" t="s">
        <v>257</v>
      </c>
      <c r="B3372" s="1" t="s">
        <v>258</v>
      </c>
      <c r="C3372" s="1" t="s">
        <v>966</v>
      </c>
      <c r="D3372" s="1" t="s">
        <v>967</v>
      </c>
      <c r="E3372" s="1" t="n">
        <v>20171</v>
      </c>
      <c r="F3372" s="1" t="s">
        <v>208</v>
      </c>
      <c r="G3372" s="1" t="s">
        <v>18</v>
      </c>
      <c r="H3372" s="1" t="n">
        <v>3</v>
      </c>
      <c r="I3372" s="1" t="n">
        <v>0</v>
      </c>
      <c r="J3372" s="1" t="n">
        <v>20201</v>
      </c>
      <c r="L3372" s="1" t="str">
        <f aca="false">IF(D3371&lt;&gt;D3372,D3372,"")</f>
        <v/>
      </c>
      <c r="M3372" s="1" t="str">
        <f aca="false">IF(F3371&lt;&gt;F3372,F3372,"")</f>
        <v/>
      </c>
    </row>
    <row r="3373" customFormat="false" ht="15" hidden="false" customHeight="false" outlineLevel="0" collapsed="false">
      <c r="A3373" s="1" t="s">
        <v>968</v>
      </c>
      <c r="B3373" s="1" t="s">
        <v>969</v>
      </c>
      <c r="C3373" s="1" t="s">
        <v>970</v>
      </c>
      <c r="D3373" s="1" t="s">
        <v>971</v>
      </c>
      <c r="E3373" s="1" t="n">
        <v>20171</v>
      </c>
      <c r="F3373" s="1" t="s">
        <v>972</v>
      </c>
      <c r="G3373" s="1" t="s">
        <v>15</v>
      </c>
      <c r="H3373" s="1" t="n">
        <v>3.5</v>
      </c>
      <c r="I3373" s="1" t="n">
        <v>0</v>
      </c>
      <c r="J3373" s="1" t="n">
        <v>20201</v>
      </c>
      <c r="L3373" s="1" t="str">
        <f aca="false">IF(D3372&lt;&gt;D3373,D3373,"")</f>
        <v>TUGAS AKHIR</v>
      </c>
      <c r="M3373" s="1" t="str">
        <f aca="false">IF(F3372&lt;&gt;F3373,F3373,"")</f>
        <v>R</v>
      </c>
    </row>
    <row r="3374" customFormat="false" ht="15" hidden="false" customHeight="false" outlineLevel="0" collapsed="false">
      <c r="A3374" s="1" t="s">
        <v>878</v>
      </c>
      <c r="B3374" s="1" t="s">
        <v>879</v>
      </c>
      <c r="C3374" s="1" t="s">
        <v>970</v>
      </c>
      <c r="D3374" s="1" t="s">
        <v>971</v>
      </c>
      <c r="E3374" s="1" t="n">
        <v>20171</v>
      </c>
      <c r="F3374" s="1" t="s">
        <v>972</v>
      </c>
      <c r="G3374" s="1" t="s">
        <v>14</v>
      </c>
      <c r="H3374" s="1" t="n">
        <v>4</v>
      </c>
      <c r="I3374" s="1" t="n">
        <v>0</v>
      </c>
      <c r="J3374" s="1" t="n">
        <v>20201</v>
      </c>
      <c r="L3374" s="1" t="str">
        <f aca="false">IF(D3373&lt;&gt;D3374,D3374,"")</f>
        <v/>
      </c>
      <c r="M3374" s="1" t="str">
        <f aca="false">IF(F3373&lt;&gt;F3374,F3374,"")</f>
        <v/>
      </c>
    </row>
    <row r="3375" customFormat="false" ht="15" hidden="false" customHeight="false" outlineLevel="0" collapsed="false">
      <c r="A3375" s="1" t="s">
        <v>973</v>
      </c>
      <c r="B3375" s="1" t="s">
        <v>974</v>
      </c>
      <c r="C3375" s="1" t="s">
        <v>970</v>
      </c>
      <c r="D3375" s="1" t="s">
        <v>971</v>
      </c>
      <c r="E3375" s="1" t="n">
        <v>20171</v>
      </c>
      <c r="F3375" s="1" t="s">
        <v>972</v>
      </c>
      <c r="G3375" s="1" t="s">
        <v>15</v>
      </c>
      <c r="H3375" s="1" t="n">
        <v>3.5</v>
      </c>
      <c r="I3375" s="1" t="n">
        <v>0</v>
      </c>
      <c r="J3375" s="1" t="n">
        <v>20201</v>
      </c>
      <c r="L3375" s="1" t="str">
        <f aca="false">IF(D3374&lt;&gt;D3375,D3375,"")</f>
        <v/>
      </c>
      <c r="M3375" s="1" t="str">
        <f aca="false">IF(F3374&lt;&gt;F3375,F3375,"")</f>
        <v/>
      </c>
    </row>
    <row r="3376" customFormat="false" ht="15" hidden="false" customHeight="false" outlineLevel="0" collapsed="false">
      <c r="A3376" s="1" t="s">
        <v>975</v>
      </c>
      <c r="B3376" s="1" t="s">
        <v>976</v>
      </c>
      <c r="C3376" s="1" t="s">
        <v>970</v>
      </c>
      <c r="D3376" s="1" t="s">
        <v>971</v>
      </c>
      <c r="E3376" s="1" t="n">
        <v>20171</v>
      </c>
      <c r="F3376" s="1" t="s">
        <v>972</v>
      </c>
      <c r="G3376" s="1" t="s">
        <v>15</v>
      </c>
      <c r="H3376" s="1" t="n">
        <v>3.5</v>
      </c>
      <c r="I3376" s="1" t="n">
        <v>0</v>
      </c>
      <c r="J3376" s="1" t="n">
        <v>20201</v>
      </c>
      <c r="L3376" s="1" t="str">
        <f aca="false">IF(D3375&lt;&gt;D3376,D3376,"")</f>
        <v/>
      </c>
      <c r="M3376" s="1" t="str">
        <f aca="false">IF(F3375&lt;&gt;F3376,F3376,"")</f>
        <v/>
      </c>
    </row>
    <row r="3377" customFormat="false" ht="15" hidden="false" customHeight="false" outlineLevel="0" collapsed="false">
      <c r="A3377" s="1" t="s">
        <v>977</v>
      </c>
      <c r="B3377" s="1" t="s">
        <v>978</v>
      </c>
      <c r="C3377" s="1" t="s">
        <v>970</v>
      </c>
      <c r="D3377" s="1" t="s">
        <v>971</v>
      </c>
      <c r="E3377" s="1" t="n">
        <v>20171</v>
      </c>
      <c r="F3377" s="1" t="s">
        <v>972</v>
      </c>
      <c r="G3377" s="1" t="s">
        <v>18</v>
      </c>
      <c r="H3377" s="1" t="n">
        <v>3</v>
      </c>
      <c r="I3377" s="1" t="n">
        <v>0</v>
      </c>
      <c r="J3377" s="1" t="n">
        <v>20201</v>
      </c>
      <c r="L3377" s="1" t="str">
        <f aca="false">IF(D3376&lt;&gt;D3377,D3377,"")</f>
        <v/>
      </c>
      <c r="M3377" s="1" t="str">
        <f aca="false">IF(F3376&lt;&gt;F3377,F3377,"")</f>
        <v/>
      </c>
    </row>
    <row r="3378" customFormat="false" ht="15" hidden="false" customHeight="false" outlineLevel="0" collapsed="false">
      <c r="A3378" s="1" t="s">
        <v>515</v>
      </c>
      <c r="B3378" s="1" t="s">
        <v>516</v>
      </c>
      <c r="C3378" s="1" t="s">
        <v>970</v>
      </c>
      <c r="D3378" s="1" t="s">
        <v>971</v>
      </c>
      <c r="E3378" s="1" t="n">
        <v>20171</v>
      </c>
      <c r="F3378" s="1" t="s">
        <v>972</v>
      </c>
      <c r="G3378" s="1" t="s">
        <v>15</v>
      </c>
      <c r="H3378" s="1" t="n">
        <v>3.5</v>
      </c>
      <c r="I3378" s="1" t="n">
        <v>0</v>
      </c>
      <c r="J3378" s="1" t="n">
        <v>20201</v>
      </c>
      <c r="L3378" s="1" t="str">
        <f aca="false">IF(D3377&lt;&gt;D3378,D3378,"")</f>
        <v/>
      </c>
      <c r="M3378" s="1" t="str">
        <f aca="false">IF(F3377&lt;&gt;F3378,F3378,"")</f>
        <v/>
      </c>
    </row>
    <row r="3379" customFormat="false" ht="15" hidden="false" customHeight="false" outlineLevel="0" collapsed="false">
      <c r="A3379" s="1" t="s">
        <v>979</v>
      </c>
      <c r="B3379" s="1" t="s">
        <v>980</v>
      </c>
      <c r="C3379" s="1" t="s">
        <v>970</v>
      </c>
      <c r="D3379" s="1" t="s">
        <v>971</v>
      </c>
      <c r="E3379" s="1" t="n">
        <v>20171</v>
      </c>
      <c r="F3379" s="1" t="s">
        <v>972</v>
      </c>
      <c r="G3379" s="1" t="s">
        <v>15</v>
      </c>
      <c r="H3379" s="1" t="n">
        <v>3.5</v>
      </c>
      <c r="I3379" s="1" t="n">
        <v>0</v>
      </c>
      <c r="J3379" s="1" t="n">
        <v>20201</v>
      </c>
      <c r="L3379" s="1" t="str">
        <f aca="false">IF(D3378&lt;&gt;D3379,D3379,"")</f>
        <v/>
      </c>
      <c r="M3379" s="1" t="str">
        <f aca="false">IF(F3378&lt;&gt;F3379,F3379,"")</f>
        <v/>
      </c>
    </row>
    <row r="3380" customFormat="false" ht="15" hidden="false" customHeight="false" outlineLevel="0" collapsed="false">
      <c r="A3380" s="1" t="s">
        <v>299</v>
      </c>
      <c r="B3380" s="1" t="s">
        <v>300</v>
      </c>
      <c r="C3380" s="1" t="s">
        <v>970</v>
      </c>
      <c r="D3380" s="1" t="s">
        <v>971</v>
      </c>
      <c r="E3380" s="1" t="n">
        <v>20171</v>
      </c>
      <c r="F3380" s="1" t="s">
        <v>972</v>
      </c>
      <c r="G3380" s="1" t="s">
        <v>787</v>
      </c>
      <c r="H3380" s="1" t="n">
        <v>0</v>
      </c>
      <c r="I3380" s="1" t="n">
        <v>0</v>
      </c>
      <c r="J3380" s="1" t="n">
        <v>20201</v>
      </c>
      <c r="L3380" s="1" t="str">
        <f aca="false">IF(D3379&lt;&gt;D3380,D3380,"")</f>
        <v/>
      </c>
      <c r="M3380" s="1" t="str">
        <f aca="false">IF(F3379&lt;&gt;F3380,F3380,"")</f>
        <v/>
      </c>
    </row>
    <row r="3381" customFormat="false" ht="15" hidden="false" customHeight="false" outlineLevel="0" collapsed="false">
      <c r="A3381" s="1" t="s">
        <v>981</v>
      </c>
      <c r="B3381" s="1" t="s">
        <v>982</v>
      </c>
      <c r="C3381" s="1" t="s">
        <v>970</v>
      </c>
      <c r="D3381" s="1" t="s">
        <v>971</v>
      </c>
      <c r="E3381" s="1" t="n">
        <v>20171</v>
      </c>
      <c r="F3381" s="1" t="s">
        <v>972</v>
      </c>
      <c r="G3381" s="1" t="s">
        <v>15</v>
      </c>
      <c r="H3381" s="1" t="n">
        <v>3.5</v>
      </c>
      <c r="I3381" s="1" t="n">
        <v>0</v>
      </c>
      <c r="J3381" s="1" t="n">
        <v>20201</v>
      </c>
      <c r="L3381" s="1" t="str">
        <f aca="false">IF(D3380&lt;&gt;D3381,D3381,"")</f>
        <v/>
      </c>
      <c r="M3381" s="1" t="str">
        <f aca="false">IF(F3380&lt;&gt;F3381,F3381,"")</f>
        <v/>
      </c>
    </row>
    <row r="3382" customFormat="false" ht="15" hidden="false" customHeight="false" outlineLevel="0" collapsed="false">
      <c r="A3382" s="1" t="s">
        <v>983</v>
      </c>
      <c r="B3382" s="1" t="s">
        <v>984</v>
      </c>
      <c r="C3382" s="1" t="s">
        <v>970</v>
      </c>
      <c r="D3382" s="1" t="s">
        <v>971</v>
      </c>
      <c r="E3382" s="1" t="n">
        <v>20171</v>
      </c>
      <c r="F3382" s="1" t="s">
        <v>972</v>
      </c>
      <c r="G3382" s="1" t="s">
        <v>15</v>
      </c>
      <c r="H3382" s="1" t="n">
        <v>3.5</v>
      </c>
      <c r="I3382" s="1" t="n">
        <v>0</v>
      </c>
      <c r="J3382" s="1" t="n">
        <v>20201</v>
      </c>
      <c r="L3382" s="1" t="str">
        <f aca="false">IF(D3381&lt;&gt;D3382,D3382,"")</f>
        <v/>
      </c>
      <c r="M3382" s="1" t="str">
        <f aca="false">IF(F3381&lt;&gt;F3382,F3382,"")</f>
        <v/>
      </c>
    </row>
    <row r="3383" customFormat="false" ht="15" hidden="false" customHeight="false" outlineLevel="0" collapsed="false">
      <c r="A3383" s="1" t="s">
        <v>985</v>
      </c>
      <c r="B3383" s="1" t="s">
        <v>986</v>
      </c>
      <c r="C3383" s="1" t="s">
        <v>970</v>
      </c>
      <c r="D3383" s="1" t="s">
        <v>971</v>
      </c>
      <c r="E3383" s="1" t="n">
        <v>20171</v>
      </c>
      <c r="F3383" s="1" t="s">
        <v>972</v>
      </c>
      <c r="G3383" s="1" t="s">
        <v>15</v>
      </c>
      <c r="H3383" s="1" t="n">
        <v>3.5</v>
      </c>
      <c r="I3383" s="1" t="n">
        <v>0</v>
      </c>
      <c r="J3383" s="1" t="n">
        <v>20201</v>
      </c>
      <c r="L3383" s="1" t="str">
        <f aca="false">IF(D3382&lt;&gt;D3383,D3383,"")</f>
        <v/>
      </c>
      <c r="M3383" s="1" t="str">
        <f aca="false">IF(F3382&lt;&gt;F3383,F3383,"")</f>
        <v/>
      </c>
    </row>
    <row r="3384" customFormat="false" ht="15" hidden="false" customHeight="false" outlineLevel="0" collapsed="false">
      <c r="A3384" s="1" t="s">
        <v>900</v>
      </c>
      <c r="B3384" s="1" t="s">
        <v>901</v>
      </c>
      <c r="C3384" s="1" t="s">
        <v>970</v>
      </c>
      <c r="D3384" s="1" t="s">
        <v>971</v>
      </c>
      <c r="E3384" s="1" t="n">
        <v>20171</v>
      </c>
      <c r="F3384" s="1" t="s">
        <v>972</v>
      </c>
      <c r="G3384" s="1" t="s">
        <v>101</v>
      </c>
      <c r="H3384" s="1" t="n">
        <v>2.5</v>
      </c>
      <c r="I3384" s="1" t="n">
        <v>0</v>
      </c>
      <c r="J3384" s="1" t="n">
        <v>20201</v>
      </c>
      <c r="L3384" s="1" t="str">
        <f aca="false">IF(D3383&lt;&gt;D3384,D3384,"")</f>
        <v/>
      </c>
      <c r="M3384" s="1" t="str">
        <f aca="false">IF(F3383&lt;&gt;F3384,F3384,"")</f>
        <v/>
      </c>
    </row>
    <row r="3385" customFormat="false" ht="15" hidden="false" customHeight="false" outlineLevel="0" collapsed="false">
      <c r="A3385" s="1" t="s">
        <v>987</v>
      </c>
      <c r="B3385" s="1" t="s">
        <v>988</v>
      </c>
      <c r="C3385" s="1" t="s">
        <v>970</v>
      </c>
      <c r="D3385" s="1" t="s">
        <v>971</v>
      </c>
      <c r="E3385" s="1" t="n">
        <v>20171</v>
      </c>
      <c r="F3385" s="1" t="s">
        <v>972</v>
      </c>
      <c r="G3385" s="1" t="s">
        <v>15</v>
      </c>
      <c r="H3385" s="1" t="n">
        <v>3.5</v>
      </c>
      <c r="I3385" s="1" t="n">
        <v>0</v>
      </c>
      <c r="J3385" s="1" t="n">
        <v>20201</v>
      </c>
      <c r="L3385" s="1" t="str">
        <f aca="false">IF(D3384&lt;&gt;D3385,D3385,"")</f>
        <v/>
      </c>
      <c r="M3385" s="1" t="str">
        <f aca="false">IF(F3384&lt;&gt;F3385,F3385,"")</f>
        <v/>
      </c>
    </row>
    <row r="3386" customFormat="false" ht="15" hidden="false" customHeight="false" outlineLevel="0" collapsed="false">
      <c r="A3386" s="1" t="s">
        <v>989</v>
      </c>
      <c r="B3386" s="1" t="s">
        <v>990</v>
      </c>
      <c r="C3386" s="1" t="s">
        <v>970</v>
      </c>
      <c r="D3386" s="1" t="s">
        <v>971</v>
      </c>
      <c r="E3386" s="1" t="n">
        <v>20171</v>
      </c>
      <c r="F3386" s="1" t="s">
        <v>972</v>
      </c>
      <c r="G3386" s="1" t="s">
        <v>14</v>
      </c>
      <c r="H3386" s="1" t="n">
        <v>4</v>
      </c>
      <c r="I3386" s="1" t="n">
        <v>0</v>
      </c>
      <c r="J3386" s="1" t="n">
        <v>20201</v>
      </c>
      <c r="L3386" s="1" t="str">
        <f aca="false">IF(D3385&lt;&gt;D3386,D3386,"")</f>
        <v/>
      </c>
      <c r="M3386" s="1" t="str">
        <f aca="false">IF(F3385&lt;&gt;F3386,F3386,"")</f>
        <v/>
      </c>
    </row>
    <row r="3387" customFormat="false" ht="15" hidden="false" customHeight="false" outlineLevel="0" collapsed="false">
      <c r="A3387" s="1" t="s">
        <v>991</v>
      </c>
      <c r="B3387" s="1" t="s">
        <v>992</v>
      </c>
      <c r="C3387" s="1" t="s">
        <v>970</v>
      </c>
      <c r="D3387" s="1" t="s">
        <v>971</v>
      </c>
      <c r="E3387" s="1" t="n">
        <v>20171</v>
      </c>
      <c r="F3387" s="1" t="s">
        <v>972</v>
      </c>
      <c r="G3387" s="1" t="s">
        <v>15</v>
      </c>
      <c r="H3387" s="1" t="n">
        <v>3.5</v>
      </c>
      <c r="I3387" s="1" t="n">
        <v>0</v>
      </c>
      <c r="J3387" s="1" t="n">
        <v>20201</v>
      </c>
      <c r="L3387" s="1" t="str">
        <f aca="false">IF(D3386&lt;&gt;D3387,D3387,"")</f>
        <v/>
      </c>
      <c r="M3387" s="1" t="str">
        <f aca="false">IF(F3386&lt;&gt;F3387,F3387,"")</f>
        <v/>
      </c>
    </row>
    <row r="3388" customFormat="false" ht="15" hidden="false" customHeight="false" outlineLevel="0" collapsed="false">
      <c r="A3388" s="1" t="s">
        <v>993</v>
      </c>
      <c r="B3388" s="1" t="s">
        <v>994</v>
      </c>
      <c r="C3388" s="1" t="s">
        <v>970</v>
      </c>
      <c r="D3388" s="1" t="s">
        <v>971</v>
      </c>
      <c r="E3388" s="1" t="n">
        <v>20171</v>
      </c>
      <c r="F3388" s="1" t="s">
        <v>972</v>
      </c>
      <c r="G3388" s="1" t="s">
        <v>15</v>
      </c>
      <c r="H3388" s="1" t="n">
        <v>3.5</v>
      </c>
      <c r="I3388" s="1" t="n">
        <v>0</v>
      </c>
      <c r="J3388" s="1" t="n">
        <v>20201</v>
      </c>
      <c r="L3388" s="1" t="str">
        <f aca="false">IF(D3387&lt;&gt;D3388,D3388,"")</f>
        <v/>
      </c>
      <c r="M3388" s="1" t="str">
        <f aca="false">IF(F3387&lt;&gt;F3388,F3388,"")</f>
        <v/>
      </c>
    </row>
    <row r="3389" customFormat="false" ht="15" hidden="false" customHeight="false" outlineLevel="0" collapsed="false">
      <c r="A3389" s="1" t="s">
        <v>995</v>
      </c>
      <c r="B3389" s="1" t="s">
        <v>996</v>
      </c>
      <c r="C3389" s="1" t="s">
        <v>970</v>
      </c>
      <c r="D3389" s="1" t="s">
        <v>971</v>
      </c>
      <c r="E3389" s="1" t="n">
        <v>20171</v>
      </c>
      <c r="F3389" s="1" t="s">
        <v>972</v>
      </c>
      <c r="G3389" s="1" t="s">
        <v>787</v>
      </c>
      <c r="H3389" s="1" t="n">
        <v>0</v>
      </c>
      <c r="I3389" s="1" t="n">
        <v>0</v>
      </c>
      <c r="J3389" s="1" t="n">
        <v>20201</v>
      </c>
      <c r="L3389" s="1" t="str">
        <f aca="false">IF(D3388&lt;&gt;D3389,D3389,"")</f>
        <v/>
      </c>
      <c r="M3389" s="1" t="str">
        <f aca="false">IF(F3388&lt;&gt;F3389,F3389,"")</f>
        <v/>
      </c>
    </row>
    <row r="3390" customFormat="false" ht="15" hidden="false" customHeight="false" outlineLevel="0" collapsed="false">
      <c r="A3390" s="1" t="s">
        <v>997</v>
      </c>
      <c r="B3390" s="1" t="s">
        <v>998</v>
      </c>
      <c r="C3390" s="1" t="s">
        <v>970</v>
      </c>
      <c r="D3390" s="1" t="s">
        <v>971</v>
      </c>
      <c r="E3390" s="1" t="n">
        <v>20171</v>
      </c>
      <c r="F3390" s="1" t="s">
        <v>972</v>
      </c>
      <c r="G3390" s="1" t="s">
        <v>15</v>
      </c>
      <c r="H3390" s="1" t="n">
        <v>3.5</v>
      </c>
      <c r="I3390" s="1" t="n">
        <v>0</v>
      </c>
      <c r="J3390" s="1" t="n">
        <v>20201</v>
      </c>
      <c r="L3390" s="1" t="str">
        <f aca="false">IF(D3389&lt;&gt;D3390,D3390,"")</f>
        <v/>
      </c>
      <c r="M3390" s="1" t="str">
        <f aca="false">IF(F3389&lt;&gt;F3390,F3390,"")</f>
        <v/>
      </c>
    </row>
    <row r="3391" customFormat="false" ht="15" hidden="false" customHeight="false" outlineLevel="0" collapsed="false">
      <c r="A3391" s="1" t="s">
        <v>999</v>
      </c>
      <c r="B3391" s="1" t="s">
        <v>1000</v>
      </c>
      <c r="C3391" s="1" t="s">
        <v>970</v>
      </c>
      <c r="D3391" s="1" t="s">
        <v>971</v>
      </c>
      <c r="E3391" s="1" t="n">
        <v>20171</v>
      </c>
      <c r="F3391" s="1" t="s">
        <v>972</v>
      </c>
      <c r="G3391" s="1" t="s">
        <v>15</v>
      </c>
      <c r="H3391" s="1" t="n">
        <v>3.5</v>
      </c>
      <c r="I3391" s="1" t="n">
        <v>0</v>
      </c>
      <c r="J3391" s="1" t="n">
        <v>20201</v>
      </c>
      <c r="L3391" s="1" t="str">
        <f aca="false">IF(D3390&lt;&gt;D3391,D3391,"")</f>
        <v/>
      </c>
      <c r="M3391" s="1" t="str">
        <f aca="false">IF(F3390&lt;&gt;F3391,F3391,"")</f>
        <v/>
      </c>
    </row>
    <row r="3392" customFormat="false" ht="15" hidden="false" customHeight="false" outlineLevel="0" collapsed="false">
      <c r="A3392" s="1" t="s">
        <v>1001</v>
      </c>
      <c r="B3392" s="1" t="s">
        <v>1002</v>
      </c>
      <c r="C3392" s="1" t="s">
        <v>970</v>
      </c>
      <c r="D3392" s="1" t="s">
        <v>971</v>
      </c>
      <c r="E3392" s="1" t="n">
        <v>20171</v>
      </c>
      <c r="F3392" s="1" t="s">
        <v>972</v>
      </c>
      <c r="G3392" s="1" t="s">
        <v>787</v>
      </c>
      <c r="H3392" s="1" t="n">
        <v>0</v>
      </c>
      <c r="I3392" s="1" t="n">
        <v>0</v>
      </c>
      <c r="J3392" s="1" t="n">
        <v>20201</v>
      </c>
      <c r="L3392" s="1" t="str">
        <f aca="false">IF(D3391&lt;&gt;D3392,D3392,"")</f>
        <v/>
      </c>
      <c r="M3392" s="1" t="str">
        <f aca="false">IF(F3391&lt;&gt;F3392,F3392,"")</f>
        <v/>
      </c>
    </row>
    <row r="3393" customFormat="false" ht="15" hidden="false" customHeight="false" outlineLevel="0" collapsed="false">
      <c r="A3393" s="1" t="s">
        <v>1003</v>
      </c>
      <c r="B3393" s="1" t="s">
        <v>1004</v>
      </c>
      <c r="C3393" s="1" t="s">
        <v>970</v>
      </c>
      <c r="D3393" s="1" t="s">
        <v>971</v>
      </c>
      <c r="E3393" s="1" t="n">
        <v>20171</v>
      </c>
      <c r="F3393" s="1" t="s">
        <v>972</v>
      </c>
      <c r="G3393" s="1" t="s">
        <v>15</v>
      </c>
      <c r="H3393" s="1" t="n">
        <v>3.5</v>
      </c>
      <c r="I3393" s="1" t="n">
        <v>0</v>
      </c>
      <c r="J3393" s="1" t="n">
        <v>20201</v>
      </c>
      <c r="L3393" s="1" t="str">
        <f aca="false">IF(D3392&lt;&gt;D3393,D3393,"")</f>
        <v/>
      </c>
      <c r="M3393" s="1" t="str">
        <f aca="false">IF(F3392&lt;&gt;F3393,F3393,"")</f>
        <v/>
      </c>
    </row>
    <row r="3394" customFormat="false" ht="15" hidden="false" customHeight="false" outlineLevel="0" collapsed="false">
      <c r="A3394" s="1" t="s">
        <v>1005</v>
      </c>
      <c r="B3394" s="1" t="s">
        <v>1006</v>
      </c>
      <c r="C3394" s="1" t="s">
        <v>970</v>
      </c>
      <c r="D3394" s="1" t="s">
        <v>971</v>
      </c>
      <c r="E3394" s="1" t="n">
        <v>20171</v>
      </c>
      <c r="F3394" s="1" t="s">
        <v>972</v>
      </c>
      <c r="G3394" s="1" t="s">
        <v>14</v>
      </c>
      <c r="H3394" s="1" t="n">
        <v>4</v>
      </c>
      <c r="I3394" s="1" t="n">
        <v>0</v>
      </c>
      <c r="J3394" s="1" t="n">
        <v>20201</v>
      </c>
      <c r="L3394" s="1" t="str">
        <f aca="false">IF(D3393&lt;&gt;D3394,D3394,"")</f>
        <v/>
      </c>
      <c r="M3394" s="1" t="str">
        <f aca="false">IF(F3393&lt;&gt;F3394,F3394,"")</f>
        <v/>
      </c>
    </row>
    <row r="3395" customFormat="false" ht="15" hidden="false" customHeight="false" outlineLevel="0" collapsed="false">
      <c r="A3395" s="1" t="s">
        <v>1007</v>
      </c>
      <c r="B3395" s="1" t="s">
        <v>1008</v>
      </c>
      <c r="C3395" s="1" t="s">
        <v>970</v>
      </c>
      <c r="D3395" s="1" t="s">
        <v>971</v>
      </c>
      <c r="E3395" s="1" t="n">
        <v>20171</v>
      </c>
      <c r="F3395" s="1" t="s">
        <v>972</v>
      </c>
      <c r="G3395" s="1" t="s">
        <v>787</v>
      </c>
      <c r="H3395" s="1" t="n">
        <v>0</v>
      </c>
      <c r="I3395" s="1" t="n">
        <v>0</v>
      </c>
      <c r="J3395" s="1" t="n">
        <v>20201</v>
      </c>
      <c r="L3395" s="1" t="str">
        <f aca="false">IF(D3394&lt;&gt;D3395,D3395,"")</f>
        <v/>
      </c>
      <c r="M3395" s="1" t="str">
        <f aca="false">IF(F3394&lt;&gt;F3395,F3395,"")</f>
        <v/>
      </c>
    </row>
    <row r="3396" customFormat="false" ht="15" hidden="false" customHeight="false" outlineLevel="0" collapsed="false">
      <c r="A3396" s="1" t="s">
        <v>1009</v>
      </c>
      <c r="B3396" s="1" t="s">
        <v>1010</v>
      </c>
      <c r="C3396" s="1" t="s">
        <v>970</v>
      </c>
      <c r="D3396" s="1" t="s">
        <v>971</v>
      </c>
      <c r="E3396" s="1" t="n">
        <v>20171</v>
      </c>
      <c r="F3396" s="1" t="s">
        <v>972</v>
      </c>
      <c r="G3396" s="1" t="s">
        <v>787</v>
      </c>
      <c r="H3396" s="1" t="n">
        <v>0</v>
      </c>
      <c r="I3396" s="1" t="n">
        <v>0</v>
      </c>
      <c r="J3396" s="1" t="n">
        <v>20201</v>
      </c>
      <c r="L3396" s="1" t="str">
        <f aca="false">IF(D3395&lt;&gt;D3396,D3396,"")</f>
        <v/>
      </c>
      <c r="M3396" s="1" t="str">
        <f aca="false">IF(F3395&lt;&gt;F3396,F3396,"")</f>
        <v/>
      </c>
    </row>
    <row r="3397" customFormat="false" ht="15" hidden="false" customHeight="false" outlineLevel="0" collapsed="false">
      <c r="A3397" s="1" t="s">
        <v>304</v>
      </c>
      <c r="B3397" s="1" t="s">
        <v>305</v>
      </c>
      <c r="C3397" s="1" t="s">
        <v>970</v>
      </c>
      <c r="D3397" s="1" t="s">
        <v>971</v>
      </c>
      <c r="E3397" s="1" t="n">
        <v>20171</v>
      </c>
      <c r="F3397" s="1" t="s">
        <v>972</v>
      </c>
      <c r="G3397" s="1" t="s">
        <v>787</v>
      </c>
      <c r="H3397" s="1" t="n">
        <v>0</v>
      </c>
      <c r="I3397" s="1" t="n">
        <v>0</v>
      </c>
      <c r="J3397" s="1" t="n">
        <v>20201</v>
      </c>
      <c r="L3397" s="1" t="str">
        <f aca="false">IF(D3396&lt;&gt;D3397,D3397,"")</f>
        <v/>
      </c>
      <c r="M3397" s="1" t="str">
        <f aca="false">IF(F3396&lt;&gt;F3397,F3397,"")</f>
        <v/>
      </c>
    </row>
    <row r="3398" customFormat="false" ht="15" hidden="false" customHeight="false" outlineLevel="0" collapsed="false">
      <c r="A3398" s="1" t="s">
        <v>1011</v>
      </c>
      <c r="B3398" s="1" t="s">
        <v>1012</v>
      </c>
      <c r="C3398" s="1" t="s">
        <v>970</v>
      </c>
      <c r="D3398" s="1" t="s">
        <v>971</v>
      </c>
      <c r="E3398" s="1" t="n">
        <v>20171</v>
      </c>
      <c r="F3398" s="1" t="s">
        <v>972</v>
      </c>
      <c r="G3398" s="1" t="s">
        <v>14</v>
      </c>
      <c r="H3398" s="1" t="n">
        <v>4</v>
      </c>
      <c r="I3398" s="1" t="n">
        <v>0</v>
      </c>
      <c r="J3398" s="1" t="n">
        <v>20201</v>
      </c>
      <c r="L3398" s="1" t="str">
        <f aca="false">IF(D3397&lt;&gt;D3398,D3398,"")</f>
        <v/>
      </c>
      <c r="M3398" s="1" t="str">
        <f aca="false">IF(F3397&lt;&gt;F3398,F3398,"")</f>
        <v/>
      </c>
    </row>
    <row r="3399" customFormat="false" ht="15" hidden="false" customHeight="false" outlineLevel="0" collapsed="false">
      <c r="A3399" s="1" t="s">
        <v>1013</v>
      </c>
      <c r="B3399" s="1" t="s">
        <v>1014</v>
      </c>
      <c r="C3399" s="1" t="s">
        <v>970</v>
      </c>
      <c r="D3399" s="1" t="s">
        <v>971</v>
      </c>
      <c r="E3399" s="1" t="n">
        <v>20171</v>
      </c>
      <c r="F3399" s="1" t="s">
        <v>972</v>
      </c>
      <c r="G3399" s="1" t="s">
        <v>14</v>
      </c>
      <c r="H3399" s="1" t="n">
        <v>4</v>
      </c>
      <c r="I3399" s="1" t="n">
        <v>0</v>
      </c>
      <c r="J3399" s="1" t="n">
        <v>20201</v>
      </c>
      <c r="L3399" s="1" t="str">
        <f aca="false">IF(D3398&lt;&gt;D3399,D3399,"")</f>
        <v/>
      </c>
      <c r="M3399" s="1" t="str">
        <f aca="false">IF(F3398&lt;&gt;F3399,F3399,"")</f>
        <v/>
      </c>
    </row>
    <row r="3400" customFormat="false" ht="15" hidden="false" customHeight="false" outlineLevel="0" collapsed="false">
      <c r="A3400" s="1" t="s">
        <v>1015</v>
      </c>
      <c r="B3400" s="1" t="s">
        <v>1016</v>
      </c>
      <c r="C3400" s="1" t="s">
        <v>970</v>
      </c>
      <c r="D3400" s="1" t="s">
        <v>971</v>
      </c>
      <c r="E3400" s="1" t="n">
        <v>20171</v>
      </c>
      <c r="F3400" s="1" t="s">
        <v>972</v>
      </c>
      <c r="G3400" s="1" t="s">
        <v>787</v>
      </c>
      <c r="H3400" s="1" t="n">
        <v>0</v>
      </c>
      <c r="I3400" s="1" t="n">
        <v>0</v>
      </c>
      <c r="J3400" s="1" t="n">
        <v>20201</v>
      </c>
      <c r="L3400" s="1" t="str">
        <f aca="false">IF(D3399&lt;&gt;D3400,D3400,"")</f>
        <v/>
      </c>
      <c r="M3400" s="1" t="str">
        <f aca="false">IF(F3399&lt;&gt;F3400,F3400,"")</f>
        <v/>
      </c>
    </row>
    <row r="3401" customFormat="false" ht="15" hidden="false" customHeight="false" outlineLevel="0" collapsed="false">
      <c r="A3401" s="1" t="s">
        <v>1017</v>
      </c>
      <c r="B3401" s="1" t="s">
        <v>1018</v>
      </c>
      <c r="C3401" s="1" t="s">
        <v>970</v>
      </c>
      <c r="D3401" s="1" t="s">
        <v>971</v>
      </c>
      <c r="E3401" s="1" t="n">
        <v>20171</v>
      </c>
      <c r="F3401" s="1" t="s">
        <v>972</v>
      </c>
      <c r="G3401" s="1" t="s">
        <v>787</v>
      </c>
      <c r="H3401" s="1" t="n">
        <v>0</v>
      </c>
      <c r="I3401" s="1" t="n">
        <v>0</v>
      </c>
      <c r="J3401" s="1" t="n">
        <v>20201</v>
      </c>
      <c r="L3401" s="1" t="str">
        <f aca="false">IF(D3400&lt;&gt;D3401,D3401,"")</f>
        <v/>
      </c>
      <c r="M3401" s="1" t="str">
        <f aca="false">IF(F3400&lt;&gt;F3401,F3401,"")</f>
        <v/>
      </c>
    </row>
    <row r="3402" customFormat="false" ht="15" hidden="false" customHeight="false" outlineLevel="0" collapsed="false">
      <c r="A3402" s="1" t="s">
        <v>912</v>
      </c>
      <c r="B3402" s="1" t="s">
        <v>913</v>
      </c>
      <c r="C3402" s="1" t="s">
        <v>970</v>
      </c>
      <c r="D3402" s="1" t="s">
        <v>971</v>
      </c>
      <c r="E3402" s="1" t="n">
        <v>20171</v>
      </c>
      <c r="F3402" s="1" t="s">
        <v>972</v>
      </c>
      <c r="G3402" s="1" t="s">
        <v>787</v>
      </c>
      <c r="H3402" s="1" t="n">
        <v>0</v>
      </c>
      <c r="I3402" s="1" t="n">
        <v>0</v>
      </c>
      <c r="J3402" s="1" t="n">
        <v>20201</v>
      </c>
      <c r="L3402" s="1" t="str">
        <f aca="false">IF(D3401&lt;&gt;D3402,D3402,"")</f>
        <v/>
      </c>
      <c r="M3402" s="1" t="str">
        <f aca="false">IF(F3401&lt;&gt;F3402,F3402,"")</f>
        <v/>
      </c>
    </row>
    <row r="3403" customFormat="false" ht="15" hidden="false" customHeight="false" outlineLevel="0" collapsed="false">
      <c r="A3403" s="1" t="s">
        <v>10</v>
      </c>
      <c r="B3403" s="1" t="s">
        <v>11</v>
      </c>
      <c r="C3403" s="1" t="s">
        <v>970</v>
      </c>
      <c r="D3403" s="1" t="s">
        <v>971</v>
      </c>
      <c r="E3403" s="1" t="n">
        <v>20171</v>
      </c>
      <c r="F3403" s="1" t="s">
        <v>972</v>
      </c>
      <c r="G3403" s="1" t="s">
        <v>787</v>
      </c>
      <c r="H3403" s="1" t="n">
        <v>0</v>
      </c>
      <c r="I3403" s="1" t="n">
        <v>0</v>
      </c>
      <c r="J3403" s="1" t="n">
        <v>20201</v>
      </c>
      <c r="L3403" s="1" t="str">
        <f aca="false">IF(D3402&lt;&gt;D3403,D3403,"")</f>
        <v/>
      </c>
      <c r="M3403" s="1" t="str">
        <f aca="false">IF(F3402&lt;&gt;F3403,F3403,"")</f>
        <v/>
      </c>
    </row>
    <row r="3404" customFormat="false" ht="15" hidden="false" customHeight="false" outlineLevel="0" collapsed="false">
      <c r="A3404" s="1" t="s">
        <v>1019</v>
      </c>
      <c r="B3404" s="1" t="s">
        <v>1020</v>
      </c>
      <c r="C3404" s="1" t="s">
        <v>970</v>
      </c>
      <c r="D3404" s="1" t="s">
        <v>971</v>
      </c>
      <c r="E3404" s="1" t="n">
        <v>20171</v>
      </c>
      <c r="F3404" s="1" t="s">
        <v>972</v>
      </c>
      <c r="G3404" s="1" t="s">
        <v>787</v>
      </c>
      <c r="H3404" s="1" t="n">
        <v>0</v>
      </c>
      <c r="I3404" s="1" t="n">
        <v>0</v>
      </c>
      <c r="J3404" s="1" t="n">
        <v>20201</v>
      </c>
      <c r="L3404" s="1" t="str">
        <f aca="false">IF(D3403&lt;&gt;D3404,D3404,"")</f>
        <v/>
      </c>
      <c r="M3404" s="1" t="str">
        <f aca="false">IF(F3403&lt;&gt;F3404,F3404,"")</f>
        <v/>
      </c>
    </row>
    <row r="3405" customFormat="false" ht="15" hidden="false" customHeight="false" outlineLevel="0" collapsed="false">
      <c r="A3405" s="1" t="s">
        <v>1021</v>
      </c>
      <c r="B3405" s="1" t="s">
        <v>1022</v>
      </c>
      <c r="C3405" s="1" t="s">
        <v>970</v>
      </c>
      <c r="D3405" s="1" t="s">
        <v>971</v>
      </c>
      <c r="E3405" s="1" t="n">
        <v>20171</v>
      </c>
      <c r="F3405" s="1" t="s">
        <v>972</v>
      </c>
      <c r="G3405" s="1" t="s">
        <v>787</v>
      </c>
      <c r="H3405" s="1" t="n">
        <v>0</v>
      </c>
      <c r="I3405" s="1" t="n">
        <v>0</v>
      </c>
      <c r="J3405" s="1" t="n">
        <v>20201</v>
      </c>
      <c r="L3405" s="1" t="str">
        <f aca="false">IF(D3404&lt;&gt;D3405,D3405,"")</f>
        <v/>
      </c>
      <c r="M3405" s="1" t="str">
        <f aca="false">IF(F3404&lt;&gt;F3405,F3405,"")</f>
        <v/>
      </c>
    </row>
    <row r="3406" customFormat="false" ht="15" hidden="false" customHeight="false" outlineLevel="0" collapsed="false">
      <c r="A3406" s="1" t="s">
        <v>1023</v>
      </c>
      <c r="B3406" s="1" t="s">
        <v>1024</v>
      </c>
      <c r="C3406" s="1" t="s">
        <v>970</v>
      </c>
      <c r="D3406" s="1" t="s">
        <v>971</v>
      </c>
      <c r="E3406" s="1" t="n">
        <v>20171</v>
      </c>
      <c r="F3406" s="1" t="s">
        <v>972</v>
      </c>
      <c r="G3406" s="1" t="s">
        <v>787</v>
      </c>
      <c r="H3406" s="1" t="n">
        <v>0</v>
      </c>
      <c r="I3406" s="1" t="n">
        <v>0</v>
      </c>
      <c r="J3406" s="1" t="n">
        <v>20201</v>
      </c>
      <c r="L3406" s="1" t="str">
        <f aca="false">IF(D3405&lt;&gt;D3406,D3406,"")</f>
        <v/>
      </c>
      <c r="M3406" s="1" t="str">
        <f aca="false">IF(F3405&lt;&gt;F3406,F3406,"")</f>
        <v/>
      </c>
    </row>
    <row r="3407" customFormat="false" ht="15" hidden="false" customHeight="false" outlineLevel="0" collapsed="false">
      <c r="A3407" s="1" t="s">
        <v>1025</v>
      </c>
      <c r="B3407" s="1" t="s">
        <v>1026</v>
      </c>
      <c r="C3407" s="1" t="s">
        <v>970</v>
      </c>
      <c r="D3407" s="1" t="s">
        <v>971</v>
      </c>
      <c r="E3407" s="1" t="n">
        <v>20171</v>
      </c>
      <c r="F3407" s="1" t="s">
        <v>972</v>
      </c>
      <c r="G3407" s="1" t="s">
        <v>787</v>
      </c>
      <c r="H3407" s="1" t="n">
        <v>0</v>
      </c>
      <c r="I3407" s="1" t="n">
        <v>0</v>
      </c>
      <c r="J3407" s="1" t="n">
        <v>20201</v>
      </c>
      <c r="L3407" s="1" t="str">
        <f aca="false">IF(D3406&lt;&gt;D3407,D3407,"")</f>
        <v/>
      </c>
      <c r="M3407" s="1" t="str">
        <f aca="false">IF(F3406&lt;&gt;F3407,F3407,"")</f>
        <v/>
      </c>
    </row>
    <row r="3408" customFormat="false" ht="15" hidden="false" customHeight="false" outlineLevel="0" collapsed="false">
      <c r="A3408" s="1" t="s">
        <v>1027</v>
      </c>
      <c r="B3408" s="1" t="s">
        <v>1028</v>
      </c>
      <c r="C3408" s="1" t="s">
        <v>970</v>
      </c>
      <c r="D3408" s="1" t="s">
        <v>971</v>
      </c>
      <c r="E3408" s="1" t="n">
        <v>20171</v>
      </c>
      <c r="F3408" s="1" t="s">
        <v>972</v>
      </c>
      <c r="G3408" s="1" t="s">
        <v>787</v>
      </c>
      <c r="H3408" s="1" t="n">
        <v>0</v>
      </c>
      <c r="I3408" s="1" t="n">
        <v>0</v>
      </c>
      <c r="J3408" s="1" t="n">
        <v>20201</v>
      </c>
      <c r="L3408" s="1" t="str">
        <f aca="false">IF(D3407&lt;&gt;D3408,D3408,"")</f>
        <v/>
      </c>
      <c r="M3408" s="1" t="str">
        <f aca="false">IF(F3407&lt;&gt;F3408,F3408,"")</f>
        <v/>
      </c>
    </row>
    <row r="3409" customFormat="false" ht="15" hidden="false" customHeight="false" outlineLevel="0" collapsed="false">
      <c r="A3409" s="1" t="s">
        <v>1029</v>
      </c>
      <c r="B3409" s="1" t="s">
        <v>1030</v>
      </c>
      <c r="C3409" s="1" t="s">
        <v>970</v>
      </c>
      <c r="D3409" s="1" t="s">
        <v>971</v>
      </c>
      <c r="E3409" s="1" t="n">
        <v>20171</v>
      </c>
      <c r="F3409" s="1" t="s">
        <v>972</v>
      </c>
      <c r="G3409" s="1" t="s">
        <v>787</v>
      </c>
      <c r="H3409" s="1" t="n">
        <v>0</v>
      </c>
      <c r="I3409" s="1" t="n">
        <v>0</v>
      </c>
      <c r="J3409" s="1" t="n">
        <v>20201</v>
      </c>
      <c r="L3409" s="1" t="str">
        <f aca="false">IF(D3408&lt;&gt;D3409,D3409,"")</f>
        <v/>
      </c>
      <c r="M3409" s="1" t="str">
        <f aca="false">IF(F3408&lt;&gt;F3409,F3409,"")</f>
        <v/>
      </c>
    </row>
    <row r="3410" customFormat="false" ht="15" hidden="false" customHeight="false" outlineLevel="0" collapsed="false">
      <c r="A3410" s="1" t="s">
        <v>1031</v>
      </c>
      <c r="B3410" s="1" t="s">
        <v>1032</v>
      </c>
      <c r="C3410" s="1" t="s">
        <v>970</v>
      </c>
      <c r="D3410" s="1" t="s">
        <v>971</v>
      </c>
      <c r="E3410" s="1" t="n">
        <v>20171</v>
      </c>
      <c r="F3410" s="1" t="s">
        <v>972</v>
      </c>
      <c r="G3410" s="1" t="s">
        <v>787</v>
      </c>
      <c r="H3410" s="1" t="n">
        <v>0</v>
      </c>
      <c r="I3410" s="1" t="n">
        <v>0</v>
      </c>
      <c r="J3410" s="1" t="n">
        <v>20201</v>
      </c>
      <c r="L3410" s="1" t="str">
        <f aca="false">IF(D3409&lt;&gt;D3410,D3410,"")</f>
        <v/>
      </c>
      <c r="M3410" s="1" t="str">
        <f aca="false">IF(F3409&lt;&gt;F3410,F3410,"")</f>
        <v/>
      </c>
    </row>
    <row r="3411" customFormat="false" ht="15" hidden="false" customHeight="false" outlineLevel="0" collapsed="false">
      <c r="A3411" s="1" t="s">
        <v>1033</v>
      </c>
      <c r="B3411" s="1" t="s">
        <v>1034</v>
      </c>
      <c r="C3411" s="1" t="s">
        <v>970</v>
      </c>
      <c r="D3411" s="1" t="s">
        <v>971</v>
      </c>
      <c r="E3411" s="1" t="n">
        <v>20171</v>
      </c>
      <c r="F3411" s="1" t="s">
        <v>972</v>
      </c>
      <c r="G3411" s="1" t="s">
        <v>787</v>
      </c>
      <c r="H3411" s="1" t="n">
        <v>0</v>
      </c>
      <c r="I3411" s="1" t="n">
        <v>0</v>
      </c>
      <c r="J3411" s="1" t="n">
        <v>20201</v>
      </c>
      <c r="L3411" s="1" t="str">
        <f aca="false">IF(D3410&lt;&gt;D3411,D3411,"")</f>
        <v/>
      </c>
      <c r="M3411" s="1" t="str">
        <f aca="false">IF(F3410&lt;&gt;F3411,F3411,"")</f>
        <v/>
      </c>
    </row>
    <row r="3412" customFormat="false" ht="15" hidden="false" customHeight="false" outlineLevel="0" collapsed="false">
      <c r="A3412" s="1" t="s">
        <v>1035</v>
      </c>
      <c r="B3412" s="1" t="s">
        <v>1036</v>
      </c>
      <c r="C3412" s="1" t="s">
        <v>970</v>
      </c>
      <c r="D3412" s="1" t="s">
        <v>971</v>
      </c>
      <c r="E3412" s="1" t="n">
        <v>20171</v>
      </c>
      <c r="F3412" s="1" t="s">
        <v>972</v>
      </c>
      <c r="G3412" s="1" t="s">
        <v>787</v>
      </c>
      <c r="H3412" s="1" t="n">
        <v>0</v>
      </c>
      <c r="I3412" s="1" t="n">
        <v>0</v>
      </c>
      <c r="J3412" s="1" t="n">
        <v>20201</v>
      </c>
      <c r="L3412" s="1" t="str">
        <f aca="false">IF(D3411&lt;&gt;D3412,D3412,"")</f>
        <v/>
      </c>
      <c r="M3412" s="1" t="str">
        <f aca="false">IF(F3411&lt;&gt;F3412,F3412,"")</f>
        <v/>
      </c>
    </row>
    <row r="3413" customFormat="false" ht="15" hidden="false" customHeight="false" outlineLevel="0" collapsed="false">
      <c r="A3413" s="1" t="s">
        <v>1037</v>
      </c>
      <c r="B3413" s="1" t="s">
        <v>1038</v>
      </c>
      <c r="C3413" s="1" t="s">
        <v>970</v>
      </c>
      <c r="D3413" s="1" t="s">
        <v>971</v>
      </c>
      <c r="E3413" s="1" t="n">
        <v>20171</v>
      </c>
      <c r="F3413" s="1" t="s">
        <v>972</v>
      </c>
      <c r="G3413" s="1" t="s">
        <v>787</v>
      </c>
      <c r="H3413" s="1" t="n">
        <v>0</v>
      </c>
      <c r="I3413" s="1" t="n">
        <v>0</v>
      </c>
      <c r="J3413" s="1" t="n">
        <v>20201</v>
      </c>
      <c r="L3413" s="1" t="str">
        <f aca="false">IF(D3412&lt;&gt;D3413,D3413,"")</f>
        <v/>
      </c>
      <c r="M3413" s="1" t="str">
        <f aca="false">IF(F3412&lt;&gt;F3413,F3413,"")</f>
        <v/>
      </c>
    </row>
    <row r="3414" customFormat="false" ht="15" hidden="false" customHeight="false" outlineLevel="0" collapsed="false">
      <c r="A3414" s="1" t="s">
        <v>1039</v>
      </c>
      <c r="B3414" s="1" t="s">
        <v>1040</v>
      </c>
      <c r="C3414" s="1" t="s">
        <v>970</v>
      </c>
      <c r="D3414" s="1" t="s">
        <v>971</v>
      </c>
      <c r="E3414" s="1" t="n">
        <v>20171</v>
      </c>
      <c r="F3414" s="1" t="s">
        <v>972</v>
      </c>
      <c r="G3414" s="1" t="s">
        <v>15</v>
      </c>
      <c r="H3414" s="1" t="n">
        <v>3.5</v>
      </c>
      <c r="I3414" s="1" t="n">
        <v>0</v>
      </c>
      <c r="J3414" s="1" t="n">
        <v>20201</v>
      </c>
      <c r="L3414" s="1" t="str">
        <f aca="false">IF(D3413&lt;&gt;D3414,D3414,"")</f>
        <v/>
      </c>
      <c r="M3414" s="1" t="str">
        <f aca="false">IF(F3413&lt;&gt;F3414,F3414,"")</f>
        <v/>
      </c>
    </row>
    <row r="3415" customFormat="false" ht="15" hidden="false" customHeight="false" outlineLevel="0" collapsed="false">
      <c r="A3415" s="1" t="s">
        <v>1041</v>
      </c>
      <c r="B3415" s="1" t="s">
        <v>1042</v>
      </c>
      <c r="C3415" s="1" t="s">
        <v>970</v>
      </c>
      <c r="D3415" s="1" t="s">
        <v>971</v>
      </c>
      <c r="E3415" s="1" t="n">
        <v>20171</v>
      </c>
      <c r="F3415" s="1" t="s">
        <v>972</v>
      </c>
      <c r="G3415" s="1" t="s">
        <v>15</v>
      </c>
      <c r="H3415" s="1" t="n">
        <v>3.5</v>
      </c>
      <c r="I3415" s="1" t="n">
        <v>0</v>
      </c>
      <c r="J3415" s="1" t="n">
        <v>20201</v>
      </c>
      <c r="L3415" s="1" t="str">
        <f aca="false">IF(D3414&lt;&gt;D3415,D3415,"")</f>
        <v/>
      </c>
      <c r="M3415" s="1" t="str">
        <f aca="false">IF(F3414&lt;&gt;F3415,F3415,"")</f>
        <v/>
      </c>
    </row>
    <row r="3416" customFormat="false" ht="15" hidden="false" customHeight="false" outlineLevel="0" collapsed="false">
      <c r="A3416" s="1" t="s">
        <v>1043</v>
      </c>
      <c r="B3416" s="1" t="s">
        <v>1044</v>
      </c>
      <c r="C3416" s="1" t="s">
        <v>970</v>
      </c>
      <c r="D3416" s="1" t="s">
        <v>971</v>
      </c>
      <c r="E3416" s="1" t="n">
        <v>20171</v>
      </c>
      <c r="F3416" s="1" t="s">
        <v>972</v>
      </c>
      <c r="G3416" s="1" t="s">
        <v>787</v>
      </c>
      <c r="H3416" s="1" t="n">
        <v>0</v>
      </c>
      <c r="I3416" s="1" t="n">
        <v>0</v>
      </c>
      <c r="J3416" s="1" t="n">
        <v>20201</v>
      </c>
      <c r="L3416" s="1" t="str">
        <f aca="false">IF(D3415&lt;&gt;D3416,D3416,"")</f>
        <v/>
      </c>
      <c r="M3416" s="1" t="str">
        <f aca="false">IF(F3415&lt;&gt;F3416,F3416,"")</f>
        <v/>
      </c>
    </row>
    <row r="3417" customFormat="false" ht="15" hidden="false" customHeight="false" outlineLevel="0" collapsed="false">
      <c r="A3417" s="1" t="s">
        <v>1045</v>
      </c>
      <c r="B3417" s="1" t="s">
        <v>1046</v>
      </c>
      <c r="C3417" s="1" t="s">
        <v>970</v>
      </c>
      <c r="D3417" s="1" t="s">
        <v>971</v>
      </c>
      <c r="E3417" s="1" t="n">
        <v>20171</v>
      </c>
      <c r="F3417" s="1" t="s">
        <v>972</v>
      </c>
      <c r="G3417" s="1" t="s">
        <v>15</v>
      </c>
      <c r="H3417" s="1" t="n">
        <v>3.5</v>
      </c>
      <c r="I3417" s="1" t="n">
        <v>0</v>
      </c>
      <c r="J3417" s="1" t="n">
        <v>20201</v>
      </c>
      <c r="L3417" s="1" t="str">
        <f aca="false">IF(D3416&lt;&gt;D3417,D3417,"")</f>
        <v/>
      </c>
      <c r="M3417" s="1" t="str">
        <f aca="false">IF(F3416&lt;&gt;F3417,F3417,"")</f>
        <v/>
      </c>
    </row>
    <row r="3418" customFormat="false" ht="15" hidden="false" customHeight="false" outlineLevel="0" collapsed="false">
      <c r="A3418" s="1" t="s">
        <v>1047</v>
      </c>
      <c r="B3418" s="1" t="s">
        <v>1048</v>
      </c>
      <c r="C3418" s="1" t="s">
        <v>970</v>
      </c>
      <c r="D3418" s="1" t="s">
        <v>971</v>
      </c>
      <c r="E3418" s="1" t="n">
        <v>20171</v>
      </c>
      <c r="F3418" s="1" t="s">
        <v>972</v>
      </c>
      <c r="G3418" s="1" t="s">
        <v>787</v>
      </c>
      <c r="H3418" s="1" t="n">
        <v>0</v>
      </c>
      <c r="I3418" s="1" t="n">
        <v>0</v>
      </c>
      <c r="J3418" s="1" t="n">
        <v>20201</v>
      </c>
      <c r="L3418" s="1" t="str">
        <f aca="false">IF(D3417&lt;&gt;D3418,D3418,"")</f>
        <v/>
      </c>
      <c r="M3418" s="1" t="str">
        <f aca="false">IF(F3417&lt;&gt;F3418,F3418,"")</f>
        <v/>
      </c>
    </row>
    <row r="3419" customFormat="false" ht="15" hidden="false" customHeight="false" outlineLevel="0" collapsed="false">
      <c r="A3419" s="1" t="s">
        <v>783</v>
      </c>
      <c r="B3419" s="1" t="s">
        <v>784</v>
      </c>
      <c r="C3419" s="1" t="s">
        <v>970</v>
      </c>
      <c r="D3419" s="1" t="s">
        <v>971</v>
      </c>
      <c r="E3419" s="1" t="n">
        <v>20171</v>
      </c>
      <c r="F3419" s="1" t="s">
        <v>972</v>
      </c>
      <c r="G3419" s="1" t="s">
        <v>787</v>
      </c>
      <c r="H3419" s="1" t="n">
        <v>0</v>
      </c>
      <c r="I3419" s="1" t="n">
        <v>0</v>
      </c>
      <c r="J3419" s="1" t="n">
        <v>20201</v>
      </c>
      <c r="L3419" s="1" t="str">
        <f aca="false">IF(D3418&lt;&gt;D3419,D3419,"")</f>
        <v/>
      </c>
      <c r="M3419" s="1" t="str">
        <f aca="false">IF(F3418&lt;&gt;F3419,F3419,"")</f>
        <v/>
      </c>
    </row>
    <row r="3420" customFormat="false" ht="15" hidden="false" customHeight="false" outlineLevel="0" collapsed="false">
      <c r="A3420" s="1" t="s">
        <v>597</v>
      </c>
      <c r="B3420" s="1" t="s">
        <v>598</v>
      </c>
      <c r="C3420" s="1" t="s">
        <v>970</v>
      </c>
      <c r="D3420" s="1" t="s">
        <v>971</v>
      </c>
      <c r="E3420" s="1" t="n">
        <v>20171</v>
      </c>
      <c r="F3420" s="1" t="s">
        <v>972</v>
      </c>
      <c r="G3420" s="1" t="s">
        <v>787</v>
      </c>
      <c r="H3420" s="1" t="n">
        <v>0</v>
      </c>
      <c r="I3420" s="1" t="n">
        <v>0</v>
      </c>
      <c r="J3420" s="1" t="n">
        <v>20201</v>
      </c>
      <c r="L3420" s="1" t="str">
        <f aca="false">IF(D3419&lt;&gt;D3420,D3420,"")</f>
        <v/>
      </c>
      <c r="M3420" s="1" t="str">
        <f aca="false">IF(F3419&lt;&gt;F3420,F3420,"")</f>
        <v/>
      </c>
    </row>
    <row r="3421" customFormat="false" ht="15" hidden="false" customHeight="false" outlineLevel="0" collapsed="false">
      <c r="A3421" s="1" t="s">
        <v>886</v>
      </c>
      <c r="B3421" s="1" t="s">
        <v>887</v>
      </c>
      <c r="C3421" s="1" t="s">
        <v>970</v>
      </c>
      <c r="D3421" s="1" t="s">
        <v>971</v>
      </c>
      <c r="E3421" s="1" t="n">
        <v>20171</v>
      </c>
      <c r="F3421" s="1" t="s">
        <v>972</v>
      </c>
      <c r="G3421" s="1" t="s">
        <v>787</v>
      </c>
      <c r="H3421" s="1" t="n">
        <v>0</v>
      </c>
      <c r="I3421" s="1" t="n">
        <v>0</v>
      </c>
      <c r="J3421" s="1" t="n">
        <v>20201</v>
      </c>
      <c r="L3421" s="1" t="str">
        <f aca="false">IF(D3420&lt;&gt;D3421,D3421,"")</f>
        <v/>
      </c>
      <c r="M3421" s="1" t="str">
        <f aca="false">IF(F3420&lt;&gt;F3421,F3421,"")</f>
        <v/>
      </c>
    </row>
    <row r="3422" customFormat="false" ht="15" hidden="false" customHeight="false" outlineLevel="0" collapsed="false">
      <c r="A3422" s="1" t="s">
        <v>1049</v>
      </c>
      <c r="B3422" s="1" t="s">
        <v>1050</v>
      </c>
      <c r="C3422" s="1" t="s">
        <v>970</v>
      </c>
      <c r="D3422" s="1" t="s">
        <v>971</v>
      </c>
      <c r="E3422" s="1" t="n">
        <v>20171</v>
      </c>
      <c r="F3422" s="1" t="s">
        <v>972</v>
      </c>
      <c r="G3422" s="1" t="s">
        <v>787</v>
      </c>
      <c r="H3422" s="1" t="n">
        <v>0</v>
      </c>
      <c r="I3422" s="1" t="n">
        <v>0</v>
      </c>
      <c r="J3422" s="1" t="n">
        <v>20201</v>
      </c>
      <c r="L3422" s="1" t="str">
        <f aca="false">IF(D3421&lt;&gt;D3422,D3422,"")</f>
        <v/>
      </c>
      <c r="M3422" s="1" t="str">
        <f aca="false">IF(F3421&lt;&gt;F3422,F3422,"")</f>
        <v/>
      </c>
    </row>
    <row r="3423" customFormat="false" ht="15" hidden="false" customHeight="false" outlineLevel="0" collapsed="false">
      <c r="A3423" s="1" t="s">
        <v>1051</v>
      </c>
      <c r="B3423" s="1" t="s">
        <v>1052</v>
      </c>
      <c r="C3423" s="1" t="s">
        <v>970</v>
      </c>
      <c r="D3423" s="1" t="s">
        <v>971</v>
      </c>
      <c r="E3423" s="1" t="n">
        <v>20171</v>
      </c>
      <c r="F3423" s="1" t="s">
        <v>972</v>
      </c>
      <c r="G3423" s="1" t="s">
        <v>787</v>
      </c>
      <c r="H3423" s="1" t="n">
        <v>0</v>
      </c>
      <c r="I3423" s="1" t="n">
        <v>0</v>
      </c>
      <c r="J3423" s="1" t="n">
        <v>20201</v>
      </c>
      <c r="L3423" s="1" t="str">
        <f aca="false">IF(D3422&lt;&gt;D3423,D3423,"")</f>
        <v/>
      </c>
      <c r="M3423" s="1" t="str">
        <f aca="false">IF(F3422&lt;&gt;F3423,F3423,"")</f>
        <v/>
      </c>
    </row>
    <row r="3424" customFormat="false" ht="15" hidden="false" customHeight="false" outlineLevel="0" collapsed="false">
      <c r="A3424" s="1" t="s">
        <v>603</v>
      </c>
      <c r="B3424" s="1" t="s">
        <v>604</v>
      </c>
      <c r="C3424" s="1" t="s">
        <v>970</v>
      </c>
      <c r="D3424" s="1" t="s">
        <v>971</v>
      </c>
      <c r="E3424" s="1" t="n">
        <v>20171</v>
      </c>
      <c r="F3424" s="1" t="s">
        <v>972</v>
      </c>
      <c r="G3424" s="1" t="s">
        <v>787</v>
      </c>
      <c r="H3424" s="1" t="n">
        <v>0</v>
      </c>
      <c r="I3424" s="1" t="n">
        <v>0</v>
      </c>
      <c r="J3424" s="1" t="n">
        <v>20201</v>
      </c>
      <c r="L3424" s="1" t="str">
        <f aca="false">IF(D3423&lt;&gt;D3424,D3424,"")</f>
        <v/>
      </c>
      <c r="M3424" s="1" t="str">
        <f aca="false">IF(F3423&lt;&gt;F3424,F3424,"")</f>
        <v/>
      </c>
    </row>
    <row r="3425" customFormat="false" ht="15" hidden="false" customHeight="false" outlineLevel="0" collapsed="false">
      <c r="A3425" s="1" t="s">
        <v>1053</v>
      </c>
      <c r="B3425" s="1" t="s">
        <v>1054</v>
      </c>
      <c r="C3425" s="1" t="s">
        <v>970</v>
      </c>
      <c r="D3425" s="1" t="s">
        <v>971</v>
      </c>
      <c r="E3425" s="1" t="n">
        <v>20171</v>
      </c>
      <c r="F3425" s="1" t="s">
        <v>972</v>
      </c>
      <c r="G3425" s="1" t="s">
        <v>787</v>
      </c>
      <c r="H3425" s="1" t="n">
        <v>0</v>
      </c>
      <c r="I3425" s="1" t="n">
        <v>0</v>
      </c>
      <c r="J3425" s="1" t="n">
        <v>20201</v>
      </c>
      <c r="L3425" s="1" t="str">
        <f aca="false">IF(D3424&lt;&gt;D3425,D3425,"")</f>
        <v/>
      </c>
      <c r="M3425" s="1" t="str">
        <f aca="false">IF(F3424&lt;&gt;F3425,F3425,"")</f>
        <v/>
      </c>
    </row>
    <row r="3426" customFormat="false" ht="15" hidden="false" customHeight="false" outlineLevel="0" collapsed="false">
      <c r="A3426" s="1" t="s">
        <v>1055</v>
      </c>
      <c r="B3426" s="1" t="s">
        <v>1056</v>
      </c>
      <c r="C3426" s="1" t="s">
        <v>970</v>
      </c>
      <c r="D3426" s="1" t="s">
        <v>971</v>
      </c>
      <c r="E3426" s="1" t="n">
        <v>20171</v>
      </c>
      <c r="F3426" s="1" t="s">
        <v>972</v>
      </c>
      <c r="G3426" s="1" t="s">
        <v>15</v>
      </c>
      <c r="H3426" s="1" t="n">
        <v>3.5</v>
      </c>
      <c r="I3426" s="1" t="n">
        <v>0</v>
      </c>
      <c r="J3426" s="1" t="n">
        <v>20201</v>
      </c>
      <c r="L3426" s="1" t="str">
        <f aca="false">IF(D3425&lt;&gt;D3426,D3426,"")</f>
        <v/>
      </c>
      <c r="M3426" s="1" t="str">
        <f aca="false">IF(F3425&lt;&gt;F3426,F3426,"")</f>
        <v/>
      </c>
    </row>
    <row r="3427" customFormat="false" ht="15" hidden="false" customHeight="false" outlineLevel="0" collapsed="false">
      <c r="A3427" s="1" t="s">
        <v>747</v>
      </c>
      <c r="B3427" s="1" t="s">
        <v>748</v>
      </c>
      <c r="C3427" s="1" t="s">
        <v>970</v>
      </c>
      <c r="D3427" s="1" t="s">
        <v>971</v>
      </c>
      <c r="E3427" s="1" t="n">
        <v>20171</v>
      </c>
      <c r="F3427" s="1" t="s">
        <v>972</v>
      </c>
      <c r="G3427" s="1" t="s">
        <v>787</v>
      </c>
      <c r="H3427" s="1" t="n">
        <v>0</v>
      </c>
      <c r="I3427" s="1" t="n">
        <v>0</v>
      </c>
      <c r="J3427" s="1" t="n">
        <v>20201</v>
      </c>
      <c r="L3427" s="1" t="str">
        <f aca="false">IF(D3426&lt;&gt;D3427,D3427,"")</f>
        <v/>
      </c>
      <c r="M3427" s="1" t="str">
        <f aca="false">IF(F3426&lt;&gt;F3427,F3427,"")</f>
        <v/>
      </c>
    </row>
    <row r="3428" customFormat="false" ht="15" hidden="false" customHeight="false" outlineLevel="0" collapsed="false">
      <c r="A3428" s="1" t="s">
        <v>1057</v>
      </c>
      <c r="B3428" s="1" t="s">
        <v>1058</v>
      </c>
      <c r="C3428" s="1" t="s">
        <v>970</v>
      </c>
      <c r="D3428" s="1" t="s">
        <v>971</v>
      </c>
      <c r="E3428" s="1" t="n">
        <v>20171</v>
      </c>
      <c r="F3428" s="1" t="s">
        <v>972</v>
      </c>
      <c r="G3428" s="1" t="s">
        <v>787</v>
      </c>
      <c r="H3428" s="1" t="n">
        <v>0</v>
      </c>
      <c r="I3428" s="1" t="n">
        <v>0</v>
      </c>
      <c r="J3428" s="1" t="n">
        <v>20201</v>
      </c>
      <c r="L3428" s="1" t="str">
        <f aca="false">IF(D3427&lt;&gt;D3428,D3428,"")</f>
        <v/>
      </c>
      <c r="M3428" s="1" t="str">
        <f aca="false">IF(F3427&lt;&gt;F3428,F3428,"")</f>
        <v/>
      </c>
    </row>
    <row r="3429" customFormat="false" ht="15" hidden="false" customHeight="false" outlineLevel="0" collapsed="false">
      <c r="A3429" s="1" t="s">
        <v>1059</v>
      </c>
      <c r="B3429" s="1" t="s">
        <v>1060</v>
      </c>
      <c r="C3429" s="1" t="s">
        <v>970</v>
      </c>
      <c r="D3429" s="1" t="s">
        <v>971</v>
      </c>
      <c r="E3429" s="1" t="n">
        <v>20171</v>
      </c>
      <c r="F3429" s="1" t="s">
        <v>972</v>
      </c>
      <c r="G3429" s="1" t="s">
        <v>787</v>
      </c>
      <c r="H3429" s="1" t="n">
        <v>0</v>
      </c>
      <c r="I3429" s="1" t="n">
        <v>0</v>
      </c>
      <c r="J3429" s="1" t="n">
        <v>20201</v>
      </c>
      <c r="L3429" s="1" t="str">
        <f aca="false">IF(D3428&lt;&gt;D3429,D3429,"")</f>
        <v/>
      </c>
      <c r="M3429" s="1" t="str">
        <f aca="false">IF(F3428&lt;&gt;F3429,F3429,"")</f>
        <v/>
      </c>
    </row>
    <row r="3430" customFormat="false" ht="15" hidden="false" customHeight="false" outlineLevel="0" collapsed="false">
      <c r="A3430" s="1" t="s">
        <v>904</v>
      </c>
      <c r="B3430" s="1" t="s">
        <v>905</v>
      </c>
      <c r="C3430" s="1" t="s">
        <v>970</v>
      </c>
      <c r="D3430" s="1" t="s">
        <v>971</v>
      </c>
      <c r="E3430" s="1" t="n">
        <v>20171</v>
      </c>
      <c r="F3430" s="1" t="s">
        <v>972</v>
      </c>
      <c r="G3430" s="1" t="s">
        <v>787</v>
      </c>
      <c r="H3430" s="1" t="n">
        <v>0</v>
      </c>
      <c r="I3430" s="1" t="n">
        <v>0</v>
      </c>
      <c r="J3430" s="1" t="n">
        <v>20201</v>
      </c>
      <c r="L3430" s="1" t="str">
        <f aca="false">IF(D3429&lt;&gt;D3430,D3430,"")</f>
        <v/>
      </c>
      <c r="M3430" s="1" t="str">
        <f aca="false">IF(F3429&lt;&gt;F3430,F3430,"")</f>
        <v/>
      </c>
    </row>
    <row r="3431" customFormat="false" ht="15" hidden="false" customHeight="false" outlineLevel="0" collapsed="false">
      <c r="A3431" s="1" t="s">
        <v>914</v>
      </c>
      <c r="B3431" s="1" t="s">
        <v>915</v>
      </c>
      <c r="C3431" s="1" t="s">
        <v>970</v>
      </c>
      <c r="D3431" s="1" t="s">
        <v>971</v>
      </c>
      <c r="E3431" s="1" t="n">
        <v>20171</v>
      </c>
      <c r="F3431" s="1" t="s">
        <v>972</v>
      </c>
      <c r="G3431" s="1" t="s">
        <v>787</v>
      </c>
      <c r="H3431" s="1" t="n">
        <v>0</v>
      </c>
      <c r="I3431" s="1" t="n">
        <v>0</v>
      </c>
      <c r="J3431" s="1" t="n">
        <v>20201</v>
      </c>
      <c r="L3431" s="1" t="str">
        <f aca="false">IF(D3430&lt;&gt;D3431,D3431,"")</f>
        <v/>
      </c>
      <c r="M3431" s="1" t="str">
        <f aca="false">IF(F3430&lt;&gt;F3431,F3431,"")</f>
        <v/>
      </c>
    </row>
    <row r="3432" customFormat="false" ht="15" hidden="false" customHeight="false" outlineLevel="0" collapsed="false">
      <c r="A3432" s="1" t="s">
        <v>1061</v>
      </c>
      <c r="B3432" s="1" t="s">
        <v>1062</v>
      </c>
      <c r="C3432" s="1" t="s">
        <v>970</v>
      </c>
      <c r="D3432" s="1" t="s">
        <v>971</v>
      </c>
      <c r="E3432" s="1" t="n">
        <v>20171</v>
      </c>
      <c r="F3432" s="1" t="s">
        <v>972</v>
      </c>
      <c r="G3432" s="1" t="s">
        <v>787</v>
      </c>
      <c r="H3432" s="1" t="n">
        <v>0</v>
      </c>
      <c r="I3432" s="1" t="n">
        <v>0</v>
      </c>
      <c r="J3432" s="1" t="n">
        <v>20201</v>
      </c>
      <c r="L3432" s="1" t="str">
        <f aca="false">IF(D3431&lt;&gt;D3432,D3432,"")</f>
        <v/>
      </c>
      <c r="M3432" s="1" t="str">
        <f aca="false">IF(F3431&lt;&gt;F3432,F3432,"")</f>
        <v/>
      </c>
    </row>
    <row r="3433" customFormat="false" ht="15" hidden="false" customHeight="false" outlineLevel="0" collapsed="false">
      <c r="A3433" s="1" t="s">
        <v>950</v>
      </c>
      <c r="B3433" s="1" t="s">
        <v>951</v>
      </c>
      <c r="C3433" s="1" t="s">
        <v>970</v>
      </c>
      <c r="D3433" s="1" t="s">
        <v>971</v>
      </c>
      <c r="E3433" s="1" t="n">
        <v>20171</v>
      </c>
      <c r="F3433" s="1" t="s">
        <v>972</v>
      </c>
      <c r="G3433" s="1" t="s">
        <v>787</v>
      </c>
      <c r="H3433" s="1" t="n">
        <v>0</v>
      </c>
      <c r="I3433" s="1" t="n">
        <v>0</v>
      </c>
      <c r="J3433" s="1" t="n">
        <v>20201</v>
      </c>
      <c r="L3433" s="1" t="str">
        <f aca="false">IF(D3432&lt;&gt;D3433,D3433,"")</f>
        <v/>
      </c>
      <c r="M3433" s="1" t="str">
        <f aca="false">IF(F3432&lt;&gt;F3433,F3433,"")</f>
        <v/>
      </c>
    </row>
    <row r="3434" customFormat="false" ht="15" hidden="false" customHeight="false" outlineLevel="0" collapsed="false">
      <c r="A3434" s="1" t="s">
        <v>1063</v>
      </c>
      <c r="B3434" s="1" t="s">
        <v>1064</v>
      </c>
      <c r="C3434" s="1" t="s">
        <v>970</v>
      </c>
      <c r="D3434" s="1" t="s">
        <v>971</v>
      </c>
      <c r="E3434" s="1" t="n">
        <v>20171</v>
      </c>
      <c r="F3434" s="1" t="s">
        <v>972</v>
      </c>
      <c r="G3434" s="1" t="s">
        <v>787</v>
      </c>
      <c r="H3434" s="1" t="n">
        <v>0</v>
      </c>
      <c r="I3434" s="1" t="n">
        <v>0</v>
      </c>
      <c r="J3434" s="1" t="n">
        <v>20201</v>
      </c>
      <c r="L3434" s="1" t="str">
        <f aca="false">IF(D3433&lt;&gt;D3434,D3434,"")</f>
        <v/>
      </c>
      <c r="M3434" s="1" t="str">
        <f aca="false">IF(F3433&lt;&gt;F3434,F3434,"")</f>
        <v/>
      </c>
    </row>
    <row r="3435" customFormat="false" ht="15" hidden="false" customHeight="false" outlineLevel="0" collapsed="false">
      <c r="A3435" s="1" t="s">
        <v>1065</v>
      </c>
      <c r="B3435" s="1" t="s">
        <v>1066</v>
      </c>
      <c r="C3435" s="1" t="s">
        <v>970</v>
      </c>
      <c r="D3435" s="1" t="s">
        <v>971</v>
      </c>
      <c r="E3435" s="1" t="n">
        <v>20171</v>
      </c>
      <c r="F3435" s="1" t="s">
        <v>972</v>
      </c>
      <c r="G3435" s="1" t="s">
        <v>787</v>
      </c>
      <c r="H3435" s="1" t="n">
        <v>0</v>
      </c>
      <c r="I3435" s="1" t="n">
        <v>0</v>
      </c>
      <c r="J3435" s="1" t="n">
        <v>20201</v>
      </c>
      <c r="L3435" s="1" t="str">
        <f aca="false">IF(D3434&lt;&gt;D3435,D3435,"")</f>
        <v/>
      </c>
      <c r="M3435" s="1" t="str">
        <f aca="false">IF(F3434&lt;&gt;F3435,F3435,"")</f>
        <v/>
      </c>
    </row>
    <row r="3436" customFormat="false" ht="15" hidden="false" customHeight="false" outlineLevel="0" collapsed="false">
      <c r="A3436" s="1" t="s">
        <v>1067</v>
      </c>
      <c r="B3436" s="1" t="s">
        <v>1068</v>
      </c>
      <c r="C3436" s="1" t="s">
        <v>970</v>
      </c>
      <c r="D3436" s="1" t="s">
        <v>971</v>
      </c>
      <c r="E3436" s="1" t="n">
        <v>20171</v>
      </c>
      <c r="F3436" s="1" t="s">
        <v>972</v>
      </c>
      <c r="G3436" s="1" t="s">
        <v>787</v>
      </c>
      <c r="H3436" s="1" t="n">
        <v>0</v>
      </c>
      <c r="I3436" s="1" t="n">
        <v>0</v>
      </c>
      <c r="J3436" s="1" t="n">
        <v>20201</v>
      </c>
      <c r="L3436" s="1" t="str">
        <f aca="false">IF(D3435&lt;&gt;D3436,D3436,"")</f>
        <v/>
      </c>
      <c r="M3436" s="1" t="str">
        <f aca="false">IF(F3435&lt;&gt;F3436,F3436,"")</f>
        <v/>
      </c>
    </row>
    <row r="3437" customFormat="false" ht="15" hidden="false" customHeight="false" outlineLevel="0" collapsed="false">
      <c r="A3437" s="1" t="s">
        <v>306</v>
      </c>
      <c r="B3437" s="1" t="s">
        <v>307</v>
      </c>
      <c r="C3437" s="1" t="s">
        <v>970</v>
      </c>
      <c r="D3437" s="1" t="s">
        <v>971</v>
      </c>
      <c r="E3437" s="1" t="n">
        <v>20171</v>
      </c>
      <c r="F3437" s="1" t="s">
        <v>972</v>
      </c>
      <c r="G3437" s="1" t="s">
        <v>787</v>
      </c>
      <c r="H3437" s="1" t="n">
        <v>0</v>
      </c>
      <c r="I3437" s="1" t="n">
        <v>0</v>
      </c>
      <c r="J3437" s="1" t="n">
        <v>20201</v>
      </c>
      <c r="L3437" s="1" t="str">
        <f aca="false">IF(D3436&lt;&gt;D3437,D3437,"")</f>
        <v/>
      </c>
      <c r="M3437" s="1" t="str">
        <f aca="false">IF(F3436&lt;&gt;F3437,F3437,"")</f>
        <v/>
      </c>
    </row>
    <row r="3438" customFormat="false" ht="15" hidden="false" customHeight="false" outlineLevel="0" collapsed="false">
      <c r="A3438" s="1" t="s">
        <v>605</v>
      </c>
      <c r="B3438" s="1" t="s">
        <v>606</v>
      </c>
      <c r="C3438" s="1" t="s">
        <v>970</v>
      </c>
      <c r="D3438" s="1" t="s">
        <v>971</v>
      </c>
      <c r="E3438" s="1" t="n">
        <v>20171</v>
      </c>
      <c r="F3438" s="1" t="s">
        <v>972</v>
      </c>
      <c r="G3438" s="1" t="s">
        <v>787</v>
      </c>
      <c r="H3438" s="1" t="n">
        <v>0</v>
      </c>
      <c r="I3438" s="1" t="n">
        <v>0</v>
      </c>
      <c r="J3438" s="1" t="n">
        <v>20201</v>
      </c>
      <c r="L3438" s="1" t="str">
        <f aca="false">IF(D3437&lt;&gt;D3438,D3438,"")</f>
        <v/>
      </c>
      <c r="M3438" s="1" t="str">
        <f aca="false">IF(F3437&lt;&gt;F3438,F3438,"")</f>
        <v/>
      </c>
    </row>
    <row r="3439" customFormat="false" ht="15" hidden="false" customHeight="false" outlineLevel="0" collapsed="false">
      <c r="A3439" s="1" t="s">
        <v>1069</v>
      </c>
      <c r="B3439" s="1" t="s">
        <v>1070</v>
      </c>
      <c r="C3439" s="1" t="s">
        <v>970</v>
      </c>
      <c r="D3439" s="1" t="s">
        <v>971</v>
      </c>
      <c r="E3439" s="1" t="n">
        <v>20171</v>
      </c>
      <c r="F3439" s="1" t="s">
        <v>972</v>
      </c>
      <c r="G3439" s="1" t="s">
        <v>14</v>
      </c>
      <c r="H3439" s="1" t="n">
        <v>4</v>
      </c>
      <c r="I3439" s="1" t="n">
        <v>0</v>
      </c>
      <c r="J3439" s="1" t="n">
        <v>20201</v>
      </c>
      <c r="L3439" s="1" t="str">
        <f aca="false">IF(D3438&lt;&gt;D3439,D3439,"")</f>
        <v/>
      </c>
      <c r="M3439" s="1" t="str">
        <f aca="false">IF(F3438&lt;&gt;F3439,F3439,"")</f>
        <v/>
      </c>
    </row>
    <row r="3440" customFormat="false" ht="15" hidden="false" customHeight="false" outlineLevel="0" collapsed="false">
      <c r="A3440" s="1" t="s">
        <v>667</v>
      </c>
      <c r="B3440" s="1" t="s">
        <v>668</v>
      </c>
      <c r="C3440" s="1" t="s">
        <v>970</v>
      </c>
      <c r="D3440" s="1" t="s">
        <v>971</v>
      </c>
      <c r="E3440" s="1" t="n">
        <v>20171</v>
      </c>
      <c r="F3440" s="1" t="s">
        <v>972</v>
      </c>
      <c r="G3440" s="1" t="s">
        <v>787</v>
      </c>
      <c r="H3440" s="1" t="n">
        <v>0</v>
      </c>
      <c r="I3440" s="1" t="n">
        <v>0</v>
      </c>
      <c r="J3440" s="1" t="n">
        <v>20201</v>
      </c>
      <c r="L3440" s="1" t="str">
        <f aca="false">IF(D3439&lt;&gt;D3440,D3440,"")</f>
        <v/>
      </c>
      <c r="M3440" s="1" t="str">
        <f aca="false">IF(F3439&lt;&gt;F3440,F3440,"")</f>
        <v/>
      </c>
    </row>
    <row r="3441" customFormat="false" ht="15" hidden="false" customHeight="false" outlineLevel="0" collapsed="false">
      <c r="A3441" s="1" t="s">
        <v>1071</v>
      </c>
      <c r="B3441" s="1" t="s">
        <v>1072</v>
      </c>
      <c r="C3441" s="1" t="s">
        <v>970</v>
      </c>
      <c r="D3441" s="1" t="s">
        <v>971</v>
      </c>
      <c r="E3441" s="1" t="n">
        <v>20171</v>
      </c>
      <c r="F3441" s="1" t="s">
        <v>972</v>
      </c>
      <c r="G3441" s="1" t="s">
        <v>787</v>
      </c>
      <c r="H3441" s="1" t="n">
        <v>0</v>
      </c>
      <c r="I3441" s="1" t="n">
        <v>0</v>
      </c>
      <c r="J3441" s="1" t="n">
        <v>20201</v>
      </c>
      <c r="L3441" s="1" t="str">
        <f aca="false">IF(D3440&lt;&gt;D3441,D3441,"")</f>
        <v/>
      </c>
      <c r="M3441" s="1" t="str">
        <f aca="false">IF(F3440&lt;&gt;F3441,F3441,"")</f>
        <v/>
      </c>
    </row>
    <row r="3442" customFormat="false" ht="15" hidden="false" customHeight="false" outlineLevel="0" collapsed="false">
      <c r="A3442" s="1" t="s">
        <v>1073</v>
      </c>
      <c r="B3442" s="1" t="s">
        <v>1074</v>
      </c>
      <c r="C3442" s="1" t="s">
        <v>970</v>
      </c>
      <c r="D3442" s="1" t="s">
        <v>971</v>
      </c>
      <c r="E3442" s="1" t="n">
        <v>20171</v>
      </c>
      <c r="F3442" s="1" t="s">
        <v>972</v>
      </c>
      <c r="G3442" s="1" t="s">
        <v>14</v>
      </c>
      <c r="H3442" s="1" t="n">
        <v>4</v>
      </c>
      <c r="I3442" s="1" t="n">
        <v>0</v>
      </c>
      <c r="J3442" s="1" t="n">
        <v>20201</v>
      </c>
      <c r="L3442" s="1" t="str">
        <f aca="false">IF(D3441&lt;&gt;D3442,D3442,"")</f>
        <v/>
      </c>
      <c r="M3442" s="1" t="str">
        <f aca="false">IF(F3441&lt;&gt;F3442,F3442,"")</f>
        <v/>
      </c>
    </row>
    <row r="3443" customFormat="false" ht="15" hidden="false" customHeight="false" outlineLevel="0" collapsed="false">
      <c r="A3443" s="1" t="s">
        <v>308</v>
      </c>
      <c r="B3443" s="1" t="s">
        <v>309</v>
      </c>
      <c r="C3443" s="1" t="s">
        <v>970</v>
      </c>
      <c r="D3443" s="1" t="s">
        <v>971</v>
      </c>
      <c r="E3443" s="1" t="n">
        <v>20171</v>
      </c>
      <c r="F3443" s="1" t="s">
        <v>972</v>
      </c>
      <c r="G3443" s="1" t="s">
        <v>787</v>
      </c>
      <c r="H3443" s="1" t="n">
        <v>0</v>
      </c>
      <c r="I3443" s="1" t="n">
        <v>0</v>
      </c>
      <c r="J3443" s="1" t="n">
        <v>20201</v>
      </c>
      <c r="L3443" s="1" t="str">
        <f aca="false">IF(D3442&lt;&gt;D3443,D3443,"")</f>
        <v/>
      </c>
      <c r="M3443" s="1" t="str">
        <f aca="false">IF(F3442&lt;&gt;F3443,F3443,"")</f>
        <v/>
      </c>
    </row>
    <row r="3444" customFormat="false" ht="15" hidden="false" customHeight="false" outlineLevel="0" collapsed="false">
      <c r="A3444" s="1" t="s">
        <v>862</v>
      </c>
      <c r="B3444" s="1" t="s">
        <v>863</v>
      </c>
      <c r="C3444" s="1" t="s">
        <v>970</v>
      </c>
      <c r="D3444" s="1" t="s">
        <v>971</v>
      </c>
      <c r="E3444" s="1" t="n">
        <v>20171</v>
      </c>
      <c r="F3444" s="1" t="s">
        <v>972</v>
      </c>
      <c r="G3444" s="1" t="s">
        <v>787</v>
      </c>
      <c r="H3444" s="1" t="n">
        <v>0</v>
      </c>
      <c r="I3444" s="1" t="n">
        <v>0</v>
      </c>
      <c r="J3444" s="1" t="n">
        <v>20201</v>
      </c>
      <c r="L3444" s="1" t="str">
        <f aca="false">IF(D3443&lt;&gt;D3444,D3444,"")</f>
        <v/>
      </c>
      <c r="M3444" s="1" t="str">
        <f aca="false">IF(F3443&lt;&gt;F3444,F3444,"")</f>
        <v/>
      </c>
    </row>
    <row r="3445" customFormat="false" ht="15" hidden="false" customHeight="false" outlineLevel="0" collapsed="false">
      <c r="A3445" s="1" t="s">
        <v>934</v>
      </c>
      <c r="B3445" s="1" t="s">
        <v>935</v>
      </c>
      <c r="C3445" s="1" t="s">
        <v>970</v>
      </c>
      <c r="D3445" s="1" t="s">
        <v>971</v>
      </c>
      <c r="E3445" s="1" t="n">
        <v>20171</v>
      </c>
      <c r="F3445" s="1" t="s">
        <v>972</v>
      </c>
      <c r="G3445" s="1" t="s">
        <v>787</v>
      </c>
      <c r="H3445" s="1" t="n">
        <v>0</v>
      </c>
      <c r="I3445" s="1" t="n">
        <v>0</v>
      </c>
      <c r="J3445" s="1" t="n">
        <v>20201</v>
      </c>
      <c r="L3445" s="1" t="str">
        <f aca="false">IF(D3444&lt;&gt;D3445,D3445,"")</f>
        <v/>
      </c>
      <c r="M3445" s="1" t="str">
        <f aca="false">IF(F3444&lt;&gt;F3445,F3445,"")</f>
        <v/>
      </c>
    </row>
    <row r="3446" customFormat="false" ht="15" hidden="false" customHeight="false" outlineLevel="0" collapsed="false">
      <c r="A3446" s="1" t="s">
        <v>1075</v>
      </c>
      <c r="B3446" s="1" t="s">
        <v>1076</v>
      </c>
      <c r="C3446" s="1" t="s">
        <v>970</v>
      </c>
      <c r="D3446" s="1" t="s">
        <v>971</v>
      </c>
      <c r="E3446" s="1" t="n">
        <v>20171</v>
      </c>
      <c r="F3446" s="1" t="s">
        <v>972</v>
      </c>
      <c r="G3446" s="1" t="s">
        <v>787</v>
      </c>
      <c r="H3446" s="1" t="n">
        <v>0</v>
      </c>
      <c r="I3446" s="1" t="n">
        <v>0</v>
      </c>
      <c r="J3446" s="1" t="n">
        <v>20201</v>
      </c>
      <c r="L3446" s="1" t="str">
        <f aca="false">IF(D3445&lt;&gt;D3446,D3446,"")</f>
        <v/>
      </c>
      <c r="M3446" s="1" t="str">
        <f aca="false">IF(F3445&lt;&gt;F3446,F3446,"")</f>
        <v/>
      </c>
    </row>
    <row r="3447" customFormat="false" ht="15" hidden="false" customHeight="false" outlineLevel="0" collapsed="false">
      <c r="A3447" s="1" t="s">
        <v>1077</v>
      </c>
      <c r="B3447" s="1" t="s">
        <v>1078</v>
      </c>
      <c r="C3447" s="1" t="s">
        <v>970</v>
      </c>
      <c r="D3447" s="1" t="s">
        <v>971</v>
      </c>
      <c r="E3447" s="1" t="n">
        <v>20171</v>
      </c>
      <c r="F3447" s="1" t="s">
        <v>972</v>
      </c>
      <c r="G3447" s="1" t="s">
        <v>14</v>
      </c>
      <c r="H3447" s="1" t="n">
        <v>4</v>
      </c>
      <c r="I3447" s="1" t="n">
        <v>0</v>
      </c>
      <c r="J3447" s="1" t="n">
        <v>20201</v>
      </c>
      <c r="L3447" s="1" t="str">
        <f aca="false">IF(D3446&lt;&gt;D3447,D3447,"")</f>
        <v/>
      </c>
      <c r="M3447" s="1" t="str">
        <f aca="false">IF(F3446&lt;&gt;F3447,F3447,"")</f>
        <v/>
      </c>
    </row>
    <row r="3448" customFormat="false" ht="15" hidden="false" customHeight="false" outlineLevel="0" collapsed="false">
      <c r="A3448" s="1" t="s">
        <v>519</v>
      </c>
      <c r="B3448" s="1" t="s">
        <v>520</v>
      </c>
      <c r="C3448" s="1" t="s">
        <v>970</v>
      </c>
      <c r="D3448" s="1" t="s">
        <v>971</v>
      </c>
      <c r="E3448" s="1" t="n">
        <v>20171</v>
      </c>
      <c r="F3448" s="1" t="s">
        <v>972</v>
      </c>
      <c r="G3448" s="1" t="s">
        <v>787</v>
      </c>
      <c r="H3448" s="1" t="n">
        <v>0</v>
      </c>
      <c r="I3448" s="1" t="n">
        <v>0</v>
      </c>
      <c r="J3448" s="1" t="n">
        <v>20201</v>
      </c>
      <c r="L3448" s="1" t="str">
        <f aca="false">IF(D3447&lt;&gt;D3448,D3448,"")</f>
        <v/>
      </c>
      <c r="M3448" s="1" t="str">
        <f aca="false">IF(F3447&lt;&gt;F3448,F3448,"")</f>
        <v/>
      </c>
    </row>
    <row r="3449" customFormat="false" ht="15" hidden="false" customHeight="false" outlineLevel="0" collapsed="false">
      <c r="A3449" s="1" t="s">
        <v>555</v>
      </c>
      <c r="B3449" s="1" t="s">
        <v>556</v>
      </c>
      <c r="C3449" s="1" t="s">
        <v>970</v>
      </c>
      <c r="D3449" s="1" t="s">
        <v>971</v>
      </c>
      <c r="E3449" s="1" t="n">
        <v>20171</v>
      </c>
      <c r="F3449" s="1" t="s">
        <v>972</v>
      </c>
      <c r="G3449" s="1" t="s">
        <v>787</v>
      </c>
      <c r="H3449" s="1" t="n">
        <v>0</v>
      </c>
      <c r="I3449" s="1" t="n">
        <v>0</v>
      </c>
      <c r="J3449" s="1" t="n">
        <v>20201</v>
      </c>
      <c r="L3449" s="1" t="str">
        <f aca="false">IF(D3448&lt;&gt;D3449,D3449,"")</f>
        <v/>
      </c>
      <c r="M3449" s="1" t="str">
        <f aca="false">IF(F3448&lt;&gt;F3449,F3449,"")</f>
        <v/>
      </c>
    </row>
    <row r="3450" customFormat="false" ht="15" hidden="false" customHeight="false" outlineLevel="0" collapsed="false">
      <c r="A3450" s="1" t="s">
        <v>1079</v>
      </c>
      <c r="B3450" s="1" t="s">
        <v>1080</v>
      </c>
      <c r="C3450" s="1" t="s">
        <v>970</v>
      </c>
      <c r="D3450" s="1" t="s">
        <v>971</v>
      </c>
      <c r="E3450" s="1" t="n">
        <v>20171</v>
      </c>
      <c r="F3450" s="1" t="s">
        <v>972</v>
      </c>
      <c r="G3450" s="1" t="s">
        <v>787</v>
      </c>
      <c r="H3450" s="1" t="n">
        <v>0</v>
      </c>
      <c r="I3450" s="1" t="n">
        <v>0</v>
      </c>
      <c r="J3450" s="1" t="n">
        <v>20201</v>
      </c>
      <c r="L3450" s="1" t="str">
        <f aca="false">IF(D3449&lt;&gt;D3450,D3450,"")</f>
        <v/>
      </c>
      <c r="M3450" s="1" t="str">
        <f aca="false">IF(F3449&lt;&gt;F3450,F3450,"")</f>
        <v/>
      </c>
    </row>
    <row r="3451" customFormat="false" ht="15" hidden="false" customHeight="false" outlineLevel="0" collapsed="false">
      <c r="A3451" s="1" t="s">
        <v>1081</v>
      </c>
      <c r="B3451" s="1" t="s">
        <v>1082</v>
      </c>
      <c r="C3451" s="1" t="s">
        <v>970</v>
      </c>
      <c r="D3451" s="1" t="s">
        <v>971</v>
      </c>
      <c r="E3451" s="1" t="n">
        <v>20171</v>
      </c>
      <c r="F3451" s="1" t="s">
        <v>972</v>
      </c>
      <c r="G3451" s="1" t="s">
        <v>787</v>
      </c>
      <c r="H3451" s="1" t="n">
        <v>0</v>
      </c>
      <c r="I3451" s="1" t="n">
        <v>0</v>
      </c>
      <c r="J3451" s="1" t="n">
        <v>20201</v>
      </c>
      <c r="L3451" s="1" t="str">
        <f aca="false">IF(D3450&lt;&gt;D3451,D3451,"")</f>
        <v/>
      </c>
      <c r="M3451" s="1" t="str">
        <f aca="false">IF(F3450&lt;&gt;F3451,F3451,"")</f>
        <v/>
      </c>
    </row>
    <row r="3452" customFormat="false" ht="15" hidden="false" customHeight="false" outlineLevel="0" collapsed="false">
      <c r="A3452" s="1" t="s">
        <v>1083</v>
      </c>
      <c r="B3452" s="1" t="s">
        <v>1084</v>
      </c>
      <c r="C3452" s="1" t="s">
        <v>970</v>
      </c>
      <c r="D3452" s="1" t="s">
        <v>971</v>
      </c>
      <c r="E3452" s="1" t="n">
        <v>20171</v>
      </c>
      <c r="F3452" s="1" t="s">
        <v>972</v>
      </c>
      <c r="G3452" s="1" t="s">
        <v>14</v>
      </c>
      <c r="H3452" s="1" t="n">
        <v>4</v>
      </c>
      <c r="I3452" s="1" t="n">
        <v>0</v>
      </c>
      <c r="J3452" s="1" t="n">
        <v>20201</v>
      </c>
      <c r="L3452" s="1" t="str">
        <f aca="false">IF(D3451&lt;&gt;D3452,D3452,"")</f>
        <v/>
      </c>
      <c r="M3452" s="1" t="str">
        <f aca="false">IF(F3451&lt;&gt;F3452,F3452,"")</f>
        <v/>
      </c>
    </row>
    <row r="3453" customFormat="false" ht="15" hidden="false" customHeight="false" outlineLevel="0" collapsed="false">
      <c r="A3453" s="1" t="s">
        <v>936</v>
      </c>
      <c r="B3453" s="1" t="s">
        <v>937</v>
      </c>
      <c r="C3453" s="1" t="s">
        <v>970</v>
      </c>
      <c r="D3453" s="1" t="s">
        <v>971</v>
      </c>
      <c r="E3453" s="1" t="n">
        <v>20171</v>
      </c>
      <c r="F3453" s="1" t="s">
        <v>972</v>
      </c>
      <c r="G3453" s="1" t="s">
        <v>787</v>
      </c>
      <c r="H3453" s="1" t="n">
        <v>0</v>
      </c>
      <c r="I3453" s="1" t="n">
        <v>0</v>
      </c>
      <c r="J3453" s="1" t="n">
        <v>20201</v>
      </c>
      <c r="L3453" s="1" t="str">
        <f aca="false">IF(D3452&lt;&gt;D3453,D3453,"")</f>
        <v/>
      </c>
      <c r="M3453" s="1" t="str">
        <f aca="false">IF(F3452&lt;&gt;F3453,F3453,"")</f>
        <v/>
      </c>
    </row>
    <row r="3454" customFormat="false" ht="15" hidden="false" customHeight="false" outlineLevel="0" collapsed="false">
      <c r="A3454" s="1" t="s">
        <v>559</v>
      </c>
      <c r="B3454" s="1" t="s">
        <v>560</v>
      </c>
      <c r="C3454" s="1" t="s">
        <v>970</v>
      </c>
      <c r="D3454" s="1" t="s">
        <v>971</v>
      </c>
      <c r="E3454" s="1" t="n">
        <v>20171</v>
      </c>
      <c r="F3454" s="1" t="s">
        <v>972</v>
      </c>
      <c r="G3454" s="1" t="s">
        <v>787</v>
      </c>
      <c r="H3454" s="1" t="n">
        <v>0</v>
      </c>
      <c r="I3454" s="1" t="n">
        <v>0</v>
      </c>
      <c r="J3454" s="1" t="n">
        <v>20201</v>
      </c>
      <c r="L3454" s="1" t="str">
        <f aca="false">IF(D3453&lt;&gt;D3454,D3454,"")</f>
        <v/>
      </c>
      <c r="M3454" s="1" t="str">
        <f aca="false">IF(F3453&lt;&gt;F3454,F3454,"")</f>
        <v/>
      </c>
    </row>
    <row r="3455" customFormat="false" ht="15" hidden="false" customHeight="false" outlineLevel="0" collapsed="false">
      <c r="A3455" s="1" t="s">
        <v>639</v>
      </c>
      <c r="B3455" s="1" t="s">
        <v>640</v>
      </c>
      <c r="C3455" s="1" t="s">
        <v>970</v>
      </c>
      <c r="D3455" s="1" t="s">
        <v>971</v>
      </c>
      <c r="E3455" s="1" t="n">
        <v>20171</v>
      </c>
      <c r="F3455" s="1" t="s">
        <v>972</v>
      </c>
      <c r="G3455" s="1" t="s">
        <v>15</v>
      </c>
      <c r="H3455" s="1" t="n">
        <v>3.5</v>
      </c>
      <c r="I3455" s="1" t="n">
        <v>0</v>
      </c>
      <c r="J3455" s="1" t="n">
        <v>20201</v>
      </c>
      <c r="L3455" s="1" t="str">
        <f aca="false">IF(D3454&lt;&gt;D3455,D3455,"")</f>
        <v/>
      </c>
      <c r="M3455" s="1" t="str">
        <f aca="false">IF(F3454&lt;&gt;F3455,F3455,"")</f>
        <v/>
      </c>
    </row>
    <row r="3456" customFormat="false" ht="15" hidden="false" customHeight="false" outlineLevel="0" collapsed="false">
      <c r="A3456" s="1" t="s">
        <v>1085</v>
      </c>
      <c r="B3456" s="1" t="s">
        <v>1086</v>
      </c>
      <c r="C3456" s="1" t="s">
        <v>970</v>
      </c>
      <c r="D3456" s="1" t="s">
        <v>971</v>
      </c>
      <c r="E3456" s="1" t="n">
        <v>20171</v>
      </c>
      <c r="F3456" s="1" t="s">
        <v>972</v>
      </c>
      <c r="G3456" s="1" t="s">
        <v>14</v>
      </c>
      <c r="H3456" s="1" t="n">
        <v>4</v>
      </c>
      <c r="I3456" s="1" t="n">
        <v>0</v>
      </c>
      <c r="J3456" s="1" t="n">
        <v>20201</v>
      </c>
      <c r="L3456" s="1" t="str">
        <f aca="false">IF(D3455&lt;&gt;D3456,D3456,"")</f>
        <v/>
      </c>
      <c r="M3456" s="1" t="str">
        <f aca="false">IF(F3455&lt;&gt;F3456,F3456,"")</f>
        <v/>
      </c>
    </row>
    <row r="3457" customFormat="false" ht="15" hidden="false" customHeight="false" outlineLevel="0" collapsed="false">
      <c r="A3457" s="1" t="s">
        <v>581</v>
      </c>
      <c r="B3457" s="1" t="s">
        <v>582</v>
      </c>
      <c r="C3457" s="1" t="s">
        <v>970</v>
      </c>
      <c r="D3457" s="1" t="s">
        <v>971</v>
      </c>
      <c r="E3457" s="1" t="n">
        <v>20171</v>
      </c>
      <c r="F3457" s="1" t="s">
        <v>972</v>
      </c>
      <c r="G3457" s="1" t="s">
        <v>787</v>
      </c>
      <c r="H3457" s="1" t="n">
        <v>0</v>
      </c>
      <c r="I3457" s="1" t="n">
        <v>0</v>
      </c>
      <c r="J3457" s="1" t="n">
        <v>20201</v>
      </c>
      <c r="L3457" s="1" t="str">
        <f aca="false">IF(D3456&lt;&gt;D3457,D3457,"")</f>
        <v/>
      </c>
      <c r="M3457" s="1" t="str">
        <f aca="false">IF(F3456&lt;&gt;F3457,F3457,"")</f>
        <v/>
      </c>
    </row>
    <row r="3458" customFormat="false" ht="15" hidden="false" customHeight="false" outlineLevel="0" collapsed="false">
      <c r="A3458" s="1" t="s">
        <v>523</v>
      </c>
      <c r="B3458" s="1" t="s">
        <v>524</v>
      </c>
      <c r="C3458" s="1" t="s">
        <v>970</v>
      </c>
      <c r="D3458" s="1" t="s">
        <v>971</v>
      </c>
      <c r="E3458" s="1" t="n">
        <v>20171</v>
      </c>
      <c r="F3458" s="1" t="s">
        <v>972</v>
      </c>
      <c r="G3458" s="1" t="s">
        <v>787</v>
      </c>
      <c r="H3458" s="1" t="n">
        <v>0</v>
      </c>
      <c r="I3458" s="1" t="n">
        <v>0</v>
      </c>
      <c r="J3458" s="1" t="n">
        <v>20201</v>
      </c>
      <c r="L3458" s="1" t="str">
        <f aca="false">IF(D3457&lt;&gt;D3458,D3458,"")</f>
        <v/>
      </c>
      <c r="M3458" s="1" t="str">
        <f aca="false">IF(F3457&lt;&gt;F3458,F3458,"")</f>
        <v/>
      </c>
    </row>
    <row r="3459" customFormat="false" ht="15" hidden="false" customHeight="false" outlineLevel="0" collapsed="false">
      <c r="A3459" s="1" t="s">
        <v>1087</v>
      </c>
      <c r="B3459" s="1" t="s">
        <v>1088</v>
      </c>
      <c r="C3459" s="1" t="s">
        <v>970</v>
      </c>
      <c r="D3459" s="1" t="s">
        <v>971</v>
      </c>
      <c r="E3459" s="1" t="n">
        <v>20171</v>
      </c>
      <c r="F3459" s="1" t="s">
        <v>972</v>
      </c>
      <c r="G3459" s="1" t="s">
        <v>14</v>
      </c>
      <c r="H3459" s="1" t="n">
        <v>4</v>
      </c>
      <c r="I3459" s="1" t="n">
        <v>0</v>
      </c>
      <c r="J3459" s="1" t="n">
        <v>20201</v>
      </c>
      <c r="L3459" s="1" t="str">
        <f aca="false">IF(D3458&lt;&gt;D3459,D3459,"")</f>
        <v/>
      </c>
      <c r="M3459" s="1" t="str">
        <f aca="false">IF(F3458&lt;&gt;F3459,F3459,"")</f>
        <v/>
      </c>
    </row>
    <row r="3460" customFormat="false" ht="15" hidden="false" customHeight="false" outlineLevel="0" collapsed="false">
      <c r="A3460" s="1" t="s">
        <v>607</v>
      </c>
      <c r="B3460" s="1" t="s">
        <v>608</v>
      </c>
      <c r="C3460" s="1" t="s">
        <v>970</v>
      </c>
      <c r="D3460" s="1" t="s">
        <v>971</v>
      </c>
      <c r="E3460" s="1" t="n">
        <v>20171</v>
      </c>
      <c r="F3460" s="1" t="s">
        <v>972</v>
      </c>
      <c r="G3460" s="1" t="s">
        <v>787</v>
      </c>
      <c r="H3460" s="1" t="n">
        <v>0</v>
      </c>
      <c r="I3460" s="1" t="n">
        <v>0</v>
      </c>
      <c r="J3460" s="1" t="n">
        <v>20201</v>
      </c>
      <c r="L3460" s="1" t="str">
        <f aca="false">IF(D3459&lt;&gt;D3460,D3460,"")</f>
        <v/>
      </c>
      <c r="M3460" s="1" t="str">
        <f aca="false">IF(F3459&lt;&gt;F3460,F3460,"")</f>
        <v/>
      </c>
    </row>
    <row r="3461" customFormat="false" ht="15" hidden="false" customHeight="false" outlineLevel="0" collapsed="false">
      <c r="A3461" s="1" t="s">
        <v>1089</v>
      </c>
      <c r="B3461" s="1" t="s">
        <v>1090</v>
      </c>
      <c r="C3461" s="1" t="s">
        <v>970</v>
      </c>
      <c r="D3461" s="1" t="s">
        <v>971</v>
      </c>
      <c r="E3461" s="1" t="n">
        <v>20171</v>
      </c>
      <c r="F3461" s="1" t="s">
        <v>972</v>
      </c>
      <c r="G3461" s="1" t="s">
        <v>787</v>
      </c>
      <c r="H3461" s="1" t="n">
        <v>0</v>
      </c>
      <c r="I3461" s="1" t="n">
        <v>0</v>
      </c>
      <c r="J3461" s="1" t="n">
        <v>20201</v>
      </c>
      <c r="L3461" s="1" t="str">
        <f aca="false">IF(D3460&lt;&gt;D3461,D3461,"")</f>
        <v/>
      </c>
      <c r="M3461" s="1" t="str">
        <f aca="false">IF(F3460&lt;&gt;F3461,F3461,"")</f>
        <v/>
      </c>
    </row>
    <row r="3462" customFormat="false" ht="15" hidden="false" customHeight="false" outlineLevel="0" collapsed="false">
      <c r="A3462" s="1" t="s">
        <v>1091</v>
      </c>
      <c r="B3462" s="1" t="s">
        <v>1092</v>
      </c>
      <c r="C3462" s="1" t="s">
        <v>970</v>
      </c>
      <c r="D3462" s="1" t="s">
        <v>971</v>
      </c>
      <c r="E3462" s="1" t="n">
        <v>20171</v>
      </c>
      <c r="F3462" s="1" t="s">
        <v>972</v>
      </c>
      <c r="G3462" s="1" t="s">
        <v>14</v>
      </c>
      <c r="H3462" s="1" t="n">
        <v>4</v>
      </c>
      <c r="I3462" s="1" t="n">
        <v>0</v>
      </c>
      <c r="J3462" s="1" t="n">
        <v>20201</v>
      </c>
      <c r="L3462" s="1" t="str">
        <f aca="false">IF(D3461&lt;&gt;D3462,D3462,"")</f>
        <v/>
      </c>
      <c r="M3462" s="1" t="str">
        <f aca="false">IF(F3461&lt;&gt;F3462,F3462,"")</f>
        <v/>
      </c>
    </row>
    <row r="3463" customFormat="false" ht="15" hidden="false" customHeight="false" outlineLevel="0" collapsed="false">
      <c r="A3463" s="1" t="s">
        <v>1093</v>
      </c>
      <c r="B3463" s="1" t="s">
        <v>1094</v>
      </c>
      <c r="C3463" s="1" t="s">
        <v>970</v>
      </c>
      <c r="D3463" s="1" t="s">
        <v>971</v>
      </c>
      <c r="E3463" s="1" t="n">
        <v>20171</v>
      </c>
      <c r="F3463" s="1" t="s">
        <v>972</v>
      </c>
      <c r="G3463" s="1" t="s">
        <v>787</v>
      </c>
      <c r="H3463" s="1" t="n">
        <v>0</v>
      </c>
      <c r="I3463" s="1" t="n">
        <v>0</v>
      </c>
      <c r="J3463" s="1" t="n">
        <v>20201</v>
      </c>
      <c r="L3463" s="1" t="str">
        <f aca="false">IF(D3462&lt;&gt;D3463,D3463,"")</f>
        <v/>
      </c>
      <c r="M3463" s="1" t="str">
        <f aca="false">IF(F3462&lt;&gt;F3463,F3463,"")</f>
        <v/>
      </c>
    </row>
    <row r="3464" customFormat="false" ht="15" hidden="false" customHeight="false" outlineLevel="0" collapsed="false">
      <c r="A3464" s="1" t="s">
        <v>1095</v>
      </c>
      <c r="B3464" s="1" t="s">
        <v>1096</v>
      </c>
      <c r="C3464" s="1" t="s">
        <v>970</v>
      </c>
      <c r="D3464" s="1" t="s">
        <v>971</v>
      </c>
      <c r="E3464" s="1" t="n">
        <v>20171</v>
      </c>
      <c r="F3464" s="1" t="s">
        <v>972</v>
      </c>
      <c r="G3464" s="1" t="s">
        <v>787</v>
      </c>
      <c r="H3464" s="1" t="n">
        <v>0</v>
      </c>
      <c r="I3464" s="1" t="n">
        <v>0</v>
      </c>
      <c r="J3464" s="1" t="n">
        <v>20201</v>
      </c>
      <c r="L3464" s="1" t="str">
        <f aca="false">IF(D3463&lt;&gt;D3464,D3464,"")</f>
        <v/>
      </c>
      <c r="M3464" s="1" t="str">
        <f aca="false">IF(F3463&lt;&gt;F3464,F3464,"")</f>
        <v/>
      </c>
    </row>
    <row r="3465" customFormat="false" ht="15" hidden="false" customHeight="false" outlineLevel="0" collapsed="false">
      <c r="A3465" s="1" t="s">
        <v>1097</v>
      </c>
      <c r="B3465" s="1" t="s">
        <v>1098</v>
      </c>
      <c r="C3465" s="1" t="s">
        <v>970</v>
      </c>
      <c r="D3465" s="1" t="s">
        <v>971</v>
      </c>
      <c r="E3465" s="1" t="n">
        <v>20171</v>
      </c>
      <c r="F3465" s="1" t="s">
        <v>972</v>
      </c>
      <c r="G3465" s="1" t="s">
        <v>787</v>
      </c>
      <c r="H3465" s="1" t="n">
        <v>0</v>
      </c>
      <c r="I3465" s="1" t="n">
        <v>0</v>
      </c>
      <c r="J3465" s="1" t="n">
        <v>20201</v>
      </c>
      <c r="L3465" s="1" t="str">
        <f aca="false">IF(D3464&lt;&gt;D3465,D3465,"")</f>
        <v/>
      </c>
      <c r="M3465" s="1" t="str">
        <f aca="false">IF(F3464&lt;&gt;F3465,F3465,"")</f>
        <v/>
      </c>
    </row>
    <row r="3466" customFormat="false" ht="15" hidden="false" customHeight="false" outlineLevel="0" collapsed="false">
      <c r="A3466" s="1" t="s">
        <v>1099</v>
      </c>
      <c r="B3466" s="1" t="s">
        <v>1100</v>
      </c>
      <c r="C3466" s="1" t="s">
        <v>970</v>
      </c>
      <c r="D3466" s="1" t="s">
        <v>971</v>
      </c>
      <c r="E3466" s="1" t="n">
        <v>20171</v>
      </c>
      <c r="F3466" s="1" t="s">
        <v>972</v>
      </c>
      <c r="G3466" s="1" t="s">
        <v>14</v>
      </c>
      <c r="H3466" s="1" t="n">
        <v>4</v>
      </c>
      <c r="I3466" s="1" t="n">
        <v>0</v>
      </c>
      <c r="J3466" s="1" t="n">
        <v>20201</v>
      </c>
      <c r="L3466" s="1" t="str">
        <f aca="false">IF(D3465&lt;&gt;D3466,D3466,"")</f>
        <v/>
      </c>
      <c r="M3466" s="1" t="str">
        <f aca="false">IF(F3465&lt;&gt;F3466,F3466,"")</f>
        <v/>
      </c>
    </row>
    <row r="3467" customFormat="false" ht="15" hidden="false" customHeight="false" outlineLevel="0" collapsed="false">
      <c r="A3467" s="1" t="s">
        <v>1101</v>
      </c>
      <c r="B3467" s="1" t="s">
        <v>1102</v>
      </c>
      <c r="C3467" s="1" t="s">
        <v>970</v>
      </c>
      <c r="D3467" s="1" t="s">
        <v>971</v>
      </c>
      <c r="E3467" s="1" t="n">
        <v>20171</v>
      </c>
      <c r="F3467" s="1" t="s">
        <v>972</v>
      </c>
      <c r="G3467" s="1" t="s">
        <v>787</v>
      </c>
      <c r="H3467" s="1" t="n">
        <v>0</v>
      </c>
      <c r="I3467" s="1" t="n">
        <v>0</v>
      </c>
      <c r="J3467" s="1" t="n">
        <v>20201</v>
      </c>
      <c r="L3467" s="1" t="str">
        <f aca="false">IF(D3466&lt;&gt;D3467,D3467,"")</f>
        <v/>
      </c>
      <c r="M3467" s="1" t="str">
        <f aca="false">IF(F3466&lt;&gt;F3467,F3467,"")</f>
        <v/>
      </c>
    </row>
    <row r="3468" customFormat="false" ht="15" hidden="false" customHeight="false" outlineLevel="0" collapsed="false">
      <c r="A3468" s="1" t="s">
        <v>1103</v>
      </c>
      <c r="B3468" s="1" t="s">
        <v>1104</v>
      </c>
      <c r="C3468" s="1" t="s">
        <v>970</v>
      </c>
      <c r="D3468" s="1" t="s">
        <v>971</v>
      </c>
      <c r="E3468" s="1" t="n">
        <v>20171</v>
      </c>
      <c r="F3468" s="1" t="s">
        <v>972</v>
      </c>
      <c r="G3468" s="1" t="s">
        <v>787</v>
      </c>
      <c r="H3468" s="1" t="n">
        <v>0</v>
      </c>
      <c r="I3468" s="1" t="n">
        <v>0</v>
      </c>
      <c r="J3468" s="1" t="n">
        <v>20201</v>
      </c>
      <c r="L3468" s="1" t="str">
        <f aca="false">IF(D3467&lt;&gt;D3468,D3468,"")</f>
        <v/>
      </c>
      <c r="M3468" s="1" t="str">
        <f aca="false">IF(F3467&lt;&gt;F3468,F3468,"")</f>
        <v/>
      </c>
    </row>
    <row r="3469" customFormat="false" ht="15" hidden="false" customHeight="false" outlineLevel="0" collapsed="false">
      <c r="A3469" s="1" t="s">
        <v>1105</v>
      </c>
      <c r="B3469" s="1" t="s">
        <v>1106</v>
      </c>
      <c r="C3469" s="1" t="s">
        <v>970</v>
      </c>
      <c r="D3469" s="1" t="s">
        <v>971</v>
      </c>
      <c r="E3469" s="1" t="n">
        <v>20171</v>
      </c>
      <c r="F3469" s="1" t="s">
        <v>972</v>
      </c>
      <c r="G3469" s="1" t="s">
        <v>787</v>
      </c>
      <c r="H3469" s="1" t="n">
        <v>0</v>
      </c>
      <c r="I3469" s="1" t="n">
        <v>0</v>
      </c>
      <c r="J3469" s="1" t="n">
        <v>20201</v>
      </c>
      <c r="L3469" s="1" t="str">
        <f aca="false">IF(D3468&lt;&gt;D3469,D3469,"")</f>
        <v/>
      </c>
      <c r="M3469" s="1" t="str">
        <f aca="false">IF(F3468&lt;&gt;F3469,F3469,"")</f>
        <v/>
      </c>
    </row>
    <row r="3470" customFormat="false" ht="15" hidden="false" customHeight="false" outlineLevel="0" collapsed="false">
      <c r="A3470" s="1" t="s">
        <v>569</v>
      </c>
      <c r="B3470" s="1" t="s">
        <v>570</v>
      </c>
      <c r="C3470" s="1" t="s">
        <v>970</v>
      </c>
      <c r="D3470" s="1" t="s">
        <v>971</v>
      </c>
      <c r="E3470" s="1" t="n">
        <v>20171</v>
      </c>
      <c r="F3470" s="1" t="s">
        <v>972</v>
      </c>
      <c r="G3470" s="1" t="s">
        <v>787</v>
      </c>
      <c r="H3470" s="1" t="n">
        <v>0</v>
      </c>
      <c r="I3470" s="1" t="n">
        <v>0</v>
      </c>
      <c r="J3470" s="1" t="n">
        <v>20201</v>
      </c>
      <c r="L3470" s="1" t="str">
        <f aca="false">IF(D3469&lt;&gt;D3470,D3470,"")</f>
        <v/>
      </c>
      <c r="M3470" s="1" t="str">
        <f aca="false">IF(F3469&lt;&gt;F3470,F3470,"")</f>
        <v/>
      </c>
    </row>
    <row r="3471" customFormat="false" ht="15" hidden="false" customHeight="false" outlineLevel="0" collapsed="false">
      <c r="A3471" s="1" t="s">
        <v>1107</v>
      </c>
      <c r="B3471" s="1" t="s">
        <v>1108</v>
      </c>
      <c r="C3471" s="1" t="s">
        <v>970</v>
      </c>
      <c r="D3471" s="1" t="s">
        <v>971</v>
      </c>
      <c r="E3471" s="1" t="n">
        <v>20171</v>
      </c>
      <c r="F3471" s="1" t="s">
        <v>972</v>
      </c>
      <c r="G3471" s="1" t="s">
        <v>14</v>
      </c>
      <c r="H3471" s="1" t="n">
        <v>4</v>
      </c>
      <c r="I3471" s="1" t="n">
        <v>0</v>
      </c>
      <c r="J3471" s="1" t="n">
        <v>20201</v>
      </c>
      <c r="L3471" s="1" t="str">
        <f aca="false">IF(D3470&lt;&gt;D3471,D3471,"")</f>
        <v/>
      </c>
      <c r="M3471" s="1" t="str">
        <f aca="false">IF(F3470&lt;&gt;F3471,F3471,"")</f>
        <v/>
      </c>
    </row>
    <row r="3472" customFormat="false" ht="15" hidden="false" customHeight="false" outlineLevel="0" collapsed="false">
      <c r="A3472" s="1" t="s">
        <v>792</v>
      </c>
      <c r="B3472" s="1" t="s">
        <v>793</v>
      </c>
      <c r="C3472" s="1" t="s">
        <v>970</v>
      </c>
      <c r="D3472" s="1" t="s">
        <v>971</v>
      </c>
      <c r="E3472" s="1" t="n">
        <v>20171</v>
      </c>
      <c r="F3472" s="1" t="s">
        <v>972</v>
      </c>
      <c r="G3472" s="1" t="s">
        <v>787</v>
      </c>
      <c r="H3472" s="1" t="n">
        <v>0</v>
      </c>
      <c r="I3472" s="1" t="n">
        <v>0</v>
      </c>
      <c r="J3472" s="1" t="n">
        <v>20201</v>
      </c>
      <c r="L3472" s="1" t="str">
        <f aca="false">IF(D3471&lt;&gt;D3472,D3472,"")</f>
        <v/>
      </c>
      <c r="M3472" s="1" t="str">
        <f aca="false">IF(F3471&lt;&gt;F3472,F3472,"")</f>
        <v/>
      </c>
    </row>
    <row r="3473" customFormat="false" ht="15" hidden="false" customHeight="false" outlineLevel="0" collapsed="false">
      <c r="A3473" s="1" t="s">
        <v>1109</v>
      </c>
      <c r="B3473" s="1" t="s">
        <v>1110</v>
      </c>
      <c r="C3473" s="1" t="s">
        <v>970</v>
      </c>
      <c r="D3473" s="1" t="s">
        <v>971</v>
      </c>
      <c r="E3473" s="1" t="n">
        <v>20171</v>
      </c>
      <c r="F3473" s="1" t="s">
        <v>972</v>
      </c>
      <c r="G3473" s="1" t="s">
        <v>787</v>
      </c>
      <c r="H3473" s="1" t="n">
        <v>0</v>
      </c>
      <c r="I3473" s="1" t="n">
        <v>0</v>
      </c>
      <c r="J3473" s="1" t="n">
        <v>20201</v>
      </c>
      <c r="L3473" s="1" t="str">
        <f aca="false">IF(D3472&lt;&gt;D3473,D3473,"")</f>
        <v/>
      </c>
      <c r="M3473" s="1" t="str">
        <f aca="false">IF(F3472&lt;&gt;F3473,F3473,"")</f>
        <v/>
      </c>
    </row>
    <row r="3474" customFormat="false" ht="15" hidden="false" customHeight="false" outlineLevel="0" collapsed="false">
      <c r="A3474" s="1" t="s">
        <v>1111</v>
      </c>
      <c r="B3474" s="1" t="s">
        <v>1112</v>
      </c>
      <c r="C3474" s="1" t="s">
        <v>970</v>
      </c>
      <c r="D3474" s="1" t="s">
        <v>971</v>
      </c>
      <c r="E3474" s="1" t="n">
        <v>20171</v>
      </c>
      <c r="F3474" s="1" t="s">
        <v>972</v>
      </c>
      <c r="G3474" s="1" t="s">
        <v>787</v>
      </c>
      <c r="H3474" s="1" t="n">
        <v>0</v>
      </c>
      <c r="I3474" s="1" t="n">
        <v>0</v>
      </c>
      <c r="J3474" s="1" t="n">
        <v>20201</v>
      </c>
      <c r="L3474" s="1" t="str">
        <f aca="false">IF(D3473&lt;&gt;D3474,D3474,"")</f>
        <v/>
      </c>
      <c r="M3474" s="1" t="str">
        <f aca="false">IF(F3473&lt;&gt;F3474,F3474,"")</f>
        <v/>
      </c>
    </row>
    <row r="3475" customFormat="false" ht="15" hidden="false" customHeight="false" outlineLevel="0" collapsed="false">
      <c r="A3475" s="1" t="s">
        <v>1113</v>
      </c>
      <c r="B3475" s="1" t="s">
        <v>1114</v>
      </c>
      <c r="C3475" s="1" t="s">
        <v>970</v>
      </c>
      <c r="D3475" s="1" t="s">
        <v>971</v>
      </c>
      <c r="E3475" s="1" t="n">
        <v>20171</v>
      </c>
      <c r="F3475" s="1" t="s">
        <v>972</v>
      </c>
      <c r="G3475" s="1" t="s">
        <v>787</v>
      </c>
      <c r="H3475" s="1" t="n">
        <v>0</v>
      </c>
      <c r="I3475" s="1" t="n">
        <v>0</v>
      </c>
      <c r="J3475" s="1" t="n">
        <v>20201</v>
      </c>
      <c r="L3475" s="1" t="str">
        <f aca="false">IF(D3474&lt;&gt;D3475,D3475,"")</f>
        <v/>
      </c>
      <c r="M3475" s="1" t="str">
        <f aca="false">IF(F3474&lt;&gt;F3475,F3475,"")</f>
        <v/>
      </c>
    </row>
    <row r="3476" customFormat="false" ht="15" hidden="false" customHeight="false" outlineLevel="0" collapsed="false">
      <c r="A3476" s="1" t="s">
        <v>1115</v>
      </c>
      <c r="B3476" s="1" t="s">
        <v>1116</v>
      </c>
      <c r="C3476" s="1" t="s">
        <v>970</v>
      </c>
      <c r="D3476" s="1" t="s">
        <v>971</v>
      </c>
      <c r="E3476" s="1" t="n">
        <v>20171</v>
      </c>
      <c r="F3476" s="1" t="s">
        <v>972</v>
      </c>
      <c r="G3476" s="1" t="s">
        <v>787</v>
      </c>
      <c r="H3476" s="1" t="n">
        <v>0</v>
      </c>
      <c r="I3476" s="1" t="n">
        <v>0</v>
      </c>
      <c r="J3476" s="1" t="n">
        <v>20201</v>
      </c>
      <c r="L3476" s="1" t="str">
        <f aca="false">IF(D3475&lt;&gt;D3476,D3476,"")</f>
        <v/>
      </c>
      <c r="M3476" s="1" t="str">
        <f aca="false">IF(F3475&lt;&gt;F3476,F3476,"")</f>
        <v/>
      </c>
    </row>
    <row r="3477" customFormat="false" ht="15" hidden="false" customHeight="false" outlineLevel="0" collapsed="false">
      <c r="A3477" s="1" t="s">
        <v>848</v>
      </c>
      <c r="B3477" s="1" t="s">
        <v>849</v>
      </c>
      <c r="C3477" s="1" t="s">
        <v>970</v>
      </c>
      <c r="D3477" s="1" t="s">
        <v>971</v>
      </c>
      <c r="E3477" s="1" t="n">
        <v>20171</v>
      </c>
      <c r="F3477" s="1" t="s">
        <v>972</v>
      </c>
      <c r="G3477" s="1" t="s">
        <v>14</v>
      </c>
      <c r="H3477" s="1" t="n">
        <v>4</v>
      </c>
      <c r="I3477" s="1" t="n">
        <v>0</v>
      </c>
      <c r="J3477" s="1" t="n">
        <v>20201</v>
      </c>
      <c r="L3477" s="1" t="str">
        <f aca="false">IF(D3476&lt;&gt;D3477,D3477,"")</f>
        <v/>
      </c>
      <c r="M3477" s="1" t="str">
        <f aca="false">IF(F3476&lt;&gt;F3477,F3477,"")</f>
        <v/>
      </c>
    </row>
    <row r="3478" customFormat="false" ht="15" hidden="false" customHeight="false" outlineLevel="0" collapsed="false">
      <c r="A3478" s="1" t="s">
        <v>561</v>
      </c>
      <c r="B3478" s="1" t="s">
        <v>562</v>
      </c>
      <c r="C3478" s="1" t="s">
        <v>970</v>
      </c>
      <c r="D3478" s="1" t="s">
        <v>971</v>
      </c>
      <c r="E3478" s="1" t="n">
        <v>20171</v>
      </c>
      <c r="F3478" s="1" t="s">
        <v>972</v>
      </c>
      <c r="G3478" s="1" t="s">
        <v>787</v>
      </c>
      <c r="H3478" s="1" t="n">
        <v>0</v>
      </c>
      <c r="I3478" s="1" t="n">
        <v>0</v>
      </c>
      <c r="J3478" s="1" t="n">
        <v>20201</v>
      </c>
      <c r="L3478" s="1" t="str">
        <f aca="false">IF(D3477&lt;&gt;D3478,D3478,"")</f>
        <v/>
      </c>
      <c r="M3478" s="1" t="str">
        <f aca="false">IF(F3477&lt;&gt;F3478,F3478,"")</f>
        <v/>
      </c>
    </row>
    <row r="3479" customFormat="false" ht="15" hidden="false" customHeight="false" outlineLevel="0" collapsed="false">
      <c r="A3479" s="1" t="s">
        <v>1117</v>
      </c>
      <c r="B3479" s="1" t="s">
        <v>1118</v>
      </c>
      <c r="C3479" s="1" t="s">
        <v>970</v>
      </c>
      <c r="D3479" s="1" t="s">
        <v>971</v>
      </c>
      <c r="E3479" s="1" t="n">
        <v>20171</v>
      </c>
      <c r="F3479" s="1" t="s">
        <v>972</v>
      </c>
      <c r="G3479" s="1" t="s">
        <v>787</v>
      </c>
      <c r="H3479" s="1" t="n">
        <v>0</v>
      </c>
      <c r="I3479" s="1" t="n">
        <v>0</v>
      </c>
      <c r="J3479" s="1" t="n">
        <v>20201</v>
      </c>
      <c r="L3479" s="1" t="str">
        <f aca="false">IF(D3478&lt;&gt;D3479,D3479,"")</f>
        <v/>
      </c>
      <c r="M3479" s="1" t="str">
        <f aca="false">IF(F3478&lt;&gt;F3479,F3479,"")</f>
        <v/>
      </c>
    </row>
    <row r="3480" customFormat="false" ht="15" hidden="false" customHeight="false" outlineLevel="0" collapsed="false">
      <c r="A3480" s="1" t="s">
        <v>1119</v>
      </c>
      <c r="B3480" s="1" t="s">
        <v>1120</v>
      </c>
      <c r="C3480" s="1" t="s">
        <v>970</v>
      </c>
      <c r="D3480" s="1" t="s">
        <v>971</v>
      </c>
      <c r="E3480" s="1" t="n">
        <v>20171</v>
      </c>
      <c r="F3480" s="1" t="s">
        <v>972</v>
      </c>
      <c r="G3480" s="1" t="s">
        <v>787</v>
      </c>
      <c r="H3480" s="1" t="n">
        <v>0</v>
      </c>
      <c r="I3480" s="1" t="n">
        <v>0</v>
      </c>
      <c r="J3480" s="1" t="n">
        <v>20201</v>
      </c>
      <c r="L3480" s="1" t="str">
        <f aca="false">IF(D3479&lt;&gt;D3480,D3480,"")</f>
        <v/>
      </c>
      <c r="M3480" s="1" t="str">
        <f aca="false">IF(F3479&lt;&gt;F3480,F3480,"")</f>
        <v/>
      </c>
    </row>
    <row r="3481" customFormat="false" ht="15" hidden="false" customHeight="false" outlineLevel="0" collapsed="false">
      <c r="A3481" s="1" t="s">
        <v>1121</v>
      </c>
      <c r="B3481" s="1" t="s">
        <v>1122</v>
      </c>
      <c r="C3481" s="1" t="s">
        <v>970</v>
      </c>
      <c r="D3481" s="1" t="s">
        <v>971</v>
      </c>
      <c r="E3481" s="1" t="n">
        <v>20171</v>
      </c>
      <c r="F3481" s="1" t="s">
        <v>972</v>
      </c>
      <c r="G3481" s="1" t="s">
        <v>787</v>
      </c>
      <c r="H3481" s="1" t="n">
        <v>0</v>
      </c>
      <c r="I3481" s="1" t="n">
        <v>0</v>
      </c>
      <c r="J3481" s="1" t="n">
        <v>20201</v>
      </c>
      <c r="L3481" s="1" t="str">
        <f aca="false">IF(D3480&lt;&gt;D3481,D3481,"")</f>
        <v/>
      </c>
      <c r="M3481" s="1" t="str">
        <f aca="false">IF(F3480&lt;&gt;F3481,F3481,"")</f>
        <v/>
      </c>
    </row>
    <row r="3482" customFormat="false" ht="15" hidden="false" customHeight="false" outlineLevel="0" collapsed="false">
      <c r="A3482" s="1" t="s">
        <v>1123</v>
      </c>
      <c r="B3482" s="1" t="s">
        <v>1124</v>
      </c>
      <c r="C3482" s="1" t="s">
        <v>970</v>
      </c>
      <c r="D3482" s="1" t="s">
        <v>971</v>
      </c>
      <c r="E3482" s="1" t="n">
        <v>20171</v>
      </c>
      <c r="F3482" s="1" t="s">
        <v>972</v>
      </c>
      <c r="G3482" s="1" t="s">
        <v>787</v>
      </c>
      <c r="H3482" s="1" t="n">
        <v>0</v>
      </c>
      <c r="I3482" s="1" t="n">
        <v>0</v>
      </c>
      <c r="J3482" s="1" t="n">
        <v>20201</v>
      </c>
      <c r="L3482" s="1" t="str">
        <f aca="false">IF(D3481&lt;&gt;D3482,D3482,"")</f>
        <v/>
      </c>
      <c r="M3482" s="1" t="str">
        <f aca="false">IF(F3481&lt;&gt;F3482,F3482,"")</f>
        <v/>
      </c>
    </row>
    <row r="3483" customFormat="false" ht="15" hidden="false" customHeight="false" outlineLevel="0" collapsed="false">
      <c r="A3483" s="1" t="s">
        <v>796</v>
      </c>
      <c r="B3483" s="1" t="s">
        <v>797</v>
      </c>
      <c r="C3483" s="1" t="s">
        <v>970</v>
      </c>
      <c r="D3483" s="1" t="s">
        <v>971</v>
      </c>
      <c r="E3483" s="1" t="n">
        <v>20171</v>
      </c>
      <c r="F3483" s="1" t="s">
        <v>972</v>
      </c>
      <c r="G3483" s="1" t="s">
        <v>787</v>
      </c>
      <c r="H3483" s="1" t="n">
        <v>0</v>
      </c>
      <c r="I3483" s="1" t="n">
        <v>0</v>
      </c>
      <c r="J3483" s="1" t="n">
        <v>20201</v>
      </c>
      <c r="L3483" s="1" t="str">
        <f aca="false">IF(D3482&lt;&gt;D3483,D3483,"")</f>
        <v/>
      </c>
      <c r="M3483" s="1" t="str">
        <f aca="false">IF(F3482&lt;&gt;F3483,F3483,"")</f>
        <v/>
      </c>
    </row>
    <row r="3484" customFormat="false" ht="15" hidden="false" customHeight="false" outlineLevel="0" collapsed="false">
      <c r="A3484" s="1" t="s">
        <v>563</v>
      </c>
      <c r="B3484" s="1" t="s">
        <v>564</v>
      </c>
      <c r="C3484" s="1" t="s">
        <v>970</v>
      </c>
      <c r="D3484" s="1" t="s">
        <v>971</v>
      </c>
      <c r="E3484" s="1" t="n">
        <v>20171</v>
      </c>
      <c r="F3484" s="1" t="s">
        <v>972</v>
      </c>
      <c r="G3484" s="1" t="s">
        <v>787</v>
      </c>
      <c r="H3484" s="1" t="n">
        <v>0</v>
      </c>
      <c r="I3484" s="1" t="n">
        <v>0</v>
      </c>
      <c r="J3484" s="1" t="n">
        <v>20201</v>
      </c>
      <c r="L3484" s="1" t="str">
        <f aca="false">IF(D3483&lt;&gt;D3484,D3484,"")</f>
        <v/>
      </c>
      <c r="M3484" s="1" t="str">
        <f aca="false">IF(F3483&lt;&gt;F3484,F3484,"")</f>
        <v/>
      </c>
    </row>
    <row r="3485" customFormat="false" ht="15" hidden="false" customHeight="false" outlineLevel="0" collapsed="false">
      <c r="A3485" s="1" t="s">
        <v>571</v>
      </c>
      <c r="B3485" s="1" t="s">
        <v>572</v>
      </c>
      <c r="C3485" s="1" t="s">
        <v>970</v>
      </c>
      <c r="D3485" s="1" t="s">
        <v>971</v>
      </c>
      <c r="E3485" s="1" t="n">
        <v>20171</v>
      </c>
      <c r="F3485" s="1" t="s">
        <v>972</v>
      </c>
      <c r="G3485" s="1" t="s">
        <v>787</v>
      </c>
      <c r="H3485" s="1" t="n">
        <v>0</v>
      </c>
      <c r="I3485" s="1" t="n">
        <v>0</v>
      </c>
      <c r="J3485" s="1" t="n">
        <v>20201</v>
      </c>
      <c r="L3485" s="1" t="str">
        <f aca="false">IF(D3484&lt;&gt;D3485,D3485,"")</f>
        <v/>
      </c>
      <c r="M3485" s="1" t="str">
        <f aca="false">IF(F3484&lt;&gt;F3485,F3485,"")</f>
        <v/>
      </c>
    </row>
    <row r="3486" customFormat="false" ht="15" hidden="false" customHeight="false" outlineLevel="0" collapsed="false">
      <c r="A3486" s="1" t="s">
        <v>1125</v>
      </c>
      <c r="B3486" s="1" t="s">
        <v>1126</v>
      </c>
      <c r="C3486" s="1" t="s">
        <v>970</v>
      </c>
      <c r="D3486" s="1" t="s">
        <v>971</v>
      </c>
      <c r="E3486" s="1" t="n">
        <v>20171</v>
      </c>
      <c r="F3486" s="1" t="s">
        <v>972</v>
      </c>
      <c r="G3486" s="1" t="s">
        <v>787</v>
      </c>
      <c r="H3486" s="1" t="n">
        <v>0</v>
      </c>
      <c r="I3486" s="1" t="n">
        <v>0</v>
      </c>
      <c r="J3486" s="1" t="n">
        <v>20201</v>
      </c>
      <c r="L3486" s="1" t="str">
        <f aca="false">IF(D3485&lt;&gt;D3486,D3486,"")</f>
        <v/>
      </c>
      <c r="M3486" s="1" t="str">
        <f aca="false">IF(F3485&lt;&gt;F3486,F3486,"")</f>
        <v/>
      </c>
    </row>
    <row r="3487" customFormat="false" ht="15" hidden="false" customHeight="false" outlineLevel="0" collapsed="false">
      <c r="A3487" s="1" t="s">
        <v>1127</v>
      </c>
      <c r="B3487" s="1" t="s">
        <v>1128</v>
      </c>
      <c r="C3487" s="1" t="s">
        <v>970</v>
      </c>
      <c r="D3487" s="1" t="s">
        <v>971</v>
      </c>
      <c r="E3487" s="1" t="n">
        <v>20171</v>
      </c>
      <c r="F3487" s="1" t="s">
        <v>972</v>
      </c>
      <c r="G3487" s="1" t="s">
        <v>787</v>
      </c>
      <c r="H3487" s="1" t="n">
        <v>0</v>
      </c>
      <c r="I3487" s="1" t="n">
        <v>0</v>
      </c>
      <c r="J3487" s="1" t="n">
        <v>20201</v>
      </c>
      <c r="L3487" s="1" t="str">
        <f aca="false">IF(D3486&lt;&gt;D3487,D3487,"")</f>
        <v/>
      </c>
      <c r="M3487" s="1" t="str">
        <f aca="false">IF(F3486&lt;&gt;F3487,F3487,"")</f>
        <v/>
      </c>
    </row>
    <row r="3488" customFormat="false" ht="15" hidden="false" customHeight="false" outlineLevel="0" collapsed="false">
      <c r="A3488" s="1" t="s">
        <v>1129</v>
      </c>
      <c r="B3488" s="1" t="s">
        <v>1130</v>
      </c>
      <c r="C3488" s="1" t="s">
        <v>970</v>
      </c>
      <c r="D3488" s="1" t="s">
        <v>971</v>
      </c>
      <c r="E3488" s="1" t="n">
        <v>20171</v>
      </c>
      <c r="F3488" s="1" t="s">
        <v>972</v>
      </c>
      <c r="G3488" s="1" t="s">
        <v>14</v>
      </c>
      <c r="H3488" s="1" t="n">
        <v>4</v>
      </c>
      <c r="I3488" s="1" t="n">
        <v>0</v>
      </c>
      <c r="J3488" s="1" t="n">
        <v>20201</v>
      </c>
      <c r="L3488" s="1" t="str">
        <f aca="false">IF(D3487&lt;&gt;D3488,D3488,"")</f>
        <v/>
      </c>
      <c r="M3488" s="1" t="str">
        <f aca="false">IF(F3487&lt;&gt;F3488,F3488,"")</f>
        <v/>
      </c>
    </row>
    <row r="3489" customFormat="false" ht="15" hidden="false" customHeight="false" outlineLevel="0" collapsed="false">
      <c r="A3489" s="1" t="s">
        <v>671</v>
      </c>
      <c r="B3489" s="1" t="s">
        <v>672</v>
      </c>
      <c r="C3489" s="1" t="s">
        <v>970</v>
      </c>
      <c r="D3489" s="1" t="s">
        <v>971</v>
      </c>
      <c r="E3489" s="1" t="n">
        <v>20171</v>
      </c>
      <c r="F3489" s="1" t="s">
        <v>972</v>
      </c>
      <c r="G3489" s="1" t="s">
        <v>787</v>
      </c>
      <c r="H3489" s="1" t="n">
        <v>0</v>
      </c>
      <c r="I3489" s="1" t="n">
        <v>0</v>
      </c>
      <c r="J3489" s="1" t="n">
        <v>20201</v>
      </c>
      <c r="L3489" s="1" t="str">
        <f aca="false">IF(D3488&lt;&gt;D3489,D3489,"")</f>
        <v/>
      </c>
      <c r="M3489" s="1" t="str">
        <f aca="false">IF(F3488&lt;&gt;F3489,F3489,"")</f>
        <v/>
      </c>
    </row>
    <row r="3490" customFormat="false" ht="15" hidden="false" customHeight="false" outlineLevel="0" collapsed="false">
      <c r="A3490" s="1" t="s">
        <v>19</v>
      </c>
      <c r="B3490" s="1" t="s">
        <v>20</v>
      </c>
      <c r="C3490" s="1" t="s">
        <v>970</v>
      </c>
      <c r="D3490" s="1" t="s">
        <v>971</v>
      </c>
      <c r="E3490" s="1" t="n">
        <v>20171</v>
      </c>
      <c r="F3490" s="1" t="s">
        <v>972</v>
      </c>
      <c r="G3490" s="1" t="s">
        <v>787</v>
      </c>
      <c r="H3490" s="1" t="n">
        <v>0</v>
      </c>
      <c r="I3490" s="1" t="n">
        <v>0</v>
      </c>
      <c r="J3490" s="1" t="n">
        <v>20201</v>
      </c>
      <c r="L3490" s="1" t="str">
        <f aca="false">IF(D3489&lt;&gt;D3490,D3490,"")</f>
        <v/>
      </c>
      <c r="M3490" s="1" t="str">
        <f aca="false">IF(F3489&lt;&gt;F3490,F3490,"")</f>
        <v/>
      </c>
    </row>
    <row r="3491" customFormat="false" ht="15" hidden="false" customHeight="false" outlineLevel="0" collapsed="false">
      <c r="A3491" s="1" t="s">
        <v>1131</v>
      </c>
      <c r="B3491" s="1" t="s">
        <v>1132</v>
      </c>
      <c r="C3491" s="1" t="s">
        <v>970</v>
      </c>
      <c r="D3491" s="1" t="s">
        <v>971</v>
      </c>
      <c r="E3491" s="1" t="n">
        <v>20171</v>
      </c>
      <c r="F3491" s="1" t="s">
        <v>972</v>
      </c>
      <c r="G3491" s="1" t="s">
        <v>787</v>
      </c>
      <c r="H3491" s="1" t="n">
        <v>0</v>
      </c>
      <c r="I3491" s="1" t="n">
        <v>0</v>
      </c>
      <c r="J3491" s="1" t="n">
        <v>20201</v>
      </c>
      <c r="L3491" s="1" t="str">
        <f aca="false">IF(D3490&lt;&gt;D3491,D3491,"")</f>
        <v/>
      </c>
      <c r="M3491" s="1" t="str">
        <f aca="false">IF(F3490&lt;&gt;F3491,F3491,"")</f>
        <v/>
      </c>
    </row>
    <row r="3492" customFormat="false" ht="15" hidden="false" customHeight="false" outlineLevel="0" collapsed="false">
      <c r="A3492" s="1" t="s">
        <v>1133</v>
      </c>
      <c r="B3492" s="1" t="s">
        <v>1134</v>
      </c>
      <c r="C3492" s="1" t="s">
        <v>970</v>
      </c>
      <c r="D3492" s="1" t="s">
        <v>971</v>
      </c>
      <c r="E3492" s="1" t="n">
        <v>20171</v>
      </c>
      <c r="F3492" s="1" t="s">
        <v>972</v>
      </c>
      <c r="G3492" s="1" t="s">
        <v>14</v>
      </c>
      <c r="H3492" s="1" t="n">
        <v>4</v>
      </c>
      <c r="I3492" s="1" t="n">
        <v>0</v>
      </c>
      <c r="J3492" s="1" t="n">
        <v>20201</v>
      </c>
      <c r="L3492" s="1" t="str">
        <f aca="false">IF(D3491&lt;&gt;D3492,D3492,"")</f>
        <v/>
      </c>
      <c r="M3492" s="1" t="str">
        <f aca="false">IF(F3491&lt;&gt;F3492,F3492,"")</f>
        <v/>
      </c>
    </row>
    <row r="3493" customFormat="false" ht="15" hidden="false" customHeight="false" outlineLevel="0" collapsed="false">
      <c r="A3493" s="1" t="s">
        <v>1135</v>
      </c>
      <c r="B3493" s="1" t="s">
        <v>1136</v>
      </c>
      <c r="C3493" s="1" t="s">
        <v>970</v>
      </c>
      <c r="D3493" s="1" t="s">
        <v>971</v>
      </c>
      <c r="E3493" s="1" t="n">
        <v>20171</v>
      </c>
      <c r="F3493" s="1" t="s">
        <v>972</v>
      </c>
      <c r="G3493" s="1" t="s">
        <v>787</v>
      </c>
      <c r="H3493" s="1" t="n">
        <v>0</v>
      </c>
      <c r="I3493" s="1" t="n">
        <v>0</v>
      </c>
      <c r="J3493" s="1" t="n">
        <v>20201</v>
      </c>
      <c r="L3493" s="1" t="str">
        <f aca="false">IF(D3492&lt;&gt;D3493,D3493,"")</f>
        <v/>
      </c>
      <c r="M3493" s="1" t="str">
        <f aca="false">IF(F3492&lt;&gt;F3493,F3493,"")</f>
        <v/>
      </c>
    </row>
    <row r="3494" customFormat="false" ht="15" hidden="false" customHeight="false" outlineLevel="0" collapsed="false">
      <c r="A3494" s="1" t="s">
        <v>800</v>
      </c>
      <c r="B3494" s="1" t="s">
        <v>801</v>
      </c>
      <c r="C3494" s="1" t="s">
        <v>970</v>
      </c>
      <c r="D3494" s="1" t="s">
        <v>971</v>
      </c>
      <c r="E3494" s="1" t="n">
        <v>20171</v>
      </c>
      <c r="F3494" s="1" t="s">
        <v>972</v>
      </c>
      <c r="G3494" s="1" t="s">
        <v>787</v>
      </c>
      <c r="H3494" s="1" t="n">
        <v>0</v>
      </c>
      <c r="I3494" s="1" t="n">
        <v>0</v>
      </c>
      <c r="J3494" s="1" t="n">
        <v>20201</v>
      </c>
      <c r="L3494" s="1" t="str">
        <f aca="false">IF(D3493&lt;&gt;D3494,D3494,"")</f>
        <v/>
      </c>
      <c r="M3494" s="1" t="str">
        <f aca="false">IF(F3493&lt;&gt;F3494,F3494,"")</f>
        <v/>
      </c>
    </row>
    <row r="3495" customFormat="false" ht="15" hidden="false" customHeight="false" outlineLevel="0" collapsed="false">
      <c r="A3495" s="1" t="s">
        <v>108</v>
      </c>
      <c r="B3495" s="1" t="s">
        <v>109</v>
      </c>
      <c r="C3495" s="1" t="s">
        <v>970</v>
      </c>
      <c r="D3495" s="1" t="s">
        <v>971</v>
      </c>
      <c r="E3495" s="1" t="n">
        <v>20171</v>
      </c>
      <c r="F3495" s="1" t="s">
        <v>972</v>
      </c>
      <c r="G3495" s="1" t="s">
        <v>787</v>
      </c>
      <c r="H3495" s="1" t="n">
        <v>0</v>
      </c>
      <c r="I3495" s="1" t="n">
        <v>0</v>
      </c>
      <c r="J3495" s="1" t="n">
        <v>20201</v>
      </c>
      <c r="L3495" s="1" t="str">
        <f aca="false">IF(D3494&lt;&gt;D3495,D3495,"")</f>
        <v/>
      </c>
      <c r="M3495" s="1" t="str">
        <f aca="false">IF(F3494&lt;&gt;F3495,F3495,"")</f>
        <v/>
      </c>
    </row>
    <row r="3496" customFormat="false" ht="15" hidden="false" customHeight="false" outlineLevel="0" collapsed="false">
      <c r="A3496" s="1" t="s">
        <v>1137</v>
      </c>
      <c r="B3496" s="1" t="s">
        <v>1138</v>
      </c>
      <c r="C3496" s="1" t="s">
        <v>970</v>
      </c>
      <c r="D3496" s="1" t="s">
        <v>971</v>
      </c>
      <c r="E3496" s="1" t="n">
        <v>20171</v>
      </c>
      <c r="F3496" s="1" t="s">
        <v>972</v>
      </c>
      <c r="G3496" s="1" t="s">
        <v>787</v>
      </c>
      <c r="H3496" s="1" t="n">
        <v>0</v>
      </c>
      <c r="I3496" s="1" t="n">
        <v>0</v>
      </c>
      <c r="J3496" s="1" t="n">
        <v>20201</v>
      </c>
      <c r="L3496" s="1" t="str">
        <f aca="false">IF(D3495&lt;&gt;D3496,D3496,"")</f>
        <v/>
      </c>
      <c r="M3496" s="1" t="str">
        <f aca="false">IF(F3495&lt;&gt;F3496,F3496,"")</f>
        <v/>
      </c>
    </row>
    <row r="3497" customFormat="false" ht="15" hidden="false" customHeight="false" outlineLevel="0" collapsed="false">
      <c r="A3497" s="1" t="s">
        <v>1139</v>
      </c>
      <c r="B3497" s="1" t="s">
        <v>1140</v>
      </c>
      <c r="C3497" s="1" t="s">
        <v>970</v>
      </c>
      <c r="D3497" s="1" t="s">
        <v>971</v>
      </c>
      <c r="E3497" s="1" t="n">
        <v>20171</v>
      </c>
      <c r="F3497" s="1" t="s">
        <v>972</v>
      </c>
      <c r="G3497" s="1" t="s">
        <v>787</v>
      </c>
      <c r="H3497" s="1" t="n">
        <v>0</v>
      </c>
      <c r="I3497" s="1" t="n">
        <v>0</v>
      </c>
      <c r="J3497" s="1" t="n">
        <v>20201</v>
      </c>
      <c r="L3497" s="1" t="str">
        <f aca="false">IF(D3496&lt;&gt;D3497,D3497,"")</f>
        <v/>
      </c>
      <c r="M3497" s="1" t="str">
        <f aca="false">IF(F3496&lt;&gt;F3497,F3497,"")</f>
        <v/>
      </c>
    </row>
    <row r="3498" customFormat="false" ht="15" hidden="false" customHeight="false" outlineLevel="0" collapsed="false">
      <c r="A3498" s="1" t="s">
        <v>866</v>
      </c>
      <c r="B3498" s="1" t="s">
        <v>867</v>
      </c>
      <c r="C3498" s="1" t="s">
        <v>970</v>
      </c>
      <c r="D3498" s="1" t="s">
        <v>971</v>
      </c>
      <c r="E3498" s="1" t="n">
        <v>20171</v>
      </c>
      <c r="F3498" s="1" t="s">
        <v>972</v>
      </c>
      <c r="G3498" s="1" t="s">
        <v>787</v>
      </c>
      <c r="H3498" s="1" t="n">
        <v>0</v>
      </c>
      <c r="I3498" s="1" t="n">
        <v>0</v>
      </c>
      <c r="J3498" s="1" t="n">
        <v>20201</v>
      </c>
      <c r="L3498" s="1" t="str">
        <f aca="false">IF(D3497&lt;&gt;D3498,D3498,"")</f>
        <v/>
      </c>
      <c r="M3498" s="1" t="str">
        <f aca="false">IF(F3497&lt;&gt;F3498,F3498,"")</f>
        <v/>
      </c>
    </row>
    <row r="3499" customFormat="false" ht="15" hidden="false" customHeight="false" outlineLevel="0" collapsed="false">
      <c r="A3499" s="1" t="s">
        <v>198</v>
      </c>
      <c r="B3499" s="1" t="s">
        <v>199</v>
      </c>
      <c r="C3499" s="1" t="s">
        <v>970</v>
      </c>
      <c r="D3499" s="1" t="s">
        <v>971</v>
      </c>
      <c r="E3499" s="1" t="n">
        <v>20171</v>
      </c>
      <c r="F3499" s="1" t="s">
        <v>972</v>
      </c>
      <c r="G3499" s="1" t="s">
        <v>787</v>
      </c>
      <c r="H3499" s="1" t="n">
        <v>0</v>
      </c>
      <c r="I3499" s="1" t="n">
        <v>0</v>
      </c>
      <c r="J3499" s="1" t="n">
        <v>20201</v>
      </c>
      <c r="L3499" s="1" t="str">
        <f aca="false">IF(D3498&lt;&gt;D3499,D3499,"")</f>
        <v/>
      </c>
      <c r="M3499" s="1" t="str">
        <f aca="false">IF(F3498&lt;&gt;F3499,F3499,"")</f>
        <v/>
      </c>
    </row>
    <row r="3500" customFormat="false" ht="15" hidden="false" customHeight="false" outlineLevel="0" collapsed="false">
      <c r="A3500" s="1" t="s">
        <v>1141</v>
      </c>
      <c r="B3500" s="1" t="s">
        <v>1142</v>
      </c>
      <c r="C3500" s="1" t="s">
        <v>970</v>
      </c>
      <c r="D3500" s="1" t="s">
        <v>971</v>
      </c>
      <c r="E3500" s="1" t="n">
        <v>20171</v>
      </c>
      <c r="F3500" s="1" t="s">
        <v>972</v>
      </c>
      <c r="G3500" s="1" t="s">
        <v>787</v>
      </c>
      <c r="H3500" s="1" t="n">
        <v>0</v>
      </c>
      <c r="I3500" s="1" t="n">
        <v>0</v>
      </c>
      <c r="J3500" s="1" t="n">
        <v>20201</v>
      </c>
      <c r="L3500" s="1" t="str">
        <f aca="false">IF(D3499&lt;&gt;D3500,D3500,"")</f>
        <v/>
      </c>
      <c r="M3500" s="1" t="str">
        <f aca="false">IF(F3499&lt;&gt;F3500,F3500,"")</f>
        <v/>
      </c>
    </row>
    <row r="3501" customFormat="false" ht="15" hidden="false" customHeight="false" outlineLevel="0" collapsed="false">
      <c r="A3501" s="1" t="s">
        <v>551</v>
      </c>
      <c r="B3501" s="1" t="s">
        <v>552</v>
      </c>
      <c r="C3501" s="1" t="s">
        <v>970</v>
      </c>
      <c r="D3501" s="1" t="s">
        <v>971</v>
      </c>
      <c r="E3501" s="1" t="n">
        <v>20171</v>
      </c>
      <c r="F3501" s="1" t="s">
        <v>972</v>
      </c>
      <c r="G3501" s="1" t="s">
        <v>787</v>
      </c>
      <c r="H3501" s="1" t="n">
        <v>0</v>
      </c>
      <c r="I3501" s="1" t="n">
        <v>0</v>
      </c>
      <c r="J3501" s="1" t="n">
        <v>20201</v>
      </c>
      <c r="L3501" s="1" t="str">
        <f aca="false">IF(D3500&lt;&gt;D3501,D3501,"")</f>
        <v/>
      </c>
      <c r="M3501" s="1" t="str">
        <f aca="false">IF(F3500&lt;&gt;F3501,F3501,"")</f>
        <v/>
      </c>
    </row>
    <row r="3502" customFormat="false" ht="15" hidden="false" customHeight="false" outlineLevel="0" collapsed="false">
      <c r="A3502" s="1" t="s">
        <v>846</v>
      </c>
      <c r="B3502" s="1" t="s">
        <v>847</v>
      </c>
      <c r="C3502" s="1" t="s">
        <v>970</v>
      </c>
      <c r="D3502" s="1" t="s">
        <v>971</v>
      </c>
      <c r="E3502" s="1" t="n">
        <v>20171</v>
      </c>
      <c r="F3502" s="1" t="s">
        <v>972</v>
      </c>
      <c r="G3502" s="1" t="s">
        <v>787</v>
      </c>
      <c r="H3502" s="1" t="n">
        <v>0</v>
      </c>
      <c r="I3502" s="1" t="n">
        <v>0</v>
      </c>
      <c r="J3502" s="1" t="n">
        <v>20201</v>
      </c>
      <c r="L3502" s="1" t="str">
        <f aca="false">IF(D3501&lt;&gt;D3502,D3502,"")</f>
        <v/>
      </c>
      <c r="M3502" s="1" t="str">
        <f aca="false">IF(F3501&lt;&gt;F3502,F3502,"")</f>
        <v/>
      </c>
    </row>
    <row r="3503" customFormat="false" ht="15" hidden="false" customHeight="false" outlineLevel="0" collapsed="false">
      <c r="A3503" s="1" t="s">
        <v>882</v>
      </c>
      <c r="B3503" s="1" t="s">
        <v>883</v>
      </c>
      <c r="C3503" s="1" t="s">
        <v>970</v>
      </c>
      <c r="D3503" s="1" t="s">
        <v>971</v>
      </c>
      <c r="E3503" s="1" t="n">
        <v>20171</v>
      </c>
      <c r="F3503" s="1" t="s">
        <v>972</v>
      </c>
      <c r="G3503" s="1" t="s">
        <v>787</v>
      </c>
      <c r="H3503" s="1" t="n">
        <v>0</v>
      </c>
      <c r="I3503" s="1" t="n">
        <v>0</v>
      </c>
      <c r="J3503" s="1" t="n">
        <v>20201</v>
      </c>
      <c r="L3503" s="1" t="str">
        <f aca="false">IF(D3502&lt;&gt;D3503,D3503,"")</f>
        <v/>
      </c>
      <c r="M3503" s="1" t="str">
        <f aca="false">IF(F3502&lt;&gt;F3503,F3503,"")</f>
        <v/>
      </c>
    </row>
  </sheetData>
  <autoFilter ref="A1:M3503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532" ySplit="1301" topLeftCell="F483" activePane="topRight" state="split"/>
      <selection pane="topLeft" activeCell="A1" activeCellId="0" sqref="A1"/>
      <selection pane="topRight" activeCell="P2" activeCellId="0" sqref="1:1048576"/>
      <selection pane="bottomLeft" activeCell="A483" activeCellId="0" sqref="A483"/>
      <selection pane="bottomRight" activeCell="F483" activeCellId="0" sqref="F483"/>
    </sheetView>
  </sheetViews>
  <sheetFormatPr defaultRowHeight="15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38.29"/>
    <col collapsed="false" customWidth="true" hidden="false" outlineLevel="0" max="3" min="3" style="0" width="9.42"/>
    <col collapsed="false" customWidth="true" hidden="false" outlineLevel="0" max="4" min="4" style="0" width="4.14"/>
    <col collapsed="false" customWidth="true" hidden="false" outlineLevel="0" max="5" min="5" style="0" width="11.57"/>
    <col collapsed="false" customWidth="true" hidden="false" outlineLevel="0" max="6" min="6" style="0" width="13.43"/>
    <col collapsed="false" customWidth="true" hidden="false" outlineLevel="0" max="7" min="7" style="0" width="11.86"/>
    <col collapsed="false" customWidth="true" hidden="false" outlineLevel="0" max="8" min="8" style="0" width="6.42"/>
    <col collapsed="false" customWidth="true" hidden="false" outlineLevel="0" max="9" min="9" style="0" width="13.02"/>
    <col collapsed="false" customWidth="true" hidden="false" outlineLevel="0" max="10" min="10" style="0" width="8.57"/>
    <col collapsed="false" customWidth="true" hidden="false" outlineLevel="0" max="12" min="11" style="0" width="10.85"/>
    <col collapsed="false" customWidth="true" hidden="false" outlineLevel="0" max="16" min="13" style="0" width="8.57"/>
    <col collapsed="false" customWidth="true" hidden="false" outlineLevel="0" max="17" min="17" style="0" width="11.57"/>
    <col collapsed="false" customWidth="true" hidden="false" outlineLevel="0" max="18" min="18" style="0" width="13.43"/>
    <col collapsed="false" customWidth="true" hidden="false" outlineLevel="0" max="19" min="19" style="0" width="11.86"/>
    <col collapsed="false" customWidth="true" hidden="false" outlineLevel="0" max="1025" min="20" style="0" width="8.57"/>
  </cols>
  <sheetData>
    <row r="1" customFormat="false" ht="15" hidden="false" customHeight="false" outlineLevel="0" collapsed="false">
      <c r="A1" s="4" t="s">
        <v>0</v>
      </c>
      <c r="B1" s="4" t="s">
        <v>1143</v>
      </c>
      <c r="C1" s="4" t="s">
        <v>4</v>
      </c>
      <c r="D1" s="4" t="s">
        <v>1144</v>
      </c>
      <c r="E1" s="4" t="s">
        <v>1145</v>
      </c>
      <c r="F1" s="4" t="s">
        <v>1146</v>
      </c>
      <c r="G1" s="4" t="s">
        <v>1147</v>
      </c>
      <c r="H1" s="4" t="s">
        <v>1148</v>
      </c>
      <c r="I1" s="4" t="s">
        <v>9</v>
      </c>
      <c r="K1" s="5" t="s">
        <v>1149</v>
      </c>
      <c r="L1" s="5"/>
      <c r="M1" s="5" t="s">
        <v>1150</v>
      </c>
      <c r="N1" s="5" t="s">
        <v>1151</v>
      </c>
      <c r="P1" s="4" t="s">
        <v>1144</v>
      </c>
      <c r="Q1" s="4" t="s">
        <v>1145</v>
      </c>
      <c r="R1" s="4" t="s">
        <v>1146</v>
      </c>
      <c r="S1" s="4" t="s">
        <v>1147</v>
      </c>
      <c r="T1" s="4" t="s">
        <v>1148</v>
      </c>
      <c r="U1" s="4" t="s">
        <v>9</v>
      </c>
    </row>
    <row r="2" customFormat="false" ht="15" hidden="false" customHeight="false" outlineLevel="0" collapsed="false">
      <c r="A2" s="0" t="s">
        <v>968</v>
      </c>
      <c r="B2" s="0" t="s">
        <v>969</v>
      </c>
      <c r="C2" s="0" t="n">
        <v>20171</v>
      </c>
      <c r="D2" s="0" t="n">
        <f aca="false">VLOOKUP(A2,[1]Worksheet!$A$2:$I$1049,4,0)</f>
        <v>4</v>
      </c>
      <c r="E2" s="0" t="n">
        <f aca="false">VLOOKUP(A2,[1]Worksheet!$A$2:$I$1049,5,0)</f>
        <v>3.5</v>
      </c>
      <c r="F2" s="0" t="n">
        <f aca="false">VLOOKUP(A2,[1]Worksheet!$A$2:$I$1049,6,0)</f>
        <v>131</v>
      </c>
      <c r="G2" s="0" t="n">
        <f aca="false">VLOOKUP(A2,[1]Worksheet!$A$2:$I$1049,7,0)</f>
        <v>2.26</v>
      </c>
      <c r="K2" s="0" t="n">
        <v>0</v>
      </c>
      <c r="M2" s="0" t="n">
        <f aca="false">D2*E2</f>
        <v>14</v>
      </c>
      <c r="N2" s="0" t="n">
        <f aca="false">F2*G2</f>
        <v>296.06</v>
      </c>
      <c r="P2" s="0" t="n">
        <f aca="false">K2+D2</f>
        <v>4</v>
      </c>
      <c r="Q2" s="0" t="n">
        <f aca="false">M2/P2</f>
        <v>3.5</v>
      </c>
      <c r="R2" s="0" t="n">
        <f aca="false">F2+K2</f>
        <v>131</v>
      </c>
      <c r="S2" s="0" t="n">
        <f aca="false">N2/R2</f>
        <v>2.26</v>
      </c>
    </row>
    <row r="3" customFormat="false" ht="15" hidden="false" customHeight="false" outlineLevel="0" collapsed="false">
      <c r="A3" s="0" t="s">
        <v>878</v>
      </c>
      <c r="B3" s="0" t="s">
        <v>879</v>
      </c>
      <c r="C3" s="0" t="n">
        <v>20171</v>
      </c>
      <c r="D3" s="0" t="n">
        <f aca="false">VLOOKUP(A3,[1]Worksheet!$A$2:$I$1049,4,0)</f>
        <v>9</v>
      </c>
      <c r="E3" s="0" t="n">
        <f aca="false">VLOOKUP(A3,[1]Worksheet!$A$2:$I$1049,5,0)</f>
        <v>1.78</v>
      </c>
      <c r="F3" s="0" t="n">
        <f aca="false">VLOOKUP(A3,[1]Worksheet!$A$2:$I$1049,6,0)</f>
        <v>185</v>
      </c>
      <c r="G3" s="0" t="n">
        <f aca="false">VLOOKUP(A3,[1]Worksheet!$A$2:$I$1049,7,0)</f>
        <v>1.87</v>
      </c>
      <c r="K3" s="0" t="n">
        <v>0</v>
      </c>
      <c r="M3" s="0" t="n">
        <f aca="false">D3*E3</f>
        <v>16.02</v>
      </c>
      <c r="N3" s="0" t="n">
        <f aca="false">F3*G3</f>
        <v>345.95</v>
      </c>
      <c r="P3" s="0" t="n">
        <f aca="false">K3+D3</f>
        <v>9</v>
      </c>
      <c r="Q3" s="0" t="n">
        <f aca="false">M3/P3</f>
        <v>1.78</v>
      </c>
      <c r="R3" s="0" t="n">
        <f aca="false">F3+K3</f>
        <v>185</v>
      </c>
      <c r="S3" s="0" t="n">
        <f aca="false">N3/R3</f>
        <v>1.87</v>
      </c>
    </row>
    <row r="4" customFormat="false" ht="15" hidden="false" customHeight="false" outlineLevel="0" collapsed="false">
      <c r="A4" s="0" t="s">
        <v>973</v>
      </c>
      <c r="B4" s="0" t="s">
        <v>974</v>
      </c>
      <c r="C4" s="0" t="n">
        <v>20171</v>
      </c>
      <c r="D4" s="0" t="n">
        <f aca="false">VLOOKUP(A4,[1]Worksheet!$A$2:$I$1049,4,0)</f>
        <v>4</v>
      </c>
      <c r="E4" s="0" t="n">
        <f aca="false">VLOOKUP(A4,[1]Worksheet!$A$2:$I$1049,5,0)</f>
        <v>3.5</v>
      </c>
      <c r="F4" s="0" t="n">
        <f aca="false">VLOOKUP(A4,[1]Worksheet!$A$2:$I$1049,6,0)</f>
        <v>183</v>
      </c>
      <c r="G4" s="0" t="n">
        <f aca="false">VLOOKUP(A4,[1]Worksheet!$A$2:$I$1049,7,0)</f>
        <v>2.58</v>
      </c>
      <c r="K4" s="0" t="n">
        <v>0</v>
      </c>
      <c r="M4" s="0" t="n">
        <f aca="false">D4*E4</f>
        <v>14</v>
      </c>
      <c r="N4" s="0" t="n">
        <f aca="false">F4*G4</f>
        <v>472.14</v>
      </c>
      <c r="P4" s="0" t="n">
        <f aca="false">K4+D4</f>
        <v>4</v>
      </c>
      <c r="Q4" s="0" t="n">
        <f aca="false">M4/P4</f>
        <v>3.5</v>
      </c>
      <c r="R4" s="0" t="n">
        <f aca="false">F4+K4</f>
        <v>183</v>
      </c>
      <c r="S4" s="0" t="n">
        <f aca="false">N4/R4</f>
        <v>2.58</v>
      </c>
    </row>
    <row r="5" customFormat="false" ht="15" hidden="false" customHeight="false" outlineLevel="0" collapsed="false">
      <c r="A5" s="0" t="s">
        <v>975</v>
      </c>
      <c r="B5" s="0" t="s">
        <v>976</v>
      </c>
      <c r="C5" s="0" t="n">
        <v>20171</v>
      </c>
      <c r="D5" s="0" t="n">
        <f aca="false">VLOOKUP(A5,[1]Worksheet!$A$2:$I$1049,4,0)</f>
        <v>4</v>
      </c>
      <c r="E5" s="0" t="n">
        <f aca="false">VLOOKUP(A5,[1]Worksheet!$A$2:$I$1049,5,0)</f>
        <v>3.5</v>
      </c>
      <c r="F5" s="0" t="n">
        <f aca="false">VLOOKUP(A5,[1]Worksheet!$A$2:$I$1049,6,0)</f>
        <v>163</v>
      </c>
      <c r="G5" s="0" t="n">
        <f aca="false">VLOOKUP(A5,[1]Worksheet!$A$2:$I$1049,7,0)</f>
        <v>2.67</v>
      </c>
      <c r="K5" s="0" t="n">
        <v>0</v>
      </c>
      <c r="M5" s="0" t="n">
        <f aca="false">D5*E5</f>
        <v>14</v>
      </c>
      <c r="N5" s="0" t="n">
        <f aca="false">F5*G5</f>
        <v>435.21</v>
      </c>
      <c r="P5" s="0" t="n">
        <f aca="false">K5+D5</f>
        <v>4</v>
      </c>
      <c r="Q5" s="0" t="n">
        <f aca="false">M5/P5</f>
        <v>3.5</v>
      </c>
      <c r="R5" s="0" t="n">
        <f aca="false">F5+K5</f>
        <v>163</v>
      </c>
      <c r="S5" s="0" t="n">
        <f aca="false">N5/R5</f>
        <v>2.67</v>
      </c>
    </row>
    <row r="6" customFormat="false" ht="15" hidden="false" customHeight="false" outlineLevel="0" collapsed="false">
      <c r="A6" s="0" t="s">
        <v>977</v>
      </c>
      <c r="B6" s="0" t="s">
        <v>978</v>
      </c>
      <c r="C6" s="0" t="n">
        <v>20171</v>
      </c>
      <c r="D6" s="0" t="n">
        <f aca="false">VLOOKUP(A6,[1]Worksheet!$A$2:$I$1049,4,0)</f>
        <v>4</v>
      </c>
      <c r="E6" s="0" t="n">
        <f aca="false">VLOOKUP(A6,[1]Worksheet!$A$2:$I$1049,5,0)</f>
        <v>3</v>
      </c>
      <c r="F6" s="0" t="n">
        <f aca="false">VLOOKUP(A6,[1]Worksheet!$A$2:$I$1049,6,0)</f>
        <v>185</v>
      </c>
      <c r="G6" s="0" t="n">
        <f aca="false">VLOOKUP(A6,[1]Worksheet!$A$2:$I$1049,7,0)</f>
        <v>2.06</v>
      </c>
      <c r="K6" s="0" t="n">
        <v>0</v>
      </c>
      <c r="M6" s="0" t="n">
        <f aca="false">D6*E6</f>
        <v>12</v>
      </c>
      <c r="N6" s="0" t="n">
        <f aca="false">F6*G6</f>
        <v>381.1</v>
      </c>
      <c r="P6" s="0" t="n">
        <f aca="false">K6+D6</f>
        <v>4</v>
      </c>
      <c r="Q6" s="0" t="n">
        <f aca="false">M6/P6</f>
        <v>3</v>
      </c>
      <c r="R6" s="0" t="n">
        <f aca="false">F6+K6</f>
        <v>185</v>
      </c>
      <c r="S6" s="0" t="n">
        <f aca="false">N6/R6</f>
        <v>2.06</v>
      </c>
    </row>
    <row r="7" customFormat="false" ht="15" hidden="false" customHeight="false" outlineLevel="0" collapsed="false">
      <c r="A7" s="0" t="s">
        <v>515</v>
      </c>
      <c r="B7" s="0" t="s">
        <v>516</v>
      </c>
      <c r="C7" s="0" t="n">
        <v>20171</v>
      </c>
      <c r="D7" s="0" t="n">
        <f aca="false">VLOOKUP(A7,[1]Worksheet!$A$2:$I$1049,4,0)</f>
        <v>19</v>
      </c>
      <c r="E7" s="0" t="n">
        <f aca="false">VLOOKUP(A7,[1]Worksheet!$A$2:$I$1049,5,0)</f>
        <v>0.74</v>
      </c>
      <c r="F7" s="0" t="n">
        <f aca="false">VLOOKUP(A7,[1]Worksheet!$A$2:$I$1049,6,0)</f>
        <v>197</v>
      </c>
      <c r="G7" s="0" t="n">
        <f aca="false">VLOOKUP(A7,[1]Worksheet!$A$2:$I$1049,7,0)</f>
        <v>2.34</v>
      </c>
      <c r="K7" s="0" t="n">
        <v>0</v>
      </c>
      <c r="M7" s="0" t="n">
        <f aca="false">D7*E7</f>
        <v>14.06</v>
      </c>
      <c r="N7" s="0" t="n">
        <f aca="false">F7*G7</f>
        <v>460.98</v>
      </c>
      <c r="P7" s="0" t="n">
        <f aca="false">K7+D7</f>
        <v>19</v>
      </c>
      <c r="Q7" s="0" t="n">
        <f aca="false">M7/P7</f>
        <v>0.74</v>
      </c>
      <c r="R7" s="0" t="n">
        <f aca="false">F7+K7</f>
        <v>197</v>
      </c>
      <c r="S7" s="0" t="n">
        <f aca="false">N7/R7</f>
        <v>2.34</v>
      </c>
    </row>
    <row r="8" customFormat="false" ht="15" hidden="false" customHeight="false" outlineLevel="0" collapsed="false">
      <c r="A8" s="0" t="s">
        <v>979</v>
      </c>
      <c r="B8" s="0" t="s">
        <v>980</v>
      </c>
      <c r="C8" s="0" t="n">
        <v>20171</v>
      </c>
      <c r="D8" s="0" t="n">
        <f aca="false">VLOOKUP(A8,[1]Worksheet!$A$2:$I$1049,4,0)</f>
        <v>4</v>
      </c>
      <c r="E8" s="0" t="n">
        <f aca="false">VLOOKUP(A8,[1]Worksheet!$A$2:$I$1049,5,0)</f>
        <v>3.5</v>
      </c>
      <c r="F8" s="0" t="n">
        <f aca="false">VLOOKUP(A8,[1]Worksheet!$A$2:$I$1049,6,0)</f>
        <v>164</v>
      </c>
      <c r="G8" s="0" t="n">
        <f aca="false">VLOOKUP(A8,[1]Worksheet!$A$2:$I$1049,7,0)</f>
        <v>2.7</v>
      </c>
      <c r="K8" s="0" t="n">
        <v>0</v>
      </c>
      <c r="M8" s="0" t="n">
        <f aca="false">D8*E8</f>
        <v>14</v>
      </c>
      <c r="N8" s="0" t="n">
        <f aca="false">F8*G8</f>
        <v>442.8</v>
      </c>
      <c r="P8" s="0" t="n">
        <f aca="false">K8+D8</f>
        <v>4</v>
      </c>
      <c r="Q8" s="0" t="n">
        <f aca="false">M8/P8</f>
        <v>3.5</v>
      </c>
      <c r="R8" s="0" t="n">
        <f aca="false">F8+K8</f>
        <v>164</v>
      </c>
      <c r="S8" s="0" t="n">
        <f aca="false">N8/R8</f>
        <v>2.7</v>
      </c>
    </row>
    <row r="9" customFormat="false" ht="15" hidden="false" customHeight="false" outlineLevel="0" collapsed="false">
      <c r="A9" s="0" t="s">
        <v>299</v>
      </c>
      <c r="B9" s="0" t="s">
        <v>300</v>
      </c>
      <c r="C9" s="0" t="n">
        <v>20171</v>
      </c>
      <c r="D9" s="0" t="n">
        <f aca="false">VLOOKUP(A9,[1]Worksheet!$A$2:$I$1049,4,0)</f>
        <v>10</v>
      </c>
      <c r="E9" s="0" t="n">
        <f aca="false">VLOOKUP(A9,[1]Worksheet!$A$2:$I$1049,5,0)</f>
        <v>0</v>
      </c>
      <c r="F9" s="0" t="n">
        <f aca="false">VLOOKUP(A9,[1]Worksheet!$A$2:$I$1049,6,0)</f>
        <v>188</v>
      </c>
      <c r="G9" s="0" t="n">
        <f aca="false">VLOOKUP(A9,[1]Worksheet!$A$2:$I$1049,7,0)</f>
        <v>1.91</v>
      </c>
      <c r="K9" s="0" t="n">
        <v>4</v>
      </c>
      <c r="M9" s="0" t="n">
        <f aca="false">D9*E9</f>
        <v>0</v>
      </c>
      <c r="N9" s="0" t="n">
        <f aca="false">F9*G9</f>
        <v>359.08</v>
      </c>
      <c r="P9" s="0" t="n">
        <f aca="false">K9+D9</f>
        <v>14</v>
      </c>
      <c r="Q9" s="0" t="n">
        <f aca="false">M9/P9</f>
        <v>0</v>
      </c>
      <c r="R9" s="0" t="n">
        <f aca="false">F9+K9</f>
        <v>192</v>
      </c>
      <c r="S9" s="0" t="n">
        <f aca="false">N9/R9</f>
        <v>1.87020833333333</v>
      </c>
    </row>
    <row r="10" customFormat="false" ht="15" hidden="false" customHeight="false" outlineLevel="0" collapsed="false">
      <c r="A10" s="0" t="s">
        <v>981</v>
      </c>
      <c r="B10" s="0" t="s">
        <v>982</v>
      </c>
      <c r="C10" s="0" t="n">
        <v>20171</v>
      </c>
      <c r="D10" s="0" t="n">
        <f aca="false">VLOOKUP(A10,[1]Worksheet!$A$2:$I$1049,4,0)</f>
        <v>4</v>
      </c>
      <c r="E10" s="0" t="n">
        <f aca="false">VLOOKUP(A10,[1]Worksheet!$A$2:$I$1049,5,0)</f>
        <v>3.5</v>
      </c>
      <c r="F10" s="0" t="n">
        <f aca="false">VLOOKUP(A10,[1]Worksheet!$A$2:$I$1049,6,0)</f>
        <v>179</v>
      </c>
      <c r="G10" s="0" t="n">
        <f aca="false">VLOOKUP(A10,[1]Worksheet!$A$2:$I$1049,7,0)</f>
        <v>2.28</v>
      </c>
      <c r="K10" s="0" t="n">
        <v>0</v>
      </c>
      <c r="M10" s="0" t="n">
        <f aca="false">D10*E10</f>
        <v>14</v>
      </c>
      <c r="N10" s="0" t="n">
        <f aca="false">F10*G10</f>
        <v>408.12</v>
      </c>
      <c r="P10" s="0" t="n">
        <f aca="false">K10+D10</f>
        <v>4</v>
      </c>
      <c r="Q10" s="0" t="n">
        <f aca="false">M10/P10</f>
        <v>3.5</v>
      </c>
      <c r="R10" s="0" t="n">
        <f aca="false">F10+K10</f>
        <v>179</v>
      </c>
      <c r="S10" s="0" t="n">
        <f aca="false">N10/R10</f>
        <v>2.28</v>
      </c>
    </row>
    <row r="11" customFormat="false" ht="15" hidden="false" customHeight="false" outlineLevel="0" collapsed="false">
      <c r="A11" s="0" t="s">
        <v>983</v>
      </c>
      <c r="B11" s="0" t="s">
        <v>984</v>
      </c>
      <c r="C11" s="0" t="n">
        <v>20171</v>
      </c>
      <c r="D11" s="0" t="n">
        <f aca="false">VLOOKUP(A11,[1]Worksheet!$A$2:$I$1049,4,0)</f>
        <v>4</v>
      </c>
      <c r="E11" s="0" t="n">
        <f aca="false">VLOOKUP(A11,[1]Worksheet!$A$2:$I$1049,5,0)</f>
        <v>3.5</v>
      </c>
      <c r="F11" s="0" t="n">
        <f aca="false">VLOOKUP(A11,[1]Worksheet!$A$2:$I$1049,6,0)</f>
        <v>188</v>
      </c>
      <c r="G11" s="0" t="n">
        <f aca="false">VLOOKUP(A11,[1]Worksheet!$A$2:$I$1049,7,0)</f>
        <v>2.23</v>
      </c>
      <c r="K11" s="0" t="n">
        <v>0</v>
      </c>
      <c r="M11" s="0" t="n">
        <f aca="false">D11*E11</f>
        <v>14</v>
      </c>
      <c r="N11" s="0" t="n">
        <f aca="false">F11*G11</f>
        <v>419.24</v>
      </c>
      <c r="P11" s="0" t="n">
        <f aca="false">K11+D11</f>
        <v>4</v>
      </c>
      <c r="Q11" s="0" t="n">
        <f aca="false">M11/P11</f>
        <v>3.5</v>
      </c>
      <c r="R11" s="0" t="n">
        <f aca="false">F11+K11</f>
        <v>188</v>
      </c>
      <c r="S11" s="0" t="n">
        <f aca="false">N11/R11</f>
        <v>2.23</v>
      </c>
    </row>
    <row r="12" customFormat="false" ht="15" hidden="false" customHeight="false" outlineLevel="0" collapsed="false">
      <c r="A12" s="0" t="s">
        <v>985</v>
      </c>
      <c r="B12" s="0" t="s">
        <v>986</v>
      </c>
      <c r="C12" s="0" t="n">
        <v>20171</v>
      </c>
      <c r="D12" s="0" t="n">
        <f aca="false">VLOOKUP(A12,[1]Worksheet!$A$2:$I$1049,4,0)</f>
        <v>4</v>
      </c>
      <c r="E12" s="0" t="n">
        <f aca="false">VLOOKUP(A12,[1]Worksheet!$A$2:$I$1049,5,0)</f>
        <v>3.5</v>
      </c>
      <c r="F12" s="0" t="n">
        <f aca="false">VLOOKUP(A12,[1]Worksheet!$A$2:$I$1049,6,0)</f>
        <v>166</v>
      </c>
      <c r="G12" s="0" t="n">
        <f aca="false">VLOOKUP(A12,[1]Worksheet!$A$2:$I$1049,7,0)</f>
        <v>2.56</v>
      </c>
      <c r="K12" s="0" t="n">
        <v>0</v>
      </c>
      <c r="M12" s="0" t="n">
        <f aca="false">D12*E12</f>
        <v>14</v>
      </c>
      <c r="N12" s="0" t="n">
        <f aca="false">F12*G12</f>
        <v>424.96</v>
      </c>
      <c r="P12" s="0" t="n">
        <f aca="false">K12+D12</f>
        <v>4</v>
      </c>
      <c r="Q12" s="0" t="n">
        <f aca="false">M12/P12</f>
        <v>3.5</v>
      </c>
      <c r="R12" s="0" t="n">
        <f aca="false">F12+K12</f>
        <v>166</v>
      </c>
      <c r="S12" s="0" t="n">
        <f aca="false">N12/R12</f>
        <v>2.56</v>
      </c>
    </row>
    <row r="13" customFormat="false" ht="15" hidden="false" customHeight="false" outlineLevel="0" collapsed="false">
      <c r="A13" s="0" t="s">
        <v>900</v>
      </c>
      <c r="B13" s="0" t="s">
        <v>901</v>
      </c>
      <c r="C13" s="0" t="n">
        <v>20171</v>
      </c>
      <c r="D13" s="0" t="n">
        <f aca="false">VLOOKUP(A13,[1]Worksheet!$A$2:$I$1049,4,0)</f>
        <v>5</v>
      </c>
      <c r="E13" s="0" t="n">
        <f aca="false">VLOOKUP(A13,[1]Worksheet!$A$2:$I$1049,5,0)</f>
        <v>2.6</v>
      </c>
      <c r="F13" s="0" t="n">
        <f aca="false">VLOOKUP(A13,[1]Worksheet!$A$2:$I$1049,6,0)</f>
        <v>176</v>
      </c>
      <c r="G13" s="0" t="n">
        <f aca="false">VLOOKUP(A13,[1]Worksheet!$A$2:$I$1049,7,0)</f>
        <v>2.32</v>
      </c>
      <c r="K13" s="0" t="n">
        <v>0</v>
      </c>
      <c r="M13" s="0" t="n">
        <f aca="false">D13*E13</f>
        <v>13</v>
      </c>
      <c r="N13" s="0" t="n">
        <f aca="false">F13*G13</f>
        <v>408.32</v>
      </c>
      <c r="P13" s="0" t="n">
        <f aca="false">K13+D13</f>
        <v>5</v>
      </c>
      <c r="Q13" s="0" t="n">
        <f aca="false">M13/P13</f>
        <v>2.6</v>
      </c>
      <c r="R13" s="0" t="n">
        <f aca="false">F13+K13</f>
        <v>176</v>
      </c>
      <c r="S13" s="0" t="n">
        <f aca="false">N13/R13</f>
        <v>2.32</v>
      </c>
    </row>
    <row r="14" customFormat="false" ht="15" hidden="false" customHeight="false" outlineLevel="0" collapsed="false">
      <c r="A14" s="0" t="s">
        <v>987</v>
      </c>
      <c r="B14" s="0" t="s">
        <v>988</v>
      </c>
      <c r="C14" s="0" t="n">
        <v>20171</v>
      </c>
      <c r="D14" s="0" t="n">
        <f aca="false">VLOOKUP(A14,[1]Worksheet!$A$2:$I$1049,4,0)</f>
        <v>4</v>
      </c>
      <c r="E14" s="0" t="n">
        <f aca="false">VLOOKUP(A14,[1]Worksheet!$A$2:$I$1049,5,0)</f>
        <v>3.5</v>
      </c>
      <c r="F14" s="0" t="n">
        <f aca="false">VLOOKUP(A14,[1]Worksheet!$A$2:$I$1049,6,0)</f>
        <v>170</v>
      </c>
      <c r="G14" s="0" t="n">
        <f aca="false">VLOOKUP(A14,[1]Worksheet!$A$2:$I$1049,7,0)</f>
        <v>2.14</v>
      </c>
      <c r="K14" s="0" t="n">
        <v>0</v>
      </c>
      <c r="M14" s="0" t="n">
        <f aca="false">D14*E14</f>
        <v>14</v>
      </c>
      <c r="N14" s="0" t="n">
        <f aca="false">F14*G14</f>
        <v>363.8</v>
      </c>
      <c r="P14" s="0" t="n">
        <f aca="false">K14+D14</f>
        <v>4</v>
      </c>
      <c r="Q14" s="0" t="n">
        <f aca="false">M14/P14</f>
        <v>3.5</v>
      </c>
      <c r="R14" s="0" t="n">
        <f aca="false">F14+K14</f>
        <v>170</v>
      </c>
      <c r="S14" s="0" t="n">
        <f aca="false">N14/R14</f>
        <v>2.14</v>
      </c>
    </row>
    <row r="15" customFormat="false" ht="15" hidden="false" customHeight="false" outlineLevel="0" collapsed="false">
      <c r="A15" s="0" t="s">
        <v>989</v>
      </c>
      <c r="B15" s="0" t="s">
        <v>990</v>
      </c>
      <c r="C15" s="0" t="n">
        <v>20171</v>
      </c>
      <c r="D15" s="0" t="n">
        <f aca="false">VLOOKUP(A15,[1]Worksheet!$A$2:$I$1049,4,0)</f>
        <v>4</v>
      </c>
      <c r="E15" s="0" t="n">
        <f aca="false">VLOOKUP(A15,[1]Worksheet!$A$2:$I$1049,5,0)</f>
        <v>4</v>
      </c>
      <c r="F15" s="0" t="n">
        <f aca="false">VLOOKUP(A15,[1]Worksheet!$A$2:$I$1049,6,0)</f>
        <v>181</v>
      </c>
      <c r="G15" s="0" t="n">
        <f aca="false">VLOOKUP(A15,[1]Worksheet!$A$2:$I$1049,7,0)</f>
        <v>2.41</v>
      </c>
      <c r="K15" s="0" t="n">
        <v>0</v>
      </c>
      <c r="M15" s="0" t="n">
        <f aca="false">D15*E15</f>
        <v>16</v>
      </c>
      <c r="N15" s="0" t="n">
        <f aca="false">F15*G15</f>
        <v>436.21</v>
      </c>
      <c r="P15" s="0" t="n">
        <f aca="false">K15+D15</f>
        <v>4</v>
      </c>
      <c r="Q15" s="0" t="n">
        <f aca="false">M15/P15</f>
        <v>4</v>
      </c>
      <c r="R15" s="0" t="n">
        <f aca="false">F15+K15</f>
        <v>181</v>
      </c>
      <c r="S15" s="0" t="n">
        <f aca="false">N15/R15</f>
        <v>2.41</v>
      </c>
    </row>
    <row r="16" customFormat="false" ht="15" hidden="false" customHeight="false" outlineLevel="0" collapsed="false">
      <c r="A16" s="0" t="s">
        <v>991</v>
      </c>
      <c r="B16" s="0" t="s">
        <v>992</v>
      </c>
      <c r="C16" s="0" t="n">
        <v>20171</v>
      </c>
      <c r="D16" s="0" t="n">
        <f aca="false">VLOOKUP(A16,[1]Worksheet!$A$2:$I$1049,4,0)</f>
        <v>4</v>
      </c>
      <c r="E16" s="0" t="n">
        <f aca="false">VLOOKUP(A16,[1]Worksheet!$A$2:$I$1049,5,0)</f>
        <v>3.5</v>
      </c>
      <c r="F16" s="0" t="n">
        <f aca="false">VLOOKUP(A16,[1]Worksheet!$A$2:$I$1049,6,0)</f>
        <v>155</v>
      </c>
      <c r="G16" s="0" t="n">
        <f aca="false">VLOOKUP(A16,[1]Worksheet!$A$2:$I$1049,7,0)</f>
        <v>3.06</v>
      </c>
      <c r="K16" s="0" t="n">
        <v>0</v>
      </c>
      <c r="M16" s="0" t="n">
        <f aca="false">D16*E16</f>
        <v>14</v>
      </c>
      <c r="N16" s="0" t="n">
        <f aca="false">F16*G16</f>
        <v>474.3</v>
      </c>
      <c r="P16" s="0" t="n">
        <f aca="false">K16+D16</f>
        <v>4</v>
      </c>
      <c r="Q16" s="0" t="n">
        <f aca="false">M16/P16</f>
        <v>3.5</v>
      </c>
      <c r="R16" s="0" t="n">
        <f aca="false">F16+K16</f>
        <v>155</v>
      </c>
      <c r="S16" s="0" t="n">
        <f aca="false">N16/R16</f>
        <v>3.06</v>
      </c>
    </row>
    <row r="17" customFormat="false" ht="15" hidden="false" customHeight="false" outlineLevel="0" collapsed="false">
      <c r="A17" s="0" t="s">
        <v>993</v>
      </c>
      <c r="B17" s="0" t="s">
        <v>994</v>
      </c>
      <c r="C17" s="0" t="n">
        <v>20171</v>
      </c>
      <c r="D17" s="0" t="n">
        <f aca="false">VLOOKUP(A17,[1]Worksheet!$A$2:$I$1049,4,0)</f>
        <v>4</v>
      </c>
      <c r="E17" s="0" t="n">
        <f aca="false">VLOOKUP(A17,[1]Worksheet!$A$2:$I$1049,5,0)</f>
        <v>3.5</v>
      </c>
      <c r="F17" s="0" t="n">
        <f aca="false">VLOOKUP(A17,[1]Worksheet!$A$2:$I$1049,6,0)</f>
        <v>177</v>
      </c>
      <c r="G17" s="0" t="n">
        <f aca="false">VLOOKUP(A17,[1]Worksheet!$A$2:$I$1049,7,0)</f>
        <v>2.69</v>
      </c>
      <c r="K17" s="0" t="n">
        <v>0</v>
      </c>
      <c r="M17" s="0" t="n">
        <f aca="false">D17*E17</f>
        <v>14</v>
      </c>
      <c r="N17" s="0" t="n">
        <f aca="false">F17*G17</f>
        <v>476.13</v>
      </c>
      <c r="P17" s="0" t="n">
        <f aca="false">K17+D17</f>
        <v>4</v>
      </c>
      <c r="Q17" s="0" t="n">
        <f aca="false">M17/P17</f>
        <v>3.5</v>
      </c>
      <c r="R17" s="0" t="n">
        <f aca="false">F17+K17</f>
        <v>177</v>
      </c>
      <c r="S17" s="0" t="n">
        <f aca="false">N17/R17</f>
        <v>2.69</v>
      </c>
    </row>
    <row r="18" customFormat="false" ht="15" hidden="false" customHeight="false" outlineLevel="0" collapsed="false">
      <c r="A18" s="0" t="s">
        <v>995</v>
      </c>
      <c r="B18" s="0" t="s">
        <v>996</v>
      </c>
      <c r="C18" s="0" t="n">
        <v>20171</v>
      </c>
      <c r="D18" s="0" t="n">
        <f aca="false">VLOOKUP(A18,[1]Worksheet!$A$2:$I$1049,4,0)</f>
        <v>0</v>
      </c>
      <c r="E18" s="0" t="n">
        <f aca="false">VLOOKUP(A18,[1]Worksheet!$A$2:$I$1049,5,0)</f>
        <v>0</v>
      </c>
      <c r="F18" s="0" t="n">
        <f aca="false">VLOOKUP(A18,[1]Worksheet!$A$2:$I$1049,6,0)</f>
        <v>169</v>
      </c>
      <c r="G18" s="0" t="n">
        <f aca="false">VLOOKUP(A18,[1]Worksheet!$A$2:$I$1049,7,0)</f>
        <v>2.47</v>
      </c>
      <c r="K18" s="0" t="n">
        <v>4</v>
      </c>
      <c r="M18" s="0" t="n">
        <f aca="false">D18*E18</f>
        <v>0</v>
      </c>
      <c r="N18" s="0" t="n">
        <f aca="false">F18*G18</f>
        <v>417.43</v>
      </c>
      <c r="P18" s="0" t="n">
        <f aca="false">K18+D18</f>
        <v>4</v>
      </c>
      <c r="Q18" s="0" t="n">
        <f aca="false">M18/P18</f>
        <v>0</v>
      </c>
      <c r="R18" s="0" t="n">
        <f aca="false">F18+K18</f>
        <v>173</v>
      </c>
      <c r="S18" s="0" t="n">
        <f aca="false">N18/R18</f>
        <v>2.4128901734104</v>
      </c>
    </row>
    <row r="19" customFormat="false" ht="15" hidden="false" customHeight="false" outlineLevel="0" collapsed="false">
      <c r="A19" s="0" t="s">
        <v>997</v>
      </c>
      <c r="B19" s="0" t="s">
        <v>998</v>
      </c>
      <c r="C19" s="0" t="n">
        <v>20171</v>
      </c>
      <c r="D19" s="0" t="n">
        <f aca="false">VLOOKUP(A19,[1]Worksheet!$A$2:$I$1049,4,0)</f>
        <v>4</v>
      </c>
      <c r="E19" s="0" t="n">
        <f aca="false">VLOOKUP(A19,[1]Worksheet!$A$2:$I$1049,5,0)</f>
        <v>3.5</v>
      </c>
      <c r="F19" s="0" t="n">
        <f aca="false">VLOOKUP(A19,[1]Worksheet!$A$2:$I$1049,6,0)</f>
        <v>188</v>
      </c>
      <c r="G19" s="0" t="n">
        <f aca="false">VLOOKUP(A19,[1]Worksheet!$A$2:$I$1049,7,0)</f>
        <v>2.3</v>
      </c>
      <c r="K19" s="0" t="n">
        <v>0</v>
      </c>
      <c r="M19" s="0" t="n">
        <f aca="false">D19*E19</f>
        <v>14</v>
      </c>
      <c r="N19" s="0" t="n">
        <f aca="false">F19*G19</f>
        <v>432.4</v>
      </c>
      <c r="P19" s="0" t="n">
        <f aca="false">K19+D19</f>
        <v>4</v>
      </c>
      <c r="Q19" s="0" t="n">
        <f aca="false">M19/P19</f>
        <v>3.5</v>
      </c>
      <c r="R19" s="0" t="n">
        <f aca="false">F19+K19</f>
        <v>188</v>
      </c>
      <c r="S19" s="0" t="n">
        <f aca="false">N19/R19</f>
        <v>2.3</v>
      </c>
    </row>
    <row r="20" customFormat="false" ht="15" hidden="false" customHeight="false" outlineLevel="0" collapsed="false">
      <c r="A20" s="0" t="s">
        <v>999</v>
      </c>
      <c r="B20" s="0" t="s">
        <v>1000</v>
      </c>
      <c r="C20" s="0" t="n">
        <v>20171</v>
      </c>
      <c r="D20" s="0" t="n">
        <f aca="false">VLOOKUP(A20,[1]Worksheet!$A$2:$I$1049,4,0)</f>
        <v>4</v>
      </c>
      <c r="E20" s="0" t="n">
        <f aca="false">VLOOKUP(A20,[1]Worksheet!$A$2:$I$1049,5,0)</f>
        <v>3.5</v>
      </c>
      <c r="F20" s="0" t="n">
        <f aca="false">VLOOKUP(A20,[1]Worksheet!$A$2:$I$1049,6,0)</f>
        <v>177</v>
      </c>
      <c r="G20" s="0" t="n">
        <f aca="false">VLOOKUP(A20,[1]Worksheet!$A$2:$I$1049,7,0)</f>
        <v>2.42</v>
      </c>
      <c r="K20" s="0" t="n">
        <v>0</v>
      </c>
      <c r="M20" s="0" t="n">
        <f aca="false">D20*E20</f>
        <v>14</v>
      </c>
      <c r="N20" s="0" t="n">
        <f aca="false">F20*G20</f>
        <v>428.34</v>
      </c>
      <c r="P20" s="0" t="n">
        <f aca="false">K20+D20</f>
        <v>4</v>
      </c>
      <c r="Q20" s="0" t="n">
        <f aca="false">M20/P20</f>
        <v>3.5</v>
      </c>
      <c r="R20" s="0" t="n">
        <f aca="false">F20+K20</f>
        <v>177</v>
      </c>
      <c r="S20" s="0" t="n">
        <f aca="false">N20/R20</f>
        <v>2.42</v>
      </c>
    </row>
    <row r="21" customFormat="false" ht="15" hidden="false" customHeight="false" outlineLevel="0" collapsed="false">
      <c r="A21" s="0" t="s">
        <v>675</v>
      </c>
      <c r="B21" s="0" t="s">
        <v>676</v>
      </c>
      <c r="C21" s="0" t="n">
        <v>20171</v>
      </c>
      <c r="D21" s="0" t="n">
        <f aca="false">VLOOKUP(A21,[1]Worksheet!$A$2:$I$1049,4,0)</f>
        <v>4</v>
      </c>
      <c r="E21" s="0" t="n">
        <f aca="false">VLOOKUP(A21,[1]Worksheet!$A$2:$I$1049,5,0)</f>
        <v>0</v>
      </c>
      <c r="F21" s="0" t="n">
        <f aca="false">VLOOKUP(A21,[1]Worksheet!$A$2:$I$1049,6,0)</f>
        <v>166</v>
      </c>
      <c r="G21" s="0" t="n">
        <f aca="false">VLOOKUP(A21,[1]Worksheet!$A$2:$I$1049,7,0)</f>
        <v>2.2</v>
      </c>
      <c r="K21" s="0" t="n">
        <v>2</v>
      </c>
      <c r="M21" s="0" t="n">
        <f aca="false">D21*E21</f>
        <v>0</v>
      </c>
      <c r="N21" s="0" t="n">
        <f aca="false">F21*G21</f>
        <v>365.2</v>
      </c>
      <c r="P21" s="0" t="n">
        <f aca="false">K21+D21</f>
        <v>6</v>
      </c>
      <c r="Q21" s="0" t="n">
        <f aca="false">M21/P21</f>
        <v>0</v>
      </c>
      <c r="R21" s="0" t="n">
        <f aca="false">F21+K21</f>
        <v>168</v>
      </c>
      <c r="S21" s="0" t="n">
        <f aca="false">N21/R21</f>
        <v>2.17380952380952</v>
      </c>
    </row>
    <row r="22" customFormat="false" ht="15" hidden="false" customHeight="false" outlineLevel="0" collapsed="false">
      <c r="A22" s="0" t="s">
        <v>1001</v>
      </c>
      <c r="B22" s="0" t="s">
        <v>1002</v>
      </c>
      <c r="C22" s="0" t="n">
        <v>20171</v>
      </c>
      <c r="D22" s="0" t="n">
        <f aca="false">VLOOKUP(A22,[1]Worksheet!$A$2:$I$1049,4,0)</f>
        <v>0</v>
      </c>
      <c r="E22" s="0" t="n">
        <f aca="false">VLOOKUP(A22,[1]Worksheet!$A$2:$I$1049,5,0)</f>
        <v>0</v>
      </c>
      <c r="F22" s="0" t="n">
        <f aca="false">VLOOKUP(A22,[1]Worksheet!$A$2:$I$1049,6,0)</f>
        <v>177</v>
      </c>
      <c r="G22" s="0" t="n">
        <f aca="false">VLOOKUP(A22,[1]Worksheet!$A$2:$I$1049,7,0)</f>
        <v>2.19</v>
      </c>
      <c r="K22" s="0" t="n">
        <v>4</v>
      </c>
      <c r="M22" s="0" t="n">
        <f aca="false">D22*E22</f>
        <v>0</v>
      </c>
      <c r="N22" s="0" t="n">
        <f aca="false">F22*G22</f>
        <v>387.63</v>
      </c>
      <c r="P22" s="0" t="n">
        <f aca="false">K22+D22</f>
        <v>4</v>
      </c>
      <c r="Q22" s="0" t="n">
        <f aca="false">M22/P22</f>
        <v>0</v>
      </c>
      <c r="R22" s="0" t="n">
        <f aca="false">F22+K22</f>
        <v>181</v>
      </c>
      <c r="S22" s="0" t="n">
        <f aca="false">N22/R22</f>
        <v>2.14160220994475</v>
      </c>
    </row>
    <row r="23" customFormat="false" ht="15" hidden="false" customHeight="false" outlineLevel="0" collapsed="false">
      <c r="A23" s="0" t="s">
        <v>1003</v>
      </c>
      <c r="B23" s="0" t="s">
        <v>1004</v>
      </c>
      <c r="C23" s="0" t="n">
        <v>20171</v>
      </c>
      <c r="D23" s="0" t="n">
        <f aca="false">VLOOKUP(A23,[1]Worksheet!$A$2:$I$1049,4,0)</f>
        <v>4</v>
      </c>
      <c r="E23" s="0" t="n">
        <f aca="false">VLOOKUP(A23,[1]Worksheet!$A$2:$I$1049,5,0)</f>
        <v>3.5</v>
      </c>
      <c r="F23" s="0" t="n">
        <f aca="false">VLOOKUP(A23,[1]Worksheet!$A$2:$I$1049,6,0)</f>
        <v>189</v>
      </c>
      <c r="G23" s="0" t="n">
        <f aca="false">VLOOKUP(A23,[1]Worksheet!$A$2:$I$1049,7,0)</f>
        <v>2.46</v>
      </c>
      <c r="K23" s="0" t="n">
        <v>0</v>
      </c>
      <c r="M23" s="0" t="n">
        <f aca="false">D23*E23</f>
        <v>14</v>
      </c>
      <c r="N23" s="0" t="n">
        <f aca="false">F23*G23</f>
        <v>464.94</v>
      </c>
      <c r="P23" s="0" t="n">
        <f aca="false">K23+D23</f>
        <v>4</v>
      </c>
      <c r="Q23" s="0" t="n">
        <f aca="false">M23/P23</f>
        <v>3.5</v>
      </c>
      <c r="R23" s="0" t="n">
        <f aca="false">F23+K23</f>
        <v>189</v>
      </c>
      <c r="S23" s="0" t="n">
        <f aca="false">N23/R23</f>
        <v>2.46</v>
      </c>
    </row>
    <row r="24" customFormat="false" ht="15" hidden="false" customHeight="false" outlineLevel="0" collapsed="false">
      <c r="A24" s="0" t="s">
        <v>1005</v>
      </c>
      <c r="B24" s="0" t="s">
        <v>1006</v>
      </c>
      <c r="C24" s="0" t="n">
        <v>20171</v>
      </c>
      <c r="D24" s="0" t="n">
        <f aca="false">VLOOKUP(A24,[1]Worksheet!$A$2:$I$1049,4,0)</f>
        <v>4</v>
      </c>
      <c r="E24" s="0" t="n">
        <f aca="false">VLOOKUP(A24,[1]Worksheet!$A$2:$I$1049,5,0)</f>
        <v>4</v>
      </c>
      <c r="F24" s="0" t="n">
        <f aca="false">VLOOKUP(A24,[1]Worksheet!$A$2:$I$1049,6,0)</f>
        <v>163</v>
      </c>
      <c r="G24" s="0" t="n">
        <f aca="false">VLOOKUP(A24,[1]Worksheet!$A$2:$I$1049,7,0)</f>
        <v>3.09</v>
      </c>
      <c r="K24" s="0" t="n">
        <v>0</v>
      </c>
      <c r="M24" s="0" t="n">
        <f aca="false">D24*E24</f>
        <v>16</v>
      </c>
      <c r="N24" s="0" t="n">
        <f aca="false">F24*G24</f>
        <v>503.67</v>
      </c>
      <c r="P24" s="0" t="n">
        <f aca="false">K24+D24</f>
        <v>4</v>
      </c>
      <c r="Q24" s="0" t="n">
        <f aca="false">M24/P24</f>
        <v>4</v>
      </c>
      <c r="R24" s="0" t="n">
        <f aca="false">F24+K24</f>
        <v>163</v>
      </c>
      <c r="S24" s="0" t="n">
        <f aca="false">N24/R24</f>
        <v>3.09</v>
      </c>
    </row>
    <row r="25" customFormat="false" ht="15" hidden="false" customHeight="false" outlineLevel="0" collapsed="false">
      <c r="A25" s="0" t="s">
        <v>1007</v>
      </c>
      <c r="B25" s="0" t="s">
        <v>1008</v>
      </c>
      <c r="C25" s="0" t="n">
        <v>20171</v>
      </c>
      <c r="D25" s="0" t="n">
        <f aca="false">VLOOKUP(A25,[1]Worksheet!$A$2:$I$1049,4,0)</f>
        <v>0</v>
      </c>
      <c r="E25" s="0" t="n">
        <f aca="false">VLOOKUP(A25,[1]Worksheet!$A$2:$I$1049,5,0)</f>
        <v>0</v>
      </c>
      <c r="F25" s="0" t="n">
        <f aca="false">VLOOKUP(A25,[1]Worksheet!$A$2:$I$1049,6,0)</f>
        <v>166</v>
      </c>
      <c r="G25" s="0" t="n">
        <f aca="false">VLOOKUP(A25,[1]Worksheet!$A$2:$I$1049,7,0)</f>
        <v>2.81</v>
      </c>
      <c r="K25" s="0" t="n">
        <v>4</v>
      </c>
      <c r="M25" s="0" t="n">
        <f aca="false">D25*E25</f>
        <v>0</v>
      </c>
      <c r="N25" s="0" t="n">
        <f aca="false">F25*G25</f>
        <v>466.46</v>
      </c>
      <c r="P25" s="0" t="n">
        <f aca="false">K25+D25</f>
        <v>4</v>
      </c>
      <c r="Q25" s="0" t="n">
        <f aca="false">M25/P25</f>
        <v>0</v>
      </c>
      <c r="R25" s="0" t="n">
        <f aca="false">F25+K25</f>
        <v>170</v>
      </c>
      <c r="S25" s="0" t="n">
        <f aca="false">N25/R25</f>
        <v>2.74388235294118</v>
      </c>
    </row>
    <row r="26" customFormat="false" ht="15" hidden="false" customHeight="false" outlineLevel="0" collapsed="false">
      <c r="A26" s="0" t="s">
        <v>1009</v>
      </c>
      <c r="B26" s="0" t="s">
        <v>1010</v>
      </c>
      <c r="C26" s="0" t="n">
        <v>20171</v>
      </c>
      <c r="D26" s="0" t="n">
        <f aca="false">VLOOKUP(A26,[1]Worksheet!$A$2:$I$1049,4,0)</f>
        <v>0</v>
      </c>
      <c r="E26" s="0" t="n">
        <f aca="false">VLOOKUP(A26,[1]Worksheet!$A$2:$I$1049,5,0)</f>
        <v>0</v>
      </c>
      <c r="F26" s="0" t="n">
        <f aca="false">VLOOKUP(A26,[1]Worksheet!$A$2:$I$1049,6,0)</f>
        <v>166</v>
      </c>
      <c r="G26" s="0" t="n">
        <f aca="false">VLOOKUP(A26,[1]Worksheet!$A$2:$I$1049,7,0)</f>
        <v>2.73</v>
      </c>
      <c r="K26" s="0" t="n">
        <v>4</v>
      </c>
      <c r="M26" s="0" t="n">
        <f aca="false">D26*E26</f>
        <v>0</v>
      </c>
      <c r="N26" s="0" t="n">
        <f aca="false">F26*G26</f>
        <v>453.18</v>
      </c>
      <c r="P26" s="0" t="n">
        <f aca="false">K26+D26</f>
        <v>4</v>
      </c>
      <c r="Q26" s="0" t="n">
        <f aca="false">M26/P26</f>
        <v>0</v>
      </c>
      <c r="R26" s="0" t="n">
        <f aca="false">F26+K26</f>
        <v>170</v>
      </c>
      <c r="S26" s="0" t="n">
        <f aca="false">N26/R26</f>
        <v>2.66576470588235</v>
      </c>
    </row>
    <row r="27" customFormat="false" ht="15" hidden="false" customHeight="false" outlineLevel="0" collapsed="false">
      <c r="A27" s="0" t="s">
        <v>304</v>
      </c>
      <c r="B27" s="0" t="s">
        <v>305</v>
      </c>
      <c r="C27" s="0" t="n">
        <v>20171</v>
      </c>
      <c r="D27" s="0" t="n">
        <f aca="false">VLOOKUP(A27,[1]Worksheet!$A$2:$I$1049,4,0)</f>
        <v>20</v>
      </c>
      <c r="E27" s="0" t="n">
        <f aca="false">VLOOKUP(A27,[1]Worksheet!$A$2:$I$1049,5,0)</f>
        <v>1.53</v>
      </c>
      <c r="F27" s="0" t="n">
        <f aca="false">VLOOKUP(A27,[1]Worksheet!$A$2:$I$1049,6,0)</f>
        <v>186</v>
      </c>
      <c r="G27" s="0" t="n">
        <f aca="false">VLOOKUP(A27,[1]Worksheet!$A$2:$I$1049,7,0)</f>
        <v>1.89</v>
      </c>
      <c r="K27" s="0" t="n">
        <v>4</v>
      </c>
      <c r="M27" s="0" t="n">
        <f aca="false">D27*E27</f>
        <v>30.6</v>
      </c>
      <c r="N27" s="0" t="n">
        <f aca="false">F27*G27</f>
        <v>351.54</v>
      </c>
      <c r="P27" s="0" t="n">
        <f aca="false">K27+D27</f>
        <v>24</v>
      </c>
      <c r="Q27" s="0" t="n">
        <f aca="false">M27/P27</f>
        <v>1.275</v>
      </c>
      <c r="R27" s="0" t="n">
        <f aca="false">F27+K27</f>
        <v>190</v>
      </c>
      <c r="S27" s="0" t="n">
        <f aca="false">N27/R27</f>
        <v>1.85021052631579</v>
      </c>
    </row>
    <row r="28" customFormat="false" ht="15" hidden="false" customHeight="false" outlineLevel="0" collapsed="false">
      <c r="A28" s="0" t="s">
        <v>1011</v>
      </c>
      <c r="B28" s="0" t="s">
        <v>1012</v>
      </c>
      <c r="C28" s="0" t="n">
        <v>20171</v>
      </c>
      <c r="D28" s="0" t="n">
        <f aca="false">VLOOKUP(A28,[1]Worksheet!$A$2:$I$1049,4,0)</f>
        <v>4</v>
      </c>
      <c r="E28" s="0" t="n">
        <f aca="false">VLOOKUP(A28,[1]Worksheet!$A$2:$I$1049,5,0)</f>
        <v>4</v>
      </c>
      <c r="F28" s="0" t="n">
        <f aca="false">VLOOKUP(A28,[1]Worksheet!$A$2:$I$1049,6,0)</f>
        <v>170</v>
      </c>
      <c r="G28" s="0" t="n">
        <f aca="false">VLOOKUP(A28,[1]Worksheet!$A$2:$I$1049,7,0)</f>
        <v>2.62</v>
      </c>
      <c r="K28" s="0" t="n">
        <v>0</v>
      </c>
      <c r="M28" s="0" t="n">
        <f aca="false">D28*E28</f>
        <v>16</v>
      </c>
      <c r="N28" s="0" t="n">
        <f aca="false">F28*G28</f>
        <v>445.4</v>
      </c>
      <c r="P28" s="0" t="n">
        <f aca="false">K28+D28</f>
        <v>4</v>
      </c>
      <c r="Q28" s="0" t="n">
        <f aca="false">M28/P28</f>
        <v>4</v>
      </c>
      <c r="R28" s="0" t="n">
        <f aca="false">F28+K28</f>
        <v>170</v>
      </c>
      <c r="S28" s="0" t="n">
        <f aca="false">N28/R28</f>
        <v>2.62</v>
      </c>
    </row>
    <row r="29" customFormat="false" ht="15" hidden="false" customHeight="false" outlineLevel="0" collapsed="false">
      <c r="A29" s="0" t="s">
        <v>1013</v>
      </c>
      <c r="B29" s="0" t="s">
        <v>1014</v>
      </c>
      <c r="C29" s="0" t="n">
        <v>20171</v>
      </c>
      <c r="D29" s="0" t="n">
        <f aca="false">VLOOKUP(A29,[1]Worksheet!$A$2:$I$1049,4,0)</f>
        <v>4</v>
      </c>
      <c r="E29" s="0" t="n">
        <f aca="false">VLOOKUP(A29,[1]Worksheet!$A$2:$I$1049,5,0)</f>
        <v>4</v>
      </c>
      <c r="F29" s="0" t="n">
        <f aca="false">VLOOKUP(A29,[1]Worksheet!$A$2:$I$1049,6,0)</f>
        <v>162</v>
      </c>
      <c r="G29" s="0" t="n">
        <f aca="false">VLOOKUP(A29,[1]Worksheet!$A$2:$I$1049,7,0)</f>
        <v>3.06</v>
      </c>
      <c r="K29" s="0" t="n">
        <v>0</v>
      </c>
      <c r="M29" s="0" t="n">
        <f aca="false">D29*E29</f>
        <v>16</v>
      </c>
      <c r="N29" s="0" t="n">
        <f aca="false">F29*G29</f>
        <v>495.72</v>
      </c>
      <c r="P29" s="0" t="n">
        <f aca="false">K29+D29</f>
        <v>4</v>
      </c>
      <c r="Q29" s="0" t="n">
        <f aca="false">M29/P29</f>
        <v>4</v>
      </c>
      <c r="R29" s="0" t="n">
        <f aca="false">F29+K29</f>
        <v>162</v>
      </c>
      <c r="S29" s="0" t="n">
        <f aca="false">N29/R29</f>
        <v>3.06</v>
      </c>
    </row>
    <row r="30" customFormat="false" ht="15" hidden="false" customHeight="false" outlineLevel="0" collapsed="false">
      <c r="A30" s="0" t="s">
        <v>679</v>
      </c>
      <c r="B30" s="0" t="s">
        <v>680</v>
      </c>
      <c r="C30" s="0" t="n">
        <v>20171</v>
      </c>
      <c r="D30" s="0" t="n">
        <f aca="false">VLOOKUP(A30,[1]Worksheet!$A$2:$I$1049,4,0)</f>
        <v>9</v>
      </c>
      <c r="E30" s="0" t="n">
        <f aca="false">VLOOKUP(A30,[1]Worksheet!$A$2:$I$1049,5,0)</f>
        <v>0</v>
      </c>
      <c r="F30" s="0" t="n">
        <f aca="false">VLOOKUP(A30,[1]Worksheet!$A$2:$I$1049,6,0)</f>
        <v>154</v>
      </c>
      <c r="G30" s="0" t="n">
        <f aca="false">VLOOKUP(A30,[1]Worksheet!$A$2:$I$1049,7,0)</f>
        <v>1.98</v>
      </c>
      <c r="K30" s="0" t="n">
        <v>0</v>
      </c>
      <c r="M30" s="0" t="n">
        <f aca="false">D30*E30</f>
        <v>0</v>
      </c>
      <c r="N30" s="0" t="n">
        <f aca="false">F30*G30</f>
        <v>304.92</v>
      </c>
      <c r="P30" s="0" t="n">
        <f aca="false">K30+D30</f>
        <v>9</v>
      </c>
      <c r="Q30" s="0" t="n">
        <f aca="false">M30/P30</f>
        <v>0</v>
      </c>
      <c r="R30" s="0" t="n">
        <f aca="false">F30+K30</f>
        <v>154</v>
      </c>
      <c r="S30" s="0" t="n">
        <f aca="false">N30/R30</f>
        <v>1.98</v>
      </c>
    </row>
    <row r="31" customFormat="false" ht="15" hidden="false" customHeight="false" outlineLevel="0" collapsed="false">
      <c r="A31" s="0" t="s">
        <v>1015</v>
      </c>
      <c r="B31" s="0" t="s">
        <v>1016</v>
      </c>
      <c r="C31" s="0" t="n">
        <v>20171</v>
      </c>
      <c r="D31" s="0" t="n">
        <f aca="false">VLOOKUP(A31,[1]Worksheet!$A$2:$I$1049,4,0)</f>
        <v>0</v>
      </c>
      <c r="E31" s="0" t="n">
        <f aca="false">VLOOKUP(A31,[1]Worksheet!$A$2:$I$1049,5,0)</f>
        <v>0</v>
      </c>
      <c r="F31" s="0" t="n">
        <f aca="false">VLOOKUP(A31,[1]Worksheet!$A$2:$I$1049,6,0)</f>
        <v>203</v>
      </c>
      <c r="G31" s="0" t="n">
        <f aca="false">VLOOKUP(A31,[1]Worksheet!$A$2:$I$1049,7,0)</f>
        <v>2.53</v>
      </c>
      <c r="K31" s="0" t="n">
        <v>4</v>
      </c>
      <c r="M31" s="0" t="n">
        <f aca="false">D31*E31</f>
        <v>0</v>
      </c>
      <c r="N31" s="0" t="n">
        <f aca="false">F31*G31</f>
        <v>513.59</v>
      </c>
      <c r="P31" s="0" t="n">
        <f aca="false">K31+D31</f>
        <v>4</v>
      </c>
      <c r="Q31" s="0" t="n">
        <f aca="false">M31/P31</f>
        <v>0</v>
      </c>
      <c r="R31" s="0" t="n">
        <f aca="false">F31+K31</f>
        <v>207</v>
      </c>
      <c r="S31" s="0" t="n">
        <f aca="false">N31/R31</f>
        <v>2.48111111111111</v>
      </c>
    </row>
    <row r="32" customFormat="false" ht="15" hidden="false" customHeight="false" outlineLevel="0" collapsed="false">
      <c r="A32" s="0" t="s">
        <v>1017</v>
      </c>
      <c r="B32" s="0" t="s">
        <v>1018</v>
      </c>
      <c r="C32" s="0" t="n">
        <v>20171</v>
      </c>
      <c r="D32" s="0" t="n">
        <f aca="false">VLOOKUP(A32,[1]Worksheet!$A$2:$I$1049,4,0)</f>
        <v>0</v>
      </c>
      <c r="E32" s="0" t="n">
        <f aca="false">VLOOKUP(A32,[1]Worksheet!$A$2:$I$1049,5,0)</f>
        <v>0</v>
      </c>
      <c r="F32" s="0" t="n">
        <f aca="false">VLOOKUP(A32,[1]Worksheet!$A$2:$I$1049,6,0)</f>
        <v>159</v>
      </c>
      <c r="G32" s="0" t="n">
        <f aca="false">VLOOKUP(A32,[1]Worksheet!$A$2:$I$1049,7,0)</f>
        <v>2.9</v>
      </c>
      <c r="K32" s="0" t="n">
        <v>4</v>
      </c>
      <c r="M32" s="0" t="n">
        <f aca="false">D32*E32</f>
        <v>0</v>
      </c>
      <c r="N32" s="0" t="n">
        <f aca="false">F32*G32</f>
        <v>461.1</v>
      </c>
      <c r="P32" s="0" t="n">
        <f aca="false">K32+D32</f>
        <v>4</v>
      </c>
      <c r="Q32" s="0" t="n">
        <f aca="false">M32/P32</f>
        <v>0</v>
      </c>
      <c r="R32" s="0" t="n">
        <f aca="false">F32+K32</f>
        <v>163</v>
      </c>
      <c r="S32" s="0" t="n">
        <f aca="false">N32/R32</f>
        <v>2.82883435582822</v>
      </c>
    </row>
    <row r="33" customFormat="false" ht="15" hidden="false" customHeight="false" outlineLevel="0" collapsed="false">
      <c r="A33" s="0" t="s">
        <v>912</v>
      </c>
      <c r="B33" s="0" t="s">
        <v>913</v>
      </c>
      <c r="C33" s="0" t="n">
        <v>20171</v>
      </c>
      <c r="D33" s="0" t="n">
        <f aca="false">VLOOKUP(A33,[1]Worksheet!$A$2:$I$1049,4,0)</f>
        <v>3</v>
      </c>
      <c r="E33" s="0" t="n">
        <f aca="false">VLOOKUP(A33,[1]Worksheet!$A$2:$I$1049,5,0)</f>
        <v>3.33</v>
      </c>
      <c r="F33" s="0" t="n">
        <f aca="false">VLOOKUP(A33,[1]Worksheet!$A$2:$I$1049,6,0)</f>
        <v>175</v>
      </c>
      <c r="G33" s="0" t="n">
        <f aca="false">VLOOKUP(A33,[1]Worksheet!$A$2:$I$1049,7,0)</f>
        <v>2.47</v>
      </c>
      <c r="K33" s="0" t="n">
        <v>4</v>
      </c>
      <c r="M33" s="0" t="n">
        <f aca="false">D33*E33</f>
        <v>9.99</v>
      </c>
      <c r="N33" s="0" t="n">
        <f aca="false">F33*G33</f>
        <v>432.25</v>
      </c>
      <c r="P33" s="0" t="n">
        <f aca="false">K33+D33</f>
        <v>7</v>
      </c>
      <c r="Q33" s="0" t="n">
        <f aca="false">M33/P33</f>
        <v>1.42714285714286</v>
      </c>
      <c r="R33" s="0" t="n">
        <f aca="false">F33+K33</f>
        <v>179</v>
      </c>
      <c r="S33" s="0" t="n">
        <f aca="false">N33/R33</f>
        <v>2.41480446927374</v>
      </c>
    </row>
    <row r="34" customFormat="false" ht="15" hidden="false" customHeight="false" outlineLevel="0" collapsed="false">
      <c r="A34" s="0" t="s">
        <v>10</v>
      </c>
      <c r="B34" s="0" t="s">
        <v>11</v>
      </c>
      <c r="C34" s="0" t="n">
        <v>20171</v>
      </c>
      <c r="D34" s="0" t="n">
        <f aca="false">VLOOKUP(A34,[1]Worksheet!$A$2:$I$1049,4,0)</f>
        <v>14</v>
      </c>
      <c r="E34" s="0" t="n">
        <f aca="false">VLOOKUP(A34,[1]Worksheet!$A$2:$I$1049,5,0)</f>
        <v>3.29</v>
      </c>
      <c r="F34" s="0" t="n">
        <f aca="false">VLOOKUP(A34,[1]Worksheet!$A$2:$I$1049,6,0)</f>
        <v>180</v>
      </c>
      <c r="G34" s="0" t="n">
        <f aca="false">VLOOKUP(A34,[1]Worksheet!$A$2:$I$1049,7,0)</f>
        <v>2.57</v>
      </c>
      <c r="K34" s="0" t="n">
        <v>4</v>
      </c>
      <c r="M34" s="0" t="n">
        <f aca="false">D34*E34</f>
        <v>46.06</v>
      </c>
      <c r="N34" s="0" t="n">
        <f aca="false">F34*G34</f>
        <v>462.6</v>
      </c>
      <c r="P34" s="0" t="n">
        <f aca="false">K34+D34</f>
        <v>18</v>
      </c>
      <c r="Q34" s="0" t="n">
        <f aca="false">M34/P34</f>
        <v>2.55888888888889</v>
      </c>
      <c r="R34" s="0" t="n">
        <f aca="false">F34+K34</f>
        <v>184</v>
      </c>
      <c r="S34" s="0" t="n">
        <f aca="false">N34/R34</f>
        <v>2.51413043478261</v>
      </c>
    </row>
    <row r="35" customFormat="false" ht="15" hidden="false" customHeight="false" outlineLevel="0" collapsed="false">
      <c r="A35" s="0" t="s">
        <v>1019</v>
      </c>
      <c r="B35" s="0" t="s">
        <v>1020</v>
      </c>
      <c r="C35" s="0" t="n">
        <v>20171</v>
      </c>
      <c r="D35" s="0" t="n">
        <f aca="false">VLOOKUP(A35,[1]Worksheet!$A$2:$I$1049,4,0)</f>
        <v>0</v>
      </c>
      <c r="E35" s="0" t="n">
        <f aca="false">VLOOKUP(A35,[1]Worksheet!$A$2:$I$1049,5,0)</f>
        <v>0</v>
      </c>
      <c r="F35" s="0" t="n">
        <f aca="false">VLOOKUP(A35,[1]Worksheet!$A$2:$I$1049,6,0)</f>
        <v>154</v>
      </c>
      <c r="G35" s="0" t="n">
        <f aca="false">VLOOKUP(A35,[1]Worksheet!$A$2:$I$1049,7,0)</f>
        <v>2.92</v>
      </c>
      <c r="K35" s="0" t="n">
        <v>4</v>
      </c>
      <c r="M35" s="0" t="n">
        <f aca="false">D35*E35</f>
        <v>0</v>
      </c>
      <c r="N35" s="0" t="n">
        <f aca="false">F35*G35</f>
        <v>449.68</v>
      </c>
      <c r="P35" s="0" t="n">
        <f aca="false">K35+D35</f>
        <v>4</v>
      </c>
      <c r="Q35" s="0" t="n">
        <f aca="false">M35/P35</f>
        <v>0</v>
      </c>
      <c r="R35" s="0" t="n">
        <f aca="false">F35+K35</f>
        <v>158</v>
      </c>
      <c r="S35" s="0" t="n">
        <f aca="false">N35/R35</f>
        <v>2.84607594936709</v>
      </c>
    </row>
    <row r="36" customFormat="false" ht="15" hidden="false" customHeight="false" outlineLevel="0" collapsed="false">
      <c r="A36" s="0" t="s">
        <v>1021</v>
      </c>
      <c r="B36" s="0" t="s">
        <v>1022</v>
      </c>
      <c r="C36" s="0" t="n">
        <v>20171</v>
      </c>
      <c r="D36" s="0" t="n">
        <f aca="false">VLOOKUP(A36,[1]Worksheet!$A$2:$I$1049,4,0)</f>
        <v>0</v>
      </c>
      <c r="E36" s="0" t="n">
        <f aca="false">VLOOKUP(A36,[1]Worksheet!$A$2:$I$1049,5,0)</f>
        <v>0</v>
      </c>
      <c r="F36" s="0" t="n">
        <f aca="false">VLOOKUP(A36,[1]Worksheet!$A$2:$I$1049,6,0)</f>
        <v>159</v>
      </c>
      <c r="G36" s="0" t="n">
        <f aca="false">VLOOKUP(A36,[1]Worksheet!$A$2:$I$1049,7,0)</f>
        <v>3.09</v>
      </c>
      <c r="K36" s="0" t="n">
        <v>4</v>
      </c>
      <c r="M36" s="0" t="n">
        <f aca="false">D36*E36</f>
        <v>0</v>
      </c>
      <c r="N36" s="0" t="n">
        <f aca="false">F36*G36</f>
        <v>491.31</v>
      </c>
      <c r="P36" s="0" t="n">
        <f aca="false">K36+D36</f>
        <v>4</v>
      </c>
      <c r="Q36" s="0" t="n">
        <f aca="false">M36/P36</f>
        <v>0</v>
      </c>
      <c r="R36" s="0" t="n">
        <f aca="false">F36+K36</f>
        <v>163</v>
      </c>
      <c r="S36" s="0" t="n">
        <f aca="false">N36/R36</f>
        <v>3.0141717791411</v>
      </c>
    </row>
    <row r="37" customFormat="false" ht="15" hidden="false" customHeight="false" outlineLevel="0" collapsed="false">
      <c r="A37" s="0" t="s">
        <v>1023</v>
      </c>
      <c r="B37" s="0" t="s">
        <v>1024</v>
      </c>
      <c r="C37" s="0" t="n">
        <v>20171</v>
      </c>
      <c r="D37" s="0" t="n">
        <f aca="false">VLOOKUP(A37,[1]Worksheet!$A$2:$I$1049,4,0)</f>
        <v>0</v>
      </c>
      <c r="E37" s="0" t="n">
        <f aca="false">VLOOKUP(A37,[1]Worksheet!$A$2:$I$1049,5,0)</f>
        <v>0</v>
      </c>
      <c r="F37" s="0" t="n">
        <f aca="false">VLOOKUP(A37,[1]Worksheet!$A$2:$I$1049,6,0)</f>
        <v>158</v>
      </c>
      <c r="G37" s="0" t="n">
        <f aca="false">VLOOKUP(A37,[1]Worksheet!$A$2:$I$1049,7,0)</f>
        <v>3.15</v>
      </c>
      <c r="K37" s="0" t="n">
        <v>4</v>
      </c>
      <c r="M37" s="0" t="n">
        <f aca="false">D37*E37</f>
        <v>0</v>
      </c>
      <c r="N37" s="0" t="n">
        <f aca="false">F37*G37</f>
        <v>497.7</v>
      </c>
      <c r="P37" s="0" t="n">
        <f aca="false">K37+D37</f>
        <v>4</v>
      </c>
      <c r="Q37" s="0" t="n">
        <f aca="false">M37/P37</f>
        <v>0</v>
      </c>
      <c r="R37" s="0" t="n">
        <f aca="false">F37+K37</f>
        <v>162</v>
      </c>
      <c r="S37" s="0" t="n">
        <f aca="false">N37/R37</f>
        <v>3.07222222222222</v>
      </c>
    </row>
    <row r="38" customFormat="false" ht="15" hidden="false" customHeight="false" outlineLevel="0" collapsed="false">
      <c r="A38" s="0" t="s">
        <v>1025</v>
      </c>
      <c r="B38" s="0" t="s">
        <v>1026</v>
      </c>
      <c r="C38" s="0" t="n">
        <v>20171</v>
      </c>
      <c r="D38" s="0" t="n">
        <f aca="false">VLOOKUP(A38,[1]Worksheet!$A$2:$I$1049,4,0)</f>
        <v>0</v>
      </c>
      <c r="E38" s="0" t="n">
        <f aca="false">VLOOKUP(A38,[1]Worksheet!$A$2:$I$1049,5,0)</f>
        <v>0</v>
      </c>
      <c r="F38" s="0" t="n">
        <f aca="false">VLOOKUP(A38,[1]Worksheet!$A$2:$I$1049,6,0)</f>
        <v>172</v>
      </c>
      <c r="G38" s="0" t="n">
        <f aca="false">VLOOKUP(A38,[1]Worksheet!$A$2:$I$1049,7,0)</f>
        <v>2.85</v>
      </c>
      <c r="K38" s="0" t="n">
        <v>4</v>
      </c>
      <c r="M38" s="0" t="n">
        <f aca="false">D38*E38</f>
        <v>0</v>
      </c>
      <c r="N38" s="0" t="n">
        <f aca="false">F38*G38</f>
        <v>490.2</v>
      </c>
      <c r="P38" s="0" t="n">
        <f aca="false">K38+D38</f>
        <v>4</v>
      </c>
      <c r="Q38" s="0" t="n">
        <f aca="false">M38/P38</f>
        <v>0</v>
      </c>
      <c r="R38" s="0" t="n">
        <f aca="false">F38+K38</f>
        <v>176</v>
      </c>
      <c r="S38" s="0" t="n">
        <f aca="false">N38/R38</f>
        <v>2.78522727272727</v>
      </c>
    </row>
    <row r="39" customFormat="false" ht="15" hidden="false" customHeight="false" outlineLevel="0" collapsed="false">
      <c r="A39" s="0" t="s">
        <v>1027</v>
      </c>
      <c r="B39" s="0" t="s">
        <v>1028</v>
      </c>
      <c r="C39" s="0" t="n">
        <v>20171</v>
      </c>
      <c r="D39" s="0" t="n">
        <f aca="false">VLOOKUP(A39,[1]Worksheet!$A$2:$I$1049,4,0)</f>
        <v>0</v>
      </c>
      <c r="E39" s="0" t="n">
        <f aca="false">VLOOKUP(A39,[1]Worksheet!$A$2:$I$1049,5,0)</f>
        <v>0</v>
      </c>
      <c r="F39" s="0" t="n">
        <f aca="false">VLOOKUP(A39,[1]Worksheet!$A$2:$I$1049,6,0)</f>
        <v>164</v>
      </c>
      <c r="G39" s="0" t="n">
        <f aca="false">VLOOKUP(A39,[1]Worksheet!$A$2:$I$1049,7,0)</f>
        <v>2.77</v>
      </c>
      <c r="K39" s="0" t="n">
        <v>4</v>
      </c>
      <c r="M39" s="0" t="n">
        <f aca="false">D39*E39</f>
        <v>0</v>
      </c>
      <c r="N39" s="0" t="n">
        <f aca="false">F39*G39</f>
        <v>454.28</v>
      </c>
      <c r="P39" s="0" t="n">
        <f aca="false">K39+D39</f>
        <v>4</v>
      </c>
      <c r="Q39" s="0" t="n">
        <f aca="false">M39/P39</f>
        <v>0</v>
      </c>
      <c r="R39" s="0" t="n">
        <f aca="false">F39+K39</f>
        <v>168</v>
      </c>
      <c r="S39" s="0" t="n">
        <f aca="false">N39/R39</f>
        <v>2.70404761904762</v>
      </c>
    </row>
    <row r="40" customFormat="false" ht="15" hidden="false" customHeight="false" outlineLevel="0" collapsed="false">
      <c r="A40" s="0" t="s">
        <v>1029</v>
      </c>
      <c r="B40" s="0" t="s">
        <v>1030</v>
      </c>
      <c r="C40" s="0" t="n">
        <v>20171</v>
      </c>
      <c r="D40" s="0" t="n">
        <f aca="false">VLOOKUP(A40,[1]Worksheet!$A$2:$I$1049,4,0)</f>
        <v>0</v>
      </c>
      <c r="E40" s="0" t="n">
        <f aca="false">VLOOKUP(A40,[1]Worksheet!$A$2:$I$1049,5,0)</f>
        <v>0</v>
      </c>
      <c r="F40" s="0" t="n">
        <f aca="false">VLOOKUP(A40,[1]Worksheet!$A$2:$I$1049,6,0)</f>
        <v>157</v>
      </c>
      <c r="G40" s="0" t="n">
        <f aca="false">VLOOKUP(A40,[1]Worksheet!$A$2:$I$1049,7,0)</f>
        <v>2.99</v>
      </c>
      <c r="K40" s="0" t="n">
        <v>4</v>
      </c>
      <c r="M40" s="0" t="n">
        <f aca="false">D40*E40</f>
        <v>0</v>
      </c>
      <c r="N40" s="0" t="n">
        <f aca="false">F40*G40</f>
        <v>469.43</v>
      </c>
      <c r="P40" s="0" t="n">
        <f aca="false">K40+D40</f>
        <v>4</v>
      </c>
      <c r="Q40" s="0" t="n">
        <f aca="false">M40/P40</f>
        <v>0</v>
      </c>
      <c r="R40" s="0" t="n">
        <f aca="false">F40+K40</f>
        <v>161</v>
      </c>
      <c r="S40" s="0" t="n">
        <f aca="false">N40/R40</f>
        <v>2.91571428571429</v>
      </c>
    </row>
    <row r="41" customFormat="false" ht="15" hidden="false" customHeight="false" outlineLevel="0" collapsed="false">
      <c r="A41" s="0" t="s">
        <v>16</v>
      </c>
      <c r="B41" s="0" t="s">
        <v>17</v>
      </c>
      <c r="C41" s="0" t="n">
        <v>20171</v>
      </c>
      <c r="D41" s="0" t="n">
        <f aca="false">VLOOKUP(A41,[1]Worksheet!$A$2:$I$1049,4,0)</f>
        <v>24</v>
      </c>
      <c r="E41" s="0" t="n">
        <f aca="false">VLOOKUP(A41,[1]Worksheet!$A$2:$I$1049,5,0)</f>
        <v>2.19</v>
      </c>
      <c r="F41" s="0" t="n">
        <f aca="false">VLOOKUP(A41,[1]Worksheet!$A$2:$I$1049,6,0)</f>
        <v>209</v>
      </c>
      <c r="G41" s="0" t="n">
        <f aca="false">VLOOKUP(A41,[1]Worksheet!$A$2:$I$1049,7,0)</f>
        <v>1.89</v>
      </c>
      <c r="K41" s="0" t="n">
        <v>0</v>
      </c>
      <c r="M41" s="0" t="n">
        <f aca="false">D41*E41</f>
        <v>52.56</v>
      </c>
      <c r="N41" s="0" t="n">
        <f aca="false">F41*G41</f>
        <v>395.01</v>
      </c>
      <c r="P41" s="0" t="n">
        <f aca="false">K41+D41</f>
        <v>24</v>
      </c>
      <c r="Q41" s="0" t="n">
        <f aca="false">M41/P41</f>
        <v>2.19</v>
      </c>
      <c r="R41" s="0" t="n">
        <f aca="false">F41+K41</f>
        <v>209</v>
      </c>
      <c r="S41" s="0" t="n">
        <f aca="false">N41/R41</f>
        <v>1.89</v>
      </c>
    </row>
    <row r="42" customFormat="false" ht="15" hidden="false" customHeight="false" outlineLevel="0" collapsed="false">
      <c r="A42" s="0" t="s">
        <v>1031</v>
      </c>
      <c r="B42" s="0" t="s">
        <v>1032</v>
      </c>
      <c r="C42" s="0" t="n">
        <v>20171</v>
      </c>
      <c r="D42" s="0" t="n">
        <f aca="false">VLOOKUP(A42,[1]Worksheet!$A$2:$I$1049,4,0)</f>
        <v>0</v>
      </c>
      <c r="E42" s="0" t="n">
        <f aca="false">VLOOKUP(A42,[1]Worksheet!$A$2:$I$1049,5,0)</f>
        <v>0</v>
      </c>
      <c r="F42" s="0" t="n">
        <f aca="false">VLOOKUP(A42,[1]Worksheet!$A$2:$I$1049,6,0)</f>
        <v>169</v>
      </c>
      <c r="G42" s="0" t="n">
        <f aca="false">VLOOKUP(A42,[1]Worksheet!$A$2:$I$1049,7,0)</f>
        <v>2.53</v>
      </c>
      <c r="K42" s="0" t="n">
        <v>4</v>
      </c>
      <c r="M42" s="0" t="n">
        <f aca="false">D42*E42</f>
        <v>0</v>
      </c>
      <c r="N42" s="0" t="n">
        <f aca="false">F42*G42</f>
        <v>427.57</v>
      </c>
      <c r="P42" s="0" t="n">
        <f aca="false">K42+D42</f>
        <v>4</v>
      </c>
      <c r="Q42" s="0" t="n">
        <f aca="false">M42/P42</f>
        <v>0</v>
      </c>
      <c r="R42" s="0" t="n">
        <f aca="false">F42+K42</f>
        <v>173</v>
      </c>
      <c r="S42" s="0" t="n">
        <f aca="false">N42/R42</f>
        <v>2.47150289017341</v>
      </c>
    </row>
    <row r="43" customFormat="false" ht="15" hidden="false" customHeight="false" outlineLevel="0" collapsed="false">
      <c r="A43" s="0" t="s">
        <v>1033</v>
      </c>
      <c r="B43" s="0" t="s">
        <v>1034</v>
      </c>
      <c r="C43" s="0" t="n">
        <v>20171</v>
      </c>
      <c r="D43" s="0" t="n">
        <f aca="false">VLOOKUP(A43,[1]Worksheet!$A$2:$I$1049,4,0)</f>
        <v>0</v>
      </c>
      <c r="E43" s="0" t="n">
        <f aca="false">VLOOKUP(A43,[1]Worksheet!$A$2:$I$1049,5,0)</f>
        <v>0</v>
      </c>
      <c r="F43" s="0" t="n">
        <f aca="false">VLOOKUP(A43,[1]Worksheet!$A$2:$I$1049,6,0)</f>
        <v>160</v>
      </c>
      <c r="G43" s="0" t="n">
        <f aca="false">VLOOKUP(A43,[1]Worksheet!$A$2:$I$1049,7,0)</f>
        <v>2.96</v>
      </c>
      <c r="K43" s="0" t="n">
        <v>4</v>
      </c>
      <c r="M43" s="0" t="n">
        <f aca="false">D43*E43</f>
        <v>0</v>
      </c>
      <c r="N43" s="0" t="n">
        <f aca="false">F43*G43</f>
        <v>473.6</v>
      </c>
      <c r="P43" s="0" t="n">
        <f aca="false">K43+D43</f>
        <v>4</v>
      </c>
      <c r="Q43" s="0" t="n">
        <f aca="false">M43/P43</f>
        <v>0</v>
      </c>
      <c r="R43" s="0" t="n">
        <f aca="false">F43+K43</f>
        <v>164</v>
      </c>
      <c r="S43" s="0" t="n">
        <f aca="false">N43/R43</f>
        <v>2.88780487804878</v>
      </c>
    </row>
    <row r="44" customFormat="false" ht="15" hidden="false" customHeight="false" outlineLevel="0" collapsed="false">
      <c r="A44" s="0" t="s">
        <v>1035</v>
      </c>
      <c r="B44" s="0" t="s">
        <v>1036</v>
      </c>
      <c r="C44" s="0" t="n">
        <v>20171</v>
      </c>
      <c r="D44" s="0" t="n">
        <f aca="false">VLOOKUP(A44,[1]Worksheet!$A$2:$I$1049,4,0)</f>
        <v>0</v>
      </c>
      <c r="E44" s="0" t="n">
        <f aca="false">VLOOKUP(A44,[1]Worksheet!$A$2:$I$1049,5,0)</f>
        <v>0</v>
      </c>
      <c r="F44" s="0" t="n">
        <f aca="false">VLOOKUP(A44,[1]Worksheet!$A$2:$I$1049,6,0)</f>
        <v>151</v>
      </c>
      <c r="G44" s="0" t="n">
        <f aca="false">VLOOKUP(A44,[1]Worksheet!$A$2:$I$1049,7,0)</f>
        <v>3.1</v>
      </c>
      <c r="K44" s="0" t="n">
        <v>4</v>
      </c>
      <c r="M44" s="0" t="n">
        <f aca="false">D44*E44</f>
        <v>0</v>
      </c>
      <c r="N44" s="0" t="n">
        <f aca="false">F44*G44</f>
        <v>468.1</v>
      </c>
      <c r="P44" s="0" t="n">
        <f aca="false">K44+D44</f>
        <v>4</v>
      </c>
      <c r="Q44" s="0" t="n">
        <f aca="false">M44/P44</f>
        <v>0</v>
      </c>
      <c r="R44" s="0" t="n">
        <f aca="false">F44+K44</f>
        <v>155</v>
      </c>
      <c r="S44" s="0" t="n">
        <f aca="false">N44/R44</f>
        <v>3.02</v>
      </c>
    </row>
    <row r="45" customFormat="false" ht="15" hidden="false" customHeight="false" outlineLevel="0" collapsed="false">
      <c r="A45" s="0" t="s">
        <v>1037</v>
      </c>
      <c r="B45" s="0" t="s">
        <v>1038</v>
      </c>
      <c r="C45" s="0" t="n">
        <v>20171</v>
      </c>
      <c r="D45" s="0" t="n">
        <f aca="false">VLOOKUP(A45,[1]Worksheet!$A$2:$I$1049,4,0)</f>
        <v>0</v>
      </c>
      <c r="E45" s="0" t="n">
        <f aca="false">VLOOKUP(A45,[1]Worksheet!$A$2:$I$1049,5,0)</f>
        <v>0</v>
      </c>
      <c r="F45" s="0" t="n">
        <f aca="false">VLOOKUP(A45,[1]Worksheet!$A$2:$I$1049,6,0)</f>
        <v>176</v>
      </c>
      <c r="G45" s="0" t="n">
        <f aca="false">VLOOKUP(A45,[1]Worksheet!$A$2:$I$1049,7,0)</f>
        <v>2.51</v>
      </c>
      <c r="K45" s="0" t="n">
        <v>4</v>
      </c>
      <c r="M45" s="0" t="n">
        <f aca="false">D45*E45</f>
        <v>0</v>
      </c>
      <c r="N45" s="0" t="n">
        <f aca="false">F45*G45</f>
        <v>441.76</v>
      </c>
      <c r="P45" s="0" t="n">
        <f aca="false">K45+D45</f>
        <v>4</v>
      </c>
      <c r="Q45" s="0" t="n">
        <f aca="false">M45/P45</f>
        <v>0</v>
      </c>
      <c r="R45" s="0" t="n">
        <f aca="false">F45+K45</f>
        <v>180</v>
      </c>
      <c r="S45" s="0" t="n">
        <f aca="false">N45/R45</f>
        <v>2.45422222222222</v>
      </c>
    </row>
    <row r="46" customFormat="false" ht="15" hidden="false" customHeight="false" outlineLevel="0" collapsed="false">
      <c r="A46" s="0" t="s">
        <v>1039</v>
      </c>
      <c r="B46" s="0" t="s">
        <v>1040</v>
      </c>
      <c r="C46" s="0" t="n">
        <v>20171</v>
      </c>
      <c r="D46" s="0" t="n">
        <f aca="false">VLOOKUP(A46,[1]Worksheet!$A$2:$I$1049,4,0)</f>
        <v>4</v>
      </c>
      <c r="E46" s="0" t="n">
        <f aca="false">VLOOKUP(A46,[1]Worksheet!$A$2:$I$1049,5,0)</f>
        <v>3.5</v>
      </c>
      <c r="F46" s="0" t="n">
        <f aca="false">VLOOKUP(A46,[1]Worksheet!$A$2:$I$1049,6,0)</f>
        <v>188</v>
      </c>
      <c r="G46" s="0" t="n">
        <f aca="false">VLOOKUP(A46,[1]Worksheet!$A$2:$I$1049,7,0)</f>
        <v>2.63</v>
      </c>
      <c r="K46" s="0" t="n">
        <v>0</v>
      </c>
      <c r="M46" s="0" t="n">
        <f aca="false">D46*E46</f>
        <v>14</v>
      </c>
      <c r="N46" s="0" t="n">
        <f aca="false">F46*G46</f>
        <v>494.44</v>
      </c>
      <c r="P46" s="0" t="n">
        <f aca="false">K46+D46</f>
        <v>4</v>
      </c>
      <c r="Q46" s="0" t="n">
        <f aca="false">M46/P46</f>
        <v>3.5</v>
      </c>
      <c r="R46" s="0" t="n">
        <f aca="false">F46+K46</f>
        <v>188</v>
      </c>
      <c r="S46" s="0" t="n">
        <f aca="false">N46/R46</f>
        <v>2.63</v>
      </c>
    </row>
    <row r="47" customFormat="false" ht="15" hidden="false" customHeight="false" outlineLevel="0" collapsed="false">
      <c r="A47" s="0" t="s">
        <v>1041</v>
      </c>
      <c r="B47" s="0" t="s">
        <v>1042</v>
      </c>
      <c r="C47" s="0" t="n">
        <v>20171</v>
      </c>
      <c r="D47" s="0" t="n">
        <f aca="false">VLOOKUP(A47,[1]Worksheet!$A$2:$I$1049,4,0)</f>
        <v>4</v>
      </c>
      <c r="E47" s="0" t="n">
        <f aca="false">VLOOKUP(A47,[1]Worksheet!$A$2:$I$1049,5,0)</f>
        <v>3.5</v>
      </c>
      <c r="F47" s="0" t="n">
        <f aca="false">VLOOKUP(A47,[1]Worksheet!$A$2:$I$1049,6,0)</f>
        <v>172</v>
      </c>
      <c r="G47" s="0" t="n">
        <f aca="false">VLOOKUP(A47,[1]Worksheet!$A$2:$I$1049,7,0)</f>
        <v>2.73</v>
      </c>
      <c r="K47" s="0" t="n">
        <v>0</v>
      </c>
      <c r="M47" s="0" t="n">
        <f aca="false">D47*E47</f>
        <v>14</v>
      </c>
      <c r="N47" s="0" t="n">
        <f aca="false">F47*G47</f>
        <v>469.56</v>
      </c>
      <c r="P47" s="0" t="n">
        <f aca="false">K47+D47</f>
        <v>4</v>
      </c>
      <c r="Q47" s="0" t="n">
        <f aca="false">M47/P47</f>
        <v>3.5</v>
      </c>
      <c r="R47" s="0" t="n">
        <f aca="false">F47+K47</f>
        <v>172</v>
      </c>
      <c r="S47" s="0" t="n">
        <f aca="false">N47/R47</f>
        <v>2.73</v>
      </c>
    </row>
    <row r="48" customFormat="false" ht="15" hidden="false" customHeight="false" outlineLevel="0" collapsed="false">
      <c r="A48" s="0" t="s">
        <v>1043</v>
      </c>
      <c r="B48" s="0" t="s">
        <v>1044</v>
      </c>
      <c r="C48" s="0" t="n">
        <v>20171</v>
      </c>
      <c r="D48" s="0" t="n">
        <f aca="false">VLOOKUP(A48,[1]Worksheet!$A$2:$I$1049,4,0)</f>
        <v>0</v>
      </c>
      <c r="E48" s="0" t="n">
        <f aca="false">VLOOKUP(A48,[1]Worksheet!$A$2:$I$1049,5,0)</f>
        <v>0</v>
      </c>
      <c r="F48" s="0" t="n">
        <f aca="false">VLOOKUP(A48,[1]Worksheet!$A$2:$I$1049,6,0)</f>
        <v>158</v>
      </c>
      <c r="G48" s="0" t="n">
        <f aca="false">VLOOKUP(A48,[1]Worksheet!$A$2:$I$1049,7,0)</f>
        <v>2.82</v>
      </c>
      <c r="K48" s="0" t="n">
        <v>4</v>
      </c>
      <c r="M48" s="0" t="n">
        <f aca="false">D48*E48</f>
        <v>0</v>
      </c>
      <c r="N48" s="0" t="n">
        <f aca="false">F48*G48</f>
        <v>445.56</v>
      </c>
      <c r="P48" s="0" t="n">
        <f aca="false">K48+D48</f>
        <v>4</v>
      </c>
      <c r="Q48" s="0" t="n">
        <f aca="false">M48/P48</f>
        <v>0</v>
      </c>
      <c r="R48" s="0" t="n">
        <f aca="false">F48+K48</f>
        <v>162</v>
      </c>
      <c r="S48" s="0" t="n">
        <f aca="false">N48/R48</f>
        <v>2.75037037037037</v>
      </c>
    </row>
    <row r="49" customFormat="false" ht="15" hidden="false" customHeight="false" outlineLevel="0" collapsed="false">
      <c r="A49" s="0" t="s">
        <v>1045</v>
      </c>
      <c r="B49" s="0" t="s">
        <v>1046</v>
      </c>
      <c r="C49" s="0" t="n">
        <v>20171</v>
      </c>
      <c r="D49" s="0" t="n">
        <f aca="false">VLOOKUP(A49,[1]Worksheet!$A$2:$I$1049,4,0)</f>
        <v>4</v>
      </c>
      <c r="E49" s="0" t="n">
        <f aca="false">VLOOKUP(A49,[1]Worksheet!$A$2:$I$1049,5,0)</f>
        <v>3.5</v>
      </c>
      <c r="F49" s="0" t="n">
        <f aca="false">VLOOKUP(A49,[1]Worksheet!$A$2:$I$1049,6,0)</f>
        <v>192</v>
      </c>
      <c r="G49" s="0" t="n">
        <f aca="false">VLOOKUP(A49,[1]Worksheet!$A$2:$I$1049,7,0)</f>
        <v>2.35</v>
      </c>
      <c r="K49" s="0" t="n">
        <v>0</v>
      </c>
      <c r="M49" s="0" t="n">
        <f aca="false">D49*E49</f>
        <v>14</v>
      </c>
      <c r="N49" s="0" t="n">
        <f aca="false">F49*G49</f>
        <v>451.2</v>
      </c>
      <c r="P49" s="0" t="n">
        <f aca="false">K49+D49</f>
        <v>4</v>
      </c>
      <c r="Q49" s="0" t="n">
        <f aca="false">M49/P49</f>
        <v>3.5</v>
      </c>
      <c r="R49" s="0" t="n">
        <f aca="false">F49+K49</f>
        <v>192</v>
      </c>
      <c r="S49" s="0" t="n">
        <f aca="false">N49/R49</f>
        <v>2.35</v>
      </c>
    </row>
    <row r="50" customFormat="false" ht="15" hidden="false" customHeight="false" outlineLevel="0" collapsed="false">
      <c r="A50" s="0" t="s">
        <v>1047</v>
      </c>
      <c r="B50" s="0" t="s">
        <v>1048</v>
      </c>
      <c r="C50" s="0" t="n">
        <v>20171</v>
      </c>
      <c r="D50" s="0" t="n">
        <f aca="false">VLOOKUP(A50,[1]Worksheet!$A$2:$I$1049,4,0)</f>
        <v>0</v>
      </c>
      <c r="E50" s="0" t="n">
        <f aca="false">VLOOKUP(A50,[1]Worksheet!$A$2:$I$1049,5,0)</f>
        <v>0</v>
      </c>
      <c r="F50" s="0" t="n">
        <f aca="false">VLOOKUP(A50,[1]Worksheet!$A$2:$I$1049,6,0)</f>
        <v>160</v>
      </c>
      <c r="G50" s="0" t="n">
        <f aca="false">VLOOKUP(A50,[1]Worksheet!$A$2:$I$1049,7,0)</f>
        <v>2.87</v>
      </c>
      <c r="K50" s="0" t="n">
        <v>4</v>
      </c>
      <c r="M50" s="0" t="n">
        <f aca="false">D50*E50</f>
        <v>0</v>
      </c>
      <c r="N50" s="0" t="n">
        <f aca="false">F50*G50</f>
        <v>459.2</v>
      </c>
      <c r="P50" s="0" t="n">
        <f aca="false">K50+D50</f>
        <v>4</v>
      </c>
      <c r="Q50" s="0" t="n">
        <f aca="false">M50/P50</f>
        <v>0</v>
      </c>
      <c r="R50" s="0" t="n">
        <f aca="false">F50+K50</f>
        <v>164</v>
      </c>
      <c r="S50" s="0" t="n">
        <f aca="false">N50/R50</f>
        <v>2.8</v>
      </c>
    </row>
    <row r="51" customFormat="false" ht="15" hidden="false" customHeight="false" outlineLevel="0" collapsed="false">
      <c r="A51" s="0" t="s">
        <v>783</v>
      </c>
      <c r="B51" s="0" t="s">
        <v>784</v>
      </c>
      <c r="C51" s="0" t="n">
        <v>20171</v>
      </c>
      <c r="D51" s="0" t="n">
        <f aca="false">VLOOKUP(A51,[1]Worksheet!$A$2:$I$1049,4,0)</f>
        <v>5</v>
      </c>
      <c r="E51" s="0" t="n">
        <f aca="false">VLOOKUP(A51,[1]Worksheet!$A$2:$I$1049,5,0)</f>
        <v>3.8</v>
      </c>
      <c r="F51" s="0" t="n">
        <f aca="false">VLOOKUP(A51,[1]Worksheet!$A$2:$I$1049,6,0)</f>
        <v>150</v>
      </c>
      <c r="G51" s="0" t="n">
        <f aca="false">VLOOKUP(A51,[1]Worksheet!$A$2:$I$1049,7,0)</f>
        <v>2.99</v>
      </c>
      <c r="K51" s="0" t="n">
        <v>4</v>
      </c>
      <c r="M51" s="0" t="n">
        <f aca="false">D51*E51</f>
        <v>19</v>
      </c>
      <c r="N51" s="0" t="n">
        <f aca="false">F51*G51</f>
        <v>448.5</v>
      </c>
      <c r="P51" s="0" t="n">
        <f aca="false">K51+D51</f>
        <v>9</v>
      </c>
      <c r="Q51" s="0" t="n">
        <f aca="false">M51/P51</f>
        <v>2.11111111111111</v>
      </c>
      <c r="R51" s="0" t="n">
        <f aca="false">F51+K51</f>
        <v>154</v>
      </c>
      <c r="S51" s="0" t="n">
        <f aca="false">N51/R51</f>
        <v>2.91233766233766</v>
      </c>
    </row>
    <row r="52" customFormat="false" ht="15" hidden="false" customHeight="false" outlineLevel="0" collapsed="false">
      <c r="A52" s="0" t="s">
        <v>741</v>
      </c>
      <c r="B52" s="0" t="s">
        <v>742</v>
      </c>
      <c r="C52" s="0" t="n">
        <v>20171</v>
      </c>
      <c r="D52" s="0" t="n">
        <f aca="false">VLOOKUP(A52,[1]Worksheet!$A$2:$I$1049,4,0)</f>
        <v>14</v>
      </c>
      <c r="E52" s="0" t="n">
        <f aca="false">VLOOKUP(A52,[1]Worksheet!$A$2:$I$1049,5,0)</f>
        <v>1.64</v>
      </c>
      <c r="F52" s="0" t="n">
        <f aca="false">VLOOKUP(A52,[1]Worksheet!$A$2:$I$1049,6,0)</f>
        <v>146</v>
      </c>
      <c r="G52" s="0" t="n">
        <f aca="false">VLOOKUP(A52,[1]Worksheet!$A$2:$I$1049,7,0)</f>
        <v>1.99</v>
      </c>
      <c r="K52" s="0" t="n">
        <v>0</v>
      </c>
      <c r="M52" s="0" t="n">
        <f aca="false">D52*E52</f>
        <v>22.96</v>
      </c>
      <c r="N52" s="0" t="n">
        <f aca="false">F52*G52</f>
        <v>290.54</v>
      </c>
      <c r="P52" s="0" t="n">
        <f aca="false">K52+D52</f>
        <v>14</v>
      </c>
      <c r="Q52" s="0" t="n">
        <f aca="false">M52/P52</f>
        <v>1.64</v>
      </c>
      <c r="R52" s="0" t="n">
        <f aca="false">F52+K52</f>
        <v>146</v>
      </c>
      <c r="S52" s="0" t="n">
        <f aca="false">N52/R52</f>
        <v>1.99</v>
      </c>
    </row>
    <row r="53" customFormat="false" ht="15" hidden="false" customHeight="false" outlineLevel="0" collapsed="false">
      <c r="A53" s="0" t="s">
        <v>597</v>
      </c>
      <c r="B53" s="0" t="s">
        <v>598</v>
      </c>
      <c r="C53" s="0" t="n">
        <v>20171</v>
      </c>
      <c r="D53" s="0" t="n">
        <f aca="false">VLOOKUP(A53,[1]Worksheet!$A$2:$I$1049,4,0)</f>
        <v>7</v>
      </c>
      <c r="E53" s="0" t="n">
        <f aca="false">VLOOKUP(A53,[1]Worksheet!$A$2:$I$1049,5,0)</f>
        <v>1.79</v>
      </c>
      <c r="F53" s="0" t="n">
        <f aca="false">VLOOKUP(A53,[1]Worksheet!$A$2:$I$1049,6,0)</f>
        <v>173</v>
      </c>
      <c r="G53" s="0" t="n">
        <f aca="false">VLOOKUP(A53,[1]Worksheet!$A$2:$I$1049,7,0)</f>
        <v>2.64</v>
      </c>
      <c r="K53" s="0" t="n">
        <v>4</v>
      </c>
      <c r="M53" s="0" t="n">
        <f aca="false">D53*E53</f>
        <v>12.53</v>
      </c>
      <c r="N53" s="0" t="n">
        <f aca="false">F53*G53</f>
        <v>456.72</v>
      </c>
      <c r="P53" s="0" t="n">
        <f aca="false">K53+D53</f>
        <v>11</v>
      </c>
      <c r="Q53" s="0" t="n">
        <f aca="false">M53/P53</f>
        <v>1.13909090909091</v>
      </c>
      <c r="R53" s="0" t="n">
        <f aca="false">F53+K53</f>
        <v>177</v>
      </c>
      <c r="S53" s="0" t="n">
        <f aca="false">N53/R53</f>
        <v>2.58033898305085</v>
      </c>
    </row>
    <row r="54" customFormat="false" ht="15" hidden="false" customHeight="false" outlineLevel="0" collapsed="false">
      <c r="A54" s="0" t="s">
        <v>886</v>
      </c>
      <c r="B54" s="0" t="s">
        <v>887</v>
      </c>
      <c r="C54" s="0" t="n">
        <v>20171</v>
      </c>
      <c r="D54" s="0" t="n">
        <f aca="false">VLOOKUP(A54,[1]Worksheet!$A$2:$I$1049,4,0)</f>
        <v>0</v>
      </c>
      <c r="E54" s="0" t="n">
        <f aca="false">VLOOKUP(A54,[1]Worksheet!$A$2:$I$1049,5,0)</f>
        <v>0</v>
      </c>
      <c r="F54" s="0" t="n">
        <f aca="false">VLOOKUP(A54,[1]Worksheet!$A$2:$I$1049,6,0)</f>
        <v>183</v>
      </c>
      <c r="G54" s="0" t="n">
        <f aca="false">VLOOKUP(A54,[1]Worksheet!$A$2:$I$1049,7,0)</f>
        <v>2.57</v>
      </c>
      <c r="K54" s="0" t="n">
        <v>6</v>
      </c>
      <c r="M54" s="0" t="n">
        <f aca="false">D54*E54</f>
        <v>0</v>
      </c>
      <c r="N54" s="0" t="n">
        <f aca="false">F54*G54</f>
        <v>470.31</v>
      </c>
      <c r="P54" s="0" t="n">
        <f aca="false">K54+D54</f>
        <v>6</v>
      </c>
      <c r="Q54" s="0" t="n">
        <f aca="false">M54/P54</f>
        <v>0</v>
      </c>
      <c r="R54" s="0" t="n">
        <f aca="false">F54+K54</f>
        <v>189</v>
      </c>
      <c r="S54" s="0" t="n">
        <f aca="false">N54/R54</f>
        <v>2.4884126984127</v>
      </c>
    </row>
    <row r="55" customFormat="false" ht="15" hidden="false" customHeight="false" outlineLevel="0" collapsed="false">
      <c r="A55" s="0" t="s">
        <v>1049</v>
      </c>
      <c r="B55" s="0" t="s">
        <v>1050</v>
      </c>
      <c r="C55" s="0" t="n">
        <v>20171</v>
      </c>
      <c r="D55" s="0" t="n">
        <f aca="false">VLOOKUP(A55,[1]Worksheet!$A$2:$I$1049,4,0)</f>
        <v>0</v>
      </c>
      <c r="E55" s="0" t="n">
        <f aca="false">VLOOKUP(A55,[1]Worksheet!$A$2:$I$1049,5,0)</f>
        <v>0</v>
      </c>
      <c r="F55" s="0" t="n">
        <f aca="false">VLOOKUP(A55,[1]Worksheet!$A$2:$I$1049,6,0)</f>
        <v>150</v>
      </c>
      <c r="G55" s="0" t="n">
        <f aca="false">VLOOKUP(A55,[1]Worksheet!$A$2:$I$1049,7,0)</f>
        <v>3.38</v>
      </c>
      <c r="K55" s="0" t="n">
        <v>4</v>
      </c>
      <c r="M55" s="0" t="n">
        <f aca="false">D55*E55</f>
        <v>0</v>
      </c>
      <c r="N55" s="0" t="n">
        <f aca="false">F55*G55</f>
        <v>507</v>
      </c>
      <c r="P55" s="0" t="n">
        <f aca="false">K55+D55</f>
        <v>4</v>
      </c>
      <c r="Q55" s="0" t="n">
        <f aca="false">M55/P55</f>
        <v>0</v>
      </c>
      <c r="R55" s="0" t="n">
        <f aca="false">F55+K55</f>
        <v>154</v>
      </c>
      <c r="S55" s="0" t="n">
        <f aca="false">N55/R55</f>
        <v>3.29220779220779</v>
      </c>
    </row>
    <row r="56" customFormat="false" ht="15" hidden="false" customHeight="false" outlineLevel="0" collapsed="false">
      <c r="A56" s="0" t="s">
        <v>1051</v>
      </c>
      <c r="B56" s="0" t="s">
        <v>1052</v>
      </c>
      <c r="C56" s="0" t="n">
        <v>20171</v>
      </c>
      <c r="D56" s="0" t="n">
        <f aca="false">VLOOKUP(A56,[1]Worksheet!$A$2:$I$1049,4,0)</f>
        <v>0</v>
      </c>
      <c r="E56" s="0" t="n">
        <f aca="false">VLOOKUP(A56,[1]Worksheet!$A$2:$I$1049,5,0)</f>
        <v>0</v>
      </c>
      <c r="F56" s="0" t="n">
        <f aca="false">VLOOKUP(A56,[1]Worksheet!$A$2:$I$1049,6,0)</f>
        <v>151</v>
      </c>
      <c r="G56" s="0" t="n">
        <f aca="false">VLOOKUP(A56,[1]Worksheet!$A$2:$I$1049,7,0)</f>
        <v>2.91</v>
      </c>
      <c r="K56" s="0" t="n">
        <v>4</v>
      </c>
      <c r="M56" s="0" t="n">
        <f aca="false">D56*E56</f>
        <v>0</v>
      </c>
      <c r="N56" s="0" t="n">
        <f aca="false">F56*G56</f>
        <v>439.41</v>
      </c>
      <c r="P56" s="0" t="n">
        <f aca="false">K56+D56</f>
        <v>4</v>
      </c>
      <c r="Q56" s="0" t="n">
        <f aca="false">M56/P56</f>
        <v>0</v>
      </c>
      <c r="R56" s="0" t="n">
        <f aca="false">F56+K56</f>
        <v>155</v>
      </c>
      <c r="S56" s="0" t="n">
        <f aca="false">N56/R56</f>
        <v>2.83490322580645</v>
      </c>
    </row>
    <row r="57" customFormat="false" ht="15" hidden="false" customHeight="false" outlineLevel="0" collapsed="false">
      <c r="A57" s="0" t="s">
        <v>603</v>
      </c>
      <c r="B57" s="0" t="s">
        <v>604</v>
      </c>
      <c r="C57" s="0" t="n">
        <v>20171</v>
      </c>
      <c r="D57" s="0" t="n">
        <f aca="false">VLOOKUP(A57,[1]Worksheet!$A$2:$I$1049,4,0)</f>
        <v>6</v>
      </c>
      <c r="E57" s="0" t="n">
        <f aca="false">VLOOKUP(A57,[1]Worksheet!$A$2:$I$1049,5,0)</f>
        <v>2</v>
      </c>
      <c r="F57" s="0" t="n">
        <f aca="false">VLOOKUP(A57,[1]Worksheet!$A$2:$I$1049,6,0)</f>
        <v>164</v>
      </c>
      <c r="G57" s="0" t="n">
        <f aca="false">VLOOKUP(A57,[1]Worksheet!$A$2:$I$1049,7,0)</f>
        <v>2.32</v>
      </c>
      <c r="K57" s="0" t="n">
        <v>4</v>
      </c>
      <c r="M57" s="0" t="n">
        <f aca="false">D57*E57</f>
        <v>12</v>
      </c>
      <c r="N57" s="0" t="n">
        <f aca="false">F57*G57</f>
        <v>380.48</v>
      </c>
      <c r="P57" s="0" t="n">
        <f aca="false">K57+D57</f>
        <v>10</v>
      </c>
      <c r="Q57" s="0" t="n">
        <f aca="false">M57/P57</f>
        <v>1.2</v>
      </c>
      <c r="R57" s="0" t="n">
        <f aca="false">F57+K57</f>
        <v>168</v>
      </c>
      <c r="S57" s="0" t="n">
        <f aca="false">N57/R57</f>
        <v>2.2647619047619</v>
      </c>
    </row>
    <row r="58" customFormat="false" ht="15" hidden="false" customHeight="false" outlineLevel="0" collapsed="false">
      <c r="A58" s="0" t="s">
        <v>1053</v>
      </c>
      <c r="B58" s="0" t="s">
        <v>1054</v>
      </c>
      <c r="C58" s="0" t="n">
        <v>20171</v>
      </c>
      <c r="D58" s="0" t="n">
        <f aca="false">VLOOKUP(A58,[1]Worksheet!$A$2:$I$1049,4,0)</f>
        <v>0</v>
      </c>
      <c r="E58" s="0" t="n">
        <f aca="false">VLOOKUP(A58,[1]Worksheet!$A$2:$I$1049,5,0)</f>
        <v>0</v>
      </c>
      <c r="F58" s="0" t="n">
        <f aca="false">VLOOKUP(A58,[1]Worksheet!$A$2:$I$1049,6,0)</f>
        <v>165</v>
      </c>
      <c r="G58" s="0" t="n">
        <f aca="false">VLOOKUP(A58,[1]Worksheet!$A$2:$I$1049,7,0)</f>
        <v>2.87</v>
      </c>
      <c r="K58" s="0" t="n">
        <v>4</v>
      </c>
      <c r="M58" s="0" t="n">
        <f aca="false">D58*E58</f>
        <v>0</v>
      </c>
      <c r="N58" s="0" t="n">
        <f aca="false">F58*G58</f>
        <v>473.55</v>
      </c>
      <c r="P58" s="0" t="n">
        <f aca="false">K58+D58</f>
        <v>4</v>
      </c>
      <c r="Q58" s="0" t="n">
        <f aca="false">M58/P58</f>
        <v>0</v>
      </c>
      <c r="R58" s="0" t="n">
        <f aca="false">F58+K58</f>
        <v>169</v>
      </c>
      <c r="S58" s="0" t="n">
        <f aca="false">N58/R58</f>
        <v>2.80207100591716</v>
      </c>
    </row>
    <row r="59" customFormat="false" ht="15" hidden="false" customHeight="false" outlineLevel="0" collapsed="false">
      <c r="A59" s="0" t="s">
        <v>1055</v>
      </c>
      <c r="B59" s="0" t="s">
        <v>1056</v>
      </c>
      <c r="C59" s="0" t="n">
        <v>20171</v>
      </c>
      <c r="D59" s="0" t="n">
        <f aca="false">VLOOKUP(A59,[1]Worksheet!$A$2:$I$1049,4,0)</f>
        <v>4</v>
      </c>
      <c r="E59" s="0" t="n">
        <f aca="false">VLOOKUP(A59,[1]Worksheet!$A$2:$I$1049,5,0)</f>
        <v>3.5</v>
      </c>
      <c r="F59" s="0" t="n">
        <f aca="false">VLOOKUP(A59,[1]Worksheet!$A$2:$I$1049,6,0)</f>
        <v>155</v>
      </c>
      <c r="G59" s="0" t="n">
        <f aca="false">VLOOKUP(A59,[1]Worksheet!$A$2:$I$1049,7,0)</f>
        <v>3.01</v>
      </c>
      <c r="K59" s="0" t="n">
        <v>0</v>
      </c>
      <c r="M59" s="0" t="n">
        <f aca="false">D59*E59</f>
        <v>14</v>
      </c>
      <c r="N59" s="0" t="n">
        <f aca="false">F59*G59</f>
        <v>466.55</v>
      </c>
      <c r="P59" s="0" t="n">
        <f aca="false">K59+D59</f>
        <v>4</v>
      </c>
      <c r="Q59" s="0" t="n">
        <f aca="false">M59/P59</f>
        <v>3.5</v>
      </c>
      <c r="R59" s="0" t="n">
        <f aca="false">F59+K59</f>
        <v>155</v>
      </c>
      <c r="S59" s="0" t="n">
        <f aca="false">N59/R59</f>
        <v>3.01</v>
      </c>
    </row>
    <row r="60" customFormat="false" ht="15" hidden="false" customHeight="false" outlineLevel="0" collapsed="false">
      <c r="A60" s="0" t="s">
        <v>747</v>
      </c>
      <c r="B60" s="0" t="s">
        <v>748</v>
      </c>
      <c r="C60" s="0" t="n">
        <v>20171</v>
      </c>
      <c r="D60" s="0" t="n">
        <f aca="false">VLOOKUP(A60,[1]Worksheet!$A$2:$I$1049,4,0)</f>
        <v>3</v>
      </c>
      <c r="E60" s="0" t="n">
        <f aca="false">VLOOKUP(A60,[1]Worksheet!$A$2:$I$1049,5,0)</f>
        <v>2.5</v>
      </c>
      <c r="F60" s="0" t="n">
        <f aca="false">VLOOKUP(A60,[1]Worksheet!$A$2:$I$1049,6,0)</f>
        <v>167</v>
      </c>
      <c r="G60" s="0" t="n">
        <f aca="false">VLOOKUP(A60,[1]Worksheet!$A$2:$I$1049,7,0)</f>
        <v>2.86</v>
      </c>
      <c r="K60" s="0" t="n">
        <v>4</v>
      </c>
      <c r="M60" s="0" t="n">
        <f aca="false">D60*E60</f>
        <v>7.5</v>
      </c>
      <c r="N60" s="0" t="n">
        <f aca="false">F60*G60</f>
        <v>477.62</v>
      </c>
      <c r="P60" s="0" t="n">
        <f aca="false">K60+D60</f>
        <v>7</v>
      </c>
      <c r="Q60" s="0" t="n">
        <f aca="false">M60/P60</f>
        <v>1.07142857142857</v>
      </c>
      <c r="R60" s="0" t="n">
        <f aca="false">F60+K60</f>
        <v>171</v>
      </c>
      <c r="S60" s="0" t="n">
        <f aca="false">N60/R60</f>
        <v>2.79309941520468</v>
      </c>
    </row>
    <row r="61" customFormat="false" ht="15" hidden="false" customHeight="false" outlineLevel="0" collapsed="false">
      <c r="A61" s="0" t="s">
        <v>1057</v>
      </c>
      <c r="B61" s="0" t="s">
        <v>1058</v>
      </c>
      <c r="C61" s="0" t="n">
        <v>20171</v>
      </c>
      <c r="D61" s="0" t="n">
        <f aca="false">VLOOKUP(A61,[1]Worksheet!$A$2:$I$1049,4,0)</f>
        <v>0</v>
      </c>
      <c r="E61" s="0" t="n">
        <f aca="false">VLOOKUP(A61,[1]Worksheet!$A$2:$I$1049,5,0)</f>
        <v>0</v>
      </c>
      <c r="F61" s="0" t="n">
        <f aca="false">VLOOKUP(A61,[1]Worksheet!$A$2:$I$1049,6,0)</f>
        <v>164</v>
      </c>
      <c r="G61" s="0" t="n">
        <f aca="false">VLOOKUP(A61,[1]Worksheet!$A$2:$I$1049,7,0)</f>
        <v>2.59</v>
      </c>
      <c r="K61" s="0" t="n">
        <v>4</v>
      </c>
      <c r="M61" s="0" t="n">
        <f aca="false">D61*E61</f>
        <v>0</v>
      </c>
      <c r="N61" s="0" t="n">
        <f aca="false">F61*G61</f>
        <v>424.76</v>
      </c>
      <c r="P61" s="0" t="n">
        <f aca="false">K61+D61</f>
        <v>4</v>
      </c>
      <c r="Q61" s="0" t="n">
        <f aca="false">M61/P61</f>
        <v>0</v>
      </c>
      <c r="R61" s="0" t="n">
        <f aca="false">F61+K61</f>
        <v>168</v>
      </c>
      <c r="S61" s="0" t="n">
        <f aca="false">N61/R61</f>
        <v>2.52833333333333</v>
      </c>
    </row>
    <row r="62" customFormat="false" ht="15" hidden="false" customHeight="false" outlineLevel="0" collapsed="false">
      <c r="A62" s="0" t="s">
        <v>1059</v>
      </c>
      <c r="B62" s="0" t="s">
        <v>1060</v>
      </c>
      <c r="C62" s="0" t="n">
        <v>20171</v>
      </c>
      <c r="D62" s="0" t="n">
        <f aca="false">VLOOKUP(A62,[1]Worksheet!$A$2:$I$1049,4,0)</f>
        <v>0</v>
      </c>
      <c r="E62" s="0" t="n">
        <f aca="false">VLOOKUP(A62,[1]Worksheet!$A$2:$I$1049,5,0)</f>
        <v>0</v>
      </c>
      <c r="F62" s="0" t="n">
        <f aca="false">VLOOKUP(A62,[1]Worksheet!$A$2:$I$1049,6,0)</f>
        <v>161</v>
      </c>
      <c r="G62" s="0" t="n">
        <f aca="false">VLOOKUP(A62,[1]Worksheet!$A$2:$I$1049,7,0)</f>
        <v>2.99</v>
      </c>
      <c r="K62" s="0" t="n">
        <v>4</v>
      </c>
      <c r="M62" s="0" t="n">
        <f aca="false">D62*E62</f>
        <v>0</v>
      </c>
      <c r="N62" s="0" t="n">
        <f aca="false">F62*G62</f>
        <v>481.39</v>
      </c>
      <c r="P62" s="0" t="n">
        <f aca="false">K62+D62</f>
        <v>4</v>
      </c>
      <c r="Q62" s="0" t="n">
        <f aca="false">M62/P62</f>
        <v>0</v>
      </c>
      <c r="R62" s="0" t="n">
        <f aca="false">F62+K62</f>
        <v>165</v>
      </c>
      <c r="S62" s="0" t="n">
        <f aca="false">N62/R62</f>
        <v>2.91751515151515</v>
      </c>
    </row>
    <row r="63" customFormat="false" ht="15" hidden="false" customHeight="false" outlineLevel="0" collapsed="false">
      <c r="A63" s="0" t="s">
        <v>904</v>
      </c>
      <c r="B63" s="0" t="s">
        <v>905</v>
      </c>
      <c r="C63" s="0" t="n">
        <v>20171</v>
      </c>
      <c r="D63" s="0" t="n">
        <f aca="false">VLOOKUP(A63,[1]Worksheet!$A$2:$I$1049,4,0)</f>
        <v>2</v>
      </c>
      <c r="E63" s="0" t="n">
        <f aca="false">VLOOKUP(A63,[1]Worksheet!$A$2:$I$1049,5,0)</f>
        <v>0</v>
      </c>
      <c r="F63" s="0" t="n">
        <f aca="false">VLOOKUP(A63,[1]Worksheet!$A$2:$I$1049,6,0)</f>
        <v>172</v>
      </c>
      <c r="G63" s="0" t="n">
        <f aca="false">VLOOKUP(A63,[1]Worksheet!$A$2:$I$1049,7,0)</f>
        <v>2.24</v>
      </c>
      <c r="K63" s="0" t="n">
        <v>4</v>
      </c>
      <c r="M63" s="0" t="n">
        <f aca="false">D63*E63</f>
        <v>0</v>
      </c>
      <c r="N63" s="0" t="n">
        <f aca="false">F63*G63</f>
        <v>385.28</v>
      </c>
      <c r="P63" s="0" t="n">
        <f aca="false">K63+D63</f>
        <v>6</v>
      </c>
      <c r="Q63" s="0" t="n">
        <f aca="false">M63/P63</f>
        <v>0</v>
      </c>
      <c r="R63" s="0" t="n">
        <f aca="false">F63+K63</f>
        <v>176</v>
      </c>
      <c r="S63" s="0" t="n">
        <f aca="false">N63/R63</f>
        <v>2.18909090909091</v>
      </c>
    </row>
    <row r="64" customFormat="false" ht="15" hidden="false" customHeight="false" outlineLevel="0" collapsed="false">
      <c r="A64" s="0" t="s">
        <v>914</v>
      </c>
      <c r="B64" s="0" t="s">
        <v>915</v>
      </c>
      <c r="C64" s="0" t="n">
        <v>20171</v>
      </c>
      <c r="D64" s="0" t="n">
        <f aca="false">VLOOKUP(A64,[1]Worksheet!$A$2:$I$1049,4,0)</f>
        <v>4</v>
      </c>
      <c r="E64" s="0" t="n">
        <f aca="false">VLOOKUP(A64,[1]Worksheet!$A$2:$I$1049,5,0)</f>
        <v>0.75</v>
      </c>
      <c r="F64" s="0" t="n">
        <f aca="false">VLOOKUP(A64,[1]Worksheet!$A$2:$I$1049,6,0)</f>
        <v>175</v>
      </c>
      <c r="G64" s="0" t="n">
        <f aca="false">VLOOKUP(A64,[1]Worksheet!$A$2:$I$1049,7,0)</f>
        <v>2.31</v>
      </c>
      <c r="K64" s="0" t="n">
        <v>4</v>
      </c>
      <c r="M64" s="0" t="n">
        <f aca="false">D64*E64</f>
        <v>3</v>
      </c>
      <c r="N64" s="0" t="n">
        <f aca="false">F64*G64</f>
        <v>404.25</v>
      </c>
      <c r="P64" s="0" t="n">
        <f aca="false">K64+D64</f>
        <v>8</v>
      </c>
      <c r="Q64" s="0" t="n">
        <f aca="false">M64/P64</f>
        <v>0.375</v>
      </c>
      <c r="R64" s="0" t="n">
        <f aca="false">F64+K64</f>
        <v>179</v>
      </c>
      <c r="S64" s="0" t="n">
        <f aca="false">N64/R64</f>
        <v>2.25837988826816</v>
      </c>
    </row>
    <row r="65" customFormat="false" ht="15" hidden="false" customHeight="false" outlineLevel="0" collapsed="false">
      <c r="A65" s="0" t="s">
        <v>1061</v>
      </c>
      <c r="B65" s="0" t="s">
        <v>1062</v>
      </c>
      <c r="C65" s="0" t="n">
        <v>20171</v>
      </c>
      <c r="D65" s="0" t="n">
        <f aca="false">VLOOKUP(A65,[1]Worksheet!$A$2:$I$1049,4,0)</f>
        <v>0</v>
      </c>
      <c r="E65" s="0" t="n">
        <f aca="false">VLOOKUP(A65,[1]Worksheet!$A$2:$I$1049,5,0)</f>
        <v>0</v>
      </c>
      <c r="F65" s="0" t="n">
        <f aca="false">VLOOKUP(A65,[1]Worksheet!$A$2:$I$1049,6,0)</f>
        <v>159</v>
      </c>
      <c r="G65" s="0" t="n">
        <f aca="false">VLOOKUP(A65,[1]Worksheet!$A$2:$I$1049,7,0)</f>
        <v>3.15</v>
      </c>
      <c r="K65" s="0" t="n">
        <v>4</v>
      </c>
      <c r="M65" s="0" t="n">
        <f aca="false">D65*E65</f>
        <v>0</v>
      </c>
      <c r="N65" s="0" t="n">
        <f aca="false">F65*G65</f>
        <v>500.85</v>
      </c>
      <c r="P65" s="0" t="n">
        <f aca="false">K65+D65</f>
        <v>4</v>
      </c>
      <c r="Q65" s="0" t="n">
        <f aca="false">M65/P65</f>
        <v>0</v>
      </c>
      <c r="R65" s="0" t="n">
        <f aca="false">F65+K65</f>
        <v>163</v>
      </c>
      <c r="S65" s="0" t="n">
        <f aca="false">N65/R65</f>
        <v>3.07269938650307</v>
      </c>
    </row>
    <row r="66" customFormat="false" ht="15" hidden="false" customHeight="false" outlineLevel="0" collapsed="false">
      <c r="A66" s="0" t="s">
        <v>950</v>
      </c>
      <c r="B66" s="0" t="s">
        <v>951</v>
      </c>
      <c r="C66" s="0" t="n">
        <v>20171</v>
      </c>
      <c r="D66" s="0" t="n">
        <f aca="false">VLOOKUP(A66,[1]Worksheet!$A$2:$I$1049,4,0)</f>
        <v>3</v>
      </c>
      <c r="E66" s="0" t="n">
        <f aca="false">VLOOKUP(A66,[1]Worksheet!$A$2:$I$1049,5,0)</f>
        <v>0</v>
      </c>
      <c r="F66" s="0" t="n">
        <f aca="false">VLOOKUP(A66,[1]Worksheet!$A$2:$I$1049,6,0)</f>
        <v>169</v>
      </c>
      <c r="G66" s="0" t="n">
        <f aca="false">VLOOKUP(A66,[1]Worksheet!$A$2:$I$1049,7,0)</f>
        <v>2.51</v>
      </c>
      <c r="K66" s="0" t="n">
        <v>4</v>
      </c>
      <c r="M66" s="0" t="n">
        <f aca="false">D66*E66</f>
        <v>0</v>
      </c>
      <c r="N66" s="0" t="n">
        <f aca="false">F66*G66</f>
        <v>424.19</v>
      </c>
      <c r="P66" s="0" t="n">
        <f aca="false">K66+D66</f>
        <v>7</v>
      </c>
      <c r="Q66" s="0" t="n">
        <f aca="false">M66/P66</f>
        <v>0</v>
      </c>
      <c r="R66" s="0" t="n">
        <f aca="false">F66+K66</f>
        <v>173</v>
      </c>
      <c r="S66" s="0" t="n">
        <f aca="false">N66/R66</f>
        <v>2.45196531791907</v>
      </c>
    </row>
    <row r="67" customFormat="false" ht="15" hidden="false" customHeight="false" outlineLevel="0" collapsed="false">
      <c r="A67" s="0" t="s">
        <v>785</v>
      </c>
      <c r="B67" s="0" t="s">
        <v>786</v>
      </c>
      <c r="C67" s="0" t="n">
        <v>20171</v>
      </c>
      <c r="D67" s="0" t="n">
        <f aca="false">VLOOKUP(A67,[1]Worksheet!$A$2:$I$1049,4,0)</f>
        <v>19</v>
      </c>
      <c r="E67" s="0" t="n">
        <f aca="false">VLOOKUP(A67,[1]Worksheet!$A$2:$I$1049,5,0)</f>
        <v>3.16</v>
      </c>
      <c r="F67" s="0" t="n">
        <f aca="false">VLOOKUP(A67,[1]Worksheet!$A$2:$I$1049,6,0)</f>
        <v>150</v>
      </c>
      <c r="G67" s="0" t="n">
        <f aca="false">VLOOKUP(A67,[1]Worksheet!$A$2:$I$1049,7,0)</f>
        <v>2.93</v>
      </c>
      <c r="K67" s="0" t="n">
        <v>4</v>
      </c>
      <c r="M67" s="0" t="n">
        <f aca="false">D67*E67</f>
        <v>60.04</v>
      </c>
      <c r="N67" s="0" t="n">
        <f aca="false">F67*G67</f>
        <v>439.5</v>
      </c>
      <c r="P67" s="0" t="n">
        <f aca="false">K67+D67</f>
        <v>23</v>
      </c>
      <c r="Q67" s="0" t="n">
        <f aca="false">M67/P67</f>
        <v>2.6104347826087</v>
      </c>
      <c r="R67" s="0" t="n">
        <f aca="false">F67+K67</f>
        <v>154</v>
      </c>
      <c r="S67" s="0" t="n">
        <f aca="false">N67/R67</f>
        <v>2.8538961038961</v>
      </c>
    </row>
    <row r="68" customFormat="false" ht="15" hidden="false" customHeight="false" outlineLevel="0" collapsed="false">
      <c r="A68" s="0" t="s">
        <v>1063</v>
      </c>
      <c r="B68" s="0" t="s">
        <v>1064</v>
      </c>
      <c r="C68" s="0" t="n">
        <v>20171</v>
      </c>
      <c r="D68" s="0" t="n">
        <f aca="false">VLOOKUP(A68,[1]Worksheet!$A$2:$I$1049,4,0)</f>
        <v>0</v>
      </c>
      <c r="E68" s="0" t="n">
        <f aca="false">VLOOKUP(A68,[1]Worksheet!$A$2:$I$1049,5,0)</f>
        <v>0</v>
      </c>
      <c r="F68" s="0" t="n">
        <f aca="false">VLOOKUP(A68,[1]Worksheet!$A$2:$I$1049,6,0)</f>
        <v>155</v>
      </c>
      <c r="G68" s="0" t="n">
        <f aca="false">VLOOKUP(A68,[1]Worksheet!$A$2:$I$1049,7,0)</f>
        <v>3.13</v>
      </c>
      <c r="K68" s="0" t="n">
        <v>4</v>
      </c>
      <c r="M68" s="0" t="n">
        <f aca="false">D68*E68</f>
        <v>0</v>
      </c>
      <c r="N68" s="0" t="n">
        <f aca="false">F68*G68</f>
        <v>485.15</v>
      </c>
      <c r="P68" s="0" t="n">
        <f aca="false">K68+D68</f>
        <v>4</v>
      </c>
      <c r="Q68" s="0" t="n">
        <f aca="false">M68/P68</f>
        <v>0</v>
      </c>
      <c r="R68" s="0" t="n">
        <f aca="false">F68+K68</f>
        <v>159</v>
      </c>
      <c r="S68" s="0" t="n">
        <f aca="false">N68/R68</f>
        <v>3.05125786163522</v>
      </c>
    </row>
    <row r="69" customFormat="false" ht="15" hidden="false" customHeight="false" outlineLevel="0" collapsed="false">
      <c r="A69" s="0" t="s">
        <v>1065</v>
      </c>
      <c r="B69" s="0" t="s">
        <v>1066</v>
      </c>
      <c r="C69" s="0" t="n">
        <v>20171</v>
      </c>
      <c r="D69" s="0" t="n">
        <f aca="false">VLOOKUP(A69,[1]Worksheet!$A$2:$I$1049,4,0)</f>
        <v>0</v>
      </c>
      <c r="E69" s="0" t="n">
        <f aca="false">VLOOKUP(A69,[1]Worksheet!$A$2:$I$1049,5,0)</f>
        <v>0</v>
      </c>
      <c r="F69" s="0" t="n">
        <f aca="false">VLOOKUP(A69,[1]Worksheet!$A$2:$I$1049,6,0)</f>
        <v>148</v>
      </c>
      <c r="G69" s="0" t="n">
        <f aca="false">VLOOKUP(A69,[1]Worksheet!$A$2:$I$1049,7,0)</f>
        <v>3.14</v>
      </c>
      <c r="K69" s="0" t="n">
        <v>4</v>
      </c>
      <c r="M69" s="0" t="n">
        <f aca="false">D69*E69</f>
        <v>0</v>
      </c>
      <c r="N69" s="0" t="n">
        <f aca="false">F69*G69</f>
        <v>464.72</v>
      </c>
      <c r="P69" s="0" t="n">
        <f aca="false">K69+D69</f>
        <v>4</v>
      </c>
      <c r="Q69" s="0" t="n">
        <f aca="false">M69/P69</f>
        <v>0</v>
      </c>
      <c r="R69" s="0" t="n">
        <f aca="false">F69+K69</f>
        <v>152</v>
      </c>
      <c r="S69" s="0" t="n">
        <f aca="false">N69/R69</f>
        <v>3.05736842105263</v>
      </c>
    </row>
    <row r="70" customFormat="false" ht="15" hidden="false" customHeight="false" outlineLevel="0" collapsed="false">
      <c r="A70" s="0" t="s">
        <v>1067</v>
      </c>
      <c r="B70" s="0" t="s">
        <v>1068</v>
      </c>
      <c r="C70" s="0" t="n">
        <v>20171</v>
      </c>
      <c r="D70" s="0" t="n">
        <f aca="false">VLOOKUP(A70,[1]Worksheet!$A$2:$I$1049,4,0)</f>
        <v>0</v>
      </c>
      <c r="E70" s="0" t="n">
        <f aca="false">VLOOKUP(A70,[1]Worksheet!$A$2:$I$1049,5,0)</f>
        <v>0</v>
      </c>
      <c r="F70" s="0" t="n">
        <f aca="false">VLOOKUP(A70,[1]Worksheet!$A$2:$I$1049,6,0)</f>
        <v>160</v>
      </c>
      <c r="G70" s="0" t="n">
        <f aca="false">VLOOKUP(A70,[1]Worksheet!$A$2:$I$1049,7,0)</f>
        <v>3.02</v>
      </c>
      <c r="K70" s="0" t="n">
        <v>4</v>
      </c>
      <c r="M70" s="0" t="n">
        <f aca="false">D70*E70</f>
        <v>0</v>
      </c>
      <c r="N70" s="0" t="n">
        <f aca="false">F70*G70</f>
        <v>483.2</v>
      </c>
      <c r="P70" s="0" t="n">
        <f aca="false">K70+D70</f>
        <v>4</v>
      </c>
      <c r="Q70" s="0" t="n">
        <f aca="false">M70/P70</f>
        <v>0</v>
      </c>
      <c r="R70" s="0" t="n">
        <f aca="false">F70+K70</f>
        <v>164</v>
      </c>
      <c r="S70" s="0" t="n">
        <f aca="false">N70/R70</f>
        <v>2.94634146341463</v>
      </c>
    </row>
    <row r="71" customFormat="false" ht="15" hidden="false" customHeight="false" outlineLevel="0" collapsed="false">
      <c r="A71" s="0" t="s">
        <v>306</v>
      </c>
      <c r="B71" s="0" t="s">
        <v>307</v>
      </c>
      <c r="C71" s="0" t="n">
        <v>20171</v>
      </c>
      <c r="D71" s="0" t="n">
        <f aca="false">VLOOKUP(A71,[1]Worksheet!$A$2:$I$1049,4,0)</f>
        <v>8</v>
      </c>
      <c r="E71" s="0" t="n">
        <f aca="false">VLOOKUP(A71,[1]Worksheet!$A$2:$I$1049,5,0)</f>
        <v>3</v>
      </c>
      <c r="F71" s="0" t="n">
        <f aca="false">VLOOKUP(A71,[1]Worksheet!$A$2:$I$1049,6,0)</f>
        <v>155</v>
      </c>
      <c r="G71" s="0" t="n">
        <f aca="false">VLOOKUP(A71,[1]Worksheet!$A$2:$I$1049,7,0)</f>
        <v>2.71</v>
      </c>
      <c r="K71" s="0" t="n">
        <v>4</v>
      </c>
      <c r="M71" s="0" t="n">
        <f aca="false">D71*E71</f>
        <v>24</v>
      </c>
      <c r="N71" s="0" t="n">
        <f aca="false">F71*G71</f>
        <v>420.05</v>
      </c>
      <c r="P71" s="0" t="n">
        <f aca="false">K71+D71</f>
        <v>12</v>
      </c>
      <c r="Q71" s="0" t="n">
        <f aca="false">M71/P71</f>
        <v>2</v>
      </c>
      <c r="R71" s="0" t="n">
        <f aca="false">F71+K71</f>
        <v>159</v>
      </c>
      <c r="S71" s="0" t="n">
        <f aca="false">N71/R71</f>
        <v>2.64182389937107</v>
      </c>
    </row>
    <row r="72" customFormat="false" ht="15" hidden="false" customHeight="false" outlineLevel="0" collapsed="false">
      <c r="A72" s="0" t="s">
        <v>605</v>
      </c>
      <c r="B72" s="0" t="s">
        <v>606</v>
      </c>
      <c r="C72" s="0" t="n">
        <v>20171</v>
      </c>
      <c r="D72" s="0" t="n">
        <f aca="false">VLOOKUP(A72,[1]Worksheet!$A$2:$I$1049,4,0)</f>
        <v>5</v>
      </c>
      <c r="E72" s="0" t="n">
        <f aca="false">VLOOKUP(A72,[1]Worksheet!$A$2:$I$1049,5,0)</f>
        <v>2.1</v>
      </c>
      <c r="F72" s="0" t="n">
        <f aca="false">VLOOKUP(A72,[1]Worksheet!$A$2:$I$1049,6,0)</f>
        <v>179</v>
      </c>
      <c r="G72" s="0" t="n">
        <f aca="false">VLOOKUP(A72,[1]Worksheet!$A$2:$I$1049,7,0)</f>
        <v>2.68</v>
      </c>
      <c r="K72" s="0" t="n">
        <v>4</v>
      </c>
      <c r="M72" s="0" t="n">
        <f aca="false">D72*E72</f>
        <v>10.5</v>
      </c>
      <c r="N72" s="0" t="n">
        <f aca="false">F72*G72</f>
        <v>479.72</v>
      </c>
      <c r="P72" s="0" t="n">
        <f aca="false">K72+D72</f>
        <v>9</v>
      </c>
      <c r="Q72" s="0" t="n">
        <f aca="false">M72/P72</f>
        <v>1.16666666666667</v>
      </c>
      <c r="R72" s="0" t="n">
        <f aca="false">F72+K72</f>
        <v>183</v>
      </c>
      <c r="S72" s="0" t="n">
        <f aca="false">N72/R72</f>
        <v>2.62142076502732</v>
      </c>
    </row>
    <row r="73" customFormat="false" ht="15" hidden="false" customHeight="false" outlineLevel="0" collapsed="false">
      <c r="A73" s="0" t="s">
        <v>749</v>
      </c>
      <c r="B73" s="0" t="s">
        <v>750</v>
      </c>
      <c r="C73" s="0" t="n">
        <v>20171</v>
      </c>
      <c r="D73" s="0" t="n">
        <f aca="false">VLOOKUP(A73,[1]Worksheet!$A$2:$I$1049,4,0)</f>
        <v>17</v>
      </c>
      <c r="E73" s="0" t="n">
        <f aca="false">VLOOKUP(A73,[1]Worksheet!$A$2:$I$1049,5,0)</f>
        <v>3.18</v>
      </c>
      <c r="F73" s="0" t="n">
        <f aca="false">VLOOKUP(A73,[1]Worksheet!$A$2:$I$1049,6,0)</f>
        <v>148</v>
      </c>
      <c r="G73" s="0" t="n">
        <f aca="false">VLOOKUP(A73,[1]Worksheet!$A$2:$I$1049,7,0)</f>
        <v>3.35</v>
      </c>
      <c r="K73" s="0" t="n">
        <v>4</v>
      </c>
      <c r="M73" s="0" t="n">
        <f aca="false">D73*E73</f>
        <v>54.06</v>
      </c>
      <c r="N73" s="0" t="n">
        <f aca="false">F73*G73</f>
        <v>495.8</v>
      </c>
      <c r="P73" s="0" t="n">
        <f aca="false">K73+D73</f>
        <v>21</v>
      </c>
      <c r="Q73" s="0" t="n">
        <f aca="false">M73/P73</f>
        <v>2.57428571428571</v>
      </c>
      <c r="R73" s="0" t="n">
        <f aca="false">F73+K73</f>
        <v>152</v>
      </c>
      <c r="S73" s="0" t="n">
        <f aca="false">N73/R73</f>
        <v>3.26184210526316</v>
      </c>
    </row>
    <row r="74" customFormat="false" ht="15" hidden="false" customHeight="false" outlineLevel="0" collapsed="false">
      <c r="A74" s="0" t="s">
        <v>1069</v>
      </c>
      <c r="B74" s="0" t="s">
        <v>1070</v>
      </c>
      <c r="C74" s="0" t="n">
        <v>20171</v>
      </c>
      <c r="D74" s="0" t="n">
        <f aca="false">VLOOKUP(A74,[1]Worksheet!$A$2:$I$1049,4,0)</f>
        <v>4</v>
      </c>
      <c r="E74" s="0" t="n">
        <f aca="false">VLOOKUP(A74,[1]Worksheet!$A$2:$I$1049,5,0)</f>
        <v>4</v>
      </c>
      <c r="F74" s="0" t="n">
        <f aca="false">VLOOKUP(A74,[1]Worksheet!$A$2:$I$1049,6,0)</f>
        <v>148</v>
      </c>
      <c r="G74" s="0" t="n">
        <f aca="false">VLOOKUP(A74,[1]Worksheet!$A$2:$I$1049,7,0)</f>
        <v>3.48</v>
      </c>
      <c r="K74" s="0" t="n">
        <v>0</v>
      </c>
      <c r="M74" s="0" t="n">
        <f aca="false">D74*E74</f>
        <v>16</v>
      </c>
      <c r="N74" s="0" t="n">
        <f aca="false">F74*G74</f>
        <v>515.04</v>
      </c>
      <c r="P74" s="0" t="n">
        <f aca="false">K74+D74</f>
        <v>4</v>
      </c>
      <c r="Q74" s="0" t="n">
        <f aca="false">M74/P74</f>
        <v>4</v>
      </c>
      <c r="R74" s="0" t="n">
        <f aca="false">F74+K74</f>
        <v>148</v>
      </c>
      <c r="S74" s="0" t="n">
        <f aca="false">N74/R74</f>
        <v>3.48</v>
      </c>
    </row>
    <row r="75" customFormat="false" ht="15" hidden="false" customHeight="false" outlineLevel="0" collapsed="false">
      <c r="A75" s="0" t="s">
        <v>667</v>
      </c>
      <c r="B75" s="0" t="s">
        <v>668</v>
      </c>
      <c r="C75" s="0" t="n">
        <v>20171</v>
      </c>
      <c r="D75" s="0" t="n">
        <f aca="false">VLOOKUP(A75,[1]Worksheet!$A$2:$I$1049,4,0)</f>
        <v>7</v>
      </c>
      <c r="E75" s="0" t="n">
        <f aca="false">VLOOKUP(A75,[1]Worksheet!$A$2:$I$1049,5,0)</f>
        <v>0</v>
      </c>
      <c r="F75" s="0" t="n">
        <f aca="false">VLOOKUP(A75,[1]Worksheet!$A$2:$I$1049,6,0)</f>
        <v>166</v>
      </c>
      <c r="G75" s="0" t="n">
        <f aca="false">VLOOKUP(A75,[1]Worksheet!$A$2:$I$1049,7,0)</f>
        <v>2.4</v>
      </c>
      <c r="K75" s="0" t="n">
        <v>4</v>
      </c>
      <c r="M75" s="0" t="n">
        <f aca="false">D75*E75</f>
        <v>0</v>
      </c>
      <c r="N75" s="0" t="n">
        <f aca="false">F75*G75</f>
        <v>398.4</v>
      </c>
      <c r="P75" s="0" t="n">
        <f aca="false">K75+D75</f>
        <v>11</v>
      </c>
      <c r="Q75" s="0" t="n">
        <f aca="false">M75/P75</f>
        <v>0</v>
      </c>
      <c r="R75" s="0" t="n">
        <f aca="false">F75+K75</f>
        <v>170</v>
      </c>
      <c r="S75" s="0" t="n">
        <f aca="false">N75/R75</f>
        <v>2.34352941176471</v>
      </c>
    </row>
    <row r="76" customFormat="false" ht="15" hidden="false" customHeight="false" outlineLevel="0" collapsed="false">
      <c r="A76" s="0" t="s">
        <v>788</v>
      </c>
      <c r="B76" s="0" t="s">
        <v>789</v>
      </c>
      <c r="C76" s="0" t="n">
        <v>20171</v>
      </c>
      <c r="D76" s="0" t="n">
        <f aca="false">VLOOKUP(A76,[1]Worksheet!$A$2:$I$1049,4,0)</f>
        <v>13</v>
      </c>
      <c r="E76" s="0" t="n">
        <f aca="false">VLOOKUP(A76,[1]Worksheet!$A$2:$I$1049,5,0)</f>
        <v>1.85</v>
      </c>
      <c r="F76" s="0" t="n">
        <f aca="false">VLOOKUP(A76,[1]Worksheet!$A$2:$I$1049,6,0)</f>
        <v>165</v>
      </c>
      <c r="G76" s="0" t="n">
        <f aca="false">VLOOKUP(A76,[1]Worksheet!$A$2:$I$1049,7,0)</f>
        <v>2.12</v>
      </c>
      <c r="K76" s="0" t="n">
        <v>0</v>
      </c>
      <c r="M76" s="0" t="n">
        <f aca="false">D76*E76</f>
        <v>24.05</v>
      </c>
      <c r="N76" s="0" t="n">
        <f aca="false">F76*G76</f>
        <v>349.8</v>
      </c>
      <c r="P76" s="0" t="n">
        <f aca="false">K76+D76</f>
        <v>13</v>
      </c>
      <c r="Q76" s="0" t="n">
        <f aca="false">M76/P76</f>
        <v>1.85</v>
      </c>
      <c r="R76" s="0" t="n">
        <f aca="false">F76+K76</f>
        <v>165</v>
      </c>
      <c r="S76" s="0" t="n">
        <f aca="false">N76/R76</f>
        <v>2.12</v>
      </c>
    </row>
    <row r="77" customFormat="false" ht="15" hidden="false" customHeight="false" outlineLevel="0" collapsed="false">
      <c r="A77" s="0" t="s">
        <v>1071</v>
      </c>
      <c r="B77" s="0" t="s">
        <v>1072</v>
      </c>
      <c r="C77" s="0" t="n">
        <v>20171</v>
      </c>
      <c r="D77" s="0" t="n">
        <f aca="false">VLOOKUP(A77,[1]Worksheet!$A$2:$I$1049,4,0)</f>
        <v>0</v>
      </c>
      <c r="E77" s="0" t="n">
        <f aca="false">VLOOKUP(A77,[1]Worksheet!$A$2:$I$1049,5,0)</f>
        <v>0</v>
      </c>
      <c r="F77" s="0" t="n">
        <f aca="false">VLOOKUP(A77,[1]Worksheet!$A$2:$I$1049,6,0)</f>
        <v>163</v>
      </c>
      <c r="G77" s="0" t="n">
        <f aca="false">VLOOKUP(A77,[1]Worksheet!$A$2:$I$1049,7,0)</f>
        <v>3.04</v>
      </c>
      <c r="K77" s="0" t="n">
        <v>4</v>
      </c>
      <c r="M77" s="0" t="n">
        <f aca="false">D77*E77</f>
        <v>0</v>
      </c>
      <c r="N77" s="0" t="n">
        <f aca="false">F77*G77</f>
        <v>495.52</v>
      </c>
      <c r="P77" s="0" t="n">
        <f aca="false">K77+D77</f>
        <v>4</v>
      </c>
      <c r="Q77" s="0" t="n">
        <f aca="false">M77/P77</f>
        <v>0</v>
      </c>
      <c r="R77" s="0" t="n">
        <f aca="false">F77+K77</f>
        <v>167</v>
      </c>
      <c r="S77" s="0" t="n">
        <f aca="false">N77/R77</f>
        <v>2.96718562874251</v>
      </c>
    </row>
    <row r="78" customFormat="false" ht="15" hidden="false" customHeight="false" outlineLevel="0" collapsed="false">
      <c r="A78" s="0" t="s">
        <v>1073</v>
      </c>
      <c r="B78" s="0" t="s">
        <v>1074</v>
      </c>
      <c r="C78" s="0" t="n">
        <v>20171</v>
      </c>
      <c r="D78" s="0" t="n">
        <f aca="false">VLOOKUP(A78,[1]Worksheet!$A$2:$I$1049,4,0)</f>
        <v>4</v>
      </c>
      <c r="E78" s="0" t="n">
        <f aca="false">VLOOKUP(A78,[1]Worksheet!$A$2:$I$1049,5,0)</f>
        <v>4</v>
      </c>
      <c r="F78" s="0" t="n">
        <f aca="false">VLOOKUP(A78,[1]Worksheet!$A$2:$I$1049,6,0)</f>
        <v>155</v>
      </c>
      <c r="G78" s="0" t="n">
        <f aca="false">VLOOKUP(A78,[1]Worksheet!$A$2:$I$1049,7,0)</f>
        <v>2.96</v>
      </c>
      <c r="K78" s="0" t="n">
        <v>0</v>
      </c>
      <c r="M78" s="0" t="n">
        <f aca="false">D78*E78</f>
        <v>16</v>
      </c>
      <c r="N78" s="0" t="n">
        <f aca="false">F78*G78</f>
        <v>458.8</v>
      </c>
      <c r="P78" s="0" t="n">
        <f aca="false">K78+D78</f>
        <v>4</v>
      </c>
      <c r="Q78" s="0" t="n">
        <f aca="false">M78/P78</f>
        <v>4</v>
      </c>
      <c r="R78" s="0" t="n">
        <f aca="false">F78+K78</f>
        <v>155</v>
      </c>
      <c r="S78" s="0" t="n">
        <f aca="false">N78/R78</f>
        <v>2.96</v>
      </c>
    </row>
    <row r="79" customFormat="false" ht="15" hidden="false" customHeight="false" outlineLevel="0" collapsed="false">
      <c r="A79" s="0" t="s">
        <v>308</v>
      </c>
      <c r="B79" s="0" t="s">
        <v>309</v>
      </c>
      <c r="C79" s="0" t="n">
        <v>20171</v>
      </c>
      <c r="D79" s="0" t="n">
        <f aca="false">VLOOKUP(A79,[1]Worksheet!$A$2:$I$1049,4,0)</f>
        <v>5</v>
      </c>
      <c r="E79" s="0" t="n">
        <f aca="false">VLOOKUP(A79,[1]Worksheet!$A$2:$I$1049,5,0)</f>
        <v>0</v>
      </c>
      <c r="F79" s="0" t="n">
        <f aca="false">VLOOKUP(A79,[1]Worksheet!$A$2:$I$1049,6,0)</f>
        <v>162</v>
      </c>
      <c r="G79" s="0" t="n">
        <f aca="false">VLOOKUP(A79,[1]Worksheet!$A$2:$I$1049,7,0)</f>
        <v>2.45</v>
      </c>
      <c r="K79" s="0" t="n">
        <v>4</v>
      </c>
      <c r="M79" s="0" t="n">
        <f aca="false">D79*E79</f>
        <v>0</v>
      </c>
      <c r="N79" s="0" t="n">
        <f aca="false">F79*G79</f>
        <v>396.9</v>
      </c>
      <c r="P79" s="0" t="n">
        <f aca="false">K79+D79</f>
        <v>9</v>
      </c>
      <c r="Q79" s="0" t="n">
        <f aca="false">M79/P79</f>
        <v>0</v>
      </c>
      <c r="R79" s="0" t="n">
        <f aca="false">F79+K79</f>
        <v>166</v>
      </c>
      <c r="S79" s="0" t="n">
        <f aca="false">N79/R79</f>
        <v>2.39096385542169</v>
      </c>
    </row>
    <row r="80" customFormat="false" ht="15" hidden="false" customHeight="false" outlineLevel="0" collapsed="false">
      <c r="A80" s="0" t="s">
        <v>862</v>
      </c>
      <c r="B80" s="0" t="s">
        <v>863</v>
      </c>
      <c r="C80" s="0" t="n">
        <v>20171</v>
      </c>
      <c r="D80" s="0" t="n">
        <f aca="false">VLOOKUP(A80,[1]Worksheet!$A$2:$I$1049,4,0)</f>
        <v>11</v>
      </c>
      <c r="E80" s="0" t="n">
        <f aca="false">VLOOKUP(A80,[1]Worksheet!$A$2:$I$1049,5,0)</f>
        <v>0.73</v>
      </c>
      <c r="F80" s="0" t="n">
        <f aca="false">VLOOKUP(A80,[1]Worksheet!$A$2:$I$1049,6,0)</f>
        <v>188</v>
      </c>
      <c r="G80" s="0" t="n">
        <f aca="false">VLOOKUP(A80,[1]Worksheet!$A$2:$I$1049,7,0)</f>
        <v>2.55</v>
      </c>
      <c r="K80" s="0" t="n">
        <v>4</v>
      </c>
      <c r="M80" s="0" t="n">
        <f aca="false">D80*E80</f>
        <v>8.03</v>
      </c>
      <c r="N80" s="0" t="n">
        <f aca="false">F80*G80</f>
        <v>479.4</v>
      </c>
      <c r="P80" s="0" t="n">
        <f aca="false">K80+D80</f>
        <v>15</v>
      </c>
      <c r="Q80" s="0" t="n">
        <f aca="false">M80/P80</f>
        <v>0.535333333333333</v>
      </c>
      <c r="R80" s="0" t="n">
        <f aca="false">F80+K80</f>
        <v>192</v>
      </c>
      <c r="S80" s="0" t="n">
        <f aca="false">N80/R80</f>
        <v>2.496875</v>
      </c>
    </row>
    <row r="81" customFormat="false" ht="15" hidden="false" customHeight="false" outlineLevel="0" collapsed="false">
      <c r="A81" s="0" t="s">
        <v>934</v>
      </c>
      <c r="B81" s="0" t="s">
        <v>935</v>
      </c>
      <c r="C81" s="0" t="n">
        <v>20171</v>
      </c>
      <c r="D81" s="0" t="n">
        <f aca="false">VLOOKUP(A81,[1]Worksheet!$A$2:$I$1049,4,0)</f>
        <v>3</v>
      </c>
      <c r="E81" s="0" t="n">
        <f aca="false">VLOOKUP(A81,[1]Worksheet!$A$2:$I$1049,5,0)</f>
        <v>3</v>
      </c>
      <c r="F81" s="0" t="n">
        <f aca="false">VLOOKUP(A81,[1]Worksheet!$A$2:$I$1049,6,0)</f>
        <v>180</v>
      </c>
      <c r="G81" s="0" t="n">
        <f aca="false">VLOOKUP(A81,[1]Worksheet!$A$2:$I$1049,7,0)</f>
        <v>2.63</v>
      </c>
      <c r="K81" s="0" t="n">
        <v>4</v>
      </c>
      <c r="M81" s="0" t="n">
        <f aca="false">D81*E81</f>
        <v>9</v>
      </c>
      <c r="N81" s="0" t="n">
        <f aca="false">F81*G81</f>
        <v>473.4</v>
      </c>
      <c r="P81" s="0" t="n">
        <f aca="false">K81+D81</f>
        <v>7</v>
      </c>
      <c r="Q81" s="0" t="n">
        <f aca="false">M81/P81</f>
        <v>1.28571428571429</v>
      </c>
      <c r="R81" s="0" t="n">
        <f aca="false">F81+K81</f>
        <v>184</v>
      </c>
      <c r="S81" s="0" t="n">
        <f aca="false">N81/R81</f>
        <v>2.57282608695652</v>
      </c>
    </row>
    <row r="82" customFormat="false" ht="15" hidden="false" customHeight="false" outlineLevel="0" collapsed="false">
      <c r="A82" s="0" t="s">
        <v>1075</v>
      </c>
      <c r="B82" s="0" t="s">
        <v>1076</v>
      </c>
      <c r="C82" s="0" t="n">
        <v>20171</v>
      </c>
      <c r="D82" s="0" t="n">
        <f aca="false">VLOOKUP(A82,[1]Worksheet!$A$2:$I$1049,4,0)</f>
        <v>0</v>
      </c>
      <c r="E82" s="0" t="n">
        <f aca="false">VLOOKUP(A82,[1]Worksheet!$A$2:$I$1049,5,0)</f>
        <v>0</v>
      </c>
      <c r="F82" s="0" t="n">
        <f aca="false">VLOOKUP(A82,[1]Worksheet!$A$2:$I$1049,6,0)</f>
        <v>171</v>
      </c>
      <c r="G82" s="0" t="n">
        <f aca="false">VLOOKUP(A82,[1]Worksheet!$A$2:$I$1049,7,0)</f>
        <v>2.83</v>
      </c>
      <c r="K82" s="0" t="n">
        <v>4</v>
      </c>
      <c r="M82" s="0" t="n">
        <f aca="false">D82*E82</f>
        <v>0</v>
      </c>
      <c r="N82" s="0" t="n">
        <f aca="false">F82*G82</f>
        <v>483.93</v>
      </c>
      <c r="P82" s="0" t="n">
        <f aca="false">K82+D82</f>
        <v>4</v>
      </c>
      <c r="Q82" s="0" t="n">
        <f aca="false">M82/P82</f>
        <v>0</v>
      </c>
      <c r="R82" s="0" t="n">
        <f aca="false">F82+K82</f>
        <v>175</v>
      </c>
      <c r="S82" s="0" t="n">
        <f aca="false">N82/R82</f>
        <v>2.76531428571429</v>
      </c>
    </row>
    <row r="83" customFormat="false" ht="15" hidden="false" customHeight="false" outlineLevel="0" collapsed="false">
      <c r="A83" s="0" t="s">
        <v>1077</v>
      </c>
      <c r="B83" s="0" t="s">
        <v>1078</v>
      </c>
      <c r="C83" s="0" t="n">
        <v>20171</v>
      </c>
      <c r="D83" s="0" t="n">
        <f aca="false">VLOOKUP(A83,[1]Worksheet!$A$2:$I$1049,4,0)</f>
        <v>4</v>
      </c>
      <c r="E83" s="0" t="n">
        <f aca="false">VLOOKUP(A83,[1]Worksheet!$A$2:$I$1049,5,0)</f>
        <v>4</v>
      </c>
      <c r="F83" s="0" t="n">
        <f aca="false">VLOOKUP(A83,[1]Worksheet!$A$2:$I$1049,6,0)</f>
        <v>187</v>
      </c>
      <c r="G83" s="0" t="n">
        <f aca="false">VLOOKUP(A83,[1]Worksheet!$A$2:$I$1049,7,0)</f>
        <v>2.82</v>
      </c>
      <c r="K83" s="0" t="n">
        <v>0</v>
      </c>
      <c r="M83" s="0" t="n">
        <f aca="false">D83*E83</f>
        <v>16</v>
      </c>
      <c r="N83" s="0" t="n">
        <f aca="false">F83*G83</f>
        <v>527.34</v>
      </c>
      <c r="P83" s="0" t="n">
        <f aca="false">K83+D83</f>
        <v>4</v>
      </c>
      <c r="Q83" s="0" t="n">
        <f aca="false">M83/P83</f>
        <v>4</v>
      </c>
      <c r="R83" s="0" t="n">
        <f aca="false">F83+K83</f>
        <v>187</v>
      </c>
      <c r="S83" s="0" t="n">
        <f aca="false">N83/R83</f>
        <v>2.82</v>
      </c>
    </row>
    <row r="84" customFormat="false" ht="15" hidden="false" customHeight="false" outlineLevel="0" collapsed="false">
      <c r="A84" s="0" t="s">
        <v>519</v>
      </c>
      <c r="B84" s="0" t="s">
        <v>520</v>
      </c>
      <c r="C84" s="0" t="n">
        <v>20171</v>
      </c>
      <c r="D84" s="0" t="n">
        <f aca="false">VLOOKUP(A84,[1]Worksheet!$A$2:$I$1049,4,0)</f>
        <v>9</v>
      </c>
      <c r="E84" s="0" t="n">
        <f aca="false">VLOOKUP(A84,[1]Worksheet!$A$2:$I$1049,5,0)</f>
        <v>3</v>
      </c>
      <c r="F84" s="0" t="n">
        <f aca="false">VLOOKUP(A84,[1]Worksheet!$A$2:$I$1049,6,0)</f>
        <v>182</v>
      </c>
      <c r="G84" s="0" t="n">
        <f aca="false">VLOOKUP(A84,[1]Worksheet!$A$2:$I$1049,7,0)</f>
        <v>2.54</v>
      </c>
      <c r="K84" s="0" t="n">
        <v>4</v>
      </c>
      <c r="M84" s="0" t="n">
        <f aca="false">D84*E84</f>
        <v>27</v>
      </c>
      <c r="N84" s="0" t="n">
        <f aca="false">F84*G84</f>
        <v>462.28</v>
      </c>
      <c r="P84" s="0" t="n">
        <f aca="false">K84+D84</f>
        <v>13</v>
      </c>
      <c r="Q84" s="0" t="n">
        <f aca="false">M84/P84</f>
        <v>2.07692307692308</v>
      </c>
      <c r="R84" s="0" t="n">
        <f aca="false">F84+K84</f>
        <v>186</v>
      </c>
      <c r="S84" s="0" t="n">
        <f aca="false">N84/R84</f>
        <v>2.48537634408602</v>
      </c>
    </row>
    <row r="85" customFormat="false" ht="15" hidden="false" customHeight="false" outlineLevel="0" collapsed="false">
      <c r="A85" s="0" t="s">
        <v>555</v>
      </c>
      <c r="B85" s="0" t="s">
        <v>556</v>
      </c>
      <c r="C85" s="0" t="n">
        <v>20171</v>
      </c>
      <c r="D85" s="0" t="n">
        <f aca="false">VLOOKUP(A85,[1]Worksheet!$A$2:$I$1049,4,0)</f>
        <v>9</v>
      </c>
      <c r="E85" s="0" t="n">
        <f aca="false">VLOOKUP(A85,[1]Worksheet!$A$2:$I$1049,5,0)</f>
        <v>3</v>
      </c>
      <c r="F85" s="0" t="n">
        <f aca="false">VLOOKUP(A85,[1]Worksheet!$A$2:$I$1049,6,0)</f>
        <v>152</v>
      </c>
      <c r="G85" s="0" t="n">
        <f aca="false">VLOOKUP(A85,[1]Worksheet!$A$2:$I$1049,7,0)</f>
        <v>2.54</v>
      </c>
      <c r="K85" s="0" t="n">
        <v>4</v>
      </c>
      <c r="M85" s="0" t="n">
        <f aca="false">D85*E85</f>
        <v>27</v>
      </c>
      <c r="N85" s="0" t="n">
        <f aca="false">F85*G85</f>
        <v>386.08</v>
      </c>
      <c r="P85" s="0" t="n">
        <f aca="false">K85+D85</f>
        <v>13</v>
      </c>
      <c r="Q85" s="0" t="n">
        <f aca="false">M85/P85</f>
        <v>2.07692307692308</v>
      </c>
      <c r="R85" s="0" t="n">
        <f aca="false">F85+K85</f>
        <v>156</v>
      </c>
      <c r="S85" s="0" t="n">
        <f aca="false">N85/R85</f>
        <v>2.47487179487179</v>
      </c>
    </row>
    <row r="86" customFormat="false" ht="15" hidden="false" customHeight="false" outlineLevel="0" collapsed="false">
      <c r="A86" s="0" t="s">
        <v>521</v>
      </c>
      <c r="B86" s="0" t="s">
        <v>522</v>
      </c>
      <c r="C86" s="0" t="n">
        <v>20171</v>
      </c>
      <c r="D86" s="0" t="n">
        <f aca="false">VLOOKUP(A86,[1]Worksheet!$A$2:$I$1049,4,0)</f>
        <v>21</v>
      </c>
      <c r="E86" s="0" t="n">
        <f aca="false">VLOOKUP(A86,[1]Worksheet!$A$2:$I$1049,5,0)</f>
        <v>3.31</v>
      </c>
      <c r="F86" s="0" t="n">
        <f aca="false">VLOOKUP(A86,[1]Worksheet!$A$2:$I$1049,6,0)</f>
        <v>161</v>
      </c>
      <c r="G86" s="0" t="n">
        <f aca="false">VLOOKUP(A86,[1]Worksheet!$A$2:$I$1049,7,0)</f>
        <v>2.46</v>
      </c>
      <c r="K86" s="0" t="n">
        <v>0</v>
      </c>
      <c r="M86" s="0" t="n">
        <f aca="false">D86*E86</f>
        <v>69.51</v>
      </c>
      <c r="N86" s="0" t="n">
        <f aca="false">F86*G86</f>
        <v>396.06</v>
      </c>
      <c r="P86" s="0" t="n">
        <f aca="false">K86+D86</f>
        <v>21</v>
      </c>
      <c r="Q86" s="0" t="n">
        <f aca="false">M86/P86</f>
        <v>3.31</v>
      </c>
      <c r="R86" s="0" t="n">
        <f aca="false">F86+K86</f>
        <v>161</v>
      </c>
      <c r="S86" s="0" t="n">
        <f aca="false">N86/R86</f>
        <v>2.46</v>
      </c>
    </row>
    <row r="87" customFormat="false" ht="15" hidden="false" customHeight="false" outlineLevel="0" collapsed="false">
      <c r="A87" s="0" t="s">
        <v>1079</v>
      </c>
      <c r="B87" s="0" t="s">
        <v>1080</v>
      </c>
      <c r="C87" s="0" t="n">
        <v>20171</v>
      </c>
      <c r="D87" s="0" t="n">
        <f aca="false">VLOOKUP(A87,[1]Worksheet!$A$2:$I$1049,4,0)</f>
        <v>0</v>
      </c>
      <c r="E87" s="0" t="n">
        <f aca="false">VLOOKUP(A87,[1]Worksheet!$A$2:$I$1049,5,0)</f>
        <v>0</v>
      </c>
      <c r="F87" s="0" t="n">
        <f aca="false">VLOOKUP(A87,[1]Worksheet!$A$2:$I$1049,6,0)</f>
        <v>153</v>
      </c>
      <c r="G87" s="0" t="n">
        <f aca="false">VLOOKUP(A87,[1]Worksheet!$A$2:$I$1049,7,0)</f>
        <v>2.99</v>
      </c>
      <c r="K87" s="0" t="n">
        <v>4</v>
      </c>
      <c r="M87" s="0" t="n">
        <f aca="false">D87*E87</f>
        <v>0</v>
      </c>
      <c r="N87" s="0" t="n">
        <f aca="false">F87*G87</f>
        <v>457.47</v>
      </c>
      <c r="P87" s="0" t="n">
        <f aca="false">K87+D87</f>
        <v>4</v>
      </c>
      <c r="Q87" s="0" t="n">
        <f aca="false">M87/P87</f>
        <v>0</v>
      </c>
      <c r="R87" s="0" t="n">
        <f aca="false">F87+K87</f>
        <v>157</v>
      </c>
      <c r="S87" s="0" t="n">
        <f aca="false">N87/R87</f>
        <v>2.91382165605096</v>
      </c>
    </row>
    <row r="88" customFormat="false" ht="15" hidden="false" customHeight="false" outlineLevel="0" collapsed="false">
      <c r="A88" s="0" t="s">
        <v>1081</v>
      </c>
      <c r="B88" s="0" t="s">
        <v>1082</v>
      </c>
      <c r="C88" s="0" t="n">
        <v>20171</v>
      </c>
      <c r="D88" s="0" t="n">
        <f aca="false">VLOOKUP(A88,[1]Worksheet!$A$2:$I$1049,4,0)</f>
        <v>0</v>
      </c>
      <c r="E88" s="0" t="n">
        <f aca="false">VLOOKUP(A88,[1]Worksheet!$A$2:$I$1049,5,0)</f>
        <v>0</v>
      </c>
      <c r="F88" s="0" t="n">
        <f aca="false">VLOOKUP(A88,[1]Worksheet!$A$2:$I$1049,6,0)</f>
        <v>155</v>
      </c>
      <c r="G88" s="0" t="n">
        <f aca="false">VLOOKUP(A88,[1]Worksheet!$A$2:$I$1049,7,0)</f>
        <v>3.13</v>
      </c>
      <c r="K88" s="0" t="n">
        <v>4</v>
      </c>
      <c r="M88" s="0" t="n">
        <f aca="false">D88*E88</f>
        <v>0</v>
      </c>
      <c r="N88" s="0" t="n">
        <f aca="false">F88*G88</f>
        <v>485.15</v>
      </c>
      <c r="P88" s="0" t="n">
        <f aca="false">K88+D88</f>
        <v>4</v>
      </c>
      <c r="Q88" s="0" t="n">
        <f aca="false">M88/P88</f>
        <v>0</v>
      </c>
      <c r="R88" s="0" t="n">
        <f aca="false">F88+K88</f>
        <v>159</v>
      </c>
      <c r="S88" s="0" t="n">
        <f aca="false">N88/R88</f>
        <v>3.05125786163522</v>
      </c>
    </row>
    <row r="89" customFormat="false" ht="15" hidden="false" customHeight="false" outlineLevel="0" collapsed="false">
      <c r="A89" s="0" t="s">
        <v>1083</v>
      </c>
      <c r="B89" s="0" t="s">
        <v>1084</v>
      </c>
      <c r="C89" s="0" t="n">
        <v>20171</v>
      </c>
      <c r="D89" s="0" t="n">
        <f aca="false">VLOOKUP(A89,[1]Worksheet!$A$2:$I$1049,4,0)</f>
        <v>4</v>
      </c>
      <c r="E89" s="0" t="n">
        <f aca="false">VLOOKUP(A89,[1]Worksheet!$A$2:$I$1049,5,0)</f>
        <v>4</v>
      </c>
      <c r="F89" s="0" t="n">
        <f aca="false">VLOOKUP(A89,[1]Worksheet!$A$2:$I$1049,6,0)</f>
        <v>152</v>
      </c>
      <c r="G89" s="0" t="n">
        <f aca="false">VLOOKUP(A89,[1]Worksheet!$A$2:$I$1049,7,0)</f>
        <v>3.29</v>
      </c>
      <c r="K89" s="0" t="n">
        <v>0</v>
      </c>
      <c r="M89" s="0" t="n">
        <f aca="false">D89*E89</f>
        <v>16</v>
      </c>
      <c r="N89" s="0" t="n">
        <f aca="false">F89*G89</f>
        <v>500.08</v>
      </c>
      <c r="P89" s="0" t="n">
        <f aca="false">K89+D89</f>
        <v>4</v>
      </c>
      <c r="Q89" s="0" t="n">
        <f aca="false">M89/P89</f>
        <v>4</v>
      </c>
      <c r="R89" s="0" t="n">
        <f aca="false">F89+K89</f>
        <v>152</v>
      </c>
      <c r="S89" s="0" t="n">
        <f aca="false">N89/R89</f>
        <v>3.29</v>
      </c>
    </row>
    <row r="90" customFormat="false" ht="15" hidden="false" customHeight="false" outlineLevel="0" collapsed="false">
      <c r="A90" s="0" t="s">
        <v>936</v>
      </c>
      <c r="B90" s="0" t="s">
        <v>937</v>
      </c>
      <c r="C90" s="0" t="n">
        <v>20171</v>
      </c>
      <c r="D90" s="0" t="n">
        <f aca="false">VLOOKUP(A90,[1]Worksheet!$A$2:$I$1049,4,0)</f>
        <v>3</v>
      </c>
      <c r="E90" s="0" t="n">
        <f aca="false">VLOOKUP(A90,[1]Worksheet!$A$2:$I$1049,5,0)</f>
        <v>1.5</v>
      </c>
      <c r="F90" s="0" t="n">
        <f aca="false">VLOOKUP(A90,[1]Worksheet!$A$2:$I$1049,6,0)</f>
        <v>156</v>
      </c>
      <c r="G90" s="0" t="n">
        <f aca="false">VLOOKUP(A90,[1]Worksheet!$A$2:$I$1049,7,0)</f>
        <v>2.85</v>
      </c>
      <c r="K90" s="0" t="n">
        <v>4</v>
      </c>
      <c r="M90" s="0" t="n">
        <f aca="false">D90*E90</f>
        <v>4.5</v>
      </c>
      <c r="N90" s="0" t="n">
        <f aca="false">F90*G90</f>
        <v>444.6</v>
      </c>
      <c r="P90" s="0" t="n">
        <f aca="false">K90+D90</f>
        <v>7</v>
      </c>
      <c r="Q90" s="0" t="n">
        <f aca="false">M90/P90</f>
        <v>0.642857142857143</v>
      </c>
      <c r="R90" s="0" t="n">
        <f aca="false">F90+K90</f>
        <v>160</v>
      </c>
      <c r="S90" s="0" t="n">
        <f aca="false">N90/R90</f>
        <v>2.77875</v>
      </c>
    </row>
    <row r="91" customFormat="false" ht="15" hidden="false" customHeight="false" outlineLevel="0" collapsed="false">
      <c r="A91" s="0" t="s">
        <v>635</v>
      </c>
      <c r="B91" s="0" t="s">
        <v>636</v>
      </c>
      <c r="C91" s="0" t="n">
        <v>20171</v>
      </c>
      <c r="D91" s="0" t="n">
        <f aca="false">VLOOKUP(A91,[1]Worksheet!$A$2:$I$1049,4,0)</f>
        <v>21</v>
      </c>
      <c r="E91" s="0" t="n">
        <f aca="false">VLOOKUP(A91,[1]Worksheet!$A$2:$I$1049,5,0)</f>
        <v>0</v>
      </c>
      <c r="F91" s="0" t="n">
        <f aca="false">VLOOKUP(A91,[1]Worksheet!$A$2:$I$1049,6,0)</f>
        <v>120</v>
      </c>
      <c r="G91" s="0" t="n">
        <f aca="false">VLOOKUP(A91,[1]Worksheet!$A$2:$I$1049,7,0)</f>
        <v>1.41</v>
      </c>
      <c r="K91" s="0" t="n">
        <v>0</v>
      </c>
      <c r="M91" s="0" t="n">
        <f aca="false">D91*E91</f>
        <v>0</v>
      </c>
      <c r="N91" s="0" t="n">
        <f aca="false">F91*G91</f>
        <v>169.2</v>
      </c>
      <c r="P91" s="0" t="n">
        <f aca="false">K91+D91</f>
        <v>21</v>
      </c>
      <c r="Q91" s="0" t="n">
        <f aca="false">M91/P91</f>
        <v>0</v>
      </c>
      <c r="R91" s="0" t="n">
        <f aca="false">F91+K91</f>
        <v>120</v>
      </c>
      <c r="S91" s="0" t="n">
        <f aca="false">N91/R91</f>
        <v>1.41</v>
      </c>
    </row>
    <row r="92" customFormat="false" ht="15" hidden="false" customHeight="false" outlineLevel="0" collapsed="false">
      <c r="A92" s="0" t="s">
        <v>204</v>
      </c>
      <c r="B92" s="0" t="s">
        <v>205</v>
      </c>
      <c r="C92" s="0" t="n">
        <v>20171</v>
      </c>
      <c r="D92" s="0" t="n">
        <f aca="false">VLOOKUP(A92,[1]Worksheet!$A$2:$I$1049,4,0)</f>
        <v>14</v>
      </c>
      <c r="E92" s="0" t="n">
        <f aca="false">VLOOKUP(A92,[1]Worksheet!$A$2:$I$1049,5,0)</f>
        <v>3.14</v>
      </c>
      <c r="F92" s="0" t="n">
        <f aca="false">VLOOKUP(A92,[1]Worksheet!$A$2:$I$1049,6,0)</f>
        <v>143</v>
      </c>
      <c r="G92" s="0" t="n">
        <f aca="false">VLOOKUP(A92,[1]Worksheet!$A$2:$I$1049,7,0)</f>
        <v>3.16</v>
      </c>
      <c r="K92" s="0" t="n">
        <v>4</v>
      </c>
      <c r="M92" s="0" t="n">
        <f aca="false">D92*E92</f>
        <v>43.96</v>
      </c>
      <c r="N92" s="0" t="n">
        <f aca="false">F92*G92</f>
        <v>451.88</v>
      </c>
      <c r="P92" s="0" t="n">
        <f aca="false">K92+D92</f>
        <v>18</v>
      </c>
      <c r="Q92" s="0" t="n">
        <f aca="false">M92/P92</f>
        <v>2.44222222222222</v>
      </c>
      <c r="R92" s="0" t="n">
        <f aca="false">F92+K92</f>
        <v>147</v>
      </c>
      <c r="S92" s="0" t="n">
        <f aca="false">N92/R92</f>
        <v>3.07401360544218</v>
      </c>
    </row>
    <row r="93" customFormat="false" ht="15" hidden="false" customHeight="false" outlineLevel="0" collapsed="false">
      <c r="A93" s="0" t="s">
        <v>559</v>
      </c>
      <c r="B93" s="0" t="s">
        <v>560</v>
      </c>
      <c r="C93" s="0" t="n">
        <v>20171</v>
      </c>
      <c r="D93" s="0" t="n">
        <f aca="false">VLOOKUP(A93,[1]Worksheet!$A$2:$I$1049,4,0)</f>
        <v>12</v>
      </c>
      <c r="E93" s="0" t="n">
        <f aca="false">VLOOKUP(A93,[1]Worksheet!$A$2:$I$1049,5,0)</f>
        <v>1.42</v>
      </c>
      <c r="F93" s="0" t="n">
        <f aca="false">VLOOKUP(A93,[1]Worksheet!$A$2:$I$1049,6,0)</f>
        <v>161</v>
      </c>
      <c r="G93" s="0" t="n">
        <f aca="false">VLOOKUP(A93,[1]Worksheet!$A$2:$I$1049,7,0)</f>
        <v>2.7</v>
      </c>
      <c r="K93" s="0" t="n">
        <v>4</v>
      </c>
      <c r="M93" s="0" t="n">
        <f aca="false">D93*E93</f>
        <v>17.04</v>
      </c>
      <c r="N93" s="0" t="n">
        <f aca="false">F93*G93</f>
        <v>434.7</v>
      </c>
      <c r="P93" s="0" t="n">
        <f aca="false">K93+D93</f>
        <v>16</v>
      </c>
      <c r="Q93" s="0" t="n">
        <f aca="false">M93/P93</f>
        <v>1.065</v>
      </c>
      <c r="R93" s="0" t="n">
        <f aca="false">F93+K93</f>
        <v>165</v>
      </c>
      <c r="S93" s="0" t="n">
        <f aca="false">N93/R93</f>
        <v>2.63454545454545</v>
      </c>
    </row>
    <row r="94" customFormat="false" ht="15" hidden="false" customHeight="false" outlineLevel="0" collapsed="false">
      <c r="A94" s="0" t="s">
        <v>567</v>
      </c>
      <c r="B94" s="0" t="s">
        <v>568</v>
      </c>
      <c r="C94" s="0" t="n">
        <v>20171</v>
      </c>
      <c r="D94" s="0" t="n">
        <f aca="false">VLOOKUP(A94,[1]Worksheet!$A$2:$I$1049,4,0)</f>
        <v>9</v>
      </c>
      <c r="E94" s="0" t="n">
        <f aca="false">VLOOKUP(A94,[1]Worksheet!$A$2:$I$1049,5,0)</f>
        <v>2.44</v>
      </c>
      <c r="F94" s="0" t="n">
        <f aca="false">VLOOKUP(A94,[1]Worksheet!$A$2:$I$1049,6,0)</f>
        <v>149</v>
      </c>
      <c r="G94" s="0" t="n">
        <f aca="false">VLOOKUP(A94,[1]Worksheet!$A$2:$I$1049,7,0)</f>
        <v>2.46</v>
      </c>
      <c r="K94" s="0" t="n">
        <v>2</v>
      </c>
      <c r="M94" s="0" t="n">
        <f aca="false">D94*E94</f>
        <v>21.96</v>
      </c>
      <c r="N94" s="0" t="n">
        <f aca="false">F94*G94</f>
        <v>366.54</v>
      </c>
      <c r="P94" s="0" t="n">
        <f aca="false">K94+D94</f>
        <v>11</v>
      </c>
      <c r="Q94" s="0" t="n">
        <f aca="false">M94/P94</f>
        <v>1.99636363636364</v>
      </c>
      <c r="R94" s="0" t="n">
        <f aca="false">F94+K94</f>
        <v>151</v>
      </c>
      <c r="S94" s="0" t="n">
        <f aca="false">N94/R94</f>
        <v>2.42741721854305</v>
      </c>
    </row>
    <row r="95" customFormat="false" ht="15" hidden="false" customHeight="false" outlineLevel="0" collapsed="false">
      <c r="A95" s="0" t="s">
        <v>637</v>
      </c>
      <c r="B95" s="0" t="s">
        <v>638</v>
      </c>
      <c r="C95" s="0" t="n">
        <v>20171</v>
      </c>
      <c r="D95" s="0" t="n">
        <f aca="false">VLOOKUP(A95,[1]Worksheet!$A$2:$I$1049,4,0)</f>
        <v>12</v>
      </c>
      <c r="E95" s="0" t="n">
        <f aca="false">VLOOKUP(A95,[1]Worksheet!$A$2:$I$1049,5,0)</f>
        <v>3.25</v>
      </c>
      <c r="F95" s="0" t="n">
        <f aca="false">VLOOKUP(A95,[1]Worksheet!$A$2:$I$1049,6,0)</f>
        <v>148</v>
      </c>
      <c r="G95" s="0" t="n">
        <f aca="false">VLOOKUP(A95,[1]Worksheet!$A$2:$I$1049,7,0)</f>
        <v>2.47</v>
      </c>
      <c r="K95" s="0" t="n">
        <v>0</v>
      </c>
      <c r="M95" s="0" t="n">
        <f aca="false">D95*E95</f>
        <v>39</v>
      </c>
      <c r="N95" s="0" t="n">
        <f aca="false">F95*G95</f>
        <v>365.56</v>
      </c>
      <c r="P95" s="0" t="n">
        <f aca="false">K95+D95</f>
        <v>12</v>
      </c>
      <c r="Q95" s="0" t="n">
        <f aca="false">M95/P95</f>
        <v>3.25</v>
      </c>
      <c r="R95" s="0" t="n">
        <f aca="false">F95+K95</f>
        <v>148</v>
      </c>
      <c r="S95" s="0" t="n">
        <f aca="false">N95/R95</f>
        <v>2.47</v>
      </c>
    </row>
    <row r="96" customFormat="false" ht="15" hidden="false" customHeight="false" outlineLevel="0" collapsed="false">
      <c r="A96" s="0" t="s">
        <v>619</v>
      </c>
      <c r="B96" s="0" t="s">
        <v>620</v>
      </c>
      <c r="C96" s="0" t="n">
        <v>20171</v>
      </c>
      <c r="D96" s="0" t="n">
        <f aca="false">VLOOKUP(A96,[1]Worksheet!$A$2:$I$1049,4,0)</f>
        <v>14</v>
      </c>
      <c r="E96" s="0" t="n">
        <f aca="false">VLOOKUP(A96,[1]Worksheet!$A$2:$I$1049,5,0)</f>
        <v>2</v>
      </c>
      <c r="F96" s="0" t="n">
        <f aca="false">VLOOKUP(A96,[1]Worksheet!$A$2:$I$1049,6,0)</f>
        <v>145</v>
      </c>
      <c r="G96" s="0" t="n">
        <f aca="false">VLOOKUP(A96,[1]Worksheet!$A$2:$I$1049,7,0)</f>
        <v>2.62</v>
      </c>
      <c r="K96" s="0" t="n">
        <v>0</v>
      </c>
      <c r="M96" s="0" t="n">
        <f aca="false">D96*E96</f>
        <v>28</v>
      </c>
      <c r="N96" s="0" t="n">
        <f aca="false">F96*G96</f>
        <v>379.9</v>
      </c>
      <c r="P96" s="0" t="n">
        <f aca="false">K96+D96</f>
        <v>14</v>
      </c>
      <c r="Q96" s="0" t="n">
        <f aca="false">M96/P96</f>
        <v>2</v>
      </c>
      <c r="R96" s="0" t="n">
        <f aca="false">F96+K96</f>
        <v>145</v>
      </c>
      <c r="S96" s="0" t="n">
        <f aca="false">N96/R96</f>
        <v>2.62</v>
      </c>
    </row>
    <row r="97" customFormat="false" ht="15" hidden="false" customHeight="false" outlineLevel="0" collapsed="false">
      <c r="A97" s="0" t="s">
        <v>639</v>
      </c>
      <c r="B97" s="0" t="s">
        <v>640</v>
      </c>
      <c r="C97" s="0" t="n">
        <v>20171</v>
      </c>
      <c r="D97" s="0" t="n">
        <f aca="false">VLOOKUP(A97,[1]Worksheet!$A$2:$I$1049,4,0)</f>
        <v>7</v>
      </c>
      <c r="E97" s="0" t="n">
        <f aca="false">VLOOKUP(A97,[1]Worksheet!$A$2:$I$1049,5,0)</f>
        <v>3.71</v>
      </c>
      <c r="F97" s="0" t="n">
        <f aca="false">VLOOKUP(A97,[1]Worksheet!$A$2:$I$1049,6,0)</f>
        <v>158</v>
      </c>
      <c r="G97" s="0" t="n">
        <f aca="false">VLOOKUP(A97,[1]Worksheet!$A$2:$I$1049,7,0)</f>
        <v>2.94</v>
      </c>
      <c r="K97" s="0" t="n">
        <v>0</v>
      </c>
      <c r="M97" s="0" t="n">
        <f aca="false">D97*E97</f>
        <v>25.97</v>
      </c>
      <c r="N97" s="0" t="n">
        <f aca="false">F97*G97</f>
        <v>464.52</v>
      </c>
      <c r="P97" s="0" t="n">
        <f aca="false">K97+D97</f>
        <v>7</v>
      </c>
      <c r="Q97" s="0" t="n">
        <f aca="false">M97/P97</f>
        <v>3.71</v>
      </c>
      <c r="R97" s="0" t="n">
        <f aca="false">F97+K97</f>
        <v>158</v>
      </c>
      <c r="S97" s="0" t="n">
        <f aca="false">N97/R97</f>
        <v>2.94</v>
      </c>
    </row>
    <row r="98" customFormat="false" ht="15" hidden="false" customHeight="false" outlineLevel="0" collapsed="false">
      <c r="A98" s="0" t="s">
        <v>1085</v>
      </c>
      <c r="B98" s="0" t="s">
        <v>1086</v>
      </c>
      <c r="C98" s="0" t="n">
        <v>20171</v>
      </c>
      <c r="D98" s="0" t="n">
        <f aca="false">VLOOKUP(A98,[1]Worksheet!$A$2:$I$1049,4,0)</f>
        <v>4</v>
      </c>
      <c r="E98" s="0" t="n">
        <f aca="false">VLOOKUP(A98,[1]Worksheet!$A$2:$I$1049,5,0)</f>
        <v>4</v>
      </c>
      <c r="F98" s="0" t="n">
        <f aca="false">VLOOKUP(A98,[1]Worksheet!$A$2:$I$1049,6,0)</f>
        <v>153</v>
      </c>
      <c r="G98" s="0" t="n">
        <f aca="false">VLOOKUP(A98,[1]Worksheet!$A$2:$I$1049,7,0)</f>
        <v>3.13</v>
      </c>
      <c r="K98" s="0" t="n">
        <v>0</v>
      </c>
      <c r="M98" s="0" t="n">
        <f aca="false">D98*E98</f>
        <v>16</v>
      </c>
      <c r="N98" s="0" t="n">
        <f aca="false">F98*G98</f>
        <v>478.89</v>
      </c>
      <c r="P98" s="0" t="n">
        <f aca="false">K98+D98</f>
        <v>4</v>
      </c>
      <c r="Q98" s="0" t="n">
        <f aca="false">M98/P98</f>
        <v>4</v>
      </c>
      <c r="R98" s="0" t="n">
        <f aca="false">F98+K98</f>
        <v>153</v>
      </c>
      <c r="S98" s="0" t="n">
        <f aca="false">N98/R98</f>
        <v>3.13</v>
      </c>
    </row>
    <row r="99" customFormat="false" ht="15" hidden="false" customHeight="false" outlineLevel="0" collapsed="false">
      <c r="A99" s="0" t="s">
        <v>581</v>
      </c>
      <c r="B99" s="0" t="s">
        <v>582</v>
      </c>
      <c r="C99" s="0" t="n">
        <v>20171</v>
      </c>
      <c r="D99" s="0" t="n">
        <f aca="false">VLOOKUP(A99,[1]Worksheet!$A$2:$I$1049,4,0)</f>
        <v>15</v>
      </c>
      <c r="E99" s="0" t="n">
        <f aca="false">VLOOKUP(A99,[1]Worksheet!$A$2:$I$1049,5,0)</f>
        <v>2.6</v>
      </c>
      <c r="F99" s="0" t="n">
        <f aca="false">VLOOKUP(A99,[1]Worksheet!$A$2:$I$1049,6,0)</f>
        <v>162</v>
      </c>
      <c r="G99" s="0" t="n">
        <f aca="false">VLOOKUP(A99,[1]Worksheet!$A$2:$I$1049,7,0)</f>
        <v>2.8</v>
      </c>
      <c r="K99" s="0" t="n">
        <v>4</v>
      </c>
      <c r="M99" s="0" t="n">
        <f aca="false">D99*E99</f>
        <v>39</v>
      </c>
      <c r="N99" s="0" t="n">
        <f aca="false">F99*G99</f>
        <v>453.6</v>
      </c>
      <c r="P99" s="0" t="n">
        <f aca="false">K99+D99</f>
        <v>19</v>
      </c>
      <c r="Q99" s="0" t="n">
        <f aca="false">M99/P99</f>
        <v>2.05263157894737</v>
      </c>
      <c r="R99" s="0" t="n">
        <f aca="false">F99+K99</f>
        <v>166</v>
      </c>
      <c r="S99" s="0" t="n">
        <f aca="false">N99/R99</f>
        <v>2.73253012048193</v>
      </c>
    </row>
    <row r="100" customFormat="false" ht="15" hidden="false" customHeight="false" outlineLevel="0" collapsed="false">
      <c r="A100" s="0" t="s">
        <v>523</v>
      </c>
      <c r="B100" s="0" t="s">
        <v>524</v>
      </c>
      <c r="C100" s="0" t="n">
        <v>20171</v>
      </c>
      <c r="D100" s="0" t="n">
        <f aca="false">VLOOKUP(A100,[1]Worksheet!$A$2:$I$1049,4,0)</f>
        <v>14</v>
      </c>
      <c r="E100" s="0" t="n">
        <f aca="false">VLOOKUP(A100,[1]Worksheet!$A$2:$I$1049,5,0)</f>
        <v>3.71</v>
      </c>
      <c r="F100" s="0" t="n">
        <f aca="false">VLOOKUP(A100,[1]Worksheet!$A$2:$I$1049,6,0)</f>
        <v>147</v>
      </c>
      <c r="G100" s="0" t="n">
        <f aca="false">VLOOKUP(A100,[1]Worksheet!$A$2:$I$1049,7,0)</f>
        <v>2.66</v>
      </c>
      <c r="K100" s="0" t="n">
        <v>4</v>
      </c>
      <c r="M100" s="0" t="n">
        <f aca="false">D100*E100</f>
        <v>51.94</v>
      </c>
      <c r="N100" s="0" t="n">
        <f aca="false">F100*G100</f>
        <v>391.02</v>
      </c>
      <c r="P100" s="0" t="n">
        <f aca="false">K100+D100</f>
        <v>18</v>
      </c>
      <c r="Q100" s="0" t="n">
        <f aca="false">M100/P100</f>
        <v>2.88555555555556</v>
      </c>
      <c r="R100" s="0" t="n">
        <f aca="false">F100+K100</f>
        <v>151</v>
      </c>
      <c r="S100" s="0" t="n">
        <f aca="false">N100/R100</f>
        <v>2.58953642384106</v>
      </c>
    </row>
    <row r="101" customFormat="false" ht="15" hidden="false" customHeight="false" outlineLevel="0" collapsed="false">
      <c r="A101" s="0" t="s">
        <v>643</v>
      </c>
      <c r="B101" s="0" t="s">
        <v>644</v>
      </c>
      <c r="C101" s="0" t="n">
        <v>20171</v>
      </c>
      <c r="D101" s="0" t="n">
        <f aca="false">VLOOKUP(A101,[1]Worksheet!$A$2:$I$1049,4,0)</f>
        <v>7</v>
      </c>
      <c r="E101" s="0" t="n">
        <f aca="false">VLOOKUP(A101,[1]Worksheet!$A$2:$I$1049,5,0)</f>
        <v>0.14</v>
      </c>
      <c r="F101" s="0" t="n">
        <f aca="false">VLOOKUP(A101,[1]Worksheet!$A$2:$I$1049,6,0)</f>
        <v>132</v>
      </c>
      <c r="G101" s="0" t="n">
        <f aca="false">VLOOKUP(A101,[1]Worksheet!$A$2:$I$1049,7,0)</f>
        <v>2.5</v>
      </c>
      <c r="K101" s="0" t="n">
        <v>2</v>
      </c>
      <c r="M101" s="0" t="n">
        <f aca="false">D101*E101</f>
        <v>0.98</v>
      </c>
      <c r="N101" s="0" t="n">
        <f aca="false">F101*G101</f>
        <v>330</v>
      </c>
      <c r="P101" s="0" t="n">
        <f aca="false">K101+D101</f>
        <v>9</v>
      </c>
      <c r="Q101" s="0" t="n">
        <f aca="false">M101/P101</f>
        <v>0.108888888888889</v>
      </c>
      <c r="R101" s="0" t="n">
        <f aca="false">F101+K101</f>
        <v>134</v>
      </c>
      <c r="S101" s="0" t="n">
        <f aca="false">N101/R101</f>
        <v>2.46268656716418</v>
      </c>
    </row>
    <row r="102" customFormat="false" ht="15" hidden="false" customHeight="false" outlineLevel="0" collapsed="false">
      <c r="A102" s="0" t="s">
        <v>729</v>
      </c>
      <c r="B102" s="0" t="s">
        <v>730</v>
      </c>
      <c r="C102" s="0" t="n">
        <v>20171</v>
      </c>
      <c r="D102" s="0" t="n">
        <f aca="false">VLOOKUP(A102,[1]Worksheet!$A$2:$I$1049,4,0)</f>
        <v>16</v>
      </c>
      <c r="E102" s="0" t="n">
        <f aca="false">VLOOKUP(A102,[1]Worksheet!$A$2:$I$1049,5,0)</f>
        <v>2.34</v>
      </c>
      <c r="F102" s="0" t="n">
        <f aca="false">VLOOKUP(A102,[1]Worksheet!$A$2:$I$1049,6,0)</f>
        <v>147</v>
      </c>
      <c r="G102" s="0" t="n">
        <f aca="false">VLOOKUP(A102,[1]Worksheet!$A$2:$I$1049,7,0)</f>
        <v>2.48</v>
      </c>
      <c r="K102" s="0" t="n">
        <v>4</v>
      </c>
      <c r="M102" s="0" t="n">
        <f aca="false">D102*E102</f>
        <v>37.44</v>
      </c>
      <c r="N102" s="0" t="n">
        <f aca="false">F102*G102</f>
        <v>364.56</v>
      </c>
      <c r="P102" s="0" t="n">
        <f aca="false">K102+D102</f>
        <v>20</v>
      </c>
      <c r="Q102" s="0" t="n">
        <f aca="false">M102/P102</f>
        <v>1.872</v>
      </c>
      <c r="R102" s="0" t="n">
        <f aca="false">F102+K102</f>
        <v>151</v>
      </c>
      <c r="S102" s="0" t="n">
        <f aca="false">N102/R102</f>
        <v>2.41430463576159</v>
      </c>
    </row>
    <row r="103" customFormat="false" ht="15" hidden="false" customHeight="false" outlineLevel="0" collapsed="false">
      <c r="A103" s="0" t="s">
        <v>1087</v>
      </c>
      <c r="B103" s="0" t="s">
        <v>1088</v>
      </c>
      <c r="C103" s="0" t="n">
        <v>20171</v>
      </c>
      <c r="D103" s="0" t="n">
        <f aca="false">VLOOKUP(A103,[1]Worksheet!$A$2:$I$1049,4,0)</f>
        <v>4</v>
      </c>
      <c r="E103" s="0" t="n">
        <f aca="false">VLOOKUP(A103,[1]Worksheet!$A$2:$I$1049,5,0)</f>
        <v>4</v>
      </c>
      <c r="F103" s="0" t="n">
        <f aca="false">VLOOKUP(A103,[1]Worksheet!$A$2:$I$1049,6,0)</f>
        <v>154</v>
      </c>
      <c r="G103" s="0" t="n">
        <f aca="false">VLOOKUP(A103,[1]Worksheet!$A$2:$I$1049,7,0)</f>
        <v>3.24</v>
      </c>
      <c r="K103" s="0" t="n">
        <v>0</v>
      </c>
      <c r="M103" s="0" t="n">
        <f aca="false">D103*E103</f>
        <v>16</v>
      </c>
      <c r="N103" s="0" t="n">
        <f aca="false">F103*G103</f>
        <v>498.96</v>
      </c>
      <c r="P103" s="0" t="n">
        <f aca="false">K103+D103</f>
        <v>4</v>
      </c>
      <c r="Q103" s="0" t="n">
        <f aca="false">M103/P103</f>
        <v>4</v>
      </c>
      <c r="R103" s="0" t="n">
        <f aca="false">F103+K103</f>
        <v>154</v>
      </c>
      <c r="S103" s="0" t="n">
        <f aca="false">N103/R103</f>
        <v>3.24</v>
      </c>
    </row>
    <row r="104" customFormat="false" ht="15" hidden="false" customHeight="false" outlineLevel="0" collapsed="false">
      <c r="A104" s="0" t="s">
        <v>607</v>
      </c>
      <c r="B104" s="0" t="s">
        <v>608</v>
      </c>
      <c r="C104" s="0" t="n">
        <v>20171</v>
      </c>
      <c r="D104" s="0" t="n">
        <f aca="false">VLOOKUP(A104,[1]Worksheet!$A$2:$I$1049,4,0)</f>
        <v>3</v>
      </c>
      <c r="E104" s="0" t="n">
        <f aca="false">VLOOKUP(A104,[1]Worksheet!$A$2:$I$1049,5,0)</f>
        <v>3.5</v>
      </c>
      <c r="F104" s="0" t="n">
        <f aca="false">VLOOKUP(A104,[1]Worksheet!$A$2:$I$1049,6,0)</f>
        <v>160</v>
      </c>
      <c r="G104" s="0" t="n">
        <f aca="false">VLOOKUP(A104,[1]Worksheet!$A$2:$I$1049,7,0)</f>
        <v>3.07</v>
      </c>
      <c r="K104" s="0" t="n">
        <v>4</v>
      </c>
      <c r="M104" s="0" t="n">
        <f aca="false">D104*E104</f>
        <v>10.5</v>
      </c>
      <c r="N104" s="0" t="n">
        <f aca="false">F104*G104</f>
        <v>491.2</v>
      </c>
      <c r="P104" s="0" t="n">
        <f aca="false">K104+D104</f>
        <v>7</v>
      </c>
      <c r="Q104" s="0" t="n">
        <f aca="false">M104/P104</f>
        <v>1.5</v>
      </c>
      <c r="R104" s="0" t="n">
        <f aca="false">F104+K104</f>
        <v>164</v>
      </c>
      <c r="S104" s="0" t="n">
        <f aca="false">N104/R104</f>
        <v>2.99512195121951</v>
      </c>
    </row>
    <row r="105" customFormat="false" ht="15" hidden="false" customHeight="false" outlineLevel="0" collapsed="false">
      <c r="A105" s="0" t="s">
        <v>1089</v>
      </c>
      <c r="B105" s="0" t="s">
        <v>1090</v>
      </c>
      <c r="C105" s="0" t="n">
        <v>20171</v>
      </c>
      <c r="D105" s="0" t="n">
        <f aca="false">VLOOKUP(A105,[1]Worksheet!$A$2:$I$1049,4,0)</f>
        <v>0</v>
      </c>
      <c r="E105" s="0" t="n">
        <f aca="false">VLOOKUP(A105,[1]Worksheet!$A$2:$I$1049,5,0)</f>
        <v>0</v>
      </c>
      <c r="F105" s="0" t="n">
        <f aca="false">VLOOKUP(A105,[1]Worksheet!$A$2:$I$1049,6,0)</f>
        <v>149</v>
      </c>
      <c r="G105" s="0" t="n">
        <f aca="false">VLOOKUP(A105,[1]Worksheet!$A$2:$I$1049,7,0)</f>
        <v>2.65</v>
      </c>
      <c r="K105" s="0" t="n">
        <v>4</v>
      </c>
      <c r="M105" s="0" t="n">
        <f aca="false">D105*E105</f>
        <v>0</v>
      </c>
      <c r="N105" s="0" t="n">
        <f aca="false">F105*G105</f>
        <v>394.85</v>
      </c>
      <c r="P105" s="0" t="n">
        <f aca="false">K105+D105</f>
        <v>4</v>
      </c>
      <c r="Q105" s="0" t="n">
        <f aca="false">M105/P105</f>
        <v>0</v>
      </c>
      <c r="R105" s="0" t="n">
        <f aca="false">F105+K105</f>
        <v>153</v>
      </c>
      <c r="S105" s="0" t="n">
        <f aca="false">N105/R105</f>
        <v>2.58071895424837</v>
      </c>
    </row>
    <row r="106" customFormat="false" ht="15" hidden="false" customHeight="false" outlineLevel="0" collapsed="false">
      <c r="A106" s="0" t="s">
        <v>1091</v>
      </c>
      <c r="B106" s="0" t="s">
        <v>1092</v>
      </c>
      <c r="C106" s="0" t="n">
        <v>20171</v>
      </c>
      <c r="D106" s="0" t="n">
        <f aca="false">VLOOKUP(A106,[1]Worksheet!$A$2:$I$1049,4,0)</f>
        <v>4</v>
      </c>
      <c r="E106" s="0" t="n">
        <f aca="false">VLOOKUP(A106,[1]Worksheet!$A$2:$I$1049,5,0)</f>
        <v>4</v>
      </c>
      <c r="F106" s="0" t="n">
        <f aca="false">VLOOKUP(A106,[1]Worksheet!$A$2:$I$1049,6,0)</f>
        <v>155</v>
      </c>
      <c r="G106" s="0" t="n">
        <f aca="false">VLOOKUP(A106,[1]Worksheet!$A$2:$I$1049,7,0)</f>
        <v>3.03</v>
      </c>
      <c r="K106" s="0" t="n">
        <v>0</v>
      </c>
      <c r="M106" s="0" t="n">
        <f aca="false">D106*E106</f>
        <v>16</v>
      </c>
      <c r="N106" s="0" t="n">
        <f aca="false">F106*G106</f>
        <v>469.65</v>
      </c>
      <c r="P106" s="0" t="n">
        <f aca="false">K106+D106</f>
        <v>4</v>
      </c>
      <c r="Q106" s="0" t="n">
        <f aca="false">M106/P106</f>
        <v>4</v>
      </c>
      <c r="R106" s="0" t="n">
        <f aca="false">F106+K106</f>
        <v>155</v>
      </c>
      <c r="S106" s="0" t="n">
        <f aca="false">N106/R106</f>
        <v>3.03</v>
      </c>
    </row>
    <row r="107" customFormat="false" ht="15" hidden="false" customHeight="false" outlineLevel="0" collapsed="false">
      <c r="A107" s="0" t="s">
        <v>1093</v>
      </c>
      <c r="B107" s="0" t="s">
        <v>1094</v>
      </c>
      <c r="C107" s="0" t="n">
        <v>20171</v>
      </c>
      <c r="D107" s="0" t="n">
        <f aca="false">VLOOKUP(A107,[1]Worksheet!$A$2:$I$1049,4,0)</f>
        <v>0</v>
      </c>
      <c r="E107" s="0" t="n">
        <f aca="false">VLOOKUP(A107,[1]Worksheet!$A$2:$I$1049,5,0)</f>
        <v>0</v>
      </c>
      <c r="F107" s="0" t="n">
        <f aca="false">VLOOKUP(A107,[1]Worksheet!$A$2:$I$1049,6,0)</f>
        <v>150</v>
      </c>
      <c r="G107" s="0" t="n">
        <f aca="false">VLOOKUP(A107,[1]Worksheet!$A$2:$I$1049,7,0)</f>
        <v>3.61</v>
      </c>
      <c r="K107" s="0" t="n">
        <v>4</v>
      </c>
      <c r="M107" s="0" t="n">
        <f aca="false">D107*E107</f>
        <v>0</v>
      </c>
      <c r="N107" s="0" t="n">
        <f aca="false">F107*G107</f>
        <v>541.5</v>
      </c>
      <c r="P107" s="0" t="n">
        <f aca="false">K107+D107</f>
        <v>4</v>
      </c>
      <c r="Q107" s="0" t="n">
        <f aca="false">M107/P107</f>
        <v>0</v>
      </c>
      <c r="R107" s="0" t="n">
        <f aca="false">F107+K107</f>
        <v>154</v>
      </c>
      <c r="S107" s="0" t="n">
        <f aca="false">N107/R107</f>
        <v>3.51623376623377</v>
      </c>
    </row>
    <row r="108" customFormat="false" ht="15" hidden="false" customHeight="false" outlineLevel="0" collapsed="false">
      <c r="A108" s="0" t="s">
        <v>1095</v>
      </c>
      <c r="B108" s="0" t="s">
        <v>1096</v>
      </c>
      <c r="C108" s="0" t="n">
        <v>20171</v>
      </c>
      <c r="D108" s="0" t="n">
        <f aca="false">VLOOKUP(A108,[1]Worksheet!$A$2:$I$1049,4,0)</f>
        <v>0</v>
      </c>
      <c r="E108" s="0" t="n">
        <f aca="false">VLOOKUP(A108,[1]Worksheet!$A$2:$I$1049,5,0)</f>
        <v>0</v>
      </c>
      <c r="F108" s="0" t="n">
        <f aca="false">VLOOKUP(A108,[1]Worksheet!$A$2:$I$1049,6,0)</f>
        <v>155</v>
      </c>
      <c r="G108" s="0" t="n">
        <f aca="false">VLOOKUP(A108,[1]Worksheet!$A$2:$I$1049,7,0)</f>
        <v>2.9</v>
      </c>
      <c r="K108" s="0" t="n">
        <v>4</v>
      </c>
      <c r="M108" s="0" t="n">
        <f aca="false">D108*E108</f>
        <v>0</v>
      </c>
      <c r="N108" s="0" t="n">
        <f aca="false">F108*G108</f>
        <v>449.5</v>
      </c>
      <c r="P108" s="0" t="n">
        <f aca="false">K108+D108</f>
        <v>4</v>
      </c>
      <c r="Q108" s="0" t="n">
        <f aca="false">M108/P108</f>
        <v>0</v>
      </c>
      <c r="R108" s="0" t="n">
        <f aca="false">F108+K108</f>
        <v>159</v>
      </c>
      <c r="S108" s="0" t="n">
        <f aca="false">N108/R108</f>
        <v>2.82704402515723</v>
      </c>
    </row>
    <row r="109" customFormat="false" ht="15" hidden="false" customHeight="false" outlineLevel="0" collapsed="false">
      <c r="A109" s="0" t="s">
        <v>1097</v>
      </c>
      <c r="B109" s="0" t="s">
        <v>1098</v>
      </c>
      <c r="C109" s="0" t="n">
        <v>20171</v>
      </c>
      <c r="D109" s="0" t="n">
        <f aca="false">VLOOKUP(A109,[1]Worksheet!$A$2:$I$1049,4,0)</f>
        <v>0</v>
      </c>
      <c r="E109" s="0" t="n">
        <f aca="false">VLOOKUP(A109,[1]Worksheet!$A$2:$I$1049,5,0)</f>
        <v>0</v>
      </c>
      <c r="F109" s="0" t="n">
        <f aca="false">VLOOKUP(A109,[1]Worksheet!$A$2:$I$1049,6,0)</f>
        <v>152</v>
      </c>
      <c r="G109" s="0" t="n">
        <f aca="false">VLOOKUP(A109,[1]Worksheet!$A$2:$I$1049,7,0)</f>
        <v>3.02</v>
      </c>
      <c r="K109" s="0" t="n">
        <v>4</v>
      </c>
      <c r="M109" s="0" t="n">
        <f aca="false">D109*E109</f>
        <v>0</v>
      </c>
      <c r="N109" s="0" t="n">
        <f aca="false">F109*G109</f>
        <v>459.04</v>
      </c>
      <c r="P109" s="0" t="n">
        <f aca="false">K109+D109</f>
        <v>4</v>
      </c>
      <c r="Q109" s="0" t="n">
        <f aca="false">M109/P109</f>
        <v>0</v>
      </c>
      <c r="R109" s="0" t="n">
        <f aca="false">F109+K109</f>
        <v>156</v>
      </c>
      <c r="S109" s="0" t="n">
        <f aca="false">N109/R109</f>
        <v>2.9425641025641</v>
      </c>
    </row>
    <row r="110" customFormat="false" ht="15" hidden="false" customHeight="false" outlineLevel="0" collapsed="false">
      <c r="A110" s="0" t="s">
        <v>1099</v>
      </c>
      <c r="B110" s="0" t="s">
        <v>1100</v>
      </c>
      <c r="C110" s="0" t="n">
        <v>20171</v>
      </c>
      <c r="D110" s="0" t="n">
        <f aca="false">VLOOKUP(A110,[1]Worksheet!$A$2:$I$1049,4,0)</f>
        <v>4</v>
      </c>
      <c r="E110" s="0" t="n">
        <f aca="false">VLOOKUP(A110,[1]Worksheet!$A$2:$I$1049,5,0)</f>
        <v>4</v>
      </c>
      <c r="F110" s="0" t="n">
        <f aca="false">VLOOKUP(A110,[1]Worksheet!$A$2:$I$1049,6,0)</f>
        <v>146</v>
      </c>
      <c r="G110" s="0" t="n">
        <f aca="false">VLOOKUP(A110,[1]Worksheet!$A$2:$I$1049,7,0)</f>
        <v>3.31</v>
      </c>
      <c r="K110" s="0" t="n">
        <v>0</v>
      </c>
      <c r="M110" s="0" t="n">
        <f aca="false">D110*E110</f>
        <v>16</v>
      </c>
      <c r="N110" s="0" t="n">
        <f aca="false">F110*G110</f>
        <v>483.26</v>
      </c>
      <c r="P110" s="0" t="n">
        <f aca="false">K110+D110</f>
        <v>4</v>
      </c>
      <c r="Q110" s="0" t="n">
        <f aca="false">M110/P110</f>
        <v>4</v>
      </c>
      <c r="R110" s="0" t="n">
        <f aca="false">F110+K110</f>
        <v>146</v>
      </c>
      <c r="S110" s="0" t="n">
        <f aca="false">N110/R110</f>
        <v>3.31</v>
      </c>
    </row>
    <row r="111" customFormat="false" ht="15" hidden="false" customHeight="false" outlineLevel="0" collapsed="false">
      <c r="A111" s="0" t="s">
        <v>1101</v>
      </c>
      <c r="B111" s="0" t="s">
        <v>1102</v>
      </c>
      <c r="C111" s="0" t="n">
        <v>20171</v>
      </c>
      <c r="D111" s="0" t="n">
        <f aca="false">VLOOKUP(A111,[1]Worksheet!$A$2:$I$1049,4,0)</f>
        <v>0</v>
      </c>
      <c r="E111" s="0" t="n">
        <f aca="false">VLOOKUP(A111,[1]Worksheet!$A$2:$I$1049,5,0)</f>
        <v>0</v>
      </c>
      <c r="F111" s="0" t="n">
        <f aca="false">VLOOKUP(A111,[1]Worksheet!$A$2:$I$1049,6,0)</f>
        <v>151</v>
      </c>
      <c r="G111" s="0" t="n">
        <f aca="false">VLOOKUP(A111,[1]Worksheet!$A$2:$I$1049,7,0)</f>
        <v>3.14</v>
      </c>
      <c r="K111" s="0" t="n">
        <v>4</v>
      </c>
      <c r="M111" s="0" t="n">
        <f aca="false">D111*E111</f>
        <v>0</v>
      </c>
      <c r="N111" s="0" t="n">
        <f aca="false">F111*G111</f>
        <v>474.14</v>
      </c>
      <c r="P111" s="0" t="n">
        <f aca="false">K111+D111</f>
        <v>4</v>
      </c>
      <c r="Q111" s="0" t="n">
        <f aca="false">M111/P111</f>
        <v>0</v>
      </c>
      <c r="R111" s="0" t="n">
        <f aca="false">F111+K111</f>
        <v>155</v>
      </c>
      <c r="S111" s="0" t="n">
        <f aca="false">N111/R111</f>
        <v>3.05896774193548</v>
      </c>
    </row>
    <row r="112" customFormat="false" ht="15" hidden="false" customHeight="false" outlineLevel="0" collapsed="false">
      <c r="A112" s="0" t="s">
        <v>649</v>
      </c>
      <c r="B112" s="0" t="s">
        <v>650</v>
      </c>
      <c r="C112" s="0" t="n">
        <v>20171</v>
      </c>
      <c r="D112" s="0" t="n">
        <f aca="false">VLOOKUP(A112,[1]Worksheet!$A$2:$I$1049,4,0)</f>
        <v>15</v>
      </c>
      <c r="E112" s="0" t="n">
        <f aca="false">VLOOKUP(A112,[1]Worksheet!$A$2:$I$1049,5,0)</f>
        <v>2.07</v>
      </c>
      <c r="F112" s="0" t="n">
        <f aca="false">VLOOKUP(A112,[1]Worksheet!$A$2:$I$1049,6,0)</f>
        <v>136</v>
      </c>
      <c r="G112" s="0" t="n">
        <f aca="false">VLOOKUP(A112,[1]Worksheet!$A$2:$I$1049,7,0)</f>
        <v>2.04</v>
      </c>
      <c r="K112" s="0" t="n">
        <v>4</v>
      </c>
      <c r="M112" s="0" t="n">
        <f aca="false">D112*E112</f>
        <v>31.05</v>
      </c>
      <c r="N112" s="0" t="n">
        <f aca="false">F112*G112</f>
        <v>277.44</v>
      </c>
      <c r="P112" s="0" t="n">
        <f aca="false">K112+D112</f>
        <v>19</v>
      </c>
      <c r="Q112" s="0" t="n">
        <f aca="false">M112/P112</f>
        <v>1.63421052631579</v>
      </c>
      <c r="R112" s="0" t="n">
        <f aca="false">F112+K112</f>
        <v>140</v>
      </c>
      <c r="S112" s="0" t="n">
        <f aca="false">N112/R112</f>
        <v>1.98171428571429</v>
      </c>
    </row>
    <row r="113" customFormat="false" ht="15" hidden="false" customHeight="false" outlineLevel="0" collapsed="false">
      <c r="A113" s="0" t="s">
        <v>790</v>
      </c>
      <c r="B113" s="0" t="s">
        <v>791</v>
      </c>
      <c r="C113" s="0" t="n">
        <v>20171</v>
      </c>
      <c r="D113" s="0" t="n">
        <f aca="false">VLOOKUP(A113,[1]Worksheet!$A$2:$I$1049,4,0)</f>
        <v>16</v>
      </c>
      <c r="E113" s="0" t="n">
        <f aca="false">VLOOKUP(A113,[1]Worksheet!$A$2:$I$1049,5,0)</f>
        <v>3.22</v>
      </c>
      <c r="F113" s="0" t="n">
        <f aca="false">VLOOKUP(A113,[1]Worksheet!$A$2:$I$1049,6,0)</f>
        <v>145</v>
      </c>
      <c r="G113" s="0" t="n">
        <f aca="false">VLOOKUP(A113,[1]Worksheet!$A$2:$I$1049,7,0)</f>
        <v>2.51</v>
      </c>
      <c r="K113" s="0" t="n">
        <v>6</v>
      </c>
      <c r="M113" s="0" t="n">
        <f aca="false">D113*E113</f>
        <v>51.52</v>
      </c>
      <c r="N113" s="0" t="n">
        <f aca="false">F113*G113</f>
        <v>363.95</v>
      </c>
      <c r="P113" s="0" t="n">
        <f aca="false">K113+D113</f>
        <v>22</v>
      </c>
      <c r="Q113" s="0" t="n">
        <f aca="false">M113/P113</f>
        <v>2.34181818181818</v>
      </c>
      <c r="R113" s="0" t="n">
        <f aca="false">F113+K113</f>
        <v>151</v>
      </c>
      <c r="S113" s="0" t="n">
        <f aca="false">N113/R113</f>
        <v>2.41026490066225</v>
      </c>
    </row>
    <row r="114" customFormat="false" ht="15" hidden="false" customHeight="false" outlineLevel="0" collapsed="false">
      <c r="A114" s="0" t="s">
        <v>669</v>
      </c>
      <c r="B114" s="0" t="s">
        <v>670</v>
      </c>
      <c r="C114" s="0" t="n">
        <v>20171</v>
      </c>
      <c r="D114" s="0" t="n">
        <f aca="false">VLOOKUP(A114,[1]Worksheet!$A$2:$I$1049,4,0)</f>
        <v>16</v>
      </c>
      <c r="E114" s="0" t="n">
        <f aca="false">VLOOKUP(A114,[1]Worksheet!$A$2:$I$1049,5,0)</f>
        <v>2.75</v>
      </c>
      <c r="F114" s="0" t="n">
        <f aca="false">VLOOKUP(A114,[1]Worksheet!$A$2:$I$1049,6,0)</f>
        <v>144</v>
      </c>
      <c r="G114" s="0" t="n">
        <f aca="false">VLOOKUP(A114,[1]Worksheet!$A$2:$I$1049,7,0)</f>
        <v>2.12</v>
      </c>
      <c r="K114" s="0" t="n">
        <v>4</v>
      </c>
      <c r="M114" s="0" t="n">
        <f aca="false">D114*E114</f>
        <v>44</v>
      </c>
      <c r="N114" s="0" t="n">
        <f aca="false">F114*G114</f>
        <v>305.28</v>
      </c>
      <c r="P114" s="0" t="n">
        <f aca="false">K114+D114</f>
        <v>20</v>
      </c>
      <c r="Q114" s="0" t="n">
        <f aca="false">M114/P114</f>
        <v>2.2</v>
      </c>
      <c r="R114" s="0" t="n">
        <f aca="false">F114+K114</f>
        <v>148</v>
      </c>
      <c r="S114" s="0" t="n">
        <f aca="false">N114/R114</f>
        <v>2.0627027027027</v>
      </c>
    </row>
    <row r="115" customFormat="false" ht="15" hidden="false" customHeight="false" outlineLevel="0" collapsed="false">
      <c r="A115" s="0" t="s">
        <v>1103</v>
      </c>
      <c r="B115" s="0" t="s">
        <v>1104</v>
      </c>
      <c r="C115" s="0" t="n">
        <v>20171</v>
      </c>
      <c r="D115" s="0" t="n">
        <f aca="false">VLOOKUP(A115,[1]Worksheet!$A$2:$I$1049,4,0)</f>
        <v>0</v>
      </c>
      <c r="E115" s="0" t="n">
        <f aca="false">VLOOKUP(A115,[1]Worksheet!$A$2:$I$1049,5,0)</f>
        <v>0</v>
      </c>
      <c r="F115" s="0" t="n">
        <f aca="false">VLOOKUP(A115,[1]Worksheet!$A$2:$I$1049,6,0)</f>
        <v>148</v>
      </c>
      <c r="G115" s="0" t="n">
        <f aca="false">VLOOKUP(A115,[1]Worksheet!$A$2:$I$1049,7,0)</f>
        <v>3.3</v>
      </c>
      <c r="K115" s="0" t="n">
        <v>4</v>
      </c>
      <c r="M115" s="0" t="n">
        <f aca="false">D115*E115</f>
        <v>0</v>
      </c>
      <c r="N115" s="0" t="n">
        <f aca="false">F115*G115</f>
        <v>488.4</v>
      </c>
      <c r="P115" s="0" t="n">
        <f aca="false">K115+D115</f>
        <v>4</v>
      </c>
      <c r="Q115" s="0" t="n">
        <f aca="false">M115/P115</f>
        <v>0</v>
      </c>
      <c r="R115" s="0" t="n">
        <f aca="false">F115+K115</f>
        <v>152</v>
      </c>
      <c r="S115" s="0" t="n">
        <f aca="false">N115/R115</f>
        <v>3.21315789473684</v>
      </c>
    </row>
    <row r="116" customFormat="false" ht="15" hidden="false" customHeight="false" outlineLevel="0" collapsed="false">
      <c r="A116" s="0" t="s">
        <v>1105</v>
      </c>
      <c r="B116" s="0" t="s">
        <v>1106</v>
      </c>
      <c r="C116" s="0" t="n">
        <v>20171</v>
      </c>
      <c r="D116" s="0" t="n">
        <f aca="false">VLOOKUP(A116,[1]Worksheet!$A$2:$I$1049,4,0)</f>
        <v>0</v>
      </c>
      <c r="E116" s="0" t="n">
        <f aca="false">VLOOKUP(A116,[1]Worksheet!$A$2:$I$1049,5,0)</f>
        <v>0</v>
      </c>
      <c r="F116" s="0" t="n">
        <f aca="false">VLOOKUP(A116,[1]Worksheet!$A$2:$I$1049,6,0)</f>
        <v>157</v>
      </c>
      <c r="G116" s="0" t="n">
        <f aca="false">VLOOKUP(A116,[1]Worksheet!$A$2:$I$1049,7,0)</f>
        <v>3.17</v>
      </c>
      <c r="K116" s="0" t="n">
        <v>4</v>
      </c>
      <c r="M116" s="0" t="n">
        <f aca="false">D116*E116</f>
        <v>0</v>
      </c>
      <c r="N116" s="0" t="n">
        <f aca="false">F116*G116</f>
        <v>497.69</v>
      </c>
      <c r="P116" s="0" t="n">
        <f aca="false">K116+D116</f>
        <v>4</v>
      </c>
      <c r="Q116" s="0" t="n">
        <f aca="false">M116/P116</f>
        <v>0</v>
      </c>
      <c r="R116" s="0" t="n">
        <f aca="false">F116+K116</f>
        <v>161</v>
      </c>
      <c r="S116" s="0" t="n">
        <f aca="false">N116/R116</f>
        <v>3.09124223602484</v>
      </c>
    </row>
    <row r="117" customFormat="false" ht="15" hidden="false" customHeight="false" outlineLevel="0" collapsed="false">
      <c r="A117" s="0" t="s">
        <v>569</v>
      </c>
      <c r="B117" s="0" t="s">
        <v>570</v>
      </c>
      <c r="C117" s="0" t="n">
        <v>20171</v>
      </c>
      <c r="D117" s="0" t="n">
        <f aca="false">VLOOKUP(A117,[1]Worksheet!$A$2:$I$1049,4,0)</f>
        <v>14</v>
      </c>
      <c r="E117" s="0" t="n">
        <f aca="false">VLOOKUP(A117,[1]Worksheet!$A$2:$I$1049,5,0)</f>
        <v>1.5</v>
      </c>
      <c r="F117" s="0" t="n">
        <f aca="false">VLOOKUP(A117,[1]Worksheet!$A$2:$I$1049,6,0)</f>
        <v>155</v>
      </c>
      <c r="G117" s="0" t="n">
        <f aca="false">VLOOKUP(A117,[1]Worksheet!$A$2:$I$1049,7,0)</f>
        <v>2.73</v>
      </c>
      <c r="K117" s="0" t="n">
        <v>4</v>
      </c>
      <c r="M117" s="0" t="n">
        <f aca="false">D117*E117</f>
        <v>21</v>
      </c>
      <c r="N117" s="0" t="n">
        <f aca="false">F117*G117</f>
        <v>423.15</v>
      </c>
      <c r="P117" s="0" t="n">
        <f aca="false">K117+D117</f>
        <v>18</v>
      </c>
      <c r="Q117" s="0" t="n">
        <f aca="false">M117/P117</f>
        <v>1.16666666666667</v>
      </c>
      <c r="R117" s="0" t="n">
        <f aca="false">F117+K117</f>
        <v>159</v>
      </c>
      <c r="S117" s="0" t="n">
        <f aca="false">N117/R117</f>
        <v>2.66132075471698</v>
      </c>
    </row>
    <row r="118" customFormat="false" ht="15" hidden="false" customHeight="false" outlineLevel="0" collapsed="false">
      <c r="A118" s="0" t="s">
        <v>1107</v>
      </c>
      <c r="B118" s="0" t="s">
        <v>1108</v>
      </c>
      <c r="C118" s="0" t="n">
        <v>20171</v>
      </c>
      <c r="D118" s="0" t="n">
        <f aca="false">VLOOKUP(A118,[1]Worksheet!$A$2:$I$1049,4,0)</f>
        <v>4</v>
      </c>
      <c r="E118" s="0" t="n">
        <f aca="false">VLOOKUP(A118,[1]Worksheet!$A$2:$I$1049,5,0)</f>
        <v>4</v>
      </c>
      <c r="F118" s="0" t="n">
        <f aca="false">VLOOKUP(A118,[1]Worksheet!$A$2:$I$1049,6,0)</f>
        <v>151</v>
      </c>
      <c r="G118" s="0" t="n">
        <f aca="false">VLOOKUP(A118,[1]Worksheet!$A$2:$I$1049,7,0)</f>
        <v>3.48</v>
      </c>
      <c r="K118" s="0" t="n">
        <v>0</v>
      </c>
      <c r="M118" s="0" t="n">
        <f aca="false">D118*E118</f>
        <v>16</v>
      </c>
      <c r="N118" s="0" t="n">
        <f aca="false">F118*G118</f>
        <v>525.48</v>
      </c>
      <c r="P118" s="0" t="n">
        <f aca="false">K118+D118</f>
        <v>4</v>
      </c>
      <c r="Q118" s="0" t="n">
        <f aca="false">M118/P118</f>
        <v>4</v>
      </c>
      <c r="R118" s="0" t="n">
        <f aca="false">F118+K118</f>
        <v>151</v>
      </c>
      <c r="S118" s="0" t="n">
        <f aca="false">N118/R118</f>
        <v>3.48</v>
      </c>
    </row>
    <row r="119" customFormat="false" ht="15" hidden="false" customHeight="false" outlineLevel="0" collapsed="false">
      <c r="A119" s="0" t="s">
        <v>583</v>
      </c>
      <c r="B119" s="0" t="s">
        <v>584</v>
      </c>
      <c r="C119" s="0" t="n">
        <v>20171</v>
      </c>
      <c r="D119" s="0" t="n">
        <f aca="false">VLOOKUP(A119,[1]Worksheet!$A$2:$I$1049,4,0)</f>
        <v>20</v>
      </c>
      <c r="E119" s="0" t="n">
        <f aca="false">VLOOKUP(A119,[1]Worksheet!$A$2:$I$1049,5,0)</f>
        <v>2.2</v>
      </c>
      <c r="F119" s="0" t="n">
        <f aca="false">VLOOKUP(A119,[1]Worksheet!$A$2:$I$1049,6,0)</f>
        <v>158</v>
      </c>
      <c r="G119" s="0" t="n">
        <f aca="false">VLOOKUP(A119,[1]Worksheet!$A$2:$I$1049,7,0)</f>
        <v>2.3</v>
      </c>
      <c r="K119" s="0" t="n">
        <v>0</v>
      </c>
      <c r="M119" s="0" t="n">
        <f aca="false">D119*E119</f>
        <v>44</v>
      </c>
      <c r="N119" s="0" t="n">
        <f aca="false">F119*G119</f>
        <v>363.4</v>
      </c>
      <c r="P119" s="0" t="n">
        <f aca="false">K119+D119</f>
        <v>20</v>
      </c>
      <c r="Q119" s="0" t="n">
        <f aca="false">M119/P119</f>
        <v>2.2</v>
      </c>
      <c r="R119" s="0" t="n">
        <f aca="false">F119+K119</f>
        <v>158</v>
      </c>
      <c r="S119" s="0" t="n">
        <f aca="false">N119/R119</f>
        <v>2.3</v>
      </c>
    </row>
    <row r="120" customFormat="false" ht="15" hidden="false" customHeight="false" outlineLevel="0" collapsed="false">
      <c r="A120" s="0" t="s">
        <v>792</v>
      </c>
      <c r="B120" s="0" t="s">
        <v>793</v>
      </c>
      <c r="C120" s="0" t="n">
        <v>20171</v>
      </c>
      <c r="D120" s="0" t="n">
        <f aca="false">VLOOKUP(A120,[1]Worksheet!$A$2:$I$1049,4,0)</f>
        <v>4</v>
      </c>
      <c r="E120" s="0" t="n">
        <f aca="false">VLOOKUP(A120,[1]Worksheet!$A$2:$I$1049,5,0)</f>
        <v>4</v>
      </c>
      <c r="F120" s="0" t="n">
        <f aca="false">VLOOKUP(A120,[1]Worksheet!$A$2:$I$1049,6,0)</f>
        <v>151</v>
      </c>
      <c r="G120" s="0" t="n">
        <f aca="false">VLOOKUP(A120,[1]Worksheet!$A$2:$I$1049,7,0)</f>
        <v>2.82</v>
      </c>
      <c r="K120" s="0" t="n">
        <v>4</v>
      </c>
      <c r="M120" s="0" t="n">
        <f aca="false">D120*E120</f>
        <v>16</v>
      </c>
      <c r="N120" s="0" t="n">
        <f aca="false">F120*G120</f>
        <v>425.82</v>
      </c>
      <c r="P120" s="0" t="n">
        <f aca="false">K120+D120</f>
        <v>8</v>
      </c>
      <c r="Q120" s="0" t="n">
        <f aca="false">M120/P120</f>
        <v>2</v>
      </c>
      <c r="R120" s="0" t="n">
        <f aca="false">F120+K120</f>
        <v>155</v>
      </c>
      <c r="S120" s="0" t="n">
        <f aca="false">N120/R120</f>
        <v>2.74722580645161</v>
      </c>
    </row>
    <row r="121" customFormat="false" ht="15" hidden="false" customHeight="false" outlineLevel="0" collapsed="false">
      <c r="A121" s="0" t="s">
        <v>1109</v>
      </c>
      <c r="B121" s="0" t="s">
        <v>1110</v>
      </c>
      <c r="C121" s="0" t="n">
        <v>20171</v>
      </c>
      <c r="D121" s="0" t="n">
        <f aca="false">VLOOKUP(A121,[1]Worksheet!$A$2:$I$1049,4,0)</f>
        <v>0</v>
      </c>
      <c r="E121" s="0" t="n">
        <f aca="false">VLOOKUP(A121,[1]Worksheet!$A$2:$I$1049,5,0)</f>
        <v>0</v>
      </c>
      <c r="F121" s="0" t="n">
        <f aca="false">VLOOKUP(A121,[1]Worksheet!$A$2:$I$1049,6,0)</f>
        <v>151</v>
      </c>
      <c r="G121" s="0" t="n">
        <f aca="false">VLOOKUP(A121,[1]Worksheet!$A$2:$I$1049,7,0)</f>
        <v>3.45</v>
      </c>
      <c r="K121" s="0" t="n">
        <v>4</v>
      </c>
      <c r="M121" s="0" t="n">
        <f aca="false">D121*E121</f>
        <v>0</v>
      </c>
      <c r="N121" s="0" t="n">
        <f aca="false">F121*G121</f>
        <v>520.95</v>
      </c>
      <c r="P121" s="0" t="n">
        <f aca="false">K121+D121</f>
        <v>4</v>
      </c>
      <c r="Q121" s="0" t="n">
        <f aca="false">M121/P121</f>
        <v>0</v>
      </c>
      <c r="R121" s="0" t="n">
        <f aca="false">F121+K121</f>
        <v>155</v>
      </c>
      <c r="S121" s="0" t="n">
        <f aca="false">N121/R121</f>
        <v>3.36096774193548</v>
      </c>
    </row>
    <row r="122" customFormat="false" ht="15" hidden="false" customHeight="false" outlineLevel="0" collapsed="false">
      <c r="A122" s="0" t="s">
        <v>611</v>
      </c>
      <c r="B122" s="0" t="s">
        <v>612</v>
      </c>
      <c r="C122" s="0" t="n">
        <v>20171</v>
      </c>
      <c r="D122" s="0" t="n">
        <f aca="false">VLOOKUP(A122,[1]Worksheet!$A$2:$I$1049,4,0)</f>
        <v>20</v>
      </c>
      <c r="E122" s="0" t="n">
        <f aca="false">VLOOKUP(A122,[1]Worksheet!$A$2:$I$1049,5,0)</f>
        <v>2.73</v>
      </c>
      <c r="F122" s="0" t="n">
        <f aca="false">VLOOKUP(A122,[1]Worksheet!$A$2:$I$1049,6,0)</f>
        <v>150</v>
      </c>
      <c r="G122" s="0" t="n">
        <f aca="false">VLOOKUP(A122,[1]Worksheet!$A$2:$I$1049,7,0)</f>
        <v>2.71</v>
      </c>
      <c r="K122" s="0" t="n">
        <v>0</v>
      </c>
      <c r="M122" s="0" t="n">
        <f aca="false">D122*E122</f>
        <v>54.6</v>
      </c>
      <c r="N122" s="0" t="n">
        <f aca="false">F122*G122</f>
        <v>406.5</v>
      </c>
      <c r="P122" s="0" t="n">
        <f aca="false">K122+D122</f>
        <v>20</v>
      </c>
      <c r="Q122" s="0" t="n">
        <f aca="false">M122/P122</f>
        <v>2.73</v>
      </c>
      <c r="R122" s="0" t="n">
        <f aca="false">F122+K122</f>
        <v>150</v>
      </c>
      <c r="S122" s="0" t="n">
        <f aca="false">N122/R122</f>
        <v>2.71</v>
      </c>
    </row>
    <row r="123" customFormat="false" ht="15" hidden="false" customHeight="false" outlineLevel="0" collapsed="false">
      <c r="A123" s="0" t="s">
        <v>1111</v>
      </c>
      <c r="B123" s="0" t="s">
        <v>1112</v>
      </c>
      <c r="C123" s="0" t="n">
        <v>20171</v>
      </c>
      <c r="D123" s="0" t="n">
        <f aca="false">VLOOKUP(A123,[1]Worksheet!$A$2:$I$1049,4,0)</f>
        <v>0</v>
      </c>
      <c r="E123" s="0" t="n">
        <f aca="false">VLOOKUP(A123,[1]Worksheet!$A$2:$I$1049,5,0)</f>
        <v>0</v>
      </c>
      <c r="F123" s="0" t="n">
        <f aca="false">VLOOKUP(A123,[1]Worksheet!$A$2:$I$1049,6,0)</f>
        <v>152</v>
      </c>
      <c r="G123" s="0" t="n">
        <f aca="false">VLOOKUP(A123,[1]Worksheet!$A$2:$I$1049,7,0)</f>
        <v>2.71</v>
      </c>
      <c r="K123" s="0" t="n">
        <v>4</v>
      </c>
      <c r="M123" s="0" t="n">
        <f aca="false">D123*E123</f>
        <v>0</v>
      </c>
      <c r="N123" s="0" t="n">
        <f aca="false">F123*G123</f>
        <v>411.92</v>
      </c>
      <c r="P123" s="0" t="n">
        <f aca="false">K123+D123</f>
        <v>4</v>
      </c>
      <c r="Q123" s="0" t="n">
        <f aca="false">M123/P123</f>
        <v>0</v>
      </c>
      <c r="R123" s="0" t="n">
        <f aca="false">F123+K123</f>
        <v>156</v>
      </c>
      <c r="S123" s="0" t="n">
        <f aca="false">N123/R123</f>
        <v>2.64051282051282</v>
      </c>
    </row>
    <row r="124" customFormat="false" ht="15" hidden="false" customHeight="false" outlineLevel="0" collapsed="false">
      <c r="A124" s="0" t="s">
        <v>1113</v>
      </c>
      <c r="B124" s="0" t="s">
        <v>1114</v>
      </c>
      <c r="C124" s="0" t="n">
        <v>20171</v>
      </c>
      <c r="D124" s="0" t="n">
        <f aca="false">VLOOKUP(A124,[1]Worksheet!$A$2:$I$1049,4,0)</f>
        <v>0</v>
      </c>
      <c r="E124" s="0" t="n">
        <f aca="false">VLOOKUP(A124,[1]Worksheet!$A$2:$I$1049,5,0)</f>
        <v>0</v>
      </c>
      <c r="F124" s="0" t="n">
        <f aca="false">VLOOKUP(A124,[1]Worksheet!$A$2:$I$1049,6,0)</f>
        <v>148</v>
      </c>
      <c r="G124" s="0" t="n">
        <f aca="false">VLOOKUP(A124,[1]Worksheet!$A$2:$I$1049,7,0)</f>
        <v>3.12</v>
      </c>
      <c r="K124" s="0" t="n">
        <v>4</v>
      </c>
      <c r="M124" s="0" t="n">
        <f aca="false">D124*E124</f>
        <v>0</v>
      </c>
      <c r="N124" s="0" t="n">
        <f aca="false">F124*G124</f>
        <v>461.76</v>
      </c>
      <c r="P124" s="0" t="n">
        <f aca="false">K124+D124</f>
        <v>4</v>
      </c>
      <c r="Q124" s="0" t="n">
        <f aca="false">M124/P124</f>
        <v>0</v>
      </c>
      <c r="R124" s="0" t="n">
        <f aca="false">F124+K124</f>
        <v>152</v>
      </c>
      <c r="S124" s="0" t="n">
        <f aca="false">N124/R124</f>
        <v>3.03789473684211</v>
      </c>
    </row>
    <row r="125" customFormat="false" ht="15" hidden="false" customHeight="false" outlineLevel="0" collapsed="false">
      <c r="A125" s="0" t="s">
        <v>794</v>
      </c>
      <c r="B125" s="0" t="s">
        <v>795</v>
      </c>
      <c r="C125" s="0" t="n">
        <v>20171</v>
      </c>
      <c r="D125" s="0" t="n">
        <f aca="false">VLOOKUP(A125,[1]Worksheet!$A$2:$I$1049,4,0)</f>
        <v>12</v>
      </c>
      <c r="E125" s="0" t="n">
        <f aca="false">VLOOKUP(A125,[1]Worksheet!$A$2:$I$1049,5,0)</f>
        <v>2.88</v>
      </c>
      <c r="F125" s="0" t="n">
        <f aca="false">VLOOKUP(A125,[1]Worksheet!$A$2:$I$1049,6,0)</f>
        <v>161</v>
      </c>
      <c r="G125" s="0" t="n">
        <f aca="false">VLOOKUP(A125,[1]Worksheet!$A$2:$I$1049,7,0)</f>
        <v>2.77</v>
      </c>
      <c r="K125" s="0" t="n">
        <v>0</v>
      </c>
      <c r="M125" s="0" t="n">
        <f aca="false">D125*E125</f>
        <v>34.56</v>
      </c>
      <c r="N125" s="0" t="n">
        <f aca="false">F125*G125</f>
        <v>445.97</v>
      </c>
      <c r="P125" s="0" t="n">
        <f aca="false">K125+D125</f>
        <v>12</v>
      </c>
      <c r="Q125" s="0" t="n">
        <f aca="false">M125/P125</f>
        <v>2.88</v>
      </c>
      <c r="R125" s="0" t="n">
        <f aca="false">F125+K125</f>
        <v>161</v>
      </c>
      <c r="S125" s="0" t="n">
        <f aca="false">N125/R125</f>
        <v>2.77</v>
      </c>
    </row>
    <row r="126" customFormat="false" ht="15" hidden="false" customHeight="false" outlineLevel="0" collapsed="false">
      <c r="A126" s="0" t="s">
        <v>1115</v>
      </c>
      <c r="B126" s="0" t="s">
        <v>1116</v>
      </c>
      <c r="C126" s="0" t="n">
        <v>20171</v>
      </c>
      <c r="D126" s="0" t="n">
        <f aca="false">VLOOKUP(A126,[1]Worksheet!$A$2:$I$1049,4,0)</f>
        <v>0</v>
      </c>
      <c r="E126" s="0" t="n">
        <f aca="false">VLOOKUP(A126,[1]Worksheet!$A$2:$I$1049,5,0)</f>
        <v>0</v>
      </c>
      <c r="F126" s="0" t="n">
        <f aca="false">VLOOKUP(A126,[1]Worksheet!$A$2:$I$1049,6,0)</f>
        <v>154</v>
      </c>
      <c r="G126" s="0" t="n">
        <f aca="false">VLOOKUP(A126,[1]Worksheet!$A$2:$I$1049,7,0)</f>
        <v>3.22</v>
      </c>
      <c r="K126" s="0" t="n">
        <v>4</v>
      </c>
      <c r="M126" s="0" t="n">
        <f aca="false">D126*E126</f>
        <v>0</v>
      </c>
      <c r="N126" s="0" t="n">
        <f aca="false">F126*G126</f>
        <v>495.88</v>
      </c>
      <c r="P126" s="0" t="n">
        <f aca="false">K126+D126</f>
        <v>4</v>
      </c>
      <c r="Q126" s="0" t="n">
        <f aca="false">M126/P126</f>
        <v>0</v>
      </c>
      <c r="R126" s="0" t="n">
        <f aca="false">F126+K126</f>
        <v>158</v>
      </c>
      <c r="S126" s="0" t="n">
        <f aca="false">N126/R126</f>
        <v>3.13848101265823</v>
      </c>
    </row>
    <row r="127" customFormat="false" ht="15" hidden="false" customHeight="false" outlineLevel="0" collapsed="false">
      <c r="A127" s="0" t="s">
        <v>848</v>
      </c>
      <c r="B127" s="0" t="s">
        <v>849</v>
      </c>
      <c r="C127" s="0" t="n">
        <v>20171</v>
      </c>
      <c r="D127" s="0" t="n">
        <f aca="false">VLOOKUP(A127,[1]Worksheet!$A$2:$I$1049,4,0)</f>
        <v>9</v>
      </c>
      <c r="E127" s="0" t="n">
        <f aca="false">VLOOKUP(A127,[1]Worksheet!$A$2:$I$1049,5,0)</f>
        <v>2.94</v>
      </c>
      <c r="F127" s="0" t="n">
        <f aca="false">VLOOKUP(A127,[1]Worksheet!$A$2:$I$1049,6,0)</f>
        <v>156</v>
      </c>
      <c r="G127" s="0" t="n">
        <f aca="false">VLOOKUP(A127,[1]Worksheet!$A$2:$I$1049,7,0)</f>
        <v>3</v>
      </c>
      <c r="K127" s="0" t="n">
        <v>0</v>
      </c>
      <c r="M127" s="0" t="n">
        <f aca="false">D127*E127</f>
        <v>26.46</v>
      </c>
      <c r="N127" s="0" t="n">
        <f aca="false">F127*G127</f>
        <v>468</v>
      </c>
      <c r="P127" s="0" t="n">
        <f aca="false">K127+D127</f>
        <v>9</v>
      </c>
      <c r="Q127" s="0" t="n">
        <f aca="false">M127/P127</f>
        <v>2.94</v>
      </c>
      <c r="R127" s="0" t="n">
        <f aca="false">F127+K127</f>
        <v>156</v>
      </c>
      <c r="S127" s="0" t="n">
        <f aca="false">N127/R127</f>
        <v>3</v>
      </c>
    </row>
    <row r="128" customFormat="false" ht="15" hidden="false" customHeight="false" outlineLevel="0" collapsed="false">
      <c r="A128" s="0" t="s">
        <v>561</v>
      </c>
      <c r="B128" s="0" t="s">
        <v>562</v>
      </c>
      <c r="C128" s="0" t="n">
        <v>20171</v>
      </c>
      <c r="D128" s="0" t="n">
        <f aca="false">VLOOKUP(A128,[1]Worksheet!$A$2:$I$1049,4,0)</f>
        <v>14</v>
      </c>
      <c r="E128" s="0" t="n">
        <f aca="false">VLOOKUP(A128,[1]Worksheet!$A$2:$I$1049,5,0)</f>
        <v>2.68</v>
      </c>
      <c r="F128" s="0" t="n">
        <f aca="false">VLOOKUP(A128,[1]Worksheet!$A$2:$I$1049,6,0)</f>
        <v>165</v>
      </c>
      <c r="G128" s="0" t="n">
        <f aca="false">VLOOKUP(A128,[1]Worksheet!$A$2:$I$1049,7,0)</f>
        <v>2.8</v>
      </c>
      <c r="K128" s="0" t="n">
        <v>4</v>
      </c>
      <c r="M128" s="0" t="n">
        <f aca="false">D128*E128</f>
        <v>37.52</v>
      </c>
      <c r="N128" s="0" t="n">
        <f aca="false">F128*G128</f>
        <v>462</v>
      </c>
      <c r="P128" s="0" t="n">
        <f aca="false">K128+D128</f>
        <v>18</v>
      </c>
      <c r="Q128" s="0" t="n">
        <f aca="false">M128/P128</f>
        <v>2.08444444444444</v>
      </c>
      <c r="R128" s="0" t="n">
        <f aca="false">F128+K128</f>
        <v>169</v>
      </c>
      <c r="S128" s="0" t="n">
        <f aca="false">N128/R128</f>
        <v>2.73372781065089</v>
      </c>
    </row>
    <row r="129" customFormat="false" ht="15" hidden="false" customHeight="false" outlineLevel="0" collapsed="false">
      <c r="A129" s="0" t="s">
        <v>1117</v>
      </c>
      <c r="B129" s="0" t="s">
        <v>1118</v>
      </c>
      <c r="C129" s="0" t="n">
        <v>20171</v>
      </c>
      <c r="D129" s="0" t="n">
        <f aca="false">VLOOKUP(A129,[1]Worksheet!$A$2:$I$1049,4,0)</f>
        <v>0</v>
      </c>
      <c r="E129" s="0" t="n">
        <f aca="false">VLOOKUP(A129,[1]Worksheet!$A$2:$I$1049,5,0)</f>
        <v>0</v>
      </c>
      <c r="F129" s="0" t="n">
        <f aca="false">VLOOKUP(A129,[1]Worksheet!$A$2:$I$1049,6,0)</f>
        <v>156</v>
      </c>
      <c r="G129" s="0" t="n">
        <f aca="false">VLOOKUP(A129,[1]Worksheet!$A$2:$I$1049,7,0)</f>
        <v>3.1</v>
      </c>
      <c r="K129" s="0" t="n">
        <v>4</v>
      </c>
      <c r="M129" s="0" t="n">
        <f aca="false">D129*E129</f>
        <v>0</v>
      </c>
      <c r="N129" s="0" t="n">
        <f aca="false">F129*G129</f>
        <v>483.6</v>
      </c>
      <c r="P129" s="0" t="n">
        <f aca="false">K129+D129</f>
        <v>4</v>
      </c>
      <c r="Q129" s="0" t="n">
        <f aca="false">M129/P129</f>
        <v>0</v>
      </c>
      <c r="R129" s="0" t="n">
        <f aca="false">F129+K129</f>
        <v>160</v>
      </c>
      <c r="S129" s="0" t="n">
        <f aca="false">N129/R129</f>
        <v>3.0225</v>
      </c>
    </row>
    <row r="130" customFormat="false" ht="15" hidden="false" customHeight="false" outlineLevel="0" collapsed="false">
      <c r="A130" s="0" t="s">
        <v>1119</v>
      </c>
      <c r="B130" s="0" t="s">
        <v>1120</v>
      </c>
      <c r="C130" s="0" t="n">
        <v>20171</v>
      </c>
      <c r="D130" s="0" t="n">
        <f aca="false">VLOOKUP(A130,[1]Worksheet!$A$2:$I$1049,4,0)</f>
        <v>0</v>
      </c>
      <c r="E130" s="0" t="n">
        <f aca="false">VLOOKUP(A130,[1]Worksheet!$A$2:$I$1049,5,0)</f>
        <v>0</v>
      </c>
      <c r="F130" s="0" t="n">
        <f aca="false">VLOOKUP(A130,[1]Worksheet!$A$2:$I$1049,6,0)</f>
        <v>152</v>
      </c>
      <c r="G130" s="0" t="n">
        <f aca="false">VLOOKUP(A130,[1]Worksheet!$A$2:$I$1049,7,0)</f>
        <v>3.04</v>
      </c>
      <c r="K130" s="0" t="n">
        <v>4</v>
      </c>
      <c r="M130" s="0" t="n">
        <f aca="false">D130*E130</f>
        <v>0</v>
      </c>
      <c r="N130" s="0" t="n">
        <f aca="false">F130*G130</f>
        <v>462.08</v>
      </c>
      <c r="P130" s="0" t="n">
        <f aca="false">K130+D130</f>
        <v>4</v>
      </c>
      <c r="Q130" s="0" t="n">
        <f aca="false">M130/P130</f>
        <v>0</v>
      </c>
      <c r="R130" s="0" t="n">
        <f aca="false">F130+K130</f>
        <v>156</v>
      </c>
      <c r="S130" s="0" t="n">
        <f aca="false">N130/R130</f>
        <v>2.96205128205128</v>
      </c>
    </row>
    <row r="131" customFormat="false" ht="15" hidden="false" customHeight="false" outlineLevel="0" collapsed="false">
      <c r="A131" s="0" t="s">
        <v>1121</v>
      </c>
      <c r="B131" s="0" t="s">
        <v>1122</v>
      </c>
      <c r="C131" s="0" t="n">
        <v>20171</v>
      </c>
      <c r="D131" s="0" t="n">
        <f aca="false">VLOOKUP(A131,[1]Worksheet!$A$2:$I$1049,4,0)</f>
        <v>0</v>
      </c>
      <c r="E131" s="0" t="n">
        <f aca="false">VLOOKUP(A131,[1]Worksheet!$A$2:$I$1049,5,0)</f>
        <v>0</v>
      </c>
      <c r="F131" s="0" t="n">
        <f aca="false">VLOOKUP(A131,[1]Worksheet!$A$2:$I$1049,6,0)</f>
        <v>154</v>
      </c>
      <c r="G131" s="0" t="n">
        <f aca="false">VLOOKUP(A131,[1]Worksheet!$A$2:$I$1049,7,0)</f>
        <v>2.9</v>
      </c>
      <c r="K131" s="0" t="n">
        <v>4</v>
      </c>
      <c r="M131" s="0" t="n">
        <f aca="false">D131*E131</f>
        <v>0</v>
      </c>
      <c r="N131" s="0" t="n">
        <f aca="false">F131*G131</f>
        <v>446.6</v>
      </c>
      <c r="P131" s="0" t="n">
        <f aca="false">K131+D131</f>
        <v>4</v>
      </c>
      <c r="Q131" s="0" t="n">
        <f aca="false">M131/P131</f>
        <v>0</v>
      </c>
      <c r="R131" s="0" t="n">
        <f aca="false">F131+K131</f>
        <v>158</v>
      </c>
      <c r="S131" s="0" t="n">
        <f aca="false">N131/R131</f>
        <v>2.82658227848101</v>
      </c>
    </row>
    <row r="132" customFormat="false" ht="15" hidden="false" customHeight="false" outlineLevel="0" collapsed="false">
      <c r="A132" s="0" t="s">
        <v>1123</v>
      </c>
      <c r="B132" s="0" t="s">
        <v>1124</v>
      </c>
      <c r="C132" s="0" t="n">
        <v>20171</v>
      </c>
      <c r="D132" s="0" t="n">
        <f aca="false">VLOOKUP(A132,[1]Worksheet!$A$2:$I$1049,4,0)</f>
        <v>0</v>
      </c>
      <c r="E132" s="0" t="n">
        <f aca="false">VLOOKUP(A132,[1]Worksheet!$A$2:$I$1049,5,0)</f>
        <v>0</v>
      </c>
      <c r="F132" s="0" t="n">
        <f aca="false">VLOOKUP(A132,[1]Worksheet!$A$2:$I$1049,6,0)</f>
        <v>150</v>
      </c>
      <c r="G132" s="0" t="n">
        <f aca="false">VLOOKUP(A132,[1]Worksheet!$A$2:$I$1049,7,0)</f>
        <v>2.91</v>
      </c>
      <c r="K132" s="0" t="n">
        <v>4</v>
      </c>
      <c r="M132" s="0" t="n">
        <f aca="false">D132*E132</f>
        <v>0</v>
      </c>
      <c r="N132" s="0" t="n">
        <f aca="false">F132*G132</f>
        <v>436.5</v>
      </c>
      <c r="P132" s="0" t="n">
        <f aca="false">K132+D132</f>
        <v>4</v>
      </c>
      <c r="Q132" s="0" t="n">
        <f aca="false">M132/P132</f>
        <v>0</v>
      </c>
      <c r="R132" s="0" t="n">
        <f aca="false">F132+K132</f>
        <v>154</v>
      </c>
      <c r="S132" s="0" t="n">
        <f aca="false">N132/R132</f>
        <v>2.83441558441558</v>
      </c>
    </row>
    <row r="133" customFormat="false" ht="15" hidden="false" customHeight="false" outlineLevel="0" collapsed="false">
      <c r="A133" s="0" t="s">
        <v>796</v>
      </c>
      <c r="B133" s="0" t="s">
        <v>797</v>
      </c>
      <c r="C133" s="0" t="n">
        <v>20171</v>
      </c>
      <c r="D133" s="0" t="n">
        <f aca="false">VLOOKUP(A133,[1]Worksheet!$A$2:$I$1049,4,0)</f>
        <v>4</v>
      </c>
      <c r="E133" s="0" t="n">
        <f aca="false">VLOOKUP(A133,[1]Worksheet!$A$2:$I$1049,5,0)</f>
        <v>4</v>
      </c>
      <c r="F133" s="0" t="n">
        <f aca="false">VLOOKUP(A133,[1]Worksheet!$A$2:$I$1049,6,0)</f>
        <v>153</v>
      </c>
      <c r="G133" s="0" t="n">
        <f aca="false">VLOOKUP(A133,[1]Worksheet!$A$2:$I$1049,7,0)</f>
        <v>2.67</v>
      </c>
      <c r="K133" s="0" t="n">
        <v>4</v>
      </c>
      <c r="M133" s="0" t="n">
        <f aca="false">D133*E133</f>
        <v>16</v>
      </c>
      <c r="N133" s="0" t="n">
        <f aca="false">F133*G133</f>
        <v>408.51</v>
      </c>
      <c r="P133" s="0" t="n">
        <f aca="false">K133+D133</f>
        <v>8</v>
      </c>
      <c r="Q133" s="0" t="n">
        <f aca="false">M133/P133</f>
        <v>2</v>
      </c>
      <c r="R133" s="0" t="n">
        <f aca="false">F133+K133</f>
        <v>157</v>
      </c>
      <c r="S133" s="0" t="n">
        <f aca="false">N133/R133</f>
        <v>2.60197452229299</v>
      </c>
    </row>
    <row r="134" customFormat="false" ht="15" hidden="false" customHeight="false" outlineLevel="0" collapsed="false">
      <c r="A134" s="0" t="s">
        <v>563</v>
      </c>
      <c r="B134" s="0" t="s">
        <v>564</v>
      </c>
      <c r="C134" s="0" t="n">
        <v>20171</v>
      </c>
      <c r="D134" s="0" t="n">
        <f aca="false">VLOOKUP(A134,[1]Worksheet!$A$2:$I$1049,4,0)</f>
        <v>13</v>
      </c>
      <c r="E134" s="0" t="n">
        <f aca="false">VLOOKUP(A134,[1]Worksheet!$A$2:$I$1049,5,0)</f>
        <v>1.46</v>
      </c>
      <c r="F134" s="0" t="n">
        <f aca="false">VLOOKUP(A134,[1]Worksheet!$A$2:$I$1049,6,0)</f>
        <v>163</v>
      </c>
      <c r="G134" s="0" t="n">
        <f aca="false">VLOOKUP(A134,[1]Worksheet!$A$2:$I$1049,7,0)</f>
        <v>2.85</v>
      </c>
      <c r="K134" s="0" t="n">
        <v>4</v>
      </c>
      <c r="M134" s="0" t="n">
        <f aca="false">D134*E134</f>
        <v>18.98</v>
      </c>
      <c r="N134" s="0" t="n">
        <f aca="false">F134*G134</f>
        <v>464.55</v>
      </c>
      <c r="P134" s="0" t="n">
        <f aca="false">K134+D134</f>
        <v>17</v>
      </c>
      <c r="Q134" s="0" t="n">
        <f aca="false">M134/P134</f>
        <v>1.11647058823529</v>
      </c>
      <c r="R134" s="0" t="n">
        <f aca="false">F134+K134</f>
        <v>167</v>
      </c>
      <c r="S134" s="0" t="n">
        <f aca="false">N134/R134</f>
        <v>2.78173652694611</v>
      </c>
    </row>
    <row r="135" customFormat="false" ht="15" hidden="false" customHeight="false" outlineLevel="0" collapsed="false">
      <c r="A135" s="0" t="s">
        <v>565</v>
      </c>
      <c r="B135" s="0" t="s">
        <v>566</v>
      </c>
      <c r="C135" s="0" t="n">
        <v>20171</v>
      </c>
      <c r="D135" s="0" t="n">
        <f aca="false">VLOOKUP(A135,[1]Worksheet!$A$2:$I$1049,4,0)</f>
        <v>15</v>
      </c>
      <c r="E135" s="0" t="n">
        <f aca="false">VLOOKUP(A135,[1]Worksheet!$A$2:$I$1049,5,0)</f>
        <v>2.3</v>
      </c>
      <c r="F135" s="0" t="n">
        <f aca="false">VLOOKUP(A135,[1]Worksheet!$A$2:$I$1049,6,0)</f>
        <v>153</v>
      </c>
      <c r="G135" s="0" t="n">
        <f aca="false">VLOOKUP(A135,[1]Worksheet!$A$2:$I$1049,7,0)</f>
        <v>2.54</v>
      </c>
      <c r="K135" s="0" t="n">
        <v>0</v>
      </c>
      <c r="M135" s="0" t="n">
        <f aca="false">D135*E135</f>
        <v>34.5</v>
      </c>
      <c r="N135" s="0" t="n">
        <f aca="false">F135*G135</f>
        <v>388.62</v>
      </c>
      <c r="P135" s="0" t="n">
        <f aca="false">K135+D135</f>
        <v>15</v>
      </c>
      <c r="Q135" s="0" t="n">
        <f aca="false">M135/P135</f>
        <v>2.3</v>
      </c>
      <c r="R135" s="0" t="n">
        <f aca="false">F135+K135</f>
        <v>153</v>
      </c>
      <c r="S135" s="0" t="n">
        <f aca="false">N135/R135</f>
        <v>2.54</v>
      </c>
    </row>
    <row r="136" customFormat="false" ht="15" hidden="false" customHeight="false" outlineLevel="0" collapsed="false">
      <c r="A136" s="0" t="s">
        <v>571</v>
      </c>
      <c r="B136" s="0" t="s">
        <v>572</v>
      </c>
      <c r="C136" s="0" t="n">
        <v>20171</v>
      </c>
      <c r="D136" s="0" t="n">
        <f aca="false">VLOOKUP(A136,[1]Worksheet!$A$2:$I$1049,4,0)</f>
        <v>8</v>
      </c>
      <c r="E136" s="0" t="n">
        <f aca="false">VLOOKUP(A136,[1]Worksheet!$A$2:$I$1049,5,0)</f>
        <v>0</v>
      </c>
      <c r="F136" s="0" t="n">
        <f aca="false">VLOOKUP(A136,[1]Worksheet!$A$2:$I$1049,6,0)</f>
        <v>160</v>
      </c>
      <c r="G136" s="0" t="n">
        <f aca="false">VLOOKUP(A136,[1]Worksheet!$A$2:$I$1049,7,0)</f>
        <v>2.57</v>
      </c>
      <c r="K136" s="0" t="n">
        <v>4</v>
      </c>
      <c r="M136" s="0" t="n">
        <f aca="false">D136*E136</f>
        <v>0</v>
      </c>
      <c r="N136" s="0" t="n">
        <f aca="false">F136*G136</f>
        <v>411.2</v>
      </c>
      <c r="P136" s="0" t="n">
        <f aca="false">K136+D136</f>
        <v>12</v>
      </c>
      <c r="Q136" s="0" t="n">
        <f aca="false">M136/P136</f>
        <v>0</v>
      </c>
      <c r="R136" s="0" t="n">
        <f aca="false">F136+K136</f>
        <v>164</v>
      </c>
      <c r="S136" s="0" t="n">
        <f aca="false">N136/R136</f>
        <v>2.50731707317073</v>
      </c>
    </row>
    <row r="137" customFormat="false" ht="15" hidden="false" customHeight="false" outlineLevel="0" collapsed="false">
      <c r="A137" s="0" t="s">
        <v>573</v>
      </c>
      <c r="B137" s="0" t="s">
        <v>574</v>
      </c>
      <c r="C137" s="0" t="n">
        <v>20171</v>
      </c>
      <c r="D137" s="0" t="n">
        <f aca="false">VLOOKUP(A137,[1]Worksheet!$A$2:$I$1049,4,0)</f>
        <v>7</v>
      </c>
      <c r="E137" s="0" t="n">
        <f aca="false">VLOOKUP(A137,[1]Worksheet!$A$2:$I$1049,5,0)</f>
        <v>3.14</v>
      </c>
      <c r="F137" s="0" t="n">
        <f aca="false">VLOOKUP(A137,[1]Worksheet!$A$2:$I$1049,6,0)</f>
        <v>144</v>
      </c>
      <c r="G137" s="0" t="n">
        <f aca="false">VLOOKUP(A137,[1]Worksheet!$A$2:$I$1049,7,0)</f>
        <v>2.38</v>
      </c>
      <c r="K137" s="0" t="n">
        <v>2</v>
      </c>
      <c r="M137" s="0" t="n">
        <f aca="false">D137*E137</f>
        <v>21.98</v>
      </c>
      <c r="N137" s="0" t="n">
        <f aca="false">F137*G137</f>
        <v>342.72</v>
      </c>
      <c r="P137" s="0" t="n">
        <f aca="false">K137+D137</f>
        <v>9</v>
      </c>
      <c r="Q137" s="0" t="n">
        <f aca="false">M137/P137</f>
        <v>2.44222222222222</v>
      </c>
      <c r="R137" s="0" t="n">
        <f aca="false">F137+K137</f>
        <v>146</v>
      </c>
      <c r="S137" s="0" t="n">
        <f aca="false">N137/R137</f>
        <v>2.34739726027397</v>
      </c>
    </row>
    <row r="138" customFormat="false" ht="15" hidden="false" customHeight="false" outlineLevel="0" collapsed="false">
      <c r="A138" s="0" t="s">
        <v>1125</v>
      </c>
      <c r="B138" s="0" t="s">
        <v>1126</v>
      </c>
      <c r="C138" s="0" t="n">
        <v>20171</v>
      </c>
      <c r="D138" s="0" t="n">
        <f aca="false">VLOOKUP(A138,[1]Worksheet!$A$2:$I$1049,4,0)</f>
        <v>0</v>
      </c>
      <c r="E138" s="0" t="n">
        <f aca="false">VLOOKUP(A138,[1]Worksheet!$A$2:$I$1049,5,0)</f>
        <v>0</v>
      </c>
      <c r="F138" s="0" t="n">
        <f aca="false">VLOOKUP(A138,[1]Worksheet!$A$2:$I$1049,6,0)</f>
        <v>149</v>
      </c>
      <c r="G138" s="0" t="n">
        <f aca="false">VLOOKUP(A138,[1]Worksheet!$A$2:$I$1049,7,0)</f>
        <v>3.31</v>
      </c>
      <c r="K138" s="0" t="n">
        <v>4</v>
      </c>
      <c r="M138" s="0" t="n">
        <f aca="false">D138*E138</f>
        <v>0</v>
      </c>
      <c r="N138" s="0" t="n">
        <f aca="false">F138*G138</f>
        <v>493.19</v>
      </c>
      <c r="P138" s="0" t="n">
        <f aca="false">K138+D138</f>
        <v>4</v>
      </c>
      <c r="Q138" s="0" t="n">
        <f aca="false">M138/P138</f>
        <v>0</v>
      </c>
      <c r="R138" s="0" t="n">
        <f aca="false">F138+K138</f>
        <v>153</v>
      </c>
      <c r="S138" s="0" t="n">
        <f aca="false">N138/R138</f>
        <v>3.22346405228758</v>
      </c>
    </row>
    <row r="139" customFormat="false" ht="15" hidden="false" customHeight="false" outlineLevel="0" collapsed="false">
      <c r="A139" s="0" t="s">
        <v>1127</v>
      </c>
      <c r="B139" s="0" t="s">
        <v>1128</v>
      </c>
      <c r="C139" s="0" t="n">
        <v>20171</v>
      </c>
      <c r="D139" s="0" t="n">
        <f aca="false">VLOOKUP(A139,[1]Worksheet!$A$2:$I$1049,4,0)</f>
        <v>0</v>
      </c>
      <c r="E139" s="0" t="n">
        <f aca="false">VLOOKUP(A139,[1]Worksheet!$A$2:$I$1049,5,0)</f>
        <v>0</v>
      </c>
      <c r="F139" s="0" t="n">
        <f aca="false">VLOOKUP(A139,[1]Worksheet!$A$2:$I$1049,6,0)</f>
        <v>154</v>
      </c>
      <c r="G139" s="0" t="n">
        <f aca="false">VLOOKUP(A139,[1]Worksheet!$A$2:$I$1049,7,0)</f>
        <v>3.06</v>
      </c>
      <c r="K139" s="0" t="n">
        <v>4</v>
      </c>
      <c r="M139" s="0" t="n">
        <f aca="false">D139*E139</f>
        <v>0</v>
      </c>
      <c r="N139" s="0" t="n">
        <f aca="false">F139*G139</f>
        <v>471.24</v>
      </c>
      <c r="P139" s="0" t="n">
        <f aca="false">K139+D139</f>
        <v>4</v>
      </c>
      <c r="Q139" s="0" t="n">
        <f aca="false">M139/P139</f>
        <v>0</v>
      </c>
      <c r="R139" s="0" t="n">
        <f aca="false">F139+K139</f>
        <v>158</v>
      </c>
      <c r="S139" s="0" t="n">
        <f aca="false">N139/R139</f>
        <v>2.98253164556962</v>
      </c>
    </row>
    <row r="140" customFormat="false" ht="15" hidden="false" customHeight="false" outlineLevel="0" collapsed="false">
      <c r="A140" s="0" t="s">
        <v>1129</v>
      </c>
      <c r="B140" s="0" t="s">
        <v>1130</v>
      </c>
      <c r="C140" s="0" t="n">
        <v>20171</v>
      </c>
      <c r="D140" s="0" t="n">
        <f aca="false">VLOOKUP(A140,[1]Worksheet!$A$2:$I$1049,4,0)</f>
        <v>4</v>
      </c>
      <c r="E140" s="0" t="n">
        <f aca="false">VLOOKUP(A140,[1]Worksheet!$A$2:$I$1049,5,0)</f>
        <v>4</v>
      </c>
      <c r="F140" s="0" t="n">
        <f aca="false">VLOOKUP(A140,[1]Worksheet!$A$2:$I$1049,6,0)</f>
        <v>153</v>
      </c>
      <c r="G140" s="0" t="n">
        <f aca="false">VLOOKUP(A140,[1]Worksheet!$A$2:$I$1049,7,0)</f>
        <v>3.32</v>
      </c>
      <c r="K140" s="0" t="n">
        <v>0</v>
      </c>
      <c r="M140" s="0" t="n">
        <f aca="false">D140*E140</f>
        <v>16</v>
      </c>
      <c r="N140" s="0" t="n">
        <f aca="false">F140*G140</f>
        <v>507.96</v>
      </c>
      <c r="P140" s="0" t="n">
        <f aca="false">K140+D140</f>
        <v>4</v>
      </c>
      <c r="Q140" s="0" t="n">
        <f aca="false">M140/P140</f>
        <v>4</v>
      </c>
      <c r="R140" s="0" t="n">
        <f aca="false">F140+K140</f>
        <v>153</v>
      </c>
      <c r="S140" s="0" t="n">
        <f aca="false">N140/R140</f>
        <v>3.32</v>
      </c>
    </row>
    <row r="141" customFormat="false" ht="15" hidden="false" customHeight="false" outlineLevel="0" collapsed="false">
      <c r="A141" s="0" t="s">
        <v>671</v>
      </c>
      <c r="B141" s="0" t="s">
        <v>672</v>
      </c>
      <c r="C141" s="0" t="n">
        <v>20171</v>
      </c>
      <c r="D141" s="0" t="n">
        <f aca="false">VLOOKUP(A141,[1]Worksheet!$A$2:$I$1049,4,0)</f>
        <v>12</v>
      </c>
      <c r="E141" s="0" t="n">
        <f aca="false">VLOOKUP(A141,[1]Worksheet!$A$2:$I$1049,5,0)</f>
        <v>2.88</v>
      </c>
      <c r="F141" s="0" t="n">
        <f aca="false">VLOOKUP(A141,[1]Worksheet!$A$2:$I$1049,6,0)</f>
        <v>159</v>
      </c>
      <c r="G141" s="0" t="n">
        <f aca="false">VLOOKUP(A141,[1]Worksheet!$A$2:$I$1049,7,0)</f>
        <v>2.87</v>
      </c>
      <c r="K141" s="0" t="n">
        <v>4</v>
      </c>
      <c r="M141" s="0" t="n">
        <f aca="false">D141*E141</f>
        <v>34.56</v>
      </c>
      <c r="N141" s="0" t="n">
        <f aca="false">F141*G141</f>
        <v>456.33</v>
      </c>
      <c r="P141" s="0" t="n">
        <f aca="false">K141+D141</f>
        <v>16</v>
      </c>
      <c r="Q141" s="0" t="n">
        <f aca="false">M141/P141</f>
        <v>2.16</v>
      </c>
      <c r="R141" s="0" t="n">
        <f aca="false">F141+K141</f>
        <v>163</v>
      </c>
      <c r="S141" s="0" t="n">
        <f aca="false">N141/R141</f>
        <v>2.79957055214724</v>
      </c>
    </row>
    <row r="142" customFormat="false" ht="15" hidden="false" customHeight="false" outlineLevel="0" collapsed="false">
      <c r="A142" s="0" t="s">
        <v>110</v>
      </c>
      <c r="B142" s="0" t="s">
        <v>111</v>
      </c>
      <c r="C142" s="0" t="n">
        <v>20171</v>
      </c>
      <c r="D142" s="0" t="n">
        <f aca="false">VLOOKUP(A142,[1]Worksheet!$A$2:$I$1049,4,0)</f>
        <v>16</v>
      </c>
      <c r="E142" s="0" t="n">
        <f aca="false">VLOOKUP(A142,[1]Worksheet!$A$2:$I$1049,5,0)</f>
        <v>2.56</v>
      </c>
      <c r="F142" s="0" t="n">
        <f aca="false">VLOOKUP(A142,[1]Worksheet!$A$2:$I$1049,6,0)</f>
        <v>156</v>
      </c>
      <c r="G142" s="0" t="n">
        <f aca="false">VLOOKUP(A142,[1]Worksheet!$A$2:$I$1049,7,0)</f>
        <v>2.46</v>
      </c>
      <c r="K142" s="0" t="n">
        <v>0</v>
      </c>
      <c r="M142" s="0" t="n">
        <f aca="false">D142*E142</f>
        <v>40.96</v>
      </c>
      <c r="N142" s="0" t="n">
        <f aca="false">F142*G142</f>
        <v>383.76</v>
      </c>
      <c r="P142" s="0" t="n">
        <f aca="false">K142+D142</f>
        <v>16</v>
      </c>
      <c r="Q142" s="0" t="n">
        <f aca="false">M142/P142</f>
        <v>2.56</v>
      </c>
      <c r="R142" s="0" t="n">
        <f aca="false">F142+K142</f>
        <v>156</v>
      </c>
      <c r="S142" s="0" t="n">
        <f aca="false">N142/R142</f>
        <v>2.46</v>
      </c>
    </row>
    <row r="143" customFormat="false" ht="15" hidden="false" customHeight="false" outlineLevel="0" collapsed="false">
      <c r="A143" s="0" t="s">
        <v>19</v>
      </c>
      <c r="B143" s="0" t="s">
        <v>20</v>
      </c>
      <c r="C143" s="0" t="n">
        <v>20171</v>
      </c>
      <c r="D143" s="0" t="n">
        <f aca="false">VLOOKUP(A143,[1]Worksheet!$A$2:$I$1049,4,0)</f>
        <v>14</v>
      </c>
      <c r="E143" s="0" t="n">
        <f aca="false">VLOOKUP(A143,[1]Worksheet!$A$2:$I$1049,5,0)</f>
        <v>2.21</v>
      </c>
      <c r="F143" s="0" t="n">
        <f aca="false">VLOOKUP(A143,[1]Worksheet!$A$2:$I$1049,6,0)</f>
        <v>162</v>
      </c>
      <c r="G143" s="0" t="n">
        <f aca="false">VLOOKUP(A143,[1]Worksheet!$A$2:$I$1049,7,0)</f>
        <v>2.68</v>
      </c>
      <c r="K143" s="0" t="n">
        <v>4</v>
      </c>
      <c r="M143" s="0" t="n">
        <f aca="false">D143*E143</f>
        <v>30.94</v>
      </c>
      <c r="N143" s="0" t="n">
        <f aca="false">F143*G143</f>
        <v>434.16</v>
      </c>
      <c r="P143" s="0" t="n">
        <f aca="false">K143+D143</f>
        <v>18</v>
      </c>
      <c r="Q143" s="0" t="n">
        <f aca="false">M143/P143</f>
        <v>1.71888888888889</v>
      </c>
      <c r="R143" s="0" t="n">
        <f aca="false">F143+K143</f>
        <v>166</v>
      </c>
      <c r="S143" s="0" t="n">
        <f aca="false">N143/R143</f>
        <v>2.61542168674699</v>
      </c>
    </row>
    <row r="144" customFormat="false" ht="15" hidden="false" customHeight="false" outlineLevel="0" collapsed="false">
      <c r="A144" s="0" t="s">
        <v>1131</v>
      </c>
      <c r="B144" s="0" t="s">
        <v>1132</v>
      </c>
      <c r="C144" s="0" t="n">
        <v>20171</v>
      </c>
      <c r="D144" s="0" t="n">
        <f aca="false">VLOOKUP(A144,[1]Worksheet!$A$2:$I$1049,4,0)</f>
        <v>0</v>
      </c>
      <c r="E144" s="0" t="n">
        <f aca="false">VLOOKUP(A144,[1]Worksheet!$A$2:$I$1049,5,0)</f>
        <v>0</v>
      </c>
      <c r="F144" s="0" t="n">
        <f aca="false">VLOOKUP(A144,[1]Worksheet!$A$2:$I$1049,6,0)</f>
        <v>150</v>
      </c>
      <c r="G144" s="0" t="n">
        <f aca="false">VLOOKUP(A144,[1]Worksheet!$A$2:$I$1049,7,0)</f>
        <v>3.19</v>
      </c>
      <c r="K144" s="0" t="n">
        <v>4</v>
      </c>
      <c r="M144" s="0" t="n">
        <f aca="false">D144*E144</f>
        <v>0</v>
      </c>
      <c r="N144" s="0" t="n">
        <f aca="false">F144*G144</f>
        <v>478.5</v>
      </c>
      <c r="P144" s="0" t="n">
        <f aca="false">K144+D144</f>
        <v>4</v>
      </c>
      <c r="Q144" s="0" t="n">
        <f aca="false">M144/P144</f>
        <v>0</v>
      </c>
      <c r="R144" s="0" t="n">
        <f aca="false">F144+K144</f>
        <v>154</v>
      </c>
      <c r="S144" s="0" t="n">
        <f aca="false">N144/R144</f>
        <v>3.10714285714286</v>
      </c>
    </row>
    <row r="145" customFormat="false" ht="15" hidden="false" customHeight="false" outlineLevel="0" collapsed="false">
      <c r="A145" s="0" t="s">
        <v>731</v>
      </c>
      <c r="B145" s="0" t="s">
        <v>732</v>
      </c>
      <c r="C145" s="0" t="n">
        <v>20171</v>
      </c>
      <c r="D145" s="0" t="n">
        <f aca="false">VLOOKUP(A145,[1]Worksheet!$A$2:$I$1049,4,0)</f>
        <v>16</v>
      </c>
      <c r="E145" s="0" t="n">
        <f aca="false">VLOOKUP(A145,[1]Worksheet!$A$2:$I$1049,5,0)</f>
        <v>2.09</v>
      </c>
      <c r="F145" s="0" t="n">
        <f aca="false">VLOOKUP(A145,[1]Worksheet!$A$2:$I$1049,6,0)</f>
        <v>133</v>
      </c>
      <c r="G145" s="0" t="n">
        <f aca="false">VLOOKUP(A145,[1]Worksheet!$A$2:$I$1049,7,0)</f>
        <v>1.78</v>
      </c>
      <c r="K145" s="0" t="n">
        <v>0</v>
      </c>
      <c r="M145" s="0" t="n">
        <f aca="false">D145*E145</f>
        <v>33.44</v>
      </c>
      <c r="N145" s="0" t="n">
        <f aca="false">F145*G145</f>
        <v>236.74</v>
      </c>
      <c r="P145" s="0" t="n">
        <f aca="false">K145+D145</f>
        <v>16</v>
      </c>
      <c r="Q145" s="0" t="n">
        <f aca="false">M145/P145</f>
        <v>2.09</v>
      </c>
      <c r="R145" s="0" t="n">
        <f aca="false">F145+K145</f>
        <v>133</v>
      </c>
      <c r="S145" s="0" t="n">
        <f aca="false">N145/R145</f>
        <v>1.78</v>
      </c>
    </row>
    <row r="146" customFormat="false" ht="15" hidden="false" customHeight="false" outlineLevel="0" collapsed="false">
      <c r="A146" s="0" t="s">
        <v>1133</v>
      </c>
      <c r="B146" s="0" t="s">
        <v>1134</v>
      </c>
      <c r="C146" s="0" t="n">
        <v>20171</v>
      </c>
      <c r="D146" s="0" t="n">
        <f aca="false">VLOOKUP(A146,[1]Worksheet!$A$2:$I$1049,4,0)</f>
        <v>4</v>
      </c>
      <c r="E146" s="0" t="n">
        <f aca="false">VLOOKUP(A146,[1]Worksheet!$A$2:$I$1049,5,0)</f>
        <v>4</v>
      </c>
      <c r="F146" s="0" t="n">
        <f aca="false">VLOOKUP(A146,[1]Worksheet!$A$2:$I$1049,6,0)</f>
        <v>154</v>
      </c>
      <c r="G146" s="0" t="n">
        <f aca="false">VLOOKUP(A146,[1]Worksheet!$A$2:$I$1049,7,0)</f>
        <v>3.21</v>
      </c>
      <c r="K146" s="0" t="n">
        <v>0</v>
      </c>
      <c r="M146" s="0" t="n">
        <f aca="false">D146*E146</f>
        <v>16</v>
      </c>
      <c r="N146" s="0" t="n">
        <f aca="false">F146*G146</f>
        <v>494.34</v>
      </c>
      <c r="P146" s="0" t="n">
        <f aca="false">K146+D146</f>
        <v>4</v>
      </c>
      <c r="Q146" s="0" t="n">
        <f aca="false">M146/P146</f>
        <v>4</v>
      </c>
      <c r="R146" s="0" t="n">
        <f aca="false">F146+K146</f>
        <v>154</v>
      </c>
      <c r="S146" s="0" t="n">
        <f aca="false">N146/R146</f>
        <v>3.21</v>
      </c>
    </row>
    <row r="147" customFormat="false" ht="15" hidden="false" customHeight="false" outlineLevel="0" collapsed="false">
      <c r="A147" s="0" t="s">
        <v>1135</v>
      </c>
      <c r="B147" s="0" t="s">
        <v>1136</v>
      </c>
      <c r="C147" s="0" t="n">
        <v>20171</v>
      </c>
      <c r="D147" s="0" t="n">
        <f aca="false">VLOOKUP(A147,[1]Worksheet!$A$2:$I$1049,4,0)</f>
        <v>0</v>
      </c>
      <c r="E147" s="0" t="n">
        <f aca="false">VLOOKUP(A147,[1]Worksheet!$A$2:$I$1049,5,0)</f>
        <v>0</v>
      </c>
      <c r="F147" s="0" t="n">
        <f aca="false">VLOOKUP(A147,[1]Worksheet!$A$2:$I$1049,6,0)</f>
        <v>156</v>
      </c>
      <c r="G147" s="0" t="n">
        <f aca="false">VLOOKUP(A147,[1]Worksheet!$A$2:$I$1049,7,0)</f>
        <v>2.95</v>
      </c>
      <c r="K147" s="0" t="n">
        <v>4</v>
      </c>
      <c r="M147" s="0" t="n">
        <f aca="false">D147*E147</f>
        <v>0</v>
      </c>
      <c r="N147" s="0" t="n">
        <f aca="false">F147*G147</f>
        <v>460.2</v>
      </c>
      <c r="P147" s="0" t="n">
        <f aca="false">K147+D147</f>
        <v>4</v>
      </c>
      <c r="Q147" s="0" t="n">
        <f aca="false">M147/P147</f>
        <v>0</v>
      </c>
      <c r="R147" s="0" t="n">
        <f aca="false">F147+K147</f>
        <v>160</v>
      </c>
      <c r="S147" s="0" t="n">
        <f aca="false">N147/R147</f>
        <v>2.87625</v>
      </c>
    </row>
    <row r="148" customFormat="false" ht="15" hidden="false" customHeight="false" outlineLevel="0" collapsed="false">
      <c r="A148" s="0" t="s">
        <v>759</v>
      </c>
      <c r="B148" s="0" t="s">
        <v>760</v>
      </c>
      <c r="C148" s="0" t="n">
        <v>20171</v>
      </c>
      <c r="D148" s="0" t="n">
        <f aca="false">VLOOKUP(A148,[1]Worksheet!$A$2:$I$1049,4,0)</f>
        <v>18</v>
      </c>
      <c r="E148" s="0" t="n">
        <f aca="false">VLOOKUP(A148,[1]Worksheet!$A$2:$I$1049,5,0)</f>
        <v>3.31</v>
      </c>
      <c r="F148" s="0" t="n">
        <f aca="false">VLOOKUP(A148,[1]Worksheet!$A$2:$I$1049,6,0)</f>
        <v>138</v>
      </c>
      <c r="G148" s="0" t="n">
        <f aca="false">VLOOKUP(A148,[1]Worksheet!$A$2:$I$1049,7,0)</f>
        <v>3.08</v>
      </c>
      <c r="K148" s="0" t="n">
        <v>4</v>
      </c>
      <c r="M148" s="0" t="n">
        <f aca="false">D148*E148</f>
        <v>59.58</v>
      </c>
      <c r="N148" s="0" t="n">
        <f aca="false">F148*G148</f>
        <v>425.04</v>
      </c>
      <c r="P148" s="0" t="n">
        <f aca="false">K148+D148</f>
        <v>22</v>
      </c>
      <c r="Q148" s="0" t="n">
        <f aca="false">M148/P148</f>
        <v>2.70818181818182</v>
      </c>
      <c r="R148" s="0" t="n">
        <f aca="false">F148+K148</f>
        <v>142</v>
      </c>
      <c r="S148" s="0" t="n">
        <f aca="false">N148/R148</f>
        <v>2.99323943661972</v>
      </c>
    </row>
    <row r="149" customFormat="false" ht="15" hidden="false" customHeight="false" outlineLevel="0" collapsed="false">
      <c r="A149" s="0" t="s">
        <v>798</v>
      </c>
      <c r="B149" s="0" t="s">
        <v>799</v>
      </c>
      <c r="C149" s="0" t="n">
        <v>20171</v>
      </c>
      <c r="D149" s="0" t="n">
        <f aca="false">VLOOKUP(A149,[1]Worksheet!$A$2:$I$1049,4,0)</f>
        <v>10</v>
      </c>
      <c r="E149" s="0" t="n">
        <f aca="false">VLOOKUP(A149,[1]Worksheet!$A$2:$I$1049,5,0)</f>
        <v>2.9</v>
      </c>
      <c r="F149" s="0" t="n">
        <f aca="false">VLOOKUP(A149,[1]Worksheet!$A$2:$I$1049,6,0)</f>
        <v>140</v>
      </c>
      <c r="G149" s="0" t="n">
        <f aca="false">VLOOKUP(A149,[1]Worksheet!$A$2:$I$1049,7,0)</f>
        <v>3.13</v>
      </c>
      <c r="K149" s="0" t="n">
        <v>4</v>
      </c>
      <c r="M149" s="0" t="n">
        <f aca="false">D149*E149</f>
        <v>29</v>
      </c>
      <c r="N149" s="0" t="n">
        <f aca="false">F149*G149</f>
        <v>438.2</v>
      </c>
      <c r="P149" s="0" t="n">
        <f aca="false">K149+D149</f>
        <v>14</v>
      </c>
      <c r="Q149" s="0" t="n">
        <f aca="false">M149/P149</f>
        <v>2.07142857142857</v>
      </c>
      <c r="R149" s="0" t="n">
        <f aca="false">F149+K149</f>
        <v>144</v>
      </c>
      <c r="S149" s="0" t="n">
        <f aca="false">N149/R149</f>
        <v>3.04305555555556</v>
      </c>
    </row>
    <row r="150" customFormat="false" ht="15" hidden="false" customHeight="false" outlineLevel="0" collapsed="false">
      <c r="A150" s="0" t="s">
        <v>733</v>
      </c>
      <c r="B150" s="0" t="s">
        <v>734</v>
      </c>
      <c r="C150" s="0" t="n">
        <v>20171</v>
      </c>
      <c r="D150" s="0" t="n">
        <f aca="false">VLOOKUP(A150,[1]Worksheet!$A$2:$I$1049,4,0)</f>
        <v>19</v>
      </c>
      <c r="E150" s="0" t="n">
        <f aca="false">VLOOKUP(A150,[1]Worksheet!$A$2:$I$1049,5,0)</f>
        <v>2.42</v>
      </c>
      <c r="F150" s="0" t="n">
        <f aca="false">VLOOKUP(A150,[1]Worksheet!$A$2:$I$1049,6,0)</f>
        <v>138</v>
      </c>
      <c r="G150" s="0" t="n">
        <f aca="false">VLOOKUP(A150,[1]Worksheet!$A$2:$I$1049,7,0)</f>
        <v>2.81</v>
      </c>
      <c r="K150" s="0" t="n">
        <v>4</v>
      </c>
      <c r="M150" s="0" t="n">
        <f aca="false">D150*E150</f>
        <v>45.98</v>
      </c>
      <c r="N150" s="0" t="n">
        <f aca="false">F150*G150</f>
        <v>387.78</v>
      </c>
      <c r="P150" s="0" t="n">
        <f aca="false">K150+D150</f>
        <v>23</v>
      </c>
      <c r="Q150" s="0" t="n">
        <f aca="false">M150/P150</f>
        <v>1.99913043478261</v>
      </c>
      <c r="R150" s="0" t="n">
        <f aca="false">F150+K150</f>
        <v>142</v>
      </c>
      <c r="S150" s="0" t="n">
        <f aca="false">N150/R150</f>
        <v>2.73084507042254</v>
      </c>
    </row>
    <row r="151" customFormat="false" ht="15" hidden="false" customHeight="false" outlineLevel="0" collapsed="false">
      <c r="A151" s="0" t="s">
        <v>651</v>
      </c>
      <c r="B151" s="0" t="s">
        <v>652</v>
      </c>
      <c r="C151" s="0" t="n">
        <v>20171</v>
      </c>
      <c r="D151" s="0" t="n">
        <f aca="false">VLOOKUP(A151,[1]Worksheet!$A$2:$I$1049,4,0)</f>
        <v>18</v>
      </c>
      <c r="E151" s="0" t="n">
        <f aca="false">VLOOKUP(A151,[1]Worksheet!$A$2:$I$1049,5,0)</f>
        <v>3.39</v>
      </c>
      <c r="F151" s="0" t="n">
        <f aca="false">VLOOKUP(A151,[1]Worksheet!$A$2:$I$1049,6,0)</f>
        <v>131</v>
      </c>
      <c r="G151" s="0" t="n">
        <f aca="false">VLOOKUP(A151,[1]Worksheet!$A$2:$I$1049,7,0)</f>
        <v>3.06</v>
      </c>
      <c r="K151" s="0" t="n">
        <v>6</v>
      </c>
      <c r="M151" s="0" t="n">
        <f aca="false">D151*E151</f>
        <v>61.02</v>
      </c>
      <c r="N151" s="0" t="n">
        <f aca="false">F151*G151</f>
        <v>400.86</v>
      </c>
      <c r="P151" s="0" t="n">
        <f aca="false">K151+D151</f>
        <v>24</v>
      </c>
      <c r="Q151" s="0" t="n">
        <f aca="false">M151/P151</f>
        <v>2.5425</v>
      </c>
      <c r="R151" s="0" t="n">
        <f aca="false">F151+K151</f>
        <v>137</v>
      </c>
      <c r="S151" s="0" t="n">
        <f aca="false">N151/R151</f>
        <v>2.92598540145985</v>
      </c>
    </row>
    <row r="152" customFormat="false" ht="15" hidden="false" customHeight="false" outlineLevel="0" collapsed="false">
      <c r="A152" s="0" t="s">
        <v>735</v>
      </c>
      <c r="B152" s="0" t="s">
        <v>736</v>
      </c>
      <c r="C152" s="0" t="n">
        <v>20171</v>
      </c>
      <c r="D152" s="0" t="n">
        <f aca="false">VLOOKUP(A152,[1]Worksheet!$A$2:$I$1049,4,0)</f>
        <v>17</v>
      </c>
      <c r="E152" s="0" t="n">
        <f aca="false">VLOOKUP(A152,[1]Worksheet!$A$2:$I$1049,5,0)</f>
        <v>3.24</v>
      </c>
      <c r="F152" s="0" t="n">
        <f aca="false">VLOOKUP(A152,[1]Worksheet!$A$2:$I$1049,6,0)</f>
        <v>131</v>
      </c>
      <c r="G152" s="0" t="n">
        <f aca="false">VLOOKUP(A152,[1]Worksheet!$A$2:$I$1049,7,0)</f>
        <v>2.73</v>
      </c>
      <c r="K152" s="0" t="n">
        <v>4</v>
      </c>
      <c r="M152" s="0" t="n">
        <f aca="false">D152*E152</f>
        <v>55.08</v>
      </c>
      <c r="N152" s="0" t="n">
        <f aca="false">F152*G152</f>
        <v>357.63</v>
      </c>
      <c r="P152" s="0" t="n">
        <f aca="false">K152+D152</f>
        <v>21</v>
      </c>
      <c r="Q152" s="0" t="n">
        <f aca="false">M152/P152</f>
        <v>2.62285714285714</v>
      </c>
      <c r="R152" s="0" t="n">
        <f aca="false">F152+K152</f>
        <v>135</v>
      </c>
      <c r="S152" s="0" t="n">
        <f aca="false">N152/R152</f>
        <v>2.64911111111111</v>
      </c>
    </row>
    <row r="153" customFormat="false" ht="15" hidden="false" customHeight="false" outlineLevel="0" collapsed="false">
      <c r="A153" s="0" t="s">
        <v>525</v>
      </c>
      <c r="B153" s="0" t="s">
        <v>526</v>
      </c>
      <c r="C153" s="0" t="n">
        <v>20171</v>
      </c>
      <c r="D153" s="0" t="n">
        <f aca="false">VLOOKUP(A153,[1]Worksheet!$A$2:$I$1049,4,0)</f>
        <v>22</v>
      </c>
      <c r="E153" s="0" t="n">
        <f aca="false">VLOOKUP(A153,[1]Worksheet!$A$2:$I$1049,5,0)</f>
        <v>2.73</v>
      </c>
      <c r="F153" s="0" t="n">
        <f aca="false">VLOOKUP(A153,[1]Worksheet!$A$2:$I$1049,6,0)</f>
        <v>133</v>
      </c>
      <c r="G153" s="0" t="n">
        <f aca="false">VLOOKUP(A153,[1]Worksheet!$A$2:$I$1049,7,0)</f>
        <v>2.43</v>
      </c>
      <c r="K153" s="0" t="n">
        <v>2</v>
      </c>
      <c r="M153" s="0" t="n">
        <f aca="false">D153*E153</f>
        <v>60.06</v>
      </c>
      <c r="N153" s="0" t="n">
        <f aca="false">F153*G153</f>
        <v>323.19</v>
      </c>
      <c r="P153" s="0" t="n">
        <f aca="false">K153+D153</f>
        <v>24</v>
      </c>
      <c r="Q153" s="0" t="n">
        <f aca="false">M153/P153</f>
        <v>2.5025</v>
      </c>
      <c r="R153" s="0" t="n">
        <f aca="false">F153+K153</f>
        <v>135</v>
      </c>
      <c r="S153" s="0" t="n">
        <f aca="false">N153/R153</f>
        <v>2.394</v>
      </c>
    </row>
    <row r="154" customFormat="false" ht="15" hidden="false" customHeight="false" outlineLevel="0" collapsed="false">
      <c r="A154" s="0" t="s">
        <v>755</v>
      </c>
      <c r="B154" s="0" t="s">
        <v>756</v>
      </c>
      <c r="C154" s="0" t="n">
        <v>20171</v>
      </c>
      <c r="D154" s="0" t="n">
        <f aca="false">VLOOKUP(A154,[1]Worksheet!$A$2:$I$1049,4,0)</f>
        <v>15</v>
      </c>
      <c r="E154" s="0" t="n">
        <f aca="false">VLOOKUP(A154,[1]Worksheet!$A$2:$I$1049,5,0)</f>
        <v>3.13</v>
      </c>
      <c r="F154" s="0" t="n">
        <f aca="false">VLOOKUP(A154,[1]Worksheet!$A$2:$I$1049,6,0)</f>
        <v>141</v>
      </c>
      <c r="G154" s="0" t="n">
        <f aca="false">VLOOKUP(A154,[1]Worksheet!$A$2:$I$1049,7,0)</f>
        <v>3.04</v>
      </c>
      <c r="K154" s="0" t="n">
        <v>6</v>
      </c>
      <c r="M154" s="0" t="n">
        <f aca="false">D154*E154</f>
        <v>46.95</v>
      </c>
      <c r="N154" s="0" t="n">
        <f aca="false">F154*G154</f>
        <v>428.64</v>
      </c>
      <c r="P154" s="0" t="n">
        <f aca="false">K154+D154</f>
        <v>21</v>
      </c>
      <c r="Q154" s="0" t="n">
        <f aca="false">M154/P154</f>
        <v>2.23571428571429</v>
      </c>
      <c r="R154" s="0" t="n">
        <f aca="false">F154+K154</f>
        <v>147</v>
      </c>
      <c r="S154" s="0" t="n">
        <f aca="false">N154/R154</f>
        <v>2.91591836734694</v>
      </c>
    </row>
    <row r="155" customFormat="false" ht="15" hidden="false" customHeight="false" outlineLevel="0" collapsed="false">
      <c r="A155" s="0" t="s">
        <v>777</v>
      </c>
      <c r="B155" s="0" t="s">
        <v>778</v>
      </c>
      <c r="C155" s="0" t="n">
        <v>20171</v>
      </c>
      <c r="D155" s="0" t="n">
        <f aca="false">VLOOKUP(A155,[1]Worksheet!$A$2:$I$1049,4,0)</f>
        <v>13</v>
      </c>
      <c r="E155" s="0" t="n">
        <f aca="false">VLOOKUP(A155,[1]Worksheet!$A$2:$I$1049,5,0)</f>
        <v>1.77</v>
      </c>
      <c r="F155" s="0" t="n">
        <f aca="false">VLOOKUP(A155,[1]Worksheet!$A$2:$I$1049,6,0)</f>
        <v>139</v>
      </c>
      <c r="G155" s="0" t="n">
        <f aca="false">VLOOKUP(A155,[1]Worksheet!$A$2:$I$1049,7,0)</f>
        <v>3.06</v>
      </c>
      <c r="K155" s="0" t="n">
        <v>6</v>
      </c>
      <c r="M155" s="0" t="n">
        <f aca="false">D155*E155</f>
        <v>23.01</v>
      </c>
      <c r="N155" s="0" t="n">
        <f aca="false">F155*G155</f>
        <v>425.34</v>
      </c>
      <c r="P155" s="0" t="n">
        <f aca="false">K155+D155</f>
        <v>19</v>
      </c>
      <c r="Q155" s="0" t="n">
        <f aca="false">M155/P155</f>
        <v>1.21105263157895</v>
      </c>
      <c r="R155" s="0" t="n">
        <f aca="false">F155+K155</f>
        <v>145</v>
      </c>
      <c r="S155" s="0" t="n">
        <f aca="false">N155/R155</f>
        <v>2.93337931034483</v>
      </c>
    </row>
    <row r="156" customFormat="false" ht="15" hidden="false" customHeight="false" outlineLevel="0" collapsed="false">
      <c r="A156" s="0" t="s">
        <v>800</v>
      </c>
      <c r="B156" s="0" t="s">
        <v>801</v>
      </c>
      <c r="C156" s="0" t="n">
        <v>20171</v>
      </c>
      <c r="D156" s="0" t="n">
        <f aca="false">VLOOKUP(A156,[1]Worksheet!$A$2:$I$1049,4,0)</f>
        <v>16</v>
      </c>
      <c r="E156" s="0" t="n">
        <f aca="false">VLOOKUP(A156,[1]Worksheet!$A$2:$I$1049,5,0)</f>
        <v>3.5</v>
      </c>
      <c r="F156" s="0" t="n">
        <f aca="false">VLOOKUP(A156,[1]Worksheet!$A$2:$I$1049,6,0)</f>
        <v>144</v>
      </c>
      <c r="G156" s="0" t="n">
        <f aca="false">VLOOKUP(A156,[1]Worksheet!$A$2:$I$1049,7,0)</f>
        <v>3.45</v>
      </c>
      <c r="K156" s="0" t="n">
        <v>4</v>
      </c>
      <c r="M156" s="0" t="n">
        <f aca="false">D156*E156</f>
        <v>56</v>
      </c>
      <c r="N156" s="0" t="n">
        <f aca="false">F156*G156</f>
        <v>496.8</v>
      </c>
      <c r="P156" s="0" t="n">
        <f aca="false">K156+D156</f>
        <v>20</v>
      </c>
      <c r="Q156" s="0" t="n">
        <f aca="false">M156/P156</f>
        <v>2.8</v>
      </c>
      <c r="R156" s="0" t="n">
        <f aca="false">F156+K156</f>
        <v>148</v>
      </c>
      <c r="S156" s="0" t="n">
        <f aca="false">N156/R156</f>
        <v>3.35675675675676</v>
      </c>
    </row>
    <row r="157" customFormat="false" ht="15" hidden="false" customHeight="false" outlineLevel="0" collapsed="false">
      <c r="A157" s="0" t="s">
        <v>653</v>
      </c>
      <c r="B157" s="0" t="s">
        <v>654</v>
      </c>
      <c r="C157" s="0" t="n">
        <v>20171</v>
      </c>
      <c r="D157" s="0" t="n">
        <f aca="false">VLOOKUP(A157,[1]Worksheet!$A$2:$I$1049,4,0)</f>
        <v>18</v>
      </c>
      <c r="E157" s="0" t="n">
        <f aca="false">VLOOKUP(A157,[1]Worksheet!$A$2:$I$1049,5,0)</f>
        <v>1.64</v>
      </c>
      <c r="F157" s="0" t="n">
        <f aca="false">VLOOKUP(A157,[1]Worksheet!$A$2:$I$1049,6,0)</f>
        <v>114</v>
      </c>
      <c r="G157" s="0" t="n">
        <f aca="false">VLOOKUP(A157,[1]Worksheet!$A$2:$I$1049,7,0)</f>
        <v>2.17</v>
      </c>
      <c r="K157" s="0" t="n">
        <v>0</v>
      </c>
      <c r="M157" s="0" t="n">
        <f aca="false">D157*E157</f>
        <v>29.52</v>
      </c>
      <c r="N157" s="0" t="n">
        <f aca="false">F157*G157</f>
        <v>247.38</v>
      </c>
      <c r="P157" s="0" t="n">
        <f aca="false">K157+D157</f>
        <v>18</v>
      </c>
      <c r="Q157" s="0" t="n">
        <f aca="false">M157/P157</f>
        <v>1.64</v>
      </c>
      <c r="R157" s="0" t="n">
        <f aca="false">F157+K157</f>
        <v>114</v>
      </c>
      <c r="S157" s="0" t="n">
        <f aca="false">N157/R157</f>
        <v>2.17</v>
      </c>
    </row>
    <row r="158" customFormat="false" ht="15" hidden="false" customHeight="false" outlineLevel="0" collapsed="false">
      <c r="A158" s="0" t="s">
        <v>655</v>
      </c>
      <c r="B158" s="0" t="s">
        <v>656</v>
      </c>
      <c r="C158" s="0" t="n">
        <v>20171</v>
      </c>
      <c r="D158" s="0" t="n">
        <f aca="false">VLOOKUP(A158,[1]Worksheet!$A$2:$I$1049,4,0)</f>
        <v>19</v>
      </c>
      <c r="E158" s="0" t="n">
        <f aca="false">VLOOKUP(A158,[1]Worksheet!$A$2:$I$1049,5,0)</f>
        <v>1.76</v>
      </c>
      <c r="F158" s="0" t="n">
        <f aca="false">VLOOKUP(A158,[1]Worksheet!$A$2:$I$1049,6,0)</f>
        <v>132</v>
      </c>
      <c r="G158" s="0" t="n">
        <f aca="false">VLOOKUP(A158,[1]Worksheet!$A$2:$I$1049,7,0)</f>
        <v>2.16</v>
      </c>
      <c r="K158" s="0" t="n">
        <v>4</v>
      </c>
      <c r="M158" s="0" t="n">
        <f aca="false">D158*E158</f>
        <v>33.44</v>
      </c>
      <c r="N158" s="0" t="n">
        <f aca="false">F158*G158</f>
        <v>285.12</v>
      </c>
      <c r="P158" s="0" t="n">
        <f aca="false">K158+D158</f>
        <v>23</v>
      </c>
      <c r="Q158" s="0" t="n">
        <f aca="false">M158/P158</f>
        <v>1.45391304347826</v>
      </c>
      <c r="R158" s="0" t="n">
        <f aca="false">F158+K158</f>
        <v>136</v>
      </c>
      <c r="S158" s="0" t="n">
        <f aca="false">N158/R158</f>
        <v>2.09647058823529</v>
      </c>
    </row>
    <row r="159" customFormat="false" ht="15" hidden="false" customHeight="false" outlineLevel="0" collapsed="false">
      <c r="A159" s="0" t="s">
        <v>259</v>
      </c>
      <c r="B159" s="0" t="s">
        <v>260</v>
      </c>
      <c r="C159" s="0" t="n">
        <v>20171</v>
      </c>
      <c r="D159" s="0" t="n">
        <f aca="false">VLOOKUP(A159,[1]Worksheet!$A$2:$I$1049,4,0)</f>
        <v>23</v>
      </c>
      <c r="E159" s="0" t="n">
        <f aca="false">VLOOKUP(A159,[1]Worksheet!$A$2:$I$1049,5,0)</f>
        <v>1.87</v>
      </c>
      <c r="F159" s="0" t="n">
        <f aca="false">VLOOKUP(A159,[1]Worksheet!$A$2:$I$1049,6,0)</f>
        <v>128</v>
      </c>
      <c r="G159" s="0" t="n">
        <f aca="false">VLOOKUP(A159,[1]Worksheet!$A$2:$I$1049,7,0)</f>
        <v>2.36</v>
      </c>
      <c r="K159" s="0" t="n">
        <v>0</v>
      </c>
      <c r="M159" s="0" t="n">
        <f aca="false">D159*E159</f>
        <v>43.01</v>
      </c>
      <c r="N159" s="0" t="n">
        <f aca="false">F159*G159</f>
        <v>302.08</v>
      </c>
      <c r="P159" s="0" t="n">
        <f aca="false">K159+D159</f>
        <v>23</v>
      </c>
      <c r="Q159" s="0" t="n">
        <f aca="false">M159/P159</f>
        <v>1.87</v>
      </c>
      <c r="R159" s="0" t="n">
        <f aca="false">F159+K159</f>
        <v>128</v>
      </c>
      <c r="S159" s="0" t="n">
        <f aca="false">N159/R159</f>
        <v>2.36</v>
      </c>
    </row>
    <row r="160" customFormat="false" ht="15" hidden="false" customHeight="false" outlineLevel="0" collapsed="false">
      <c r="A160" s="0" t="s">
        <v>802</v>
      </c>
      <c r="B160" s="0" t="s">
        <v>803</v>
      </c>
      <c r="C160" s="0" t="n">
        <v>20171</v>
      </c>
      <c r="D160" s="0" t="n">
        <f aca="false">VLOOKUP(A160,[1]Worksheet!$A$2:$I$1049,4,0)</f>
        <v>19</v>
      </c>
      <c r="E160" s="0" t="n">
        <f aca="false">VLOOKUP(A160,[1]Worksheet!$A$2:$I$1049,5,0)</f>
        <v>3.08</v>
      </c>
      <c r="F160" s="0" t="n">
        <f aca="false">VLOOKUP(A160,[1]Worksheet!$A$2:$I$1049,6,0)</f>
        <v>136</v>
      </c>
      <c r="G160" s="0" t="n">
        <f aca="false">VLOOKUP(A160,[1]Worksheet!$A$2:$I$1049,7,0)</f>
        <v>3.02</v>
      </c>
      <c r="K160" s="0" t="n">
        <v>4</v>
      </c>
      <c r="M160" s="0" t="n">
        <f aca="false">D160*E160</f>
        <v>58.52</v>
      </c>
      <c r="N160" s="0" t="n">
        <f aca="false">F160*G160</f>
        <v>410.72</v>
      </c>
      <c r="P160" s="0" t="n">
        <f aca="false">K160+D160</f>
        <v>23</v>
      </c>
      <c r="Q160" s="0" t="n">
        <f aca="false">M160/P160</f>
        <v>2.54434782608696</v>
      </c>
      <c r="R160" s="0" t="n">
        <f aca="false">F160+K160</f>
        <v>140</v>
      </c>
      <c r="S160" s="0" t="n">
        <f aca="false">N160/R160</f>
        <v>2.93371428571429</v>
      </c>
    </row>
    <row r="161" customFormat="false" ht="15" hidden="false" customHeight="false" outlineLevel="0" collapsed="false">
      <c r="A161" s="0" t="s">
        <v>804</v>
      </c>
      <c r="B161" s="0" t="s">
        <v>805</v>
      </c>
      <c r="C161" s="0" t="n">
        <v>20171</v>
      </c>
      <c r="D161" s="0" t="n">
        <f aca="false">VLOOKUP(A161,[1]Worksheet!$A$2:$I$1049,4,0)</f>
        <v>7</v>
      </c>
      <c r="E161" s="0" t="n">
        <f aca="false">VLOOKUP(A161,[1]Worksheet!$A$2:$I$1049,5,0)</f>
        <v>3.21</v>
      </c>
      <c r="F161" s="0" t="n">
        <f aca="false">VLOOKUP(A161,[1]Worksheet!$A$2:$I$1049,6,0)</f>
        <v>141</v>
      </c>
      <c r="G161" s="0" t="n">
        <f aca="false">VLOOKUP(A161,[1]Worksheet!$A$2:$I$1049,7,0)</f>
        <v>3.55</v>
      </c>
      <c r="K161" s="0" t="n">
        <v>6</v>
      </c>
      <c r="M161" s="0" t="n">
        <f aca="false">D161*E161</f>
        <v>22.47</v>
      </c>
      <c r="N161" s="0" t="n">
        <f aca="false">F161*G161</f>
        <v>500.55</v>
      </c>
      <c r="P161" s="0" t="n">
        <f aca="false">K161+D161</f>
        <v>13</v>
      </c>
      <c r="Q161" s="0" t="n">
        <f aca="false">M161/P161</f>
        <v>1.72846153846154</v>
      </c>
      <c r="R161" s="0" t="n">
        <f aca="false">F161+K161</f>
        <v>147</v>
      </c>
      <c r="S161" s="0" t="n">
        <f aca="false">N161/R161</f>
        <v>3.40510204081633</v>
      </c>
    </row>
    <row r="162" customFormat="false" ht="15" hidden="false" customHeight="false" outlineLevel="0" collapsed="false">
      <c r="A162" s="0" t="s">
        <v>806</v>
      </c>
      <c r="B162" s="0" t="s">
        <v>807</v>
      </c>
      <c r="C162" s="0" t="n">
        <v>20171</v>
      </c>
      <c r="D162" s="0" t="n">
        <f aca="false">VLOOKUP(A162,[1]Worksheet!$A$2:$I$1049,4,0)</f>
        <v>20</v>
      </c>
      <c r="E162" s="0" t="n">
        <f aca="false">VLOOKUP(A162,[1]Worksheet!$A$2:$I$1049,5,0)</f>
        <v>3.3</v>
      </c>
      <c r="F162" s="0" t="n">
        <f aca="false">VLOOKUP(A162,[1]Worksheet!$A$2:$I$1049,6,0)</f>
        <v>145</v>
      </c>
      <c r="G162" s="0" t="n">
        <f aca="false">VLOOKUP(A162,[1]Worksheet!$A$2:$I$1049,7,0)</f>
        <v>3.06</v>
      </c>
      <c r="K162" s="0" t="n">
        <v>0</v>
      </c>
      <c r="M162" s="0" t="n">
        <f aca="false">D162*E162</f>
        <v>66</v>
      </c>
      <c r="N162" s="0" t="n">
        <f aca="false">F162*G162</f>
        <v>443.7</v>
      </c>
      <c r="P162" s="0" t="n">
        <f aca="false">K162+D162</f>
        <v>20</v>
      </c>
      <c r="Q162" s="0" t="n">
        <f aca="false">M162/P162</f>
        <v>3.3</v>
      </c>
      <c r="R162" s="0" t="n">
        <f aca="false">F162+K162</f>
        <v>145</v>
      </c>
      <c r="S162" s="0" t="n">
        <f aca="false">N162/R162</f>
        <v>3.06</v>
      </c>
    </row>
    <row r="163" customFormat="false" ht="15" hidden="false" customHeight="false" outlineLevel="0" collapsed="false">
      <c r="A163" s="0" t="s">
        <v>575</v>
      </c>
      <c r="B163" s="0" t="s">
        <v>576</v>
      </c>
      <c r="C163" s="0" t="n">
        <v>20171</v>
      </c>
      <c r="D163" s="0" t="n">
        <f aca="false">VLOOKUP(A163,[1]Worksheet!$A$2:$I$1049,4,0)</f>
        <v>21</v>
      </c>
      <c r="E163" s="0" t="n">
        <f aca="false">VLOOKUP(A163,[1]Worksheet!$A$2:$I$1049,5,0)</f>
        <v>2.1</v>
      </c>
      <c r="F163" s="0" t="n">
        <f aca="false">VLOOKUP(A163,[1]Worksheet!$A$2:$I$1049,6,0)</f>
        <v>122</v>
      </c>
      <c r="G163" s="0" t="n">
        <f aca="false">VLOOKUP(A163,[1]Worksheet!$A$2:$I$1049,7,0)</f>
        <v>2.23</v>
      </c>
      <c r="K163" s="0" t="n">
        <v>0</v>
      </c>
      <c r="M163" s="0" t="n">
        <f aca="false">D163*E163</f>
        <v>44.1</v>
      </c>
      <c r="N163" s="0" t="n">
        <f aca="false">F163*G163</f>
        <v>272.06</v>
      </c>
      <c r="P163" s="0" t="n">
        <f aca="false">K163+D163</f>
        <v>21</v>
      </c>
      <c r="Q163" s="0" t="n">
        <f aca="false">M163/P163</f>
        <v>2.1</v>
      </c>
      <c r="R163" s="0" t="n">
        <f aca="false">F163+K163</f>
        <v>122</v>
      </c>
      <c r="S163" s="0" t="n">
        <f aca="false">N163/R163</f>
        <v>2.23</v>
      </c>
    </row>
    <row r="164" customFormat="false" ht="15" hidden="false" customHeight="false" outlineLevel="0" collapsed="false">
      <c r="A164" s="0" t="s">
        <v>761</v>
      </c>
      <c r="B164" s="0" t="s">
        <v>762</v>
      </c>
      <c r="C164" s="0" t="n">
        <v>20171</v>
      </c>
      <c r="D164" s="0" t="n">
        <f aca="false">VLOOKUP(A164,[1]Worksheet!$A$2:$I$1049,4,0)</f>
        <v>20</v>
      </c>
      <c r="E164" s="0" t="n">
        <f aca="false">VLOOKUP(A164,[1]Worksheet!$A$2:$I$1049,5,0)</f>
        <v>3.38</v>
      </c>
      <c r="F164" s="0" t="n">
        <f aca="false">VLOOKUP(A164,[1]Worksheet!$A$2:$I$1049,6,0)</f>
        <v>142</v>
      </c>
      <c r="G164" s="0" t="n">
        <f aca="false">VLOOKUP(A164,[1]Worksheet!$A$2:$I$1049,7,0)</f>
        <v>3.19</v>
      </c>
      <c r="K164" s="0" t="n">
        <v>0</v>
      </c>
      <c r="M164" s="0" t="n">
        <f aca="false">D164*E164</f>
        <v>67.6</v>
      </c>
      <c r="N164" s="0" t="n">
        <f aca="false">F164*G164</f>
        <v>452.98</v>
      </c>
      <c r="P164" s="0" t="n">
        <f aca="false">K164+D164</f>
        <v>20</v>
      </c>
      <c r="Q164" s="0" t="n">
        <f aca="false">M164/P164</f>
        <v>3.38</v>
      </c>
      <c r="R164" s="0" t="n">
        <f aca="false">F164+K164</f>
        <v>142</v>
      </c>
      <c r="S164" s="0" t="n">
        <f aca="false">N164/R164</f>
        <v>3.19</v>
      </c>
    </row>
    <row r="165" customFormat="false" ht="15" hidden="false" customHeight="false" outlineLevel="0" collapsed="false">
      <c r="A165" s="0" t="s">
        <v>21</v>
      </c>
      <c r="B165" s="0" t="s">
        <v>22</v>
      </c>
      <c r="C165" s="0" t="n">
        <v>20171</v>
      </c>
      <c r="D165" s="0" t="n">
        <f aca="false">VLOOKUP(A165,[1]Worksheet!$A$2:$I$1049,4,0)</f>
        <v>20</v>
      </c>
      <c r="E165" s="0" t="n">
        <f aca="false">VLOOKUP(A165,[1]Worksheet!$A$2:$I$1049,5,0)</f>
        <v>1.4</v>
      </c>
      <c r="F165" s="0" t="n">
        <f aca="false">VLOOKUP(A165,[1]Worksheet!$A$2:$I$1049,6,0)</f>
        <v>126</v>
      </c>
      <c r="G165" s="0" t="n">
        <f aca="false">VLOOKUP(A165,[1]Worksheet!$A$2:$I$1049,7,0)</f>
        <v>2.2</v>
      </c>
      <c r="K165" s="0" t="n">
        <v>4</v>
      </c>
      <c r="M165" s="0" t="n">
        <f aca="false">D165*E165</f>
        <v>28</v>
      </c>
      <c r="N165" s="0" t="n">
        <f aca="false">F165*G165</f>
        <v>277.2</v>
      </c>
      <c r="P165" s="0" t="n">
        <f aca="false">K165+D165</f>
        <v>24</v>
      </c>
      <c r="Q165" s="0" t="n">
        <f aca="false">M165/P165</f>
        <v>1.16666666666667</v>
      </c>
      <c r="R165" s="0" t="n">
        <f aca="false">F165+K165</f>
        <v>130</v>
      </c>
      <c r="S165" s="0" t="n">
        <f aca="false">N165/R165</f>
        <v>2.13230769230769</v>
      </c>
    </row>
    <row r="166" customFormat="false" ht="15" hidden="false" customHeight="false" outlineLevel="0" collapsed="false">
      <c r="A166" s="0" t="s">
        <v>112</v>
      </c>
      <c r="B166" s="0" t="s">
        <v>113</v>
      </c>
      <c r="C166" s="0" t="n">
        <v>20171</v>
      </c>
      <c r="D166" s="0" t="n">
        <f aca="false">VLOOKUP(A166,[1]Worksheet!$A$2:$I$1049,4,0)</f>
        <v>18</v>
      </c>
      <c r="E166" s="0" t="n">
        <f aca="false">VLOOKUP(A166,[1]Worksheet!$A$2:$I$1049,5,0)</f>
        <v>2.53</v>
      </c>
      <c r="F166" s="0" t="n">
        <f aca="false">VLOOKUP(A166,[1]Worksheet!$A$2:$I$1049,6,0)</f>
        <v>131</v>
      </c>
      <c r="G166" s="0" t="n">
        <f aca="false">VLOOKUP(A166,[1]Worksheet!$A$2:$I$1049,7,0)</f>
        <v>2.71</v>
      </c>
      <c r="K166" s="0" t="n">
        <v>6</v>
      </c>
      <c r="M166" s="0" t="n">
        <f aca="false">D166*E166</f>
        <v>45.54</v>
      </c>
      <c r="N166" s="0" t="n">
        <f aca="false">F166*G166</f>
        <v>355.01</v>
      </c>
      <c r="P166" s="0" t="n">
        <f aca="false">K166+D166</f>
        <v>24</v>
      </c>
      <c r="Q166" s="0" t="n">
        <f aca="false">M166/P166</f>
        <v>1.8975</v>
      </c>
      <c r="R166" s="0" t="n">
        <f aca="false">F166+K166</f>
        <v>137</v>
      </c>
      <c r="S166" s="0" t="n">
        <f aca="false">N166/R166</f>
        <v>2.59131386861314</v>
      </c>
    </row>
    <row r="167" customFormat="false" ht="15" hidden="false" customHeight="false" outlineLevel="0" collapsed="false">
      <c r="A167" s="0" t="s">
        <v>601</v>
      </c>
      <c r="B167" s="0" t="s">
        <v>602</v>
      </c>
      <c r="C167" s="0" t="n">
        <v>20171</v>
      </c>
      <c r="D167" s="0" t="n">
        <f aca="false">VLOOKUP(A167,[1]Worksheet!$A$2:$I$1049,4,0)</f>
        <v>23</v>
      </c>
      <c r="E167" s="0" t="n">
        <f aca="false">VLOOKUP(A167,[1]Worksheet!$A$2:$I$1049,5,0)</f>
        <v>2</v>
      </c>
      <c r="F167" s="0" t="n">
        <f aca="false">VLOOKUP(A167,[1]Worksheet!$A$2:$I$1049,6,0)</f>
        <v>121</v>
      </c>
      <c r="G167" s="0" t="n">
        <f aca="false">VLOOKUP(A167,[1]Worksheet!$A$2:$I$1049,7,0)</f>
        <v>2.31</v>
      </c>
      <c r="K167" s="0" t="n">
        <v>0</v>
      </c>
      <c r="M167" s="0" t="n">
        <f aca="false">D167*E167</f>
        <v>46</v>
      </c>
      <c r="N167" s="0" t="n">
        <f aca="false">F167*G167</f>
        <v>279.51</v>
      </c>
      <c r="P167" s="0" t="n">
        <f aca="false">K167+D167</f>
        <v>23</v>
      </c>
      <c r="Q167" s="0" t="n">
        <f aca="false">M167/P167</f>
        <v>2</v>
      </c>
      <c r="R167" s="0" t="n">
        <f aca="false">F167+K167</f>
        <v>121</v>
      </c>
      <c r="S167" s="0" t="n">
        <f aca="false">N167/R167</f>
        <v>2.31</v>
      </c>
    </row>
    <row r="168" customFormat="false" ht="15" hidden="false" customHeight="false" outlineLevel="0" collapsed="false">
      <c r="A168" s="0" t="s">
        <v>737</v>
      </c>
      <c r="B168" s="0" t="s">
        <v>738</v>
      </c>
      <c r="C168" s="0" t="n">
        <v>20171</v>
      </c>
      <c r="D168" s="0" t="n">
        <f aca="false">VLOOKUP(A168,[1]Worksheet!$A$2:$I$1049,4,0)</f>
        <v>19</v>
      </c>
      <c r="E168" s="0" t="n">
        <f aca="false">VLOOKUP(A168,[1]Worksheet!$A$2:$I$1049,5,0)</f>
        <v>2.24</v>
      </c>
      <c r="F168" s="0" t="n">
        <f aca="false">VLOOKUP(A168,[1]Worksheet!$A$2:$I$1049,6,0)</f>
        <v>128</v>
      </c>
      <c r="G168" s="0" t="n">
        <f aca="false">VLOOKUP(A168,[1]Worksheet!$A$2:$I$1049,7,0)</f>
        <v>2.53</v>
      </c>
      <c r="K168" s="0" t="n">
        <v>4</v>
      </c>
      <c r="M168" s="0" t="n">
        <f aca="false">D168*E168</f>
        <v>42.56</v>
      </c>
      <c r="N168" s="0" t="n">
        <f aca="false">F168*G168</f>
        <v>323.84</v>
      </c>
      <c r="P168" s="0" t="n">
        <f aca="false">K168+D168</f>
        <v>23</v>
      </c>
      <c r="Q168" s="0" t="n">
        <f aca="false">M168/P168</f>
        <v>1.8504347826087</v>
      </c>
      <c r="R168" s="0" t="n">
        <f aca="false">F168+K168</f>
        <v>132</v>
      </c>
      <c r="S168" s="0" t="n">
        <f aca="false">N168/R168</f>
        <v>2.45333333333333</v>
      </c>
    </row>
    <row r="169" customFormat="false" ht="15" hidden="false" customHeight="false" outlineLevel="0" collapsed="false">
      <c r="A169" s="0" t="s">
        <v>844</v>
      </c>
      <c r="B169" s="0" t="s">
        <v>845</v>
      </c>
      <c r="C169" s="0" t="n">
        <v>20171</v>
      </c>
      <c r="D169" s="0" t="n">
        <f aca="false">VLOOKUP(A169,[1]Worksheet!$A$2:$I$1049,4,0)</f>
        <v>19</v>
      </c>
      <c r="E169" s="0" t="n">
        <f aca="false">VLOOKUP(A169,[1]Worksheet!$A$2:$I$1049,5,0)</f>
        <v>3.18</v>
      </c>
      <c r="F169" s="0" t="n">
        <f aca="false">VLOOKUP(A169,[1]Worksheet!$A$2:$I$1049,6,0)</f>
        <v>130</v>
      </c>
      <c r="G169" s="0" t="n">
        <f aca="false">VLOOKUP(A169,[1]Worksheet!$A$2:$I$1049,7,0)</f>
        <v>2.94</v>
      </c>
      <c r="K169" s="0" t="n">
        <v>0</v>
      </c>
      <c r="M169" s="0" t="n">
        <f aca="false">D169*E169</f>
        <v>60.42</v>
      </c>
      <c r="N169" s="0" t="n">
        <f aca="false">F169*G169</f>
        <v>382.2</v>
      </c>
      <c r="P169" s="0" t="n">
        <f aca="false">K169+D169</f>
        <v>19</v>
      </c>
      <c r="Q169" s="0" t="n">
        <f aca="false">M169/P169</f>
        <v>3.18</v>
      </c>
      <c r="R169" s="0" t="n">
        <f aca="false">F169+K169</f>
        <v>130</v>
      </c>
      <c r="S169" s="0" t="n">
        <f aca="false">N169/R169</f>
        <v>2.94</v>
      </c>
    </row>
    <row r="170" customFormat="false" ht="15" hidden="false" customHeight="false" outlineLevel="0" collapsed="false">
      <c r="A170" s="0" t="s">
        <v>613</v>
      </c>
      <c r="B170" s="0" t="s">
        <v>614</v>
      </c>
      <c r="C170" s="0" t="n">
        <v>20171</v>
      </c>
      <c r="D170" s="0" t="n">
        <f aca="false">VLOOKUP(A170,[1]Worksheet!$A$2:$I$1049,4,0)</f>
        <v>17</v>
      </c>
      <c r="E170" s="0" t="n">
        <f aca="false">VLOOKUP(A170,[1]Worksheet!$A$2:$I$1049,5,0)</f>
        <v>2.68</v>
      </c>
      <c r="F170" s="0" t="n">
        <f aca="false">VLOOKUP(A170,[1]Worksheet!$A$2:$I$1049,6,0)</f>
        <v>134</v>
      </c>
      <c r="G170" s="0" t="n">
        <f aca="false">VLOOKUP(A170,[1]Worksheet!$A$2:$I$1049,7,0)</f>
        <v>2.91</v>
      </c>
      <c r="K170" s="0" t="n">
        <v>6</v>
      </c>
      <c r="M170" s="0" t="n">
        <f aca="false">D170*E170</f>
        <v>45.56</v>
      </c>
      <c r="N170" s="0" t="n">
        <f aca="false">F170*G170</f>
        <v>389.94</v>
      </c>
      <c r="P170" s="0" t="n">
        <f aca="false">K170+D170</f>
        <v>23</v>
      </c>
      <c r="Q170" s="0" t="n">
        <f aca="false">M170/P170</f>
        <v>1.98086956521739</v>
      </c>
      <c r="R170" s="0" t="n">
        <f aca="false">F170+K170</f>
        <v>140</v>
      </c>
      <c r="S170" s="0" t="n">
        <f aca="false">N170/R170</f>
        <v>2.78528571428571</v>
      </c>
    </row>
    <row r="171" customFormat="false" ht="15" hidden="false" customHeight="false" outlineLevel="0" collapsed="false">
      <c r="A171" s="0" t="s">
        <v>808</v>
      </c>
      <c r="B171" s="0" t="s">
        <v>809</v>
      </c>
      <c r="C171" s="0" t="n">
        <v>20171</v>
      </c>
      <c r="D171" s="0" t="n">
        <f aca="false">VLOOKUP(A171,[1]Worksheet!$A$2:$I$1049,4,0)</f>
        <v>19</v>
      </c>
      <c r="E171" s="0" t="n">
        <f aca="false">VLOOKUP(A171,[1]Worksheet!$A$2:$I$1049,5,0)</f>
        <v>3.84</v>
      </c>
      <c r="F171" s="0" t="n">
        <f aca="false">VLOOKUP(A171,[1]Worksheet!$A$2:$I$1049,6,0)</f>
        <v>146</v>
      </c>
      <c r="G171" s="0" t="n">
        <f aca="false">VLOOKUP(A171,[1]Worksheet!$A$2:$I$1049,7,0)</f>
        <v>3.47</v>
      </c>
      <c r="K171" s="0" t="n">
        <v>0</v>
      </c>
      <c r="M171" s="0" t="n">
        <f aca="false">D171*E171</f>
        <v>72.96</v>
      </c>
      <c r="N171" s="0" t="n">
        <f aca="false">F171*G171</f>
        <v>506.62</v>
      </c>
      <c r="P171" s="0" t="n">
        <f aca="false">K171+D171</f>
        <v>19</v>
      </c>
      <c r="Q171" s="0" t="n">
        <f aca="false">M171/P171</f>
        <v>3.84</v>
      </c>
      <c r="R171" s="0" t="n">
        <f aca="false">F171+K171</f>
        <v>146</v>
      </c>
      <c r="S171" s="0" t="n">
        <f aca="false">N171/R171</f>
        <v>3.47</v>
      </c>
    </row>
    <row r="172" customFormat="false" ht="15" hidden="false" customHeight="false" outlineLevel="0" collapsed="false">
      <c r="A172" s="0" t="s">
        <v>593</v>
      </c>
      <c r="B172" s="0" t="s">
        <v>594</v>
      </c>
      <c r="C172" s="0" t="n">
        <v>20171</v>
      </c>
      <c r="D172" s="0" t="n">
        <f aca="false">VLOOKUP(A172,[1]Worksheet!$A$2:$I$1049,4,0)</f>
        <v>19</v>
      </c>
      <c r="E172" s="0" t="n">
        <f aca="false">VLOOKUP(A172,[1]Worksheet!$A$2:$I$1049,5,0)</f>
        <v>3.16</v>
      </c>
      <c r="F172" s="0" t="n">
        <f aca="false">VLOOKUP(A172,[1]Worksheet!$A$2:$I$1049,6,0)</f>
        <v>142</v>
      </c>
      <c r="G172" s="0" t="n">
        <f aca="false">VLOOKUP(A172,[1]Worksheet!$A$2:$I$1049,7,0)</f>
        <v>2.89</v>
      </c>
      <c r="K172" s="0" t="n">
        <v>4</v>
      </c>
      <c r="M172" s="0" t="n">
        <f aca="false">D172*E172</f>
        <v>60.04</v>
      </c>
      <c r="N172" s="0" t="n">
        <f aca="false">F172*G172</f>
        <v>410.38</v>
      </c>
      <c r="P172" s="0" t="n">
        <f aca="false">K172+D172</f>
        <v>23</v>
      </c>
      <c r="Q172" s="0" t="n">
        <f aca="false">M172/P172</f>
        <v>2.6104347826087</v>
      </c>
      <c r="R172" s="0" t="n">
        <f aca="false">F172+K172</f>
        <v>146</v>
      </c>
      <c r="S172" s="0" t="n">
        <f aca="false">N172/R172</f>
        <v>2.81082191780822</v>
      </c>
    </row>
    <row r="173" customFormat="false" ht="15" hidden="false" customHeight="false" outlineLevel="0" collapsed="false">
      <c r="A173" s="0" t="s">
        <v>810</v>
      </c>
      <c r="B173" s="0" t="s">
        <v>811</v>
      </c>
      <c r="C173" s="0" t="n">
        <v>20171</v>
      </c>
      <c r="D173" s="0" t="n">
        <f aca="false">VLOOKUP(A173,[1]Worksheet!$A$2:$I$1049,4,0)</f>
        <v>10</v>
      </c>
      <c r="E173" s="0" t="n">
        <f aca="false">VLOOKUP(A173,[1]Worksheet!$A$2:$I$1049,5,0)</f>
        <v>3.25</v>
      </c>
      <c r="F173" s="0" t="n">
        <f aca="false">VLOOKUP(A173,[1]Worksheet!$A$2:$I$1049,6,0)</f>
        <v>140</v>
      </c>
      <c r="G173" s="0" t="n">
        <f aca="false">VLOOKUP(A173,[1]Worksheet!$A$2:$I$1049,7,0)</f>
        <v>3.35</v>
      </c>
      <c r="K173" s="0" t="n">
        <v>6</v>
      </c>
      <c r="M173" s="0" t="n">
        <f aca="false">D173*E173</f>
        <v>32.5</v>
      </c>
      <c r="N173" s="0" t="n">
        <f aca="false">F173*G173</f>
        <v>469</v>
      </c>
      <c r="P173" s="0" t="n">
        <f aca="false">K173+D173</f>
        <v>16</v>
      </c>
      <c r="Q173" s="0" t="n">
        <f aca="false">M173/P173</f>
        <v>2.03125</v>
      </c>
      <c r="R173" s="0" t="n">
        <f aca="false">F173+K173</f>
        <v>146</v>
      </c>
      <c r="S173" s="0" t="n">
        <f aca="false">N173/R173</f>
        <v>3.21232876712329</v>
      </c>
    </row>
    <row r="174" customFormat="false" ht="15" hidden="false" customHeight="false" outlineLevel="0" collapsed="false">
      <c r="A174" s="0" t="s">
        <v>645</v>
      </c>
      <c r="B174" s="0" t="s">
        <v>646</v>
      </c>
      <c r="C174" s="0" t="n">
        <v>20171</v>
      </c>
      <c r="D174" s="0" t="n">
        <f aca="false">VLOOKUP(A174,[1]Worksheet!$A$2:$I$1049,4,0)</f>
        <v>23</v>
      </c>
      <c r="E174" s="0" t="n">
        <f aca="false">VLOOKUP(A174,[1]Worksheet!$A$2:$I$1049,5,0)</f>
        <v>2.39</v>
      </c>
      <c r="F174" s="0" t="n">
        <f aca="false">VLOOKUP(A174,[1]Worksheet!$A$2:$I$1049,6,0)</f>
        <v>126</v>
      </c>
      <c r="G174" s="0" t="n">
        <f aca="false">VLOOKUP(A174,[1]Worksheet!$A$2:$I$1049,7,0)</f>
        <v>2.54</v>
      </c>
      <c r="K174" s="0" t="n">
        <v>0</v>
      </c>
      <c r="M174" s="0" t="n">
        <f aca="false">D174*E174</f>
        <v>54.97</v>
      </c>
      <c r="N174" s="0" t="n">
        <f aca="false">F174*G174</f>
        <v>320.04</v>
      </c>
      <c r="P174" s="0" t="n">
        <f aca="false">K174+D174</f>
        <v>23</v>
      </c>
      <c r="Q174" s="0" t="n">
        <f aca="false">M174/P174</f>
        <v>2.39</v>
      </c>
      <c r="R174" s="0" t="n">
        <f aca="false">F174+K174</f>
        <v>126</v>
      </c>
      <c r="S174" s="0" t="n">
        <f aca="false">N174/R174</f>
        <v>2.54</v>
      </c>
    </row>
    <row r="175" customFormat="false" ht="15" hidden="false" customHeight="false" outlineLevel="0" collapsed="false">
      <c r="A175" s="0" t="s">
        <v>621</v>
      </c>
      <c r="B175" s="0" t="s">
        <v>622</v>
      </c>
      <c r="C175" s="0" t="n">
        <v>20171</v>
      </c>
      <c r="D175" s="0" t="n">
        <f aca="false">VLOOKUP(A175,[1]Worksheet!$A$2:$I$1049,4,0)</f>
        <v>24</v>
      </c>
      <c r="E175" s="0" t="n">
        <f aca="false">VLOOKUP(A175,[1]Worksheet!$A$2:$I$1049,5,0)</f>
        <v>3.06</v>
      </c>
      <c r="F175" s="0" t="n">
        <f aca="false">VLOOKUP(A175,[1]Worksheet!$A$2:$I$1049,6,0)</f>
        <v>127</v>
      </c>
      <c r="G175" s="0" t="n">
        <f aca="false">VLOOKUP(A175,[1]Worksheet!$A$2:$I$1049,7,0)</f>
        <v>2.72</v>
      </c>
      <c r="K175" s="0" t="n">
        <v>0</v>
      </c>
      <c r="M175" s="0" t="n">
        <f aca="false">D175*E175</f>
        <v>73.44</v>
      </c>
      <c r="N175" s="0" t="n">
        <f aca="false">F175*G175</f>
        <v>345.44</v>
      </c>
      <c r="P175" s="0" t="n">
        <f aca="false">K175+D175</f>
        <v>24</v>
      </c>
      <c r="Q175" s="0" t="n">
        <f aca="false">M175/P175</f>
        <v>3.06</v>
      </c>
      <c r="R175" s="0" t="n">
        <f aca="false">F175+K175</f>
        <v>127</v>
      </c>
      <c r="S175" s="0" t="n">
        <f aca="false">N175/R175</f>
        <v>2.72</v>
      </c>
    </row>
    <row r="176" customFormat="false" ht="15" hidden="false" customHeight="false" outlineLevel="0" collapsed="false">
      <c r="A176" s="0" t="s">
        <v>812</v>
      </c>
      <c r="B176" s="0" t="s">
        <v>813</v>
      </c>
      <c r="C176" s="0" t="n">
        <v>20171</v>
      </c>
      <c r="D176" s="0" t="n">
        <f aca="false">VLOOKUP(A176,[1]Worksheet!$A$2:$I$1049,4,0)</f>
        <v>10</v>
      </c>
      <c r="E176" s="0" t="n">
        <f aca="false">VLOOKUP(A176,[1]Worksheet!$A$2:$I$1049,5,0)</f>
        <v>3.3</v>
      </c>
      <c r="F176" s="0" t="n">
        <f aca="false">VLOOKUP(A176,[1]Worksheet!$A$2:$I$1049,6,0)</f>
        <v>140</v>
      </c>
      <c r="G176" s="0" t="n">
        <f aca="false">VLOOKUP(A176,[1]Worksheet!$A$2:$I$1049,7,0)</f>
        <v>3.39</v>
      </c>
      <c r="K176" s="0" t="n">
        <v>4</v>
      </c>
      <c r="M176" s="0" t="n">
        <f aca="false">D176*E176</f>
        <v>33</v>
      </c>
      <c r="N176" s="0" t="n">
        <f aca="false">F176*G176</f>
        <v>474.6</v>
      </c>
      <c r="P176" s="0" t="n">
        <f aca="false">K176+D176</f>
        <v>14</v>
      </c>
      <c r="Q176" s="0" t="n">
        <f aca="false">M176/P176</f>
        <v>2.35714285714286</v>
      </c>
      <c r="R176" s="0" t="n">
        <f aca="false">F176+K176</f>
        <v>144</v>
      </c>
      <c r="S176" s="0" t="n">
        <f aca="false">N176/R176</f>
        <v>3.29583333333333</v>
      </c>
    </row>
    <row r="177" customFormat="false" ht="15" hidden="false" customHeight="false" outlineLevel="0" collapsed="false">
      <c r="A177" s="0" t="s">
        <v>623</v>
      </c>
      <c r="B177" s="0" t="s">
        <v>624</v>
      </c>
      <c r="C177" s="0" t="n">
        <v>20171</v>
      </c>
      <c r="D177" s="0" t="n">
        <f aca="false">VLOOKUP(A177,[1]Worksheet!$A$2:$I$1049,4,0)</f>
        <v>23</v>
      </c>
      <c r="E177" s="0" t="n">
        <f aca="false">VLOOKUP(A177,[1]Worksheet!$A$2:$I$1049,5,0)</f>
        <v>3.39</v>
      </c>
      <c r="F177" s="0" t="n">
        <f aca="false">VLOOKUP(A177,[1]Worksheet!$A$2:$I$1049,6,0)</f>
        <v>137</v>
      </c>
      <c r="G177" s="0" t="n">
        <f aca="false">VLOOKUP(A177,[1]Worksheet!$A$2:$I$1049,7,0)</f>
        <v>2.97</v>
      </c>
      <c r="K177" s="0" t="n">
        <v>0</v>
      </c>
      <c r="M177" s="0" t="n">
        <f aca="false">D177*E177</f>
        <v>77.97</v>
      </c>
      <c r="N177" s="0" t="n">
        <f aca="false">F177*G177</f>
        <v>406.89</v>
      </c>
      <c r="P177" s="0" t="n">
        <f aca="false">K177+D177</f>
        <v>23</v>
      </c>
      <c r="Q177" s="0" t="n">
        <f aca="false">M177/P177</f>
        <v>3.39</v>
      </c>
      <c r="R177" s="0" t="n">
        <f aca="false">F177+K177</f>
        <v>137</v>
      </c>
      <c r="S177" s="0" t="n">
        <f aca="false">N177/R177</f>
        <v>2.97</v>
      </c>
    </row>
    <row r="178" customFormat="false" ht="15" hidden="false" customHeight="false" outlineLevel="0" collapsed="false">
      <c r="A178" s="0" t="s">
        <v>585</v>
      </c>
      <c r="B178" s="0" t="s">
        <v>586</v>
      </c>
      <c r="C178" s="0" t="n">
        <v>20171</v>
      </c>
      <c r="D178" s="0" t="n">
        <f aca="false">VLOOKUP(A178,[1]Worksheet!$A$2:$I$1049,4,0)</f>
        <v>24</v>
      </c>
      <c r="E178" s="0" t="n">
        <f aca="false">VLOOKUP(A178,[1]Worksheet!$A$2:$I$1049,5,0)</f>
        <v>2.4</v>
      </c>
      <c r="F178" s="0" t="n">
        <f aca="false">VLOOKUP(A178,[1]Worksheet!$A$2:$I$1049,6,0)</f>
        <v>121</v>
      </c>
      <c r="G178" s="0" t="n">
        <f aca="false">VLOOKUP(A178,[1]Worksheet!$A$2:$I$1049,7,0)</f>
        <v>2.2</v>
      </c>
      <c r="K178" s="0" t="n">
        <v>0</v>
      </c>
      <c r="M178" s="0" t="n">
        <f aca="false">D178*E178</f>
        <v>57.6</v>
      </c>
      <c r="N178" s="0" t="n">
        <f aca="false">F178*G178</f>
        <v>266.2</v>
      </c>
      <c r="P178" s="0" t="n">
        <f aca="false">K178+D178</f>
        <v>24</v>
      </c>
      <c r="Q178" s="0" t="n">
        <f aca="false">M178/P178</f>
        <v>2.4</v>
      </c>
      <c r="R178" s="0" t="n">
        <f aca="false">F178+K178</f>
        <v>121</v>
      </c>
      <c r="S178" s="0" t="n">
        <f aca="false">N178/R178</f>
        <v>2.2</v>
      </c>
    </row>
    <row r="179" customFormat="false" ht="15" hidden="false" customHeight="false" outlineLevel="0" collapsed="false">
      <c r="A179" s="0" t="s">
        <v>587</v>
      </c>
      <c r="B179" s="0" t="s">
        <v>588</v>
      </c>
      <c r="C179" s="0" t="n">
        <v>20171</v>
      </c>
      <c r="D179" s="0" t="n">
        <f aca="false">VLOOKUP(A179,[1]Worksheet!$A$2:$I$1049,4,0)</f>
        <v>18</v>
      </c>
      <c r="E179" s="0" t="n">
        <f aca="false">VLOOKUP(A179,[1]Worksheet!$A$2:$I$1049,5,0)</f>
        <v>2.33</v>
      </c>
      <c r="F179" s="0" t="n">
        <f aca="false">VLOOKUP(A179,[1]Worksheet!$A$2:$I$1049,6,0)</f>
        <v>131</v>
      </c>
      <c r="G179" s="0" t="n">
        <f aca="false">VLOOKUP(A179,[1]Worksheet!$A$2:$I$1049,7,0)</f>
        <v>2.47</v>
      </c>
      <c r="K179" s="0" t="n">
        <v>4</v>
      </c>
      <c r="M179" s="0" t="n">
        <f aca="false">D179*E179</f>
        <v>41.94</v>
      </c>
      <c r="N179" s="0" t="n">
        <f aca="false">F179*G179</f>
        <v>323.57</v>
      </c>
      <c r="P179" s="0" t="n">
        <f aca="false">K179+D179</f>
        <v>22</v>
      </c>
      <c r="Q179" s="0" t="n">
        <f aca="false">M179/P179</f>
        <v>1.90636363636364</v>
      </c>
      <c r="R179" s="0" t="n">
        <f aca="false">F179+K179</f>
        <v>135</v>
      </c>
      <c r="S179" s="0" t="n">
        <f aca="false">N179/R179</f>
        <v>2.39681481481482</v>
      </c>
    </row>
    <row r="180" customFormat="false" ht="15" hidden="false" customHeight="false" outlineLevel="0" collapsed="false">
      <c r="A180" s="0" t="s">
        <v>814</v>
      </c>
      <c r="B180" s="0" t="s">
        <v>815</v>
      </c>
      <c r="C180" s="0" t="n">
        <v>20171</v>
      </c>
      <c r="D180" s="0" t="n">
        <f aca="false">VLOOKUP(A180,[1]Worksheet!$A$2:$I$1049,4,0)</f>
        <v>20</v>
      </c>
      <c r="E180" s="0" t="n">
        <f aca="false">VLOOKUP(A180,[1]Worksheet!$A$2:$I$1049,5,0)</f>
        <v>3.4</v>
      </c>
      <c r="F180" s="0" t="n">
        <f aca="false">VLOOKUP(A180,[1]Worksheet!$A$2:$I$1049,6,0)</f>
        <v>142</v>
      </c>
      <c r="G180" s="0" t="n">
        <f aca="false">VLOOKUP(A180,[1]Worksheet!$A$2:$I$1049,7,0)</f>
        <v>3.03</v>
      </c>
      <c r="K180" s="0" t="n">
        <v>4</v>
      </c>
      <c r="M180" s="0" t="n">
        <f aca="false">D180*E180</f>
        <v>68</v>
      </c>
      <c r="N180" s="0" t="n">
        <f aca="false">F180*G180</f>
        <v>430.26</v>
      </c>
      <c r="P180" s="0" t="n">
        <f aca="false">K180+D180</f>
        <v>24</v>
      </c>
      <c r="Q180" s="0" t="n">
        <f aca="false">M180/P180</f>
        <v>2.83333333333333</v>
      </c>
      <c r="R180" s="0" t="n">
        <f aca="false">F180+K180</f>
        <v>146</v>
      </c>
      <c r="S180" s="0" t="n">
        <f aca="false">N180/R180</f>
        <v>2.94698630136986</v>
      </c>
    </row>
    <row r="181" customFormat="false" ht="15" hidden="false" customHeight="false" outlineLevel="0" collapsed="false">
      <c r="A181" s="0" t="s">
        <v>625</v>
      </c>
      <c r="B181" s="0" t="s">
        <v>626</v>
      </c>
      <c r="C181" s="0" t="n">
        <v>20171</v>
      </c>
      <c r="D181" s="0" t="n">
        <f aca="false">VLOOKUP(A181,[1]Worksheet!$A$2:$I$1049,4,0)</f>
        <v>17</v>
      </c>
      <c r="E181" s="0" t="n">
        <f aca="false">VLOOKUP(A181,[1]Worksheet!$A$2:$I$1049,5,0)</f>
        <v>2.18</v>
      </c>
      <c r="F181" s="0" t="n">
        <f aca="false">VLOOKUP(A181,[1]Worksheet!$A$2:$I$1049,6,0)</f>
        <v>79</v>
      </c>
      <c r="G181" s="0" t="n">
        <f aca="false">VLOOKUP(A181,[1]Worksheet!$A$2:$I$1049,7,0)</f>
        <v>1.95</v>
      </c>
      <c r="K181" s="0" t="n">
        <v>0</v>
      </c>
      <c r="M181" s="0" t="n">
        <f aca="false">D181*E181</f>
        <v>37.06</v>
      </c>
      <c r="N181" s="0" t="n">
        <f aca="false">F181*G181</f>
        <v>154.05</v>
      </c>
      <c r="P181" s="0" t="n">
        <f aca="false">K181+D181</f>
        <v>17</v>
      </c>
      <c r="Q181" s="0" t="n">
        <f aca="false">M181/P181</f>
        <v>2.18</v>
      </c>
      <c r="R181" s="0" t="n">
        <f aca="false">F181+K181</f>
        <v>79</v>
      </c>
      <c r="S181" s="0" t="n">
        <f aca="false">N181/R181</f>
        <v>1.95</v>
      </c>
    </row>
    <row r="182" customFormat="false" ht="15" hidden="false" customHeight="false" outlineLevel="0" collapsed="false">
      <c r="A182" s="0" t="s">
        <v>512</v>
      </c>
      <c r="B182" s="0" t="s">
        <v>513</v>
      </c>
      <c r="C182" s="0" t="n">
        <v>20171</v>
      </c>
      <c r="D182" s="0" t="n">
        <f aca="false">VLOOKUP(A182,[1]Worksheet!$A$2:$I$1049,4,0)</f>
        <v>22</v>
      </c>
      <c r="E182" s="0" t="n">
        <f aca="false">VLOOKUP(A182,[1]Worksheet!$A$2:$I$1049,5,0)</f>
        <v>3.14</v>
      </c>
      <c r="F182" s="0" t="n">
        <f aca="false">VLOOKUP(A182,[1]Worksheet!$A$2:$I$1049,6,0)</f>
        <v>131</v>
      </c>
      <c r="G182" s="0" t="n">
        <f aca="false">VLOOKUP(A182,[1]Worksheet!$A$2:$I$1049,7,0)</f>
        <v>2.66</v>
      </c>
      <c r="K182" s="0" t="n">
        <v>2</v>
      </c>
      <c r="M182" s="0" t="n">
        <f aca="false">D182*E182</f>
        <v>69.08</v>
      </c>
      <c r="N182" s="0" t="n">
        <f aca="false">F182*G182</f>
        <v>348.46</v>
      </c>
      <c r="P182" s="0" t="n">
        <f aca="false">K182+D182</f>
        <v>24</v>
      </c>
      <c r="Q182" s="0" t="n">
        <f aca="false">M182/P182</f>
        <v>2.87833333333333</v>
      </c>
      <c r="R182" s="0" t="n">
        <f aca="false">F182+K182</f>
        <v>133</v>
      </c>
      <c r="S182" s="0" t="n">
        <f aca="false">N182/R182</f>
        <v>2.62</v>
      </c>
    </row>
    <row r="183" customFormat="false" ht="15" hidden="false" customHeight="false" outlineLevel="0" collapsed="false">
      <c r="A183" s="0" t="s">
        <v>627</v>
      </c>
      <c r="B183" s="0" t="s">
        <v>628</v>
      </c>
      <c r="C183" s="0" t="n">
        <v>20171</v>
      </c>
      <c r="D183" s="0" t="n">
        <f aca="false">VLOOKUP(A183,[1]Worksheet!$A$2:$I$1049,4,0)</f>
        <v>13</v>
      </c>
      <c r="E183" s="0" t="n">
        <f aca="false">VLOOKUP(A183,[1]Worksheet!$A$2:$I$1049,5,0)</f>
        <v>3.12</v>
      </c>
      <c r="F183" s="0" t="n">
        <f aca="false">VLOOKUP(A183,[1]Worksheet!$A$2:$I$1049,6,0)</f>
        <v>140</v>
      </c>
      <c r="G183" s="0" t="n">
        <f aca="false">VLOOKUP(A183,[1]Worksheet!$A$2:$I$1049,7,0)</f>
        <v>3.13</v>
      </c>
      <c r="K183" s="0" t="n">
        <v>6</v>
      </c>
      <c r="M183" s="0" t="n">
        <f aca="false">D183*E183</f>
        <v>40.56</v>
      </c>
      <c r="N183" s="0" t="n">
        <f aca="false">F183*G183</f>
        <v>438.2</v>
      </c>
      <c r="P183" s="0" t="n">
        <f aca="false">K183+D183</f>
        <v>19</v>
      </c>
      <c r="Q183" s="0" t="n">
        <f aca="false">M183/P183</f>
        <v>2.13473684210526</v>
      </c>
      <c r="R183" s="0" t="n">
        <f aca="false">F183+K183</f>
        <v>146</v>
      </c>
      <c r="S183" s="0" t="n">
        <f aca="false">N183/R183</f>
        <v>3.0013698630137</v>
      </c>
    </row>
    <row r="184" customFormat="false" ht="15" hidden="false" customHeight="false" outlineLevel="0" collapsed="false">
      <c r="A184" s="0" t="s">
        <v>816</v>
      </c>
      <c r="B184" s="0" t="s">
        <v>817</v>
      </c>
      <c r="C184" s="0" t="n">
        <v>20171</v>
      </c>
      <c r="D184" s="0" t="n">
        <f aca="false">VLOOKUP(A184,[1]Worksheet!$A$2:$I$1049,4,0)</f>
        <v>18</v>
      </c>
      <c r="E184" s="0" t="n">
        <f aca="false">VLOOKUP(A184,[1]Worksheet!$A$2:$I$1049,5,0)</f>
        <v>3.03</v>
      </c>
      <c r="F184" s="0" t="n">
        <f aca="false">VLOOKUP(A184,[1]Worksheet!$A$2:$I$1049,6,0)</f>
        <v>140</v>
      </c>
      <c r="G184" s="0" t="n">
        <f aca="false">VLOOKUP(A184,[1]Worksheet!$A$2:$I$1049,7,0)</f>
        <v>2.79</v>
      </c>
      <c r="K184" s="0" t="n">
        <v>6</v>
      </c>
      <c r="M184" s="0" t="n">
        <f aca="false">D184*E184</f>
        <v>54.54</v>
      </c>
      <c r="N184" s="0" t="n">
        <f aca="false">F184*G184</f>
        <v>390.6</v>
      </c>
      <c r="P184" s="0" t="n">
        <f aca="false">K184+D184</f>
        <v>24</v>
      </c>
      <c r="Q184" s="0" t="n">
        <f aca="false">M184/P184</f>
        <v>2.2725</v>
      </c>
      <c r="R184" s="0" t="n">
        <f aca="false">F184+K184</f>
        <v>146</v>
      </c>
      <c r="S184" s="0" t="n">
        <f aca="false">N184/R184</f>
        <v>2.67534246575342</v>
      </c>
    </row>
    <row r="185" customFormat="false" ht="15" hidden="false" customHeight="false" outlineLevel="0" collapsed="false">
      <c r="A185" s="0" t="s">
        <v>818</v>
      </c>
      <c r="B185" s="0" t="s">
        <v>819</v>
      </c>
      <c r="C185" s="0" t="n">
        <v>20171</v>
      </c>
      <c r="D185" s="0" t="n">
        <f aca="false">VLOOKUP(A185,[1]Worksheet!$A$2:$I$1049,4,0)</f>
        <v>15</v>
      </c>
      <c r="E185" s="0" t="n">
        <f aca="false">VLOOKUP(A185,[1]Worksheet!$A$2:$I$1049,5,0)</f>
        <v>3</v>
      </c>
      <c r="F185" s="0" t="n">
        <f aca="false">VLOOKUP(A185,[1]Worksheet!$A$2:$I$1049,6,0)</f>
        <v>130</v>
      </c>
      <c r="G185" s="0" t="n">
        <f aca="false">VLOOKUP(A185,[1]Worksheet!$A$2:$I$1049,7,0)</f>
        <v>2.92</v>
      </c>
      <c r="K185" s="0" t="n">
        <v>8</v>
      </c>
      <c r="M185" s="0" t="n">
        <f aca="false">D185*E185</f>
        <v>45</v>
      </c>
      <c r="N185" s="0" t="n">
        <f aca="false">F185*G185</f>
        <v>379.6</v>
      </c>
      <c r="P185" s="0" t="n">
        <f aca="false">K185+D185</f>
        <v>23</v>
      </c>
      <c r="Q185" s="0" t="n">
        <f aca="false">M185/P185</f>
        <v>1.95652173913043</v>
      </c>
      <c r="R185" s="0" t="n">
        <f aca="false">F185+K185</f>
        <v>138</v>
      </c>
      <c r="S185" s="0" t="n">
        <f aca="false">N185/R185</f>
        <v>2.75072463768116</v>
      </c>
    </row>
    <row r="186" customFormat="false" ht="15" hidden="false" customHeight="false" outlineLevel="0" collapsed="false">
      <c r="A186" s="0" t="s">
        <v>673</v>
      </c>
      <c r="B186" s="0" t="s">
        <v>674</v>
      </c>
      <c r="C186" s="0" t="n">
        <v>20171</v>
      </c>
      <c r="D186" s="0" t="n">
        <f aca="false">VLOOKUP(A186,[1]Worksheet!$A$2:$I$1049,4,0)</f>
        <v>22</v>
      </c>
      <c r="E186" s="0" t="n">
        <f aca="false">VLOOKUP(A186,[1]Worksheet!$A$2:$I$1049,5,0)</f>
        <v>3.2</v>
      </c>
      <c r="F186" s="0" t="n">
        <f aca="false">VLOOKUP(A186,[1]Worksheet!$A$2:$I$1049,6,0)</f>
        <v>135</v>
      </c>
      <c r="G186" s="0" t="n">
        <f aca="false">VLOOKUP(A186,[1]Worksheet!$A$2:$I$1049,7,0)</f>
        <v>2.74</v>
      </c>
      <c r="K186" s="0" t="n">
        <v>2</v>
      </c>
      <c r="M186" s="0" t="n">
        <f aca="false">D186*E186</f>
        <v>70.4</v>
      </c>
      <c r="N186" s="0" t="n">
        <f aca="false">F186*G186</f>
        <v>369.9</v>
      </c>
      <c r="P186" s="0" t="n">
        <f aca="false">K186+D186</f>
        <v>24</v>
      </c>
      <c r="Q186" s="0" t="n">
        <f aca="false">M186/P186</f>
        <v>2.93333333333333</v>
      </c>
      <c r="R186" s="0" t="n">
        <f aca="false">F186+K186</f>
        <v>137</v>
      </c>
      <c r="S186" s="0" t="n">
        <f aca="false">N186/R186</f>
        <v>2.7</v>
      </c>
    </row>
    <row r="187" customFormat="false" ht="15" hidden="false" customHeight="false" outlineLevel="0" collapsed="false">
      <c r="A187" s="0" t="s">
        <v>589</v>
      </c>
      <c r="B187" s="0" t="s">
        <v>590</v>
      </c>
      <c r="C187" s="0" t="n">
        <v>20171</v>
      </c>
      <c r="D187" s="0" t="n">
        <f aca="false">VLOOKUP(A187,[1]Worksheet!$A$2:$I$1049,4,0)</f>
        <v>18</v>
      </c>
      <c r="E187" s="0" t="n">
        <f aca="false">VLOOKUP(A187,[1]Worksheet!$A$2:$I$1049,5,0)</f>
        <v>2.67</v>
      </c>
      <c r="F187" s="0" t="n">
        <f aca="false">VLOOKUP(A187,[1]Worksheet!$A$2:$I$1049,6,0)</f>
        <v>138</v>
      </c>
      <c r="G187" s="0" t="n">
        <f aca="false">VLOOKUP(A187,[1]Worksheet!$A$2:$I$1049,7,0)</f>
        <v>2.84</v>
      </c>
      <c r="K187" s="0" t="n">
        <v>4</v>
      </c>
      <c r="M187" s="0" t="n">
        <f aca="false">D187*E187</f>
        <v>48.06</v>
      </c>
      <c r="N187" s="0" t="n">
        <f aca="false">F187*G187</f>
        <v>391.92</v>
      </c>
      <c r="P187" s="0" t="n">
        <f aca="false">K187+D187</f>
        <v>22</v>
      </c>
      <c r="Q187" s="0" t="n">
        <f aca="false">M187/P187</f>
        <v>2.18454545454545</v>
      </c>
      <c r="R187" s="0" t="n">
        <f aca="false">F187+K187</f>
        <v>142</v>
      </c>
      <c r="S187" s="0" t="n">
        <f aca="false">N187/R187</f>
        <v>2.76</v>
      </c>
    </row>
    <row r="188" customFormat="false" ht="15" hidden="false" customHeight="false" outlineLevel="0" collapsed="false">
      <c r="A188" s="0" t="s">
        <v>527</v>
      </c>
      <c r="B188" s="0" t="s">
        <v>528</v>
      </c>
      <c r="C188" s="0" t="n">
        <v>20171</v>
      </c>
      <c r="D188" s="0" t="n">
        <f aca="false">VLOOKUP(A188,[1]Worksheet!$A$2:$I$1049,4,0)</f>
        <v>22</v>
      </c>
      <c r="E188" s="0" t="n">
        <f aca="false">VLOOKUP(A188,[1]Worksheet!$A$2:$I$1049,5,0)</f>
        <v>3.18</v>
      </c>
      <c r="F188" s="0" t="n">
        <f aca="false">VLOOKUP(A188,[1]Worksheet!$A$2:$I$1049,6,0)</f>
        <v>120</v>
      </c>
      <c r="G188" s="0" t="n">
        <f aca="false">VLOOKUP(A188,[1]Worksheet!$A$2:$I$1049,7,0)</f>
        <v>2.52</v>
      </c>
      <c r="K188" s="0" t="n">
        <v>0</v>
      </c>
      <c r="M188" s="0" t="n">
        <f aca="false">D188*E188</f>
        <v>69.96</v>
      </c>
      <c r="N188" s="0" t="n">
        <f aca="false">F188*G188</f>
        <v>302.4</v>
      </c>
      <c r="P188" s="0" t="n">
        <f aca="false">K188+D188</f>
        <v>22</v>
      </c>
      <c r="Q188" s="0" t="n">
        <f aca="false">M188/P188</f>
        <v>3.18</v>
      </c>
      <c r="R188" s="0" t="n">
        <f aca="false">F188+K188</f>
        <v>120</v>
      </c>
      <c r="S188" s="0" t="n">
        <f aca="false">N188/R188</f>
        <v>2.52</v>
      </c>
    </row>
    <row r="189" customFormat="false" ht="15" hidden="false" customHeight="false" outlineLevel="0" collapsed="false">
      <c r="A189" s="0" t="s">
        <v>647</v>
      </c>
      <c r="B189" s="0" t="s">
        <v>648</v>
      </c>
      <c r="C189" s="0" t="n">
        <v>20171</v>
      </c>
      <c r="D189" s="0" t="n">
        <f aca="false">VLOOKUP(A189,[1]Worksheet!$A$2:$I$1049,4,0)</f>
        <v>20</v>
      </c>
      <c r="E189" s="0" t="n">
        <f aca="false">VLOOKUP(A189,[1]Worksheet!$A$2:$I$1049,5,0)</f>
        <v>2.25</v>
      </c>
      <c r="F189" s="0" t="n">
        <f aca="false">VLOOKUP(A189,[1]Worksheet!$A$2:$I$1049,6,0)</f>
        <v>122</v>
      </c>
      <c r="G189" s="0" t="n">
        <f aca="false">VLOOKUP(A189,[1]Worksheet!$A$2:$I$1049,7,0)</f>
        <v>2.18</v>
      </c>
      <c r="K189" s="0" t="n">
        <v>2</v>
      </c>
      <c r="M189" s="0" t="n">
        <f aca="false">D189*E189</f>
        <v>45</v>
      </c>
      <c r="N189" s="0" t="n">
        <f aca="false">F189*G189</f>
        <v>265.96</v>
      </c>
      <c r="P189" s="0" t="n">
        <f aca="false">K189+D189</f>
        <v>22</v>
      </c>
      <c r="Q189" s="0" t="n">
        <f aca="false">M189/P189</f>
        <v>2.04545454545455</v>
      </c>
      <c r="R189" s="0" t="n">
        <f aca="false">F189+K189</f>
        <v>124</v>
      </c>
      <c r="S189" s="0" t="n">
        <f aca="false">N189/R189</f>
        <v>2.14483870967742</v>
      </c>
    </row>
    <row r="190" customFormat="false" ht="15" hidden="false" customHeight="false" outlineLevel="0" collapsed="false">
      <c r="A190" s="0" t="s">
        <v>820</v>
      </c>
      <c r="B190" s="0" t="s">
        <v>821</v>
      </c>
      <c r="C190" s="0" t="n">
        <v>20171</v>
      </c>
      <c r="D190" s="0" t="n">
        <f aca="false">VLOOKUP(A190,[1]Worksheet!$A$2:$I$1049,4,0)</f>
        <v>14</v>
      </c>
      <c r="E190" s="0" t="n">
        <f aca="false">VLOOKUP(A190,[1]Worksheet!$A$2:$I$1049,5,0)</f>
        <v>3.43</v>
      </c>
      <c r="F190" s="0" t="n">
        <f aca="false">VLOOKUP(A190,[1]Worksheet!$A$2:$I$1049,6,0)</f>
        <v>138</v>
      </c>
      <c r="G190" s="0" t="n">
        <f aca="false">VLOOKUP(A190,[1]Worksheet!$A$2:$I$1049,7,0)</f>
        <v>2.97</v>
      </c>
      <c r="K190" s="0" t="n">
        <v>6</v>
      </c>
      <c r="M190" s="0" t="n">
        <f aca="false">D190*E190</f>
        <v>48.02</v>
      </c>
      <c r="N190" s="0" t="n">
        <f aca="false">F190*G190</f>
        <v>409.86</v>
      </c>
      <c r="P190" s="0" t="n">
        <f aca="false">K190+D190</f>
        <v>20</v>
      </c>
      <c r="Q190" s="0" t="n">
        <f aca="false">M190/P190</f>
        <v>2.401</v>
      </c>
      <c r="R190" s="0" t="n">
        <f aca="false">F190+K190</f>
        <v>144</v>
      </c>
      <c r="S190" s="0" t="n">
        <f aca="false">N190/R190</f>
        <v>2.84625</v>
      </c>
    </row>
    <row r="191" customFormat="false" ht="15" hidden="false" customHeight="false" outlineLevel="0" collapsed="false">
      <c r="A191" s="0" t="s">
        <v>769</v>
      </c>
      <c r="B191" s="0" t="s">
        <v>770</v>
      </c>
      <c r="C191" s="0" t="n">
        <v>20171</v>
      </c>
      <c r="D191" s="0" t="n">
        <f aca="false">VLOOKUP(A191,[1]Worksheet!$A$2:$I$1049,4,0)</f>
        <v>12</v>
      </c>
      <c r="E191" s="0" t="n">
        <f aca="false">VLOOKUP(A191,[1]Worksheet!$A$2:$I$1049,5,0)</f>
        <v>3.13</v>
      </c>
      <c r="F191" s="0" t="n">
        <f aca="false">VLOOKUP(A191,[1]Worksheet!$A$2:$I$1049,6,0)</f>
        <v>139</v>
      </c>
      <c r="G191" s="0" t="n">
        <f aca="false">VLOOKUP(A191,[1]Worksheet!$A$2:$I$1049,7,0)</f>
        <v>3.06</v>
      </c>
      <c r="K191" s="0" t="n">
        <v>6</v>
      </c>
      <c r="M191" s="0" t="n">
        <f aca="false">D191*E191</f>
        <v>37.56</v>
      </c>
      <c r="N191" s="0" t="n">
        <f aca="false">F191*G191</f>
        <v>425.34</v>
      </c>
      <c r="P191" s="0" t="n">
        <f aca="false">K191+D191</f>
        <v>18</v>
      </c>
      <c r="Q191" s="0" t="n">
        <f aca="false">M191/P191</f>
        <v>2.08666666666667</v>
      </c>
      <c r="R191" s="0" t="n">
        <f aca="false">F191+K191</f>
        <v>145</v>
      </c>
      <c r="S191" s="0" t="n">
        <f aca="false">N191/R191</f>
        <v>2.93337931034483</v>
      </c>
    </row>
    <row r="192" customFormat="false" ht="15" hidden="false" customHeight="false" outlineLevel="0" collapsed="false">
      <c r="A192" s="0" t="s">
        <v>657</v>
      </c>
      <c r="B192" s="0" t="s">
        <v>658</v>
      </c>
      <c r="C192" s="0" t="n">
        <v>20171</v>
      </c>
      <c r="D192" s="0" t="n">
        <f aca="false">VLOOKUP(A192,[1]Worksheet!$A$2:$I$1049,4,0)</f>
        <v>17</v>
      </c>
      <c r="E192" s="0" t="n">
        <f aca="false">VLOOKUP(A192,[1]Worksheet!$A$2:$I$1049,5,0)</f>
        <v>3.56</v>
      </c>
      <c r="F192" s="0" t="n">
        <f aca="false">VLOOKUP(A192,[1]Worksheet!$A$2:$I$1049,6,0)</f>
        <v>121</v>
      </c>
      <c r="G192" s="0" t="n">
        <f aca="false">VLOOKUP(A192,[1]Worksheet!$A$2:$I$1049,7,0)</f>
        <v>2.82</v>
      </c>
      <c r="K192" s="0" t="n">
        <v>6</v>
      </c>
      <c r="M192" s="0" t="n">
        <f aca="false">D192*E192</f>
        <v>60.52</v>
      </c>
      <c r="N192" s="0" t="n">
        <f aca="false">F192*G192</f>
        <v>341.22</v>
      </c>
      <c r="P192" s="0" t="n">
        <f aca="false">K192+D192</f>
        <v>23</v>
      </c>
      <c r="Q192" s="0" t="n">
        <f aca="false">M192/P192</f>
        <v>2.63130434782609</v>
      </c>
      <c r="R192" s="0" t="n">
        <f aca="false">F192+K192</f>
        <v>127</v>
      </c>
      <c r="S192" s="0" t="n">
        <f aca="false">N192/R192</f>
        <v>2.68677165354331</v>
      </c>
    </row>
    <row r="193" customFormat="false" ht="15" hidden="false" customHeight="false" outlineLevel="0" collapsed="false">
      <c r="A193" s="0" t="s">
        <v>577</v>
      </c>
      <c r="B193" s="0" t="s">
        <v>578</v>
      </c>
      <c r="C193" s="0" t="n">
        <v>20171</v>
      </c>
      <c r="D193" s="0" t="n">
        <f aca="false">VLOOKUP(A193,[1]Worksheet!$A$2:$I$1049,4,0)</f>
        <v>20</v>
      </c>
      <c r="E193" s="0" t="n">
        <f aca="false">VLOOKUP(A193,[1]Worksheet!$A$2:$I$1049,5,0)</f>
        <v>1.85</v>
      </c>
      <c r="F193" s="0" t="n">
        <f aca="false">VLOOKUP(A193,[1]Worksheet!$A$2:$I$1049,6,0)</f>
        <v>97</v>
      </c>
      <c r="G193" s="0" t="n">
        <f aca="false">VLOOKUP(A193,[1]Worksheet!$A$2:$I$1049,7,0)</f>
        <v>2.43</v>
      </c>
      <c r="K193" s="0" t="n">
        <v>0</v>
      </c>
      <c r="M193" s="0" t="n">
        <f aca="false">D193*E193</f>
        <v>37</v>
      </c>
      <c r="N193" s="0" t="n">
        <f aca="false">F193*G193</f>
        <v>235.71</v>
      </c>
      <c r="P193" s="0" t="n">
        <f aca="false">K193+D193</f>
        <v>20</v>
      </c>
      <c r="Q193" s="0" t="n">
        <f aca="false">M193/P193</f>
        <v>1.85</v>
      </c>
      <c r="R193" s="0" t="n">
        <f aca="false">F193+K193</f>
        <v>97</v>
      </c>
      <c r="S193" s="0" t="n">
        <f aca="false">N193/R193</f>
        <v>2.43</v>
      </c>
    </row>
    <row r="194" customFormat="false" ht="15" hidden="false" customHeight="false" outlineLevel="0" collapsed="false">
      <c r="A194" s="0" t="s">
        <v>771</v>
      </c>
      <c r="B194" s="0" t="s">
        <v>772</v>
      </c>
      <c r="C194" s="0" t="n">
        <v>20171</v>
      </c>
      <c r="D194" s="0" t="n">
        <f aca="false">VLOOKUP(A194,[1]Worksheet!$A$2:$I$1049,4,0)</f>
        <v>12</v>
      </c>
      <c r="E194" s="0" t="n">
        <f aca="false">VLOOKUP(A194,[1]Worksheet!$A$2:$I$1049,5,0)</f>
        <v>3.29</v>
      </c>
      <c r="F194" s="0" t="n">
        <f aca="false">VLOOKUP(A194,[1]Worksheet!$A$2:$I$1049,6,0)</f>
        <v>132</v>
      </c>
      <c r="G194" s="0" t="n">
        <f aca="false">VLOOKUP(A194,[1]Worksheet!$A$2:$I$1049,7,0)</f>
        <v>3.26</v>
      </c>
      <c r="K194" s="0" t="n">
        <v>8</v>
      </c>
      <c r="M194" s="0" t="n">
        <f aca="false">D194*E194</f>
        <v>39.48</v>
      </c>
      <c r="N194" s="0" t="n">
        <f aca="false">F194*G194</f>
        <v>430.32</v>
      </c>
      <c r="P194" s="0" t="n">
        <f aca="false">K194+D194</f>
        <v>20</v>
      </c>
      <c r="Q194" s="0" t="n">
        <f aca="false">M194/P194</f>
        <v>1.974</v>
      </c>
      <c r="R194" s="0" t="n">
        <f aca="false">F194+K194</f>
        <v>140</v>
      </c>
      <c r="S194" s="0" t="n">
        <f aca="false">N194/R194</f>
        <v>3.07371428571429</v>
      </c>
    </row>
    <row r="195" customFormat="false" ht="15" hidden="false" customHeight="false" outlineLevel="0" collapsed="false">
      <c r="A195" s="0" t="s">
        <v>659</v>
      </c>
      <c r="B195" s="0" t="s">
        <v>660</v>
      </c>
      <c r="C195" s="0" t="n">
        <v>20171</v>
      </c>
      <c r="D195" s="0" t="n">
        <f aca="false">VLOOKUP(A195,[1]Worksheet!$A$2:$I$1049,4,0)</f>
        <v>18</v>
      </c>
      <c r="E195" s="0" t="n">
        <f aca="false">VLOOKUP(A195,[1]Worksheet!$A$2:$I$1049,5,0)</f>
        <v>3</v>
      </c>
      <c r="F195" s="0" t="n">
        <f aca="false">VLOOKUP(A195,[1]Worksheet!$A$2:$I$1049,6,0)</f>
        <v>134</v>
      </c>
      <c r="G195" s="0" t="n">
        <f aca="false">VLOOKUP(A195,[1]Worksheet!$A$2:$I$1049,7,0)</f>
        <v>2.98</v>
      </c>
      <c r="K195" s="0" t="n">
        <v>6</v>
      </c>
      <c r="M195" s="0" t="n">
        <f aca="false">D195*E195</f>
        <v>54</v>
      </c>
      <c r="N195" s="0" t="n">
        <f aca="false">F195*G195</f>
        <v>399.32</v>
      </c>
      <c r="P195" s="0" t="n">
        <f aca="false">K195+D195</f>
        <v>24</v>
      </c>
      <c r="Q195" s="0" t="n">
        <f aca="false">M195/P195</f>
        <v>2.25</v>
      </c>
      <c r="R195" s="0" t="n">
        <f aca="false">F195+K195</f>
        <v>140</v>
      </c>
      <c r="S195" s="0" t="n">
        <f aca="false">N195/R195</f>
        <v>2.85228571428571</v>
      </c>
    </row>
    <row r="196" customFormat="false" ht="15" hidden="false" customHeight="false" outlineLevel="0" collapsed="false">
      <c r="A196" s="0" t="s">
        <v>629</v>
      </c>
      <c r="B196" s="0" t="s">
        <v>630</v>
      </c>
      <c r="C196" s="0" t="n">
        <v>20171</v>
      </c>
      <c r="D196" s="0" t="n">
        <f aca="false">VLOOKUP(A196,[1]Worksheet!$A$2:$I$1049,4,0)</f>
        <v>18</v>
      </c>
      <c r="E196" s="0" t="n">
        <f aca="false">VLOOKUP(A196,[1]Worksheet!$A$2:$I$1049,5,0)</f>
        <v>3.03</v>
      </c>
      <c r="F196" s="0" t="n">
        <f aca="false">VLOOKUP(A196,[1]Worksheet!$A$2:$I$1049,6,0)</f>
        <v>123</v>
      </c>
      <c r="G196" s="0" t="n">
        <f aca="false">VLOOKUP(A196,[1]Worksheet!$A$2:$I$1049,7,0)</f>
        <v>2.5</v>
      </c>
      <c r="K196" s="0" t="n">
        <v>4</v>
      </c>
      <c r="M196" s="0" t="n">
        <f aca="false">D196*E196</f>
        <v>54.54</v>
      </c>
      <c r="N196" s="0" t="n">
        <f aca="false">F196*G196</f>
        <v>307.5</v>
      </c>
      <c r="P196" s="0" t="n">
        <f aca="false">K196+D196</f>
        <v>22</v>
      </c>
      <c r="Q196" s="0" t="n">
        <f aca="false">M196/P196</f>
        <v>2.47909090909091</v>
      </c>
      <c r="R196" s="0" t="n">
        <f aca="false">F196+K196</f>
        <v>127</v>
      </c>
      <c r="S196" s="0" t="n">
        <f aca="false">N196/R196</f>
        <v>2.42125984251969</v>
      </c>
    </row>
    <row r="197" customFormat="false" ht="15" hidden="false" customHeight="false" outlineLevel="0" collapsed="false">
      <c r="A197" s="0" t="s">
        <v>631</v>
      </c>
      <c r="B197" s="0" t="s">
        <v>632</v>
      </c>
      <c r="C197" s="0" t="n">
        <v>20171</v>
      </c>
      <c r="D197" s="0" t="n">
        <f aca="false">VLOOKUP(A197,[1]Worksheet!$A$2:$I$1049,4,0)</f>
        <v>20</v>
      </c>
      <c r="E197" s="0" t="n">
        <f aca="false">VLOOKUP(A197,[1]Worksheet!$A$2:$I$1049,5,0)</f>
        <v>2.25</v>
      </c>
      <c r="F197" s="0" t="n">
        <f aca="false">VLOOKUP(A197,[1]Worksheet!$A$2:$I$1049,6,0)</f>
        <v>108</v>
      </c>
      <c r="G197" s="0" t="n">
        <f aca="false">VLOOKUP(A197,[1]Worksheet!$A$2:$I$1049,7,0)</f>
        <v>2.1</v>
      </c>
      <c r="K197" s="0" t="n">
        <v>0</v>
      </c>
      <c r="M197" s="0" t="n">
        <f aca="false">D197*E197</f>
        <v>45</v>
      </c>
      <c r="N197" s="0" t="n">
        <f aca="false">F197*G197</f>
        <v>226.8</v>
      </c>
      <c r="P197" s="0" t="n">
        <f aca="false">K197+D197</f>
        <v>20</v>
      </c>
      <c r="Q197" s="0" t="n">
        <f aca="false">M197/P197</f>
        <v>2.25</v>
      </c>
      <c r="R197" s="0" t="n">
        <f aca="false">F197+K197</f>
        <v>108</v>
      </c>
      <c r="S197" s="0" t="n">
        <f aca="false">N197/R197</f>
        <v>2.1</v>
      </c>
    </row>
    <row r="198" customFormat="false" ht="15" hidden="false" customHeight="false" outlineLevel="0" collapsed="false">
      <c r="A198" s="0" t="s">
        <v>633</v>
      </c>
      <c r="B198" s="0" t="s">
        <v>634</v>
      </c>
      <c r="C198" s="0" t="n">
        <v>20171</v>
      </c>
      <c r="D198" s="0" t="n">
        <f aca="false">VLOOKUP(A198,[1]Worksheet!$A$2:$I$1049,4,0)</f>
        <v>19</v>
      </c>
      <c r="E198" s="0" t="n">
        <f aca="false">VLOOKUP(A198,[1]Worksheet!$A$2:$I$1049,5,0)</f>
        <v>1.97</v>
      </c>
      <c r="F198" s="0" t="n">
        <f aca="false">VLOOKUP(A198,[1]Worksheet!$A$2:$I$1049,6,0)</f>
        <v>102</v>
      </c>
      <c r="G198" s="0" t="n">
        <f aca="false">VLOOKUP(A198,[1]Worksheet!$A$2:$I$1049,7,0)</f>
        <v>1.98</v>
      </c>
      <c r="K198" s="0" t="n">
        <v>0</v>
      </c>
      <c r="M198" s="0" t="n">
        <f aca="false">D198*E198</f>
        <v>37.43</v>
      </c>
      <c r="N198" s="0" t="n">
        <f aca="false">F198*G198</f>
        <v>201.96</v>
      </c>
      <c r="P198" s="0" t="n">
        <f aca="false">K198+D198</f>
        <v>19</v>
      </c>
      <c r="Q198" s="0" t="n">
        <f aca="false">M198/P198</f>
        <v>1.97</v>
      </c>
      <c r="R198" s="0" t="n">
        <f aca="false">F198+K198</f>
        <v>102</v>
      </c>
      <c r="S198" s="0" t="n">
        <f aca="false">N198/R198</f>
        <v>1.98</v>
      </c>
    </row>
    <row r="199" customFormat="false" ht="15" hidden="false" customHeight="false" outlineLevel="0" collapsed="false">
      <c r="A199" s="0" t="s">
        <v>822</v>
      </c>
      <c r="B199" s="0" t="s">
        <v>823</v>
      </c>
      <c r="C199" s="0" t="n">
        <v>20171</v>
      </c>
      <c r="D199" s="0" t="n">
        <f aca="false">VLOOKUP(A199,[1]Worksheet!$A$2:$I$1049,4,0)</f>
        <v>14</v>
      </c>
      <c r="E199" s="0" t="n">
        <f aca="false">VLOOKUP(A199,[1]Worksheet!$A$2:$I$1049,5,0)</f>
        <v>2.18</v>
      </c>
      <c r="F199" s="0" t="n">
        <f aca="false">VLOOKUP(A199,[1]Worksheet!$A$2:$I$1049,6,0)</f>
        <v>123</v>
      </c>
      <c r="G199" s="0" t="n">
        <f aca="false">VLOOKUP(A199,[1]Worksheet!$A$2:$I$1049,7,0)</f>
        <v>2.58</v>
      </c>
      <c r="K199" s="0" t="n">
        <v>6</v>
      </c>
      <c r="M199" s="0" t="n">
        <f aca="false">D199*E199</f>
        <v>30.52</v>
      </c>
      <c r="N199" s="0" t="n">
        <f aca="false">F199*G199</f>
        <v>317.34</v>
      </c>
      <c r="P199" s="0" t="n">
        <f aca="false">K199+D199</f>
        <v>20</v>
      </c>
      <c r="Q199" s="0" t="n">
        <f aca="false">M199/P199</f>
        <v>1.526</v>
      </c>
      <c r="R199" s="0" t="n">
        <f aca="false">F199+K199</f>
        <v>129</v>
      </c>
      <c r="S199" s="0" t="n">
        <f aca="false">N199/R199</f>
        <v>2.46</v>
      </c>
    </row>
    <row r="200" customFormat="false" ht="15" hidden="false" customHeight="false" outlineLevel="0" collapsed="false">
      <c r="A200" s="0" t="s">
        <v>687</v>
      </c>
      <c r="B200" s="0" t="s">
        <v>688</v>
      </c>
      <c r="C200" s="0" t="n">
        <v>20171</v>
      </c>
      <c r="D200" s="0" t="n">
        <f aca="false">VLOOKUP(A200,[1]Worksheet!$A$2:$I$1049,4,0)</f>
        <v>21</v>
      </c>
      <c r="E200" s="0" t="n">
        <f aca="false">VLOOKUP(A200,[1]Worksheet!$A$2:$I$1049,5,0)</f>
        <v>1.83</v>
      </c>
      <c r="F200" s="0" t="n">
        <f aca="false">VLOOKUP(A200,[1]Worksheet!$A$2:$I$1049,6,0)</f>
        <v>94</v>
      </c>
      <c r="G200" s="0" t="n">
        <f aca="false">VLOOKUP(A200,[1]Worksheet!$A$2:$I$1049,7,0)</f>
        <v>1.77</v>
      </c>
      <c r="K200" s="0" t="n">
        <v>0</v>
      </c>
      <c r="M200" s="0" t="n">
        <f aca="false">D200*E200</f>
        <v>38.43</v>
      </c>
      <c r="N200" s="0" t="n">
        <f aca="false">F200*G200</f>
        <v>166.38</v>
      </c>
      <c r="P200" s="0" t="n">
        <f aca="false">K200+D200</f>
        <v>21</v>
      </c>
      <c r="Q200" s="0" t="n">
        <f aca="false">M200/P200</f>
        <v>1.83</v>
      </c>
      <c r="R200" s="0" t="n">
        <f aca="false">F200+K200</f>
        <v>94</v>
      </c>
      <c r="S200" s="0" t="n">
        <f aca="false">N200/R200</f>
        <v>1.77</v>
      </c>
    </row>
    <row r="201" customFormat="false" ht="15" hidden="false" customHeight="false" outlineLevel="0" collapsed="false">
      <c r="A201" s="0" t="s">
        <v>661</v>
      </c>
      <c r="B201" s="0" t="s">
        <v>662</v>
      </c>
      <c r="C201" s="0" t="n">
        <v>20171</v>
      </c>
      <c r="D201" s="0" t="n">
        <f aca="false">VLOOKUP(A201,[1]Worksheet!$A$2:$I$1049,4,0)</f>
        <v>15</v>
      </c>
      <c r="E201" s="0" t="n">
        <f aca="false">VLOOKUP(A201,[1]Worksheet!$A$2:$I$1049,5,0)</f>
        <v>3.2</v>
      </c>
      <c r="F201" s="0" t="n">
        <f aca="false">VLOOKUP(A201,[1]Worksheet!$A$2:$I$1049,6,0)</f>
        <v>140</v>
      </c>
      <c r="G201" s="0" t="n">
        <f aca="false">VLOOKUP(A201,[1]Worksheet!$A$2:$I$1049,7,0)</f>
        <v>3.21</v>
      </c>
      <c r="K201" s="0" t="n">
        <v>4</v>
      </c>
      <c r="M201" s="0" t="n">
        <f aca="false">D201*E201</f>
        <v>48</v>
      </c>
      <c r="N201" s="0" t="n">
        <f aca="false">F201*G201</f>
        <v>449.4</v>
      </c>
      <c r="P201" s="0" t="n">
        <f aca="false">K201+D201</f>
        <v>19</v>
      </c>
      <c r="Q201" s="0" t="n">
        <f aca="false">M201/P201</f>
        <v>2.52631578947368</v>
      </c>
      <c r="R201" s="0" t="n">
        <f aca="false">F201+K201</f>
        <v>144</v>
      </c>
      <c r="S201" s="0" t="n">
        <f aca="false">N201/R201</f>
        <v>3.12083333333333</v>
      </c>
    </row>
    <row r="202" customFormat="false" ht="15" hidden="false" customHeight="false" outlineLevel="0" collapsed="false">
      <c r="A202" s="0" t="s">
        <v>263</v>
      </c>
      <c r="B202" s="0" t="s">
        <v>264</v>
      </c>
      <c r="C202" s="0" t="n">
        <v>20171</v>
      </c>
      <c r="D202" s="0" t="n">
        <f aca="false">VLOOKUP(A202,[1]Worksheet!$A$2:$I$1049,4,0)</f>
        <v>18</v>
      </c>
      <c r="E202" s="0" t="n">
        <f aca="false">VLOOKUP(A202,[1]Worksheet!$A$2:$I$1049,5,0)</f>
        <v>1.5</v>
      </c>
      <c r="F202" s="0" t="n">
        <f aca="false">VLOOKUP(A202,[1]Worksheet!$A$2:$I$1049,6,0)</f>
        <v>116</v>
      </c>
      <c r="G202" s="0" t="n">
        <f aca="false">VLOOKUP(A202,[1]Worksheet!$A$2:$I$1049,7,0)</f>
        <v>2.02</v>
      </c>
      <c r="K202" s="0" t="n">
        <v>2</v>
      </c>
      <c r="M202" s="0" t="n">
        <f aca="false">D202*E202</f>
        <v>27</v>
      </c>
      <c r="N202" s="0" t="n">
        <f aca="false">F202*G202</f>
        <v>234.32</v>
      </c>
      <c r="P202" s="0" t="n">
        <f aca="false">K202+D202</f>
        <v>20</v>
      </c>
      <c r="Q202" s="0" t="n">
        <f aca="false">M202/P202</f>
        <v>1.35</v>
      </c>
      <c r="R202" s="0" t="n">
        <f aca="false">F202+K202</f>
        <v>118</v>
      </c>
      <c r="S202" s="0" t="n">
        <f aca="false">N202/R202</f>
        <v>1.98576271186441</v>
      </c>
    </row>
    <row r="203" customFormat="false" ht="15" hidden="false" customHeight="false" outlineLevel="0" collapsed="false">
      <c r="A203" s="0" t="s">
        <v>615</v>
      </c>
      <c r="B203" s="0" t="s">
        <v>616</v>
      </c>
      <c r="C203" s="0" t="n">
        <v>20171</v>
      </c>
      <c r="D203" s="0" t="n">
        <f aca="false">VLOOKUP(A203,[1]Worksheet!$A$2:$I$1049,4,0)</f>
        <v>18</v>
      </c>
      <c r="E203" s="0" t="n">
        <f aca="false">VLOOKUP(A203,[1]Worksheet!$A$2:$I$1049,5,0)</f>
        <v>3.11</v>
      </c>
      <c r="F203" s="0" t="n">
        <f aca="false">VLOOKUP(A203,[1]Worksheet!$A$2:$I$1049,6,0)</f>
        <v>126</v>
      </c>
      <c r="G203" s="0" t="n">
        <f aca="false">VLOOKUP(A203,[1]Worksheet!$A$2:$I$1049,7,0)</f>
        <v>2.71</v>
      </c>
      <c r="K203" s="0" t="n">
        <v>6</v>
      </c>
      <c r="M203" s="0" t="n">
        <f aca="false">D203*E203</f>
        <v>55.98</v>
      </c>
      <c r="N203" s="0" t="n">
        <f aca="false">F203*G203</f>
        <v>341.46</v>
      </c>
      <c r="P203" s="0" t="n">
        <f aca="false">K203+D203</f>
        <v>24</v>
      </c>
      <c r="Q203" s="0" t="n">
        <f aca="false">M203/P203</f>
        <v>2.3325</v>
      </c>
      <c r="R203" s="0" t="n">
        <f aca="false">F203+K203</f>
        <v>132</v>
      </c>
      <c r="S203" s="0" t="n">
        <f aca="false">N203/R203</f>
        <v>2.58681818181818</v>
      </c>
    </row>
    <row r="204" customFormat="false" ht="15" hidden="false" customHeight="false" outlineLevel="0" collapsed="false">
      <c r="A204" s="0" t="s">
        <v>265</v>
      </c>
      <c r="B204" s="0" t="s">
        <v>266</v>
      </c>
      <c r="C204" s="0" t="n">
        <v>20171</v>
      </c>
      <c r="D204" s="0" t="n">
        <f aca="false">VLOOKUP(A204,[1]Worksheet!$A$2:$I$1049,4,0)</f>
        <v>22</v>
      </c>
      <c r="E204" s="0" t="n">
        <f aca="false">VLOOKUP(A204,[1]Worksheet!$A$2:$I$1049,5,0)</f>
        <v>2.36</v>
      </c>
      <c r="F204" s="0" t="n">
        <f aca="false">VLOOKUP(A204,[1]Worksheet!$A$2:$I$1049,6,0)</f>
        <v>119</v>
      </c>
      <c r="G204" s="0" t="n">
        <f aca="false">VLOOKUP(A204,[1]Worksheet!$A$2:$I$1049,7,0)</f>
        <v>2.03</v>
      </c>
      <c r="K204" s="0" t="n">
        <v>0</v>
      </c>
      <c r="M204" s="0" t="n">
        <f aca="false">D204*E204</f>
        <v>51.92</v>
      </c>
      <c r="N204" s="0" t="n">
        <f aca="false">F204*G204</f>
        <v>241.57</v>
      </c>
      <c r="P204" s="0" t="n">
        <f aca="false">K204+D204</f>
        <v>22</v>
      </c>
      <c r="Q204" s="0" t="n">
        <f aca="false">M204/P204</f>
        <v>2.36</v>
      </c>
      <c r="R204" s="0" t="n">
        <f aca="false">F204+K204</f>
        <v>119</v>
      </c>
      <c r="S204" s="0" t="n">
        <f aca="false">N204/R204</f>
        <v>2.03</v>
      </c>
    </row>
    <row r="205" customFormat="false" ht="15" hidden="false" customHeight="false" outlineLevel="0" collapsed="false">
      <c r="A205" s="0" t="s">
        <v>824</v>
      </c>
      <c r="B205" s="0" t="s">
        <v>825</v>
      </c>
      <c r="C205" s="0" t="n">
        <v>20171</v>
      </c>
      <c r="D205" s="0" t="n">
        <f aca="false">VLOOKUP(A205,[1]Worksheet!$A$2:$I$1049,4,0)</f>
        <v>18</v>
      </c>
      <c r="E205" s="0" t="n">
        <f aca="false">VLOOKUP(A205,[1]Worksheet!$A$2:$I$1049,5,0)</f>
        <v>3.36</v>
      </c>
      <c r="F205" s="0" t="n">
        <f aca="false">VLOOKUP(A205,[1]Worksheet!$A$2:$I$1049,6,0)</f>
        <v>143</v>
      </c>
      <c r="G205" s="0" t="n">
        <f aca="false">VLOOKUP(A205,[1]Worksheet!$A$2:$I$1049,7,0)</f>
        <v>3.16</v>
      </c>
      <c r="K205" s="0" t="n">
        <v>4</v>
      </c>
      <c r="M205" s="0" t="n">
        <f aca="false">D205*E205</f>
        <v>60.48</v>
      </c>
      <c r="N205" s="0" t="n">
        <f aca="false">F205*G205</f>
        <v>451.88</v>
      </c>
      <c r="P205" s="0" t="n">
        <f aca="false">K205+D205</f>
        <v>22</v>
      </c>
      <c r="Q205" s="0" t="n">
        <f aca="false">M205/P205</f>
        <v>2.74909090909091</v>
      </c>
      <c r="R205" s="0" t="n">
        <f aca="false">F205+K205</f>
        <v>147</v>
      </c>
      <c r="S205" s="0" t="n">
        <f aca="false">N205/R205</f>
        <v>3.07401360544218</v>
      </c>
    </row>
    <row r="206" customFormat="false" ht="15" hidden="false" customHeight="false" outlineLevel="0" collapsed="false">
      <c r="A206" s="0" t="s">
        <v>826</v>
      </c>
      <c r="B206" s="0" t="s">
        <v>827</v>
      </c>
      <c r="C206" s="0" t="n">
        <v>20171</v>
      </c>
      <c r="D206" s="0" t="n">
        <f aca="false">VLOOKUP(A206,[1]Worksheet!$A$2:$I$1049,4,0)</f>
        <v>10</v>
      </c>
      <c r="E206" s="0" t="n">
        <f aca="false">VLOOKUP(A206,[1]Worksheet!$A$2:$I$1049,5,0)</f>
        <v>3.3</v>
      </c>
      <c r="F206" s="0" t="n">
        <f aca="false">VLOOKUP(A206,[1]Worksheet!$A$2:$I$1049,6,0)</f>
        <v>140</v>
      </c>
      <c r="G206" s="0" t="n">
        <f aca="false">VLOOKUP(A206,[1]Worksheet!$A$2:$I$1049,7,0)</f>
        <v>3.43</v>
      </c>
      <c r="K206" s="0" t="n">
        <v>4</v>
      </c>
      <c r="M206" s="0" t="n">
        <f aca="false">D206*E206</f>
        <v>33</v>
      </c>
      <c r="N206" s="0" t="n">
        <f aca="false">F206*G206</f>
        <v>480.2</v>
      </c>
      <c r="P206" s="0" t="n">
        <f aca="false">K206+D206</f>
        <v>14</v>
      </c>
      <c r="Q206" s="0" t="n">
        <f aca="false">M206/P206</f>
        <v>2.35714285714286</v>
      </c>
      <c r="R206" s="0" t="n">
        <f aca="false">F206+K206</f>
        <v>144</v>
      </c>
      <c r="S206" s="0" t="n">
        <f aca="false">N206/R206</f>
        <v>3.33472222222222</v>
      </c>
    </row>
    <row r="207" customFormat="false" ht="15" hidden="false" customHeight="false" outlineLevel="0" collapsed="false">
      <c r="A207" s="0" t="s">
        <v>267</v>
      </c>
      <c r="B207" s="0" t="s">
        <v>268</v>
      </c>
      <c r="C207" s="0" t="n">
        <v>20171</v>
      </c>
      <c r="D207" s="0" t="n">
        <f aca="false">VLOOKUP(A207,[1]Worksheet!$A$2:$I$1049,4,0)</f>
        <v>23</v>
      </c>
      <c r="E207" s="0" t="n">
        <f aca="false">VLOOKUP(A207,[1]Worksheet!$A$2:$I$1049,5,0)</f>
        <v>1.98</v>
      </c>
      <c r="F207" s="0" t="n">
        <f aca="false">VLOOKUP(A207,[1]Worksheet!$A$2:$I$1049,6,0)</f>
        <v>120</v>
      </c>
      <c r="G207" s="0" t="n">
        <f aca="false">VLOOKUP(A207,[1]Worksheet!$A$2:$I$1049,7,0)</f>
        <v>2.27</v>
      </c>
      <c r="K207" s="0" t="n">
        <v>0</v>
      </c>
      <c r="M207" s="0" t="n">
        <f aca="false">D207*E207</f>
        <v>45.54</v>
      </c>
      <c r="N207" s="0" t="n">
        <f aca="false">F207*G207</f>
        <v>272.4</v>
      </c>
      <c r="P207" s="0" t="n">
        <f aca="false">K207+D207</f>
        <v>23</v>
      </c>
      <c r="Q207" s="0" t="n">
        <f aca="false">M207/P207</f>
        <v>1.98</v>
      </c>
      <c r="R207" s="0" t="n">
        <f aca="false">F207+K207</f>
        <v>120</v>
      </c>
      <c r="S207" s="0" t="n">
        <f aca="false">N207/R207</f>
        <v>2.27</v>
      </c>
    </row>
    <row r="208" customFormat="false" ht="15" hidden="false" customHeight="false" outlineLevel="0" collapsed="false">
      <c r="A208" s="0" t="s">
        <v>595</v>
      </c>
      <c r="B208" s="0" t="s">
        <v>596</v>
      </c>
      <c r="C208" s="0" t="n">
        <v>20171</v>
      </c>
      <c r="D208" s="0" t="n">
        <f aca="false">VLOOKUP(A208,[1]Worksheet!$A$2:$I$1049,4,0)</f>
        <v>18</v>
      </c>
      <c r="E208" s="0" t="n">
        <f aca="false">VLOOKUP(A208,[1]Worksheet!$A$2:$I$1049,5,0)</f>
        <v>3.19</v>
      </c>
      <c r="F208" s="0" t="n">
        <f aca="false">VLOOKUP(A208,[1]Worksheet!$A$2:$I$1049,6,0)</f>
        <v>139</v>
      </c>
      <c r="G208" s="0" t="n">
        <f aca="false">VLOOKUP(A208,[1]Worksheet!$A$2:$I$1049,7,0)</f>
        <v>2.85</v>
      </c>
      <c r="K208" s="0" t="n">
        <v>4</v>
      </c>
      <c r="M208" s="0" t="n">
        <f aca="false">D208*E208</f>
        <v>57.42</v>
      </c>
      <c r="N208" s="0" t="n">
        <f aca="false">F208*G208</f>
        <v>396.15</v>
      </c>
      <c r="P208" s="0" t="n">
        <f aca="false">K208+D208</f>
        <v>22</v>
      </c>
      <c r="Q208" s="0" t="n">
        <f aca="false">M208/P208</f>
        <v>2.61</v>
      </c>
      <c r="R208" s="0" t="n">
        <f aca="false">F208+K208</f>
        <v>143</v>
      </c>
      <c r="S208" s="0" t="n">
        <f aca="false">N208/R208</f>
        <v>2.77027972027972</v>
      </c>
    </row>
    <row r="209" customFormat="false" ht="15" hidden="false" customHeight="false" outlineLevel="0" collapsed="false">
      <c r="A209" s="0" t="s">
        <v>773</v>
      </c>
      <c r="B209" s="0" t="s">
        <v>774</v>
      </c>
      <c r="C209" s="0" t="n">
        <v>20171</v>
      </c>
      <c r="D209" s="0" t="n">
        <f aca="false">VLOOKUP(A209,[1]Worksheet!$A$2:$I$1049,4,0)</f>
        <v>18</v>
      </c>
      <c r="E209" s="0" t="n">
        <f aca="false">VLOOKUP(A209,[1]Worksheet!$A$2:$I$1049,5,0)</f>
        <v>3.08</v>
      </c>
      <c r="F209" s="0" t="n">
        <f aca="false">VLOOKUP(A209,[1]Worksheet!$A$2:$I$1049,6,0)</f>
        <v>145</v>
      </c>
      <c r="G209" s="0" t="n">
        <f aca="false">VLOOKUP(A209,[1]Worksheet!$A$2:$I$1049,7,0)</f>
        <v>3.04</v>
      </c>
      <c r="K209" s="0" t="n">
        <v>2</v>
      </c>
      <c r="M209" s="0" t="n">
        <f aca="false">D209*E209</f>
        <v>55.44</v>
      </c>
      <c r="N209" s="0" t="n">
        <f aca="false">F209*G209</f>
        <v>440.8</v>
      </c>
      <c r="P209" s="0" t="n">
        <f aca="false">K209+D209</f>
        <v>20</v>
      </c>
      <c r="Q209" s="0" t="n">
        <f aca="false">M209/P209</f>
        <v>2.772</v>
      </c>
      <c r="R209" s="0" t="n">
        <f aca="false">F209+K209</f>
        <v>147</v>
      </c>
      <c r="S209" s="0" t="n">
        <f aca="false">N209/R209</f>
        <v>2.99863945578231</v>
      </c>
    </row>
    <row r="210" customFormat="false" ht="15" hidden="false" customHeight="false" outlineLevel="0" collapsed="false">
      <c r="A210" s="0" t="s">
        <v>269</v>
      </c>
      <c r="B210" s="0" t="s">
        <v>270</v>
      </c>
      <c r="C210" s="0" t="n">
        <v>20171</v>
      </c>
      <c r="D210" s="0" t="n">
        <f aca="false">VLOOKUP(A210,[1]Worksheet!$A$2:$I$1049,4,0)</f>
        <v>22</v>
      </c>
      <c r="E210" s="0" t="n">
        <f aca="false">VLOOKUP(A210,[1]Worksheet!$A$2:$I$1049,5,0)</f>
        <v>2.64</v>
      </c>
      <c r="F210" s="0" t="n">
        <f aca="false">VLOOKUP(A210,[1]Worksheet!$A$2:$I$1049,6,0)</f>
        <v>132</v>
      </c>
      <c r="G210" s="0" t="n">
        <f aca="false">VLOOKUP(A210,[1]Worksheet!$A$2:$I$1049,7,0)</f>
        <v>2.44</v>
      </c>
      <c r="K210" s="0" t="n">
        <v>2</v>
      </c>
      <c r="M210" s="0" t="n">
        <f aca="false">D210*E210</f>
        <v>58.08</v>
      </c>
      <c r="N210" s="0" t="n">
        <f aca="false">F210*G210</f>
        <v>322.08</v>
      </c>
      <c r="P210" s="0" t="n">
        <f aca="false">K210+D210</f>
        <v>24</v>
      </c>
      <c r="Q210" s="0" t="n">
        <f aca="false">M210/P210</f>
        <v>2.42</v>
      </c>
      <c r="R210" s="0" t="n">
        <f aca="false">F210+K210</f>
        <v>134</v>
      </c>
      <c r="S210" s="0" t="n">
        <f aca="false">N210/R210</f>
        <v>2.40358208955224</v>
      </c>
    </row>
    <row r="211" customFormat="false" ht="15" hidden="false" customHeight="false" outlineLevel="0" collapsed="false">
      <c r="A211" s="0" t="s">
        <v>271</v>
      </c>
      <c r="B211" s="0" t="s">
        <v>272</v>
      </c>
      <c r="C211" s="0" t="n">
        <v>20171</v>
      </c>
      <c r="D211" s="0" t="n">
        <f aca="false">VLOOKUP(A211,[1]Worksheet!$A$2:$I$1049,4,0)</f>
        <v>12</v>
      </c>
      <c r="E211" s="0" t="n">
        <f aca="false">VLOOKUP(A211,[1]Worksheet!$A$2:$I$1049,5,0)</f>
        <v>2.67</v>
      </c>
      <c r="F211" s="0" t="n">
        <f aca="false">VLOOKUP(A211,[1]Worksheet!$A$2:$I$1049,6,0)</f>
        <v>121</v>
      </c>
      <c r="G211" s="0" t="n">
        <f aca="false">VLOOKUP(A211,[1]Worksheet!$A$2:$I$1049,7,0)</f>
        <v>2.12</v>
      </c>
      <c r="K211" s="0" t="n">
        <v>2</v>
      </c>
      <c r="M211" s="0" t="n">
        <f aca="false">D211*E211</f>
        <v>32.04</v>
      </c>
      <c r="N211" s="0" t="n">
        <f aca="false">F211*G211</f>
        <v>256.52</v>
      </c>
      <c r="P211" s="0" t="n">
        <f aca="false">K211+D211</f>
        <v>14</v>
      </c>
      <c r="Q211" s="0" t="n">
        <f aca="false">M211/P211</f>
        <v>2.28857142857143</v>
      </c>
      <c r="R211" s="0" t="n">
        <f aca="false">F211+K211</f>
        <v>123</v>
      </c>
      <c r="S211" s="0" t="n">
        <f aca="false">N211/R211</f>
        <v>2.08552845528455</v>
      </c>
    </row>
    <row r="212" customFormat="false" ht="15" hidden="false" customHeight="false" outlineLevel="0" collapsed="false">
      <c r="A212" s="0" t="s">
        <v>114</v>
      </c>
      <c r="B212" s="0" t="s">
        <v>115</v>
      </c>
      <c r="C212" s="0" t="n">
        <v>20171</v>
      </c>
      <c r="D212" s="0" t="n">
        <f aca="false">VLOOKUP(A212,[1]Worksheet!$A$2:$I$1049,4,0)</f>
        <v>20</v>
      </c>
      <c r="E212" s="0" t="n">
        <f aca="false">VLOOKUP(A212,[1]Worksheet!$A$2:$I$1049,5,0)</f>
        <v>3.28</v>
      </c>
      <c r="F212" s="0" t="n">
        <f aca="false">VLOOKUP(A212,[1]Worksheet!$A$2:$I$1049,6,0)</f>
        <v>135</v>
      </c>
      <c r="G212" s="0" t="n">
        <f aca="false">VLOOKUP(A212,[1]Worksheet!$A$2:$I$1049,7,0)</f>
        <v>2.94</v>
      </c>
      <c r="K212" s="0" t="n">
        <v>4</v>
      </c>
      <c r="M212" s="0" t="n">
        <f aca="false">D212*E212</f>
        <v>65.6</v>
      </c>
      <c r="N212" s="0" t="n">
        <f aca="false">F212*G212</f>
        <v>396.9</v>
      </c>
      <c r="P212" s="0" t="n">
        <f aca="false">K212+D212</f>
        <v>24</v>
      </c>
      <c r="Q212" s="0" t="n">
        <f aca="false">M212/P212</f>
        <v>2.73333333333333</v>
      </c>
      <c r="R212" s="0" t="n">
        <f aca="false">F212+K212</f>
        <v>139</v>
      </c>
      <c r="S212" s="0" t="n">
        <f aca="false">N212/R212</f>
        <v>2.85539568345324</v>
      </c>
    </row>
    <row r="213" customFormat="false" ht="15" hidden="false" customHeight="false" outlineLevel="0" collapsed="false">
      <c r="A213" s="0" t="s">
        <v>202</v>
      </c>
      <c r="B213" s="0" t="s">
        <v>203</v>
      </c>
      <c r="C213" s="0" t="n">
        <v>20171</v>
      </c>
      <c r="D213" s="0" t="n">
        <f aca="false">VLOOKUP(A213,[1]Worksheet!$A$2:$I$1049,4,0)</f>
        <v>18</v>
      </c>
      <c r="E213" s="0" t="n">
        <f aca="false">VLOOKUP(A213,[1]Worksheet!$A$2:$I$1049,5,0)</f>
        <v>3.25</v>
      </c>
      <c r="F213" s="0" t="n">
        <f aca="false">VLOOKUP(A213,[1]Worksheet!$A$2:$I$1049,6,0)</f>
        <v>133</v>
      </c>
      <c r="G213" s="0" t="n">
        <f aca="false">VLOOKUP(A213,[1]Worksheet!$A$2:$I$1049,7,0)</f>
        <v>2.83</v>
      </c>
      <c r="K213" s="0" t="n">
        <v>6</v>
      </c>
      <c r="M213" s="0" t="n">
        <f aca="false">D213*E213</f>
        <v>58.5</v>
      </c>
      <c r="N213" s="0" t="n">
        <f aca="false">F213*G213</f>
        <v>376.39</v>
      </c>
      <c r="P213" s="0" t="n">
        <f aca="false">K213+D213</f>
        <v>24</v>
      </c>
      <c r="Q213" s="0" t="n">
        <f aca="false">M213/P213</f>
        <v>2.4375</v>
      </c>
      <c r="R213" s="0" t="n">
        <f aca="false">F213+K213</f>
        <v>139</v>
      </c>
      <c r="S213" s="0" t="n">
        <f aca="false">N213/R213</f>
        <v>2.7078417266187</v>
      </c>
    </row>
    <row r="214" customFormat="false" ht="15" hidden="false" customHeight="false" outlineLevel="0" collapsed="false">
      <c r="A214" s="0" t="s">
        <v>751</v>
      </c>
      <c r="B214" s="0" t="s">
        <v>752</v>
      </c>
      <c r="C214" s="0" t="n">
        <v>20171</v>
      </c>
      <c r="D214" s="0" t="n">
        <f aca="false">VLOOKUP(A214,[1]Worksheet!$A$2:$I$1049,4,0)</f>
        <v>18</v>
      </c>
      <c r="E214" s="0" t="n">
        <f aca="false">VLOOKUP(A214,[1]Worksheet!$A$2:$I$1049,5,0)</f>
        <v>3.08</v>
      </c>
      <c r="F214" s="0" t="n">
        <f aca="false">VLOOKUP(A214,[1]Worksheet!$A$2:$I$1049,6,0)</f>
        <v>143</v>
      </c>
      <c r="G214" s="0" t="n">
        <f aca="false">VLOOKUP(A214,[1]Worksheet!$A$2:$I$1049,7,0)</f>
        <v>3.01</v>
      </c>
      <c r="K214" s="0" t="n">
        <v>4</v>
      </c>
      <c r="M214" s="0" t="n">
        <f aca="false">D214*E214</f>
        <v>55.44</v>
      </c>
      <c r="N214" s="0" t="n">
        <f aca="false">F214*G214</f>
        <v>430.43</v>
      </c>
      <c r="P214" s="0" t="n">
        <f aca="false">K214+D214</f>
        <v>22</v>
      </c>
      <c r="Q214" s="0" t="n">
        <f aca="false">M214/P214</f>
        <v>2.52</v>
      </c>
      <c r="R214" s="0" t="n">
        <f aca="false">F214+K214</f>
        <v>147</v>
      </c>
      <c r="S214" s="0" t="n">
        <f aca="false">N214/R214</f>
        <v>2.92809523809524</v>
      </c>
    </row>
    <row r="215" customFormat="false" ht="15" hidden="false" customHeight="false" outlineLevel="0" collapsed="false">
      <c r="A215" s="0" t="s">
        <v>273</v>
      </c>
      <c r="B215" s="0" t="s">
        <v>274</v>
      </c>
      <c r="C215" s="0" t="n">
        <v>20171</v>
      </c>
      <c r="D215" s="0" t="n">
        <f aca="false">VLOOKUP(A215,[1]Worksheet!$A$2:$I$1049,4,0)</f>
        <v>20</v>
      </c>
      <c r="E215" s="0" t="n">
        <f aca="false">VLOOKUP(A215,[1]Worksheet!$A$2:$I$1049,5,0)</f>
        <v>2.5</v>
      </c>
      <c r="F215" s="0" t="n">
        <f aca="false">VLOOKUP(A215,[1]Worksheet!$A$2:$I$1049,6,0)</f>
        <v>132</v>
      </c>
      <c r="G215" s="0" t="n">
        <f aca="false">VLOOKUP(A215,[1]Worksheet!$A$2:$I$1049,7,0)</f>
        <v>2.28</v>
      </c>
      <c r="K215" s="0" t="n">
        <v>0</v>
      </c>
      <c r="M215" s="0" t="n">
        <f aca="false">D215*E215</f>
        <v>50</v>
      </c>
      <c r="N215" s="0" t="n">
        <f aca="false">F215*G215</f>
        <v>300.96</v>
      </c>
      <c r="P215" s="0" t="n">
        <f aca="false">K215+D215</f>
        <v>20</v>
      </c>
      <c r="Q215" s="0" t="n">
        <f aca="false">M215/P215</f>
        <v>2.5</v>
      </c>
      <c r="R215" s="0" t="n">
        <f aca="false">F215+K215</f>
        <v>132</v>
      </c>
      <c r="S215" s="0" t="n">
        <f aca="false">N215/R215</f>
        <v>2.28</v>
      </c>
    </row>
    <row r="216" customFormat="false" ht="15" hidden="false" customHeight="false" outlineLevel="0" collapsed="false">
      <c r="A216" s="0" t="s">
        <v>739</v>
      </c>
      <c r="B216" s="0" t="s">
        <v>740</v>
      </c>
      <c r="C216" s="0" t="n">
        <v>20171</v>
      </c>
      <c r="D216" s="0" t="n">
        <f aca="false">VLOOKUP(A216,[1]Worksheet!$A$2:$I$1049,4,0)</f>
        <v>15</v>
      </c>
      <c r="E216" s="0" t="n">
        <f aca="false">VLOOKUP(A216,[1]Worksheet!$A$2:$I$1049,5,0)</f>
        <v>1.97</v>
      </c>
      <c r="F216" s="0" t="n">
        <f aca="false">VLOOKUP(A216,[1]Worksheet!$A$2:$I$1049,6,0)</f>
        <v>132</v>
      </c>
      <c r="G216" s="0" t="n">
        <f aca="false">VLOOKUP(A216,[1]Worksheet!$A$2:$I$1049,7,0)</f>
        <v>2.52</v>
      </c>
      <c r="K216" s="0" t="n">
        <v>4</v>
      </c>
      <c r="M216" s="0" t="n">
        <f aca="false">D216*E216</f>
        <v>29.55</v>
      </c>
      <c r="N216" s="0" t="n">
        <f aca="false">F216*G216</f>
        <v>332.64</v>
      </c>
      <c r="P216" s="0" t="n">
        <f aca="false">K216+D216</f>
        <v>19</v>
      </c>
      <c r="Q216" s="0" t="n">
        <f aca="false">M216/P216</f>
        <v>1.55526315789474</v>
      </c>
      <c r="R216" s="0" t="n">
        <f aca="false">F216+K216</f>
        <v>136</v>
      </c>
      <c r="S216" s="0" t="n">
        <f aca="false">N216/R216</f>
        <v>2.44588235294118</v>
      </c>
    </row>
    <row r="217" customFormat="false" ht="15" hidden="false" customHeight="false" outlineLevel="0" collapsed="false">
      <c r="A217" s="0" t="s">
        <v>828</v>
      </c>
      <c r="B217" s="0" t="s">
        <v>829</v>
      </c>
      <c r="C217" s="0" t="n">
        <v>20171</v>
      </c>
      <c r="D217" s="0" t="n">
        <f aca="false">VLOOKUP(A217,[1]Worksheet!$A$2:$I$1049,4,0)</f>
        <v>18</v>
      </c>
      <c r="E217" s="0" t="n">
        <f aca="false">VLOOKUP(A217,[1]Worksheet!$A$2:$I$1049,5,0)</f>
        <v>3.08</v>
      </c>
      <c r="F217" s="0" t="n">
        <f aca="false">VLOOKUP(A217,[1]Worksheet!$A$2:$I$1049,6,0)</f>
        <v>144</v>
      </c>
      <c r="G217" s="0" t="n">
        <f aca="false">VLOOKUP(A217,[1]Worksheet!$A$2:$I$1049,7,0)</f>
        <v>3.45</v>
      </c>
      <c r="K217" s="0" t="n">
        <v>0</v>
      </c>
      <c r="M217" s="0" t="n">
        <f aca="false">D217*E217</f>
        <v>55.44</v>
      </c>
      <c r="N217" s="0" t="n">
        <f aca="false">F217*G217</f>
        <v>496.8</v>
      </c>
      <c r="P217" s="0" t="n">
        <f aca="false">K217+D217</f>
        <v>18</v>
      </c>
      <c r="Q217" s="0" t="n">
        <f aca="false">M217/P217</f>
        <v>3.08</v>
      </c>
      <c r="R217" s="0" t="n">
        <f aca="false">F217+K217</f>
        <v>144</v>
      </c>
      <c r="S217" s="0" t="n">
        <f aca="false">N217/R217</f>
        <v>3.45</v>
      </c>
    </row>
    <row r="218" customFormat="false" ht="15" hidden="false" customHeight="false" outlineLevel="0" collapsed="false">
      <c r="A218" s="0" t="s">
        <v>830</v>
      </c>
      <c r="B218" s="0" t="s">
        <v>831</v>
      </c>
      <c r="C218" s="0" t="n">
        <v>20171</v>
      </c>
      <c r="D218" s="0" t="n">
        <f aca="false">VLOOKUP(A218,[1]Worksheet!$A$2:$I$1049,4,0)</f>
        <v>16</v>
      </c>
      <c r="E218" s="0" t="n">
        <f aca="false">VLOOKUP(A218,[1]Worksheet!$A$2:$I$1049,5,0)</f>
        <v>3.56</v>
      </c>
      <c r="F218" s="0" t="n">
        <f aca="false">VLOOKUP(A218,[1]Worksheet!$A$2:$I$1049,6,0)</f>
        <v>144</v>
      </c>
      <c r="G218" s="0" t="n">
        <f aca="false">VLOOKUP(A218,[1]Worksheet!$A$2:$I$1049,7,0)</f>
        <v>3.41</v>
      </c>
      <c r="K218" s="0" t="n">
        <v>0</v>
      </c>
      <c r="M218" s="0" t="n">
        <f aca="false">D218*E218</f>
        <v>56.96</v>
      </c>
      <c r="N218" s="0" t="n">
        <f aca="false">F218*G218</f>
        <v>491.04</v>
      </c>
      <c r="P218" s="0" t="n">
        <f aca="false">K218+D218</f>
        <v>16</v>
      </c>
      <c r="Q218" s="0" t="n">
        <f aca="false">M218/P218</f>
        <v>3.56</v>
      </c>
      <c r="R218" s="0" t="n">
        <f aca="false">F218+K218</f>
        <v>144</v>
      </c>
      <c r="S218" s="0" t="n">
        <f aca="false">N218/R218</f>
        <v>3.41</v>
      </c>
    </row>
    <row r="219" customFormat="false" ht="15" hidden="false" customHeight="false" outlineLevel="0" collapsed="false">
      <c r="A219" s="0" t="s">
        <v>209</v>
      </c>
      <c r="B219" s="0" t="s">
        <v>210</v>
      </c>
      <c r="C219" s="0" t="n">
        <v>20171</v>
      </c>
      <c r="D219" s="0" t="n">
        <f aca="false">VLOOKUP(A219,[1]Worksheet!$A$2:$I$1049,4,0)</f>
        <v>20</v>
      </c>
      <c r="E219" s="0" t="n">
        <f aca="false">VLOOKUP(A219,[1]Worksheet!$A$2:$I$1049,5,0)</f>
        <v>3.18</v>
      </c>
      <c r="F219" s="0" t="n">
        <f aca="false">VLOOKUP(A219,[1]Worksheet!$A$2:$I$1049,6,0)</f>
        <v>143</v>
      </c>
      <c r="G219" s="0" t="n">
        <f aca="false">VLOOKUP(A219,[1]Worksheet!$A$2:$I$1049,7,0)</f>
        <v>3.1</v>
      </c>
      <c r="K219" s="0" t="n">
        <v>4</v>
      </c>
      <c r="M219" s="0" t="n">
        <f aca="false">D219*E219</f>
        <v>63.6</v>
      </c>
      <c r="N219" s="0" t="n">
        <f aca="false">F219*G219</f>
        <v>443.3</v>
      </c>
      <c r="P219" s="0" t="n">
        <f aca="false">K219+D219</f>
        <v>24</v>
      </c>
      <c r="Q219" s="0" t="n">
        <f aca="false">M219/P219</f>
        <v>2.65</v>
      </c>
      <c r="R219" s="0" t="n">
        <f aca="false">F219+K219</f>
        <v>147</v>
      </c>
      <c r="S219" s="0" t="n">
        <f aca="false">N219/R219</f>
        <v>3.0156462585034</v>
      </c>
    </row>
    <row r="220" customFormat="false" ht="15" hidden="false" customHeight="false" outlineLevel="0" collapsed="false">
      <c r="A220" s="0" t="s">
        <v>689</v>
      </c>
      <c r="B220" s="0" t="s">
        <v>690</v>
      </c>
      <c r="C220" s="0" t="n">
        <v>20171</v>
      </c>
      <c r="D220" s="0" t="n">
        <f aca="false">VLOOKUP(A220,[1]Worksheet!$A$2:$I$1049,4,0)</f>
        <v>21</v>
      </c>
      <c r="E220" s="0" t="n">
        <f aca="false">VLOOKUP(A220,[1]Worksheet!$A$2:$I$1049,5,0)</f>
        <v>3.14</v>
      </c>
      <c r="F220" s="0" t="n">
        <f aca="false">VLOOKUP(A220,[1]Worksheet!$A$2:$I$1049,6,0)</f>
        <v>105</v>
      </c>
      <c r="G220" s="0" t="n">
        <f aca="false">VLOOKUP(A220,[1]Worksheet!$A$2:$I$1049,7,0)</f>
        <v>2.82</v>
      </c>
      <c r="K220" s="0" t="n">
        <v>0</v>
      </c>
      <c r="M220" s="0" t="n">
        <f aca="false">D220*E220</f>
        <v>65.94</v>
      </c>
      <c r="N220" s="0" t="n">
        <f aca="false">F220*G220</f>
        <v>296.1</v>
      </c>
      <c r="P220" s="0" t="n">
        <f aca="false">K220+D220</f>
        <v>21</v>
      </c>
      <c r="Q220" s="0" t="n">
        <f aca="false">M220/P220</f>
        <v>3.14</v>
      </c>
      <c r="R220" s="0" t="n">
        <f aca="false">F220+K220</f>
        <v>105</v>
      </c>
      <c r="S220" s="0" t="n">
        <f aca="false">N220/R220</f>
        <v>2.82</v>
      </c>
    </row>
    <row r="221" customFormat="false" ht="15" hidden="false" customHeight="false" outlineLevel="0" collapsed="false">
      <c r="A221" s="0" t="s">
        <v>691</v>
      </c>
      <c r="B221" s="0" t="s">
        <v>692</v>
      </c>
      <c r="C221" s="0" t="n">
        <v>20171</v>
      </c>
      <c r="D221" s="0" t="n">
        <f aca="false">VLOOKUP(A221,[1]Worksheet!$A$2:$I$1049,4,0)</f>
        <v>22</v>
      </c>
      <c r="E221" s="0" t="n">
        <f aca="false">VLOOKUP(A221,[1]Worksheet!$A$2:$I$1049,5,0)</f>
        <v>2.98</v>
      </c>
      <c r="F221" s="0" t="n">
        <f aca="false">VLOOKUP(A221,[1]Worksheet!$A$2:$I$1049,6,0)</f>
        <v>107</v>
      </c>
      <c r="G221" s="0" t="n">
        <f aca="false">VLOOKUP(A221,[1]Worksheet!$A$2:$I$1049,7,0)</f>
        <v>2.43</v>
      </c>
      <c r="K221" s="0" t="n">
        <v>0</v>
      </c>
      <c r="M221" s="0" t="n">
        <f aca="false">D221*E221</f>
        <v>65.56</v>
      </c>
      <c r="N221" s="0" t="n">
        <f aca="false">F221*G221</f>
        <v>260.01</v>
      </c>
      <c r="P221" s="0" t="n">
        <f aca="false">K221+D221</f>
        <v>22</v>
      </c>
      <c r="Q221" s="0" t="n">
        <f aca="false">M221/P221</f>
        <v>2.98</v>
      </c>
      <c r="R221" s="0" t="n">
        <f aca="false">F221+K221</f>
        <v>107</v>
      </c>
      <c r="S221" s="0" t="n">
        <f aca="false">N221/R221</f>
        <v>2.43</v>
      </c>
    </row>
    <row r="222" customFormat="false" ht="15" hidden="false" customHeight="false" outlineLevel="0" collapsed="false">
      <c r="A222" s="0" t="s">
        <v>693</v>
      </c>
      <c r="B222" s="0" t="s">
        <v>694</v>
      </c>
      <c r="C222" s="0" t="n">
        <v>20171</v>
      </c>
      <c r="D222" s="0" t="n">
        <f aca="false">VLOOKUP(A222,[1]Worksheet!$A$2:$I$1049,4,0)</f>
        <v>24</v>
      </c>
      <c r="E222" s="0" t="n">
        <f aca="false">VLOOKUP(A222,[1]Worksheet!$A$2:$I$1049,5,0)</f>
        <v>3.15</v>
      </c>
      <c r="F222" s="0" t="n">
        <f aca="false">VLOOKUP(A222,[1]Worksheet!$A$2:$I$1049,6,0)</f>
        <v>107</v>
      </c>
      <c r="G222" s="0" t="n">
        <f aca="false">VLOOKUP(A222,[1]Worksheet!$A$2:$I$1049,7,0)</f>
        <v>3.26</v>
      </c>
      <c r="K222" s="0" t="n">
        <v>0</v>
      </c>
      <c r="M222" s="0" t="n">
        <f aca="false">D222*E222</f>
        <v>75.6</v>
      </c>
      <c r="N222" s="0" t="n">
        <f aca="false">F222*G222</f>
        <v>348.82</v>
      </c>
      <c r="P222" s="0" t="n">
        <f aca="false">K222+D222</f>
        <v>24</v>
      </c>
      <c r="Q222" s="0" t="n">
        <f aca="false">M222/P222</f>
        <v>3.15</v>
      </c>
      <c r="R222" s="0" t="n">
        <f aca="false">F222+K222</f>
        <v>107</v>
      </c>
      <c r="S222" s="0" t="n">
        <f aca="false">N222/R222</f>
        <v>3.26</v>
      </c>
    </row>
    <row r="223" customFormat="false" ht="15" hidden="false" customHeight="false" outlineLevel="0" collapsed="false">
      <c r="A223" s="0" t="s">
        <v>211</v>
      </c>
      <c r="B223" s="0" t="s">
        <v>212</v>
      </c>
      <c r="C223" s="0" t="n">
        <v>20171</v>
      </c>
      <c r="D223" s="0" t="n">
        <f aca="false">VLOOKUP(A223,[1]Worksheet!$A$2:$I$1049,4,0)</f>
        <v>21</v>
      </c>
      <c r="E223" s="0" t="n">
        <f aca="false">VLOOKUP(A223,[1]Worksheet!$A$2:$I$1049,5,0)</f>
        <v>2.93</v>
      </c>
      <c r="F223" s="0" t="n">
        <f aca="false">VLOOKUP(A223,[1]Worksheet!$A$2:$I$1049,6,0)</f>
        <v>107</v>
      </c>
      <c r="G223" s="0" t="n">
        <f aca="false">VLOOKUP(A223,[1]Worksheet!$A$2:$I$1049,7,0)</f>
        <v>2.92</v>
      </c>
      <c r="K223" s="0" t="n">
        <v>0</v>
      </c>
      <c r="M223" s="0" t="n">
        <f aca="false">D223*E223</f>
        <v>61.53</v>
      </c>
      <c r="N223" s="0" t="n">
        <f aca="false">F223*G223</f>
        <v>312.44</v>
      </c>
      <c r="P223" s="0" t="n">
        <f aca="false">K223+D223</f>
        <v>21</v>
      </c>
      <c r="Q223" s="0" t="n">
        <f aca="false">M223/P223</f>
        <v>2.93</v>
      </c>
      <c r="R223" s="0" t="n">
        <f aca="false">F223+K223</f>
        <v>107</v>
      </c>
      <c r="S223" s="0" t="n">
        <f aca="false">N223/R223</f>
        <v>2.92</v>
      </c>
    </row>
    <row r="224" customFormat="false" ht="15" hidden="false" customHeight="false" outlineLevel="0" collapsed="false">
      <c r="A224" s="0" t="s">
        <v>695</v>
      </c>
      <c r="B224" s="0" t="s">
        <v>696</v>
      </c>
      <c r="C224" s="0" t="n">
        <v>20171</v>
      </c>
      <c r="D224" s="0" t="n">
        <f aca="false">VLOOKUP(A224,[1]Worksheet!$A$2:$I$1049,4,0)</f>
        <v>23</v>
      </c>
      <c r="E224" s="0" t="n">
        <f aca="false">VLOOKUP(A224,[1]Worksheet!$A$2:$I$1049,5,0)</f>
        <v>3.52</v>
      </c>
      <c r="F224" s="0" t="n">
        <f aca="false">VLOOKUP(A224,[1]Worksheet!$A$2:$I$1049,6,0)</f>
        <v>109</v>
      </c>
      <c r="G224" s="0" t="n">
        <f aca="false">VLOOKUP(A224,[1]Worksheet!$A$2:$I$1049,7,0)</f>
        <v>2.99</v>
      </c>
      <c r="K224" s="0" t="n">
        <v>0</v>
      </c>
      <c r="M224" s="0" t="n">
        <f aca="false">D224*E224</f>
        <v>80.96</v>
      </c>
      <c r="N224" s="0" t="n">
        <f aca="false">F224*G224</f>
        <v>325.91</v>
      </c>
      <c r="P224" s="0" t="n">
        <f aca="false">K224+D224</f>
        <v>23</v>
      </c>
      <c r="Q224" s="0" t="n">
        <f aca="false">M224/P224</f>
        <v>3.52</v>
      </c>
      <c r="R224" s="0" t="n">
        <f aca="false">F224+K224</f>
        <v>109</v>
      </c>
      <c r="S224" s="0" t="n">
        <f aca="false">N224/R224</f>
        <v>2.99</v>
      </c>
    </row>
    <row r="225" customFormat="false" ht="15" hidden="false" customHeight="false" outlineLevel="0" collapsed="false">
      <c r="A225" s="0" t="s">
        <v>529</v>
      </c>
      <c r="B225" s="0" t="s">
        <v>530</v>
      </c>
      <c r="C225" s="0" t="n">
        <v>20171</v>
      </c>
      <c r="D225" s="0" t="n">
        <f aca="false">VLOOKUP(A225,[1]Worksheet!$A$2:$I$1049,4,0)</f>
        <v>20</v>
      </c>
      <c r="E225" s="0" t="n">
        <f aca="false">VLOOKUP(A225,[1]Worksheet!$A$2:$I$1049,5,0)</f>
        <v>2.73</v>
      </c>
      <c r="F225" s="0" t="n">
        <f aca="false">VLOOKUP(A225,[1]Worksheet!$A$2:$I$1049,6,0)</f>
        <v>105</v>
      </c>
      <c r="G225" s="0" t="n">
        <f aca="false">VLOOKUP(A225,[1]Worksheet!$A$2:$I$1049,7,0)</f>
        <v>2.63</v>
      </c>
      <c r="K225" s="0" t="n">
        <v>0</v>
      </c>
      <c r="M225" s="0" t="n">
        <f aca="false">D225*E225</f>
        <v>54.6</v>
      </c>
      <c r="N225" s="0" t="n">
        <f aca="false">F225*G225</f>
        <v>276.15</v>
      </c>
      <c r="P225" s="0" t="n">
        <f aca="false">K225+D225</f>
        <v>20</v>
      </c>
      <c r="Q225" s="0" t="n">
        <f aca="false">M225/P225</f>
        <v>2.73</v>
      </c>
      <c r="R225" s="0" t="n">
        <f aca="false">F225+K225</f>
        <v>105</v>
      </c>
      <c r="S225" s="0" t="n">
        <f aca="false">N225/R225</f>
        <v>2.63</v>
      </c>
    </row>
    <row r="226" customFormat="false" ht="15" hidden="false" customHeight="false" outlineLevel="0" collapsed="false">
      <c r="A226" s="0" t="s">
        <v>213</v>
      </c>
      <c r="B226" s="0" t="s">
        <v>214</v>
      </c>
      <c r="C226" s="0" t="n">
        <v>20171</v>
      </c>
      <c r="D226" s="0" t="n">
        <f aca="false">VLOOKUP(A226,[1]Worksheet!$A$2:$I$1049,4,0)</f>
        <v>21</v>
      </c>
      <c r="E226" s="0" t="n">
        <f aca="false">VLOOKUP(A226,[1]Worksheet!$A$2:$I$1049,5,0)</f>
        <v>3.1</v>
      </c>
      <c r="F226" s="0" t="n">
        <f aca="false">VLOOKUP(A226,[1]Worksheet!$A$2:$I$1049,6,0)</f>
        <v>109</v>
      </c>
      <c r="G226" s="0" t="n">
        <f aca="false">VLOOKUP(A226,[1]Worksheet!$A$2:$I$1049,7,0)</f>
        <v>3.06</v>
      </c>
      <c r="K226" s="0" t="n">
        <v>0</v>
      </c>
      <c r="M226" s="0" t="n">
        <f aca="false">D226*E226</f>
        <v>65.1</v>
      </c>
      <c r="N226" s="0" t="n">
        <f aca="false">F226*G226</f>
        <v>333.54</v>
      </c>
      <c r="P226" s="0" t="n">
        <f aca="false">K226+D226</f>
        <v>21</v>
      </c>
      <c r="Q226" s="0" t="n">
        <f aca="false">M226/P226</f>
        <v>3.1</v>
      </c>
      <c r="R226" s="0" t="n">
        <f aca="false">F226+K226</f>
        <v>109</v>
      </c>
      <c r="S226" s="0" t="n">
        <f aca="false">N226/R226</f>
        <v>3.06</v>
      </c>
    </row>
    <row r="227" customFormat="false" ht="15" hidden="false" customHeight="false" outlineLevel="0" collapsed="false">
      <c r="A227" s="0" t="s">
        <v>531</v>
      </c>
      <c r="B227" s="0" t="s">
        <v>532</v>
      </c>
      <c r="C227" s="0" t="n">
        <v>20171</v>
      </c>
      <c r="D227" s="0" t="n">
        <f aca="false">VLOOKUP(A227,[1]Worksheet!$A$2:$I$1049,4,0)</f>
        <v>22</v>
      </c>
      <c r="E227" s="0" t="n">
        <f aca="false">VLOOKUP(A227,[1]Worksheet!$A$2:$I$1049,5,0)</f>
        <v>3.2</v>
      </c>
      <c r="F227" s="0" t="n">
        <f aca="false">VLOOKUP(A227,[1]Worksheet!$A$2:$I$1049,6,0)</f>
        <v>106</v>
      </c>
      <c r="G227" s="0" t="n">
        <f aca="false">VLOOKUP(A227,[1]Worksheet!$A$2:$I$1049,7,0)</f>
        <v>3.07</v>
      </c>
      <c r="K227" s="0" t="n">
        <v>0</v>
      </c>
      <c r="M227" s="0" t="n">
        <f aca="false">D227*E227</f>
        <v>70.4</v>
      </c>
      <c r="N227" s="0" t="n">
        <f aca="false">F227*G227</f>
        <v>325.42</v>
      </c>
      <c r="P227" s="0" t="n">
        <f aca="false">K227+D227</f>
        <v>22</v>
      </c>
      <c r="Q227" s="0" t="n">
        <f aca="false">M227/P227</f>
        <v>3.2</v>
      </c>
      <c r="R227" s="0" t="n">
        <f aca="false">F227+K227</f>
        <v>106</v>
      </c>
      <c r="S227" s="0" t="n">
        <f aca="false">N227/R227</f>
        <v>3.07</v>
      </c>
    </row>
    <row r="228" customFormat="false" ht="15" hidden="false" customHeight="false" outlineLevel="0" collapsed="false">
      <c r="A228" s="0" t="s">
        <v>533</v>
      </c>
      <c r="B228" s="0" t="s">
        <v>534</v>
      </c>
      <c r="C228" s="0" t="n">
        <v>20171</v>
      </c>
      <c r="D228" s="0" t="n">
        <f aca="false">VLOOKUP(A228,[1]Worksheet!$A$2:$I$1049,4,0)</f>
        <v>7</v>
      </c>
      <c r="E228" s="0" t="n">
        <f aca="false">VLOOKUP(A228,[1]Worksheet!$A$2:$I$1049,5,0)</f>
        <v>3.14</v>
      </c>
      <c r="F228" s="0" t="n">
        <f aca="false">VLOOKUP(A228,[1]Worksheet!$A$2:$I$1049,6,0)</f>
        <v>64</v>
      </c>
      <c r="G228" s="0" t="n">
        <f aca="false">VLOOKUP(A228,[1]Worksheet!$A$2:$I$1049,7,0)</f>
        <v>1.77</v>
      </c>
      <c r="K228" s="0" t="n">
        <v>0</v>
      </c>
      <c r="M228" s="0" t="n">
        <f aca="false">D228*E228</f>
        <v>21.98</v>
      </c>
      <c r="N228" s="0" t="n">
        <f aca="false">F228*G228</f>
        <v>113.28</v>
      </c>
      <c r="P228" s="0" t="n">
        <f aca="false">K228+D228</f>
        <v>7</v>
      </c>
      <c r="Q228" s="0" t="n">
        <f aca="false">M228/P228</f>
        <v>3.14</v>
      </c>
      <c r="R228" s="0" t="n">
        <f aca="false">F228+K228</f>
        <v>64</v>
      </c>
      <c r="S228" s="0" t="n">
        <f aca="false">N228/R228</f>
        <v>1.77</v>
      </c>
    </row>
    <row r="229" customFormat="false" ht="15" hidden="false" customHeight="false" outlineLevel="0" collapsed="false">
      <c r="A229" s="0" t="s">
        <v>310</v>
      </c>
      <c r="B229" s="0" t="s">
        <v>311</v>
      </c>
      <c r="C229" s="0" t="n">
        <v>20171</v>
      </c>
      <c r="D229" s="0" t="n">
        <f aca="false">VLOOKUP(A229,[1]Worksheet!$A$2:$I$1049,4,0)</f>
        <v>14</v>
      </c>
      <c r="E229" s="0" t="n">
        <f aca="false">VLOOKUP(A229,[1]Worksheet!$A$2:$I$1049,5,0)</f>
        <v>1.18</v>
      </c>
      <c r="F229" s="0" t="n">
        <f aca="false">VLOOKUP(A229,[1]Worksheet!$A$2:$I$1049,6,0)</f>
        <v>72</v>
      </c>
      <c r="G229" s="0" t="n">
        <f aca="false">VLOOKUP(A229,[1]Worksheet!$A$2:$I$1049,7,0)</f>
        <v>2.69</v>
      </c>
      <c r="K229" s="0" t="n">
        <v>0</v>
      </c>
      <c r="M229" s="0" t="n">
        <f aca="false">D229*E229</f>
        <v>16.52</v>
      </c>
      <c r="N229" s="0" t="n">
        <f aca="false">F229*G229</f>
        <v>193.68</v>
      </c>
      <c r="P229" s="0" t="n">
        <f aca="false">K229+D229</f>
        <v>14</v>
      </c>
      <c r="Q229" s="0" t="n">
        <f aca="false">M229/P229</f>
        <v>1.18</v>
      </c>
      <c r="R229" s="0" t="n">
        <f aca="false">F229+K229</f>
        <v>72</v>
      </c>
      <c r="S229" s="0" t="n">
        <f aca="false">N229/R229</f>
        <v>2.69</v>
      </c>
    </row>
    <row r="230" customFormat="false" ht="15" hidden="false" customHeight="false" outlineLevel="0" collapsed="false">
      <c r="A230" s="0" t="s">
        <v>275</v>
      </c>
      <c r="B230" s="0" t="s">
        <v>276</v>
      </c>
      <c r="C230" s="0" t="n">
        <v>20171</v>
      </c>
      <c r="D230" s="0" t="n">
        <f aca="false">VLOOKUP(A230,[1]Worksheet!$A$2:$I$1049,4,0)</f>
        <v>23</v>
      </c>
      <c r="E230" s="0" t="n">
        <f aca="false">VLOOKUP(A230,[1]Worksheet!$A$2:$I$1049,5,0)</f>
        <v>3.33</v>
      </c>
      <c r="F230" s="0" t="n">
        <f aca="false">VLOOKUP(A230,[1]Worksheet!$A$2:$I$1049,6,0)</f>
        <v>105</v>
      </c>
      <c r="G230" s="0" t="n">
        <f aca="false">VLOOKUP(A230,[1]Worksheet!$A$2:$I$1049,7,0)</f>
        <v>2.84</v>
      </c>
      <c r="K230" s="0" t="n">
        <v>0</v>
      </c>
      <c r="M230" s="0" t="n">
        <f aca="false">D230*E230</f>
        <v>76.59</v>
      </c>
      <c r="N230" s="0" t="n">
        <f aca="false">F230*G230</f>
        <v>298.2</v>
      </c>
      <c r="P230" s="0" t="n">
        <f aca="false">K230+D230</f>
        <v>23</v>
      </c>
      <c r="Q230" s="0" t="n">
        <f aca="false">M230/P230</f>
        <v>3.33</v>
      </c>
      <c r="R230" s="0" t="n">
        <f aca="false">F230+K230</f>
        <v>105</v>
      </c>
      <c r="S230" s="0" t="n">
        <f aca="false">N230/R230</f>
        <v>2.84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n">
        <v>20171</v>
      </c>
      <c r="D231" s="0" t="n">
        <f aca="false">VLOOKUP(A231,[1]Worksheet!$A$2:$I$1049,4,0)</f>
        <v>22</v>
      </c>
      <c r="E231" s="0" t="n">
        <f aca="false">VLOOKUP(A231,[1]Worksheet!$A$2:$I$1049,5,0)</f>
        <v>3.43</v>
      </c>
      <c r="F231" s="0" t="n">
        <f aca="false">VLOOKUP(A231,[1]Worksheet!$A$2:$I$1049,6,0)</f>
        <v>107</v>
      </c>
      <c r="G231" s="0" t="n">
        <f aca="false">VLOOKUP(A231,[1]Worksheet!$A$2:$I$1049,7,0)</f>
        <v>3.04</v>
      </c>
      <c r="K231" s="0" t="n">
        <v>0</v>
      </c>
      <c r="M231" s="0" t="n">
        <f aca="false">D231*E231</f>
        <v>75.46</v>
      </c>
      <c r="N231" s="0" t="n">
        <f aca="false">F231*G231</f>
        <v>325.28</v>
      </c>
      <c r="P231" s="0" t="n">
        <f aca="false">K231+D231</f>
        <v>22</v>
      </c>
      <c r="Q231" s="0" t="n">
        <f aca="false">M231/P231</f>
        <v>3.43</v>
      </c>
      <c r="R231" s="0" t="n">
        <f aca="false">F231+K231</f>
        <v>107</v>
      </c>
      <c r="S231" s="0" t="n">
        <f aca="false">N231/R231</f>
        <v>3.04</v>
      </c>
    </row>
    <row r="232" customFormat="false" ht="15" hidden="false" customHeight="false" outlineLevel="0" collapsed="false">
      <c r="A232" s="0" t="s">
        <v>535</v>
      </c>
      <c r="B232" s="0" t="s">
        <v>536</v>
      </c>
      <c r="C232" s="0" t="n">
        <v>20171</v>
      </c>
      <c r="D232" s="0" t="n">
        <f aca="false">VLOOKUP(A232,[1]Worksheet!$A$2:$I$1049,4,0)</f>
        <v>20</v>
      </c>
      <c r="E232" s="0" t="n">
        <f aca="false">VLOOKUP(A232,[1]Worksheet!$A$2:$I$1049,5,0)</f>
        <v>2.78</v>
      </c>
      <c r="F232" s="0" t="n">
        <f aca="false">VLOOKUP(A232,[1]Worksheet!$A$2:$I$1049,6,0)</f>
        <v>102</v>
      </c>
      <c r="G232" s="0" t="n">
        <f aca="false">VLOOKUP(A232,[1]Worksheet!$A$2:$I$1049,7,0)</f>
        <v>2.59</v>
      </c>
      <c r="K232" s="0" t="n">
        <v>0</v>
      </c>
      <c r="M232" s="0" t="n">
        <f aca="false">D232*E232</f>
        <v>55.6</v>
      </c>
      <c r="N232" s="0" t="n">
        <f aca="false">F232*G232</f>
        <v>264.18</v>
      </c>
      <c r="P232" s="0" t="n">
        <f aca="false">K232+D232</f>
        <v>20</v>
      </c>
      <c r="Q232" s="0" t="n">
        <f aca="false">M232/P232</f>
        <v>2.78</v>
      </c>
      <c r="R232" s="0" t="n">
        <f aca="false">F232+K232</f>
        <v>102</v>
      </c>
      <c r="S232" s="0" t="n">
        <f aca="false">N232/R232</f>
        <v>2.59</v>
      </c>
    </row>
    <row r="233" customFormat="false" ht="15" hidden="false" customHeight="false" outlineLevel="0" collapsed="false">
      <c r="A233" s="0" t="s">
        <v>537</v>
      </c>
      <c r="B233" s="0" t="s">
        <v>538</v>
      </c>
      <c r="C233" s="0" t="n">
        <v>20171</v>
      </c>
      <c r="D233" s="0" t="n">
        <f aca="false">VLOOKUP(A233,[1]Worksheet!$A$2:$I$1049,4,0)</f>
        <v>21</v>
      </c>
      <c r="E233" s="0" t="n">
        <f aca="false">VLOOKUP(A233,[1]Worksheet!$A$2:$I$1049,5,0)</f>
        <v>3.36</v>
      </c>
      <c r="F233" s="0" t="n">
        <f aca="false">VLOOKUP(A233,[1]Worksheet!$A$2:$I$1049,6,0)</f>
        <v>110</v>
      </c>
      <c r="G233" s="0" t="n">
        <f aca="false">VLOOKUP(A233,[1]Worksheet!$A$2:$I$1049,7,0)</f>
        <v>2.67</v>
      </c>
      <c r="K233" s="0" t="n">
        <v>0</v>
      </c>
      <c r="M233" s="0" t="n">
        <f aca="false">D233*E233</f>
        <v>70.56</v>
      </c>
      <c r="N233" s="0" t="n">
        <f aca="false">F233*G233</f>
        <v>293.7</v>
      </c>
      <c r="P233" s="0" t="n">
        <f aca="false">K233+D233</f>
        <v>21</v>
      </c>
      <c r="Q233" s="0" t="n">
        <f aca="false">M233/P233</f>
        <v>3.36</v>
      </c>
      <c r="R233" s="0" t="n">
        <f aca="false">F233+K233</f>
        <v>110</v>
      </c>
      <c r="S233" s="0" t="n">
        <f aca="false">N233/R233</f>
        <v>2.67</v>
      </c>
    </row>
    <row r="234" customFormat="false" ht="15" hidden="false" customHeight="false" outlineLevel="0" collapsed="false">
      <c r="A234" s="0" t="s">
        <v>699</v>
      </c>
      <c r="B234" s="0" t="s">
        <v>700</v>
      </c>
      <c r="C234" s="0" t="n">
        <v>20171</v>
      </c>
      <c r="D234" s="0" t="n">
        <f aca="false">VLOOKUP(A234,[1]Worksheet!$A$2:$I$1049,4,0)</f>
        <v>22</v>
      </c>
      <c r="E234" s="0" t="n">
        <f aca="false">VLOOKUP(A234,[1]Worksheet!$A$2:$I$1049,5,0)</f>
        <v>3.77</v>
      </c>
      <c r="F234" s="0" t="n">
        <f aca="false">VLOOKUP(A234,[1]Worksheet!$A$2:$I$1049,6,0)</f>
        <v>110</v>
      </c>
      <c r="G234" s="0" t="n">
        <f aca="false">VLOOKUP(A234,[1]Worksheet!$A$2:$I$1049,7,0)</f>
        <v>3.5</v>
      </c>
      <c r="K234" s="0" t="n">
        <v>0</v>
      </c>
      <c r="M234" s="0" t="n">
        <f aca="false">D234*E234</f>
        <v>82.94</v>
      </c>
      <c r="N234" s="0" t="n">
        <f aca="false">F234*G234</f>
        <v>385</v>
      </c>
      <c r="P234" s="0" t="n">
        <f aca="false">K234+D234</f>
        <v>22</v>
      </c>
      <c r="Q234" s="0" t="n">
        <f aca="false">M234/P234</f>
        <v>3.77</v>
      </c>
      <c r="R234" s="0" t="n">
        <f aca="false">F234+K234</f>
        <v>110</v>
      </c>
      <c r="S234" s="0" t="n">
        <f aca="false">N234/R234</f>
        <v>3.5</v>
      </c>
    </row>
    <row r="235" customFormat="false" ht="15" hidden="false" customHeight="false" outlineLevel="0" collapsed="false">
      <c r="A235" s="0" t="s">
        <v>681</v>
      </c>
      <c r="B235" s="0" t="s">
        <v>682</v>
      </c>
      <c r="C235" s="0" t="n">
        <v>20171</v>
      </c>
      <c r="D235" s="0" t="n">
        <f aca="false">VLOOKUP(A235,[1]Worksheet!$A$2:$I$1049,4,0)</f>
        <v>21</v>
      </c>
      <c r="E235" s="0" t="n">
        <f aca="false">VLOOKUP(A235,[1]Worksheet!$A$2:$I$1049,5,0)</f>
        <v>2.64</v>
      </c>
      <c r="F235" s="0" t="n">
        <f aca="false">VLOOKUP(A235,[1]Worksheet!$A$2:$I$1049,6,0)</f>
        <v>102</v>
      </c>
      <c r="G235" s="0" t="n">
        <f aca="false">VLOOKUP(A235,[1]Worksheet!$A$2:$I$1049,7,0)</f>
        <v>2.59</v>
      </c>
      <c r="K235" s="0" t="n">
        <v>0</v>
      </c>
      <c r="M235" s="0" t="n">
        <f aca="false">D235*E235</f>
        <v>55.44</v>
      </c>
      <c r="N235" s="0" t="n">
        <f aca="false">F235*G235</f>
        <v>264.18</v>
      </c>
      <c r="P235" s="0" t="n">
        <f aca="false">K235+D235</f>
        <v>21</v>
      </c>
      <c r="Q235" s="0" t="n">
        <f aca="false">M235/P235</f>
        <v>2.64</v>
      </c>
      <c r="R235" s="0" t="n">
        <f aca="false">F235+K235</f>
        <v>102</v>
      </c>
      <c r="S235" s="0" t="n">
        <f aca="false">N235/R235</f>
        <v>2.59</v>
      </c>
    </row>
    <row r="236" customFormat="false" ht="15" hidden="false" customHeight="false" outlineLevel="0" collapsed="false">
      <c r="A236" s="0" t="s">
        <v>215</v>
      </c>
      <c r="B236" s="0" t="s">
        <v>216</v>
      </c>
      <c r="C236" s="0" t="n">
        <v>20171</v>
      </c>
      <c r="D236" s="0" t="n">
        <f aca="false">VLOOKUP(A236,[1]Worksheet!$A$2:$I$1049,4,0)</f>
        <v>23</v>
      </c>
      <c r="E236" s="0" t="n">
        <f aca="false">VLOOKUP(A236,[1]Worksheet!$A$2:$I$1049,5,0)</f>
        <v>2.35</v>
      </c>
      <c r="F236" s="0" t="n">
        <f aca="false">VLOOKUP(A236,[1]Worksheet!$A$2:$I$1049,6,0)</f>
        <v>107</v>
      </c>
      <c r="G236" s="0" t="n">
        <f aca="false">VLOOKUP(A236,[1]Worksheet!$A$2:$I$1049,7,0)</f>
        <v>2.73</v>
      </c>
      <c r="K236" s="0" t="n">
        <v>0</v>
      </c>
      <c r="M236" s="0" t="n">
        <f aca="false">D236*E236</f>
        <v>54.05</v>
      </c>
      <c r="N236" s="0" t="n">
        <f aca="false">F236*G236</f>
        <v>292.11</v>
      </c>
      <c r="P236" s="0" t="n">
        <f aca="false">K236+D236</f>
        <v>23</v>
      </c>
      <c r="Q236" s="0" t="n">
        <f aca="false">M236/P236</f>
        <v>2.35</v>
      </c>
      <c r="R236" s="0" t="n">
        <f aca="false">F236+K236</f>
        <v>107</v>
      </c>
      <c r="S236" s="0" t="n">
        <f aca="false">N236/R236</f>
        <v>2.73</v>
      </c>
    </row>
    <row r="237" customFormat="false" ht="15" hidden="false" customHeight="false" outlineLevel="0" collapsed="false">
      <c r="A237" s="0" t="s">
        <v>765</v>
      </c>
      <c r="B237" s="0" t="s">
        <v>766</v>
      </c>
      <c r="C237" s="0" t="n">
        <v>20171</v>
      </c>
      <c r="D237" s="0" t="n">
        <f aca="false">VLOOKUP(A237,[1]Worksheet!$A$2:$I$1049,4,0)</f>
        <v>8</v>
      </c>
      <c r="E237" s="0" t="n">
        <f aca="false">VLOOKUP(A237,[1]Worksheet!$A$2:$I$1049,5,0)</f>
        <v>0</v>
      </c>
      <c r="F237" s="0" t="n">
        <f aca="false">VLOOKUP(A237,[1]Worksheet!$A$2:$I$1049,6,0)</f>
        <v>80</v>
      </c>
      <c r="G237" s="0" t="n">
        <f aca="false">VLOOKUP(A237,[1]Worksheet!$A$2:$I$1049,7,0)</f>
        <v>1.83</v>
      </c>
      <c r="K237" s="0" t="n">
        <v>0</v>
      </c>
      <c r="M237" s="0" t="n">
        <f aca="false">D237*E237</f>
        <v>0</v>
      </c>
      <c r="N237" s="0" t="n">
        <f aca="false">F237*G237</f>
        <v>146.4</v>
      </c>
      <c r="P237" s="0" t="n">
        <f aca="false">K237+D237</f>
        <v>8</v>
      </c>
      <c r="Q237" s="0" t="n">
        <f aca="false">M237/P237</f>
        <v>0</v>
      </c>
      <c r="R237" s="0" t="n">
        <f aca="false">F237+K237</f>
        <v>80</v>
      </c>
      <c r="S237" s="0" t="n">
        <f aca="false">N237/R237</f>
        <v>1.83</v>
      </c>
    </row>
    <row r="238" customFormat="false" ht="15" hidden="false" customHeight="false" outlineLevel="0" collapsed="false">
      <c r="A238" s="0" t="s">
        <v>217</v>
      </c>
      <c r="B238" s="0" t="s">
        <v>218</v>
      </c>
      <c r="C238" s="0" t="n">
        <v>20171</v>
      </c>
      <c r="D238" s="0" t="n">
        <f aca="false">VLOOKUP(A238,[1]Worksheet!$A$2:$I$1049,4,0)</f>
        <v>21</v>
      </c>
      <c r="E238" s="0" t="n">
        <f aca="false">VLOOKUP(A238,[1]Worksheet!$A$2:$I$1049,5,0)</f>
        <v>3.26</v>
      </c>
      <c r="F238" s="0" t="n">
        <f aca="false">VLOOKUP(A238,[1]Worksheet!$A$2:$I$1049,6,0)</f>
        <v>114</v>
      </c>
      <c r="G238" s="0" t="n">
        <f aca="false">VLOOKUP(A238,[1]Worksheet!$A$2:$I$1049,7,0)</f>
        <v>3.04</v>
      </c>
      <c r="K238" s="0" t="n">
        <v>0</v>
      </c>
      <c r="M238" s="0" t="n">
        <f aca="false">D238*E238</f>
        <v>68.46</v>
      </c>
      <c r="N238" s="0" t="n">
        <f aca="false">F238*G238</f>
        <v>346.56</v>
      </c>
      <c r="P238" s="0" t="n">
        <f aca="false">K238+D238</f>
        <v>21</v>
      </c>
      <c r="Q238" s="0" t="n">
        <f aca="false">M238/P238</f>
        <v>3.26</v>
      </c>
      <c r="R238" s="0" t="n">
        <f aca="false">F238+K238</f>
        <v>114</v>
      </c>
      <c r="S238" s="0" t="n">
        <f aca="false">N238/R238</f>
        <v>3.04</v>
      </c>
    </row>
    <row r="239" customFormat="false" ht="15" hidden="false" customHeight="false" outlineLevel="0" collapsed="false">
      <c r="A239" s="0" t="s">
        <v>219</v>
      </c>
      <c r="B239" s="0" t="s">
        <v>220</v>
      </c>
      <c r="C239" s="0" t="n">
        <v>20171</v>
      </c>
      <c r="D239" s="0" t="n">
        <f aca="false">VLOOKUP(A239,[1]Worksheet!$A$2:$I$1049,4,0)</f>
        <v>20</v>
      </c>
      <c r="E239" s="0" t="n">
        <f aca="false">VLOOKUP(A239,[1]Worksheet!$A$2:$I$1049,5,0)</f>
        <v>2.48</v>
      </c>
      <c r="F239" s="0" t="n">
        <f aca="false">VLOOKUP(A239,[1]Worksheet!$A$2:$I$1049,6,0)</f>
        <v>89</v>
      </c>
      <c r="G239" s="0" t="n">
        <f aca="false">VLOOKUP(A239,[1]Worksheet!$A$2:$I$1049,7,0)</f>
        <v>2.6</v>
      </c>
      <c r="K239" s="0" t="n">
        <v>0</v>
      </c>
      <c r="M239" s="0" t="n">
        <f aca="false">D239*E239</f>
        <v>49.6</v>
      </c>
      <c r="N239" s="0" t="n">
        <f aca="false">F239*G239</f>
        <v>231.4</v>
      </c>
      <c r="P239" s="0" t="n">
        <f aca="false">K239+D239</f>
        <v>20</v>
      </c>
      <c r="Q239" s="0" t="n">
        <f aca="false">M239/P239</f>
        <v>2.48</v>
      </c>
      <c r="R239" s="0" t="n">
        <f aca="false">F239+K239</f>
        <v>89</v>
      </c>
      <c r="S239" s="0" t="n">
        <f aca="false">N239/R239</f>
        <v>2.6</v>
      </c>
    </row>
    <row r="240" customFormat="false" ht="15" hidden="false" customHeight="false" outlineLevel="0" collapsed="false">
      <c r="A240" s="0" t="s">
        <v>701</v>
      </c>
      <c r="B240" s="0" t="s">
        <v>702</v>
      </c>
      <c r="C240" s="0" t="n">
        <v>20171</v>
      </c>
      <c r="D240" s="0" t="n">
        <f aca="false">VLOOKUP(A240,[1]Worksheet!$A$2:$I$1049,4,0)</f>
        <v>21</v>
      </c>
      <c r="E240" s="0" t="n">
        <f aca="false">VLOOKUP(A240,[1]Worksheet!$A$2:$I$1049,5,0)</f>
        <v>2.69</v>
      </c>
      <c r="F240" s="0" t="n">
        <f aca="false">VLOOKUP(A240,[1]Worksheet!$A$2:$I$1049,6,0)</f>
        <v>101</v>
      </c>
      <c r="G240" s="0" t="n">
        <f aca="false">VLOOKUP(A240,[1]Worksheet!$A$2:$I$1049,7,0)</f>
        <v>2.69</v>
      </c>
      <c r="K240" s="0" t="n">
        <v>0</v>
      </c>
      <c r="M240" s="0" t="n">
        <f aca="false">D240*E240</f>
        <v>56.49</v>
      </c>
      <c r="N240" s="0" t="n">
        <f aca="false">F240*G240</f>
        <v>271.69</v>
      </c>
      <c r="P240" s="0" t="n">
        <f aca="false">K240+D240</f>
        <v>21</v>
      </c>
      <c r="Q240" s="0" t="n">
        <f aca="false">M240/P240</f>
        <v>2.69</v>
      </c>
      <c r="R240" s="0" t="n">
        <f aca="false">F240+K240</f>
        <v>101</v>
      </c>
      <c r="S240" s="0" t="n">
        <f aca="false">N240/R240</f>
        <v>2.69</v>
      </c>
    </row>
    <row r="241" customFormat="false" ht="15" hidden="false" customHeight="false" outlineLevel="0" collapsed="false">
      <c r="A241" s="0" t="s">
        <v>703</v>
      </c>
      <c r="B241" s="0" t="s">
        <v>704</v>
      </c>
      <c r="C241" s="0" t="n">
        <v>20171</v>
      </c>
      <c r="D241" s="0" t="n">
        <f aca="false">VLOOKUP(A241,[1]Worksheet!$A$2:$I$1049,4,0)</f>
        <v>23</v>
      </c>
      <c r="E241" s="0" t="n">
        <f aca="false">VLOOKUP(A241,[1]Worksheet!$A$2:$I$1049,5,0)</f>
        <v>3.13</v>
      </c>
      <c r="F241" s="0" t="n">
        <f aca="false">VLOOKUP(A241,[1]Worksheet!$A$2:$I$1049,6,0)</f>
        <v>106</v>
      </c>
      <c r="G241" s="0" t="n">
        <f aca="false">VLOOKUP(A241,[1]Worksheet!$A$2:$I$1049,7,0)</f>
        <v>3.11</v>
      </c>
      <c r="K241" s="0" t="n">
        <v>0</v>
      </c>
      <c r="M241" s="0" t="n">
        <f aca="false">D241*E241</f>
        <v>71.99</v>
      </c>
      <c r="N241" s="0" t="n">
        <f aca="false">F241*G241</f>
        <v>329.66</v>
      </c>
      <c r="P241" s="0" t="n">
        <f aca="false">K241+D241</f>
        <v>23</v>
      </c>
      <c r="Q241" s="0" t="n">
        <f aca="false">M241/P241</f>
        <v>3.13</v>
      </c>
      <c r="R241" s="0" t="n">
        <f aca="false">F241+K241</f>
        <v>106</v>
      </c>
      <c r="S241" s="0" t="n">
        <f aca="false">N241/R241</f>
        <v>3.11</v>
      </c>
    </row>
    <row r="242" customFormat="false" ht="15" hidden="false" customHeight="false" outlineLevel="0" collapsed="false">
      <c r="A242" s="0" t="s">
        <v>221</v>
      </c>
      <c r="B242" s="0" t="s">
        <v>222</v>
      </c>
      <c r="C242" s="0" t="n">
        <v>20171</v>
      </c>
      <c r="D242" s="0" t="n">
        <f aca="false">VLOOKUP(A242,[1]Worksheet!$A$2:$I$1049,4,0)</f>
        <v>23</v>
      </c>
      <c r="E242" s="0" t="n">
        <f aca="false">VLOOKUP(A242,[1]Worksheet!$A$2:$I$1049,5,0)</f>
        <v>3.22</v>
      </c>
      <c r="F242" s="0" t="n">
        <f aca="false">VLOOKUP(A242,[1]Worksheet!$A$2:$I$1049,6,0)</f>
        <v>108</v>
      </c>
      <c r="G242" s="0" t="n">
        <f aca="false">VLOOKUP(A242,[1]Worksheet!$A$2:$I$1049,7,0)</f>
        <v>3.06</v>
      </c>
      <c r="K242" s="0" t="n">
        <v>0</v>
      </c>
      <c r="M242" s="0" t="n">
        <f aca="false">D242*E242</f>
        <v>74.06</v>
      </c>
      <c r="N242" s="0" t="n">
        <f aca="false">F242*G242</f>
        <v>330.48</v>
      </c>
      <c r="P242" s="0" t="n">
        <f aca="false">K242+D242</f>
        <v>23</v>
      </c>
      <c r="Q242" s="0" t="n">
        <f aca="false">M242/P242</f>
        <v>3.22</v>
      </c>
      <c r="R242" s="0" t="n">
        <f aca="false">F242+K242</f>
        <v>108</v>
      </c>
      <c r="S242" s="0" t="n">
        <f aca="false">N242/R242</f>
        <v>3.06</v>
      </c>
    </row>
    <row r="243" customFormat="false" ht="15" hidden="false" customHeight="false" outlineLevel="0" collapsed="false">
      <c r="A243" s="0" t="s">
        <v>223</v>
      </c>
      <c r="B243" s="0" t="s">
        <v>224</v>
      </c>
      <c r="C243" s="0" t="n">
        <v>20171</v>
      </c>
      <c r="D243" s="0" t="n">
        <f aca="false">VLOOKUP(A243,[1]Worksheet!$A$2:$I$1049,4,0)</f>
        <v>21</v>
      </c>
      <c r="E243" s="0" t="n">
        <f aca="false">VLOOKUP(A243,[1]Worksheet!$A$2:$I$1049,5,0)</f>
        <v>3.45</v>
      </c>
      <c r="F243" s="0" t="n">
        <f aca="false">VLOOKUP(A243,[1]Worksheet!$A$2:$I$1049,6,0)</f>
        <v>109</v>
      </c>
      <c r="G243" s="0" t="n">
        <f aca="false">VLOOKUP(A243,[1]Worksheet!$A$2:$I$1049,7,0)</f>
        <v>3.37</v>
      </c>
      <c r="K243" s="0" t="n">
        <v>0</v>
      </c>
      <c r="M243" s="0" t="n">
        <f aca="false">D243*E243</f>
        <v>72.45</v>
      </c>
      <c r="N243" s="0" t="n">
        <f aca="false">F243*G243</f>
        <v>367.33</v>
      </c>
      <c r="P243" s="0" t="n">
        <f aca="false">K243+D243</f>
        <v>21</v>
      </c>
      <c r="Q243" s="0" t="n">
        <f aca="false">M243/P243</f>
        <v>3.45</v>
      </c>
      <c r="R243" s="0" t="n">
        <f aca="false">F243+K243</f>
        <v>109</v>
      </c>
      <c r="S243" s="0" t="n">
        <f aca="false">N243/R243</f>
        <v>3.37</v>
      </c>
    </row>
    <row r="244" customFormat="false" ht="15" hidden="false" customHeight="false" outlineLevel="0" collapsed="false">
      <c r="A244" s="0" t="s">
        <v>705</v>
      </c>
      <c r="B244" s="0" t="s">
        <v>706</v>
      </c>
      <c r="C244" s="0" t="n">
        <v>20171</v>
      </c>
      <c r="D244" s="0" t="n">
        <f aca="false">VLOOKUP(A244,[1]Worksheet!$A$2:$I$1049,4,0)</f>
        <v>21</v>
      </c>
      <c r="E244" s="0" t="n">
        <f aca="false">VLOOKUP(A244,[1]Worksheet!$A$2:$I$1049,5,0)</f>
        <v>2.21</v>
      </c>
      <c r="F244" s="0" t="n">
        <f aca="false">VLOOKUP(A244,[1]Worksheet!$A$2:$I$1049,6,0)</f>
        <v>90</v>
      </c>
      <c r="G244" s="0" t="n">
        <f aca="false">VLOOKUP(A244,[1]Worksheet!$A$2:$I$1049,7,0)</f>
        <v>1.98</v>
      </c>
      <c r="K244" s="0" t="n">
        <v>0</v>
      </c>
      <c r="M244" s="0" t="n">
        <f aca="false">D244*E244</f>
        <v>46.41</v>
      </c>
      <c r="N244" s="0" t="n">
        <f aca="false">F244*G244</f>
        <v>178.2</v>
      </c>
      <c r="P244" s="0" t="n">
        <f aca="false">K244+D244</f>
        <v>21</v>
      </c>
      <c r="Q244" s="0" t="n">
        <f aca="false">M244/P244</f>
        <v>2.21</v>
      </c>
      <c r="R244" s="0" t="n">
        <f aca="false">F244+K244</f>
        <v>90</v>
      </c>
      <c r="S244" s="0" t="n">
        <f aca="false">N244/R244</f>
        <v>1.98</v>
      </c>
    </row>
    <row r="245" customFormat="false" ht="15" hidden="false" customHeight="false" outlineLevel="0" collapsed="false">
      <c r="A245" s="0" t="s">
        <v>277</v>
      </c>
      <c r="B245" s="0" t="s">
        <v>278</v>
      </c>
      <c r="C245" s="0" t="n">
        <v>20171</v>
      </c>
      <c r="D245" s="0" t="n">
        <f aca="false">VLOOKUP(A245,[1]Worksheet!$A$2:$I$1049,4,0)</f>
        <v>20</v>
      </c>
      <c r="E245" s="0" t="n">
        <f aca="false">VLOOKUP(A245,[1]Worksheet!$A$2:$I$1049,5,0)</f>
        <v>3.03</v>
      </c>
      <c r="F245" s="0" t="n">
        <f aca="false">VLOOKUP(A245,[1]Worksheet!$A$2:$I$1049,6,0)</f>
        <v>97</v>
      </c>
      <c r="G245" s="0" t="n">
        <f aca="false">VLOOKUP(A245,[1]Worksheet!$A$2:$I$1049,7,0)</f>
        <v>2.59</v>
      </c>
      <c r="K245" s="0" t="n">
        <v>0</v>
      </c>
      <c r="M245" s="0" t="n">
        <f aca="false">D245*E245</f>
        <v>60.6</v>
      </c>
      <c r="N245" s="0" t="n">
        <f aca="false">F245*G245</f>
        <v>251.23</v>
      </c>
      <c r="P245" s="0" t="n">
        <f aca="false">K245+D245</f>
        <v>20</v>
      </c>
      <c r="Q245" s="0" t="n">
        <f aca="false">M245/P245</f>
        <v>3.03</v>
      </c>
      <c r="R245" s="0" t="n">
        <f aca="false">F245+K245</f>
        <v>97</v>
      </c>
      <c r="S245" s="0" t="n">
        <f aca="false">N245/R245</f>
        <v>2.59</v>
      </c>
    </row>
    <row r="246" customFormat="false" ht="15" hidden="false" customHeight="false" outlineLevel="0" collapsed="false">
      <c r="A246" s="0" t="s">
        <v>707</v>
      </c>
      <c r="B246" s="0" t="s">
        <v>708</v>
      </c>
      <c r="C246" s="0" t="n">
        <v>20171</v>
      </c>
      <c r="D246" s="0" t="n">
        <f aca="false">VLOOKUP(A246,[1]Worksheet!$A$2:$I$1049,4,0)</f>
        <v>22</v>
      </c>
      <c r="E246" s="0" t="n">
        <f aca="false">VLOOKUP(A246,[1]Worksheet!$A$2:$I$1049,5,0)</f>
        <v>3.09</v>
      </c>
      <c r="F246" s="0" t="n">
        <f aca="false">VLOOKUP(A246,[1]Worksheet!$A$2:$I$1049,6,0)</f>
        <v>110</v>
      </c>
      <c r="G246" s="0" t="n">
        <f aca="false">VLOOKUP(A246,[1]Worksheet!$A$2:$I$1049,7,0)</f>
        <v>3.21</v>
      </c>
      <c r="K246" s="0" t="n">
        <v>0</v>
      </c>
      <c r="M246" s="0" t="n">
        <f aca="false">D246*E246</f>
        <v>67.98</v>
      </c>
      <c r="N246" s="0" t="n">
        <f aca="false">F246*G246</f>
        <v>353.1</v>
      </c>
      <c r="P246" s="0" t="n">
        <f aca="false">K246+D246</f>
        <v>22</v>
      </c>
      <c r="Q246" s="0" t="n">
        <f aca="false">M246/P246</f>
        <v>3.09</v>
      </c>
      <c r="R246" s="0" t="n">
        <f aca="false">F246+K246</f>
        <v>110</v>
      </c>
      <c r="S246" s="0" t="n">
        <f aca="false">N246/R246</f>
        <v>3.21</v>
      </c>
    </row>
    <row r="247" customFormat="false" ht="15" hidden="false" customHeight="false" outlineLevel="0" collapsed="false">
      <c r="A247" s="0" t="s">
        <v>709</v>
      </c>
      <c r="B247" s="0" t="s">
        <v>710</v>
      </c>
      <c r="C247" s="0" t="n">
        <v>20171</v>
      </c>
      <c r="D247" s="0" t="n">
        <f aca="false">VLOOKUP(A247,[1]Worksheet!$A$2:$I$1049,4,0)</f>
        <v>22</v>
      </c>
      <c r="E247" s="0" t="n">
        <f aca="false">VLOOKUP(A247,[1]Worksheet!$A$2:$I$1049,5,0)</f>
        <v>3.23</v>
      </c>
      <c r="F247" s="0" t="n">
        <f aca="false">VLOOKUP(A247,[1]Worksheet!$A$2:$I$1049,6,0)</f>
        <v>110</v>
      </c>
      <c r="G247" s="0" t="n">
        <f aca="false">VLOOKUP(A247,[1]Worksheet!$A$2:$I$1049,7,0)</f>
        <v>3</v>
      </c>
      <c r="K247" s="0" t="n">
        <v>0</v>
      </c>
      <c r="M247" s="0" t="n">
        <f aca="false">D247*E247</f>
        <v>71.06</v>
      </c>
      <c r="N247" s="0" t="n">
        <f aca="false">F247*G247</f>
        <v>330</v>
      </c>
      <c r="P247" s="0" t="n">
        <f aca="false">K247+D247</f>
        <v>22</v>
      </c>
      <c r="Q247" s="0" t="n">
        <f aca="false">M247/P247</f>
        <v>3.23</v>
      </c>
      <c r="R247" s="0" t="n">
        <f aca="false">F247+K247</f>
        <v>110</v>
      </c>
      <c r="S247" s="0" t="n">
        <f aca="false">N247/R247</f>
        <v>3</v>
      </c>
    </row>
    <row r="248" customFormat="false" ht="15" hidden="false" customHeight="false" outlineLevel="0" collapsed="false">
      <c r="A248" s="0" t="s">
        <v>312</v>
      </c>
      <c r="B248" s="0" t="s">
        <v>313</v>
      </c>
      <c r="C248" s="0" t="n">
        <v>20171</v>
      </c>
      <c r="D248" s="0" t="n">
        <f aca="false">VLOOKUP(A248,[1]Worksheet!$A$2:$I$1049,4,0)</f>
        <v>22</v>
      </c>
      <c r="E248" s="0" t="n">
        <f aca="false">VLOOKUP(A248,[1]Worksheet!$A$2:$I$1049,5,0)</f>
        <v>3.14</v>
      </c>
      <c r="F248" s="0" t="n">
        <f aca="false">VLOOKUP(A248,[1]Worksheet!$A$2:$I$1049,6,0)</f>
        <v>105</v>
      </c>
      <c r="G248" s="0" t="n">
        <f aca="false">VLOOKUP(A248,[1]Worksheet!$A$2:$I$1049,7,0)</f>
        <v>2.85</v>
      </c>
      <c r="K248" s="0" t="n">
        <v>0</v>
      </c>
      <c r="M248" s="0" t="n">
        <f aca="false">D248*E248</f>
        <v>69.08</v>
      </c>
      <c r="N248" s="0" t="n">
        <f aca="false">F248*G248</f>
        <v>299.25</v>
      </c>
      <c r="P248" s="0" t="n">
        <f aca="false">K248+D248</f>
        <v>22</v>
      </c>
      <c r="Q248" s="0" t="n">
        <f aca="false">M248/P248</f>
        <v>3.14</v>
      </c>
      <c r="R248" s="0" t="n">
        <f aca="false">F248+K248</f>
        <v>105</v>
      </c>
      <c r="S248" s="0" t="n">
        <f aca="false">N248/R248</f>
        <v>2.85</v>
      </c>
    </row>
    <row r="249" customFormat="false" ht="15" hidden="false" customHeight="false" outlineLevel="0" collapsed="false">
      <c r="A249" s="0" t="s">
        <v>539</v>
      </c>
      <c r="B249" s="0" t="s">
        <v>540</v>
      </c>
      <c r="C249" s="0" t="n">
        <v>20171</v>
      </c>
      <c r="D249" s="0" t="n">
        <f aca="false">VLOOKUP(A249,[1]Worksheet!$A$2:$I$1049,4,0)</f>
        <v>19</v>
      </c>
      <c r="E249" s="0" t="n">
        <f aca="false">VLOOKUP(A249,[1]Worksheet!$A$2:$I$1049,5,0)</f>
        <v>2.53</v>
      </c>
      <c r="F249" s="0" t="n">
        <f aca="false">VLOOKUP(A249,[1]Worksheet!$A$2:$I$1049,6,0)</f>
        <v>93</v>
      </c>
      <c r="G249" s="0" t="n">
        <f aca="false">VLOOKUP(A249,[1]Worksheet!$A$2:$I$1049,7,0)</f>
        <v>2.34</v>
      </c>
      <c r="K249" s="0" t="n">
        <v>0</v>
      </c>
      <c r="M249" s="0" t="n">
        <f aca="false">D249*E249</f>
        <v>48.07</v>
      </c>
      <c r="N249" s="0" t="n">
        <f aca="false">F249*G249</f>
        <v>217.62</v>
      </c>
      <c r="P249" s="0" t="n">
        <f aca="false">K249+D249</f>
        <v>19</v>
      </c>
      <c r="Q249" s="0" t="n">
        <f aca="false">M249/P249</f>
        <v>2.53</v>
      </c>
      <c r="R249" s="0" t="n">
        <f aca="false">F249+K249</f>
        <v>93</v>
      </c>
      <c r="S249" s="0" t="n">
        <f aca="false">N249/R249</f>
        <v>2.34</v>
      </c>
    </row>
    <row r="250" customFormat="false" ht="15" hidden="false" customHeight="false" outlineLevel="0" collapsed="false">
      <c r="A250" s="0" t="s">
        <v>711</v>
      </c>
      <c r="B250" s="0" t="s">
        <v>712</v>
      </c>
      <c r="C250" s="0" t="n">
        <v>20171</v>
      </c>
      <c r="D250" s="0" t="n">
        <f aca="false">VLOOKUP(A250,[1]Worksheet!$A$2:$I$1049,4,0)</f>
        <v>21</v>
      </c>
      <c r="E250" s="0" t="n">
        <f aca="false">VLOOKUP(A250,[1]Worksheet!$A$2:$I$1049,5,0)</f>
        <v>2.79</v>
      </c>
      <c r="F250" s="0" t="n">
        <f aca="false">VLOOKUP(A250,[1]Worksheet!$A$2:$I$1049,6,0)</f>
        <v>109</v>
      </c>
      <c r="G250" s="0" t="n">
        <f aca="false">VLOOKUP(A250,[1]Worksheet!$A$2:$I$1049,7,0)</f>
        <v>2.66</v>
      </c>
      <c r="K250" s="0" t="n">
        <v>0</v>
      </c>
      <c r="M250" s="0" t="n">
        <f aca="false">D250*E250</f>
        <v>58.59</v>
      </c>
      <c r="N250" s="0" t="n">
        <f aca="false">F250*G250</f>
        <v>289.94</v>
      </c>
      <c r="P250" s="0" t="n">
        <f aca="false">K250+D250</f>
        <v>21</v>
      </c>
      <c r="Q250" s="0" t="n">
        <f aca="false">M250/P250</f>
        <v>2.79</v>
      </c>
      <c r="R250" s="0" t="n">
        <f aca="false">F250+K250</f>
        <v>109</v>
      </c>
      <c r="S250" s="0" t="n">
        <f aca="false">N250/R250</f>
        <v>2.66</v>
      </c>
    </row>
    <row r="251" customFormat="false" ht="15" hidden="false" customHeight="false" outlineLevel="0" collapsed="false">
      <c r="A251" s="0" t="s">
        <v>279</v>
      </c>
      <c r="B251" s="0" t="s">
        <v>280</v>
      </c>
      <c r="C251" s="0" t="n">
        <v>20171</v>
      </c>
      <c r="D251" s="0" t="n">
        <f aca="false">VLOOKUP(A251,[1]Worksheet!$A$2:$I$1049,4,0)</f>
        <v>22</v>
      </c>
      <c r="E251" s="0" t="n">
        <f aca="false">VLOOKUP(A251,[1]Worksheet!$A$2:$I$1049,5,0)</f>
        <v>3.68</v>
      </c>
      <c r="F251" s="0" t="n">
        <f aca="false">VLOOKUP(A251,[1]Worksheet!$A$2:$I$1049,6,0)</f>
        <v>112</v>
      </c>
      <c r="G251" s="0" t="n">
        <f aca="false">VLOOKUP(A251,[1]Worksheet!$A$2:$I$1049,7,0)</f>
        <v>3.44</v>
      </c>
      <c r="K251" s="0" t="n">
        <v>0</v>
      </c>
      <c r="M251" s="0" t="n">
        <f aca="false">D251*E251</f>
        <v>80.96</v>
      </c>
      <c r="N251" s="0" t="n">
        <f aca="false">F251*G251</f>
        <v>385.28</v>
      </c>
      <c r="P251" s="0" t="n">
        <f aca="false">K251+D251</f>
        <v>22</v>
      </c>
      <c r="Q251" s="0" t="n">
        <f aca="false">M251/P251</f>
        <v>3.68</v>
      </c>
      <c r="R251" s="0" t="n">
        <f aca="false">F251+K251</f>
        <v>112</v>
      </c>
      <c r="S251" s="0" t="n">
        <f aca="false">N251/R251</f>
        <v>3.44</v>
      </c>
    </row>
    <row r="252" customFormat="false" ht="15" hidden="false" customHeight="false" outlineLevel="0" collapsed="false">
      <c r="A252" s="0" t="s">
        <v>713</v>
      </c>
      <c r="B252" s="0" t="s">
        <v>714</v>
      </c>
      <c r="C252" s="0" t="n">
        <v>20171</v>
      </c>
      <c r="D252" s="0" t="n">
        <f aca="false">VLOOKUP(A252,[1]Worksheet!$A$2:$I$1049,4,0)</f>
        <v>21</v>
      </c>
      <c r="E252" s="0" t="n">
        <f aca="false">VLOOKUP(A252,[1]Worksheet!$A$2:$I$1049,5,0)</f>
        <v>3.14</v>
      </c>
      <c r="F252" s="0" t="n">
        <f aca="false">VLOOKUP(A252,[1]Worksheet!$A$2:$I$1049,6,0)</f>
        <v>109</v>
      </c>
      <c r="G252" s="0" t="n">
        <f aca="false">VLOOKUP(A252,[1]Worksheet!$A$2:$I$1049,7,0)</f>
        <v>2.9</v>
      </c>
      <c r="K252" s="0" t="n">
        <v>0</v>
      </c>
      <c r="M252" s="0" t="n">
        <f aca="false">D252*E252</f>
        <v>65.94</v>
      </c>
      <c r="N252" s="0" t="n">
        <f aca="false">F252*G252</f>
        <v>316.1</v>
      </c>
      <c r="P252" s="0" t="n">
        <f aca="false">K252+D252</f>
        <v>21</v>
      </c>
      <c r="Q252" s="0" t="n">
        <f aca="false">M252/P252</f>
        <v>3.14</v>
      </c>
      <c r="R252" s="0" t="n">
        <f aca="false">F252+K252</f>
        <v>109</v>
      </c>
      <c r="S252" s="0" t="n">
        <f aca="false">N252/R252</f>
        <v>2.9</v>
      </c>
    </row>
    <row r="253" customFormat="false" ht="15" hidden="false" customHeight="false" outlineLevel="0" collapsed="false">
      <c r="A253" s="0" t="s">
        <v>225</v>
      </c>
      <c r="B253" s="0" t="s">
        <v>226</v>
      </c>
      <c r="C253" s="0" t="n">
        <v>20171</v>
      </c>
      <c r="D253" s="0" t="n">
        <f aca="false">VLOOKUP(A253,[1]Worksheet!$A$2:$I$1049,4,0)</f>
        <v>20</v>
      </c>
      <c r="E253" s="0" t="n">
        <f aca="false">VLOOKUP(A253,[1]Worksheet!$A$2:$I$1049,5,0)</f>
        <v>0.15</v>
      </c>
      <c r="F253" s="0" t="n">
        <f aca="false">VLOOKUP(A253,[1]Worksheet!$A$2:$I$1049,6,0)</f>
        <v>108</v>
      </c>
      <c r="G253" s="0" t="n">
        <f aca="false">VLOOKUP(A253,[1]Worksheet!$A$2:$I$1049,7,0)</f>
        <v>2.26</v>
      </c>
      <c r="K253" s="0" t="n">
        <v>0</v>
      </c>
      <c r="M253" s="0" t="n">
        <f aca="false">D253*E253</f>
        <v>3</v>
      </c>
      <c r="N253" s="0" t="n">
        <f aca="false">F253*G253</f>
        <v>244.08</v>
      </c>
      <c r="P253" s="0" t="n">
        <f aca="false">K253+D253</f>
        <v>20</v>
      </c>
      <c r="Q253" s="0" t="n">
        <f aca="false">M253/P253</f>
        <v>0.15</v>
      </c>
      <c r="R253" s="0" t="n">
        <f aca="false">F253+K253</f>
        <v>108</v>
      </c>
      <c r="S253" s="0" t="n">
        <f aca="false">N253/R253</f>
        <v>2.26</v>
      </c>
    </row>
    <row r="254" customFormat="false" ht="15" hidden="false" customHeight="false" outlineLevel="0" collapsed="false">
      <c r="A254" s="0" t="s">
        <v>281</v>
      </c>
      <c r="B254" s="0" t="s">
        <v>282</v>
      </c>
      <c r="C254" s="0" t="n">
        <v>20171</v>
      </c>
      <c r="D254" s="0" t="n">
        <f aca="false">VLOOKUP(A254,[1]Worksheet!$A$2:$I$1049,4,0)</f>
        <v>22</v>
      </c>
      <c r="E254" s="0" t="n">
        <f aca="false">VLOOKUP(A254,[1]Worksheet!$A$2:$I$1049,5,0)</f>
        <v>3.3</v>
      </c>
      <c r="F254" s="0" t="n">
        <f aca="false">VLOOKUP(A254,[1]Worksheet!$A$2:$I$1049,6,0)</f>
        <v>108</v>
      </c>
      <c r="G254" s="0" t="n">
        <f aca="false">VLOOKUP(A254,[1]Worksheet!$A$2:$I$1049,7,0)</f>
        <v>3.06</v>
      </c>
      <c r="K254" s="0" t="n">
        <v>0</v>
      </c>
      <c r="M254" s="0" t="n">
        <f aca="false">D254*E254</f>
        <v>72.6</v>
      </c>
      <c r="N254" s="0" t="n">
        <f aca="false">F254*G254</f>
        <v>330.48</v>
      </c>
      <c r="P254" s="0" t="n">
        <f aca="false">K254+D254</f>
        <v>22</v>
      </c>
      <c r="Q254" s="0" t="n">
        <f aca="false">M254/P254</f>
        <v>3.3</v>
      </c>
      <c r="R254" s="0" t="n">
        <f aca="false">F254+K254</f>
        <v>108</v>
      </c>
      <c r="S254" s="0" t="n">
        <f aca="false">N254/R254</f>
        <v>3.06</v>
      </c>
    </row>
    <row r="255" customFormat="false" ht="15" hidden="false" customHeight="false" outlineLevel="0" collapsed="false">
      <c r="A255" s="0" t="s">
        <v>227</v>
      </c>
      <c r="B255" s="0" t="s">
        <v>228</v>
      </c>
      <c r="C255" s="0" t="n">
        <v>20171</v>
      </c>
      <c r="D255" s="0" t="n">
        <f aca="false">VLOOKUP(A255,[1]Worksheet!$A$2:$I$1049,4,0)</f>
        <v>19</v>
      </c>
      <c r="E255" s="0" t="n">
        <f aca="false">VLOOKUP(A255,[1]Worksheet!$A$2:$I$1049,5,0)</f>
        <v>2.29</v>
      </c>
      <c r="F255" s="0" t="n">
        <f aca="false">VLOOKUP(A255,[1]Worksheet!$A$2:$I$1049,6,0)</f>
        <v>102</v>
      </c>
      <c r="G255" s="0" t="n">
        <f aca="false">VLOOKUP(A255,[1]Worksheet!$A$2:$I$1049,7,0)</f>
        <v>2.58</v>
      </c>
      <c r="K255" s="0" t="n">
        <v>0</v>
      </c>
      <c r="M255" s="0" t="n">
        <f aca="false">D255*E255</f>
        <v>43.51</v>
      </c>
      <c r="N255" s="0" t="n">
        <f aca="false">F255*G255</f>
        <v>263.16</v>
      </c>
      <c r="P255" s="0" t="n">
        <f aca="false">K255+D255</f>
        <v>19</v>
      </c>
      <c r="Q255" s="0" t="n">
        <f aca="false">M255/P255</f>
        <v>2.29</v>
      </c>
      <c r="R255" s="0" t="n">
        <f aca="false">F255+K255</f>
        <v>102</v>
      </c>
      <c r="S255" s="0" t="n">
        <f aca="false">N255/R255</f>
        <v>2.58</v>
      </c>
    </row>
    <row r="256" customFormat="false" ht="15" hidden="false" customHeight="false" outlineLevel="0" collapsed="false">
      <c r="A256" s="0" t="s">
        <v>283</v>
      </c>
      <c r="B256" s="0" t="s">
        <v>284</v>
      </c>
      <c r="C256" s="0" t="n">
        <v>20171</v>
      </c>
      <c r="D256" s="0" t="n">
        <f aca="false">VLOOKUP(A256,[1]Worksheet!$A$2:$I$1049,4,0)</f>
        <v>20</v>
      </c>
      <c r="E256" s="0" t="n">
        <f aca="false">VLOOKUP(A256,[1]Worksheet!$A$2:$I$1049,5,0)</f>
        <v>2.95</v>
      </c>
      <c r="F256" s="0" t="n">
        <f aca="false">VLOOKUP(A256,[1]Worksheet!$A$2:$I$1049,6,0)</f>
        <v>103</v>
      </c>
      <c r="G256" s="0" t="n">
        <f aca="false">VLOOKUP(A256,[1]Worksheet!$A$2:$I$1049,7,0)</f>
        <v>2.88</v>
      </c>
      <c r="K256" s="0" t="n">
        <v>0</v>
      </c>
      <c r="M256" s="0" t="n">
        <f aca="false">D256*E256</f>
        <v>59</v>
      </c>
      <c r="N256" s="0" t="n">
        <f aca="false">F256*G256</f>
        <v>296.64</v>
      </c>
      <c r="P256" s="0" t="n">
        <f aca="false">K256+D256</f>
        <v>20</v>
      </c>
      <c r="Q256" s="0" t="n">
        <f aca="false">M256/P256</f>
        <v>2.95</v>
      </c>
      <c r="R256" s="0" t="n">
        <f aca="false">F256+K256</f>
        <v>103</v>
      </c>
      <c r="S256" s="0" t="n">
        <f aca="false">N256/R256</f>
        <v>2.88</v>
      </c>
    </row>
    <row r="257" customFormat="false" ht="15" hidden="false" customHeight="false" outlineLevel="0" collapsed="false">
      <c r="A257" s="0" t="s">
        <v>541</v>
      </c>
      <c r="B257" s="0" t="s">
        <v>542</v>
      </c>
      <c r="C257" s="0" t="n">
        <v>20171</v>
      </c>
      <c r="D257" s="0" t="n">
        <f aca="false">VLOOKUP(A257,[1]Worksheet!$A$2:$I$1049,4,0)</f>
        <v>20</v>
      </c>
      <c r="E257" s="0" t="n">
        <f aca="false">VLOOKUP(A257,[1]Worksheet!$A$2:$I$1049,5,0)</f>
        <v>2.63</v>
      </c>
      <c r="F257" s="0" t="n">
        <f aca="false">VLOOKUP(A257,[1]Worksheet!$A$2:$I$1049,6,0)</f>
        <v>103</v>
      </c>
      <c r="G257" s="0" t="n">
        <f aca="false">VLOOKUP(A257,[1]Worksheet!$A$2:$I$1049,7,0)</f>
        <v>2.98</v>
      </c>
      <c r="K257" s="0" t="n">
        <v>0</v>
      </c>
      <c r="M257" s="0" t="n">
        <f aca="false">D257*E257</f>
        <v>52.6</v>
      </c>
      <c r="N257" s="0" t="n">
        <f aca="false">F257*G257</f>
        <v>306.94</v>
      </c>
      <c r="P257" s="0" t="n">
        <f aca="false">K257+D257</f>
        <v>20</v>
      </c>
      <c r="Q257" s="0" t="n">
        <f aca="false">M257/P257</f>
        <v>2.63</v>
      </c>
      <c r="R257" s="0" t="n">
        <f aca="false">F257+K257</f>
        <v>103</v>
      </c>
      <c r="S257" s="0" t="n">
        <f aca="false">N257/R257</f>
        <v>2.98</v>
      </c>
    </row>
    <row r="258" customFormat="false" ht="15" hidden="false" customHeight="false" outlineLevel="0" collapsed="false">
      <c r="A258" s="0" t="s">
        <v>285</v>
      </c>
      <c r="B258" s="0" t="s">
        <v>286</v>
      </c>
      <c r="C258" s="0" t="n">
        <v>20171</v>
      </c>
      <c r="D258" s="0" t="n">
        <f aca="false">VLOOKUP(A258,[1]Worksheet!$A$2:$I$1049,4,0)</f>
        <v>21</v>
      </c>
      <c r="E258" s="0" t="n">
        <f aca="false">VLOOKUP(A258,[1]Worksheet!$A$2:$I$1049,5,0)</f>
        <v>2.52</v>
      </c>
      <c r="F258" s="0" t="n">
        <f aca="false">VLOOKUP(A258,[1]Worksheet!$A$2:$I$1049,6,0)</f>
        <v>99</v>
      </c>
      <c r="G258" s="0" t="n">
        <f aca="false">VLOOKUP(A258,[1]Worksheet!$A$2:$I$1049,7,0)</f>
        <v>2.54</v>
      </c>
      <c r="K258" s="0" t="n">
        <v>0</v>
      </c>
      <c r="M258" s="0" t="n">
        <f aca="false">D258*E258</f>
        <v>52.92</v>
      </c>
      <c r="N258" s="0" t="n">
        <f aca="false">F258*G258</f>
        <v>251.46</v>
      </c>
      <c r="P258" s="0" t="n">
        <f aca="false">K258+D258</f>
        <v>21</v>
      </c>
      <c r="Q258" s="0" t="n">
        <f aca="false">M258/P258</f>
        <v>2.52</v>
      </c>
      <c r="R258" s="0" t="n">
        <f aca="false">F258+K258</f>
        <v>99</v>
      </c>
      <c r="S258" s="0" t="n">
        <f aca="false">N258/R258</f>
        <v>2.54</v>
      </c>
    </row>
    <row r="259" customFormat="false" ht="15" hidden="false" customHeight="false" outlineLevel="0" collapsed="false">
      <c r="A259" s="0" t="s">
        <v>229</v>
      </c>
      <c r="B259" s="0" t="s">
        <v>230</v>
      </c>
      <c r="C259" s="0" t="n">
        <v>20171</v>
      </c>
      <c r="D259" s="0" t="n">
        <f aca="false">VLOOKUP(A259,[1]Worksheet!$A$2:$I$1049,4,0)</f>
        <v>24</v>
      </c>
      <c r="E259" s="0" t="n">
        <f aca="false">VLOOKUP(A259,[1]Worksheet!$A$2:$I$1049,5,0)</f>
        <v>3.06</v>
      </c>
      <c r="F259" s="0" t="n">
        <f aca="false">VLOOKUP(A259,[1]Worksheet!$A$2:$I$1049,6,0)</f>
        <v>111</v>
      </c>
      <c r="G259" s="0" t="n">
        <f aca="false">VLOOKUP(A259,[1]Worksheet!$A$2:$I$1049,7,0)</f>
        <v>3.1</v>
      </c>
      <c r="K259" s="0" t="n">
        <v>0</v>
      </c>
      <c r="M259" s="0" t="n">
        <f aca="false">D259*E259</f>
        <v>73.44</v>
      </c>
      <c r="N259" s="0" t="n">
        <f aca="false">F259*G259</f>
        <v>344.1</v>
      </c>
      <c r="P259" s="0" t="n">
        <f aca="false">K259+D259</f>
        <v>24</v>
      </c>
      <c r="Q259" s="0" t="n">
        <f aca="false">M259/P259</f>
        <v>3.06</v>
      </c>
      <c r="R259" s="0" t="n">
        <f aca="false">F259+K259</f>
        <v>111</v>
      </c>
      <c r="S259" s="0" t="n">
        <f aca="false">N259/R259</f>
        <v>3.1</v>
      </c>
    </row>
    <row r="260" customFormat="false" ht="15" hidden="false" customHeight="false" outlineLevel="0" collapsed="false">
      <c r="A260" s="0" t="s">
        <v>231</v>
      </c>
      <c r="B260" s="0" t="s">
        <v>232</v>
      </c>
      <c r="C260" s="0" t="n">
        <v>20171</v>
      </c>
      <c r="D260" s="0" t="n">
        <f aca="false">VLOOKUP(A260,[1]Worksheet!$A$2:$I$1049,4,0)</f>
        <v>21</v>
      </c>
      <c r="E260" s="0" t="n">
        <f aca="false">VLOOKUP(A260,[1]Worksheet!$A$2:$I$1049,5,0)</f>
        <v>2.21</v>
      </c>
      <c r="F260" s="0" t="n">
        <f aca="false">VLOOKUP(A260,[1]Worksheet!$A$2:$I$1049,6,0)</f>
        <v>111</v>
      </c>
      <c r="G260" s="0" t="n">
        <f aca="false">VLOOKUP(A260,[1]Worksheet!$A$2:$I$1049,7,0)</f>
        <v>3.05</v>
      </c>
      <c r="K260" s="0" t="n">
        <v>0</v>
      </c>
      <c r="M260" s="0" t="n">
        <f aca="false">D260*E260</f>
        <v>46.41</v>
      </c>
      <c r="N260" s="0" t="n">
        <f aca="false">F260*G260</f>
        <v>338.55</v>
      </c>
      <c r="P260" s="0" t="n">
        <f aca="false">K260+D260</f>
        <v>21</v>
      </c>
      <c r="Q260" s="0" t="n">
        <f aca="false">M260/P260</f>
        <v>2.21</v>
      </c>
      <c r="R260" s="0" t="n">
        <f aca="false">F260+K260</f>
        <v>111</v>
      </c>
      <c r="S260" s="0" t="n">
        <f aca="false">N260/R260</f>
        <v>3.05</v>
      </c>
    </row>
    <row r="261" customFormat="false" ht="15" hidden="false" customHeight="false" outlineLevel="0" collapsed="false">
      <c r="A261" s="0" t="s">
        <v>715</v>
      </c>
      <c r="B261" s="0" t="s">
        <v>716</v>
      </c>
      <c r="C261" s="0" t="n">
        <v>20171</v>
      </c>
      <c r="D261" s="0" t="n">
        <f aca="false">VLOOKUP(A261,[1]Worksheet!$A$2:$I$1049,4,0)</f>
        <v>23</v>
      </c>
      <c r="E261" s="0" t="n">
        <f aca="false">VLOOKUP(A261,[1]Worksheet!$A$2:$I$1049,5,0)</f>
        <v>3.17</v>
      </c>
      <c r="F261" s="0" t="n">
        <f aca="false">VLOOKUP(A261,[1]Worksheet!$A$2:$I$1049,6,0)</f>
        <v>102</v>
      </c>
      <c r="G261" s="0" t="n">
        <f aca="false">VLOOKUP(A261,[1]Worksheet!$A$2:$I$1049,7,0)</f>
        <v>2.78</v>
      </c>
      <c r="K261" s="0" t="n">
        <v>0</v>
      </c>
      <c r="M261" s="0" t="n">
        <f aca="false">D261*E261</f>
        <v>72.91</v>
      </c>
      <c r="N261" s="0" t="n">
        <f aca="false">F261*G261</f>
        <v>283.56</v>
      </c>
      <c r="P261" s="0" t="n">
        <f aca="false">K261+D261</f>
        <v>23</v>
      </c>
      <c r="Q261" s="0" t="n">
        <f aca="false">M261/P261</f>
        <v>3.17</v>
      </c>
      <c r="R261" s="0" t="n">
        <f aca="false">F261+K261</f>
        <v>102</v>
      </c>
      <c r="S261" s="0" t="n">
        <f aca="false">N261/R261</f>
        <v>2.78</v>
      </c>
    </row>
    <row r="262" customFormat="false" ht="15" hidden="false" customHeight="false" outlineLevel="0" collapsed="false">
      <c r="A262" s="0" t="s">
        <v>717</v>
      </c>
      <c r="B262" s="0" t="s">
        <v>718</v>
      </c>
      <c r="C262" s="0" t="n">
        <v>20171</v>
      </c>
      <c r="D262" s="0" t="n">
        <f aca="false">VLOOKUP(A262,[1]Worksheet!$A$2:$I$1049,4,0)</f>
        <v>24</v>
      </c>
      <c r="E262" s="0" t="n">
        <f aca="false">VLOOKUP(A262,[1]Worksheet!$A$2:$I$1049,5,0)</f>
        <v>3.02</v>
      </c>
      <c r="F262" s="0" t="n">
        <f aca="false">VLOOKUP(A262,[1]Worksheet!$A$2:$I$1049,6,0)</f>
        <v>110</v>
      </c>
      <c r="G262" s="0" t="n">
        <f aca="false">VLOOKUP(A262,[1]Worksheet!$A$2:$I$1049,7,0)</f>
        <v>2.58</v>
      </c>
      <c r="K262" s="0" t="n">
        <v>0</v>
      </c>
      <c r="M262" s="0" t="n">
        <f aca="false">D262*E262</f>
        <v>72.48</v>
      </c>
      <c r="N262" s="0" t="n">
        <f aca="false">F262*G262</f>
        <v>283.8</v>
      </c>
      <c r="P262" s="0" t="n">
        <f aca="false">K262+D262</f>
        <v>24</v>
      </c>
      <c r="Q262" s="0" t="n">
        <f aca="false">M262/P262</f>
        <v>3.02</v>
      </c>
      <c r="R262" s="0" t="n">
        <f aca="false">F262+K262</f>
        <v>110</v>
      </c>
      <c r="S262" s="0" t="n">
        <f aca="false">N262/R262</f>
        <v>2.58</v>
      </c>
    </row>
    <row r="263" customFormat="false" ht="15" hidden="false" customHeight="false" outlineLevel="0" collapsed="false">
      <c r="A263" s="0" t="s">
        <v>233</v>
      </c>
      <c r="B263" s="0" t="s">
        <v>234</v>
      </c>
      <c r="C263" s="0" t="n">
        <v>20171</v>
      </c>
      <c r="D263" s="0" t="n">
        <f aca="false">VLOOKUP(A263,[1]Worksheet!$A$2:$I$1049,4,0)</f>
        <v>23</v>
      </c>
      <c r="E263" s="0" t="n">
        <f aca="false">VLOOKUP(A263,[1]Worksheet!$A$2:$I$1049,5,0)</f>
        <v>3.15</v>
      </c>
      <c r="F263" s="0" t="n">
        <f aca="false">VLOOKUP(A263,[1]Worksheet!$A$2:$I$1049,6,0)</f>
        <v>115</v>
      </c>
      <c r="G263" s="0" t="n">
        <f aca="false">VLOOKUP(A263,[1]Worksheet!$A$2:$I$1049,7,0)</f>
        <v>3.23</v>
      </c>
      <c r="K263" s="0" t="n">
        <v>0</v>
      </c>
      <c r="M263" s="0" t="n">
        <f aca="false">D263*E263</f>
        <v>72.45</v>
      </c>
      <c r="N263" s="0" t="n">
        <f aca="false">F263*G263</f>
        <v>371.45</v>
      </c>
      <c r="P263" s="0" t="n">
        <f aca="false">K263+D263</f>
        <v>23</v>
      </c>
      <c r="Q263" s="0" t="n">
        <f aca="false">M263/P263</f>
        <v>3.15</v>
      </c>
      <c r="R263" s="0" t="n">
        <f aca="false">F263+K263</f>
        <v>115</v>
      </c>
      <c r="S263" s="0" t="n">
        <f aca="false">N263/R263</f>
        <v>3.23</v>
      </c>
    </row>
    <row r="264" customFormat="false" ht="15" hidden="false" customHeight="false" outlineLevel="0" collapsed="false">
      <c r="A264" s="0" t="s">
        <v>719</v>
      </c>
      <c r="B264" s="0" t="s">
        <v>720</v>
      </c>
      <c r="C264" s="0" t="n">
        <v>20171</v>
      </c>
      <c r="D264" s="0" t="n">
        <f aca="false">VLOOKUP(A264,[1]Worksheet!$A$2:$I$1049,4,0)</f>
        <v>21</v>
      </c>
      <c r="E264" s="0" t="n">
        <f aca="false">VLOOKUP(A264,[1]Worksheet!$A$2:$I$1049,5,0)</f>
        <v>3.24</v>
      </c>
      <c r="F264" s="0" t="n">
        <f aca="false">VLOOKUP(A264,[1]Worksheet!$A$2:$I$1049,6,0)</f>
        <v>107</v>
      </c>
      <c r="G264" s="0" t="n">
        <f aca="false">VLOOKUP(A264,[1]Worksheet!$A$2:$I$1049,7,0)</f>
        <v>2.85</v>
      </c>
      <c r="K264" s="0" t="n">
        <v>0</v>
      </c>
      <c r="M264" s="0" t="n">
        <f aca="false">D264*E264</f>
        <v>68.04</v>
      </c>
      <c r="N264" s="0" t="n">
        <f aca="false">F264*G264</f>
        <v>304.95</v>
      </c>
      <c r="P264" s="0" t="n">
        <f aca="false">K264+D264</f>
        <v>21</v>
      </c>
      <c r="Q264" s="0" t="n">
        <f aca="false">M264/P264</f>
        <v>3.24</v>
      </c>
      <c r="R264" s="0" t="n">
        <f aca="false">F264+K264</f>
        <v>107</v>
      </c>
      <c r="S264" s="0" t="n">
        <f aca="false">N264/R264</f>
        <v>2.85</v>
      </c>
    </row>
    <row r="265" customFormat="false" ht="15" hidden="false" customHeight="false" outlineLevel="0" collapsed="false">
      <c r="A265" s="0" t="s">
        <v>663</v>
      </c>
      <c r="B265" s="0" t="s">
        <v>664</v>
      </c>
      <c r="C265" s="0" t="n">
        <v>20171</v>
      </c>
      <c r="D265" s="0" t="n">
        <f aca="false">VLOOKUP(A265,[1]Worksheet!$A$2:$I$1049,4,0)</f>
        <v>21</v>
      </c>
      <c r="E265" s="0" t="n">
        <f aca="false">VLOOKUP(A265,[1]Worksheet!$A$2:$I$1049,5,0)</f>
        <v>2.17</v>
      </c>
      <c r="F265" s="0" t="n">
        <f aca="false">VLOOKUP(A265,[1]Worksheet!$A$2:$I$1049,6,0)</f>
        <v>104</v>
      </c>
      <c r="G265" s="0" t="n">
        <f aca="false">VLOOKUP(A265,[1]Worksheet!$A$2:$I$1049,7,0)</f>
        <v>2.72</v>
      </c>
      <c r="K265" s="0" t="n">
        <v>0</v>
      </c>
      <c r="M265" s="0" t="n">
        <f aca="false">D265*E265</f>
        <v>45.57</v>
      </c>
      <c r="N265" s="0" t="n">
        <f aca="false">F265*G265</f>
        <v>282.88</v>
      </c>
      <c r="P265" s="0" t="n">
        <f aca="false">K265+D265</f>
        <v>21</v>
      </c>
      <c r="Q265" s="0" t="n">
        <f aca="false">M265/P265</f>
        <v>2.17</v>
      </c>
      <c r="R265" s="0" t="n">
        <f aca="false">F265+K265</f>
        <v>104</v>
      </c>
      <c r="S265" s="0" t="n">
        <f aca="false">N265/R265</f>
        <v>2.72</v>
      </c>
    </row>
    <row r="266" customFormat="false" ht="15" hidden="false" customHeight="false" outlineLevel="0" collapsed="false">
      <c r="A266" s="0" t="s">
        <v>287</v>
      </c>
      <c r="B266" s="0" t="s">
        <v>288</v>
      </c>
      <c r="C266" s="0" t="n">
        <v>20171</v>
      </c>
      <c r="D266" s="0" t="n">
        <f aca="false">VLOOKUP(A266,[1]Worksheet!$A$2:$I$1049,4,0)</f>
        <v>22</v>
      </c>
      <c r="E266" s="0" t="n">
        <f aca="false">VLOOKUP(A266,[1]Worksheet!$A$2:$I$1049,5,0)</f>
        <v>3.55</v>
      </c>
      <c r="F266" s="0" t="n">
        <f aca="false">VLOOKUP(A266,[1]Worksheet!$A$2:$I$1049,6,0)</f>
        <v>110</v>
      </c>
      <c r="G266" s="0" t="n">
        <f aca="false">VLOOKUP(A266,[1]Worksheet!$A$2:$I$1049,7,0)</f>
        <v>3.34</v>
      </c>
      <c r="K266" s="0" t="n">
        <v>0</v>
      </c>
      <c r="M266" s="0" t="n">
        <f aca="false">D266*E266</f>
        <v>78.1</v>
      </c>
      <c r="N266" s="0" t="n">
        <f aca="false">F266*G266</f>
        <v>367.4</v>
      </c>
      <c r="P266" s="0" t="n">
        <f aca="false">K266+D266</f>
        <v>22</v>
      </c>
      <c r="Q266" s="0" t="n">
        <f aca="false">M266/P266</f>
        <v>3.55</v>
      </c>
      <c r="R266" s="0" t="n">
        <f aca="false">F266+K266</f>
        <v>110</v>
      </c>
      <c r="S266" s="0" t="n">
        <f aca="false">N266/R266</f>
        <v>3.34</v>
      </c>
    </row>
    <row r="267" customFormat="false" ht="15" hidden="false" customHeight="false" outlineLevel="0" collapsed="false">
      <c r="A267" s="0" t="s">
        <v>543</v>
      </c>
      <c r="B267" s="0" t="s">
        <v>544</v>
      </c>
      <c r="C267" s="0" t="n">
        <v>20171</v>
      </c>
      <c r="D267" s="0" t="n">
        <f aca="false">VLOOKUP(A267,[1]Worksheet!$A$2:$I$1049,4,0)</f>
        <v>16</v>
      </c>
      <c r="E267" s="0" t="n">
        <f aca="false">VLOOKUP(A267,[1]Worksheet!$A$2:$I$1049,5,0)</f>
        <v>3.09</v>
      </c>
      <c r="F267" s="0" t="n">
        <f aca="false">VLOOKUP(A267,[1]Worksheet!$A$2:$I$1049,6,0)</f>
        <v>101</v>
      </c>
      <c r="G267" s="0" t="n">
        <f aca="false">VLOOKUP(A267,[1]Worksheet!$A$2:$I$1049,7,0)</f>
        <v>2.81</v>
      </c>
      <c r="K267" s="0" t="n">
        <v>0</v>
      </c>
      <c r="M267" s="0" t="n">
        <f aca="false">D267*E267</f>
        <v>49.44</v>
      </c>
      <c r="N267" s="0" t="n">
        <f aca="false">F267*G267</f>
        <v>283.81</v>
      </c>
      <c r="P267" s="0" t="n">
        <f aca="false">K267+D267</f>
        <v>16</v>
      </c>
      <c r="Q267" s="0" t="n">
        <f aca="false">M267/P267</f>
        <v>3.09</v>
      </c>
      <c r="R267" s="0" t="n">
        <f aca="false">F267+K267</f>
        <v>101</v>
      </c>
      <c r="S267" s="0" t="n">
        <f aca="false">N267/R267</f>
        <v>2.81</v>
      </c>
    </row>
    <row r="268" customFormat="false" ht="15" hidden="false" customHeight="false" outlineLevel="0" collapsed="false">
      <c r="A268" s="0" t="s">
        <v>289</v>
      </c>
      <c r="B268" s="0" t="s">
        <v>290</v>
      </c>
      <c r="C268" s="0" t="n">
        <v>20171</v>
      </c>
      <c r="D268" s="0" t="n">
        <f aca="false">VLOOKUP(A268,[1]Worksheet!$A$2:$I$1049,4,0)</f>
        <v>22</v>
      </c>
      <c r="E268" s="0" t="n">
        <f aca="false">VLOOKUP(A268,[1]Worksheet!$A$2:$I$1049,5,0)</f>
        <v>3.27</v>
      </c>
      <c r="F268" s="0" t="n">
        <f aca="false">VLOOKUP(A268,[1]Worksheet!$A$2:$I$1049,6,0)</f>
        <v>112</v>
      </c>
      <c r="G268" s="0" t="n">
        <f aca="false">VLOOKUP(A268,[1]Worksheet!$A$2:$I$1049,7,0)</f>
        <v>3.23</v>
      </c>
      <c r="K268" s="0" t="n">
        <v>0</v>
      </c>
      <c r="M268" s="0" t="n">
        <f aca="false">D268*E268</f>
        <v>71.94</v>
      </c>
      <c r="N268" s="0" t="n">
        <f aca="false">F268*G268</f>
        <v>361.76</v>
      </c>
      <c r="P268" s="0" t="n">
        <f aca="false">K268+D268</f>
        <v>22</v>
      </c>
      <c r="Q268" s="0" t="n">
        <f aca="false">M268/P268</f>
        <v>3.27</v>
      </c>
      <c r="R268" s="0" t="n">
        <f aca="false">F268+K268</f>
        <v>112</v>
      </c>
      <c r="S268" s="0" t="n">
        <f aca="false">N268/R268</f>
        <v>3.23</v>
      </c>
    </row>
    <row r="269" customFormat="false" ht="15" hidden="false" customHeight="false" outlineLevel="0" collapsed="false">
      <c r="A269" s="0" t="s">
        <v>235</v>
      </c>
      <c r="B269" s="0" t="s">
        <v>236</v>
      </c>
      <c r="C269" s="0" t="n">
        <v>20171</v>
      </c>
      <c r="D269" s="0" t="n">
        <f aca="false">VLOOKUP(A269,[1]Worksheet!$A$2:$I$1049,4,0)</f>
        <v>24</v>
      </c>
      <c r="E269" s="0" t="n">
        <f aca="false">VLOOKUP(A269,[1]Worksheet!$A$2:$I$1049,5,0)</f>
        <v>3.58</v>
      </c>
      <c r="F269" s="0" t="n">
        <f aca="false">VLOOKUP(A269,[1]Worksheet!$A$2:$I$1049,6,0)</f>
        <v>109</v>
      </c>
      <c r="G269" s="0" t="n">
        <f aca="false">VLOOKUP(A269,[1]Worksheet!$A$2:$I$1049,7,0)</f>
        <v>3.49</v>
      </c>
      <c r="K269" s="0" t="n">
        <v>0</v>
      </c>
      <c r="M269" s="0" t="n">
        <f aca="false">D269*E269</f>
        <v>85.92</v>
      </c>
      <c r="N269" s="0" t="n">
        <f aca="false">F269*G269</f>
        <v>380.41</v>
      </c>
      <c r="P269" s="0" t="n">
        <f aca="false">K269+D269</f>
        <v>24</v>
      </c>
      <c r="Q269" s="0" t="n">
        <f aca="false">M269/P269</f>
        <v>3.58</v>
      </c>
      <c r="R269" s="0" t="n">
        <f aca="false">F269+K269</f>
        <v>109</v>
      </c>
      <c r="S269" s="0" t="n">
        <f aca="false">N269/R269</f>
        <v>3.49</v>
      </c>
    </row>
    <row r="270" customFormat="false" ht="15" hidden="false" customHeight="false" outlineLevel="0" collapsed="false">
      <c r="A270" s="0" t="s">
        <v>291</v>
      </c>
      <c r="B270" s="0" t="s">
        <v>292</v>
      </c>
      <c r="C270" s="0" t="n">
        <v>20171</v>
      </c>
      <c r="D270" s="0" t="n">
        <f aca="false">VLOOKUP(A270,[1]Worksheet!$A$2:$I$1049,4,0)</f>
        <v>22</v>
      </c>
      <c r="E270" s="0" t="n">
        <f aca="false">VLOOKUP(A270,[1]Worksheet!$A$2:$I$1049,5,0)</f>
        <v>3.27</v>
      </c>
      <c r="F270" s="0" t="n">
        <f aca="false">VLOOKUP(A270,[1]Worksheet!$A$2:$I$1049,6,0)</f>
        <v>112</v>
      </c>
      <c r="G270" s="0" t="n">
        <f aca="false">VLOOKUP(A270,[1]Worksheet!$A$2:$I$1049,7,0)</f>
        <v>3.17</v>
      </c>
      <c r="K270" s="0" t="n">
        <v>0</v>
      </c>
      <c r="M270" s="0" t="n">
        <f aca="false">D270*E270</f>
        <v>71.94</v>
      </c>
      <c r="N270" s="0" t="n">
        <f aca="false">F270*G270</f>
        <v>355.04</v>
      </c>
      <c r="P270" s="0" t="n">
        <f aca="false">K270+D270</f>
        <v>22</v>
      </c>
      <c r="Q270" s="0" t="n">
        <f aca="false">M270/P270</f>
        <v>3.27</v>
      </c>
      <c r="R270" s="0" t="n">
        <f aca="false">F270+K270</f>
        <v>112</v>
      </c>
      <c r="S270" s="0" t="n">
        <f aca="false">N270/R270</f>
        <v>3.17</v>
      </c>
    </row>
    <row r="271" customFormat="false" ht="15" hidden="false" customHeight="false" outlineLevel="0" collapsed="false">
      <c r="A271" s="0" t="s">
        <v>721</v>
      </c>
      <c r="B271" s="0" t="s">
        <v>722</v>
      </c>
      <c r="C271" s="0" t="n">
        <v>20171</v>
      </c>
      <c r="D271" s="0" t="n">
        <f aca="false">VLOOKUP(A271,[1]Worksheet!$A$2:$I$1049,4,0)</f>
        <v>23</v>
      </c>
      <c r="E271" s="0" t="n">
        <f aca="false">VLOOKUP(A271,[1]Worksheet!$A$2:$I$1049,5,0)</f>
        <v>3.37</v>
      </c>
      <c r="F271" s="0" t="n">
        <f aca="false">VLOOKUP(A271,[1]Worksheet!$A$2:$I$1049,6,0)</f>
        <v>105</v>
      </c>
      <c r="G271" s="0" t="n">
        <f aca="false">VLOOKUP(A271,[1]Worksheet!$A$2:$I$1049,7,0)</f>
        <v>2.78</v>
      </c>
      <c r="K271" s="0" t="n">
        <v>0</v>
      </c>
      <c r="M271" s="0" t="n">
        <f aca="false">D271*E271</f>
        <v>77.51</v>
      </c>
      <c r="N271" s="0" t="n">
        <f aca="false">F271*G271</f>
        <v>291.9</v>
      </c>
      <c r="P271" s="0" t="n">
        <f aca="false">K271+D271</f>
        <v>23</v>
      </c>
      <c r="Q271" s="0" t="n">
        <f aca="false">M271/P271</f>
        <v>3.37</v>
      </c>
      <c r="R271" s="0" t="n">
        <f aca="false">F271+K271</f>
        <v>105</v>
      </c>
      <c r="S271" s="0" t="n">
        <f aca="false">N271/R271</f>
        <v>2.78</v>
      </c>
    </row>
    <row r="272" customFormat="false" ht="15" hidden="false" customHeight="false" outlineLevel="0" collapsed="false">
      <c r="A272" s="0" t="s">
        <v>293</v>
      </c>
      <c r="B272" s="0" t="s">
        <v>294</v>
      </c>
      <c r="C272" s="0" t="n">
        <v>20171</v>
      </c>
      <c r="D272" s="0" t="n">
        <f aca="false">VLOOKUP(A272,[1]Worksheet!$A$2:$I$1049,4,0)</f>
        <v>22</v>
      </c>
      <c r="E272" s="0" t="n">
        <f aca="false">VLOOKUP(A272,[1]Worksheet!$A$2:$I$1049,5,0)</f>
        <v>2.95</v>
      </c>
      <c r="F272" s="0" t="n">
        <f aca="false">VLOOKUP(A272,[1]Worksheet!$A$2:$I$1049,6,0)</f>
        <v>112</v>
      </c>
      <c r="G272" s="0" t="n">
        <f aca="false">VLOOKUP(A272,[1]Worksheet!$A$2:$I$1049,7,0)</f>
        <v>2.99</v>
      </c>
      <c r="K272" s="0" t="n">
        <v>0</v>
      </c>
      <c r="M272" s="0" t="n">
        <f aca="false">D272*E272</f>
        <v>64.9</v>
      </c>
      <c r="N272" s="0" t="n">
        <f aca="false">F272*G272</f>
        <v>334.88</v>
      </c>
      <c r="P272" s="0" t="n">
        <f aca="false">K272+D272</f>
        <v>22</v>
      </c>
      <c r="Q272" s="0" t="n">
        <f aca="false">M272/P272</f>
        <v>2.95</v>
      </c>
      <c r="R272" s="0" t="n">
        <f aca="false">F272+K272</f>
        <v>112</v>
      </c>
      <c r="S272" s="0" t="n">
        <f aca="false">N272/R272</f>
        <v>2.99</v>
      </c>
    </row>
    <row r="273" customFormat="false" ht="15" hidden="false" customHeight="false" outlineLevel="0" collapsed="false">
      <c r="A273" s="0" t="s">
        <v>237</v>
      </c>
      <c r="B273" s="0" t="s">
        <v>238</v>
      </c>
      <c r="C273" s="0" t="n">
        <v>20171</v>
      </c>
      <c r="D273" s="0" t="n">
        <f aca="false">VLOOKUP(A273,[1]Worksheet!$A$2:$I$1049,4,0)</f>
        <v>21</v>
      </c>
      <c r="E273" s="0" t="n">
        <f aca="false">VLOOKUP(A273,[1]Worksheet!$A$2:$I$1049,5,0)</f>
        <v>3.14</v>
      </c>
      <c r="F273" s="0" t="n">
        <f aca="false">VLOOKUP(A273,[1]Worksheet!$A$2:$I$1049,6,0)</f>
        <v>109</v>
      </c>
      <c r="G273" s="0" t="n">
        <f aca="false">VLOOKUP(A273,[1]Worksheet!$A$2:$I$1049,7,0)</f>
        <v>2.95</v>
      </c>
      <c r="K273" s="0" t="n">
        <v>0</v>
      </c>
      <c r="M273" s="0" t="n">
        <f aca="false">D273*E273</f>
        <v>65.94</v>
      </c>
      <c r="N273" s="0" t="n">
        <f aca="false">F273*G273</f>
        <v>321.55</v>
      </c>
      <c r="P273" s="0" t="n">
        <f aca="false">K273+D273</f>
        <v>21</v>
      </c>
      <c r="Q273" s="0" t="n">
        <f aca="false">M273/P273</f>
        <v>3.14</v>
      </c>
      <c r="R273" s="0" t="n">
        <f aca="false">F273+K273</f>
        <v>109</v>
      </c>
      <c r="S273" s="0" t="n">
        <f aca="false">N273/R273</f>
        <v>2.95</v>
      </c>
    </row>
    <row r="274" customFormat="false" ht="15" hidden="false" customHeight="false" outlineLevel="0" collapsed="false">
      <c r="A274" s="0" t="s">
        <v>239</v>
      </c>
      <c r="B274" s="0" t="s">
        <v>240</v>
      </c>
      <c r="C274" s="0" t="n">
        <v>20171</v>
      </c>
      <c r="D274" s="0" t="n">
        <f aca="false">VLOOKUP(A274,[1]Worksheet!$A$2:$I$1049,4,0)</f>
        <v>22</v>
      </c>
      <c r="E274" s="0" t="n">
        <f aca="false">VLOOKUP(A274,[1]Worksheet!$A$2:$I$1049,5,0)</f>
        <v>2.25</v>
      </c>
      <c r="F274" s="0" t="n">
        <f aca="false">VLOOKUP(A274,[1]Worksheet!$A$2:$I$1049,6,0)</f>
        <v>102</v>
      </c>
      <c r="G274" s="0" t="n">
        <f aca="false">VLOOKUP(A274,[1]Worksheet!$A$2:$I$1049,7,0)</f>
        <v>2.39</v>
      </c>
      <c r="K274" s="0" t="n">
        <v>0</v>
      </c>
      <c r="M274" s="0" t="n">
        <f aca="false">D274*E274</f>
        <v>49.5</v>
      </c>
      <c r="N274" s="0" t="n">
        <f aca="false">F274*G274</f>
        <v>243.78</v>
      </c>
      <c r="P274" s="0" t="n">
        <f aca="false">K274+D274</f>
        <v>22</v>
      </c>
      <c r="Q274" s="0" t="n">
        <f aca="false">M274/P274</f>
        <v>2.25</v>
      </c>
      <c r="R274" s="0" t="n">
        <f aca="false">F274+K274</f>
        <v>102</v>
      </c>
      <c r="S274" s="0" t="n">
        <f aca="false">N274/R274</f>
        <v>2.39</v>
      </c>
    </row>
    <row r="275" customFormat="false" ht="15" hidden="false" customHeight="false" outlineLevel="0" collapsed="false">
      <c r="A275" s="0" t="s">
        <v>241</v>
      </c>
      <c r="B275" s="0" t="s">
        <v>242</v>
      </c>
      <c r="C275" s="0" t="n">
        <v>20171</v>
      </c>
      <c r="D275" s="0" t="n">
        <f aca="false">VLOOKUP(A275,[1]Worksheet!$A$2:$I$1049,4,0)</f>
        <v>21</v>
      </c>
      <c r="E275" s="0" t="n">
        <f aca="false">VLOOKUP(A275,[1]Worksheet!$A$2:$I$1049,5,0)</f>
        <v>3</v>
      </c>
      <c r="F275" s="0" t="n">
        <f aca="false">VLOOKUP(A275,[1]Worksheet!$A$2:$I$1049,6,0)</f>
        <v>110</v>
      </c>
      <c r="G275" s="0" t="n">
        <f aca="false">VLOOKUP(A275,[1]Worksheet!$A$2:$I$1049,7,0)</f>
        <v>2.77</v>
      </c>
      <c r="K275" s="0" t="n">
        <v>0</v>
      </c>
      <c r="M275" s="0" t="n">
        <f aca="false">D275*E275</f>
        <v>63</v>
      </c>
      <c r="N275" s="0" t="n">
        <f aca="false">F275*G275</f>
        <v>304.7</v>
      </c>
      <c r="P275" s="0" t="n">
        <f aca="false">K275+D275</f>
        <v>21</v>
      </c>
      <c r="Q275" s="0" t="n">
        <f aca="false">M275/P275</f>
        <v>3</v>
      </c>
      <c r="R275" s="0" t="n">
        <f aca="false">F275+K275</f>
        <v>110</v>
      </c>
      <c r="S275" s="0" t="n">
        <f aca="false">N275/R275</f>
        <v>2.77</v>
      </c>
    </row>
    <row r="276" customFormat="false" ht="15" hidden="false" customHeight="false" outlineLevel="0" collapsed="false">
      <c r="A276" s="0" t="s">
        <v>243</v>
      </c>
      <c r="B276" s="0" t="s">
        <v>244</v>
      </c>
      <c r="C276" s="0" t="n">
        <v>20171</v>
      </c>
      <c r="D276" s="0" t="n">
        <f aca="false">VLOOKUP(A276,[1]Worksheet!$A$2:$I$1049,4,0)</f>
        <v>21</v>
      </c>
      <c r="E276" s="0" t="n">
        <f aca="false">VLOOKUP(A276,[1]Worksheet!$A$2:$I$1049,5,0)</f>
        <v>2.64</v>
      </c>
      <c r="F276" s="0" t="n">
        <f aca="false">VLOOKUP(A276,[1]Worksheet!$A$2:$I$1049,6,0)</f>
        <v>109</v>
      </c>
      <c r="G276" s="0" t="n">
        <f aca="false">VLOOKUP(A276,[1]Worksheet!$A$2:$I$1049,7,0)</f>
        <v>2.54</v>
      </c>
      <c r="K276" s="0" t="n">
        <v>0</v>
      </c>
      <c r="M276" s="0" t="n">
        <f aca="false">D276*E276</f>
        <v>55.44</v>
      </c>
      <c r="N276" s="0" t="n">
        <f aca="false">F276*G276</f>
        <v>276.86</v>
      </c>
      <c r="P276" s="0" t="n">
        <f aca="false">K276+D276</f>
        <v>21</v>
      </c>
      <c r="Q276" s="0" t="n">
        <f aca="false">M276/P276</f>
        <v>2.64</v>
      </c>
      <c r="R276" s="0" t="n">
        <f aca="false">F276+K276</f>
        <v>109</v>
      </c>
      <c r="S276" s="0" t="n">
        <f aca="false">N276/R276</f>
        <v>2.54</v>
      </c>
    </row>
    <row r="277" customFormat="false" ht="15" hidden="false" customHeight="false" outlineLevel="0" collapsed="false">
      <c r="A277" s="0" t="s">
        <v>245</v>
      </c>
      <c r="B277" s="0" t="s">
        <v>246</v>
      </c>
      <c r="C277" s="0" t="n">
        <v>20171</v>
      </c>
      <c r="D277" s="0" t="n">
        <f aca="false">VLOOKUP(A277,[1]Worksheet!$A$2:$I$1049,4,0)</f>
        <v>21</v>
      </c>
      <c r="E277" s="0" t="n">
        <f aca="false">VLOOKUP(A277,[1]Worksheet!$A$2:$I$1049,5,0)</f>
        <v>3.48</v>
      </c>
      <c r="F277" s="0" t="n">
        <f aca="false">VLOOKUP(A277,[1]Worksheet!$A$2:$I$1049,6,0)</f>
        <v>111</v>
      </c>
      <c r="G277" s="0" t="n">
        <f aca="false">VLOOKUP(A277,[1]Worksheet!$A$2:$I$1049,7,0)</f>
        <v>3.33</v>
      </c>
      <c r="K277" s="0" t="n">
        <v>0</v>
      </c>
      <c r="M277" s="0" t="n">
        <f aca="false">D277*E277</f>
        <v>73.08</v>
      </c>
      <c r="N277" s="0" t="n">
        <f aca="false">F277*G277</f>
        <v>369.63</v>
      </c>
      <c r="P277" s="0" t="n">
        <f aca="false">K277+D277</f>
        <v>21</v>
      </c>
      <c r="Q277" s="0" t="n">
        <f aca="false">M277/P277</f>
        <v>3.48</v>
      </c>
      <c r="R277" s="0" t="n">
        <f aca="false">F277+K277</f>
        <v>111</v>
      </c>
      <c r="S277" s="0" t="n">
        <f aca="false">N277/R277</f>
        <v>3.33</v>
      </c>
    </row>
    <row r="278" customFormat="false" ht="15" hidden="false" customHeight="false" outlineLevel="0" collapsed="false">
      <c r="A278" s="0" t="s">
        <v>545</v>
      </c>
      <c r="B278" s="0" t="s">
        <v>546</v>
      </c>
      <c r="C278" s="0" t="n">
        <v>20171</v>
      </c>
      <c r="D278" s="0" t="n">
        <f aca="false">VLOOKUP(A278,[1]Worksheet!$A$2:$I$1049,4,0)</f>
        <v>7</v>
      </c>
      <c r="E278" s="0" t="n">
        <f aca="false">VLOOKUP(A278,[1]Worksheet!$A$2:$I$1049,5,0)</f>
        <v>3</v>
      </c>
      <c r="F278" s="0" t="n">
        <f aca="false">VLOOKUP(A278,[1]Worksheet!$A$2:$I$1049,6,0)</f>
        <v>66</v>
      </c>
      <c r="G278" s="0" t="n">
        <f aca="false">VLOOKUP(A278,[1]Worksheet!$A$2:$I$1049,7,0)</f>
        <v>2.04</v>
      </c>
      <c r="K278" s="0" t="n">
        <v>0</v>
      </c>
      <c r="M278" s="0" t="n">
        <f aca="false">D278*E278</f>
        <v>21</v>
      </c>
      <c r="N278" s="0" t="n">
        <f aca="false">F278*G278</f>
        <v>134.64</v>
      </c>
      <c r="P278" s="0" t="n">
        <f aca="false">K278+D278</f>
        <v>7</v>
      </c>
      <c r="Q278" s="0" t="n">
        <f aca="false">M278/P278</f>
        <v>3</v>
      </c>
      <c r="R278" s="0" t="n">
        <f aca="false">F278+K278</f>
        <v>66</v>
      </c>
      <c r="S278" s="0" t="n">
        <f aca="false">N278/R278</f>
        <v>2.04</v>
      </c>
    </row>
    <row r="279" customFormat="false" ht="15" hidden="false" customHeight="false" outlineLevel="0" collapsed="false">
      <c r="A279" s="0" t="s">
        <v>247</v>
      </c>
      <c r="B279" s="0" t="s">
        <v>248</v>
      </c>
      <c r="C279" s="0" t="n">
        <v>20171</v>
      </c>
      <c r="D279" s="0" t="n">
        <f aca="false">VLOOKUP(A279,[1]Worksheet!$A$2:$I$1049,4,0)</f>
        <v>21</v>
      </c>
      <c r="E279" s="0" t="n">
        <f aca="false">VLOOKUP(A279,[1]Worksheet!$A$2:$I$1049,5,0)</f>
        <v>2.76</v>
      </c>
      <c r="F279" s="0" t="n">
        <f aca="false">VLOOKUP(A279,[1]Worksheet!$A$2:$I$1049,6,0)</f>
        <v>105</v>
      </c>
      <c r="G279" s="0" t="n">
        <f aca="false">VLOOKUP(A279,[1]Worksheet!$A$2:$I$1049,7,0)</f>
        <v>2.68</v>
      </c>
      <c r="K279" s="0" t="n">
        <v>0</v>
      </c>
      <c r="M279" s="0" t="n">
        <f aca="false">D279*E279</f>
        <v>57.96</v>
      </c>
      <c r="N279" s="0" t="n">
        <f aca="false">F279*G279</f>
        <v>281.4</v>
      </c>
      <c r="P279" s="0" t="n">
        <f aca="false">K279+D279</f>
        <v>21</v>
      </c>
      <c r="Q279" s="0" t="n">
        <f aca="false">M279/P279</f>
        <v>2.76</v>
      </c>
      <c r="R279" s="0" t="n">
        <f aca="false">F279+K279</f>
        <v>105</v>
      </c>
      <c r="S279" s="0" t="n">
        <f aca="false">N279/R279</f>
        <v>2.68</v>
      </c>
    </row>
    <row r="280" customFormat="false" ht="15" hidden="false" customHeight="false" outlineLevel="0" collapsed="false">
      <c r="A280" s="0" t="s">
        <v>665</v>
      </c>
      <c r="B280" s="0" t="s">
        <v>666</v>
      </c>
      <c r="C280" s="0" t="n">
        <v>20171</v>
      </c>
      <c r="D280" s="0" t="n">
        <f aca="false">VLOOKUP(A280,[1]Worksheet!$A$2:$I$1049,4,0)</f>
        <v>23</v>
      </c>
      <c r="E280" s="0" t="n">
        <f aca="false">VLOOKUP(A280,[1]Worksheet!$A$2:$I$1049,5,0)</f>
        <v>2.93</v>
      </c>
      <c r="F280" s="0" t="n">
        <f aca="false">VLOOKUP(A280,[1]Worksheet!$A$2:$I$1049,6,0)</f>
        <v>109</v>
      </c>
      <c r="G280" s="0" t="n">
        <f aca="false">VLOOKUP(A280,[1]Worksheet!$A$2:$I$1049,7,0)</f>
        <v>3.1</v>
      </c>
      <c r="K280" s="0" t="n">
        <v>0</v>
      </c>
      <c r="M280" s="0" t="n">
        <f aca="false">D280*E280</f>
        <v>67.39</v>
      </c>
      <c r="N280" s="0" t="n">
        <f aca="false">F280*G280</f>
        <v>337.9</v>
      </c>
      <c r="P280" s="0" t="n">
        <f aca="false">K280+D280</f>
        <v>23</v>
      </c>
      <c r="Q280" s="0" t="n">
        <f aca="false">M280/P280</f>
        <v>2.93</v>
      </c>
      <c r="R280" s="0" t="n">
        <f aca="false">F280+K280</f>
        <v>109</v>
      </c>
      <c r="S280" s="0" t="n">
        <f aca="false">N280/R280</f>
        <v>3.1</v>
      </c>
    </row>
    <row r="281" customFormat="false" ht="15" hidden="false" customHeight="false" outlineLevel="0" collapsed="false">
      <c r="A281" s="0" t="s">
        <v>547</v>
      </c>
      <c r="B281" s="0" t="s">
        <v>548</v>
      </c>
      <c r="C281" s="0" t="n">
        <v>20171</v>
      </c>
      <c r="D281" s="0" t="n">
        <f aca="false">VLOOKUP(A281,[1]Worksheet!$A$2:$I$1049,4,0)</f>
        <v>19</v>
      </c>
      <c r="E281" s="0" t="n">
        <f aca="false">VLOOKUP(A281,[1]Worksheet!$A$2:$I$1049,5,0)</f>
        <v>3.55</v>
      </c>
      <c r="F281" s="0" t="n">
        <f aca="false">VLOOKUP(A281,[1]Worksheet!$A$2:$I$1049,6,0)</f>
        <v>106</v>
      </c>
      <c r="G281" s="0" t="n">
        <f aca="false">VLOOKUP(A281,[1]Worksheet!$A$2:$I$1049,7,0)</f>
        <v>3.33</v>
      </c>
      <c r="K281" s="0" t="n">
        <v>2</v>
      </c>
      <c r="M281" s="0" t="n">
        <f aca="false">D281*E281</f>
        <v>67.45</v>
      </c>
      <c r="N281" s="0" t="n">
        <f aca="false">F281*G281</f>
        <v>352.98</v>
      </c>
      <c r="P281" s="0" t="n">
        <f aca="false">K281+D281</f>
        <v>21</v>
      </c>
      <c r="Q281" s="0" t="n">
        <f aca="false">M281/P281</f>
        <v>3.21190476190476</v>
      </c>
      <c r="R281" s="0" t="n">
        <f aca="false">F281+K281</f>
        <v>108</v>
      </c>
      <c r="S281" s="0" t="n">
        <f aca="false">N281/R281</f>
        <v>3.26833333333333</v>
      </c>
    </row>
    <row r="282" customFormat="false" ht="15" hidden="false" customHeight="false" outlineLevel="0" collapsed="false">
      <c r="A282" s="0" t="s">
        <v>683</v>
      </c>
      <c r="B282" s="0" t="s">
        <v>684</v>
      </c>
      <c r="C282" s="0" t="n">
        <v>20171</v>
      </c>
      <c r="D282" s="0" t="n">
        <f aca="false">VLOOKUP(A282,[1]Worksheet!$A$2:$I$1049,4,0)</f>
        <v>21</v>
      </c>
      <c r="E282" s="0" t="n">
        <f aca="false">VLOOKUP(A282,[1]Worksheet!$A$2:$I$1049,5,0)</f>
        <v>2.79</v>
      </c>
      <c r="F282" s="0" t="n">
        <f aca="false">VLOOKUP(A282,[1]Worksheet!$A$2:$I$1049,6,0)</f>
        <v>100</v>
      </c>
      <c r="G282" s="0" t="n">
        <f aca="false">VLOOKUP(A282,[1]Worksheet!$A$2:$I$1049,7,0)</f>
        <v>2.53</v>
      </c>
      <c r="K282" s="0" t="n">
        <v>0</v>
      </c>
      <c r="M282" s="0" t="n">
        <f aca="false">D282*E282</f>
        <v>58.59</v>
      </c>
      <c r="N282" s="0" t="n">
        <f aca="false">F282*G282</f>
        <v>253</v>
      </c>
      <c r="P282" s="0" t="n">
        <f aca="false">K282+D282</f>
        <v>21</v>
      </c>
      <c r="Q282" s="0" t="n">
        <f aca="false">M282/P282</f>
        <v>2.79</v>
      </c>
      <c r="R282" s="0" t="n">
        <f aca="false">F282+K282</f>
        <v>100</v>
      </c>
      <c r="S282" s="0" t="n">
        <f aca="false">N282/R282</f>
        <v>2.53</v>
      </c>
    </row>
    <row r="283" customFormat="false" ht="15" hidden="false" customHeight="false" outlineLevel="0" collapsed="false">
      <c r="A283" s="0" t="s">
        <v>249</v>
      </c>
      <c r="B283" s="0" t="s">
        <v>250</v>
      </c>
      <c r="C283" s="0" t="n">
        <v>20171</v>
      </c>
      <c r="D283" s="0" t="n">
        <f aca="false">VLOOKUP(A283,[1]Worksheet!$A$2:$I$1049,4,0)</f>
        <v>21</v>
      </c>
      <c r="E283" s="0" t="n">
        <f aca="false">VLOOKUP(A283,[1]Worksheet!$A$2:$I$1049,5,0)</f>
        <v>3.31</v>
      </c>
      <c r="F283" s="0" t="n">
        <f aca="false">VLOOKUP(A283,[1]Worksheet!$A$2:$I$1049,6,0)</f>
        <v>111</v>
      </c>
      <c r="G283" s="0" t="n">
        <f aca="false">VLOOKUP(A283,[1]Worksheet!$A$2:$I$1049,7,0)</f>
        <v>3.45</v>
      </c>
      <c r="K283" s="0" t="n">
        <v>0</v>
      </c>
      <c r="M283" s="0" t="n">
        <f aca="false">D283*E283</f>
        <v>69.51</v>
      </c>
      <c r="N283" s="0" t="n">
        <f aca="false">F283*G283</f>
        <v>382.95</v>
      </c>
      <c r="P283" s="0" t="n">
        <f aca="false">K283+D283</f>
        <v>21</v>
      </c>
      <c r="Q283" s="0" t="n">
        <f aca="false">M283/P283</f>
        <v>3.31</v>
      </c>
      <c r="R283" s="0" t="n">
        <f aca="false">F283+K283</f>
        <v>111</v>
      </c>
      <c r="S283" s="0" t="n">
        <f aca="false">N283/R283</f>
        <v>3.45</v>
      </c>
    </row>
    <row r="284" customFormat="false" ht="15" hidden="false" customHeight="false" outlineLevel="0" collapsed="false">
      <c r="A284" s="0" t="s">
        <v>251</v>
      </c>
      <c r="B284" s="0" t="s">
        <v>252</v>
      </c>
      <c r="C284" s="0" t="n">
        <v>20171</v>
      </c>
      <c r="D284" s="0" t="n">
        <f aca="false">VLOOKUP(A284,[1]Worksheet!$A$2:$I$1049,4,0)</f>
        <v>24</v>
      </c>
      <c r="E284" s="0" t="n">
        <f aca="false">VLOOKUP(A284,[1]Worksheet!$A$2:$I$1049,5,0)</f>
        <v>3.13</v>
      </c>
      <c r="F284" s="0" t="n">
        <f aca="false">VLOOKUP(A284,[1]Worksheet!$A$2:$I$1049,6,0)</f>
        <v>107</v>
      </c>
      <c r="G284" s="0" t="n">
        <f aca="false">VLOOKUP(A284,[1]Worksheet!$A$2:$I$1049,7,0)</f>
        <v>3.18</v>
      </c>
      <c r="K284" s="0" t="n">
        <v>0</v>
      </c>
      <c r="M284" s="0" t="n">
        <f aca="false">D284*E284</f>
        <v>75.12</v>
      </c>
      <c r="N284" s="0" t="n">
        <f aca="false">F284*G284</f>
        <v>340.26</v>
      </c>
      <c r="P284" s="0" t="n">
        <f aca="false">K284+D284</f>
        <v>24</v>
      </c>
      <c r="Q284" s="0" t="n">
        <f aca="false">M284/P284</f>
        <v>3.13</v>
      </c>
      <c r="R284" s="0" t="n">
        <f aca="false">F284+K284</f>
        <v>107</v>
      </c>
      <c r="S284" s="0" t="n">
        <f aca="false">N284/R284</f>
        <v>3.18</v>
      </c>
    </row>
    <row r="285" customFormat="false" ht="15" hidden="false" customHeight="false" outlineLevel="0" collapsed="false">
      <c r="A285" s="0" t="s">
        <v>295</v>
      </c>
      <c r="B285" s="0" t="s">
        <v>296</v>
      </c>
      <c r="C285" s="0" t="n">
        <v>20171</v>
      </c>
      <c r="D285" s="0" t="n">
        <f aca="false">VLOOKUP(A285,[1]Worksheet!$A$2:$I$1049,4,0)</f>
        <v>22</v>
      </c>
      <c r="E285" s="0" t="n">
        <f aca="false">VLOOKUP(A285,[1]Worksheet!$A$2:$I$1049,5,0)</f>
        <v>2.77</v>
      </c>
      <c r="F285" s="0" t="n">
        <f aca="false">VLOOKUP(A285,[1]Worksheet!$A$2:$I$1049,6,0)</f>
        <v>110</v>
      </c>
      <c r="G285" s="0" t="n">
        <f aca="false">VLOOKUP(A285,[1]Worksheet!$A$2:$I$1049,7,0)</f>
        <v>3.1</v>
      </c>
      <c r="K285" s="0" t="n">
        <v>0</v>
      </c>
      <c r="M285" s="0" t="n">
        <f aca="false">D285*E285</f>
        <v>60.94</v>
      </c>
      <c r="N285" s="0" t="n">
        <f aca="false">F285*G285</f>
        <v>341</v>
      </c>
      <c r="P285" s="0" t="n">
        <f aca="false">K285+D285</f>
        <v>22</v>
      </c>
      <c r="Q285" s="0" t="n">
        <f aca="false">M285/P285</f>
        <v>2.77</v>
      </c>
      <c r="R285" s="0" t="n">
        <f aca="false">F285+K285</f>
        <v>110</v>
      </c>
      <c r="S285" s="0" t="n">
        <f aca="false">N285/R285</f>
        <v>3.1</v>
      </c>
    </row>
    <row r="286" customFormat="false" ht="15" hidden="false" customHeight="false" outlineLevel="0" collapsed="false">
      <c r="A286" s="0" t="s">
        <v>253</v>
      </c>
      <c r="B286" s="0" t="s">
        <v>254</v>
      </c>
      <c r="C286" s="0" t="n">
        <v>20171</v>
      </c>
      <c r="D286" s="0" t="n">
        <f aca="false">VLOOKUP(A286,[1]Worksheet!$A$2:$I$1049,4,0)</f>
        <v>21</v>
      </c>
      <c r="E286" s="0" t="n">
        <f aca="false">VLOOKUP(A286,[1]Worksheet!$A$2:$I$1049,5,0)</f>
        <v>3.57</v>
      </c>
      <c r="F286" s="0" t="n">
        <f aca="false">VLOOKUP(A286,[1]Worksheet!$A$2:$I$1049,6,0)</f>
        <v>111</v>
      </c>
      <c r="G286" s="0" t="n">
        <f aca="false">VLOOKUP(A286,[1]Worksheet!$A$2:$I$1049,7,0)</f>
        <v>3.59</v>
      </c>
      <c r="K286" s="0" t="n">
        <v>0</v>
      </c>
      <c r="M286" s="0" t="n">
        <f aca="false">D286*E286</f>
        <v>74.97</v>
      </c>
      <c r="N286" s="0" t="n">
        <f aca="false">F286*G286</f>
        <v>398.49</v>
      </c>
      <c r="P286" s="0" t="n">
        <f aca="false">K286+D286</f>
        <v>21</v>
      </c>
      <c r="Q286" s="0" t="n">
        <f aca="false">M286/P286</f>
        <v>3.57</v>
      </c>
      <c r="R286" s="0" t="n">
        <f aca="false">F286+K286</f>
        <v>111</v>
      </c>
      <c r="S286" s="0" t="n">
        <f aca="false">N286/R286</f>
        <v>3.59</v>
      </c>
    </row>
    <row r="287" customFormat="false" ht="15" hidden="false" customHeight="false" outlineLevel="0" collapsed="false">
      <c r="A287" s="0" t="s">
        <v>723</v>
      </c>
      <c r="B287" s="0" t="s">
        <v>724</v>
      </c>
      <c r="C287" s="0" t="n">
        <v>20171</v>
      </c>
      <c r="D287" s="0" t="n">
        <f aca="false">VLOOKUP(A287,[1]Worksheet!$A$2:$I$1049,4,0)</f>
        <v>21</v>
      </c>
      <c r="E287" s="0" t="n">
        <f aca="false">VLOOKUP(A287,[1]Worksheet!$A$2:$I$1049,5,0)</f>
        <v>2.98</v>
      </c>
      <c r="F287" s="0" t="n">
        <f aca="false">VLOOKUP(A287,[1]Worksheet!$A$2:$I$1049,6,0)</f>
        <v>108</v>
      </c>
      <c r="G287" s="0" t="n">
        <f aca="false">VLOOKUP(A287,[1]Worksheet!$A$2:$I$1049,7,0)</f>
        <v>2.85</v>
      </c>
      <c r="K287" s="0" t="n">
        <v>0</v>
      </c>
      <c r="M287" s="0" t="n">
        <f aca="false">D287*E287</f>
        <v>62.58</v>
      </c>
      <c r="N287" s="0" t="n">
        <f aca="false">F287*G287</f>
        <v>307.8</v>
      </c>
      <c r="P287" s="0" t="n">
        <f aca="false">K287+D287</f>
        <v>21</v>
      </c>
      <c r="Q287" s="0" t="n">
        <f aca="false">M287/P287</f>
        <v>2.98</v>
      </c>
      <c r="R287" s="0" t="n">
        <f aca="false">F287+K287</f>
        <v>108</v>
      </c>
      <c r="S287" s="0" t="n">
        <f aca="false">N287/R287</f>
        <v>2.85</v>
      </c>
    </row>
    <row r="288" customFormat="false" ht="15" hidden="false" customHeight="false" outlineLevel="0" collapsed="false">
      <c r="A288" s="0" t="s">
        <v>255</v>
      </c>
      <c r="B288" s="0" t="s">
        <v>256</v>
      </c>
      <c r="C288" s="0" t="n">
        <v>20171</v>
      </c>
      <c r="D288" s="0" t="n">
        <f aca="false">VLOOKUP(A288,[1]Worksheet!$A$2:$I$1049,4,0)</f>
        <v>24</v>
      </c>
      <c r="E288" s="0" t="n">
        <f aca="false">VLOOKUP(A288,[1]Worksheet!$A$2:$I$1049,5,0)</f>
        <v>3.06</v>
      </c>
      <c r="F288" s="0" t="n">
        <f aca="false">VLOOKUP(A288,[1]Worksheet!$A$2:$I$1049,6,0)</f>
        <v>111</v>
      </c>
      <c r="G288" s="0" t="n">
        <f aca="false">VLOOKUP(A288,[1]Worksheet!$A$2:$I$1049,7,0)</f>
        <v>3.34</v>
      </c>
      <c r="K288" s="0" t="n">
        <v>0</v>
      </c>
      <c r="M288" s="0" t="n">
        <f aca="false">D288*E288</f>
        <v>73.44</v>
      </c>
      <c r="N288" s="0" t="n">
        <f aca="false">F288*G288</f>
        <v>370.74</v>
      </c>
      <c r="P288" s="0" t="n">
        <f aca="false">K288+D288</f>
        <v>24</v>
      </c>
      <c r="Q288" s="0" t="n">
        <f aca="false">M288/P288</f>
        <v>3.06</v>
      </c>
      <c r="R288" s="0" t="n">
        <f aca="false">F288+K288</f>
        <v>111</v>
      </c>
      <c r="S288" s="0" t="n">
        <f aca="false">N288/R288</f>
        <v>3.34</v>
      </c>
    </row>
    <row r="289" customFormat="false" ht="15" hidden="false" customHeight="false" outlineLevel="0" collapsed="false">
      <c r="A289" s="0" t="s">
        <v>257</v>
      </c>
      <c r="B289" s="0" t="s">
        <v>258</v>
      </c>
      <c r="C289" s="0" t="n">
        <v>20171</v>
      </c>
      <c r="D289" s="0" t="n">
        <f aca="false">VLOOKUP(A289,[1]Worksheet!$A$2:$I$1049,4,0)</f>
        <v>21</v>
      </c>
      <c r="E289" s="0" t="n">
        <f aca="false">VLOOKUP(A289,[1]Worksheet!$A$2:$I$1049,5,0)</f>
        <v>3.07</v>
      </c>
      <c r="F289" s="0" t="n">
        <f aca="false">VLOOKUP(A289,[1]Worksheet!$A$2:$I$1049,6,0)</f>
        <v>111</v>
      </c>
      <c r="G289" s="0" t="n">
        <f aca="false">VLOOKUP(A289,[1]Worksheet!$A$2:$I$1049,7,0)</f>
        <v>3.07</v>
      </c>
      <c r="K289" s="0" t="n">
        <v>0</v>
      </c>
      <c r="M289" s="0" t="n">
        <f aca="false">D289*E289</f>
        <v>64.47</v>
      </c>
      <c r="N289" s="0" t="n">
        <f aca="false">F289*G289</f>
        <v>340.77</v>
      </c>
      <c r="P289" s="0" t="n">
        <f aca="false">K289+D289</f>
        <v>21</v>
      </c>
      <c r="Q289" s="0" t="n">
        <f aca="false">M289/P289</f>
        <v>3.07</v>
      </c>
      <c r="R289" s="0" t="n">
        <f aca="false">F289+K289</f>
        <v>111</v>
      </c>
      <c r="S289" s="0" t="n">
        <f aca="false">N289/R289</f>
        <v>3.07</v>
      </c>
    </row>
    <row r="290" customFormat="false" ht="15" hidden="false" customHeight="false" outlineLevel="0" collapsed="false">
      <c r="A290" s="0" t="s">
        <v>549</v>
      </c>
      <c r="B290" s="0" t="s">
        <v>550</v>
      </c>
      <c r="C290" s="0" t="n">
        <v>20171</v>
      </c>
      <c r="D290" s="0" t="n">
        <f aca="false">VLOOKUP(A290,[1]Worksheet!$A$2:$I$1049,4,0)</f>
        <v>21</v>
      </c>
      <c r="E290" s="0" t="n">
        <f aca="false">VLOOKUP(A290,[1]Worksheet!$A$2:$I$1049,5,0)</f>
        <v>3.26</v>
      </c>
      <c r="F290" s="0" t="n">
        <f aca="false">VLOOKUP(A290,[1]Worksheet!$A$2:$I$1049,6,0)</f>
        <v>108</v>
      </c>
      <c r="G290" s="0" t="n">
        <f aca="false">VLOOKUP(A290,[1]Worksheet!$A$2:$I$1049,7,0)</f>
        <v>2.99</v>
      </c>
      <c r="K290" s="0" t="n">
        <v>2</v>
      </c>
      <c r="M290" s="0" t="n">
        <f aca="false">D290*E290</f>
        <v>68.46</v>
      </c>
      <c r="N290" s="0" t="n">
        <f aca="false">F290*G290</f>
        <v>322.92</v>
      </c>
      <c r="P290" s="0" t="n">
        <f aca="false">K290+D290</f>
        <v>23</v>
      </c>
      <c r="Q290" s="0" t="n">
        <f aca="false">M290/P290</f>
        <v>2.97652173913043</v>
      </c>
      <c r="R290" s="0" t="n">
        <f aca="false">F290+K290</f>
        <v>110</v>
      </c>
      <c r="S290" s="0" t="n">
        <f aca="false">N290/R290</f>
        <v>2.93563636363636</v>
      </c>
    </row>
    <row r="291" customFormat="false" ht="15" hidden="false" customHeight="false" outlineLevel="0" collapsed="false">
      <c r="A291" s="0" t="s">
        <v>725</v>
      </c>
      <c r="B291" s="0" t="s">
        <v>726</v>
      </c>
      <c r="C291" s="0" t="n">
        <v>20171</v>
      </c>
      <c r="D291" s="0" t="n">
        <f aca="false">VLOOKUP(A291,[1]Worksheet!$A$2:$I$1049,4,0)</f>
        <v>24</v>
      </c>
      <c r="E291" s="0" t="n">
        <f aca="false">VLOOKUP(A291,[1]Worksheet!$A$2:$I$1049,5,0)</f>
        <v>3.1</v>
      </c>
      <c r="F291" s="0" t="n">
        <f aca="false">VLOOKUP(A291,[1]Worksheet!$A$2:$I$1049,6,0)</f>
        <v>112</v>
      </c>
      <c r="G291" s="0" t="n">
        <f aca="false">VLOOKUP(A291,[1]Worksheet!$A$2:$I$1049,7,0)</f>
        <v>3.29</v>
      </c>
      <c r="K291" s="0" t="n">
        <v>0</v>
      </c>
      <c r="M291" s="0" t="n">
        <f aca="false">D291*E291</f>
        <v>74.4</v>
      </c>
      <c r="N291" s="0" t="n">
        <f aca="false">F291*G291</f>
        <v>368.48</v>
      </c>
      <c r="P291" s="0" t="n">
        <f aca="false">K291+D291</f>
        <v>24</v>
      </c>
      <c r="Q291" s="0" t="n">
        <f aca="false">M291/P291</f>
        <v>3.1</v>
      </c>
      <c r="R291" s="0" t="n">
        <f aca="false">F291+K291</f>
        <v>112</v>
      </c>
      <c r="S291" s="0" t="n">
        <f aca="false">N291/R291</f>
        <v>3.29</v>
      </c>
    </row>
    <row r="292" customFormat="false" ht="15" hidden="false" customHeight="false" outlineLevel="0" collapsed="false">
      <c r="A292" s="0" t="s">
        <v>297</v>
      </c>
      <c r="B292" s="0" t="s">
        <v>298</v>
      </c>
      <c r="C292" s="0" t="n">
        <v>20171</v>
      </c>
      <c r="D292" s="0" t="n">
        <f aca="false">VLOOKUP(A292,[1]Worksheet!$A$2:$I$1049,4,0)</f>
        <v>23</v>
      </c>
      <c r="E292" s="0" t="n">
        <f aca="false">VLOOKUP(A292,[1]Worksheet!$A$2:$I$1049,5,0)</f>
        <v>3.07</v>
      </c>
      <c r="F292" s="0" t="n">
        <f aca="false">VLOOKUP(A292,[1]Worksheet!$A$2:$I$1049,6,0)</f>
        <v>104</v>
      </c>
      <c r="G292" s="0" t="n">
        <f aca="false">VLOOKUP(A292,[1]Worksheet!$A$2:$I$1049,7,0)</f>
        <v>2.98</v>
      </c>
      <c r="K292" s="0" t="n">
        <v>0</v>
      </c>
      <c r="M292" s="0" t="n">
        <f aca="false">D292*E292</f>
        <v>70.61</v>
      </c>
      <c r="N292" s="0" t="n">
        <f aca="false">F292*G292</f>
        <v>309.92</v>
      </c>
      <c r="P292" s="0" t="n">
        <f aca="false">K292+D292</f>
        <v>23</v>
      </c>
      <c r="Q292" s="0" t="n">
        <f aca="false">M292/P292</f>
        <v>3.07</v>
      </c>
      <c r="R292" s="0" t="n">
        <f aca="false">F292+K292</f>
        <v>104</v>
      </c>
      <c r="S292" s="0" t="n">
        <f aca="false">N292/R292</f>
        <v>2.98</v>
      </c>
    </row>
    <row r="293" customFormat="false" ht="15" hidden="false" customHeight="false" outlineLevel="0" collapsed="false">
      <c r="A293" s="0" t="s">
        <v>24</v>
      </c>
      <c r="B293" s="0" t="s">
        <v>25</v>
      </c>
      <c r="C293" s="0" t="n">
        <v>20171</v>
      </c>
      <c r="D293" s="0" t="n">
        <f aca="false">VLOOKUP(A293,[1]Worksheet!$A$2:$I$1049,4,0)</f>
        <v>21</v>
      </c>
      <c r="E293" s="0" t="n">
        <f aca="false">VLOOKUP(A293,[1]Worksheet!$A$2:$I$1049,5,0)</f>
        <v>3.17</v>
      </c>
      <c r="F293" s="0" t="n">
        <f aca="false">VLOOKUP(A293,[1]Worksheet!$A$2:$I$1049,6,0)</f>
        <v>62</v>
      </c>
      <c r="G293" s="0" t="n">
        <f aca="false">VLOOKUP(A293,[1]Worksheet!$A$2:$I$1049,7,0)</f>
        <v>3.35</v>
      </c>
      <c r="K293" s="0" t="n">
        <v>0</v>
      </c>
      <c r="M293" s="0" t="n">
        <f aca="false">D293*E293</f>
        <v>66.57</v>
      </c>
      <c r="N293" s="0" t="n">
        <f aca="false">F293*G293</f>
        <v>207.7</v>
      </c>
      <c r="P293" s="0" t="n">
        <f aca="false">K293+D293</f>
        <v>21</v>
      </c>
      <c r="Q293" s="0" t="n">
        <f aca="false">M293/P293</f>
        <v>3.17</v>
      </c>
      <c r="R293" s="0" t="n">
        <f aca="false">F293+K293</f>
        <v>62</v>
      </c>
      <c r="S293" s="0" t="n">
        <f aca="false">N293/R293</f>
        <v>3.35</v>
      </c>
    </row>
    <row r="294" customFormat="false" ht="15" hidden="false" customHeight="false" outlineLevel="0" collapsed="false">
      <c r="A294" s="0" t="s">
        <v>116</v>
      </c>
      <c r="B294" s="0" t="s">
        <v>117</v>
      </c>
      <c r="C294" s="0" t="n">
        <v>20171</v>
      </c>
      <c r="D294" s="0" t="n">
        <f aca="false">VLOOKUP(A294,[1]Worksheet!$A$2:$I$1049,4,0)</f>
        <v>18</v>
      </c>
      <c r="E294" s="0" t="n">
        <f aca="false">VLOOKUP(A294,[1]Worksheet!$A$2:$I$1049,5,0)</f>
        <v>2.92</v>
      </c>
      <c r="F294" s="0" t="n">
        <f aca="false">VLOOKUP(A294,[1]Worksheet!$A$2:$I$1049,6,0)</f>
        <v>59</v>
      </c>
      <c r="G294" s="0" t="n">
        <f aca="false">VLOOKUP(A294,[1]Worksheet!$A$2:$I$1049,7,0)</f>
        <v>2.89</v>
      </c>
      <c r="K294" s="0" t="n">
        <v>0</v>
      </c>
      <c r="M294" s="0" t="n">
        <f aca="false">D294*E294</f>
        <v>52.56</v>
      </c>
      <c r="N294" s="0" t="n">
        <f aca="false">F294*G294</f>
        <v>170.51</v>
      </c>
      <c r="P294" s="0" t="n">
        <f aca="false">K294+D294</f>
        <v>18</v>
      </c>
      <c r="Q294" s="0" t="n">
        <f aca="false">M294/P294</f>
        <v>2.92</v>
      </c>
      <c r="R294" s="0" t="n">
        <f aca="false">F294+K294</f>
        <v>59</v>
      </c>
      <c r="S294" s="0" t="n">
        <f aca="false">N294/R294</f>
        <v>2.89</v>
      </c>
    </row>
    <row r="295" customFormat="false" ht="15" hidden="false" customHeight="false" outlineLevel="0" collapsed="false">
      <c r="A295" s="0" t="s">
        <v>26</v>
      </c>
      <c r="B295" s="0" t="s">
        <v>27</v>
      </c>
      <c r="C295" s="0" t="n">
        <v>20171</v>
      </c>
      <c r="D295" s="0" t="n">
        <f aca="false">VLOOKUP(A295,[1]Worksheet!$A$2:$I$1049,4,0)</f>
        <v>21</v>
      </c>
      <c r="E295" s="0" t="n">
        <f aca="false">VLOOKUP(A295,[1]Worksheet!$A$2:$I$1049,5,0)</f>
        <v>2.98</v>
      </c>
      <c r="F295" s="0" t="n">
        <f aca="false">VLOOKUP(A295,[1]Worksheet!$A$2:$I$1049,6,0)</f>
        <v>62</v>
      </c>
      <c r="G295" s="0" t="n">
        <f aca="false">VLOOKUP(A295,[1]Worksheet!$A$2:$I$1049,7,0)</f>
        <v>3.05</v>
      </c>
      <c r="K295" s="0" t="n">
        <v>0</v>
      </c>
      <c r="M295" s="0" t="n">
        <f aca="false">D295*E295</f>
        <v>62.58</v>
      </c>
      <c r="N295" s="0" t="n">
        <f aca="false">F295*G295</f>
        <v>189.1</v>
      </c>
      <c r="P295" s="0" t="n">
        <f aca="false">K295+D295</f>
        <v>21</v>
      </c>
      <c r="Q295" s="0" t="n">
        <f aca="false">M295/P295</f>
        <v>2.98</v>
      </c>
      <c r="R295" s="0" t="n">
        <f aca="false">F295+K295</f>
        <v>62</v>
      </c>
      <c r="S295" s="0" t="n">
        <f aca="false">N295/R295</f>
        <v>3.05</v>
      </c>
    </row>
    <row r="296" customFormat="false" ht="15" hidden="false" customHeight="false" outlineLevel="0" collapsed="false">
      <c r="A296" s="0" t="s">
        <v>118</v>
      </c>
      <c r="B296" s="0" t="s">
        <v>119</v>
      </c>
      <c r="C296" s="0" t="n">
        <v>20171</v>
      </c>
      <c r="D296" s="0" t="n">
        <f aca="false">VLOOKUP(A296,[1]Worksheet!$A$2:$I$1049,4,0)</f>
        <v>21</v>
      </c>
      <c r="E296" s="0" t="n">
        <f aca="false">VLOOKUP(A296,[1]Worksheet!$A$2:$I$1049,5,0)</f>
        <v>3.24</v>
      </c>
      <c r="F296" s="0" t="n">
        <f aca="false">VLOOKUP(A296,[1]Worksheet!$A$2:$I$1049,6,0)</f>
        <v>62</v>
      </c>
      <c r="G296" s="0" t="n">
        <f aca="false">VLOOKUP(A296,[1]Worksheet!$A$2:$I$1049,7,0)</f>
        <v>3.19</v>
      </c>
      <c r="K296" s="0" t="n">
        <v>0</v>
      </c>
      <c r="M296" s="0" t="n">
        <f aca="false">D296*E296</f>
        <v>68.04</v>
      </c>
      <c r="N296" s="0" t="n">
        <f aca="false">F296*G296</f>
        <v>197.78</v>
      </c>
      <c r="P296" s="0" t="n">
        <f aca="false">K296+D296</f>
        <v>21</v>
      </c>
      <c r="Q296" s="0" t="n">
        <f aca="false">M296/P296</f>
        <v>3.24</v>
      </c>
      <c r="R296" s="0" t="n">
        <f aca="false">F296+K296</f>
        <v>62</v>
      </c>
      <c r="S296" s="0" t="n">
        <f aca="false">N296/R296</f>
        <v>3.19</v>
      </c>
    </row>
    <row r="297" customFormat="false" ht="15" hidden="false" customHeight="false" outlineLevel="0" collapsed="false">
      <c r="A297" s="0" t="s">
        <v>28</v>
      </c>
      <c r="B297" s="0" t="s">
        <v>29</v>
      </c>
      <c r="C297" s="0" t="n">
        <v>20171</v>
      </c>
      <c r="D297" s="0" t="n">
        <f aca="false">VLOOKUP(A297,[1]Worksheet!$A$2:$I$1049,4,0)</f>
        <v>21</v>
      </c>
      <c r="E297" s="0" t="n">
        <f aca="false">VLOOKUP(A297,[1]Worksheet!$A$2:$I$1049,5,0)</f>
        <v>1.29</v>
      </c>
      <c r="F297" s="0" t="n">
        <f aca="false">VLOOKUP(A297,[1]Worksheet!$A$2:$I$1049,6,0)</f>
        <v>62</v>
      </c>
      <c r="G297" s="0" t="n">
        <f aca="false">VLOOKUP(A297,[1]Worksheet!$A$2:$I$1049,7,0)</f>
        <v>1.9</v>
      </c>
      <c r="K297" s="0" t="n">
        <v>0</v>
      </c>
      <c r="M297" s="0" t="n">
        <f aca="false">D297*E297</f>
        <v>27.09</v>
      </c>
      <c r="N297" s="0" t="n">
        <f aca="false">F297*G297</f>
        <v>117.8</v>
      </c>
      <c r="P297" s="0" t="n">
        <f aca="false">K297+D297</f>
        <v>21</v>
      </c>
      <c r="Q297" s="0" t="n">
        <f aca="false">M297/P297</f>
        <v>1.29</v>
      </c>
      <c r="R297" s="0" t="n">
        <f aca="false">F297+K297</f>
        <v>62</v>
      </c>
      <c r="S297" s="0" t="n">
        <f aca="false">N297/R297</f>
        <v>1.9</v>
      </c>
    </row>
    <row r="298" customFormat="false" ht="15" hidden="false" customHeight="false" outlineLevel="0" collapsed="false">
      <c r="A298" s="0" t="s">
        <v>120</v>
      </c>
      <c r="B298" s="0" t="s">
        <v>121</v>
      </c>
      <c r="C298" s="0" t="n">
        <v>20171</v>
      </c>
      <c r="D298" s="0" t="n">
        <f aca="false">VLOOKUP(A298,[1]Worksheet!$A$2:$I$1049,4,0)</f>
        <v>21</v>
      </c>
      <c r="E298" s="0" t="n">
        <f aca="false">VLOOKUP(A298,[1]Worksheet!$A$2:$I$1049,5,0)</f>
        <v>2.45</v>
      </c>
      <c r="F298" s="0" t="n">
        <f aca="false">VLOOKUP(A298,[1]Worksheet!$A$2:$I$1049,6,0)</f>
        <v>64</v>
      </c>
      <c r="G298" s="0" t="n">
        <f aca="false">VLOOKUP(A298,[1]Worksheet!$A$2:$I$1049,7,0)</f>
        <v>2.69</v>
      </c>
      <c r="K298" s="0" t="n">
        <v>0</v>
      </c>
      <c r="M298" s="0" t="n">
        <f aca="false">D298*E298</f>
        <v>51.45</v>
      </c>
      <c r="N298" s="0" t="n">
        <f aca="false">F298*G298</f>
        <v>172.16</v>
      </c>
      <c r="P298" s="0" t="n">
        <f aca="false">K298+D298</f>
        <v>21</v>
      </c>
      <c r="Q298" s="0" t="n">
        <f aca="false">M298/P298</f>
        <v>2.45</v>
      </c>
      <c r="R298" s="0" t="n">
        <f aca="false">F298+K298</f>
        <v>64</v>
      </c>
      <c r="S298" s="0" t="n">
        <f aca="false">N298/R298</f>
        <v>2.69</v>
      </c>
    </row>
    <row r="299" customFormat="false" ht="15" hidden="false" customHeight="false" outlineLevel="0" collapsed="false">
      <c r="A299" s="0" t="s">
        <v>31</v>
      </c>
      <c r="B299" s="0" t="s">
        <v>32</v>
      </c>
      <c r="C299" s="0" t="n">
        <v>20171</v>
      </c>
      <c r="D299" s="0" t="n">
        <f aca="false">VLOOKUP(A299,[1]Worksheet!$A$2:$I$1049,4,0)</f>
        <v>21</v>
      </c>
      <c r="E299" s="0" t="n">
        <f aca="false">VLOOKUP(A299,[1]Worksheet!$A$2:$I$1049,5,0)</f>
        <v>2.21</v>
      </c>
      <c r="F299" s="0" t="n">
        <f aca="false">VLOOKUP(A299,[1]Worksheet!$A$2:$I$1049,6,0)</f>
        <v>62</v>
      </c>
      <c r="G299" s="0" t="n">
        <f aca="false">VLOOKUP(A299,[1]Worksheet!$A$2:$I$1049,7,0)</f>
        <v>2.76</v>
      </c>
      <c r="K299" s="0" t="n">
        <v>0</v>
      </c>
      <c r="M299" s="0" t="n">
        <f aca="false">D299*E299</f>
        <v>46.41</v>
      </c>
      <c r="N299" s="0" t="n">
        <f aca="false">F299*G299</f>
        <v>171.12</v>
      </c>
      <c r="P299" s="0" t="n">
        <f aca="false">K299+D299</f>
        <v>21</v>
      </c>
      <c r="Q299" s="0" t="n">
        <f aca="false">M299/P299</f>
        <v>2.21</v>
      </c>
      <c r="R299" s="0" t="n">
        <f aca="false">F299+K299</f>
        <v>62</v>
      </c>
      <c r="S299" s="0" t="n">
        <f aca="false">N299/R299</f>
        <v>2.76</v>
      </c>
    </row>
    <row r="300" customFormat="false" ht="15" hidden="false" customHeight="false" outlineLevel="0" collapsed="false">
      <c r="A300" s="0" t="s">
        <v>122</v>
      </c>
      <c r="B300" s="0" t="s">
        <v>123</v>
      </c>
      <c r="C300" s="0" t="n">
        <v>20171</v>
      </c>
      <c r="D300" s="0" t="n">
        <f aca="false">VLOOKUP(A300,[1]Worksheet!$A$2:$I$1049,4,0)</f>
        <v>18</v>
      </c>
      <c r="E300" s="0" t="n">
        <f aca="false">VLOOKUP(A300,[1]Worksheet!$A$2:$I$1049,5,0)</f>
        <v>0</v>
      </c>
      <c r="F300" s="0" t="n">
        <f aca="false">VLOOKUP(A300,[1]Worksheet!$A$2:$I$1049,6,0)</f>
        <v>59</v>
      </c>
      <c r="G300" s="0" t="n">
        <f aca="false">VLOOKUP(A300,[1]Worksheet!$A$2:$I$1049,7,0)</f>
        <v>1.71</v>
      </c>
      <c r="K300" s="0" t="n">
        <v>0</v>
      </c>
      <c r="M300" s="0" t="n">
        <f aca="false">D300*E300</f>
        <v>0</v>
      </c>
      <c r="N300" s="0" t="n">
        <f aca="false">F300*G300</f>
        <v>100.89</v>
      </c>
      <c r="P300" s="0" t="n">
        <f aca="false">K300+D300</f>
        <v>18</v>
      </c>
      <c r="Q300" s="0" t="n">
        <f aca="false">M300/P300</f>
        <v>0</v>
      </c>
      <c r="R300" s="0" t="n">
        <f aca="false">F300+K300</f>
        <v>59</v>
      </c>
      <c r="S300" s="0" t="n">
        <f aca="false">N300/R300</f>
        <v>1.71</v>
      </c>
    </row>
    <row r="301" customFormat="false" ht="15" hidden="false" customHeight="false" outlineLevel="0" collapsed="false">
      <c r="A301" s="0" t="s">
        <v>33</v>
      </c>
      <c r="B301" s="0" t="s">
        <v>34</v>
      </c>
      <c r="C301" s="0" t="n">
        <v>20171</v>
      </c>
      <c r="D301" s="0" t="n">
        <f aca="false">VLOOKUP(A301,[1]Worksheet!$A$2:$I$1049,4,0)</f>
        <v>11</v>
      </c>
      <c r="E301" s="0" t="n">
        <f aca="false">VLOOKUP(A301,[1]Worksheet!$A$2:$I$1049,5,0)</f>
        <v>2.64</v>
      </c>
      <c r="F301" s="0" t="n">
        <f aca="false">VLOOKUP(A301,[1]Worksheet!$A$2:$I$1049,6,0)</f>
        <v>52</v>
      </c>
      <c r="G301" s="0" t="n">
        <f aca="false">VLOOKUP(A301,[1]Worksheet!$A$2:$I$1049,7,0)</f>
        <v>1.76</v>
      </c>
      <c r="K301" s="0" t="n">
        <v>0</v>
      </c>
      <c r="M301" s="0" t="n">
        <f aca="false">D301*E301</f>
        <v>29.04</v>
      </c>
      <c r="N301" s="0" t="n">
        <f aca="false">F301*G301</f>
        <v>91.52</v>
      </c>
      <c r="P301" s="0" t="n">
        <f aca="false">K301+D301</f>
        <v>11</v>
      </c>
      <c r="Q301" s="0" t="n">
        <f aca="false">M301/P301</f>
        <v>2.64</v>
      </c>
      <c r="R301" s="0" t="n">
        <f aca="false">F301+K301</f>
        <v>52</v>
      </c>
      <c r="S301" s="0" t="n">
        <f aca="false">N301/R301</f>
        <v>1.76</v>
      </c>
    </row>
    <row r="302" customFormat="false" ht="15" hidden="false" customHeight="false" outlineLevel="0" collapsed="false">
      <c r="A302" s="0" t="s">
        <v>125</v>
      </c>
      <c r="B302" s="0" t="s">
        <v>126</v>
      </c>
      <c r="C302" s="0" t="n">
        <v>20171</v>
      </c>
      <c r="D302" s="0" t="n">
        <f aca="false">VLOOKUP(A302,[1]Worksheet!$A$2:$I$1049,4,0)</f>
        <v>21</v>
      </c>
      <c r="E302" s="0" t="n">
        <f aca="false">VLOOKUP(A302,[1]Worksheet!$A$2:$I$1049,5,0)</f>
        <v>1.95</v>
      </c>
      <c r="F302" s="0" t="n">
        <f aca="false">VLOOKUP(A302,[1]Worksheet!$A$2:$I$1049,6,0)</f>
        <v>64</v>
      </c>
      <c r="G302" s="0" t="n">
        <f aca="false">VLOOKUP(A302,[1]Worksheet!$A$2:$I$1049,7,0)</f>
        <v>2.47</v>
      </c>
      <c r="K302" s="0" t="n">
        <v>0</v>
      </c>
      <c r="M302" s="0" t="n">
        <f aca="false">D302*E302</f>
        <v>40.95</v>
      </c>
      <c r="N302" s="0" t="n">
        <f aca="false">F302*G302</f>
        <v>158.08</v>
      </c>
      <c r="P302" s="0" t="n">
        <f aca="false">K302+D302</f>
        <v>21</v>
      </c>
      <c r="Q302" s="0" t="n">
        <f aca="false">M302/P302</f>
        <v>1.95</v>
      </c>
      <c r="R302" s="0" t="n">
        <f aca="false">F302+K302</f>
        <v>64</v>
      </c>
      <c r="S302" s="0" t="n">
        <f aca="false">N302/R302</f>
        <v>2.47</v>
      </c>
    </row>
    <row r="303" customFormat="false" ht="15" hidden="false" customHeight="false" outlineLevel="0" collapsed="false">
      <c r="A303" s="0" t="s">
        <v>35</v>
      </c>
      <c r="B303" s="0" t="s">
        <v>36</v>
      </c>
      <c r="C303" s="0" t="n">
        <v>20171</v>
      </c>
      <c r="D303" s="0" t="n">
        <f aca="false">VLOOKUP(A303,[1]Worksheet!$A$2:$I$1049,4,0)</f>
        <v>21</v>
      </c>
      <c r="E303" s="0" t="n">
        <f aca="false">VLOOKUP(A303,[1]Worksheet!$A$2:$I$1049,5,0)</f>
        <v>2.79</v>
      </c>
      <c r="F303" s="0" t="n">
        <f aca="false">VLOOKUP(A303,[1]Worksheet!$A$2:$I$1049,6,0)</f>
        <v>62</v>
      </c>
      <c r="G303" s="0" t="n">
        <f aca="false">VLOOKUP(A303,[1]Worksheet!$A$2:$I$1049,7,0)</f>
        <v>2.87</v>
      </c>
      <c r="K303" s="0" t="n">
        <v>0</v>
      </c>
      <c r="M303" s="0" t="n">
        <f aca="false">D303*E303</f>
        <v>58.59</v>
      </c>
      <c r="N303" s="0" t="n">
        <f aca="false">F303*G303</f>
        <v>177.94</v>
      </c>
      <c r="P303" s="0" t="n">
        <f aca="false">K303+D303</f>
        <v>21</v>
      </c>
      <c r="Q303" s="0" t="n">
        <f aca="false">M303/P303</f>
        <v>2.79</v>
      </c>
      <c r="R303" s="0" t="n">
        <f aca="false">F303+K303</f>
        <v>62</v>
      </c>
      <c r="S303" s="0" t="n">
        <f aca="false">N303/R303</f>
        <v>2.87</v>
      </c>
    </row>
    <row r="304" customFormat="false" ht="15" hidden="false" customHeight="false" outlineLevel="0" collapsed="false">
      <c r="A304" s="0" t="s">
        <v>128</v>
      </c>
      <c r="B304" s="0" t="s">
        <v>129</v>
      </c>
      <c r="C304" s="0" t="n">
        <v>20171</v>
      </c>
      <c r="D304" s="0" t="n">
        <f aca="false">VLOOKUP(A304,[1]Worksheet!$A$2:$I$1049,4,0)</f>
        <v>23</v>
      </c>
      <c r="E304" s="0" t="n">
        <f aca="false">VLOOKUP(A304,[1]Worksheet!$A$2:$I$1049,5,0)</f>
        <v>3.07</v>
      </c>
      <c r="F304" s="0" t="n">
        <f aca="false">VLOOKUP(A304,[1]Worksheet!$A$2:$I$1049,6,0)</f>
        <v>66</v>
      </c>
      <c r="G304" s="0" t="n">
        <f aca="false">VLOOKUP(A304,[1]Worksheet!$A$2:$I$1049,7,0)</f>
        <v>3.17</v>
      </c>
      <c r="K304" s="0" t="n">
        <v>0</v>
      </c>
      <c r="M304" s="0" t="n">
        <f aca="false">D304*E304</f>
        <v>70.61</v>
      </c>
      <c r="N304" s="0" t="n">
        <f aca="false">F304*G304</f>
        <v>209.22</v>
      </c>
      <c r="P304" s="0" t="n">
        <f aca="false">K304+D304</f>
        <v>23</v>
      </c>
      <c r="Q304" s="0" t="n">
        <f aca="false">M304/P304</f>
        <v>3.07</v>
      </c>
      <c r="R304" s="0" t="n">
        <f aca="false">F304+K304</f>
        <v>66</v>
      </c>
      <c r="S304" s="0" t="n">
        <f aca="false">N304/R304</f>
        <v>3.17</v>
      </c>
    </row>
    <row r="305" customFormat="false" ht="15" hidden="false" customHeight="false" outlineLevel="0" collapsed="false">
      <c r="A305" s="0" t="s">
        <v>37</v>
      </c>
      <c r="B305" s="0" t="s">
        <v>38</v>
      </c>
      <c r="C305" s="0" t="n">
        <v>20171</v>
      </c>
      <c r="D305" s="0" t="n">
        <f aca="false">VLOOKUP(A305,[1]Worksheet!$A$2:$I$1049,4,0)</f>
        <v>21</v>
      </c>
      <c r="E305" s="0" t="n">
        <f aca="false">VLOOKUP(A305,[1]Worksheet!$A$2:$I$1049,5,0)</f>
        <v>2.4</v>
      </c>
      <c r="F305" s="0" t="n">
        <f aca="false">VLOOKUP(A305,[1]Worksheet!$A$2:$I$1049,6,0)</f>
        <v>62</v>
      </c>
      <c r="G305" s="0" t="n">
        <f aca="false">VLOOKUP(A305,[1]Worksheet!$A$2:$I$1049,7,0)</f>
        <v>2.77</v>
      </c>
      <c r="K305" s="0" t="n">
        <v>0</v>
      </c>
      <c r="M305" s="0" t="n">
        <f aca="false">D305*E305</f>
        <v>50.4</v>
      </c>
      <c r="N305" s="0" t="n">
        <f aca="false">F305*G305</f>
        <v>171.74</v>
      </c>
      <c r="P305" s="0" t="n">
        <f aca="false">K305+D305</f>
        <v>21</v>
      </c>
      <c r="Q305" s="0" t="n">
        <f aca="false">M305/P305</f>
        <v>2.4</v>
      </c>
      <c r="R305" s="0" t="n">
        <f aca="false">F305+K305</f>
        <v>62</v>
      </c>
      <c r="S305" s="0" t="n">
        <f aca="false">N305/R305</f>
        <v>2.77</v>
      </c>
    </row>
    <row r="306" customFormat="false" ht="15" hidden="false" customHeight="false" outlineLevel="0" collapsed="false">
      <c r="A306" s="0" t="s">
        <v>579</v>
      </c>
      <c r="B306" s="0" t="s">
        <v>580</v>
      </c>
      <c r="C306" s="0" t="n">
        <v>20171</v>
      </c>
      <c r="D306" s="0" t="n">
        <f aca="false">VLOOKUP(A306,[1]Worksheet!$A$2:$I$1049,4,0)</f>
        <v>16</v>
      </c>
      <c r="E306" s="0" t="n">
        <f aca="false">VLOOKUP(A306,[1]Worksheet!$A$2:$I$1049,5,0)</f>
        <v>1.69</v>
      </c>
      <c r="F306" s="0" t="n">
        <f aca="false">VLOOKUP(A306,[1]Worksheet!$A$2:$I$1049,6,0)</f>
        <v>57</v>
      </c>
      <c r="G306" s="0" t="n">
        <f aca="false">VLOOKUP(A306,[1]Worksheet!$A$2:$I$1049,7,0)</f>
        <v>2.15</v>
      </c>
      <c r="K306" s="0" t="n">
        <v>0</v>
      </c>
      <c r="M306" s="0" t="n">
        <f aca="false">D306*E306</f>
        <v>27.04</v>
      </c>
      <c r="N306" s="0" t="n">
        <f aca="false">F306*G306</f>
        <v>122.55</v>
      </c>
      <c r="P306" s="0" t="n">
        <f aca="false">K306+D306</f>
        <v>16</v>
      </c>
      <c r="Q306" s="0" t="n">
        <f aca="false">M306/P306</f>
        <v>1.69</v>
      </c>
      <c r="R306" s="0" t="n">
        <f aca="false">F306+K306</f>
        <v>57</v>
      </c>
      <c r="S306" s="0" t="n">
        <f aca="false">N306/R306</f>
        <v>2.15</v>
      </c>
    </row>
    <row r="307" customFormat="false" ht="15" hidden="false" customHeight="false" outlineLevel="0" collapsed="false">
      <c r="A307" s="0" t="s">
        <v>39</v>
      </c>
      <c r="B307" s="0" t="s">
        <v>40</v>
      </c>
      <c r="C307" s="0" t="n">
        <v>20171</v>
      </c>
      <c r="D307" s="0" t="n">
        <f aca="false">VLOOKUP(A307,[1]Worksheet!$A$2:$I$1049,4,0)</f>
        <v>21</v>
      </c>
      <c r="E307" s="0" t="n">
        <f aca="false">VLOOKUP(A307,[1]Worksheet!$A$2:$I$1049,5,0)</f>
        <v>3.24</v>
      </c>
      <c r="F307" s="0" t="n">
        <f aca="false">VLOOKUP(A307,[1]Worksheet!$A$2:$I$1049,6,0)</f>
        <v>64</v>
      </c>
      <c r="G307" s="0" t="n">
        <f aca="false">VLOOKUP(A307,[1]Worksheet!$A$2:$I$1049,7,0)</f>
        <v>3.37</v>
      </c>
      <c r="K307" s="0" t="n">
        <v>0</v>
      </c>
      <c r="M307" s="0" t="n">
        <f aca="false">D307*E307</f>
        <v>68.04</v>
      </c>
      <c r="N307" s="0" t="n">
        <f aca="false">F307*G307</f>
        <v>215.68</v>
      </c>
      <c r="P307" s="0" t="n">
        <f aca="false">K307+D307</f>
        <v>21</v>
      </c>
      <c r="Q307" s="0" t="n">
        <f aca="false">M307/P307</f>
        <v>3.24</v>
      </c>
      <c r="R307" s="0" t="n">
        <f aca="false">F307+K307</f>
        <v>64</v>
      </c>
      <c r="S307" s="0" t="n">
        <f aca="false">N307/R307</f>
        <v>3.37</v>
      </c>
    </row>
    <row r="308" customFormat="false" ht="15" hidden="false" customHeight="false" outlineLevel="0" collapsed="false">
      <c r="A308" s="0" t="s">
        <v>130</v>
      </c>
      <c r="B308" s="0" t="s">
        <v>131</v>
      </c>
      <c r="C308" s="0" t="n">
        <v>20171</v>
      </c>
      <c r="D308" s="0" t="n">
        <f aca="false">VLOOKUP(A308,[1]Worksheet!$A$2:$I$1049,4,0)</f>
        <v>21</v>
      </c>
      <c r="E308" s="0" t="n">
        <f aca="false">VLOOKUP(A308,[1]Worksheet!$A$2:$I$1049,5,0)</f>
        <v>2.19</v>
      </c>
      <c r="F308" s="0" t="n">
        <f aca="false">VLOOKUP(A308,[1]Worksheet!$A$2:$I$1049,6,0)</f>
        <v>64</v>
      </c>
      <c r="G308" s="0" t="n">
        <f aca="false">VLOOKUP(A308,[1]Worksheet!$A$2:$I$1049,7,0)</f>
        <v>2.64</v>
      </c>
      <c r="K308" s="0" t="n">
        <v>0</v>
      </c>
      <c r="M308" s="0" t="n">
        <f aca="false">D308*E308</f>
        <v>45.99</v>
      </c>
      <c r="N308" s="0" t="n">
        <f aca="false">F308*G308</f>
        <v>168.96</v>
      </c>
      <c r="P308" s="0" t="n">
        <f aca="false">K308+D308</f>
        <v>21</v>
      </c>
      <c r="Q308" s="0" t="n">
        <f aca="false">M308/P308</f>
        <v>2.19</v>
      </c>
      <c r="R308" s="0" t="n">
        <f aca="false">F308+K308</f>
        <v>64</v>
      </c>
      <c r="S308" s="0" t="n">
        <f aca="false">N308/R308</f>
        <v>2.64</v>
      </c>
    </row>
    <row r="309" customFormat="false" ht="15" hidden="false" customHeight="false" outlineLevel="0" collapsed="false">
      <c r="A309" s="0" t="s">
        <v>132</v>
      </c>
      <c r="B309" s="0" t="s">
        <v>133</v>
      </c>
      <c r="C309" s="0" t="n">
        <v>20171</v>
      </c>
      <c r="D309" s="0" t="n">
        <f aca="false">VLOOKUP(A309,[1]Worksheet!$A$2:$I$1049,4,0)</f>
        <v>21</v>
      </c>
      <c r="E309" s="0" t="n">
        <f aca="false">VLOOKUP(A309,[1]Worksheet!$A$2:$I$1049,5,0)</f>
        <v>2.95</v>
      </c>
      <c r="F309" s="0" t="n">
        <f aca="false">VLOOKUP(A309,[1]Worksheet!$A$2:$I$1049,6,0)</f>
        <v>64</v>
      </c>
      <c r="G309" s="0" t="n">
        <f aca="false">VLOOKUP(A309,[1]Worksheet!$A$2:$I$1049,7,0)</f>
        <v>2.84</v>
      </c>
      <c r="K309" s="0" t="n">
        <v>0</v>
      </c>
      <c r="M309" s="0" t="n">
        <f aca="false">D309*E309</f>
        <v>61.95</v>
      </c>
      <c r="N309" s="0" t="n">
        <f aca="false">F309*G309</f>
        <v>181.76</v>
      </c>
      <c r="P309" s="0" t="n">
        <f aca="false">K309+D309</f>
        <v>21</v>
      </c>
      <c r="Q309" s="0" t="n">
        <f aca="false">M309/P309</f>
        <v>2.95</v>
      </c>
      <c r="R309" s="0" t="n">
        <f aca="false">F309+K309</f>
        <v>64</v>
      </c>
      <c r="S309" s="0" t="n">
        <f aca="false">N309/R309</f>
        <v>2.84</v>
      </c>
    </row>
    <row r="310" customFormat="false" ht="15" hidden="false" customHeight="false" outlineLevel="0" collapsed="false">
      <c r="A310" s="0" t="s">
        <v>41</v>
      </c>
      <c r="B310" s="0" t="s">
        <v>42</v>
      </c>
      <c r="C310" s="0" t="n">
        <v>20171</v>
      </c>
      <c r="D310" s="0" t="n">
        <f aca="false">VLOOKUP(A310,[1]Worksheet!$A$2:$I$1049,4,0)</f>
        <v>21</v>
      </c>
      <c r="E310" s="0" t="n">
        <f aca="false">VLOOKUP(A310,[1]Worksheet!$A$2:$I$1049,5,0)</f>
        <v>3.55</v>
      </c>
      <c r="F310" s="0" t="n">
        <f aca="false">VLOOKUP(A310,[1]Worksheet!$A$2:$I$1049,6,0)</f>
        <v>64</v>
      </c>
      <c r="G310" s="0" t="n">
        <f aca="false">VLOOKUP(A310,[1]Worksheet!$A$2:$I$1049,7,0)</f>
        <v>3.41</v>
      </c>
      <c r="K310" s="0" t="n">
        <v>0</v>
      </c>
      <c r="M310" s="0" t="n">
        <f aca="false">D310*E310</f>
        <v>74.55</v>
      </c>
      <c r="N310" s="0" t="n">
        <f aca="false">F310*G310</f>
        <v>218.24</v>
      </c>
      <c r="P310" s="0" t="n">
        <f aca="false">K310+D310</f>
        <v>21</v>
      </c>
      <c r="Q310" s="0" t="n">
        <f aca="false">M310/P310</f>
        <v>3.55</v>
      </c>
      <c r="R310" s="0" t="n">
        <f aca="false">F310+K310</f>
        <v>64</v>
      </c>
      <c r="S310" s="0" t="n">
        <f aca="false">N310/R310</f>
        <v>3.41</v>
      </c>
    </row>
    <row r="311" customFormat="false" ht="15" hidden="false" customHeight="false" outlineLevel="0" collapsed="false">
      <c r="A311" s="0" t="s">
        <v>134</v>
      </c>
      <c r="B311" s="0" t="s">
        <v>135</v>
      </c>
      <c r="C311" s="0" t="n">
        <v>20171</v>
      </c>
      <c r="D311" s="0" t="n">
        <f aca="false">VLOOKUP(A311,[1]Worksheet!$A$2:$I$1049,4,0)</f>
        <v>21</v>
      </c>
      <c r="E311" s="0" t="n">
        <f aca="false">VLOOKUP(A311,[1]Worksheet!$A$2:$I$1049,5,0)</f>
        <v>2.26</v>
      </c>
      <c r="F311" s="0" t="n">
        <f aca="false">VLOOKUP(A311,[1]Worksheet!$A$2:$I$1049,6,0)</f>
        <v>62</v>
      </c>
      <c r="G311" s="0" t="n">
        <f aca="false">VLOOKUP(A311,[1]Worksheet!$A$2:$I$1049,7,0)</f>
        <v>2.51</v>
      </c>
      <c r="K311" s="0" t="n">
        <v>0</v>
      </c>
      <c r="M311" s="0" t="n">
        <f aca="false">D311*E311</f>
        <v>47.46</v>
      </c>
      <c r="N311" s="0" t="n">
        <f aca="false">F311*G311</f>
        <v>155.62</v>
      </c>
      <c r="P311" s="0" t="n">
        <f aca="false">K311+D311</f>
        <v>21</v>
      </c>
      <c r="Q311" s="0" t="n">
        <f aca="false">M311/P311</f>
        <v>2.26</v>
      </c>
      <c r="R311" s="0" t="n">
        <f aca="false">F311+K311</f>
        <v>62</v>
      </c>
      <c r="S311" s="0" t="n">
        <f aca="false">N311/R311</f>
        <v>2.51</v>
      </c>
    </row>
    <row r="312" customFormat="false" ht="15" hidden="false" customHeight="false" outlineLevel="0" collapsed="false">
      <c r="A312" s="0" t="s">
        <v>43</v>
      </c>
      <c r="B312" s="0" t="s">
        <v>44</v>
      </c>
      <c r="C312" s="0" t="n">
        <v>20171</v>
      </c>
      <c r="D312" s="0" t="n">
        <f aca="false">VLOOKUP(A312,[1]Worksheet!$A$2:$I$1049,4,0)</f>
        <v>21</v>
      </c>
      <c r="E312" s="0" t="n">
        <f aca="false">VLOOKUP(A312,[1]Worksheet!$A$2:$I$1049,5,0)</f>
        <v>3.4</v>
      </c>
      <c r="F312" s="0" t="n">
        <f aca="false">VLOOKUP(A312,[1]Worksheet!$A$2:$I$1049,6,0)</f>
        <v>64</v>
      </c>
      <c r="G312" s="0" t="n">
        <f aca="false">VLOOKUP(A312,[1]Worksheet!$A$2:$I$1049,7,0)</f>
        <v>3.39</v>
      </c>
      <c r="K312" s="0" t="n">
        <v>0</v>
      </c>
      <c r="M312" s="0" t="n">
        <f aca="false">D312*E312</f>
        <v>71.4</v>
      </c>
      <c r="N312" s="0" t="n">
        <f aca="false">F312*G312</f>
        <v>216.96</v>
      </c>
      <c r="P312" s="0" t="n">
        <f aca="false">K312+D312</f>
        <v>21</v>
      </c>
      <c r="Q312" s="0" t="n">
        <f aca="false">M312/P312</f>
        <v>3.4</v>
      </c>
      <c r="R312" s="0" t="n">
        <f aca="false">F312+K312</f>
        <v>64</v>
      </c>
      <c r="S312" s="0" t="n">
        <f aca="false">N312/R312</f>
        <v>3.39</v>
      </c>
    </row>
    <row r="313" customFormat="false" ht="15" hidden="false" customHeight="false" outlineLevel="0" collapsed="false">
      <c r="A313" s="0" t="s">
        <v>136</v>
      </c>
      <c r="B313" s="0" t="s">
        <v>137</v>
      </c>
      <c r="C313" s="0" t="n">
        <v>20171</v>
      </c>
      <c r="D313" s="0" t="n">
        <f aca="false">VLOOKUP(A313,[1]Worksheet!$A$2:$I$1049,4,0)</f>
        <v>21</v>
      </c>
      <c r="E313" s="0" t="n">
        <f aca="false">VLOOKUP(A313,[1]Worksheet!$A$2:$I$1049,5,0)</f>
        <v>0</v>
      </c>
      <c r="F313" s="0" t="n">
        <f aca="false">VLOOKUP(A313,[1]Worksheet!$A$2:$I$1049,6,0)</f>
        <v>64</v>
      </c>
      <c r="G313" s="0" t="n">
        <f aca="false">VLOOKUP(A313,[1]Worksheet!$A$2:$I$1049,7,0)</f>
        <v>1.95</v>
      </c>
      <c r="K313" s="0" t="n">
        <v>0</v>
      </c>
      <c r="M313" s="0" t="n">
        <f aca="false">D313*E313</f>
        <v>0</v>
      </c>
      <c r="N313" s="0" t="n">
        <f aca="false">F313*G313</f>
        <v>124.8</v>
      </c>
      <c r="P313" s="0" t="n">
        <f aca="false">K313+D313</f>
        <v>21</v>
      </c>
      <c r="Q313" s="0" t="n">
        <f aca="false">M313/P313</f>
        <v>0</v>
      </c>
      <c r="R313" s="0" t="n">
        <f aca="false">F313+K313</f>
        <v>64</v>
      </c>
      <c r="S313" s="0" t="n">
        <f aca="false">N313/R313</f>
        <v>1.95</v>
      </c>
    </row>
    <row r="314" customFormat="false" ht="15" hidden="false" customHeight="false" outlineLevel="0" collapsed="false">
      <c r="A314" s="0" t="s">
        <v>609</v>
      </c>
      <c r="B314" s="0" t="s">
        <v>610</v>
      </c>
      <c r="C314" s="0" t="n">
        <v>20171</v>
      </c>
      <c r="D314" s="0" t="n">
        <f aca="false">VLOOKUP(A314,[1]Worksheet!$A$2:$I$1049,4,0)</f>
        <v>8</v>
      </c>
      <c r="E314" s="0" t="n">
        <f aca="false">VLOOKUP(A314,[1]Worksheet!$A$2:$I$1049,5,0)</f>
        <v>2.13</v>
      </c>
      <c r="F314" s="0" t="n">
        <f aca="false">VLOOKUP(A314,[1]Worksheet!$A$2:$I$1049,6,0)</f>
        <v>28</v>
      </c>
      <c r="G314" s="0" t="n">
        <f aca="false">VLOOKUP(A314,[1]Worksheet!$A$2:$I$1049,7,0)</f>
        <v>3.09</v>
      </c>
      <c r="K314" s="0" t="n">
        <v>0</v>
      </c>
      <c r="M314" s="0" t="n">
        <f aca="false">D314*E314</f>
        <v>17.04</v>
      </c>
      <c r="N314" s="0" t="n">
        <f aca="false">F314*G314</f>
        <v>86.52</v>
      </c>
      <c r="P314" s="0" t="n">
        <f aca="false">K314+D314</f>
        <v>8</v>
      </c>
      <c r="Q314" s="0" t="n">
        <f aca="false">M314/P314</f>
        <v>2.13</v>
      </c>
      <c r="R314" s="0" t="n">
        <f aca="false">F314+K314</f>
        <v>28</v>
      </c>
      <c r="S314" s="0" t="n">
        <f aca="false">N314/R314</f>
        <v>3.09</v>
      </c>
    </row>
    <row r="315" customFormat="false" ht="15" hidden="false" customHeight="false" outlineLevel="0" collapsed="false">
      <c r="A315" s="0" t="s">
        <v>138</v>
      </c>
      <c r="B315" s="0" t="s">
        <v>139</v>
      </c>
      <c r="C315" s="0" t="n">
        <v>20171</v>
      </c>
      <c r="D315" s="0" t="n">
        <f aca="false">VLOOKUP(A315,[1]Worksheet!$A$2:$I$1049,4,0)</f>
        <v>14</v>
      </c>
      <c r="E315" s="0" t="n">
        <f aca="false">VLOOKUP(A315,[1]Worksheet!$A$2:$I$1049,5,0)</f>
        <v>0</v>
      </c>
      <c r="F315" s="0" t="n">
        <f aca="false">VLOOKUP(A315,[1]Worksheet!$A$2:$I$1049,6,0)</f>
        <v>55</v>
      </c>
      <c r="G315" s="0" t="n">
        <f aca="false">VLOOKUP(A315,[1]Worksheet!$A$2:$I$1049,7,0)</f>
        <v>1.54</v>
      </c>
      <c r="K315" s="0" t="n">
        <v>0</v>
      </c>
      <c r="M315" s="0" t="n">
        <f aca="false">D315*E315</f>
        <v>0</v>
      </c>
      <c r="N315" s="0" t="n">
        <f aca="false">F315*G315</f>
        <v>84.7</v>
      </c>
      <c r="P315" s="0" t="n">
        <f aca="false">K315+D315</f>
        <v>14</v>
      </c>
      <c r="Q315" s="0" t="n">
        <f aca="false">M315/P315</f>
        <v>0</v>
      </c>
      <c r="R315" s="0" t="n">
        <f aca="false">F315+K315</f>
        <v>55</v>
      </c>
      <c r="S315" s="0" t="n">
        <f aca="false">N315/R315</f>
        <v>1.54</v>
      </c>
    </row>
    <row r="316" customFormat="false" ht="15" hidden="false" customHeight="false" outlineLevel="0" collapsed="false">
      <c r="A316" s="0" t="s">
        <v>45</v>
      </c>
      <c r="B316" s="0" t="s">
        <v>46</v>
      </c>
      <c r="C316" s="0" t="n">
        <v>20171</v>
      </c>
      <c r="D316" s="0" t="n">
        <f aca="false">VLOOKUP(A316,[1]Worksheet!$A$2:$I$1049,4,0)</f>
        <v>21</v>
      </c>
      <c r="E316" s="0" t="n">
        <f aca="false">VLOOKUP(A316,[1]Worksheet!$A$2:$I$1049,5,0)</f>
        <v>2.93</v>
      </c>
      <c r="F316" s="0" t="n">
        <f aca="false">VLOOKUP(A316,[1]Worksheet!$A$2:$I$1049,6,0)</f>
        <v>64</v>
      </c>
      <c r="G316" s="0" t="n">
        <f aca="false">VLOOKUP(A316,[1]Worksheet!$A$2:$I$1049,7,0)</f>
        <v>2.86</v>
      </c>
      <c r="K316" s="0" t="n">
        <v>0</v>
      </c>
      <c r="M316" s="0" t="n">
        <f aca="false">D316*E316</f>
        <v>61.53</v>
      </c>
      <c r="N316" s="0" t="n">
        <f aca="false">F316*G316</f>
        <v>183.04</v>
      </c>
      <c r="P316" s="0" t="n">
        <f aca="false">K316+D316</f>
        <v>21</v>
      </c>
      <c r="Q316" s="0" t="n">
        <f aca="false">M316/P316</f>
        <v>2.93</v>
      </c>
      <c r="R316" s="0" t="n">
        <f aca="false">F316+K316</f>
        <v>64</v>
      </c>
      <c r="S316" s="0" t="n">
        <f aca="false">N316/R316</f>
        <v>2.86</v>
      </c>
    </row>
    <row r="317" customFormat="false" ht="15" hidden="false" customHeight="false" outlineLevel="0" collapsed="false">
      <c r="A317" s="0" t="s">
        <v>140</v>
      </c>
      <c r="B317" s="0" t="s">
        <v>141</v>
      </c>
      <c r="C317" s="0" t="n">
        <v>20171</v>
      </c>
      <c r="D317" s="0" t="n">
        <f aca="false">VLOOKUP(A317,[1]Worksheet!$A$2:$I$1049,4,0)</f>
        <v>18</v>
      </c>
      <c r="E317" s="0" t="n">
        <f aca="false">VLOOKUP(A317,[1]Worksheet!$A$2:$I$1049,5,0)</f>
        <v>2.17</v>
      </c>
      <c r="F317" s="0" t="n">
        <f aca="false">VLOOKUP(A317,[1]Worksheet!$A$2:$I$1049,6,0)</f>
        <v>59</v>
      </c>
      <c r="G317" s="0" t="n">
        <f aca="false">VLOOKUP(A317,[1]Worksheet!$A$2:$I$1049,7,0)</f>
        <v>2.59</v>
      </c>
      <c r="K317" s="0" t="n">
        <v>0</v>
      </c>
      <c r="M317" s="0" t="n">
        <f aca="false">D317*E317</f>
        <v>39.06</v>
      </c>
      <c r="N317" s="0" t="n">
        <f aca="false">F317*G317</f>
        <v>152.81</v>
      </c>
      <c r="P317" s="0" t="n">
        <f aca="false">K317+D317</f>
        <v>18</v>
      </c>
      <c r="Q317" s="0" t="n">
        <f aca="false">M317/P317</f>
        <v>2.17</v>
      </c>
      <c r="R317" s="0" t="n">
        <f aca="false">F317+K317</f>
        <v>59</v>
      </c>
      <c r="S317" s="0" t="n">
        <f aca="false">N317/R317</f>
        <v>2.59</v>
      </c>
    </row>
    <row r="318" customFormat="false" ht="15" hidden="false" customHeight="false" outlineLevel="0" collapsed="false">
      <c r="A318" s="0" t="s">
        <v>47</v>
      </c>
      <c r="B318" s="0" t="s">
        <v>48</v>
      </c>
      <c r="C318" s="0" t="n">
        <v>20171</v>
      </c>
      <c r="D318" s="0" t="n">
        <f aca="false">VLOOKUP(A318,[1]Worksheet!$A$2:$I$1049,4,0)</f>
        <v>21</v>
      </c>
      <c r="E318" s="0" t="n">
        <f aca="false">VLOOKUP(A318,[1]Worksheet!$A$2:$I$1049,5,0)</f>
        <v>1.21</v>
      </c>
      <c r="F318" s="0" t="n">
        <f aca="false">VLOOKUP(A318,[1]Worksheet!$A$2:$I$1049,6,0)</f>
        <v>62</v>
      </c>
      <c r="G318" s="0" t="n">
        <f aca="false">VLOOKUP(A318,[1]Worksheet!$A$2:$I$1049,7,0)</f>
        <v>2.3</v>
      </c>
      <c r="K318" s="0" t="n">
        <v>0</v>
      </c>
      <c r="M318" s="0" t="n">
        <f aca="false">D318*E318</f>
        <v>25.41</v>
      </c>
      <c r="N318" s="0" t="n">
        <f aca="false">F318*G318</f>
        <v>142.6</v>
      </c>
      <c r="P318" s="0" t="n">
        <f aca="false">K318+D318</f>
        <v>21</v>
      </c>
      <c r="Q318" s="0" t="n">
        <f aca="false">M318/P318</f>
        <v>1.21</v>
      </c>
      <c r="R318" s="0" t="n">
        <f aca="false">F318+K318</f>
        <v>62</v>
      </c>
      <c r="S318" s="0" t="n">
        <f aca="false">N318/R318</f>
        <v>2.3</v>
      </c>
    </row>
    <row r="319" customFormat="false" ht="15" hidden="false" customHeight="false" outlineLevel="0" collapsed="false">
      <c r="A319" s="0" t="s">
        <v>142</v>
      </c>
      <c r="B319" s="0" t="s">
        <v>143</v>
      </c>
      <c r="C319" s="0" t="n">
        <v>20171</v>
      </c>
      <c r="D319" s="0" t="n">
        <f aca="false">VLOOKUP(A319,[1]Worksheet!$A$2:$I$1049,4,0)</f>
        <v>21</v>
      </c>
      <c r="E319" s="0" t="n">
        <f aca="false">VLOOKUP(A319,[1]Worksheet!$A$2:$I$1049,5,0)</f>
        <v>3.43</v>
      </c>
      <c r="F319" s="0" t="n">
        <f aca="false">VLOOKUP(A319,[1]Worksheet!$A$2:$I$1049,6,0)</f>
        <v>62</v>
      </c>
      <c r="G319" s="0" t="n">
        <f aca="false">VLOOKUP(A319,[1]Worksheet!$A$2:$I$1049,7,0)</f>
        <v>3.3</v>
      </c>
      <c r="K319" s="0" t="n">
        <v>0</v>
      </c>
      <c r="M319" s="0" t="n">
        <f aca="false">D319*E319</f>
        <v>72.03</v>
      </c>
      <c r="N319" s="0" t="n">
        <f aca="false">F319*G319</f>
        <v>204.6</v>
      </c>
      <c r="P319" s="0" t="n">
        <f aca="false">K319+D319</f>
        <v>21</v>
      </c>
      <c r="Q319" s="0" t="n">
        <f aca="false">M319/P319</f>
        <v>3.43</v>
      </c>
      <c r="R319" s="0" t="n">
        <f aca="false">F319+K319</f>
        <v>62</v>
      </c>
      <c r="S319" s="0" t="n">
        <f aca="false">N319/R319</f>
        <v>3.3</v>
      </c>
    </row>
    <row r="320" customFormat="false" ht="15" hidden="false" customHeight="false" outlineLevel="0" collapsed="false">
      <c r="A320" s="0" t="s">
        <v>49</v>
      </c>
      <c r="B320" s="0" t="s">
        <v>50</v>
      </c>
      <c r="C320" s="0" t="n">
        <v>20171</v>
      </c>
      <c r="D320" s="0" t="n">
        <f aca="false">VLOOKUP(A320,[1]Worksheet!$A$2:$I$1049,4,0)</f>
        <v>21</v>
      </c>
      <c r="E320" s="0" t="n">
        <f aca="false">VLOOKUP(A320,[1]Worksheet!$A$2:$I$1049,5,0)</f>
        <v>2.76</v>
      </c>
      <c r="F320" s="0" t="n">
        <f aca="false">VLOOKUP(A320,[1]Worksheet!$A$2:$I$1049,6,0)</f>
        <v>62</v>
      </c>
      <c r="G320" s="0" t="n">
        <f aca="false">VLOOKUP(A320,[1]Worksheet!$A$2:$I$1049,7,0)</f>
        <v>2.9</v>
      </c>
      <c r="K320" s="0" t="n">
        <v>0</v>
      </c>
      <c r="M320" s="0" t="n">
        <f aca="false">D320*E320</f>
        <v>57.96</v>
      </c>
      <c r="N320" s="0" t="n">
        <f aca="false">F320*G320</f>
        <v>179.8</v>
      </c>
      <c r="P320" s="0" t="n">
        <f aca="false">K320+D320</f>
        <v>21</v>
      </c>
      <c r="Q320" s="0" t="n">
        <f aca="false">M320/P320</f>
        <v>2.76</v>
      </c>
      <c r="R320" s="0" t="n">
        <f aca="false">F320+K320</f>
        <v>62</v>
      </c>
      <c r="S320" s="0" t="n">
        <f aca="false">N320/R320</f>
        <v>2.9</v>
      </c>
    </row>
    <row r="321" customFormat="false" ht="15" hidden="false" customHeight="false" outlineLevel="0" collapsed="false">
      <c r="A321" s="0" t="s">
        <v>144</v>
      </c>
      <c r="B321" s="0" t="s">
        <v>145</v>
      </c>
      <c r="C321" s="0" t="n">
        <v>20171</v>
      </c>
      <c r="D321" s="0" t="n">
        <f aca="false">VLOOKUP(A321,[1]Worksheet!$A$2:$I$1049,4,0)</f>
        <v>15</v>
      </c>
      <c r="E321" s="0" t="n">
        <f aca="false">VLOOKUP(A321,[1]Worksheet!$A$2:$I$1049,5,0)</f>
        <v>0</v>
      </c>
      <c r="F321" s="0" t="n">
        <f aca="false">VLOOKUP(A321,[1]Worksheet!$A$2:$I$1049,6,0)</f>
        <v>56</v>
      </c>
      <c r="G321" s="0" t="n">
        <f aca="false">VLOOKUP(A321,[1]Worksheet!$A$2:$I$1049,7,0)</f>
        <v>1.85</v>
      </c>
      <c r="K321" s="0" t="n">
        <v>0</v>
      </c>
      <c r="M321" s="0" t="n">
        <f aca="false">D321*E321</f>
        <v>0</v>
      </c>
      <c r="N321" s="0" t="n">
        <f aca="false">F321*G321</f>
        <v>103.6</v>
      </c>
      <c r="P321" s="0" t="n">
        <f aca="false">K321+D321</f>
        <v>15</v>
      </c>
      <c r="Q321" s="0" t="n">
        <f aca="false">M321/P321</f>
        <v>0</v>
      </c>
      <c r="R321" s="0" t="n">
        <f aca="false">F321+K321</f>
        <v>56</v>
      </c>
      <c r="S321" s="0" t="n">
        <f aca="false">N321/R321</f>
        <v>1.85</v>
      </c>
    </row>
    <row r="322" customFormat="false" ht="15" hidden="false" customHeight="false" outlineLevel="0" collapsed="false">
      <c r="A322" s="0" t="s">
        <v>51</v>
      </c>
      <c r="B322" s="0" t="s">
        <v>52</v>
      </c>
      <c r="C322" s="0" t="n">
        <v>20171</v>
      </c>
      <c r="D322" s="0" t="n">
        <f aca="false">VLOOKUP(A322,[1]Worksheet!$A$2:$I$1049,4,0)</f>
        <v>21</v>
      </c>
      <c r="E322" s="0" t="n">
        <f aca="false">VLOOKUP(A322,[1]Worksheet!$A$2:$I$1049,5,0)</f>
        <v>2.48</v>
      </c>
      <c r="F322" s="0" t="n">
        <f aca="false">VLOOKUP(A322,[1]Worksheet!$A$2:$I$1049,6,0)</f>
        <v>64</v>
      </c>
      <c r="G322" s="0" t="n">
        <f aca="false">VLOOKUP(A322,[1]Worksheet!$A$2:$I$1049,7,0)</f>
        <v>2.77</v>
      </c>
      <c r="K322" s="0" t="n">
        <v>0</v>
      </c>
      <c r="M322" s="0" t="n">
        <f aca="false">D322*E322</f>
        <v>52.08</v>
      </c>
      <c r="N322" s="0" t="n">
        <f aca="false">F322*G322</f>
        <v>177.28</v>
      </c>
      <c r="P322" s="0" t="n">
        <f aca="false">K322+D322</f>
        <v>21</v>
      </c>
      <c r="Q322" s="0" t="n">
        <f aca="false">M322/P322</f>
        <v>2.48</v>
      </c>
      <c r="R322" s="0" t="n">
        <f aca="false">F322+K322</f>
        <v>64</v>
      </c>
      <c r="S322" s="0" t="n">
        <f aca="false">N322/R322</f>
        <v>2.77</v>
      </c>
    </row>
    <row r="323" customFormat="false" ht="15" hidden="false" customHeight="false" outlineLevel="0" collapsed="false">
      <c r="A323" s="0" t="s">
        <v>146</v>
      </c>
      <c r="B323" s="0" t="s">
        <v>147</v>
      </c>
      <c r="C323" s="0" t="n">
        <v>20171</v>
      </c>
      <c r="D323" s="0" t="n">
        <f aca="false">VLOOKUP(A323,[1]Worksheet!$A$2:$I$1049,4,0)</f>
        <v>21</v>
      </c>
      <c r="E323" s="0" t="n">
        <f aca="false">VLOOKUP(A323,[1]Worksheet!$A$2:$I$1049,5,0)</f>
        <v>2.62</v>
      </c>
      <c r="F323" s="0" t="n">
        <f aca="false">VLOOKUP(A323,[1]Worksheet!$A$2:$I$1049,6,0)</f>
        <v>64</v>
      </c>
      <c r="G323" s="0" t="n">
        <f aca="false">VLOOKUP(A323,[1]Worksheet!$A$2:$I$1049,7,0)</f>
        <v>3.1</v>
      </c>
      <c r="K323" s="0" t="n">
        <v>0</v>
      </c>
      <c r="M323" s="0" t="n">
        <f aca="false">D323*E323</f>
        <v>55.02</v>
      </c>
      <c r="N323" s="0" t="n">
        <f aca="false">F323*G323</f>
        <v>198.4</v>
      </c>
      <c r="P323" s="0" t="n">
        <f aca="false">K323+D323</f>
        <v>21</v>
      </c>
      <c r="Q323" s="0" t="n">
        <f aca="false">M323/P323</f>
        <v>2.62</v>
      </c>
      <c r="R323" s="0" t="n">
        <f aca="false">F323+K323</f>
        <v>64</v>
      </c>
      <c r="S323" s="0" t="n">
        <f aca="false">N323/R323</f>
        <v>3.1</v>
      </c>
    </row>
    <row r="324" customFormat="false" ht="15" hidden="false" customHeight="false" outlineLevel="0" collapsed="false">
      <c r="A324" s="0" t="s">
        <v>53</v>
      </c>
      <c r="B324" s="0" t="s">
        <v>54</v>
      </c>
      <c r="C324" s="0" t="n">
        <v>20171</v>
      </c>
      <c r="D324" s="0" t="n">
        <f aca="false">VLOOKUP(A324,[1]Worksheet!$A$2:$I$1049,4,0)</f>
        <v>21</v>
      </c>
      <c r="E324" s="0" t="n">
        <f aca="false">VLOOKUP(A324,[1]Worksheet!$A$2:$I$1049,5,0)</f>
        <v>1.86</v>
      </c>
      <c r="F324" s="0" t="n">
        <f aca="false">VLOOKUP(A324,[1]Worksheet!$A$2:$I$1049,6,0)</f>
        <v>62</v>
      </c>
      <c r="G324" s="0" t="n">
        <f aca="false">VLOOKUP(A324,[1]Worksheet!$A$2:$I$1049,7,0)</f>
        <v>2.49</v>
      </c>
      <c r="K324" s="0" t="n">
        <v>0</v>
      </c>
      <c r="M324" s="0" t="n">
        <f aca="false">D324*E324</f>
        <v>39.06</v>
      </c>
      <c r="N324" s="0" t="n">
        <f aca="false">F324*G324</f>
        <v>154.38</v>
      </c>
      <c r="P324" s="0" t="n">
        <f aca="false">K324+D324</f>
        <v>21</v>
      </c>
      <c r="Q324" s="0" t="n">
        <f aca="false">M324/P324</f>
        <v>1.86</v>
      </c>
      <c r="R324" s="0" t="n">
        <f aca="false">F324+K324</f>
        <v>62</v>
      </c>
      <c r="S324" s="0" t="n">
        <f aca="false">N324/R324</f>
        <v>2.49</v>
      </c>
    </row>
    <row r="325" customFormat="false" ht="15" hidden="false" customHeight="false" outlineLevel="0" collapsed="false">
      <c r="A325" s="0" t="s">
        <v>55</v>
      </c>
      <c r="B325" s="0" t="s">
        <v>56</v>
      </c>
      <c r="C325" s="0" t="n">
        <v>20171</v>
      </c>
      <c r="D325" s="0" t="n">
        <f aca="false">VLOOKUP(A325,[1]Worksheet!$A$2:$I$1049,4,0)</f>
        <v>20</v>
      </c>
      <c r="E325" s="0" t="n">
        <f aca="false">VLOOKUP(A325,[1]Worksheet!$A$2:$I$1049,5,0)</f>
        <v>2.38</v>
      </c>
      <c r="F325" s="0" t="n">
        <f aca="false">VLOOKUP(A325,[1]Worksheet!$A$2:$I$1049,6,0)</f>
        <v>63</v>
      </c>
      <c r="G325" s="0" t="n">
        <f aca="false">VLOOKUP(A325,[1]Worksheet!$A$2:$I$1049,7,0)</f>
        <v>2.74</v>
      </c>
      <c r="K325" s="0" t="n">
        <v>0</v>
      </c>
      <c r="M325" s="0" t="n">
        <f aca="false">D325*E325</f>
        <v>47.6</v>
      </c>
      <c r="N325" s="0" t="n">
        <f aca="false">F325*G325</f>
        <v>172.62</v>
      </c>
      <c r="P325" s="0" t="n">
        <f aca="false">K325+D325</f>
        <v>20</v>
      </c>
      <c r="Q325" s="0" t="n">
        <f aca="false">M325/P325</f>
        <v>2.38</v>
      </c>
      <c r="R325" s="0" t="n">
        <f aca="false">F325+K325</f>
        <v>63</v>
      </c>
      <c r="S325" s="0" t="n">
        <f aca="false">N325/R325</f>
        <v>2.74</v>
      </c>
    </row>
    <row r="326" customFormat="false" ht="15" hidden="false" customHeight="false" outlineLevel="0" collapsed="false">
      <c r="A326" s="0" t="s">
        <v>148</v>
      </c>
      <c r="B326" s="0" t="s">
        <v>149</v>
      </c>
      <c r="C326" s="0" t="n">
        <v>20171</v>
      </c>
      <c r="D326" s="0" t="n">
        <f aca="false">VLOOKUP(A326,[1]Worksheet!$A$2:$I$1049,4,0)</f>
        <v>21</v>
      </c>
      <c r="E326" s="0" t="n">
        <f aca="false">VLOOKUP(A326,[1]Worksheet!$A$2:$I$1049,5,0)</f>
        <v>2.88</v>
      </c>
      <c r="F326" s="0" t="n">
        <f aca="false">VLOOKUP(A326,[1]Worksheet!$A$2:$I$1049,6,0)</f>
        <v>62</v>
      </c>
      <c r="G326" s="0" t="n">
        <f aca="false">VLOOKUP(A326,[1]Worksheet!$A$2:$I$1049,7,0)</f>
        <v>2.96</v>
      </c>
      <c r="K326" s="0" t="n">
        <v>0</v>
      </c>
      <c r="M326" s="0" t="n">
        <f aca="false">D326*E326</f>
        <v>60.48</v>
      </c>
      <c r="N326" s="0" t="n">
        <f aca="false">F326*G326</f>
        <v>183.52</v>
      </c>
      <c r="P326" s="0" t="n">
        <f aca="false">K326+D326</f>
        <v>21</v>
      </c>
      <c r="Q326" s="0" t="n">
        <f aca="false">M326/P326</f>
        <v>2.88</v>
      </c>
      <c r="R326" s="0" t="n">
        <f aca="false">F326+K326</f>
        <v>62</v>
      </c>
      <c r="S326" s="0" t="n">
        <f aca="false">N326/R326</f>
        <v>2.96</v>
      </c>
    </row>
    <row r="327" customFormat="false" ht="15" hidden="false" customHeight="false" outlineLevel="0" collapsed="false">
      <c r="A327" s="0" t="s">
        <v>57</v>
      </c>
      <c r="B327" s="0" t="s">
        <v>58</v>
      </c>
      <c r="C327" s="0" t="n">
        <v>20171</v>
      </c>
      <c r="D327" s="0" t="n">
        <f aca="false">VLOOKUP(A327,[1]Worksheet!$A$2:$I$1049,4,0)</f>
        <v>21</v>
      </c>
      <c r="E327" s="0" t="n">
        <f aca="false">VLOOKUP(A327,[1]Worksheet!$A$2:$I$1049,5,0)</f>
        <v>3.45</v>
      </c>
      <c r="F327" s="0" t="n">
        <f aca="false">VLOOKUP(A327,[1]Worksheet!$A$2:$I$1049,6,0)</f>
        <v>62</v>
      </c>
      <c r="G327" s="0" t="n">
        <f aca="false">VLOOKUP(A327,[1]Worksheet!$A$2:$I$1049,7,0)</f>
        <v>3.27</v>
      </c>
      <c r="K327" s="0" t="n">
        <v>0</v>
      </c>
      <c r="M327" s="0" t="n">
        <f aca="false">D327*E327</f>
        <v>72.45</v>
      </c>
      <c r="N327" s="0" t="n">
        <f aca="false">F327*G327</f>
        <v>202.74</v>
      </c>
      <c r="P327" s="0" t="n">
        <f aca="false">K327+D327</f>
        <v>21</v>
      </c>
      <c r="Q327" s="0" t="n">
        <f aca="false">M327/P327</f>
        <v>3.45</v>
      </c>
      <c r="R327" s="0" t="n">
        <f aca="false">F327+K327</f>
        <v>62</v>
      </c>
      <c r="S327" s="0" t="n">
        <f aca="false">N327/R327</f>
        <v>3.27</v>
      </c>
    </row>
    <row r="328" customFormat="false" ht="15" hidden="false" customHeight="false" outlineLevel="0" collapsed="false">
      <c r="A328" s="0" t="s">
        <v>150</v>
      </c>
      <c r="B328" s="0" t="s">
        <v>151</v>
      </c>
      <c r="C328" s="0" t="n">
        <v>20171</v>
      </c>
      <c r="D328" s="0" t="n">
        <f aca="false">VLOOKUP(A328,[1]Worksheet!$A$2:$I$1049,4,0)</f>
        <v>18</v>
      </c>
      <c r="E328" s="0" t="n">
        <f aca="false">VLOOKUP(A328,[1]Worksheet!$A$2:$I$1049,5,0)</f>
        <v>3.11</v>
      </c>
      <c r="F328" s="0" t="n">
        <f aca="false">VLOOKUP(A328,[1]Worksheet!$A$2:$I$1049,6,0)</f>
        <v>59</v>
      </c>
      <c r="G328" s="0" t="n">
        <f aca="false">VLOOKUP(A328,[1]Worksheet!$A$2:$I$1049,7,0)</f>
        <v>2.94</v>
      </c>
      <c r="K328" s="0" t="n">
        <v>0</v>
      </c>
      <c r="M328" s="0" t="n">
        <f aca="false">D328*E328</f>
        <v>55.98</v>
      </c>
      <c r="N328" s="0" t="n">
        <f aca="false">F328*G328</f>
        <v>173.46</v>
      </c>
      <c r="P328" s="0" t="n">
        <f aca="false">K328+D328</f>
        <v>18</v>
      </c>
      <c r="Q328" s="0" t="n">
        <f aca="false">M328/P328</f>
        <v>3.11</v>
      </c>
      <c r="R328" s="0" t="n">
        <f aca="false">F328+K328</f>
        <v>59</v>
      </c>
      <c r="S328" s="0" t="n">
        <f aca="false">N328/R328</f>
        <v>2.94</v>
      </c>
    </row>
    <row r="329" customFormat="false" ht="15" hidden="false" customHeight="false" outlineLevel="0" collapsed="false">
      <c r="A329" s="0" t="s">
        <v>59</v>
      </c>
      <c r="B329" s="0" t="s">
        <v>60</v>
      </c>
      <c r="C329" s="0" t="n">
        <v>20171</v>
      </c>
      <c r="D329" s="0" t="n">
        <f aca="false">VLOOKUP(A329,[1]Worksheet!$A$2:$I$1049,4,0)</f>
        <v>21</v>
      </c>
      <c r="E329" s="0" t="n">
        <f aca="false">VLOOKUP(A329,[1]Worksheet!$A$2:$I$1049,5,0)</f>
        <v>2.9</v>
      </c>
      <c r="F329" s="0" t="n">
        <f aca="false">VLOOKUP(A329,[1]Worksheet!$A$2:$I$1049,6,0)</f>
        <v>62</v>
      </c>
      <c r="G329" s="0" t="n">
        <f aca="false">VLOOKUP(A329,[1]Worksheet!$A$2:$I$1049,7,0)</f>
        <v>2.89</v>
      </c>
      <c r="K329" s="0" t="n">
        <v>0</v>
      </c>
      <c r="M329" s="0" t="n">
        <f aca="false">D329*E329</f>
        <v>60.9</v>
      </c>
      <c r="N329" s="0" t="n">
        <f aca="false">F329*G329</f>
        <v>179.18</v>
      </c>
      <c r="P329" s="0" t="n">
        <f aca="false">K329+D329</f>
        <v>21</v>
      </c>
      <c r="Q329" s="0" t="n">
        <f aca="false">M329/P329</f>
        <v>2.9</v>
      </c>
      <c r="R329" s="0" t="n">
        <f aca="false">F329+K329</f>
        <v>62</v>
      </c>
      <c r="S329" s="0" t="n">
        <f aca="false">N329/R329</f>
        <v>2.89</v>
      </c>
    </row>
    <row r="330" customFormat="false" ht="15" hidden="false" customHeight="false" outlineLevel="0" collapsed="false">
      <c r="A330" s="0" t="s">
        <v>152</v>
      </c>
      <c r="B330" s="0" t="s">
        <v>153</v>
      </c>
      <c r="C330" s="0" t="n">
        <v>20171</v>
      </c>
      <c r="D330" s="0" t="n">
        <f aca="false">VLOOKUP(A330,[1]Worksheet!$A$2:$I$1049,4,0)</f>
        <v>21</v>
      </c>
      <c r="E330" s="0" t="n">
        <f aca="false">VLOOKUP(A330,[1]Worksheet!$A$2:$I$1049,5,0)</f>
        <v>2.76</v>
      </c>
      <c r="F330" s="0" t="n">
        <f aca="false">VLOOKUP(A330,[1]Worksheet!$A$2:$I$1049,6,0)</f>
        <v>62</v>
      </c>
      <c r="G330" s="0" t="n">
        <f aca="false">VLOOKUP(A330,[1]Worksheet!$A$2:$I$1049,7,0)</f>
        <v>3.07</v>
      </c>
      <c r="K330" s="0" t="n">
        <v>0</v>
      </c>
      <c r="M330" s="0" t="n">
        <f aca="false">D330*E330</f>
        <v>57.96</v>
      </c>
      <c r="N330" s="0" t="n">
        <f aca="false">F330*G330</f>
        <v>190.34</v>
      </c>
      <c r="P330" s="0" t="n">
        <f aca="false">K330+D330</f>
        <v>21</v>
      </c>
      <c r="Q330" s="0" t="n">
        <f aca="false">M330/P330</f>
        <v>2.76</v>
      </c>
      <c r="R330" s="0" t="n">
        <f aca="false">F330+K330</f>
        <v>62</v>
      </c>
      <c r="S330" s="0" t="n">
        <f aca="false">N330/R330</f>
        <v>3.07</v>
      </c>
    </row>
    <row r="331" customFormat="false" ht="15" hidden="false" customHeight="false" outlineLevel="0" collapsed="false">
      <c r="A331" s="0" t="s">
        <v>61</v>
      </c>
      <c r="B331" s="0" t="s">
        <v>62</v>
      </c>
      <c r="C331" s="0" t="n">
        <v>20171</v>
      </c>
      <c r="D331" s="0" t="n">
        <f aca="false">VLOOKUP(A331,[1]Worksheet!$A$2:$I$1049,4,0)</f>
        <v>20</v>
      </c>
      <c r="E331" s="0" t="n">
        <f aca="false">VLOOKUP(A331,[1]Worksheet!$A$2:$I$1049,5,0)</f>
        <v>1.98</v>
      </c>
      <c r="F331" s="0" t="n">
        <f aca="false">VLOOKUP(A331,[1]Worksheet!$A$2:$I$1049,6,0)</f>
        <v>61</v>
      </c>
      <c r="G331" s="0" t="n">
        <f aca="false">VLOOKUP(A331,[1]Worksheet!$A$2:$I$1049,7,0)</f>
        <v>2.51</v>
      </c>
      <c r="K331" s="0" t="n">
        <v>0</v>
      </c>
      <c r="M331" s="0" t="n">
        <f aca="false">D331*E331</f>
        <v>39.6</v>
      </c>
      <c r="N331" s="0" t="n">
        <f aca="false">F331*G331</f>
        <v>153.11</v>
      </c>
      <c r="P331" s="0" t="n">
        <f aca="false">K331+D331</f>
        <v>20</v>
      </c>
      <c r="Q331" s="0" t="n">
        <f aca="false">M331/P331</f>
        <v>1.98</v>
      </c>
      <c r="R331" s="0" t="n">
        <f aca="false">F331+K331</f>
        <v>61</v>
      </c>
      <c r="S331" s="0" t="n">
        <f aca="false">N331/R331</f>
        <v>2.51</v>
      </c>
    </row>
    <row r="332" customFormat="false" ht="15" hidden="false" customHeight="false" outlineLevel="0" collapsed="false">
      <c r="A332" s="0" t="s">
        <v>154</v>
      </c>
      <c r="B332" s="0" t="s">
        <v>155</v>
      </c>
      <c r="C332" s="0" t="n">
        <v>20171</v>
      </c>
      <c r="D332" s="0" t="n">
        <f aca="false">VLOOKUP(A332,[1]Worksheet!$A$2:$I$1049,4,0)</f>
        <v>21</v>
      </c>
      <c r="E332" s="0" t="n">
        <f aca="false">VLOOKUP(A332,[1]Worksheet!$A$2:$I$1049,5,0)</f>
        <v>0</v>
      </c>
      <c r="F332" s="0" t="n">
        <f aca="false">VLOOKUP(A332,[1]Worksheet!$A$2:$I$1049,6,0)</f>
        <v>62</v>
      </c>
      <c r="G332" s="0" t="n">
        <f aca="false">VLOOKUP(A332,[1]Worksheet!$A$2:$I$1049,7,0)</f>
        <v>1.99</v>
      </c>
      <c r="K332" s="0" t="n">
        <v>0</v>
      </c>
      <c r="M332" s="0" t="n">
        <f aca="false">D332*E332</f>
        <v>0</v>
      </c>
      <c r="N332" s="0" t="n">
        <f aca="false">F332*G332</f>
        <v>123.38</v>
      </c>
      <c r="P332" s="0" t="n">
        <f aca="false">K332+D332</f>
        <v>21</v>
      </c>
      <c r="Q332" s="0" t="n">
        <f aca="false">M332/P332</f>
        <v>0</v>
      </c>
      <c r="R332" s="0" t="n">
        <f aca="false">F332+K332</f>
        <v>62</v>
      </c>
      <c r="S332" s="0" t="n">
        <f aca="false">N332/R332</f>
        <v>1.99</v>
      </c>
    </row>
    <row r="333" customFormat="false" ht="15" hidden="false" customHeight="false" outlineLevel="0" collapsed="false">
      <c r="A333" s="0" t="s">
        <v>63</v>
      </c>
      <c r="B333" s="0" t="s">
        <v>64</v>
      </c>
      <c r="C333" s="0" t="n">
        <v>20171</v>
      </c>
      <c r="D333" s="0" t="n">
        <f aca="false">VLOOKUP(A333,[1]Worksheet!$A$2:$I$1049,4,0)</f>
        <v>23</v>
      </c>
      <c r="E333" s="0" t="n">
        <f aca="false">VLOOKUP(A333,[1]Worksheet!$A$2:$I$1049,5,0)</f>
        <v>2.02</v>
      </c>
      <c r="F333" s="0" t="n">
        <f aca="false">VLOOKUP(A333,[1]Worksheet!$A$2:$I$1049,6,0)</f>
        <v>64</v>
      </c>
      <c r="G333" s="0" t="n">
        <f aca="false">VLOOKUP(A333,[1]Worksheet!$A$2:$I$1049,7,0)</f>
        <v>2.64</v>
      </c>
      <c r="K333" s="0" t="n">
        <v>0</v>
      </c>
      <c r="M333" s="0" t="n">
        <f aca="false">D333*E333</f>
        <v>46.46</v>
      </c>
      <c r="N333" s="0" t="n">
        <f aca="false">F333*G333</f>
        <v>168.96</v>
      </c>
      <c r="P333" s="0" t="n">
        <f aca="false">K333+D333</f>
        <v>23</v>
      </c>
      <c r="Q333" s="0" t="n">
        <f aca="false">M333/P333</f>
        <v>2.02</v>
      </c>
      <c r="R333" s="0" t="n">
        <f aca="false">F333+K333</f>
        <v>64</v>
      </c>
      <c r="S333" s="0" t="n">
        <f aca="false">N333/R333</f>
        <v>2.64</v>
      </c>
    </row>
    <row r="334" customFormat="false" ht="15" hidden="false" customHeight="false" outlineLevel="0" collapsed="false">
      <c r="A334" s="0" t="s">
        <v>156</v>
      </c>
      <c r="B334" s="0" t="s">
        <v>157</v>
      </c>
      <c r="C334" s="0" t="n">
        <v>20171</v>
      </c>
      <c r="D334" s="0" t="n">
        <f aca="false">VLOOKUP(A334,[1]Worksheet!$A$2:$I$1049,4,0)</f>
        <v>18</v>
      </c>
      <c r="E334" s="0" t="n">
        <f aca="false">VLOOKUP(A334,[1]Worksheet!$A$2:$I$1049,5,0)</f>
        <v>2.42</v>
      </c>
      <c r="F334" s="0" t="n">
        <f aca="false">VLOOKUP(A334,[1]Worksheet!$A$2:$I$1049,6,0)</f>
        <v>59</v>
      </c>
      <c r="G334" s="0" t="n">
        <f aca="false">VLOOKUP(A334,[1]Worksheet!$A$2:$I$1049,7,0)</f>
        <v>2.71</v>
      </c>
      <c r="K334" s="0" t="n">
        <v>0</v>
      </c>
      <c r="M334" s="0" t="n">
        <f aca="false">D334*E334</f>
        <v>43.56</v>
      </c>
      <c r="N334" s="0" t="n">
        <f aca="false">F334*G334</f>
        <v>159.89</v>
      </c>
      <c r="P334" s="0" t="n">
        <f aca="false">K334+D334</f>
        <v>18</v>
      </c>
      <c r="Q334" s="0" t="n">
        <f aca="false">M334/P334</f>
        <v>2.42</v>
      </c>
      <c r="R334" s="0" t="n">
        <f aca="false">F334+K334</f>
        <v>59</v>
      </c>
      <c r="S334" s="0" t="n">
        <f aca="false">N334/R334</f>
        <v>2.71</v>
      </c>
    </row>
    <row r="335" customFormat="false" ht="15" hidden="false" customHeight="false" outlineLevel="0" collapsed="false">
      <c r="A335" s="0" t="s">
        <v>65</v>
      </c>
      <c r="B335" s="0" t="s">
        <v>66</v>
      </c>
      <c r="C335" s="0" t="n">
        <v>20171</v>
      </c>
      <c r="D335" s="0" t="n">
        <f aca="false">VLOOKUP(A335,[1]Worksheet!$A$2:$I$1049,4,0)</f>
        <v>21</v>
      </c>
      <c r="E335" s="0" t="n">
        <f aca="false">VLOOKUP(A335,[1]Worksheet!$A$2:$I$1049,5,0)</f>
        <v>2.57</v>
      </c>
      <c r="F335" s="0" t="n">
        <f aca="false">VLOOKUP(A335,[1]Worksheet!$A$2:$I$1049,6,0)</f>
        <v>62</v>
      </c>
      <c r="G335" s="0" t="n">
        <f aca="false">VLOOKUP(A335,[1]Worksheet!$A$2:$I$1049,7,0)</f>
        <v>2.56</v>
      </c>
      <c r="K335" s="0" t="n">
        <v>0</v>
      </c>
      <c r="M335" s="0" t="n">
        <f aca="false">D335*E335</f>
        <v>53.97</v>
      </c>
      <c r="N335" s="0" t="n">
        <f aca="false">F335*G335</f>
        <v>158.72</v>
      </c>
      <c r="P335" s="0" t="n">
        <f aca="false">K335+D335</f>
        <v>21</v>
      </c>
      <c r="Q335" s="0" t="n">
        <f aca="false">M335/P335</f>
        <v>2.57</v>
      </c>
      <c r="R335" s="0" t="n">
        <f aca="false">F335+K335</f>
        <v>62</v>
      </c>
      <c r="S335" s="0" t="n">
        <f aca="false">N335/R335</f>
        <v>2.56</v>
      </c>
    </row>
    <row r="336" customFormat="false" ht="15" hidden="false" customHeight="false" outlineLevel="0" collapsed="false">
      <c r="A336" s="0" t="s">
        <v>158</v>
      </c>
      <c r="B336" s="0" t="s">
        <v>159</v>
      </c>
      <c r="C336" s="0" t="n">
        <v>20171</v>
      </c>
      <c r="D336" s="0" t="n">
        <f aca="false">VLOOKUP(A336,[1]Worksheet!$A$2:$I$1049,4,0)</f>
        <v>18</v>
      </c>
      <c r="E336" s="0" t="n">
        <f aca="false">VLOOKUP(A336,[1]Worksheet!$A$2:$I$1049,5,0)</f>
        <v>2.53</v>
      </c>
      <c r="F336" s="0" t="n">
        <f aca="false">VLOOKUP(A336,[1]Worksheet!$A$2:$I$1049,6,0)</f>
        <v>59</v>
      </c>
      <c r="G336" s="0" t="n">
        <f aca="false">VLOOKUP(A336,[1]Worksheet!$A$2:$I$1049,7,0)</f>
        <v>2.63</v>
      </c>
      <c r="K336" s="0" t="n">
        <v>0</v>
      </c>
      <c r="M336" s="0" t="n">
        <f aca="false">D336*E336</f>
        <v>45.54</v>
      </c>
      <c r="N336" s="0" t="n">
        <f aca="false">F336*G336</f>
        <v>155.17</v>
      </c>
      <c r="P336" s="0" t="n">
        <f aca="false">K336+D336</f>
        <v>18</v>
      </c>
      <c r="Q336" s="0" t="n">
        <f aca="false">M336/P336</f>
        <v>2.53</v>
      </c>
      <c r="R336" s="0" t="n">
        <f aca="false">F336+K336</f>
        <v>59</v>
      </c>
      <c r="S336" s="0" t="n">
        <f aca="false">N336/R336</f>
        <v>2.63</v>
      </c>
    </row>
    <row r="337" customFormat="false" ht="15" hidden="false" customHeight="false" outlineLevel="0" collapsed="false">
      <c r="A337" s="0" t="s">
        <v>67</v>
      </c>
      <c r="B337" s="0" t="s">
        <v>68</v>
      </c>
      <c r="C337" s="0" t="n">
        <v>20171</v>
      </c>
      <c r="D337" s="0" t="n">
        <f aca="false">VLOOKUP(A337,[1]Worksheet!$A$2:$I$1049,4,0)</f>
        <v>23</v>
      </c>
      <c r="E337" s="0" t="n">
        <f aca="false">VLOOKUP(A337,[1]Worksheet!$A$2:$I$1049,5,0)</f>
        <v>2.89</v>
      </c>
      <c r="F337" s="0" t="n">
        <f aca="false">VLOOKUP(A337,[1]Worksheet!$A$2:$I$1049,6,0)</f>
        <v>66</v>
      </c>
      <c r="G337" s="0" t="n">
        <f aca="false">VLOOKUP(A337,[1]Worksheet!$A$2:$I$1049,7,0)</f>
        <v>3.21</v>
      </c>
      <c r="K337" s="0" t="n">
        <v>0</v>
      </c>
      <c r="M337" s="0" t="n">
        <f aca="false">D337*E337</f>
        <v>66.47</v>
      </c>
      <c r="N337" s="0" t="n">
        <f aca="false">F337*G337</f>
        <v>211.86</v>
      </c>
      <c r="P337" s="0" t="n">
        <f aca="false">K337+D337</f>
        <v>23</v>
      </c>
      <c r="Q337" s="0" t="n">
        <f aca="false">M337/P337</f>
        <v>2.89</v>
      </c>
      <c r="R337" s="0" t="n">
        <f aca="false">F337+K337</f>
        <v>66</v>
      </c>
      <c r="S337" s="0" t="n">
        <f aca="false">N337/R337</f>
        <v>3.21</v>
      </c>
    </row>
    <row r="338" customFormat="false" ht="15" hidden="false" customHeight="false" outlineLevel="0" collapsed="false">
      <c r="A338" s="0" t="s">
        <v>69</v>
      </c>
      <c r="B338" s="0" t="s">
        <v>70</v>
      </c>
      <c r="C338" s="0" t="n">
        <v>20171</v>
      </c>
      <c r="D338" s="0" t="n">
        <f aca="false">VLOOKUP(A338,[1]Worksheet!$A$2:$I$1049,4,0)</f>
        <v>23</v>
      </c>
      <c r="E338" s="0" t="n">
        <f aca="false">VLOOKUP(A338,[1]Worksheet!$A$2:$I$1049,5,0)</f>
        <v>3.28</v>
      </c>
      <c r="F338" s="0" t="n">
        <f aca="false">VLOOKUP(A338,[1]Worksheet!$A$2:$I$1049,6,0)</f>
        <v>66</v>
      </c>
      <c r="G338" s="0" t="n">
        <f aca="false">VLOOKUP(A338,[1]Worksheet!$A$2:$I$1049,7,0)</f>
        <v>3.42</v>
      </c>
      <c r="K338" s="0" t="n">
        <v>0</v>
      </c>
      <c r="M338" s="0" t="n">
        <f aca="false">D338*E338</f>
        <v>75.44</v>
      </c>
      <c r="N338" s="0" t="n">
        <f aca="false">F338*G338</f>
        <v>225.72</v>
      </c>
      <c r="P338" s="0" t="n">
        <f aca="false">K338+D338</f>
        <v>23</v>
      </c>
      <c r="Q338" s="0" t="n">
        <f aca="false">M338/P338</f>
        <v>3.28</v>
      </c>
      <c r="R338" s="0" t="n">
        <f aca="false">F338+K338</f>
        <v>66</v>
      </c>
      <c r="S338" s="0" t="n">
        <f aca="false">N338/R338</f>
        <v>3.42</v>
      </c>
    </row>
    <row r="339" customFormat="false" ht="15" hidden="false" customHeight="false" outlineLevel="0" collapsed="false">
      <c r="A339" s="0" t="s">
        <v>71</v>
      </c>
      <c r="B339" s="0" t="s">
        <v>72</v>
      </c>
      <c r="C339" s="0" t="n">
        <v>20171</v>
      </c>
      <c r="D339" s="0" t="n">
        <f aca="false">VLOOKUP(A339,[1]Worksheet!$A$2:$I$1049,4,0)</f>
        <v>21</v>
      </c>
      <c r="E339" s="0" t="n">
        <f aca="false">VLOOKUP(A339,[1]Worksheet!$A$2:$I$1049,5,0)</f>
        <v>2.71</v>
      </c>
      <c r="F339" s="0" t="n">
        <f aca="false">VLOOKUP(A339,[1]Worksheet!$A$2:$I$1049,6,0)</f>
        <v>64</v>
      </c>
      <c r="G339" s="0" t="n">
        <f aca="false">VLOOKUP(A339,[1]Worksheet!$A$2:$I$1049,7,0)</f>
        <v>2.96</v>
      </c>
      <c r="K339" s="0" t="n">
        <v>0</v>
      </c>
      <c r="M339" s="0" t="n">
        <f aca="false">D339*E339</f>
        <v>56.91</v>
      </c>
      <c r="N339" s="0" t="n">
        <f aca="false">F339*G339</f>
        <v>189.44</v>
      </c>
      <c r="P339" s="0" t="n">
        <f aca="false">K339+D339</f>
        <v>21</v>
      </c>
      <c r="Q339" s="0" t="n">
        <f aca="false">M339/P339</f>
        <v>2.71</v>
      </c>
      <c r="R339" s="0" t="n">
        <f aca="false">F339+K339</f>
        <v>64</v>
      </c>
      <c r="S339" s="0" t="n">
        <f aca="false">N339/R339</f>
        <v>2.96</v>
      </c>
    </row>
    <row r="340" customFormat="false" ht="15" hidden="false" customHeight="false" outlineLevel="0" collapsed="false">
      <c r="A340" s="0" t="s">
        <v>160</v>
      </c>
      <c r="B340" s="0" t="s">
        <v>161</v>
      </c>
      <c r="C340" s="0" t="n">
        <v>20171</v>
      </c>
      <c r="D340" s="0" t="n">
        <f aca="false">VLOOKUP(A340,[1]Worksheet!$A$2:$I$1049,4,0)</f>
        <v>23</v>
      </c>
      <c r="E340" s="0" t="n">
        <f aca="false">VLOOKUP(A340,[1]Worksheet!$A$2:$I$1049,5,0)</f>
        <v>2.67</v>
      </c>
      <c r="F340" s="0" t="n">
        <f aca="false">VLOOKUP(A340,[1]Worksheet!$A$2:$I$1049,6,0)</f>
        <v>66</v>
      </c>
      <c r="G340" s="0" t="n">
        <f aca="false">VLOOKUP(A340,[1]Worksheet!$A$2:$I$1049,7,0)</f>
        <v>2.98</v>
      </c>
      <c r="K340" s="0" t="n">
        <v>0</v>
      </c>
      <c r="M340" s="0" t="n">
        <f aca="false">D340*E340</f>
        <v>61.41</v>
      </c>
      <c r="N340" s="0" t="n">
        <f aca="false">F340*G340</f>
        <v>196.68</v>
      </c>
      <c r="P340" s="0" t="n">
        <f aca="false">K340+D340</f>
        <v>23</v>
      </c>
      <c r="Q340" s="0" t="n">
        <f aca="false">M340/P340</f>
        <v>2.67</v>
      </c>
      <c r="R340" s="0" t="n">
        <f aca="false">F340+K340</f>
        <v>66</v>
      </c>
      <c r="S340" s="0" t="n">
        <f aca="false">N340/R340</f>
        <v>2.98</v>
      </c>
    </row>
    <row r="341" customFormat="false" ht="15" hidden="false" customHeight="false" outlineLevel="0" collapsed="false">
      <c r="A341" s="0" t="s">
        <v>162</v>
      </c>
      <c r="B341" s="0" t="s">
        <v>163</v>
      </c>
      <c r="C341" s="0" t="n">
        <v>20171</v>
      </c>
      <c r="D341" s="0" t="n">
        <f aca="false">VLOOKUP(A341,[1]Worksheet!$A$2:$I$1049,4,0)</f>
        <v>21</v>
      </c>
      <c r="E341" s="0" t="n">
        <f aca="false">VLOOKUP(A341,[1]Worksheet!$A$2:$I$1049,5,0)</f>
        <v>3.33</v>
      </c>
      <c r="F341" s="0" t="n">
        <f aca="false">VLOOKUP(A341,[1]Worksheet!$A$2:$I$1049,6,0)</f>
        <v>64</v>
      </c>
      <c r="G341" s="0" t="n">
        <f aca="false">VLOOKUP(A341,[1]Worksheet!$A$2:$I$1049,7,0)</f>
        <v>3.13</v>
      </c>
      <c r="K341" s="0" t="n">
        <v>0</v>
      </c>
      <c r="M341" s="0" t="n">
        <f aca="false">D341*E341</f>
        <v>69.93</v>
      </c>
      <c r="N341" s="0" t="n">
        <f aca="false">F341*G341</f>
        <v>200.32</v>
      </c>
      <c r="P341" s="0" t="n">
        <f aca="false">K341+D341</f>
        <v>21</v>
      </c>
      <c r="Q341" s="0" t="n">
        <f aca="false">M341/P341</f>
        <v>3.33</v>
      </c>
      <c r="R341" s="0" t="n">
        <f aca="false">F341+K341</f>
        <v>64</v>
      </c>
      <c r="S341" s="0" t="n">
        <f aca="false">N341/R341</f>
        <v>3.13</v>
      </c>
    </row>
    <row r="342" customFormat="false" ht="15" hidden="false" customHeight="false" outlineLevel="0" collapsed="false">
      <c r="A342" s="0" t="s">
        <v>73</v>
      </c>
      <c r="B342" s="0" t="s">
        <v>74</v>
      </c>
      <c r="C342" s="0" t="n">
        <v>20171</v>
      </c>
      <c r="D342" s="0" t="n">
        <f aca="false">VLOOKUP(A342,[1]Worksheet!$A$2:$I$1049,4,0)</f>
        <v>21</v>
      </c>
      <c r="E342" s="0" t="n">
        <f aca="false">VLOOKUP(A342,[1]Worksheet!$A$2:$I$1049,5,0)</f>
        <v>2.71</v>
      </c>
      <c r="F342" s="0" t="n">
        <f aca="false">VLOOKUP(A342,[1]Worksheet!$A$2:$I$1049,6,0)</f>
        <v>64</v>
      </c>
      <c r="G342" s="0" t="n">
        <f aca="false">VLOOKUP(A342,[1]Worksheet!$A$2:$I$1049,7,0)</f>
        <v>2.92</v>
      </c>
      <c r="K342" s="0" t="n">
        <v>0</v>
      </c>
      <c r="M342" s="0" t="n">
        <f aca="false">D342*E342</f>
        <v>56.91</v>
      </c>
      <c r="N342" s="0" t="n">
        <f aca="false">F342*G342</f>
        <v>186.88</v>
      </c>
      <c r="P342" s="0" t="n">
        <f aca="false">K342+D342</f>
        <v>21</v>
      </c>
      <c r="Q342" s="0" t="n">
        <f aca="false">M342/P342</f>
        <v>2.71</v>
      </c>
      <c r="R342" s="0" t="n">
        <f aca="false">F342+K342</f>
        <v>64</v>
      </c>
      <c r="S342" s="0" t="n">
        <f aca="false">N342/R342</f>
        <v>2.92</v>
      </c>
    </row>
    <row r="343" customFormat="false" ht="15" hidden="false" customHeight="false" outlineLevel="0" collapsed="false">
      <c r="A343" s="0" t="s">
        <v>164</v>
      </c>
      <c r="B343" s="0" t="s">
        <v>165</v>
      </c>
      <c r="C343" s="0" t="n">
        <v>20171</v>
      </c>
      <c r="D343" s="0" t="n">
        <f aca="false">VLOOKUP(A343,[1]Worksheet!$A$2:$I$1049,4,0)</f>
        <v>18</v>
      </c>
      <c r="E343" s="0" t="n">
        <f aca="false">VLOOKUP(A343,[1]Worksheet!$A$2:$I$1049,5,0)</f>
        <v>0.69</v>
      </c>
      <c r="F343" s="0" t="n">
        <f aca="false">VLOOKUP(A343,[1]Worksheet!$A$2:$I$1049,6,0)</f>
        <v>59</v>
      </c>
      <c r="G343" s="0" t="n">
        <f aca="false">VLOOKUP(A343,[1]Worksheet!$A$2:$I$1049,7,0)</f>
        <v>2.26</v>
      </c>
      <c r="K343" s="0" t="n">
        <v>0</v>
      </c>
      <c r="M343" s="0" t="n">
        <f aca="false">D343*E343</f>
        <v>12.42</v>
      </c>
      <c r="N343" s="0" t="n">
        <f aca="false">F343*G343</f>
        <v>133.34</v>
      </c>
      <c r="P343" s="0" t="n">
        <f aca="false">K343+D343</f>
        <v>18</v>
      </c>
      <c r="Q343" s="0" t="n">
        <f aca="false">M343/P343</f>
        <v>0.69</v>
      </c>
      <c r="R343" s="0" t="n">
        <f aca="false">F343+K343</f>
        <v>59</v>
      </c>
      <c r="S343" s="0" t="n">
        <f aca="false">N343/R343</f>
        <v>2.26</v>
      </c>
    </row>
    <row r="344" customFormat="false" ht="15" hidden="false" customHeight="false" outlineLevel="0" collapsed="false">
      <c r="A344" s="0" t="s">
        <v>75</v>
      </c>
      <c r="B344" s="0" t="s">
        <v>76</v>
      </c>
      <c r="C344" s="0" t="n">
        <v>20171</v>
      </c>
      <c r="D344" s="0" t="n">
        <f aca="false">VLOOKUP(A344,[1]Worksheet!$A$2:$I$1049,4,0)</f>
        <v>23</v>
      </c>
      <c r="E344" s="0" t="n">
        <f aca="false">VLOOKUP(A344,[1]Worksheet!$A$2:$I$1049,5,0)</f>
        <v>2.89</v>
      </c>
      <c r="F344" s="0" t="n">
        <f aca="false">VLOOKUP(A344,[1]Worksheet!$A$2:$I$1049,6,0)</f>
        <v>66</v>
      </c>
      <c r="G344" s="0" t="n">
        <f aca="false">VLOOKUP(A344,[1]Worksheet!$A$2:$I$1049,7,0)</f>
        <v>3.17</v>
      </c>
      <c r="K344" s="0" t="n">
        <v>0</v>
      </c>
      <c r="M344" s="0" t="n">
        <f aca="false">D344*E344</f>
        <v>66.47</v>
      </c>
      <c r="N344" s="0" t="n">
        <f aca="false">F344*G344</f>
        <v>209.22</v>
      </c>
      <c r="P344" s="0" t="n">
        <f aca="false">K344+D344</f>
        <v>23</v>
      </c>
      <c r="Q344" s="0" t="n">
        <f aca="false">M344/P344</f>
        <v>2.89</v>
      </c>
      <c r="R344" s="0" t="n">
        <f aca="false">F344+K344</f>
        <v>66</v>
      </c>
      <c r="S344" s="0" t="n">
        <f aca="false">N344/R344</f>
        <v>3.17</v>
      </c>
    </row>
    <row r="345" customFormat="false" ht="15" hidden="false" customHeight="false" outlineLevel="0" collapsed="false">
      <c r="A345" s="0" t="s">
        <v>166</v>
      </c>
      <c r="B345" s="0" t="s">
        <v>167</v>
      </c>
      <c r="C345" s="0" t="n">
        <v>20171</v>
      </c>
      <c r="D345" s="0" t="n">
        <f aca="false">VLOOKUP(A345,[1]Worksheet!$A$2:$I$1049,4,0)</f>
        <v>13</v>
      </c>
      <c r="E345" s="0" t="n">
        <f aca="false">VLOOKUP(A345,[1]Worksheet!$A$2:$I$1049,5,0)</f>
        <v>2.35</v>
      </c>
      <c r="F345" s="0" t="n">
        <f aca="false">VLOOKUP(A345,[1]Worksheet!$A$2:$I$1049,6,0)</f>
        <v>54</v>
      </c>
      <c r="G345" s="0" t="n">
        <f aca="false">VLOOKUP(A345,[1]Worksheet!$A$2:$I$1049,7,0)</f>
        <v>2.11</v>
      </c>
      <c r="K345" s="0" t="n">
        <v>0</v>
      </c>
      <c r="M345" s="0" t="n">
        <f aca="false">D345*E345</f>
        <v>30.55</v>
      </c>
      <c r="N345" s="0" t="n">
        <f aca="false">F345*G345</f>
        <v>113.94</v>
      </c>
      <c r="P345" s="0" t="n">
        <f aca="false">K345+D345</f>
        <v>13</v>
      </c>
      <c r="Q345" s="0" t="n">
        <f aca="false">M345/P345</f>
        <v>2.35</v>
      </c>
      <c r="R345" s="0" t="n">
        <f aca="false">F345+K345</f>
        <v>54</v>
      </c>
      <c r="S345" s="0" t="n">
        <f aca="false">N345/R345</f>
        <v>2.11</v>
      </c>
    </row>
    <row r="346" customFormat="false" ht="15" hidden="false" customHeight="false" outlineLevel="0" collapsed="false">
      <c r="A346" s="0" t="s">
        <v>77</v>
      </c>
      <c r="B346" s="0" t="s">
        <v>78</v>
      </c>
      <c r="C346" s="0" t="n">
        <v>20171</v>
      </c>
      <c r="D346" s="0" t="n">
        <f aca="false">VLOOKUP(A346,[1]Worksheet!$A$2:$I$1049,4,0)</f>
        <v>21</v>
      </c>
      <c r="E346" s="0" t="n">
        <f aca="false">VLOOKUP(A346,[1]Worksheet!$A$2:$I$1049,5,0)</f>
        <v>3.1</v>
      </c>
      <c r="F346" s="0" t="n">
        <f aca="false">VLOOKUP(A346,[1]Worksheet!$A$2:$I$1049,6,0)</f>
        <v>64</v>
      </c>
      <c r="G346" s="0" t="n">
        <f aca="false">VLOOKUP(A346,[1]Worksheet!$A$2:$I$1049,7,0)</f>
        <v>3.45</v>
      </c>
      <c r="K346" s="0" t="n">
        <v>0</v>
      </c>
      <c r="M346" s="0" t="n">
        <f aca="false">D346*E346</f>
        <v>65.1</v>
      </c>
      <c r="N346" s="0" t="n">
        <f aca="false">F346*G346</f>
        <v>220.8</v>
      </c>
      <c r="P346" s="0" t="n">
        <f aca="false">K346+D346</f>
        <v>21</v>
      </c>
      <c r="Q346" s="0" t="n">
        <f aca="false">M346/P346</f>
        <v>3.1</v>
      </c>
      <c r="R346" s="0" t="n">
        <f aca="false">F346+K346</f>
        <v>64</v>
      </c>
      <c r="S346" s="0" t="n">
        <f aca="false">N346/R346</f>
        <v>3.45</v>
      </c>
    </row>
    <row r="347" customFormat="false" ht="15" hidden="false" customHeight="false" outlineLevel="0" collapsed="false">
      <c r="A347" s="0" t="s">
        <v>168</v>
      </c>
      <c r="B347" s="0" t="s">
        <v>169</v>
      </c>
      <c r="C347" s="0" t="n">
        <v>20171</v>
      </c>
      <c r="D347" s="0" t="n">
        <f aca="false">VLOOKUP(A347,[1]Worksheet!$A$2:$I$1049,4,0)</f>
        <v>21</v>
      </c>
      <c r="E347" s="0" t="n">
        <f aca="false">VLOOKUP(A347,[1]Worksheet!$A$2:$I$1049,5,0)</f>
        <v>0.14</v>
      </c>
      <c r="F347" s="0" t="n">
        <f aca="false">VLOOKUP(A347,[1]Worksheet!$A$2:$I$1049,6,0)</f>
        <v>62</v>
      </c>
      <c r="G347" s="0" t="n">
        <f aca="false">VLOOKUP(A347,[1]Worksheet!$A$2:$I$1049,7,0)</f>
        <v>2.54</v>
      </c>
      <c r="K347" s="0" t="n">
        <v>0</v>
      </c>
      <c r="M347" s="0" t="n">
        <f aca="false">D347*E347</f>
        <v>2.94</v>
      </c>
      <c r="N347" s="0" t="n">
        <f aca="false">F347*G347</f>
        <v>157.48</v>
      </c>
      <c r="P347" s="0" t="n">
        <f aca="false">K347+D347</f>
        <v>21</v>
      </c>
      <c r="Q347" s="0" t="n">
        <f aca="false">M347/P347</f>
        <v>0.14</v>
      </c>
      <c r="R347" s="0" t="n">
        <f aca="false">F347+K347</f>
        <v>62</v>
      </c>
      <c r="S347" s="0" t="n">
        <f aca="false">N347/R347</f>
        <v>2.54</v>
      </c>
    </row>
    <row r="348" customFormat="false" ht="15" hidden="false" customHeight="false" outlineLevel="0" collapsed="false">
      <c r="A348" s="0" t="s">
        <v>79</v>
      </c>
      <c r="B348" s="0" t="s">
        <v>80</v>
      </c>
      <c r="C348" s="0" t="n">
        <v>20171</v>
      </c>
      <c r="D348" s="0" t="n">
        <f aca="false">VLOOKUP(A348,[1]Worksheet!$A$2:$I$1049,4,0)</f>
        <v>21</v>
      </c>
      <c r="E348" s="0" t="n">
        <f aca="false">VLOOKUP(A348,[1]Worksheet!$A$2:$I$1049,5,0)</f>
        <v>2.69</v>
      </c>
      <c r="F348" s="0" t="n">
        <f aca="false">VLOOKUP(A348,[1]Worksheet!$A$2:$I$1049,6,0)</f>
        <v>64</v>
      </c>
      <c r="G348" s="0" t="n">
        <f aca="false">VLOOKUP(A348,[1]Worksheet!$A$2:$I$1049,7,0)</f>
        <v>3.09</v>
      </c>
      <c r="K348" s="0" t="n">
        <v>0</v>
      </c>
      <c r="M348" s="0" t="n">
        <f aca="false">D348*E348</f>
        <v>56.49</v>
      </c>
      <c r="N348" s="0" t="n">
        <f aca="false">F348*G348</f>
        <v>197.76</v>
      </c>
      <c r="P348" s="0" t="n">
        <f aca="false">K348+D348</f>
        <v>21</v>
      </c>
      <c r="Q348" s="0" t="n">
        <f aca="false">M348/P348</f>
        <v>2.69</v>
      </c>
      <c r="R348" s="0" t="n">
        <f aca="false">F348+K348</f>
        <v>64</v>
      </c>
      <c r="S348" s="0" t="n">
        <f aca="false">N348/R348</f>
        <v>3.09</v>
      </c>
    </row>
    <row r="349" customFormat="false" ht="15" hidden="false" customHeight="false" outlineLevel="0" collapsed="false">
      <c r="A349" s="0" t="s">
        <v>170</v>
      </c>
      <c r="B349" s="0" t="s">
        <v>171</v>
      </c>
      <c r="C349" s="0" t="n">
        <v>20171</v>
      </c>
      <c r="D349" s="0" t="n">
        <f aca="false">VLOOKUP(A349,[1]Worksheet!$A$2:$I$1049,4,0)</f>
        <v>18</v>
      </c>
      <c r="E349" s="0" t="n">
        <f aca="false">VLOOKUP(A349,[1]Worksheet!$A$2:$I$1049,5,0)</f>
        <v>2.28</v>
      </c>
      <c r="F349" s="0" t="n">
        <f aca="false">VLOOKUP(A349,[1]Worksheet!$A$2:$I$1049,6,0)</f>
        <v>59</v>
      </c>
      <c r="G349" s="0" t="n">
        <f aca="false">VLOOKUP(A349,[1]Worksheet!$A$2:$I$1049,7,0)</f>
        <v>2.62</v>
      </c>
      <c r="K349" s="0" t="n">
        <v>0</v>
      </c>
      <c r="M349" s="0" t="n">
        <f aca="false">D349*E349</f>
        <v>41.04</v>
      </c>
      <c r="N349" s="0" t="n">
        <f aca="false">F349*G349</f>
        <v>154.58</v>
      </c>
      <c r="P349" s="0" t="n">
        <f aca="false">K349+D349</f>
        <v>18</v>
      </c>
      <c r="Q349" s="0" t="n">
        <f aca="false">M349/P349</f>
        <v>2.28</v>
      </c>
      <c r="R349" s="0" t="n">
        <f aca="false">F349+K349</f>
        <v>59</v>
      </c>
      <c r="S349" s="0" t="n">
        <f aca="false">N349/R349</f>
        <v>2.62</v>
      </c>
    </row>
    <row r="350" customFormat="false" ht="15" hidden="false" customHeight="false" outlineLevel="0" collapsed="false">
      <c r="A350" s="0" t="s">
        <v>172</v>
      </c>
      <c r="B350" s="0" t="s">
        <v>173</v>
      </c>
      <c r="C350" s="0" t="n">
        <v>20171</v>
      </c>
      <c r="D350" s="0" t="n">
        <f aca="false">VLOOKUP(A350,[1]Worksheet!$A$2:$I$1049,4,0)</f>
        <v>21</v>
      </c>
      <c r="E350" s="0" t="n">
        <f aca="false">VLOOKUP(A350,[1]Worksheet!$A$2:$I$1049,5,0)</f>
        <v>2.64</v>
      </c>
      <c r="F350" s="0" t="n">
        <f aca="false">VLOOKUP(A350,[1]Worksheet!$A$2:$I$1049,6,0)</f>
        <v>62</v>
      </c>
      <c r="G350" s="0" t="n">
        <f aca="false">VLOOKUP(A350,[1]Worksheet!$A$2:$I$1049,7,0)</f>
        <v>2.82</v>
      </c>
      <c r="K350" s="0" t="n">
        <v>0</v>
      </c>
      <c r="M350" s="0" t="n">
        <f aca="false">D350*E350</f>
        <v>55.44</v>
      </c>
      <c r="N350" s="0" t="n">
        <f aca="false">F350*G350</f>
        <v>174.84</v>
      </c>
      <c r="P350" s="0" t="n">
        <f aca="false">K350+D350</f>
        <v>21</v>
      </c>
      <c r="Q350" s="0" t="n">
        <f aca="false">M350/P350</f>
        <v>2.64</v>
      </c>
      <c r="R350" s="0" t="n">
        <f aca="false">F350+K350</f>
        <v>62</v>
      </c>
      <c r="S350" s="0" t="n">
        <f aca="false">N350/R350</f>
        <v>2.82</v>
      </c>
    </row>
    <row r="351" customFormat="false" ht="15" hidden="false" customHeight="false" outlineLevel="0" collapsed="false">
      <c r="A351" s="0" t="s">
        <v>174</v>
      </c>
      <c r="B351" s="0" t="s">
        <v>175</v>
      </c>
      <c r="C351" s="0" t="n">
        <v>20171</v>
      </c>
      <c r="D351" s="0" t="n">
        <f aca="false">VLOOKUP(A351,[1]Worksheet!$A$2:$I$1049,4,0)</f>
        <v>18</v>
      </c>
      <c r="E351" s="0" t="n">
        <f aca="false">VLOOKUP(A351,[1]Worksheet!$A$2:$I$1049,5,0)</f>
        <v>0</v>
      </c>
      <c r="F351" s="0" t="n">
        <f aca="false">VLOOKUP(A351,[1]Worksheet!$A$2:$I$1049,6,0)</f>
        <v>59</v>
      </c>
      <c r="G351" s="0" t="n">
        <f aca="false">VLOOKUP(A351,[1]Worksheet!$A$2:$I$1049,7,0)</f>
        <v>1.98</v>
      </c>
      <c r="K351" s="0" t="n">
        <v>0</v>
      </c>
      <c r="M351" s="0" t="n">
        <f aca="false">D351*E351</f>
        <v>0</v>
      </c>
      <c r="N351" s="0" t="n">
        <f aca="false">F351*G351</f>
        <v>116.82</v>
      </c>
      <c r="P351" s="0" t="n">
        <f aca="false">K351+D351</f>
        <v>18</v>
      </c>
      <c r="Q351" s="0" t="n">
        <f aca="false">M351/P351</f>
        <v>0</v>
      </c>
      <c r="R351" s="0" t="n">
        <f aca="false">F351+K351</f>
        <v>59</v>
      </c>
      <c r="S351" s="0" t="n">
        <f aca="false">N351/R351</f>
        <v>1.98</v>
      </c>
    </row>
    <row r="352" customFormat="false" ht="15" hidden="false" customHeight="false" outlineLevel="0" collapsed="false">
      <c r="A352" s="0" t="s">
        <v>81</v>
      </c>
      <c r="B352" s="0" t="s">
        <v>82</v>
      </c>
      <c r="C352" s="0" t="n">
        <v>20171</v>
      </c>
      <c r="D352" s="0" t="n">
        <f aca="false">VLOOKUP(A352,[1]Worksheet!$A$2:$I$1049,4,0)</f>
        <v>21</v>
      </c>
      <c r="E352" s="0" t="n">
        <f aca="false">VLOOKUP(A352,[1]Worksheet!$A$2:$I$1049,5,0)</f>
        <v>3.24</v>
      </c>
      <c r="F352" s="0" t="n">
        <f aca="false">VLOOKUP(A352,[1]Worksheet!$A$2:$I$1049,6,0)</f>
        <v>62</v>
      </c>
      <c r="G352" s="0" t="n">
        <f aca="false">VLOOKUP(A352,[1]Worksheet!$A$2:$I$1049,7,0)</f>
        <v>3.36</v>
      </c>
      <c r="K352" s="0" t="n">
        <v>0</v>
      </c>
      <c r="M352" s="0" t="n">
        <f aca="false">D352*E352</f>
        <v>68.04</v>
      </c>
      <c r="N352" s="0" t="n">
        <f aca="false">F352*G352</f>
        <v>208.32</v>
      </c>
      <c r="P352" s="0" t="n">
        <f aca="false">K352+D352</f>
        <v>21</v>
      </c>
      <c r="Q352" s="0" t="n">
        <f aca="false">M352/P352</f>
        <v>3.24</v>
      </c>
      <c r="R352" s="0" t="n">
        <f aca="false">F352+K352</f>
        <v>62</v>
      </c>
      <c r="S352" s="0" t="n">
        <f aca="false">N352/R352</f>
        <v>3.36</v>
      </c>
    </row>
    <row r="353" customFormat="false" ht="15" hidden="false" customHeight="false" outlineLevel="0" collapsed="false">
      <c r="A353" s="0" t="s">
        <v>176</v>
      </c>
      <c r="B353" s="0" t="s">
        <v>177</v>
      </c>
      <c r="C353" s="0" t="n">
        <v>20171</v>
      </c>
      <c r="D353" s="0" t="n">
        <f aca="false">VLOOKUP(A353,[1]Worksheet!$A$2:$I$1049,4,0)</f>
        <v>23</v>
      </c>
      <c r="E353" s="0" t="n">
        <f aca="false">VLOOKUP(A353,[1]Worksheet!$A$2:$I$1049,5,0)</f>
        <v>3.39</v>
      </c>
      <c r="F353" s="0" t="n">
        <f aca="false">VLOOKUP(A353,[1]Worksheet!$A$2:$I$1049,6,0)</f>
        <v>66</v>
      </c>
      <c r="G353" s="0" t="n">
        <f aca="false">VLOOKUP(A353,[1]Worksheet!$A$2:$I$1049,7,0)</f>
        <v>3.6</v>
      </c>
      <c r="K353" s="0" t="n">
        <v>0</v>
      </c>
      <c r="M353" s="0" t="n">
        <f aca="false">D353*E353</f>
        <v>77.97</v>
      </c>
      <c r="N353" s="0" t="n">
        <f aca="false">F353*G353</f>
        <v>237.6</v>
      </c>
      <c r="P353" s="0" t="n">
        <f aca="false">K353+D353</f>
        <v>23</v>
      </c>
      <c r="Q353" s="0" t="n">
        <f aca="false">M353/P353</f>
        <v>3.39</v>
      </c>
      <c r="R353" s="0" t="n">
        <f aca="false">F353+K353</f>
        <v>66</v>
      </c>
      <c r="S353" s="0" t="n">
        <f aca="false">N353/R353</f>
        <v>3.6</v>
      </c>
    </row>
    <row r="354" customFormat="false" ht="15" hidden="false" customHeight="false" outlineLevel="0" collapsed="false">
      <c r="A354" s="0" t="s">
        <v>83</v>
      </c>
      <c r="B354" s="0" t="s">
        <v>84</v>
      </c>
      <c r="C354" s="0" t="n">
        <v>20171</v>
      </c>
      <c r="D354" s="0" t="n">
        <f aca="false">VLOOKUP(A354,[1]Worksheet!$A$2:$I$1049,4,0)</f>
        <v>21</v>
      </c>
      <c r="E354" s="0" t="n">
        <f aca="false">VLOOKUP(A354,[1]Worksheet!$A$2:$I$1049,5,0)</f>
        <v>2.43</v>
      </c>
      <c r="F354" s="0" t="n">
        <f aca="false">VLOOKUP(A354,[1]Worksheet!$A$2:$I$1049,6,0)</f>
        <v>62</v>
      </c>
      <c r="G354" s="0" t="n">
        <f aca="false">VLOOKUP(A354,[1]Worksheet!$A$2:$I$1049,7,0)</f>
        <v>2.96</v>
      </c>
      <c r="K354" s="0" t="n">
        <v>0</v>
      </c>
      <c r="M354" s="0" t="n">
        <f aca="false">D354*E354</f>
        <v>51.03</v>
      </c>
      <c r="N354" s="0" t="n">
        <f aca="false">F354*G354</f>
        <v>183.52</v>
      </c>
      <c r="P354" s="0" t="n">
        <f aca="false">K354+D354</f>
        <v>21</v>
      </c>
      <c r="Q354" s="0" t="n">
        <f aca="false">M354/P354</f>
        <v>2.43</v>
      </c>
      <c r="R354" s="0" t="n">
        <f aca="false">F354+K354</f>
        <v>62</v>
      </c>
      <c r="S354" s="0" t="n">
        <f aca="false">N354/R354</f>
        <v>2.96</v>
      </c>
    </row>
    <row r="355" customFormat="false" ht="15" hidden="false" customHeight="false" outlineLevel="0" collapsed="false">
      <c r="A355" s="0" t="s">
        <v>591</v>
      </c>
      <c r="B355" s="0" t="s">
        <v>592</v>
      </c>
      <c r="C355" s="0" t="n">
        <v>20171</v>
      </c>
      <c r="D355" s="0" t="n">
        <f aca="false">VLOOKUP(A355,[1]Worksheet!$A$2:$I$1049,4,0)</f>
        <v>13</v>
      </c>
      <c r="E355" s="0" t="n">
        <f aca="false">VLOOKUP(A355,[1]Worksheet!$A$2:$I$1049,5,0)</f>
        <v>0.81</v>
      </c>
      <c r="F355" s="0" t="n">
        <f aca="false">VLOOKUP(A355,[1]Worksheet!$A$2:$I$1049,6,0)</f>
        <v>54</v>
      </c>
      <c r="G355" s="0" t="n">
        <f aca="false">VLOOKUP(A355,[1]Worksheet!$A$2:$I$1049,7,0)</f>
        <v>1.62</v>
      </c>
      <c r="K355" s="0" t="n">
        <v>0</v>
      </c>
      <c r="M355" s="0" t="n">
        <f aca="false">D355*E355</f>
        <v>10.53</v>
      </c>
      <c r="N355" s="0" t="n">
        <f aca="false">F355*G355</f>
        <v>87.48</v>
      </c>
      <c r="P355" s="0" t="n">
        <f aca="false">K355+D355</f>
        <v>13</v>
      </c>
      <c r="Q355" s="0" t="n">
        <f aca="false">M355/P355</f>
        <v>0.81</v>
      </c>
      <c r="R355" s="0" t="n">
        <f aca="false">F355+K355</f>
        <v>54</v>
      </c>
      <c r="S355" s="0" t="n">
        <f aca="false">N355/R355</f>
        <v>1.62</v>
      </c>
    </row>
    <row r="356" customFormat="false" ht="15" hidden="false" customHeight="false" outlineLevel="0" collapsed="false">
      <c r="A356" s="0" t="s">
        <v>178</v>
      </c>
      <c r="B356" s="0" t="s">
        <v>179</v>
      </c>
      <c r="C356" s="0" t="n">
        <v>20171</v>
      </c>
      <c r="D356" s="0" t="n">
        <f aca="false">VLOOKUP(A356,[1]Worksheet!$A$2:$I$1049,4,0)</f>
        <v>23</v>
      </c>
      <c r="E356" s="0" t="n">
        <f aca="false">VLOOKUP(A356,[1]Worksheet!$A$2:$I$1049,5,0)</f>
        <v>3.2</v>
      </c>
      <c r="F356" s="0" t="n">
        <f aca="false">VLOOKUP(A356,[1]Worksheet!$A$2:$I$1049,6,0)</f>
        <v>66</v>
      </c>
      <c r="G356" s="0" t="n">
        <f aca="false">VLOOKUP(A356,[1]Worksheet!$A$2:$I$1049,7,0)</f>
        <v>3.23</v>
      </c>
      <c r="K356" s="0" t="n">
        <v>0</v>
      </c>
      <c r="M356" s="0" t="n">
        <f aca="false">D356*E356</f>
        <v>73.6</v>
      </c>
      <c r="N356" s="0" t="n">
        <f aca="false">F356*G356</f>
        <v>213.18</v>
      </c>
      <c r="P356" s="0" t="n">
        <f aca="false">K356+D356</f>
        <v>23</v>
      </c>
      <c r="Q356" s="0" t="n">
        <f aca="false">M356/P356</f>
        <v>3.2</v>
      </c>
      <c r="R356" s="0" t="n">
        <f aca="false">F356+K356</f>
        <v>66</v>
      </c>
      <c r="S356" s="0" t="n">
        <f aca="false">N356/R356</f>
        <v>3.23</v>
      </c>
    </row>
    <row r="357" customFormat="false" ht="15" hidden="false" customHeight="false" outlineLevel="0" collapsed="false">
      <c r="A357" s="0" t="s">
        <v>180</v>
      </c>
      <c r="B357" s="0" t="s">
        <v>181</v>
      </c>
      <c r="C357" s="0" t="n">
        <v>20171</v>
      </c>
      <c r="D357" s="0" t="n">
        <f aca="false">VLOOKUP(A357,[1]Worksheet!$A$2:$I$1049,4,0)</f>
        <v>21</v>
      </c>
      <c r="E357" s="0" t="n">
        <f aca="false">VLOOKUP(A357,[1]Worksheet!$A$2:$I$1049,5,0)</f>
        <v>0</v>
      </c>
      <c r="F357" s="0" t="n">
        <f aca="false">VLOOKUP(A357,[1]Worksheet!$A$2:$I$1049,6,0)</f>
        <v>64</v>
      </c>
      <c r="G357" s="0" t="n">
        <f aca="false">VLOOKUP(A357,[1]Worksheet!$A$2:$I$1049,7,0)</f>
        <v>1.79</v>
      </c>
      <c r="K357" s="0" t="n">
        <v>0</v>
      </c>
      <c r="M357" s="0" t="n">
        <f aca="false">D357*E357</f>
        <v>0</v>
      </c>
      <c r="N357" s="0" t="n">
        <f aca="false">F357*G357</f>
        <v>114.56</v>
      </c>
      <c r="P357" s="0" t="n">
        <f aca="false">K357+D357</f>
        <v>21</v>
      </c>
      <c r="Q357" s="0" t="n">
        <f aca="false">M357/P357</f>
        <v>0</v>
      </c>
      <c r="R357" s="0" t="n">
        <f aca="false">F357+K357</f>
        <v>64</v>
      </c>
      <c r="S357" s="0" t="n">
        <f aca="false">N357/R357</f>
        <v>1.79</v>
      </c>
    </row>
    <row r="358" customFormat="false" ht="15" hidden="false" customHeight="false" outlineLevel="0" collapsed="false">
      <c r="A358" s="0" t="s">
        <v>85</v>
      </c>
      <c r="B358" s="0" t="s">
        <v>86</v>
      </c>
      <c r="C358" s="0" t="n">
        <v>20171</v>
      </c>
      <c r="D358" s="0" t="n">
        <f aca="false">VLOOKUP(A358,[1]Worksheet!$A$2:$I$1049,4,0)</f>
        <v>23</v>
      </c>
      <c r="E358" s="0" t="n">
        <f aca="false">VLOOKUP(A358,[1]Worksheet!$A$2:$I$1049,5,0)</f>
        <v>3.26</v>
      </c>
      <c r="F358" s="0" t="n">
        <f aca="false">VLOOKUP(A358,[1]Worksheet!$A$2:$I$1049,6,0)</f>
        <v>66</v>
      </c>
      <c r="G358" s="0" t="n">
        <f aca="false">VLOOKUP(A358,[1]Worksheet!$A$2:$I$1049,7,0)</f>
        <v>3.53</v>
      </c>
      <c r="K358" s="0" t="n">
        <v>0</v>
      </c>
      <c r="M358" s="0" t="n">
        <f aca="false">D358*E358</f>
        <v>74.98</v>
      </c>
      <c r="N358" s="0" t="n">
        <f aca="false">F358*G358</f>
        <v>232.98</v>
      </c>
      <c r="P358" s="0" t="n">
        <f aca="false">K358+D358</f>
        <v>23</v>
      </c>
      <c r="Q358" s="0" t="n">
        <f aca="false">M358/P358</f>
        <v>3.26</v>
      </c>
      <c r="R358" s="0" t="n">
        <f aca="false">F358+K358</f>
        <v>66</v>
      </c>
      <c r="S358" s="0" t="n">
        <f aca="false">N358/R358</f>
        <v>3.53</v>
      </c>
    </row>
    <row r="359" customFormat="false" ht="15" hidden="false" customHeight="false" outlineLevel="0" collapsed="false">
      <c r="A359" s="0" t="s">
        <v>87</v>
      </c>
      <c r="B359" s="0" t="s">
        <v>88</v>
      </c>
      <c r="C359" s="0" t="n">
        <v>20171</v>
      </c>
      <c r="D359" s="0" t="n">
        <f aca="false">VLOOKUP(A359,[1]Worksheet!$A$2:$I$1049,4,0)</f>
        <v>21</v>
      </c>
      <c r="E359" s="0" t="n">
        <f aca="false">VLOOKUP(A359,[1]Worksheet!$A$2:$I$1049,5,0)</f>
        <v>2.74</v>
      </c>
      <c r="F359" s="0" t="n">
        <f aca="false">VLOOKUP(A359,[1]Worksheet!$A$2:$I$1049,6,0)</f>
        <v>64</v>
      </c>
      <c r="G359" s="0" t="n">
        <f aca="false">VLOOKUP(A359,[1]Worksheet!$A$2:$I$1049,7,0)</f>
        <v>2.84</v>
      </c>
      <c r="K359" s="0" t="n">
        <v>0</v>
      </c>
      <c r="M359" s="0" t="n">
        <f aca="false">D359*E359</f>
        <v>57.54</v>
      </c>
      <c r="N359" s="0" t="n">
        <f aca="false">F359*G359</f>
        <v>181.76</v>
      </c>
      <c r="P359" s="0" t="n">
        <f aca="false">K359+D359</f>
        <v>21</v>
      </c>
      <c r="Q359" s="0" t="n">
        <f aca="false">M359/P359</f>
        <v>2.74</v>
      </c>
      <c r="R359" s="0" t="n">
        <f aca="false">F359+K359</f>
        <v>64</v>
      </c>
      <c r="S359" s="0" t="n">
        <f aca="false">N359/R359</f>
        <v>2.84</v>
      </c>
    </row>
    <row r="360" customFormat="false" ht="15" hidden="false" customHeight="false" outlineLevel="0" collapsed="false">
      <c r="A360" s="0" t="s">
        <v>182</v>
      </c>
      <c r="B360" s="0" t="s">
        <v>183</v>
      </c>
      <c r="C360" s="0" t="n">
        <v>20171</v>
      </c>
      <c r="D360" s="0" t="n">
        <f aca="false">VLOOKUP(A360,[1]Worksheet!$A$2:$I$1049,4,0)</f>
        <v>21</v>
      </c>
      <c r="E360" s="0" t="n">
        <f aca="false">VLOOKUP(A360,[1]Worksheet!$A$2:$I$1049,5,0)</f>
        <v>3.48</v>
      </c>
      <c r="F360" s="0" t="n">
        <f aca="false">VLOOKUP(A360,[1]Worksheet!$A$2:$I$1049,6,0)</f>
        <v>64</v>
      </c>
      <c r="G360" s="0" t="n">
        <f aca="false">VLOOKUP(A360,[1]Worksheet!$A$2:$I$1049,7,0)</f>
        <v>3.38</v>
      </c>
      <c r="K360" s="0" t="n">
        <v>0</v>
      </c>
      <c r="M360" s="0" t="n">
        <f aca="false">D360*E360</f>
        <v>73.08</v>
      </c>
      <c r="N360" s="0" t="n">
        <f aca="false">F360*G360</f>
        <v>216.32</v>
      </c>
      <c r="P360" s="0" t="n">
        <f aca="false">K360+D360</f>
        <v>21</v>
      </c>
      <c r="Q360" s="0" t="n">
        <f aca="false">M360/P360</f>
        <v>3.48</v>
      </c>
      <c r="R360" s="0" t="n">
        <f aca="false">F360+K360</f>
        <v>64</v>
      </c>
      <c r="S360" s="0" t="n">
        <f aca="false">N360/R360</f>
        <v>3.38</v>
      </c>
    </row>
    <row r="361" customFormat="false" ht="15" hidden="false" customHeight="false" outlineLevel="0" collapsed="false">
      <c r="A361" s="0" t="s">
        <v>89</v>
      </c>
      <c r="B361" s="0" t="s">
        <v>90</v>
      </c>
      <c r="C361" s="0" t="n">
        <v>20171</v>
      </c>
      <c r="D361" s="0" t="n">
        <f aca="false">VLOOKUP(A361,[1]Worksheet!$A$2:$I$1049,4,0)</f>
        <v>21</v>
      </c>
      <c r="E361" s="0" t="n">
        <f aca="false">VLOOKUP(A361,[1]Worksheet!$A$2:$I$1049,5,0)</f>
        <v>3.4</v>
      </c>
      <c r="F361" s="0" t="n">
        <f aca="false">VLOOKUP(A361,[1]Worksheet!$A$2:$I$1049,6,0)</f>
        <v>64</v>
      </c>
      <c r="G361" s="0" t="n">
        <f aca="false">VLOOKUP(A361,[1]Worksheet!$A$2:$I$1049,7,0)</f>
        <v>3.3</v>
      </c>
      <c r="K361" s="0" t="n">
        <v>0</v>
      </c>
      <c r="M361" s="0" t="n">
        <f aca="false">D361*E361</f>
        <v>71.4</v>
      </c>
      <c r="N361" s="0" t="n">
        <f aca="false">F361*G361</f>
        <v>211.2</v>
      </c>
      <c r="P361" s="0" t="n">
        <f aca="false">K361+D361</f>
        <v>21</v>
      </c>
      <c r="Q361" s="0" t="n">
        <f aca="false">M361/P361</f>
        <v>3.4</v>
      </c>
      <c r="R361" s="0" t="n">
        <f aca="false">F361+K361</f>
        <v>64</v>
      </c>
      <c r="S361" s="0" t="n">
        <f aca="false">N361/R361</f>
        <v>3.3</v>
      </c>
    </row>
    <row r="362" customFormat="false" ht="15" hidden="false" customHeight="false" outlineLevel="0" collapsed="false">
      <c r="A362" s="0" t="s">
        <v>184</v>
      </c>
      <c r="B362" s="0" t="s">
        <v>185</v>
      </c>
      <c r="C362" s="0" t="n">
        <v>20171</v>
      </c>
      <c r="D362" s="0" t="n">
        <f aca="false">VLOOKUP(A362,[1]Worksheet!$A$2:$I$1049,4,0)</f>
        <v>21</v>
      </c>
      <c r="E362" s="0" t="n">
        <f aca="false">VLOOKUP(A362,[1]Worksheet!$A$2:$I$1049,5,0)</f>
        <v>1.38</v>
      </c>
      <c r="F362" s="0" t="n">
        <f aca="false">VLOOKUP(A362,[1]Worksheet!$A$2:$I$1049,6,0)</f>
        <v>64</v>
      </c>
      <c r="G362" s="0" t="n">
        <f aca="false">VLOOKUP(A362,[1]Worksheet!$A$2:$I$1049,7,0)</f>
        <v>2.32</v>
      </c>
      <c r="K362" s="0" t="n">
        <v>0</v>
      </c>
      <c r="M362" s="0" t="n">
        <f aca="false">D362*E362</f>
        <v>28.98</v>
      </c>
      <c r="N362" s="0" t="n">
        <f aca="false">F362*G362</f>
        <v>148.48</v>
      </c>
      <c r="P362" s="0" t="n">
        <f aca="false">K362+D362</f>
        <v>21</v>
      </c>
      <c r="Q362" s="0" t="n">
        <f aca="false">M362/P362</f>
        <v>1.38</v>
      </c>
      <c r="R362" s="0" t="n">
        <f aca="false">F362+K362</f>
        <v>64</v>
      </c>
      <c r="S362" s="0" t="n">
        <f aca="false">N362/R362</f>
        <v>2.32</v>
      </c>
    </row>
    <row r="363" customFormat="false" ht="15" hidden="false" customHeight="false" outlineLevel="0" collapsed="false">
      <c r="A363" s="0" t="s">
        <v>91</v>
      </c>
      <c r="B363" s="0" t="s">
        <v>92</v>
      </c>
      <c r="C363" s="0" t="n">
        <v>20171</v>
      </c>
      <c r="D363" s="0" t="n">
        <f aca="false">VLOOKUP(A363,[1]Worksheet!$A$2:$I$1049,4,0)</f>
        <v>23</v>
      </c>
      <c r="E363" s="0" t="n">
        <f aca="false">VLOOKUP(A363,[1]Worksheet!$A$2:$I$1049,5,0)</f>
        <v>2.59</v>
      </c>
      <c r="F363" s="0" t="n">
        <f aca="false">VLOOKUP(A363,[1]Worksheet!$A$2:$I$1049,6,0)</f>
        <v>66</v>
      </c>
      <c r="G363" s="0" t="n">
        <f aca="false">VLOOKUP(A363,[1]Worksheet!$A$2:$I$1049,7,0)</f>
        <v>3.01</v>
      </c>
      <c r="K363" s="0" t="n">
        <v>0</v>
      </c>
      <c r="M363" s="0" t="n">
        <f aca="false">D363*E363</f>
        <v>59.57</v>
      </c>
      <c r="N363" s="0" t="n">
        <f aca="false">F363*G363</f>
        <v>198.66</v>
      </c>
      <c r="P363" s="0" t="n">
        <f aca="false">K363+D363</f>
        <v>23</v>
      </c>
      <c r="Q363" s="0" t="n">
        <f aca="false">M363/P363</f>
        <v>2.59</v>
      </c>
      <c r="R363" s="0" t="n">
        <f aca="false">F363+K363</f>
        <v>66</v>
      </c>
      <c r="S363" s="0" t="n">
        <f aca="false">N363/R363</f>
        <v>3.01</v>
      </c>
    </row>
    <row r="364" customFormat="false" ht="15" hidden="false" customHeight="false" outlineLevel="0" collapsed="false">
      <c r="A364" s="0" t="s">
        <v>186</v>
      </c>
      <c r="B364" s="0" t="s">
        <v>187</v>
      </c>
      <c r="C364" s="0" t="n">
        <v>20171</v>
      </c>
      <c r="D364" s="0" t="n">
        <f aca="false">VLOOKUP(A364,[1]Worksheet!$A$2:$I$1049,4,0)</f>
        <v>21</v>
      </c>
      <c r="E364" s="0" t="n">
        <f aca="false">VLOOKUP(A364,[1]Worksheet!$A$2:$I$1049,5,0)</f>
        <v>3.02</v>
      </c>
      <c r="F364" s="0" t="n">
        <f aca="false">VLOOKUP(A364,[1]Worksheet!$A$2:$I$1049,6,0)</f>
        <v>64</v>
      </c>
      <c r="G364" s="0" t="n">
        <f aca="false">VLOOKUP(A364,[1]Worksheet!$A$2:$I$1049,7,0)</f>
        <v>3.25</v>
      </c>
      <c r="K364" s="0" t="n">
        <v>0</v>
      </c>
      <c r="M364" s="0" t="n">
        <f aca="false">D364*E364</f>
        <v>63.42</v>
      </c>
      <c r="N364" s="0" t="n">
        <f aca="false">F364*G364</f>
        <v>208</v>
      </c>
      <c r="P364" s="0" t="n">
        <f aca="false">K364+D364</f>
        <v>21</v>
      </c>
      <c r="Q364" s="0" t="n">
        <f aca="false">M364/P364</f>
        <v>3.02</v>
      </c>
      <c r="R364" s="0" t="n">
        <f aca="false">F364+K364</f>
        <v>64</v>
      </c>
      <c r="S364" s="0" t="n">
        <f aca="false">N364/R364</f>
        <v>3.25</v>
      </c>
    </row>
    <row r="365" customFormat="false" ht="15" hidden="false" customHeight="false" outlineLevel="0" collapsed="false">
      <c r="A365" s="0" t="s">
        <v>93</v>
      </c>
      <c r="B365" s="0" t="s">
        <v>94</v>
      </c>
      <c r="C365" s="0" t="n">
        <v>20171</v>
      </c>
      <c r="D365" s="0" t="n">
        <f aca="false">VLOOKUP(A365,[1]Worksheet!$A$2:$I$1049,4,0)</f>
        <v>21</v>
      </c>
      <c r="E365" s="0" t="n">
        <f aca="false">VLOOKUP(A365,[1]Worksheet!$A$2:$I$1049,5,0)</f>
        <v>3.69</v>
      </c>
      <c r="F365" s="0" t="n">
        <f aca="false">VLOOKUP(A365,[1]Worksheet!$A$2:$I$1049,6,0)</f>
        <v>64</v>
      </c>
      <c r="G365" s="0" t="n">
        <f aca="false">VLOOKUP(A365,[1]Worksheet!$A$2:$I$1049,7,0)</f>
        <v>3.43</v>
      </c>
      <c r="K365" s="0" t="n">
        <v>0</v>
      </c>
      <c r="M365" s="0" t="n">
        <f aca="false">D365*E365</f>
        <v>77.49</v>
      </c>
      <c r="N365" s="0" t="n">
        <f aca="false">F365*G365</f>
        <v>219.52</v>
      </c>
      <c r="P365" s="0" t="n">
        <f aca="false">K365+D365</f>
        <v>21</v>
      </c>
      <c r="Q365" s="0" t="n">
        <f aca="false">M365/P365</f>
        <v>3.69</v>
      </c>
      <c r="R365" s="0" t="n">
        <f aca="false">F365+K365</f>
        <v>64</v>
      </c>
      <c r="S365" s="0" t="n">
        <f aca="false">N365/R365</f>
        <v>3.43</v>
      </c>
    </row>
    <row r="366" customFormat="false" ht="15" hidden="false" customHeight="false" outlineLevel="0" collapsed="false">
      <c r="A366" s="0" t="s">
        <v>188</v>
      </c>
      <c r="B366" s="0" t="s">
        <v>189</v>
      </c>
      <c r="C366" s="0" t="n">
        <v>20171</v>
      </c>
      <c r="D366" s="0" t="n">
        <f aca="false">VLOOKUP(A366,[1]Worksheet!$A$2:$I$1049,4,0)</f>
        <v>21</v>
      </c>
      <c r="E366" s="0" t="n">
        <f aca="false">VLOOKUP(A366,[1]Worksheet!$A$2:$I$1049,5,0)</f>
        <v>2.95</v>
      </c>
      <c r="F366" s="0" t="n">
        <f aca="false">VLOOKUP(A366,[1]Worksheet!$A$2:$I$1049,6,0)</f>
        <v>64</v>
      </c>
      <c r="G366" s="0" t="n">
        <f aca="false">VLOOKUP(A366,[1]Worksheet!$A$2:$I$1049,7,0)</f>
        <v>2.92</v>
      </c>
      <c r="K366" s="0" t="n">
        <v>0</v>
      </c>
      <c r="M366" s="0" t="n">
        <f aca="false">D366*E366</f>
        <v>61.95</v>
      </c>
      <c r="N366" s="0" t="n">
        <f aca="false">F366*G366</f>
        <v>186.88</v>
      </c>
      <c r="P366" s="0" t="n">
        <f aca="false">K366+D366</f>
        <v>21</v>
      </c>
      <c r="Q366" s="0" t="n">
        <f aca="false">M366/P366</f>
        <v>2.95</v>
      </c>
      <c r="R366" s="0" t="n">
        <f aca="false">F366+K366</f>
        <v>64</v>
      </c>
      <c r="S366" s="0" t="n">
        <f aca="false">N366/R366</f>
        <v>2.92</v>
      </c>
    </row>
    <row r="367" customFormat="false" ht="15" hidden="false" customHeight="false" outlineLevel="0" collapsed="false">
      <c r="A367" s="0" t="s">
        <v>95</v>
      </c>
      <c r="B367" s="0" t="s">
        <v>96</v>
      </c>
      <c r="C367" s="0" t="n">
        <v>20171</v>
      </c>
      <c r="D367" s="0" t="n">
        <f aca="false">VLOOKUP(A367,[1]Worksheet!$A$2:$I$1049,4,0)</f>
        <v>21</v>
      </c>
      <c r="E367" s="0" t="n">
        <f aca="false">VLOOKUP(A367,[1]Worksheet!$A$2:$I$1049,5,0)</f>
        <v>3.36</v>
      </c>
      <c r="F367" s="0" t="n">
        <f aca="false">VLOOKUP(A367,[1]Worksheet!$A$2:$I$1049,6,0)</f>
        <v>64</v>
      </c>
      <c r="G367" s="0" t="n">
        <f aca="false">VLOOKUP(A367,[1]Worksheet!$A$2:$I$1049,7,0)</f>
        <v>3.09</v>
      </c>
      <c r="K367" s="0" t="n">
        <v>0</v>
      </c>
      <c r="M367" s="0" t="n">
        <f aca="false">D367*E367</f>
        <v>70.56</v>
      </c>
      <c r="N367" s="0" t="n">
        <f aca="false">F367*G367</f>
        <v>197.76</v>
      </c>
      <c r="P367" s="0" t="n">
        <f aca="false">K367+D367</f>
        <v>21</v>
      </c>
      <c r="Q367" s="0" t="n">
        <f aca="false">M367/P367</f>
        <v>3.36</v>
      </c>
      <c r="R367" s="0" t="n">
        <f aca="false">F367+K367</f>
        <v>64</v>
      </c>
      <c r="S367" s="0" t="n">
        <f aca="false">N367/R367</f>
        <v>3.09</v>
      </c>
    </row>
    <row r="368" customFormat="false" ht="15" hidden="false" customHeight="false" outlineLevel="0" collapsed="false">
      <c r="A368" s="0" t="s">
        <v>190</v>
      </c>
      <c r="B368" s="0" t="s">
        <v>191</v>
      </c>
      <c r="C368" s="0" t="n">
        <v>20171</v>
      </c>
      <c r="D368" s="0" t="n">
        <f aca="false">VLOOKUP(A368,[1]Worksheet!$A$2:$I$1049,4,0)</f>
        <v>21</v>
      </c>
      <c r="E368" s="0" t="n">
        <f aca="false">VLOOKUP(A368,[1]Worksheet!$A$2:$I$1049,5,0)</f>
        <v>3.62</v>
      </c>
      <c r="F368" s="0" t="n">
        <f aca="false">VLOOKUP(A368,[1]Worksheet!$A$2:$I$1049,6,0)</f>
        <v>64</v>
      </c>
      <c r="G368" s="0" t="n">
        <f aca="false">VLOOKUP(A368,[1]Worksheet!$A$2:$I$1049,7,0)</f>
        <v>3.2</v>
      </c>
      <c r="K368" s="0" t="n">
        <v>0</v>
      </c>
      <c r="M368" s="0" t="n">
        <f aca="false">D368*E368</f>
        <v>76.02</v>
      </c>
      <c r="N368" s="0" t="n">
        <f aca="false">F368*G368</f>
        <v>204.8</v>
      </c>
      <c r="P368" s="0" t="n">
        <f aca="false">K368+D368</f>
        <v>21</v>
      </c>
      <c r="Q368" s="0" t="n">
        <f aca="false">M368/P368</f>
        <v>3.62</v>
      </c>
      <c r="R368" s="0" t="n">
        <f aca="false">F368+K368</f>
        <v>64</v>
      </c>
      <c r="S368" s="0" t="n">
        <f aca="false">N368/R368</f>
        <v>3.2</v>
      </c>
    </row>
    <row r="369" customFormat="false" ht="15" hidden="false" customHeight="false" outlineLevel="0" collapsed="false">
      <c r="A369" s="0" t="s">
        <v>97</v>
      </c>
      <c r="B369" s="0" t="s">
        <v>98</v>
      </c>
      <c r="C369" s="0" t="n">
        <v>20171</v>
      </c>
      <c r="D369" s="0" t="n">
        <f aca="false">VLOOKUP(A369,[1]Worksheet!$A$2:$I$1049,4,0)</f>
        <v>21</v>
      </c>
      <c r="E369" s="0" t="n">
        <f aca="false">VLOOKUP(A369,[1]Worksheet!$A$2:$I$1049,5,0)</f>
        <v>3.24</v>
      </c>
      <c r="F369" s="0" t="n">
        <f aca="false">VLOOKUP(A369,[1]Worksheet!$A$2:$I$1049,6,0)</f>
        <v>64</v>
      </c>
      <c r="G369" s="0" t="n">
        <f aca="false">VLOOKUP(A369,[1]Worksheet!$A$2:$I$1049,7,0)</f>
        <v>3.46</v>
      </c>
      <c r="K369" s="0" t="n">
        <v>0</v>
      </c>
      <c r="M369" s="0" t="n">
        <f aca="false">D369*E369</f>
        <v>68.04</v>
      </c>
      <c r="N369" s="0" t="n">
        <f aca="false">F369*G369</f>
        <v>221.44</v>
      </c>
      <c r="P369" s="0" t="n">
        <f aca="false">K369+D369</f>
        <v>21</v>
      </c>
      <c r="Q369" s="0" t="n">
        <f aca="false">M369/P369</f>
        <v>3.24</v>
      </c>
      <c r="R369" s="0" t="n">
        <f aca="false">F369+K369</f>
        <v>64</v>
      </c>
      <c r="S369" s="0" t="n">
        <f aca="false">N369/R369</f>
        <v>3.46</v>
      </c>
    </row>
    <row r="370" customFormat="false" ht="15" hidden="false" customHeight="false" outlineLevel="0" collapsed="false">
      <c r="A370" s="0" t="s">
        <v>192</v>
      </c>
      <c r="B370" s="0" t="s">
        <v>193</v>
      </c>
      <c r="C370" s="0" t="n">
        <v>20171</v>
      </c>
      <c r="D370" s="0" t="n">
        <f aca="false">VLOOKUP(A370,[1]Worksheet!$A$2:$I$1049,4,0)</f>
        <v>23</v>
      </c>
      <c r="E370" s="0" t="n">
        <f aca="false">VLOOKUP(A370,[1]Worksheet!$A$2:$I$1049,5,0)</f>
        <v>3.3</v>
      </c>
      <c r="F370" s="0" t="n">
        <f aca="false">VLOOKUP(A370,[1]Worksheet!$A$2:$I$1049,6,0)</f>
        <v>66</v>
      </c>
      <c r="G370" s="0" t="n">
        <f aca="false">VLOOKUP(A370,[1]Worksheet!$A$2:$I$1049,7,0)</f>
        <v>3.42</v>
      </c>
      <c r="K370" s="0" t="n">
        <v>0</v>
      </c>
      <c r="M370" s="0" t="n">
        <f aca="false">D370*E370</f>
        <v>75.9</v>
      </c>
      <c r="N370" s="0" t="n">
        <f aca="false">F370*G370</f>
        <v>225.72</v>
      </c>
      <c r="P370" s="0" t="n">
        <f aca="false">K370+D370</f>
        <v>23</v>
      </c>
      <c r="Q370" s="0" t="n">
        <f aca="false">M370/P370</f>
        <v>3.3</v>
      </c>
      <c r="R370" s="0" t="n">
        <f aca="false">F370+K370</f>
        <v>66</v>
      </c>
      <c r="S370" s="0" t="n">
        <f aca="false">N370/R370</f>
        <v>3.42</v>
      </c>
    </row>
    <row r="371" customFormat="false" ht="15" hidden="false" customHeight="false" outlineLevel="0" collapsed="false">
      <c r="A371" s="0" t="s">
        <v>99</v>
      </c>
      <c r="B371" s="0" t="s">
        <v>100</v>
      </c>
      <c r="C371" s="0" t="n">
        <v>20171</v>
      </c>
      <c r="D371" s="0" t="n">
        <f aca="false">VLOOKUP(A371,[1]Worksheet!$A$2:$I$1049,4,0)</f>
        <v>21</v>
      </c>
      <c r="E371" s="0" t="n">
        <f aca="false">VLOOKUP(A371,[1]Worksheet!$A$2:$I$1049,5,0)</f>
        <v>1.48</v>
      </c>
      <c r="F371" s="0" t="n">
        <f aca="false">VLOOKUP(A371,[1]Worksheet!$A$2:$I$1049,6,0)</f>
        <v>62</v>
      </c>
      <c r="G371" s="0" t="n">
        <f aca="false">VLOOKUP(A371,[1]Worksheet!$A$2:$I$1049,7,0)</f>
        <v>2.1</v>
      </c>
      <c r="K371" s="0" t="n">
        <v>0</v>
      </c>
      <c r="M371" s="0" t="n">
        <f aca="false">D371*E371</f>
        <v>31.08</v>
      </c>
      <c r="N371" s="0" t="n">
        <f aca="false">F371*G371</f>
        <v>130.2</v>
      </c>
      <c r="P371" s="0" t="n">
        <f aca="false">K371+D371</f>
        <v>21</v>
      </c>
      <c r="Q371" s="0" t="n">
        <f aca="false">M371/P371</f>
        <v>1.48</v>
      </c>
      <c r="R371" s="0" t="n">
        <f aca="false">F371+K371</f>
        <v>62</v>
      </c>
      <c r="S371" s="0" t="n">
        <f aca="false">N371/R371</f>
        <v>2.1</v>
      </c>
    </row>
    <row r="372" customFormat="false" ht="15" hidden="false" customHeight="false" outlineLevel="0" collapsed="false">
      <c r="A372" s="0" t="s">
        <v>194</v>
      </c>
      <c r="B372" s="0" t="s">
        <v>195</v>
      </c>
      <c r="C372" s="0" t="n">
        <v>20171</v>
      </c>
      <c r="D372" s="0" t="n">
        <f aca="false">VLOOKUP(A372,[1]Worksheet!$A$2:$I$1049,4,0)</f>
        <v>21</v>
      </c>
      <c r="E372" s="0" t="n">
        <f aca="false">VLOOKUP(A372,[1]Worksheet!$A$2:$I$1049,5,0)</f>
        <v>2.64</v>
      </c>
      <c r="F372" s="0" t="n">
        <f aca="false">VLOOKUP(A372,[1]Worksheet!$A$2:$I$1049,6,0)</f>
        <v>64</v>
      </c>
      <c r="G372" s="0" t="n">
        <f aca="false">VLOOKUP(A372,[1]Worksheet!$A$2:$I$1049,7,0)</f>
        <v>2.97</v>
      </c>
      <c r="K372" s="0" t="n">
        <v>0</v>
      </c>
      <c r="M372" s="0" t="n">
        <f aca="false">D372*E372</f>
        <v>55.44</v>
      </c>
      <c r="N372" s="0" t="n">
        <f aca="false">F372*G372</f>
        <v>190.08</v>
      </c>
      <c r="P372" s="0" t="n">
        <f aca="false">K372+D372</f>
        <v>21</v>
      </c>
      <c r="Q372" s="0" t="n">
        <f aca="false">M372/P372</f>
        <v>2.64</v>
      </c>
      <c r="R372" s="0" t="n">
        <f aca="false">F372+K372</f>
        <v>64</v>
      </c>
      <c r="S372" s="0" t="n">
        <f aca="false">N372/R372</f>
        <v>2.97</v>
      </c>
    </row>
    <row r="373" customFormat="false" ht="15" hidden="false" customHeight="false" outlineLevel="0" collapsed="false">
      <c r="A373" s="0" t="s">
        <v>102</v>
      </c>
      <c r="B373" s="0" t="s">
        <v>103</v>
      </c>
      <c r="C373" s="0" t="n">
        <v>20171</v>
      </c>
      <c r="D373" s="0" t="n">
        <f aca="false">VLOOKUP(A373,[1]Worksheet!$A$2:$I$1049,4,0)</f>
        <v>21</v>
      </c>
      <c r="E373" s="0" t="n">
        <f aca="false">VLOOKUP(A373,[1]Worksheet!$A$2:$I$1049,5,0)</f>
        <v>1.43</v>
      </c>
      <c r="F373" s="0" t="n">
        <f aca="false">VLOOKUP(A373,[1]Worksheet!$A$2:$I$1049,6,0)</f>
        <v>62</v>
      </c>
      <c r="G373" s="0" t="n">
        <f aca="false">VLOOKUP(A373,[1]Worksheet!$A$2:$I$1049,7,0)</f>
        <v>2.12</v>
      </c>
      <c r="K373" s="0" t="n">
        <v>0</v>
      </c>
      <c r="M373" s="0" t="n">
        <f aca="false">D373*E373</f>
        <v>30.03</v>
      </c>
      <c r="N373" s="0" t="n">
        <f aca="false">F373*G373</f>
        <v>131.44</v>
      </c>
      <c r="P373" s="0" t="n">
        <f aca="false">K373+D373</f>
        <v>21</v>
      </c>
      <c r="Q373" s="0" t="n">
        <f aca="false">M373/P373</f>
        <v>1.43</v>
      </c>
      <c r="R373" s="0" t="n">
        <f aca="false">F373+K373</f>
        <v>62</v>
      </c>
      <c r="S373" s="0" t="n">
        <f aca="false">N373/R373</f>
        <v>2.12</v>
      </c>
    </row>
    <row r="374" customFormat="false" ht="15" hidden="false" customHeight="false" outlineLevel="0" collapsed="false">
      <c r="A374" s="0" t="s">
        <v>104</v>
      </c>
      <c r="B374" s="0" t="s">
        <v>105</v>
      </c>
      <c r="C374" s="0" t="n">
        <v>20171</v>
      </c>
      <c r="D374" s="0" t="n">
        <f aca="false">VLOOKUP(A374,[1]Worksheet!$A$2:$I$1049,4,0)</f>
        <v>21</v>
      </c>
      <c r="E374" s="0" t="n">
        <f aca="false">VLOOKUP(A374,[1]Worksheet!$A$2:$I$1049,5,0)</f>
        <v>1.88</v>
      </c>
      <c r="F374" s="0" t="n">
        <f aca="false">VLOOKUP(A374,[1]Worksheet!$A$2:$I$1049,6,0)</f>
        <v>62</v>
      </c>
      <c r="G374" s="0" t="n">
        <f aca="false">VLOOKUP(A374,[1]Worksheet!$A$2:$I$1049,7,0)</f>
        <v>2.36</v>
      </c>
      <c r="K374" s="0" t="n">
        <v>0</v>
      </c>
      <c r="M374" s="0" t="n">
        <f aca="false">D374*E374</f>
        <v>39.48</v>
      </c>
      <c r="N374" s="0" t="n">
        <f aca="false">F374*G374</f>
        <v>146.32</v>
      </c>
      <c r="P374" s="0" t="n">
        <f aca="false">K374+D374</f>
        <v>21</v>
      </c>
      <c r="Q374" s="0" t="n">
        <f aca="false">M374/P374</f>
        <v>1.88</v>
      </c>
      <c r="R374" s="0" t="n">
        <f aca="false">F374+K374</f>
        <v>62</v>
      </c>
      <c r="S374" s="0" t="n">
        <f aca="false">N374/R374</f>
        <v>2.36</v>
      </c>
    </row>
    <row r="375" customFormat="false" ht="15" hidden="false" customHeight="false" outlineLevel="0" collapsed="false">
      <c r="A375" s="0" t="s">
        <v>196</v>
      </c>
      <c r="B375" s="0" t="s">
        <v>197</v>
      </c>
      <c r="C375" s="0" t="n">
        <v>20171</v>
      </c>
      <c r="D375" s="0" t="n">
        <f aca="false">VLOOKUP(A375,[1]Worksheet!$A$2:$I$1049,4,0)</f>
        <v>15</v>
      </c>
      <c r="E375" s="0" t="n">
        <f aca="false">VLOOKUP(A375,[1]Worksheet!$A$2:$I$1049,5,0)</f>
        <v>0.7</v>
      </c>
      <c r="F375" s="0" t="n">
        <f aca="false">VLOOKUP(A375,[1]Worksheet!$A$2:$I$1049,6,0)</f>
        <v>56</v>
      </c>
      <c r="G375" s="0" t="n">
        <f aca="false">VLOOKUP(A375,[1]Worksheet!$A$2:$I$1049,7,0)</f>
        <v>1.69</v>
      </c>
      <c r="K375" s="0" t="n">
        <v>0</v>
      </c>
      <c r="M375" s="0" t="n">
        <f aca="false">D375*E375</f>
        <v>10.5</v>
      </c>
      <c r="N375" s="0" t="n">
        <f aca="false">F375*G375</f>
        <v>94.64</v>
      </c>
      <c r="P375" s="0" t="n">
        <f aca="false">K375+D375</f>
        <v>15</v>
      </c>
      <c r="Q375" s="0" t="n">
        <f aca="false">M375/P375</f>
        <v>0.7</v>
      </c>
      <c r="R375" s="0" t="n">
        <f aca="false">F375+K375</f>
        <v>56</v>
      </c>
      <c r="S375" s="0" t="n">
        <f aca="false">N375/R375</f>
        <v>1.69</v>
      </c>
    </row>
    <row r="376" customFormat="false" ht="15" hidden="false" customHeight="false" outlineLevel="0" collapsed="false">
      <c r="A376" s="0" t="s">
        <v>106</v>
      </c>
      <c r="B376" s="0" t="s">
        <v>107</v>
      </c>
      <c r="C376" s="0" t="n">
        <v>20171</v>
      </c>
      <c r="D376" s="0" t="n">
        <f aca="false">VLOOKUP(A376,[1]Worksheet!$A$2:$I$1049,4,0)</f>
        <v>21</v>
      </c>
      <c r="E376" s="0" t="n">
        <f aca="false">VLOOKUP(A376,[1]Worksheet!$A$2:$I$1049,5,0)</f>
        <v>3.21</v>
      </c>
      <c r="F376" s="0" t="n">
        <f aca="false">VLOOKUP(A376,[1]Worksheet!$A$2:$I$1049,6,0)</f>
        <v>64</v>
      </c>
      <c r="G376" s="0" t="n">
        <f aca="false">VLOOKUP(A376,[1]Worksheet!$A$2:$I$1049,7,0)</f>
        <v>3.25</v>
      </c>
      <c r="K376" s="0" t="n">
        <v>0</v>
      </c>
      <c r="M376" s="0" t="n">
        <f aca="false">D376*E376</f>
        <v>67.41</v>
      </c>
      <c r="N376" s="0" t="n">
        <f aca="false">F376*G376</f>
        <v>208</v>
      </c>
      <c r="P376" s="0" t="n">
        <f aca="false">K376+D376</f>
        <v>21</v>
      </c>
      <c r="Q376" s="0" t="n">
        <f aca="false">M376/P376</f>
        <v>3.21</v>
      </c>
      <c r="R376" s="0" t="n">
        <f aca="false">F376+K376</f>
        <v>64</v>
      </c>
      <c r="S376" s="0" t="n">
        <f aca="false">N376/R376</f>
        <v>3.25</v>
      </c>
    </row>
    <row r="377" customFormat="false" ht="15" hidden="false" customHeight="false" outlineLevel="0" collapsed="false">
      <c r="A377" s="0" t="s">
        <v>314</v>
      </c>
      <c r="B377" s="0" t="s">
        <v>315</v>
      </c>
      <c r="C377" s="0" t="n">
        <v>20171</v>
      </c>
      <c r="D377" s="0" t="n">
        <f aca="false">VLOOKUP(A377,[1]Worksheet!$A$2:$I$1049,4,0)</f>
        <v>20</v>
      </c>
      <c r="E377" s="0" t="n">
        <f aca="false">VLOOKUP(A377,[1]Worksheet!$A$2:$I$1049,5,0)</f>
        <v>2.98</v>
      </c>
      <c r="F377" s="0" t="n">
        <f aca="false">VLOOKUP(A377,[1]Worksheet!$A$2:$I$1049,6,0)</f>
        <v>20</v>
      </c>
      <c r="G377" s="0" t="n">
        <f aca="false">VLOOKUP(A377,[1]Worksheet!$A$2:$I$1049,7,0)</f>
        <v>2.98</v>
      </c>
      <c r="K377" s="0" t="n">
        <v>0</v>
      </c>
      <c r="M377" s="0" t="n">
        <f aca="false">D377*E377</f>
        <v>59.6</v>
      </c>
      <c r="N377" s="0" t="n">
        <f aca="false">F377*G377</f>
        <v>59.6</v>
      </c>
      <c r="P377" s="0" t="n">
        <f aca="false">K377+D377</f>
        <v>20</v>
      </c>
      <c r="Q377" s="0" t="n">
        <f aca="false">M377/P377</f>
        <v>2.98</v>
      </c>
      <c r="R377" s="0" t="n">
        <f aca="false">F377+K377</f>
        <v>20</v>
      </c>
      <c r="S377" s="0" t="n">
        <f aca="false">N377/R377</f>
        <v>2.98</v>
      </c>
    </row>
    <row r="378" customFormat="false" ht="15" hidden="false" customHeight="false" outlineLevel="0" collapsed="false">
      <c r="A378" s="0" t="s">
        <v>316</v>
      </c>
      <c r="B378" s="0" t="s">
        <v>317</v>
      </c>
      <c r="C378" s="0" t="n">
        <v>20171</v>
      </c>
      <c r="D378" s="0" t="n">
        <f aca="false">VLOOKUP(A378,[1]Worksheet!$A$2:$I$1049,4,0)</f>
        <v>20</v>
      </c>
      <c r="E378" s="0" t="n">
        <f aca="false">VLOOKUP(A378,[1]Worksheet!$A$2:$I$1049,5,0)</f>
        <v>3.05</v>
      </c>
      <c r="F378" s="0" t="n">
        <f aca="false">VLOOKUP(A378,[1]Worksheet!$A$2:$I$1049,6,0)</f>
        <v>20</v>
      </c>
      <c r="G378" s="0" t="n">
        <f aca="false">VLOOKUP(A378,[1]Worksheet!$A$2:$I$1049,7,0)</f>
        <v>3.05</v>
      </c>
      <c r="K378" s="0" t="n">
        <v>0</v>
      </c>
      <c r="M378" s="0" t="n">
        <f aca="false">D378*E378</f>
        <v>61</v>
      </c>
      <c r="N378" s="0" t="n">
        <f aca="false">F378*G378</f>
        <v>61</v>
      </c>
      <c r="P378" s="0" t="n">
        <f aca="false">K378+D378</f>
        <v>20</v>
      </c>
      <c r="Q378" s="0" t="n">
        <f aca="false">M378/P378</f>
        <v>3.05</v>
      </c>
      <c r="R378" s="0" t="n">
        <f aca="false">F378+K378</f>
        <v>20</v>
      </c>
      <c r="S378" s="0" t="n">
        <f aca="false">N378/R378</f>
        <v>3.05</v>
      </c>
    </row>
    <row r="379" customFormat="false" ht="15" hidden="false" customHeight="false" outlineLevel="0" collapsed="false">
      <c r="A379" s="0" t="s">
        <v>318</v>
      </c>
      <c r="B379" s="0" t="s">
        <v>319</v>
      </c>
      <c r="C379" s="0" t="n">
        <v>20171</v>
      </c>
      <c r="D379" s="0" t="n">
        <f aca="false">VLOOKUP(A379,[1]Worksheet!$A$2:$I$1049,4,0)</f>
        <v>20</v>
      </c>
      <c r="E379" s="0" t="n">
        <f aca="false">VLOOKUP(A379,[1]Worksheet!$A$2:$I$1049,5,0)</f>
        <v>3.43</v>
      </c>
      <c r="F379" s="0" t="n">
        <f aca="false">VLOOKUP(A379,[1]Worksheet!$A$2:$I$1049,6,0)</f>
        <v>20</v>
      </c>
      <c r="G379" s="0" t="n">
        <f aca="false">VLOOKUP(A379,[1]Worksheet!$A$2:$I$1049,7,0)</f>
        <v>3.43</v>
      </c>
      <c r="K379" s="0" t="n">
        <v>0</v>
      </c>
      <c r="M379" s="0" t="n">
        <f aca="false">D379*E379</f>
        <v>68.6</v>
      </c>
      <c r="N379" s="0" t="n">
        <f aca="false">F379*G379</f>
        <v>68.6</v>
      </c>
      <c r="P379" s="0" t="n">
        <f aca="false">K379+D379</f>
        <v>20</v>
      </c>
      <c r="Q379" s="0" t="n">
        <f aca="false">M379/P379</f>
        <v>3.43</v>
      </c>
      <c r="R379" s="0" t="n">
        <f aca="false">F379+K379</f>
        <v>20</v>
      </c>
      <c r="S379" s="0" t="n">
        <f aca="false">N379/R379</f>
        <v>3.43</v>
      </c>
    </row>
    <row r="380" customFormat="false" ht="15" hidden="false" customHeight="false" outlineLevel="0" collapsed="false">
      <c r="A380" s="0" t="s">
        <v>320</v>
      </c>
      <c r="B380" s="0" t="s">
        <v>321</v>
      </c>
      <c r="C380" s="0" t="n">
        <v>20171</v>
      </c>
      <c r="D380" s="0" t="n">
        <f aca="false">VLOOKUP(A380,[1]Worksheet!$A$2:$I$1049,4,0)</f>
        <v>20</v>
      </c>
      <c r="E380" s="0" t="n">
        <f aca="false">VLOOKUP(A380,[1]Worksheet!$A$2:$I$1049,5,0)</f>
        <v>3.25</v>
      </c>
      <c r="F380" s="0" t="n">
        <f aca="false">VLOOKUP(A380,[1]Worksheet!$A$2:$I$1049,6,0)</f>
        <v>20</v>
      </c>
      <c r="G380" s="0" t="n">
        <f aca="false">VLOOKUP(A380,[1]Worksheet!$A$2:$I$1049,7,0)</f>
        <v>3.25</v>
      </c>
      <c r="K380" s="0" t="n">
        <v>0</v>
      </c>
      <c r="M380" s="0" t="n">
        <f aca="false">D380*E380</f>
        <v>65</v>
      </c>
      <c r="N380" s="0" t="n">
        <f aca="false">F380*G380</f>
        <v>65</v>
      </c>
      <c r="P380" s="0" t="n">
        <f aca="false">K380+D380</f>
        <v>20</v>
      </c>
      <c r="Q380" s="0" t="n">
        <f aca="false">M380/P380</f>
        <v>3.25</v>
      </c>
      <c r="R380" s="0" t="n">
        <f aca="false">F380+K380</f>
        <v>20</v>
      </c>
      <c r="S380" s="0" t="n">
        <f aca="false">N380/R380</f>
        <v>3.25</v>
      </c>
    </row>
    <row r="381" customFormat="false" ht="15" hidden="false" customHeight="false" outlineLevel="0" collapsed="false">
      <c r="A381" s="0" t="s">
        <v>322</v>
      </c>
      <c r="B381" s="0" t="s">
        <v>323</v>
      </c>
      <c r="C381" s="0" t="n">
        <v>20171</v>
      </c>
      <c r="D381" s="0" t="n">
        <f aca="false">VLOOKUP(A381,[1]Worksheet!$A$2:$I$1049,4,0)</f>
        <v>20</v>
      </c>
      <c r="E381" s="0" t="n">
        <f aca="false">VLOOKUP(A381,[1]Worksheet!$A$2:$I$1049,5,0)</f>
        <v>3.1</v>
      </c>
      <c r="F381" s="0" t="n">
        <f aca="false">VLOOKUP(A381,[1]Worksheet!$A$2:$I$1049,6,0)</f>
        <v>20</v>
      </c>
      <c r="G381" s="0" t="n">
        <f aca="false">VLOOKUP(A381,[1]Worksheet!$A$2:$I$1049,7,0)</f>
        <v>3.1</v>
      </c>
      <c r="K381" s="0" t="n">
        <v>0</v>
      </c>
      <c r="M381" s="0" t="n">
        <f aca="false">D381*E381</f>
        <v>62</v>
      </c>
      <c r="N381" s="0" t="n">
        <f aca="false">F381*G381</f>
        <v>62</v>
      </c>
      <c r="P381" s="0" t="n">
        <f aca="false">K381+D381</f>
        <v>20</v>
      </c>
      <c r="Q381" s="0" t="n">
        <f aca="false">M381/P381</f>
        <v>3.1</v>
      </c>
      <c r="R381" s="0" t="n">
        <f aca="false">F381+K381</f>
        <v>20</v>
      </c>
      <c r="S381" s="0" t="n">
        <f aca="false">N381/R381</f>
        <v>3.1</v>
      </c>
    </row>
    <row r="382" customFormat="false" ht="15" hidden="false" customHeight="false" outlineLevel="0" collapsed="false">
      <c r="A382" s="0" t="s">
        <v>324</v>
      </c>
      <c r="B382" s="0" t="s">
        <v>325</v>
      </c>
      <c r="C382" s="0" t="n">
        <v>20171</v>
      </c>
      <c r="D382" s="0" t="n">
        <f aca="false">VLOOKUP(A382,[1]Worksheet!$A$2:$I$1049,4,0)</f>
        <v>20</v>
      </c>
      <c r="E382" s="0" t="n">
        <f aca="false">VLOOKUP(A382,[1]Worksheet!$A$2:$I$1049,5,0)</f>
        <v>2.83</v>
      </c>
      <c r="F382" s="0" t="n">
        <f aca="false">VLOOKUP(A382,[1]Worksheet!$A$2:$I$1049,6,0)</f>
        <v>20</v>
      </c>
      <c r="G382" s="0" t="n">
        <f aca="false">VLOOKUP(A382,[1]Worksheet!$A$2:$I$1049,7,0)</f>
        <v>2.83</v>
      </c>
      <c r="K382" s="0" t="n">
        <v>0</v>
      </c>
      <c r="M382" s="0" t="n">
        <f aca="false">D382*E382</f>
        <v>56.6</v>
      </c>
      <c r="N382" s="0" t="n">
        <f aca="false">F382*G382</f>
        <v>56.6</v>
      </c>
      <c r="P382" s="0" t="n">
        <f aca="false">K382+D382</f>
        <v>20</v>
      </c>
      <c r="Q382" s="0" t="n">
        <f aca="false">M382/P382</f>
        <v>2.83</v>
      </c>
      <c r="R382" s="0" t="n">
        <f aca="false">F382+K382</f>
        <v>20</v>
      </c>
      <c r="S382" s="0" t="n">
        <f aca="false">N382/R382</f>
        <v>2.83</v>
      </c>
    </row>
    <row r="383" customFormat="false" ht="15" hidden="false" customHeight="false" outlineLevel="0" collapsed="false">
      <c r="A383" s="0" t="s">
        <v>326</v>
      </c>
      <c r="B383" s="0" t="s">
        <v>327</v>
      </c>
      <c r="C383" s="0" t="n">
        <v>20171</v>
      </c>
      <c r="D383" s="0" t="n">
        <f aca="false">VLOOKUP(A383,[1]Worksheet!$A$2:$I$1049,4,0)</f>
        <v>20</v>
      </c>
      <c r="E383" s="0" t="n">
        <f aca="false">VLOOKUP(A383,[1]Worksheet!$A$2:$I$1049,5,0)</f>
        <v>3.05</v>
      </c>
      <c r="F383" s="0" t="n">
        <f aca="false">VLOOKUP(A383,[1]Worksheet!$A$2:$I$1049,6,0)</f>
        <v>20</v>
      </c>
      <c r="G383" s="0" t="n">
        <f aca="false">VLOOKUP(A383,[1]Worksheet!$A$2:$I$1049,7,0)</f>
        <v>3.05</v>
      </c>
      <c r="K383" s="0" t="n">
        <v>0</v>
      </c>
      <c r="M383" s="0" t="n">
        <f aca="false">D383*E383</f>
        <v>61</v>
      </c>
      <c r="N383" s="0" t="n">
        <f aca="false">F383*G383</f>
        <v>61</v>
      </c>
      <c r="P383" s="0" t="n">
        <f aca="false">K383+D383</f>
        <v>20</v>
      </c>
      <c r="Q383" s="0" t="n">
        <f aca="false">M383/P383</f>
        <v>3.05</v>
      </c>
      <c r="R383" s="0" t="n">
        <f aca="false">F383+K383</f>
        <v>20</v>
      </c>
      <c r="S383" s="0" t="n">
        <f aca="false">N383/R383</f>
        <v>3.05</v>
      </c>
    </row>
    <row r="384" customFormat="false" ht="15" hidden="false" customHeight="false" outlineLevel="0" collapsed="false">
      <c r="A384" s="0" t="s">
        <v>328</v>
      </c>
      <c r="B384" s="0" t="s">
        <v>329</v>
      </c>
      <c r="C384" s="0" t="n">
        <v>20171</v>
      </c>
      <c r="D384" s="0" t="n">
        <f aca="false">VLOOKUP(A384,[1]Worksheet!$A$2:$I$1049,4,0)</f>
        <v>20</v>
      </c>
      <c r="E384" s="0" t="n">
        <f aca="false">VLOOKUP(A384,[1]Worksheet!$A$2:$I$1049,5,0)</f>
        <v>2.78</v>
      </c>
      <c r="F384" s="0" t="n">
        <f aca="false">VLOOKUP(A384,[1]Worksheet!$A$2:$I$1049,6,0)</f>
        <v>20</v>
      </c>
      <c r="G384" s="0" t="n">
        <f aca="false">VLOOKUP(A384,[1]Worksheet!$A$2:$I$1049,7,0)</f>
        <v>2.78</v>
      </c>
      <c r="K384" s="0" t="n">
        <v>0</v>
      </c>
      <c r="M384" s="0" t="n">
        <f aca="false">D384*E384</f>
        <v>55.6</v>
      </c>
      <c r="N384" s="0" t="n">
        <f aca="false">F384*G384</f>
        <v>55.6</v>
      </c>
      <c r="P384" s="0" t="n">
        <f aca="false">K384+D384</f>
        <v>20</v>
      </c>
      <c r="Q384" s="0" t="n">
        <f aca="false">M384/P384</f>
        <v>2.78</v>
      </c>
      <c r="R384" s="0" t="n">
        <f aca="false">F384+K384</f>
        <v>20</v>
      </c>
      <c r="S384" s="0" t="n">
        <f aca="false">N384/R384</f>
        <v>2.78</v>
      </c>
    </row>
    <row r="385" customFormat="false" ht="15" hidden="false" customHeight="false" outlineLevel="0" collapsed="false">
      <c r="A385" s="0" t="s">
        <v>330</v>
      </c>
      <c r="B385" s="0" t="s">
        <v>331</v>
      </c>
      <c r="C385" s="0" t="n">
        <v>20171</v>
      </c>
      <c r="D385" s="0" t="n">
        <f aca="false">VLOOKUP(A385,[1]Worksheet!$A$2:$I$1049,4,0)</f>
        <v>20</v>
      </c>
      <c r="E385" s="0" t="n">
        <f aca="false">VLOOKUP(A385,[1]Worksheet!$A$2:$I$1049,5,0)</f>
        <v>3.43</v>
      </c>
      <c r="F385" s="0" t="n">
        <f aca="false">VLOOKUP(A385,[1]Worksheet!$A$2:$I$1049,6,0)</f>
        <v>20</v>
      </c>
      <c r="G385" s="0" t="n">
        <f aca="false">VLOOKUP(A385,[1]Worksheet!$A$2:$I$1049,7,0)</f>
        <v>3.43</v>
      </c>
      <c r="K385" s="0" t="n">
        <v>0</v>
      </c>
      <c r="M385" s="0" t="n">
        <f aca="false">D385*E385</f>
        <v>68.6</v>
      </c>
      <c r="N385" s="0" t="n">
        <f aca="false">F385*G385</f>
        <v>68.6</v>
      </c>
      <c r="P385" s="0" t="n">
        <f aca="false">K385+D385</f>
        <v>20</v>
      </c>
      <c r="Q385" s="0" t="n">
        <f aca="false">M385/P385</f>
        <v>3.43</v>
      </c>
      <c r="R385" s="0" t="n">
        <f aca="false">F385+K385</f>
        <v>20</v>
      </c>
      <c r="S385" s="0" t="n">
        <f aca="false">N385/R385</f>
        <v>3.43</v>
      </c>
    </row>
    <row r="386" customFormat="false" ht="15" hidden="false" customHeight="false" outlineLevel="0" collapsed="false">
      <c r="A386" s="0" t="s">
        <v>332</v>
      </c>
      <c r="B386" s="0" t="s">
        <v>333</v>
      </c>
      <c r="C386" s="0" t="n">
        <v>20171</v>
      </c>
      <c r="D386" s="0" t="n">
        <f aca="false">VLOOKUP(A386,[1]Worksheet!$A$2:$I$1049,4,0)</f>
        <v>20</v>
      </c>
      <c r="E386" s="0" t="n">
        <f aca="false">VLOOKUP(A386,[1]Worksheet!$A$2:$I$1049,5,0)</f>
        <v>2.45</v>
      </c>
      <c r="F386" s="0" t="n">
        <f aca="false">VLOOKUP(A386,[1]Worksheet!$A$2:$I$1049,6,0)</f>
        <v>20</v>
      </c>
      <c r="G386" s="0" t="n">
        <f aca="false">VLOOKUP(A386,[1]Worksheet!$A$2:$I$1049,7,0)</f>
        <v>2.45</v>
      </c>
      <c r="K386" s="0" t="n">
        <v>0</v>
      </c>
      <c r="M386" s="0" t="n">
        <f aca="false">D386*E386</f>
        <v>49</v>
      </c>
      <c r="N386" s="0" t="n">
        <f aca="false">F386*G386</f>
        <v>49</v>
      </c>
      <c r="P386" s="0" t="n">
        <f aca="false">K386+D386</f>
        <v>20</v>
      </c>
      <c r="Q386" s="0" t="n">
        <f aca="false">M386/P386</f>
        <v>2.45</v>
      </c>
      <c r="R386" s="0" t="n">
        <f aca="false">F386+K386</f>
        <v>20</v>
      </c>
      <c r="S386" s="0" t="n">
        <f aca="false">N386/R386</f>
        <v>2.45</v>
      </c>
    </row>
    <row r="387" customFormat="false" ht="15" hidden="false" customHeight="false" outlineLevel="0" collapsed="false">
      <c r="A387" s="0" t="s">
        <v>334</v>
      </c>
      <c r="B387" s="0" t="s">
        <v>335</v>
      </c>
      <c r="C387" s="0" t="n">
        <v>20171</v>
      </c>
      <c r="D387" s="0" t="n">
        <f aca="false">VLOOKUP(A387,[1]Worksheet!$A$2:$I$1049,4,0)</f>
        <v>20</v>
      </c>
      <c r="E387" s="0" t="n">
        <f aca="false">VLOOKUP(A387,[1]Worksheet!$A$2:$I$1049,5,0)</f>
        <v>3.23</v>
      </c>
      <c r="F387" s="0" t="n">
        <f aca="false">VLOOKUP(A387,[1]Worksheet!$A$2:$I$1049,6,0)</f>
        <v>20</v>
      </c>
      <c r="G387" s="0" t="n">
        <f aca="false">VLOOKUP(A387,[1]Worksheet!$A$2:$I$1049,7,0)</f>
        <v>3.23</v>
      </c>
      <c r="K387" s="0" t="n">
        <v>0</v>
      </c>
      <c r="M387" s="0" t="n">
        <f aca="false">D387*E387</f>
        <v>64.6</v>
      </c>
      <c r="N387" s="0" t="n">
        <f aca="false">F387*G387</f>
        <v>64.6</v>
      </c>
      <c r="P387" s="0" t="n">
        <f aca="false">K387+D387</f>
        <v>20</v>
      </c>
      <c r="Q387" s="0" t="n">
        <f aca="false">M387/P387</f>
        <v>3.23</v>
      </c>
      <c r="R387" s="0" t="n">
        <f aca="false">F387+K387</f>
        <v>20</v>
      </c>
      <c r="S387" s="0" t="n">
        <f aca="false">N387/R387</f>
        <v>3.23</v>
      </c>
    </row>
    <row r="388" customFormat="false" ht="15" hidden="false" customHeight="false" outlineLevel="0" collapsed="false">
      <c r="A388" s="0" t="s">
        <v>336</v>
      </c>
      <c r="B388" s="0" t="s">
        <v>337</v>
      </c>
      <c r="C388" s="0" t="n">
        <v>20171</v>
      </c>
      <c r="D388" s="0" t="n">
        <f aca="false">VLOOKUP(A388,[1]Worksheet!$A$2:$I$1049,4,0)</f>
        <v>20</v>
      </c>
      <c r="E388" s="0" t="n">
        <f aca="false">VLOOKUP(A388,[1]Worksheet!$A$2:$I$1049,5,0)</f>
        <v>3.23</v>
      </c>
      <c r="F388" s="0" t="n">
        <f aca="false">VLOOKUP(A388,[1]Worksheet!$A$2:$I$1049,6,0)</f>
        <v>20</v>
      </c>
      <c r="G388" s="0" t="n">
        <f aca="false">VLOOKUP(A388,[1]Worksheet!$A$2:$I$1049,7,0)</f>
        <v>3.23</v>
      </c>
      <c r="K388" s="0" t="n">
        <v>0</v>
      </c>
      <c r="M388" s="0" t="n">
        <f aca="false">D388*E388</f>
        <v>64.6</v>
      </c>
      <c r="N388" s="0" t="n">
        <f aca="false">F388*G388</f>
        <v>64.6</v>
      </c>
      <c r="P388" s="0" t="n">
        <f aca="false">K388+D388</f>
        <v>20</v>
      </c>
      <c r="Q388" s="0" t="n">
        <f aca="false">M388/P388</f>
        <v>3.23</v>
      </c>
      <c r="R388" s="0" t="n">
        <f aca="false">F388+K388</f>
        <v>20</v>
      </c>
      <c r="S388" s="0" t="n">
        <f aca="false">N388/R388</f>
        <v>3.23</v>
      </c>
    </row>
    <row r="389" customFormat="false" ht="15" hidden="false" customHeight="false" outlineLevel="0" collapsed="false">
      <c r="A389" s="0" t="s">
        <v>338</v>
      </c>
      <c r="B389" s="0" t="s">
        <v>339</v>
      </c>
      <c r="C389" s="0" t="n">
        <v>20171</v>
      </c>
      <c r="D389" s="0" t="n">
        <f aca="false">VLOOKUP(A389,[1]Worksheet!$A$2:$I$1049,4,0)</f>
        <v>20</v>
      </c>
      <c r="E389" s="0" t="n">
        <f aca="false">VLOOKUP(A389,[1]Worksheet!$A$2:$I$1049,5,0)</f>
        <v>3.25</v>
      </c>
      <c r="F389" s="0" t="n">
        <f aca="false">VLOOKUP(A389,[1]Worksheet!$A$2:$I$1049,6,0)</f>
        <v>20</v>
      </c>
      <c r="G389" s="0" t="n">
        <f aca="false">VLOOKUP(A389,[1]Worksheet!$A$2:$I$1049,7,0)</f>
        <v>3.25</v>
      </c>
      <c r="K389" s="0" t="n">
        <v>0</v>
      </c>
      <c r="M389" s="0" t="n">
        <f aca="false">D389*E389</f>
        <v>65</v>
      </c>
      <c r="N389" s="0" t="n">
        <f aca="false">F389*G389</f>
        <v>65</v>
      </c>
      <c r="P389" s="0" t="n">
        <f aca="false">K389+D389</f>
        <v>20</v>
      </c>
      <c r="Q389" s="0" t="n">
        <f aca="false">M389/P389</f>
        <v>3.25</v>
      </c>
      <c r="R389" s="0" t="n">
        <f aca="false">F389+K389</f>
        <v>20</v>
      </c>
      <c r="S389" s="0" t="n">
        <f aca="false">N389/R389</f>
        <v>3.25</v>
      </c>
    </row>
    <row r="390" customFormat="false" ht="15" hidden="false" customHeight="false" outlineLevel="0" collapsed="false">
      <c r="A390" s="0" t="s">
        <v>340</v>
      </c>
      <c r="B390" s="0" t="s">
        <v>341</v>
      </c>
      <c r="C390" s="0" t="n">
        <v>20171</v>
      </c>
      <c r="D390" s="0" t="n">
        <f aca="false">VLOOKUP(A390,[1]Worksheet!$A$2:$I$1049,4,0)</f>
        <v>20</v>
      </c>
      <c r="E390" s="0" t="n">
        <f aca="false">VLOOKUP(A390,[1]Worksheet!$A$2:$I$1049,5,0)</f>
        <v>3</v>
      </c>
      <c r="F390" s="0" t="n">
        <f aca="false">VLOOKUP(A390,[1]Worksheet!$A$2:$I$1049,6,0)</f>
        <v>20</v>
      </c>
      <c r="G390" s="0" t="n">
        <f aca="false">VLOOKUP(A390,[1]Worksheet!$A$2:$I$1049,7,0)</f>
        <v>3</v>
      </c>
      <c r="K390" s="0" t="n">
        <v>0</v>
      </c>
      <c r="M390" s="0" t="n">
        <f aca="false">D390*E390</f>
        <v>60</v>
      </c>
      <c r="N390" s="0" t="n">
        <f aca="false">F390*G390</f>
        <v>60</v>
      </c>
      <c r="P390" s="0" t="n">
        <f aca="false">K390+D390</f>
        <v>20</v>
      </c>
      <c r="Q390" s="0" t="n">
        <f aca="false">M390/P390</f>
        <v>3</v>
      </c>
      <c r="R390" s="0" t="n">
        <f aca="false">F390+K390</f>
        <v>20</v>
      </c>
      <c r="S390" s="0" t="n">
        <f aca="false">N390/R390</f>
        <v>3</v>
      </c>
    </row>
    <row r="391" customFormat="false" ht="15" hidden="false" customHeight="false" outlineLevel="0" collapsed="false">
      <c r="A391" s="0" t="s">
        <v>342</v>
      </c>
      <c r="B391" s="0" t="s">
        <v>343</v>
      </c>
      <c r="C391" s="0" t="n">
        <v>20171</v>
      </c>
      <c r="D391" s="0" t="n">
        <f aca="false">VLOOKUP(A391,[1]Worksheet!$A$2:$I$1049,4,0)</f>
        <v>20</v>
      </c>
      <c r="E391" s="0" t="n">
        <f aca="false">VLOOKUP(A391,[1]Worksheet!$A$2:$I$1049,5,0)</f>
        <v>3.65</v>
      </c>
      <c r="F391" s="0" t="n">
        <f aca="false">VLOOKUP(A391,[1]Worksheet!$A$2:$I$1049,6,0)</f>
        <v>20</v>
      </c>
      <c r="G391" s="0" t="n">
        <f aca="false">VLOOKUP(A391,[1]Worksheet!$A$2:$I$1049,7,0)</f>
        <v>3.65</v>
      </c>
      <c r="K391" s="0" t="n">
        <v>0</v>
      </c>
      <c r="M391" s="0" t="n">
        <f aca="false">D391*E391</f>
        <v>73</v>
      </c>
      <c r="N391" s="0" t="n">
        <f aca="false">F391*G391</f>
        <v>73</v>
      </c>
      <c r="P391" s="0" t="n">
        <f aca="false">K391+D391</f>
        <v>20</v>
      </c>
      <c r="Q391" s="0" t="n">
        <f aca="false">M391/P391</f>
        <v>3.65</v>
      </c>
      <c r="R391" s="0" t="n">
        <f aca="false">F391+K391</f>
        <v>20</v>
      </c>
      <c r="S391" s="0" t="n">
        <f aca="false">N391/R391</f>
        <v>3.65</v>
      </c>
    </row>
    <row r="392" customFormat="false" ht="15" hidden="false" customHeight="false" outlineLevel="0" collapsed="false">
      <c r="A392" s="0" t="s">
        <v>344</v>
      </c>
      <c r="B392" s="0" t="s">
        <v>345</v>
      </c>
      <c r="C392" s="0" t="n">
        <v>20171</v>
      </c>
      <c r="D392" s="0" t="n">
        <f aca="false">VLOOKUP(A392,[1]Worksheet!$A$2:$I$1049,4,0)</f>
        <v>20</v>
      </c>
      <c r="E392" s="0" t="n">
        <f aca="false">VLOOKUP(A392,[1]Worksheet!$A$2:$I$1049,5,0)</f>
        <v>2.9</v>
      </c>
      <c r="F392" s="0" t="n">
        <f aca="false">VLOOKUP(A392,[1]Worksheet!$A$2:$I$1049,6,0)</f>
        <v>20</v>
      </c>
      <c r="G392" s="0" t="n">
        <f aca="false">VLOOKUP(A392,[1]Worksheet!$A$2:$I$1049,7,0)</f>
        <v>2.9</v>
      </c>
      <c r="K392" s="0" t="n">
        <v>0</v>
      </c>
      <c r="M392" s="0" t="n">
        <f aca="false">D392*E392</f>
        <v>58</v>
      </c>
      <c r="N392" s="0" t="n">
        <f aca="false">F392*G392</f>
        <v>58</v>
      </c>
      <c r="P392" s="0" t="n">
        <f aca="false">K392+D392</f>
        <v>20</v>
      </c>
      <c r="Q392" s="0" t="n">
        <f aca="false">M392/P392</f>
        <v>2.9</v>
      </c>
      <c r="R392" s="0" t="n">
        <f aca="false">F392+K392</f>
        <v>20</v>
      </c>
      <c r="S392" s="0" t="n">
        <f aca="false">N392/R392</f>
        <v>2.9</v>
      </c>
    </row>
    <row r="393" customFormat="false" ht="15" hidden="false" customHeight="false" outlineLevel="0" collapsed="false">
      <c r="A393" s="0" t="s">
        <v>346</v>
      </c>
      <c r="B393" s="0" t="s">
        <v>347</v>
      </c>
      <c r="C393" s="0" t="n">
        <v>20171</v>
      </c>
      <c r="D393" s="0" t="n">
        <f aca="false">VLOOKUP(A393,[1]Worksheet!$A$2:$I$1049,4,0)</f>
        <v>20</v>
      </c>
      <c r="E393" s="0" t="n">
        <f aca="false">VLOOKUP(A393,[1]Worksheet!$A$2:$I$1049,5,0)</f>
        <v>2.28</v>
      </c>
      <c r="F393" s="0" t="n">
        <f aca="false">VLOOKUP(A393,[1]Worksheet!$A$2:$I$1049,6,0)</f>
        <v>20</v>
      </c>
      <c r="G393" s="0" t="n">
        <f aca="false">VLOOKUP(A393,[1]Worksheet!$A$2:$I$1049,7,0)</f>
        <v>2.28</v>
      </c>
      <c r="K393" s="0" t="n">
        <v>0</v>
      </c>
      <c r="M393" s="0" t="n">
        <f aca="false">D393*E393</f>
        <v>45.6</v>
      </c>
      <c r="N393" s="0" t="n">
        <f aca="false">F393*G393</f>
        <v>45.6</v>
      </c>
      <c r="P393" s="0" t="n">
        <f aca="false">K393+D393</f>
        <v>20</v>
      </c>
      <c r="Q393" s="0" t="n">
        <f aca="false">M393/P393</f>
        <v>2.28</v>
      </c>
      <c r="R393" s="0" t="n">
        <f aca="false">F393+K393</f>
        <v>20</v>
      </c>
      <c r="S393" s="0" t="n">
        <f aca="false">N393/R393</f>
        <v>2.28</v>
      </c>
    </row>
    <row r="394" customFormat="false" ht="15" hidden="false" customHeight="false" outlineLevel="0" collapsed="false">
      <c r="A394" s="0" t="s">
        <v>348</v>
      </c>
      <c r="B394" s="0" t="s">
        <v>349</v>
      </c>
      <c r="C394" s="0" t="n">
        <v>20171</v>
      </c>
      <c r="D394" s="0" t="n">
        <f aca="false">VLOOKUP(A394,[1]Worksheet!$A$2:$I$1049,4,0)</f>
        <v>20</v>
      </c>
      <c r="E394" s="0" t="n">
        <f aca="false">VLOOKUP(A394,[1]Worksheet!$A$2:$I$1049,5,0)</f>
        <v>3.18</v>
      </c>
      <c r="F394" s="0" t="n">
        <f aca="false">VLOOKUP(A394,[1]Worksheet!$A$2:$I$1049,6,0)</f>
        <v>20</v>
      </c>
      <c r="G394" s="0" t="n">
        <f aca="false">VLOOKUP(A394,[1]Worksheet!$A$2:$I$1049,7,0)</f>
        <v>3.18</v>
      </c>
      <c r="K394" s="0" t="n">
        <v>0</v>
      </c>
      <c r="M394" s="0" t="n">
        <f aca="false">D394*E394</f>
        <v>63.6</v>
      </c>
      <c r="N394" s="0" t="n">
        <f aca="false">F394*G394</f>
        <v>63.6</v>
      </c>
      <c r="P394" s="0" t="n">
        <f aca="false">K394+D394</f>
        <v>20</v>
      </c>
      <c r="Q394" s="0" t="n">
        <f aca="false">M394/P394</f>
        <v>3.18</v>
      </c>
      <c r="R394" s="0" t="n">
        <f aca="false">F394+K394</f>
        <v>20</v>
      </c>
      <c r="S394" s="0" t="n">
        <f aca="false">N394/R394</f>
        <v>3.18</v>
      </c>
    </row>
    <row r="395" customFormat="false" ht="15" hidden="false" customHeight="false" outlineLevel="0" collapsed="false">
      <c r="A395" s="0" t="s">
        <v>350</v>
      </c>
      <c r="B395" s="0" t="s">
        <v>351</v>
      </c>
      <c r="C395" s="0" t="n">
        <v>20171</v>
      </c>
      <c r="D395" s="0" t="n">
        <f aca="false">VLOOKUP(A395,[1]Worksheet!$A$2:$I$1049,4,0)</f>
        <v>20</v>
      </c>
      <c r="E395" s="0" t="n">
        <f aca="false">VLOOKUP(A395,[1]Worksheet!$A$2:$I$1049,5,0)</f>
        <v>3.28</v>
      </c>
      <c r="F395" s="0" t="n">
        <f aca="false">VLOOKUP(A395,[1]Worksheet!$A$2:$I$1049,6,0)</f>
        <v>20</v>
      </c>
      <c r="G395" s="0" t="n">
        <f aca="false">VLOOKUP(A395,[1]Worksheet!$A$2:$I$1049,7,0)</f>
        <v>3.28</v>
      </c>
      <c r="K395" s="0" t="n">
        <v>0</v>
      </c>
      <c r="M395" s="0" t="n">
        <f aca="false">D395*E395</f>
        <v>65.6</v>
      </c>
      <c r="N395" s="0" t="n">
        <f aca="false">F395*G395</f>
        <v>65.6</v>
      </c>
      <c r="P395" s="0" t="n">
        <f aca="false">K395+D395</f>
        <v>20</v>
      </c>
      <c r="Q395" s="0" t="n">
        <f aca="false">M395/P395</f>
        <v>3.28</v>
      </c>
      <c r="R395" s="0" t="n">
        <f aca="false">F395+K395</f>
        <v>20</v>
      </c>
      <c r="S395" s="0" t="n">
        <f aca="false">N395/R395</f>
        <v>3.28</v>
      </c>
    </row>
    <row r="396" customFormat="false" ht="15" hidden="false" customHeight="false" outlineLevel="0" collapsed="false">
      <c r="A396" s="0" t="s">
        <v>352</v>
      </c>
      <c r="B396" s="0" t="s">
        <v>353</v>
      </c>
      <c r="C396" s="0" t="n">
        <v>20171</v>
      </c>
      <c r="D396" s="0" t="n">
        <f aca="false">VLOOKUP(A396,[1]Worksheet!$A$2:$I$1049,4,0)</f>
        <v>20</v>
      </c>
      <c r="E396" s="0" t="n">
        <f aca="false">VLOOKUP(A396,[1]Worksheet!$A$2:$I$1049,5,0)</f>
        <v>3.13</v>
      </c>
      <c r="F396" s="0" t="n">
        <f aca="false">VLOOKUP(A396,[1]Worksheet!$A$2:$I$1049,6,0)</f>
        <v>20</v>
      </c>
      <c r="G396" s="0" t="n">
        <f aca="false">VLOOKUP(A396,[1]Worksheet!$A$2:$I$1049,7,0)</f>
        <v>3.13</v>
      </c>
      <c r="K396" s="0" t="n">
        <v>0</v>
      </c>
      <c r="M396" s="0" t="n">
        <f aca="false">D396*E396</f>
        <v>62.6</v>
      </c>
      <c r="N396" s="0" t="n">
        <f aca="false">F396*G396</f>
        <v>62.6</v>
      </c>
      <c r="P396" s="0" t="n">
        <f aca="false">K396+D396</f>
        <v>20</v>
      </c>
      <c r="Q396" s="0" t="n">
        <f aca="false">M396/P396</f>
        <v>3.13</v>
      </c>
      <c r="R396" s="0" t="n">
        <f aca="false">F396+K396</f>
        <v>20</v>
      </c>
      <c r="S396" s="0" t="n">
        <f aca="false">N396/R396</f>
        <v>3.13</v>
      </c>
    </row>
    <row r="397" customFormat="false" ht="15" hidden="false" customHeight="false" outlineLevel="0" collapsed="false">
      <c r="A397" s="0" t="s">
        <v>354</v>
      </c>
      <c r="B397" s="0" t="s">
        <v>355</v>
      </c>
      <c r="C397" s="0" t="n">
        <v>20171</v>
      </c>
      <c r="D397" s="0" t="n">
        <f aca="false">VLOOKUP(A397,[1]Worksheet!$A$2:$I$1049,4,0)</f>
        <v>20</v>
      </c>
      <c r="E397" s="0" t="n">
        <f aca="false">VLOOKUP(A397,[1]Worksheet!$A$2:$I$1049,5,0)</f>
        <v>0.3</v>
      </c>
      <c r="F397" s="0" t="n">
        <f aca="false">VLOOKUP(A397,[1]Worksheet!$A$2:$I$1049,6,0)</f>
        <v>20</v>
      </c>
      <c r="G397" s="0" t="n">
        <f aca="false">VLOOKUP(A397,[1]Worksheet!$A$2:$I$1049,7,0)</f>
        <v>0.3</v>
      </c>
      <c r="K397" s="0" t="n">
        <v>0</v>
      </c>
      <c r="M397" s="0" t="n">
        <f aca="false">D397*E397</f>
        <v>6</v>
      </c>
      <c r="N397" s="0" t="n">
        <f aca="false">F397*G397</f>
        <v>6</v>
      </c>
      <c r="P397" s="0" t="n">
        <f aca="false">K397+D397</f>
        <v>20</v>
      </c>
      <c r="Q397" s="0" t="n">
        <f aca="false">M397/P397</f>
        <v>0.3</v>
      </c>
      <c r="R397" s="0" t="n">
        <f aca="false">F397+K397</f>
        <v>20</v>
      </c>
      <c r="S397" s="0" t="n">
        <f aca="false">N397/R397</f>
        <v>0.3</v>
      </c>
    </row>
    <row r="398" customFormat="false" ht="15" hidden="false" customHeight="false" outlineLevel="0" collapsed="false">
      <c r="A398" s="0" t="s">
        <v>356</v>
      </c>
      <c r="B398" s="0" t="s">
        <v>357</v>
      </c>
      <c r="C398" s="0" t="n">
        <v>20171</v>
      </c>
      <c r="D398" s="0" t="n">
        <f aca="false">VLOOKUP(A398,[1]Worksheet!$A$2:$I$1049,4,0)</f>
        <v>20</v>
      </c>
      <c r="E398" s="0" t="n">
        <f aca="false">VLOOKUP(A398,[1]Worksheet!$A$2:$I$1049,5,0)</f>
        <v>2.9</v>
      </c>
      <c r="F398" s="0" t="n">
        <f aca="false">VLOOKUP(A398,[1]Worksheet!$A$2:$I$1049,6,0)</f>
        <v>20</v>
      </c>
      <c r="G398" s="0" t="n">
        <f aca="false">VLOOKUP(A398,[1]Worksheet!$A$2:$I$1049,7,0)</f>
        <v>2.9</v>
      </c>
      <c r="K398" s="0" t="n">
        <v>0</v>
      </c>
      <c r="M398" s="0" t="n">
        <f aca="false">D398*E398</f>
        <v>58</v>
      </c>
      <c r="N398" s="0" t="n">
        <f aca="false">F398*G398</f>
        <v>58</v>
      </c>
      <c r="P398" s="0" t="n">
        <f aca="false">K398+D398</f>
        <v>20</v>
      </c>
      <c r="Q398" s="0" t="n">
        <f aca="false">M398/P398</f>
        <v>2.9</v>
      </c>
      <c r="R398" s="0" t="n">
        <f aca="false">F398+K398</f>
        <v>20</v>
      </c>
      <c r="S398" s="0" t="n">
        <f aca="false">N398/R398</f>
        <v>2.9</v>
      </c>
    </row>
    <row r="399" customFormat="false" ht="15" hidden="false" customHeight="false" outlineLevel="0" collapsed="false">
      <c r="A399" s="0" t="s">
        <v>358</v>
      </c>
      <c r="B399" s="0" t="s">
        <v>359</v>
      </c>
      <c r="C399" s="0" t="n">
        <v>20171</v>
      </c>
      <c r="D399" s="0" t="n">
        <f aca="false">VLOOKUP(A399,[1]Worksheet!$A$2:$I$1049,4,0)</f>
        <v>20</v>
      </c>
      <c r="E399" s="0" t="n">
        <f aca="false">VLOOKUP(A399,[1]Worksheet!$A$2:$I$1049,5,0)</f>
        <v>1.25</v>
      </c>
      <c r="F399" s="0" t="n">
        <f aca="false">VLOOKUP(A399,[1]Worksheet!$A$2:$I$1049,6,0)</f>
        <v>20</v>
      </c>
      <c r="G399" s="0" t="n">
        <f aca="false">VLOOKUP(A399,[1]Worksheet!$A$2:$I$1049,7,0)</f>
        <v>1.25</v>
      </c>
      <c r="K399" s="0" t="n">
        <v>0</v>
      </c>
      <c r="M399" s="0" t="n">
        <f aca="false">D399*E399</f>
        <v>25</v>
      </c>
      <c r="N399" s="0" t="n">
        <f aca="false">F399*G399</f>
        <v>25</v>
      </c>
      <c r="P399" s="0" t="n">
        <f aca="false">K399+D399</f>
        <v>20</v>
      </c>
      <c r="Q399" s="0" t="n">
        <f aca="false">M399/P399</f>
        <v>1.25</v>
      </c>
      <c r="R399" s="0" t="n">
        <f aca="false">F399+K399</f>
        <v>20</v>
      </c>
      <c r="S399" s="0" t="n">
        <f aca="false">N399/R399</f>
        <v>1.25</v>
      </c>
    </row>
    <row r="400" customFormat="false" ht="15" hidden="false" customHeight="false" outlineLevel="0" collapsed="false">
      <c r="A400" s="0" t="s">
        <v>360</v>
      </c>
      <c r="B400" s="0" t="s">
        <v>361</v>
      </c>
      <c r="C400" s="0" t="n">
        <v>20171</v>
      </c>
      <c r="D400" s="0" t="n">
        <f aca="false">VLOOKUP(A400,[1]Worksheet!$A$2:$I$1049,4,0)</f>
        <v>20</v>
      </c>
      <c r="E400" s="0" t="n">
        <f aca="false">VLOOKUP(A400,[1]Worksheet!$A$2:$I$1049,5,0)</f>
        <v>2.93</v>
      </c>
      <c r="F400" s="0" t="n">
        <f aca="false">VLOOKUP(A400,[1]Worksheet!$A$2:$I$1049,6,0)</f>
        <v>20</v>
      </c>
      <c r="G400" s="0" t="n">
        <f aca="false">VLOOKUP(A400,[1]Worksheet!$A$2:$I$1049,7,0)</f>
        <v>2.93</v>
      </c>
      <c r="K400" s="0" t="n">
        <v>0</v>
      </c>
      <c r="M400" s="0" t="n">
        <f aca="false">D400*E400</f>
        <v>58.6</v>
      </c>
      <c r="N400" s="0" t="n">
        <f aca="false">F400*G400</f>
        <v>58.6</v>
      </c>
      <c r="P400" s="0" t="n">
        <f aca="false">K400+D400</f>
        <v>20</v>
      </c>
      <c r="Q400" s="0" t="n">
        <f aca="false">M400/P400</f>
        <v>2.93</v>
      </c>
      <c r="R400" s="0" t="n">
        <f aca="false">F400+K400</f>
        <v>20</v>
      </c>
      <c r="S400" s="0" t="n">
        <f aca="false">N400/R400</f>
        <v>2.93</v>
      </c>
    </row>
    <row r="401" customFormat="false" ht="15" hidden="false" customHeight="false" outlineLevel="0" collapsed="false">
      <c r="A401" s="0" t="s">
        <v>362</v>
      </c>
      <c r="B401" s="0" t="s">
        <v>363</v>
      </c>
      <c r="C401" s="0" t="n">
        <v>20171</v>
      </c>
      <c r="D401" s="0" t="n">
        <f aca="false">VLOOKUP(A401,[1]Worksheet!$A$2:$I$1049,4,0)</f>
        <v>20</v>
      </c>
      <c r="E401" s="0" t="n">
        <f aca="false">VLOOKUP(A401,[1]Worksheet!$A$2:$I$1049,5,0)</f>
        <v>2.75</v>
      </c>
      <c r="F401" s="0" t="n">
        <f aca="false">VLOOKUP(A401,[1]Worksheet!$A$2:$I$1049,6,0)</f>
        <v>20</v>
      </c>
      <c r="G401" s="0" t="n">
        <f aca="false">VLOOKUP(A401,[1]Worksheet!$A$2:$I$1049,7,0)</f>
        <v>2.75</v>
      </c>
      <c r="K401" s="0" t="n">
        <v>0</v>
      </c>
      <c r="M401" s="0" t="n">
        <f aca="false">D401*E401</f>
        <v>55</v>
      </c>
      <c r="N401" s="0" t="n">
        <f aca="false">F401*G401</f>
        <v>55</v>
      </c>
      <c r="P401" s="0" t="n">
        <f aca="false">K401+D401</f>
        <v>20</v>
      </c>
      <c r="Q401" s="0" t="n">
        <f aca="false">M401/P401</f>
        <v>2.75</v>
      </c>
      <c r="R401" s="0" t="n">
        <f aca="false">F401+K401</f>
        <v>20</v>
      </c>
      <c r="S401" s="0" t="n">
        <f aca="false">N401/R401</f>
        <v>2.75</v>
      </c>
    </row>
    <row r="402" customFormat="false" ht="15" hidden="false" customHeight="false" outlineLevel="0" collapsed="false">
      <c r="A402" s="0" t="s">
        <v>364</v>
      </c>
      <c r="B402" s="0" t="s">
        <v>365</v>
      </c>
      <c r="C402" s="0" t="n">
        <v>20171</v>
      </c>
      <c r="D402" s="0" t="n">
        <f aca="false">VLOOKUP(A402,[1]Worksheet!$A$2:$I$1049,4,0)</f>
        <v>20</v>
      </c>
      <c r="E402" s="0" t="n">
        <f aca="false">VLOOKUP(A402,[1]Worksheet!$A$2:$I$1049,5,0)</f>
        <v>3.5</v>
      </c>
      <c r="F402" s="0" t="n">
        <f aca="false">VLOOKUP(A402,[1]Worksheet!$A$2:$I$1049,6,0)</f>
        <v>20</v>
      </c>
      <c r="G402" s="0" t="n">
        <f aca="false">VLOOKUP(A402,[1]Worksheet!$A$2:$I$1049,7,0)</f>
        <v>3.5</v>
      </c>
      <c r="K402" s="0" t="n">
        <v>0</v>
      </c>
      <c r="M402" s="0" t="n">
        <f aca="false">D402*E402</f>
        <v>70</v>
      </c>
      <c r="N402" s="0" t="n">
        <f aca="false">F402*G402</f>
        <v>70</v>
      </c>
      <c r="P402" s="0" t="n">
        <f aca="false">K402+D402</f>
        <v>20</v>
      </c>
      <c r="Q402" s="0" t="n">
        <f aca="false">M402/P402</f>
        <v>3.5</v>
      </c>
      <c r="R402" s="0" t="n">
        <f aca="false">F402+K402</f>
        <v>20</v>
      </c>
      <c r="S402" s="0" t="n">
        <f aca="false">N402/R402</f>
        <v>3.5</v>
      </c>
    </row>
    <row r="403" customFormat="false" ht="15" hidden="false" customHeight="false" outlineLevel="0" collapsed="false">
      <c r="A403" s="0" t="s">
        <v>366</v>
      </c>
      <c r="B403" s="0" t="s">
        <v>367</v>
      </c>
      <c r="C403" s="0" t="n">
        <v>20171</v>
      </c>
      <c r="D403" s="0" t="n">
        <f aca="false">VLOOKUP(A403,[1]Worksheet!$A$2:$I$1049,4,0)</f>
        <v>20</v>
      </c>
      <c r="E403" s="0" t="n">
        <f aca="false">VLOOKUP(A403,[1]Worksheet!$A$2:$I$1049,5,0)</f>
        <v>3.15</v>
      </c>
      <c r="F403" s="0" t="n">
        <f aca="false">VLOOKUP(A403,[1]Worksheet!$A$2:$I$1049,6,0)</f>
        <v>20</v>
      </c>
      <c r="G403" s="0" t="n">
        <f aca="false">VLOOKUP(A403,[1]Worksheet!$A$2:$I$1049,7,0)</f>
        <v>3.15</v>
      </c>
      <c r="K403" s="0" t="n">
        <v>0</v>
      </c>
      <c r="M403" s="0" t="n">
        <f aca="false">D403*E403</f>
        <v>63</v>
      </c>
      <c r="N403" s="0" t="n">
        <f aca="false">F403*G403</f>
        <v>63</v>
      </c>
      <c r="P403" s="0" t="n">
        <f aca="false">K403+D403</f>
        <v>20</v>
      </c>
      <c r="Q403" s="0" t="n">
        <f aca="false">M403/P403</f>
        <v>3.15</v>
      </c>
      <c r="R403" s="0" t="n">
        <f aca="false">F403+K403</f>
        <v>20</v>
      </c>
      <c r="S403" s="0" t="n">
        <f aca="false">N403/R403</f>
        <v>3.15</v>
      </c>
    </row>
    <row r="404" customFormat="false" ht="15" hidden="false" customHeight="false" outlineLevel="0" collapsed="false">
      <c r="A404" s="0" t="s">
        <v>368</v>
      </c>
      <c r="B404" s="0" t="s">
        <v>369</v>
      </c>
      <c r="C404" s="0" t="n">
        <v>20171</v>
      </c>
      <c r="D404" s="0" t="n">
        <f aca="false">VLOOKUP(A404,[1]Worksheet!$A$2:$I$1049,4,0)</f>
        <v>20</v>
      </c>
      <c r="E404" s="0" t="n">
        <f aca="false">VLOOKUP(A404,[1]Worksheet!$A$2:$I$1049,5,0)</f>
        <v>2.68</v>
      </c>
      <c r="F404" s="0" t="n">
        <f aca="false">VLOOKUP(A404,[1]Worksheet!$A$2:$I$1049,6,0)</f>
        <v>20</v>
      </c>
      <c r="G404" s="0" t="n">
        <f aca="false">VLOOKUP(A404,[1]Worksheet!$A$2:$I$1049,7,0)</f>
        <v>2.68</v>
      </c>
      <c r="K404" s="0" t="n">
        <v>0</v>
      </c>
      <c r="M404" s="0" t="n">
        <f aca="false">D404*E404</f>
        <v>53.6</v>
      </c>
      <c r="N404" s="0" t="n">
        <f aca="false">F404*G404</f>
        <v>53.6</v>
      </c>
      <c r="P404" s="0" t="n">
        <f aca="false">K404+D404</f>
        <v>20</v>
      </c>
      <c r="Q404" s="0" t="n">
        <f aca="false">M404/P404</f>
        <v>2.68</v>
      </c>
      <c r="R404" s="0" t="n">
        <f aca="false">F404+K404</f>
        <v>20</v>
      </c>
      <c r="S404" s="0" t="n">
        <f aca="false">N404/R404</f>
        <v>2.68</v>
      </c>
    </row>
    <row r="405" customFormat="false" ht="15" hidden="false" customHeight="false" outlineLevel="0" collapsed="false">
      <c r="A405" s="0" t="s">
        <v>370</v>
      </c>
      <c r="B405" s="0" t="s">
        <v>371</v>
      </c>
      <c r="C405" s="0" t="n">
        <v>20171</v>
      </c>
      <c r="D405" s="0" t="n">
        <f aca="false">VLOOKUP(A405,[1]Worksheet!$A$2:$I$1049,4,0)</f>
        <v>20</v>
      </c>
      <c r="E405" s="0" t="n">
        <f aca="false">VLOOKUP(A405,[1]Worksheet!$A$2:$I$1049,5,0)</f>
        <v>2.9</v>
      </c>
      <c r="F405" s="0" t="n">
        <f aca="false">VLOOKUP(A405,[1]Worksheet!$A$2:$I$1049,6,0)</f>
        <v>20</v>
      </c>
      <c r="G405" s="0" t="n">
        <f aca="false">VLOOKUP(A405,[1]Worksheet!$A$2:$I$1049,7,0)</f>
        <v>2.9</v>
      </c>
      <c r="K405" s="0" t="n">
        <v>0</v>
      </c>
      <c r="M405" s="0" t="n">
        <f aca="false">D405*E405</f>
        <v>58</v>
      </c>
      <c r="N405" s="0" t="n">
        <f aca="false">F405*G405</f>
        <v>58</v>
      </c>
      <c r="P405" s="0" t="n">
        <f aca="false">K405+D405</f>
        <v>20</v>
      </c>
      <c r="Q405" s="0" t="n">
        <f aca="false">M405/P405</f>
        <v>2.9</v>
      </c>
      <c r="R405" s="0" t="n">
        <f aca="false">F405+K405</f>
        <v>20</v>
      </c>
      <c r="S405" s="0" t="n">
        <f aca="false">N405/R405</f>
        <v>2.9</v>
      </c>
    </row>
    <row r="406" customFormat="false" ht="15" hidden="false" customHeight="false" outlineLevel="0" collapsed="false">
      <c r="A406" s="0" t="s">
        <v>372</v>
      </c>
      <c r="B406" s="0" t="s">
        <v>373</v>
      </c>
      <c r="C406" s="0" t="n">
        <v>20171</v>
      </c>
      <c r="D406" s="0" t="n">
        <f aca="false">VLOOKUP(A406,[1]Worksheet!$A$2:$I$1049,4,0)</f>
        <v>20</v>
      </c>
      <c r="E406" s="0" t="n">
        <f aca="false">VLOOKUP(A406,[1]Worksheet!$A$2:$I$1049,5,0)</f>
        <v>3.45</v>
      </c>
      <c r="F406" s="0" t="n">
        <f aca="false">VLOOKUP(A406,[1]Worksheet!$A$2:$I$1049,6,0)</f>
        <v>20</v>
      </c>
      <c r="G406" s="0" t="n">
        <f aca="false">VLOOKUP(A406,[1]Worksheet!$A$2:$I$1049,7,0)</f>
        <v>3.45</v>
      </c>
      <c r="K406" s="0" t="n">
        <v>0</v>
      </c>
      <c r="M406" s="0" t="n">
        <f aca="false">D406*E406</f>
        <v>69</v>
      </c>
      <c r="N406" s="0" t="n">
        <f aca="false">F406*G406</f>
        <v>69</v>
      </c>
      <c r="P406" s="0" t="n">
        <f aca="false">K406+D406</f>
        <v>20</v>
      </c>
      <c r="Q406" s="0" t="n">
        <f aca="false">M406/P406</f>
        <v>3.45</v>
      </c>
      <c r="R406" s="0" t="n">
        <f aca="false">F406+K406</f>
        <v>20</v>
      </c>
      <c r="S406" s="0" t="n">
        <f aca="false">N406/R406</f>
        <v>3.45</v>
      </c>
    </row>
    <row r="407" customFormat="false" ht="15" hidden="false" customHeight="false" outlineLevel="0" collapsed="false">
      <c r="A407" s="0" t="s">
        <v>374</v>
      </c>
      <c r="B407" s="0" t="s">
        <v>375</v>
      </c>
      <c r="C407" s="0" t="n">
        <v>20171</v>
      </c>
      <c r="D407" s="0" t="n">
        <f aca="false">VLOOKUP(A407,[1]Worksheet!$A$2:$I$1049,4,0)</f>
        <v>20</v>
      </c>
      <c r="E407" s="0" t="n">
        <f aca="false">VLOOKUP(A407,[1]Worksheet!$A$2:$I$1049,5,0)</f>
        <v>3.5</v>
      </c>
      <c r="F407" s="0" t="n">
        <f aca="false">VLOOKUP(A407,[1]Worksheet!$A$2:$I$1049,6,0)</f>
        <v>20</v>
      </c>
      <c r="G407" s="0" t="n">
        <f aca="false">VLOOKUP(A407,[1]Worksheet!$A$2:$I$1049,7,0)</f>
        <v>3.5</v>
      </c>
      <c r="K407" s="0" t="n">
        <v>0</v>
      </c>
      <c r="M407" s="0" t="n">
        <f aca="false">D407*E407</f>
        <v>70</v>
      </c>
      <c r="N407" s="0" t="n">
        <f aca="false">F407*G407</f>
        <v>70</v>
      </c>
      <c r="P407" s="0" t="n">
        <f aca="false">K407+D407</f>
        <v>20</v>
      </c>
      <c r="Q407" s="0" t="n">
        <f aca="false">M407/P407</f>
        <v>3.5</v>
      </c>
      <c r="R407" s="0" t="n">
        <f aca="false">F407+K407</f>
        <v>20</v>
      </c>
      <c r="S407" s="0" t="n">
        <f aca="false">N407/R407</f>
        <v>3.5</v>
      </c>
    </row>
    <row r="408" customFormat="false" ht="15" hidden="false" customHeight="false" outlineLevel="0" collapsed="false">
      <c r="A408" s="0" t="s">
        <v>376</v>
      </c>
      <c r="B408" s="0" t="s">
        <v>377</v>
      </c>
      <c r="C408" s="0" t="n">
        <v>20171</v>
      </c>
      <c r="D408" s="0" t="n">
        <f aca="false">VLOOKUP(A408,[1]Worksheet!$A$2:$I$1049,4,0)</f>
        <v>20</v>
      </c>
      <c r="E408" s="0" t="n">
        <f aca="false">VLOOKUP(A408,[1]Worksheet!$A$2:$I$1049,5,0)</f>
        <v>3.4</v>
      </c>
      <c r="F408" s="0" t="n">
        <f aca="false">VLOOKUP(A408,[1]Worksheet!$A$2:$I$1049,6,0)</f>
        <v>20</v>
      </c>
      <c r="G408" s="0" t="n">
        <f aca="false">VLOOKUP(A408,[1]Worksheet!$A$2:$I$1049,7,0)</f>
        <v>3.4</v>
      </c>
      <c r="K408" s="0" t="n">
        <v>0</v>
      </c>
      <c r="M408" s="0" t="n">
        <f aca="false">D408*E408</f>
        <v>68</v>
      </c>
      <c r="N408" s="0" t="n">
        <f aca="false">F408*G408</f>
        <v>68</v>
      </c>
      <c r="P408" s="0" t="n">
        <f aca="false">K408+D408</f>
        <v>20</v>
      </c>
      <c r="Q408" s="0" t="n">
        <f aca="false">M408/P408</f>
        <v>3.4</v>
      </c>
      <c r="R408" s="0" t="n">
        <f aca="false">F408+K408</f>
        <v>20</v>
      </c>
      <c r="S408" s="0" t="n">
        <f aca="false">N408/R408</f>
        <v>3.4</v>
      </c>
    </row>
    <row r="409" customFormat="false" ht="15" hidden="false" customHeight="false" outlineLevel="0" collapsed="false">
      <c r="A409" s="0" t="s">
        <v>378</v>
      </c>
      <c r="B409" s="0" t="s">
        <v>379</v>
      </c>
      <c r="C409" s="0" t="n">
        <v>20171</v>
      </c>
      <c r="D409" s="0" t="n">
        <f aca="false">VLOOKUP(A409,[1]Worksheet!$A$2:$I$1049,4,0)</f>
        <v>20</v>
      </c>
      <c r="E409" s="0" t="n">
        <f aca="false">VLOOKUP(A409,[1]Worksheet!$A$2:$I$1049,5,0)</f>
        <v>3.48</v>
      </c>
      <c r="F409" s="0" t="n">
        <f aca="false">VLOOKUP(A409,[1]Worksheet!$A$2:$I$1049,6,0)</f>
        <v>20</v>
      </c>
      <c r="G409" s="0" t="n">
        <f aca="false">VLOOKUP(A409,[1]Worksheet!$A$2:$I$1049,7,0)</f>
        <v>3.48</v>
      </c>
      <c r="K409" s="0" t="n">
        <v>0</v>
      </c>
      <c r="M409" s="0" t="n">
        <f aca="false">D409*E409</f>
        <v>69.6</v>
      </c>
      <c r="N409" s="0" t="n">
        <f aca="false">F409*G409</f>
        <v>69.6</v>
      </c>
      <c r="P409" s="0" t="n">
        <f aca="false">K409+D409</f>
        <v>20</v>
      </c>
      <c r="Q409" s="0" t="n">
        <f aca="false">M409/P409</f>
        <v>3.48</v>
      </c>
      <c r="R409" s="0" t="n">
        <f aca="false">F409+K409</f>
        <v>20</v>
      </c>
      <c r="S409" s="0" t="n">
        <f aca="false">N409/R409</f>
        <v>3.48</v>
      </c>
    </row>
    <row r="410" customFormat="false" ht="15" hidden="false" customHeight="false" outlineLevel="0" collapsed="false">
      <c r="A410" s="0" t="s">
        <v>380</v>
      </c>
      <c r="B410" s="0" t="s">
        <v>381</v>
      </c>
      <c r="C410" s="0" t="n">
        <v>20171</v>
      </c>
      <c r="D410" s="0" t="n">
        <f aca="false">VLOOKUP(A410,[1]Worksheet!$A$2:$I$1049,4,0)</f>
        <v>20</v>
      </c>
      <c r="E410" s="0" t="n">
        <f aca="false">VLOOKUP(A410,[1]Worksheet!$A$2:$I$1049,5,0)</f>
        <v>3.65</v>
      </c>
      <c r="F410" s="0" t="n">
        <f aca="false">VLOOKUP(A410,[1]Worksheet!$A$2:$I$1049,6,0)</f>
        <v>20</v>
      </c>
      <c r="G410" s="0" t="n">
        <f aca="false">VLOOKUP(A410,[1]Worksheet!$A$2:$I$1049,7,0)</f>
        <v>3.65</v>
      </c>
      <c r="K410" s="0" t="n">
        <v>0</v>
      </c>
      <c r="M410" s="0" t="n">
        <f aca="false">D410*E410</f>
        <v>73</v>
      </c>
      <c r="N410" s="0" t="n">
        <f aca="false">F410*G410</f>
        <v>73</v>
      </c>
      <c r="P410" s="0" t="n">
        <f aca="false">K410+D410</f>
        <v>20</v>
      </c>
      <c r="Q410" s="0" t="n">
        <f aca="false">M410/P410</f>
        <v>3.65</v>
      </c>
      <c r="R410" s="0" t="n">
        <f aca="false">F410+K410</f>
        <v>20</v>
      </c>
      <c r="S410" s="0" t="n">
        <f aca="false">N410/R410</f>
        <v>3.65</v>
      </c>
    </row>
    <row r="411" customFormat="false" ht="15" hidden="false" customHeight="false" outlineLevel="0" collapsed="false">
      <c r="A411" s="0" t="s">
        <v>382</v>
      </c>
      <c r="B411" s="0" t="s">
        <v>383</v>
      </c>
      <c r="C411" s="0" t="n">
        <v>20171</v>
      </c>
      <c r="D411" s="0" t="n">
        <f aca="false">VLOOKUP(A411,[1]Worksheet!$A$2:$I$1049,4,0)</f>
        <v>20</v>
      </c>
      <c r="E411" s="0" t="n">
        <f aca="false">VLOOKUP(A411,[1]Worksheet!$A$2:$I$1049,5,0)</f>
        <v>3.53</v>
      </c>
      <c r="F411" s="0" t="n">
        <f aca="false">VLOOKUP(A411,[1]Worksheet!$A$2:$I$1049,6,0)</f>
        <v>20</v>
      </c>
      <c r="G411" s="0" t="n">
        <f aca="false">VLOOKUP(A411,[1]Worksheet!$A$2:$I$1049,7,0)</f>
        <v>3.53</v>
      </c>
      <c r="K411" s="0" t="n">
        <v>0</v>
      </c>
      <c r="M411" s="0" t="n">
        <f aca="false">D411*E411</f>
        <v>70.6</v>
      </c>
      <c r="N411" s="0" t="n">
        <f aca="false">F411*G411</f>
        <v>70.6</v>
      </c>
      <c r="P411" s="0" t="n">
        <f aca="false">K411+D411</f>
        <v>20</v>
      </c>
      <c r="Q411" s="0" t="n">
        <f aca="false">M411/P411</f>
        <v>3.53</v>
      </c>
      <c r="R411" s="0" t="n">
        <f aca="false">F411+K411</f>
        <v>20</v>
      </c>
      <c r="S411" s="0" t="n">
        <f aca="false">N411/R411</f>
        <v>3.53</v>
      </c>
    </row>
    <row r="412" customFormat="false" ht="15" hidden="false" customHeight="false" outlineLevel="0" collapsed="false">
      <c r="A412" s="0" t="s">
        <v>384</v>
      </c>
      <c r="B412" s="0" t="s">
        <v>385</v>
      </c>
      <c r="C412" s="0" t="n">
        <v>20171</v>
      </c>
      <c r="D412" s="0" t="n">
        <f aca="false">VLOOKUP(A412,[1]Worksheet!$A$2:$I$1049,4,0)</f>
        <v>20</v>
      </c>
      <c r="E412" s="0" t="n">
        <f aca="false">VLOOKUP(A412,[1]Worksheet!$A$2:$I$1049,5,0)</f>
        <v>3.73</v>
      </c>
      <c r="F412" s="0" t="n">
        <f aca="false">VLOOKUP(A412,[1]Worksheet!$A$2:$I$1049,6,0)</f>
        <v>20</v>
      </c>
      <c r="G412" s="0" t="n">
        <f aca="false">VLOOKUP(A412,[1]Worksheet!$A$2:$I$1049,7,0)</f>
        <v>3.73</v>
      </c>
      <c r="K412" s="0" t="n">
        <v>0</v>
      </c>
      <c r="M412" s="0" t="n">
        <f aca="false">D412*E412</f>
        <v>74.6</v>
      </c>
      <c r="N412" s="0" t="n">
        <f aca="false">F412*G412</f>
        <v>74.6</v>
      </c>
      <c r="P412" s="0" t="n">
        <f aca="false">K412+D412</f>
        <v>20</v>
      </c>
      <c r="Q412" s="0" t="n">
        <f aca="false">M412/P412</f>
        <v>3.73</v>
      </c>
      <c r="R412" s="0" t="n">
        <f aca="false">F412+K412</f>
        <v>20</v>
      </c>
      <c r="S412" s="0" t="n">
        <f aca="false">N412/R412</f>
        <v>3.73</v>
      </c>
    </row>
    <row r="413" customFormat="false" ht="15" hidden="false" customHeight="false" outlineLevel="0" collapsed="false">
      <c r="A413" s="0" t="s">
        <v>386</v>
      </c>
      <c r="B413" s="0" t="s">
        <v>387</v>
      </c>
      <c r="C413" s="0" t="n">
        <v>20171</v>
      </c>
      <c r="D413" s="0" t="n">
        <f aca="false">VLOOKUP(A413,[1]Worksheet!$A$2:$I$1049,4,0)</f>
        <v>20</v>
      </c>
      <c r="E413" s="0" t="n">
        <f aca="false">VLOOKUP(A413,[1]Worksheet!$A$2:$I$1049,5,0)</f>
        <v>3.48</v>
      </c>
      <c r="F413" s="0" t="n">
        <f aca="false">VLOOKUP(A413,[1]Worksheet!$A$2:$I$1049,6,0)</f>
        <v>20</v>
      </c>
      <c r="G413" s="0" t="n">
        <f aca="false">VLOOKUP(A413,[1]Worksheet!$A$2:$I$1049,7,0)</f>
        <v>3.48</v>
      </c>
      <c r="K413" s="0" t="n">
        <v>0</v>
      </c>
      <c r="M413" s="0" t="n">
        <f aca="false">D413*E413</f>
        <v>69.6</v>
      </c>
      <c r="N413" s="0" t="n">
        <f aca="false">F413*G413</f>
        <v>69.6</v>
      </c>
      <c r="P413" s="0" t="n">
        <f aca="false">K413+D413</f>
        <v>20</v>
      </c>
      <c r="Q413" s="0" t="n">
        <f aca="false">M413/P413</f>
        <v>3.48</v>
      </c>
      <c r="R413" s="0" t="n">
        <f aca="false">F413+K413</f>
        <v>20</v>
      </c>
      <c r="S413" s="0" t="n">
        <f aca="false">N413/R413</f>
        <v>3.48</v>
      </c>
    </row>
    <row r="414" customFormat="false" ht="15" hidden="false" customHeight="false" outlineLevel="0" collapsed="false">
      <c r="A414" s="0" t="s">
        <v>388</v>
      </c>
      <c r="B414" s="0" t="s">
        <v>389</v>
      </c>
      <c r="C414" s="0" t="n">
        <v>20171</v>
      </c>
      <c r="D414" s="0" t="n">
        <f aca="false">VLOOKUP(A414,[1]Worksheet!$A$2:$I$1049,4,0)</f>
        <v>20</v>
      </c>
      <c r="E414" s="0" t="n">
        <f aca="false">VLOOKUP(A414,[1]Worksheet!$A$2:$I$1049,5,0)</f>
        <v>3.43</v>
      </c>
      <c r="F414" s="0" t="n">
        <f aca="false">VLOOKUP(A414,[1]Worksheet!$A$2:$I$1049,6,0)</f>
        <v>20</v>
      </c>
      <c r="G414" s="0" t="n">
        <f aca="false">VLOOKUP(A414,[1]Worksheet!$A$2:$I$1049,7,0)</f>
        <v>3.43</v>
      </c>
      <c r="K414" s="0" t="n">
        <v>0</v>
      </c>
      <c r="M414" s="0" t="n">
        <f aca="false">D414*E414</f>
        <v>68.6</v>
      </c>
      <c r="N414" s="0" t="n">
        <f aca="false">F414*G414</f>
        <v>68.6</v>
      </c>
      <c r="P414" s="0" t="n">
        <f aca="false">K414+D414</f>
        <v>20</v>
      </c>
      <c r="Q414" s="0" t="n">
        <f aca="false">M414/P414</f>
        <v>3.43</v>
      </c>
      <c r="R414" s="0" t="n">
        <f aca="false">F414+K414</f>
        <v>20</v>
      </c>
      <c r="S414" s="0" t="n">
        <f aca="false">N414/R414</f>
        <v>3.43</v>
      </c>
    </row>
    <row r="415" customFormat="false" ht="15" hidden="false" customHeight="false" outlineLevel="0" collapsed="false">
      <c r="A415" s="0" t="s">
        <v>390</v>
      </c>
      <c r="B415" s="0" t="s">
        <v>391</v>
      </c>
      <c r="C415" s="0" t="n">
        <v>20171</v>
      </c>
      <c r="D415" s="0" t="n">
        <f aca="false">VLOOKUP(A415,[1]Worksheet!$A$2:$I$1049,4,0)</f>
        <v>20</v>
      </c>
      <c r="E415" s="0" t="n">
        <f aca="false">VLOOKUP(A415,[1]Worksheet!$A$2:$I$1049,5,0)</f>
        <v>3.58</v>
      </c>
      <c r="F415" s="0" t="n">
        <f aca="false">VLOOKUP(A415,[1]Worksheet!$A$2:$I$1049,6,0)</f>
        <v>20</v>
      </c>
      <c r="G415" s="0" t="n">
        <f aca="false">VLOOKUP(A415,[1]Worksheet!$A$2:$I$1049,7,0)</f>
        <v>3.58</v>
      </c>
      <c r="K415" s="0" t="n">
        <v>0</v>
      </c>
      <c r="M415" s="0" t="n">
        <f aca="false">D415*E415</f>
        <v>71.6</v>
      </c>
      <c r="N415" s="0" t="n">
        <f aca="false">F415*G415</f>
        <v>71.6</v>
      </c>
      <c r="P415" s="0" t="n">
        <f aca="false">K415+D415</f>
        <v>20</v>
      </c>
      <c r="Q415" s="0" t="n">
        <f aca="false">M415/P415</f>
        <v>3.58</v>
      </c>
      <c r="R415" s="0" t="n">
        <f aca="false">F415+K415</f>
        <v>20</v>
      </c>
      <c r="S415" s="0" t="n">
        <f aca="false">N415/R415</f>
        <v>3.58</v>
      </c>
    </row>
    <row r="416" customFormat="false" ht="15" hidden="false" customHeight="false" outlineLevel="0" collapsed="false">
      <c r="A416" s="0" t="s">
        <v>392</v>
      </c>
      <c r="B416" s="0" t="s">
        <v>393</v>
      </c>
      <c r="C416" s="0" t="n">
        <v>20171</v>
      </c>
      <c r="D416" s="0" t="n">
        <f aca="false">VLOOKUP(A416,[1]Worksheet!$A$2:$I$1049,4,0)</f>
        <v>20</v>
      </c>
      <c r="E416" s="0" t="n">
        <f aca="false">VLOOKUP(A416,[1]Worksheet!$A$2:$I$1049,5,0)</f>
        <v>2.75</v>
      </c>
      <c r="F416" s="0" t="n">
        <f aca="false">VLOOKUP(A416,[1]Worksheet!$A$2:$I$1049,6,0)</f>
        <v>20</v>
      </c>
      <c r="G416" s="0" t="n">
        <f aca="false">VLOOKUP(A416,[1]Worksheet!$A$2:$I$1049,7,0)</f>
        <v>2.75</v>
      </c>
      <c r="K416" s="0" t="n">
        <v>0</v>
      </c>
      <c r="M416" s="0" t="n">
        <f aca="false">D416*E416</f>
        <v>55</v>
      </c>
      <c r="N416" s="0" t="n">
        <f aca="false">F416*G416</f>
        <v>55</v>
      </c>
      <c r="P416" s="0" t="n">
        <f aca="false">K416+D416</f>
        <v>20</v>
      </c>
      <c r="Q416" s="0" t="n">
        <f aca="false">M416/P416</f>
        <v>2.75</v>
      </c>
      <c r="R416" s="0" t="n">
        <f aca="false">F416+K416</f>
        <v>20</v>
      </c>
      <c r="S416" s="0" t="n">
        <f aca="false">N416/R416</f>
        <v>2.75</v>
      </c>
    </row>
    <row r="417" customFormat="false" ht="15" hidden="false" customHeight="false" outlineLevel="0" collapsed="false">
      <c r="A417" s="0" t="s">
        <v>394</v>
      </c>
      <c r="B417" s="0" t="s">
        <v>395</v>
      </c>
      <c r="C417" s="0" t="n">
        <v>20171</v>
      </c>
      <c r="D417" s="0" t="n">
        <f aca="false">VLOOKUP(A417,[1]Worksheet!$A$2:$I$1049,4,0)</f>
        <v>20</v>
      </c>
      <c r="E417" s="0" t="n">
        <f aca="false">VLOOKUP(A417,[1]Worksheet!$A$2:$I$1049,5,0)</f>
        <v>2.58</v>
      </c>
      <c r="F417" s="0" t="n">
        <f aca="false">VLOOKUP(A417,[1]Worksheet!$A$2:$I$1049,6,0)</f>
        <v>20</v>
      </c>
      <c r="G417" s="0" t="n">
        <f aca="false">VLOOKUP(A417,[1]Worksheet!$A$2:$I$1049,7,0)</f>
        <v>2.58</v>
      </c>
      <c r="K417" s="0" t="n">
        <v>0</v>
      </c>
      <c r="M417" s="0" t="n">
        <f aca="false">D417*E417</f>
        <v>51.6</v>
      </c>
      <c r="N417" s="0" t="n">
        <f aca="false">F417*G417</f>
        <v>51.6</v>
      </c>
      <c r="P417" s="0" t="n">
        <f aca="false">K417+D417</f>
        <v>20</v>
      </c>
      <c r="Q417" s="0" t="n">
        <f aca="false">M417/P417</f>
        <v>2.58</v>
      </c>
      <c r="R417" s="0" t="n">
        <f aca="false">F417+K417</f>
        <v>20</v>
      </c>
      <c r="S417" s="0" t="n">
        <f aca="false">N417/R417</f>
        <v>2.58</v>
      </c>
    </row>
    <row r="418" customFormat="false" ht="15" hidden="false" customHeight="false" outlineLevel="0" collapsed="false">
      <c r="A418" s="0" t="s">
        <v>396</v>
      </c>
      <c r="B418" s="0" t="s">
        <v>397</v>
      </c>
      <c r="C418" s="0" t="n">
        <v>20171</v>
      </c>
      <c r="D418" s="0" t="n">
        <f aca="false">VLOOKUP(A418,[1]Worksheet!$A$2:$I$1049,4,0)</f>
        <v>20</v>
      </c>
      <c r="E418" s="0" t="n">
        <f aca="false">VLOOKUP(A418,[1]Worksheet!$A$2:$I$1049,5,0)</f>
        <v>3.33</v>
      </c>
      <c r="F418" s="0" t="n">
        <f aca="false">VLOOKUP(A418,[1]Worksheet!$A$2:$I$1049,6,0)</f>
        <v>20</v>
      </c>
      <c r="G418" s="0" t="n">
        <f aca="false">VLOOKUP(A418,[1]Worksheet!$A$2:$I$1049,7,0)</f>
        <v>3.33</v>
      </c>
      <c r="K418" s="0" t="n">
        <v>0</v>
      </c>
      <c r="M418" s="0" t="n">
        <f aca="false">D418*E418</f>
        <v>66.6</v>
      </c>
      <c r="N418" s="0" t="n">
        <f aca="false">F418*G418</f>
        <v>66.6</v>
      </c>
      <c r="P418" s="0" t="n">
        <f aca="false">K418+D418</f>
        <v>20</v>
      </c>
      <c r="Q418" s="0" t="n">
        <f aca="false">M418/P418</f>
        <v>3.33</v>
      </c>
      <c r="R418" s="0" t="n">
        <f aca="false">F418+K418</f>
        <v>20</v>
      </c>
      <c r="S418" s="0" t="n">
        <f aca="false">N418/R418</f>
        <v>3.33</v>
      </c>
    </row>
    <row r="419" customFormat="false" ht="15" hidden="false" customHeight="false" outlineLevel="0" collapsed="false">
      <c r="A419" s="0" t="s">
        <v>398</v>
      </c>
      <c r="B419" s="0" t="s">
        <v>399</v>
      </c>
      <c r="C419" s="0" t="n">
        <v>20171</v>
      </c>
      <c r="D419" s="0" t="n">
        <f aca="false">VLOOKUP(A419,[1]Worksheet!$A$2:$I$1049,4,0)</f>
        <v>20</v>
      </c>
      <c r="E419" s="0" t="n">
        <f aca="false">VLOOKUP(A419,[1]Worksheet!$A$2:$I$1049,5,0)</f>
        <v>3</v>
      </c>
      <c r="F419" s="0" t="n">
        <f aca="false">VLOOKUP(A419,[1]Worksheet!$A$2:$I$1049,6,0)</f>
        <v>20</v>
      </c>
      <c r="G419" s="0" t="n">
        <f aca="false">VLOOKUP(A419,[1]Worksheet!$A$2:$I$1049,7,0)</f>
        <v>3</v>
      </c>
      <c r="K419" s="0" t="n">
        <v>0</v>
      </c>
      <c r="M419" s="0" t="n">
        <f aca="false">D419*E419</f>
        <v>60</v>
      </c>
      <c r="N419" s="0" t="n">
        <f aca="false">F419*G419</f>
        <v>60</v>
      </c>
      <c r="P419" s="0" t="n">
        <f aca="false">K419+D419</f>
        <v>20</v>
      </c>
      <c r="Q419" s="0" t="n">
        <f aca="false">M419/P419</f>
        <v>3</v>
      </c>
      <c r="R419" s="0" t="n">
        <f aca="false">F419+K419</f>
        <v>20</v>
      </c>
      <c r="S419" s="0" t="n">
        <f aca="false">N419/R419</f>
        <v>3</v>
      </c>
    </row>
    <row r="420" customFormat="false" ht="15" hidden="false" customHeight="false" outlineLevel="0" collapsed="false">
      <c r="A420" s="0" t="s">
        <v>400</v>
      </c>
      <c r="B420" s="0" t="s">
        <v>401</v>
      </c>
      <c r="C420" s="0" t="n">
        <v>20171</v>
      </c>
      <c r="D420" s="0" t="n">
        <f aca="false">VLOOKUP(A420,[1]Worksheet!$A$2:$I$1049,4,0)</f>
        <v>20</v>
      </c>
      <c r="E420" s="0" t="n">
        <f aca="false">VLOOKUP(A420,[1]Worksheet!$A$2:$I$1049,5,0)</f>
        <v>3.83</v>
      </c>
      <c r="F420" s="0" t="n">
        <f aca="false">VLOOKUP(A420,[1]Worksheet!$A$2:$I$1049,6,0)</f>
        <v>20</v>
      </c>
      <c r="G420" s="0" t="n">
        <f aca="false">VLOOKUP(A420,[1]Worksheet!$A$2:$I$1049,7,0)</f>
        <v>3.83</v>
      </c>
      <c r="K420" s="0" t="n">
        <v>0</v>
      </c>
      <c r="M420" s="0" t="n">
        <f aca="false">D420*E420</f>
        <v>76.6</v>
      </c>
      <c r="N420" s="0" t="n">
        <f aca="false">F420*G420</f>
        <v>76.6</v>
      </c>
      <c r="P420" s="0" t="n">
        <f aca="false">K420+D420</f>
        <v>20</v>
      </c>
      <c r="Q420" s="0" t="n">
        <f aca="false">M420/P420</f>
        <v>3.83</v>
      </c>
      <c r="R420" s="0" t="n">
        <f aca="false">F420+K420</f>
        <v>20</v>
      </c>
      <c r="S420" s="0" t="n">
        <f aca="false">N420/R420</f>
        <v>3.83</v>
      </c>
    </row>
    <row r="421" customFormat="false" ht="15" hidden="false" customHeight="false" outlineLevel="0" collapsed="false">
      <c r="A421" s="0" t="s">
        <v>402</v>
      </c>
      <c r="B421" s="0" t="s">
        <v>403</v>
      </c>
      <c r="C421" s="0" t="n">
        <v>20171</v>
      </c>
      <c r="D421" s="0" t="n">
        <f aca="false">VLOOKUP(A421,[1]Worksheet!$A$2:$I$1049,4,0)</f>
        <v>20</v>
      </c>
      <c r="E421" s="0" t="n">
        <f aca="false">VLOOKUP(A421,[1]Worksheet!$A$2:$I$1049,5,0)</f>
        <v>0.4</v>
      </c>
      <c r="F421" s="0" t="n">
        <f aca="false">VLOOKUP(A421,[1]Worksheet!$A$2:$I$1049,6,0)</f>
        <v>20</v>
      </c>
      <c r="G421" s="0" t="n">
        <f aca="false">VLOOKUP(A421,[1]Worksheet!$A$2:$I$1049,7,0)</f>
        <v>0.4</v>
      </c>
      <c r="K421" s="0" t="n">
        <v>0</v>
      </c>
      <c r="M421" s="0" t="n">
        <f aca="false">D421*E421</f>
        <v>8</v>
      </c>
      <c r="N421" s="0" t="n">
        <f aca="false">F421*G421</f>
        <v>8</v>
      </c>
      <c r="P421" s="0" t="n">
        <f aca="false">K421+D421</f>
        <v>20</v>
      </c>
      <c r="Q421" s="0" t="n">
        <f aca="false">M421/P421</f>
        <v>0.4</v>
      </c>
      <c r="R421" s="0" t="n">
        <f aca="false">F421+K421</f>
        <v>20</v>
      </c>
      <c r="S421" s="0" t="n">
        <f aca="false">N421/R421</f>
        <v>0.4</v>
      </c>
    </row>
    <row r="422" customFormat="false" ht="15" hidden="false" customHeight="false" outlineLevel="0" collapsed="false">
      <c r="A422" s="0" t="s">
        <v>404</v>
      </c>
      <c r="B422" s="0" t="s">
        <v>405</v>
      </c>
      <c r="C422" s="0" t="n">
        <v>20171</v>
      </c>
      <c r="D422" s="0" t="n">
        <f aca="false">VLOOKUP(A422,[1]Worksheet!$A$2:$I$1049,4,0)</f>
        <v>20</v>
      </c>
      <c r="E422" s="0" t="n">
        <f aca="false">VLOOKUP(A422,[1]Worksheet!$A$2:$I$1049,5,0)</f>
        <v>3.48</v>
      </c>
      <c r="F422" s="0" t="n">
        <f aca="false">VLOOKUP(A422,[1]Worksheet!$A$2:$I$1049,6,0)</f>
        <v>20</v>
      </c>
      <c r="G422" s="0" t="n">
        <f aca="false">VLOOKUP(A422,[1]Worksheet!$A$2:$I$1049,7,0)</f>
        <v>3.48</v>
      </c>
      <c r="K422" s="0" t="n">
        <v>0</v>
      </c>
      <c r="M422" s="0" t="n">
        <f aca="false">D422*E422</f>
        <v>69.6</v>
      </c>
      <c r="N422" s="0" t="n">
        <f aca="false">F422*G422</f>
        <v>69.6</v>
      </c>
      <c r="P422" s="0" t="n">
        <f aca="false">K422+D422</f>
        <v>20</v>
      </c>
      <c r="Q422" s="0" t="n">
        <f aca="false">M422/P422</f>
        <v>3.48</v>
      </c>
      <c r="R422" s="0" t="n">
        <f aca="false">F422+K422</f>
        <v>20</v>
      </c>
      <c r="S422" s="0" t="n">
        <f aca="false">N422/R422</f>
        <v>3.48</v>
      </c>
    </row>
    <row r="423" customFormat="false" ht="15" hidden="false" customHeight="false" outlineLevel="0" collapsed="false">
      <c r="A423" s="0" t="s">
        <v>406</v>
      </c>
      <c r="B423" s="0" t="s">
        <v>407</v>
      </c>
      <c r="C423" s="0" t="n">
        <v>20171</v>
      </c>
      <c r="D423" s="0" t="n">
        <f aca="false">VLOOKUP(A423,[1]Worksheet!$A$2:$I$1049,4,0)</f>
        <v>20</v>
      </c>
      <c r="E423" s="0" t="n">
        <f aca="false">VLOOKUP(A423,[1]Worksheet!$A$2:$I$1049,5,0)</f>
        <v>3.3</v>
      </c>
      <c r="F423" s="0" t="n">
        <f aca="false">VLOOKUP(A423,[1]Worksheet!$A$2:$I$1049,6,0)</f>
        <v>20</v>
      </c>
      <c r="G423" s="0" t="n">
        <f aca="false">VLOOKUP(A423,[1]Worksheet!$A$2:$I$1049,7,0)</f>
        <v>3.3</v>
      </c>
      <c r="K423" s="0" t="n">
        <v>0</v>
      </c>
      <c r="M423" s="0" t="n">
        <f aca="false">D423*E423</f>
        <v>66</v>
      </c>
      <c r="N423" s="0" t="n">
        <f aca="false">F423*G423</f>
        <v>66</v>
      </c>
      <c r="P423" s="0" t="n">
        <f aca="false">K423+D423</f>
        <v>20</v>
      </c>
      <c r="Q423" s="0" t="n">
        <f aca="false">M423/P423</f>
        <v>3.3</v>
      </c>
      <c r="R423" s="0" t="n">
        <f aca="false">F423+K423</f>
        <v>20</v>
      </c>
      <c r="S423" s="0" t="n">
        <f aca="false">N423/R423</f>
        <v>3.3</v>
      </c>
    </row>
    <row r="424" customFormat="false" ht="15" hidden="false" customHeight="false" outlineLevel="0" collapsed="false">
      <c r="A424" s="0" t="s">
        <v>408</v>
      </c>
      <c r="B424" s="0" t="s">
        <v>409</v>
      </c>
      <c r="C424" s="0" t="n">
        <v>20171</v>
      </c>
      <c r="D424" s="0" t="n">
        <f aca="false">VLOOKUP(A424,[1]Worksheet!$A$2:$I$1049,4,0)</f>
        <v>20</v>
      </c>
      <c r="E424" s="0" t="n">
        <f aca="false">VLOOKUP(A424,[1]Worksheet!$A$2:$I$1049,5,0)</f>
        <v>3.1</v>
      </c>
      <c r="F424" s="0" t="n">
        <f aca="false">VLOOKUP(A424,[1]Worksheet!$A$2:$I$1049,6,0)</f>
        <v>20</v>
      </c>
      <c r="G424" s="0" t="n">
        <f aca="false">VLOOKUP(A424,[1]Worksheet!$A$2:$I$1049,7,0)</f>
        <v>3.1</v>
      </c>
      <c r="K424" s="0" t="n">
        <v>0</v>
      </c>
      <c r="M424" s="0" t="n">
        <f aca="false">D424*E424</f>
        <v>62</v>
      </c>
      <c r="N424" s="0" t="n">
        <f aca="false">F424*G424</f>
        <v>62</v>
      </c>
      <c r="P424" s="0" t="n">
        <f aca="false">K424+D424</f>
        <v>20</v>
      </c>
      <c r="Q424" s="0" t="n">
        <f aca="false">M424/P424</f>
        <v>3.1</v>
      </c>
      <c r="R424" s="0" t="n">
        <f aca="false">F424+K424</f>
        <v>20</v>
      </c>
      <c r="S424" s="0" t="n">
        <f aca="false">N424/R424</f>
        <v>3.1</v>
      </c>
    </row>
    <row r="425" customFormat="false" ht="15" hidden="false" customHeight="false" outlineLevel="0" collapsed="false">
      <c r="A425" s="0" t="s">
        <v>410</v>
      </c>
      <c r="B425" s="0" t="s">
        <v>411</v>
      </c>
      <c r="C425" s="0" t="n">
        <v>20171</v>
      </c>
      <c r="D425" s="0" t="n">
        <f aca="false">VLOOKUP(A425,[1]Worksheet!$A$2:$I$1049,4,0)</f>
        <v>20</v>
      </c>
      <c r="E425" s="0" t="n">
        <f aca="false">VLOOKUP(A425,[1]Worksheet!$A$2:$I$1049,5,0)</f>
        <v>3.85</v>
      </c>
      <c r="F425" s="0" t="n">
        <f aca="false">VLOOKUP(A425,[1]Worksheet!$A$2:$I$1049,6,0)</f>
        <v>20</v>
      </c>
      <c r="G425" s="0" t="n">
        <f aca="false">VLOOKUP(A425,[1]Worksheet!$A$2:$I$1049,7,0)</f>
        <v>3.85</v>
      </c>
      <c r="K425" s="0" t="n">
        <v>0</v>
      </c>
      <c r="M425" s="0" t="n">
        <f aca="false">D425*E425</f>
        <v>77</v>
      </c>
      <c r="N425" s="0" t="n">
        <f aca="false">F425*G425</f>
        <v>77</v>
      </c>
      <c r="P425" s="0" t="n">
        <f aca="false">K425+D425</f>
        <v>20</v>
      </c>
      <c r="Q425" s="0" t="n">
        <f aca="false">M425/P425</f>
        <v>3.85</v>
      </c>
      <c r="R425" s="0" t="n">
        <f aca="false">F425+K425</f>
        <v>20</v>
      </c>
      <c r="S425" s="0" t="n">
        <f aca="false">N425/R425</f>
        <v>3.85</v>
      </c>
    </row>
    <row r="426" customFormat="false" ht="15" hidden="false" customHeight="false" outlineLevel="0" collapsed="false">
      <c r="A426" s="0" t="s">
        <v>412</v>
      </c>
      <c r="B426" s="0" t="s">
        <v>413</v>
      </c>
      <c r="C426" s="0" t="n">
        <v>20171</v>
      </c>
      <c r="D426" s="0" t="n">
        <f aca="false">VLOOKUP(A426,[1]Worksheet!$A$2:$I$1049,4,0)</f>
        <v>20</v>
      </c>
      <c r="E426" s="0" t="n">
        <f aca="false">VLOOKUP(A426,[1]Worksheet!$A$2:$I$1049,5,0)</f>
        <v>2.4</v>
      </c>
      <c r="F426" s="0" t="n">
        <f aca="false">VLOOKUP(A426,[1]Worksheet!$A$2:$I$1049,6,0)</f>
        <v>20</v>
      </c>
      <c r="G426" s="0" t="n">
        <f aca="false">VLOOKUP(A426,[1]Worksheet!$A$2:$I$1049,7,0)</f>
        <v>2.4</v>
      </c>
      <c r="K426" s="0" t="n">
        <v>0</v>
      </c>
      <c r="M426" s="0" t="n">
        <f aca="false">D426*E426</f>
        <v>48</v>
      </c>
      <c r="N426" s="0" t="n">
        <f aca="false">F426*G426</f>
        <v>48</v>
      </c>
      <c r="P426" s="0" t="n">
        <f aca="false">K426+D426</f>
        <v>20</v>
      </c>
      <c r="Q426" s="0" t="n">
        <f aca="false">M426/P426</f>
        <v>2.4</v>
      </c>
      <c r="R426" s="0" t="n">
        <f aca="false">F426+K426</f>
        <v>20</v>
      </c>
      <c r="S426" s="0" t="n">
        <f aca="false">N426/R426</f>
        <v>2.4</v>
      </c>
    </row>
    <row r="427" customFormat="false" ht="15" hidden="false" customHeight="false" outlineLevel="0" collapsed="false">
      <c r="A427" s="0" t="s">
        <v>414</v>
      </c>
      <c r="B427" s="0" t="s">
        <v>415</v>
      </c>
      <c r="C427" s="0" t="n">
        <v>20171</v>
      </c>
      <c r="D427" s="0" t="n">
        <f aca="false">VLOOKUP(A427,[1]Worksheet!$A$2:$I$1049,4,0)</f>
        <v>20</v>
      </c>
      <c r="E427" s="0" t="n">
        <f aca="false">VLOOKUP(A427,[1]Worksheet!$A$2:$I$1049,5,0)</f>
        <v>3.1</v>
      </c>
      <c r="F427" s="0" t="n">
        <f aca="false">VLOOKUP(A427,[1]Worksheet!$A$2:$I$1049,6,0)</f>
        <v>20</v>
      </c>
      <c r="G427" s="0" t="n">
        <f aca="false">VLOOKUP(A427,[1]Worksheet!$A$2:$I$1049,7,0)</f>
        <v>3.1</v>
      </c>
      <c r="K427" s="0" t="n">
        <v>0</v>
      </c>
      <c r="M427" s="0" t="n">
        <f aca="false">D427*E427</f>
        <v>62</v>
      </c>
      <c r="N427" s="0" t="n">
        <f aca="false">F427*G427</f>
        <v>62</v>
      </c>
      <c r="P427" s="0" t="n">
        <f aca="false">K427+D427</f>
        <v>20</v>
      </c>
      <c r="Q427" s="0" t="n">
        <f aca="false">M427/P427</f>
        <v>3.1</v>
      </c>
      <c r="R427" s="0" t="n">
        <f aca="false">F427+K427</f>
        <v>20</v>
      </c>
      <c r="S427" s="0" t="n">
        <f aca="false">N427/R427</f>
        <v>3.1</v>
      </c>
    </row>
    <row r="428" customFormat="false" ht="15" hidden="false" customHeight="false" outlineLevel="0" collapsed="false">
      <c r="A428" s="0" t="s">
        <v>416</v>
      </c>
      <c r="B428" s="0" t="s">
        <v>417</v>
      </c>
      <c r="C428" s="0" t="n">
        <v>20171</v>
      </c>
      <c r="D428" s="0" t="n">
        <f aca="false">VLOOKUP(A428,[1]Worksheet!$A$2:$I$1049,4,0)</f>
        <v>20</v>
      </c>
      <c r="E428" s="0" t="n">
        <f aca="false">VLOOKUP(A428,[1]Worksheet!$A$2:$I$1049,5,0)</f>
        <v>3.5</v>
      </c>
      <c r="F428" s="0" t="n">
        <f aca="false">VLOOKUP(A428,[1]Worksheet!$A$2:$I$1049,6,0)</f>
        <v>20</v>
      </c>
      <c r="G428" s="0" t="n">
        <f aca="false">VLOOKUP(A428,[1]Worksheet!$A$2:$I$1049,7,0)</f>
        <v>3.5</v>
      </c>
      <c r="K428" s="0" t="n">
        <v>0</v>
      </c>
      <c r="M428" s="0" t="n">
        <f aca="false">D428*E428</f>
        <v>70</v>
      </c>
      <c r="N428" s="0" t="n">
        <f aca="false">F428*G428</f>
        <v>70</v>
      </c>
      <c r="P428" s="0" t="n">
        <f aca="false">K428+D428</f>
        <v>20</v>
      </c>
      <c r="Q428" s="0" t="n">
        <f aca="false">M428/P428</f>
        <v>3.5</v>
      </c>
      <c r="R428" s="0" t="n">
        <f aca="false">F428+K428</f>
        <v>20</v>
      </c>
      <c r="S428" s="0" t="n">
        <f aca="false">N428/R428</f>
        <v>3.5</v>
      </c>
    </row>
    <row r="429" customFormat="false" ht="15" hidden="false" customHeight="false" outlineLevel="0" collapsed="false">
      <c r="A429" s="0" t="s">
        <v>418</v>
      </c>
      <c r="B429" s="0" t="s">
        <v>419</v>
      </c>
      <c r="C429" s="0" t="n">
        <v>20171</v>
      </c>
      <c r="D429" s="0" t="n">
        <f aca="false">VLOOKUP(A429,[1]Worksheet!$A$2:$I$1049,4,0)</f>
        <v>20</v>
      </c>
      <c r="E429" s="0" t="n">
        <f aca="false">VLOOKUP(A429,[1]Worksheet!$A$2:$I$1049,5,0)</f>
        <v>3.15</v>
      </c>
      <c r="F429" s="0" t="n">
        <f aca="false">VLOOKUP(A429,[1]Worksheet!$A$2:$I$1049,6,0)</f>
        <v>20</v>
      </c>
      <c r="G429" s="0" t="n">
        <f aca="false">VLOOKUP(A429,[1]Worksheet!$A$2:$I$1049,7,0)</f>
        <v>3.15</v>
      </c>
      <c r="K429" s="0" t="n">
        <v>0</v>
      </c>
      <c r="M429" s="0" t="n">
        <f aca="false">D429*E429</f>
        <v>63</v>
      </c>
      <c r="N429" s="0" t="n">
        <f aca="false">F429*G429</f>
        <v>63</v>
      </c>
      <c r="P429" s="0" t="n">
        <f aca="false">K429+D429</f>
        <v>20</v>
      </c>
      <c r="Q429" s="0" t="n">
        <f aca="false">M429/P429</f>
        <v>3.15</v>
      </c>
      <c r="R429" s="0" t="n">
        <f aca="false">F429+K429</f>
        <v>20</v>
      </c>
      <c r="S429" s="0" t="n">
        <f aca="false">N429/R429</f>
        <v>3.15</v>
      </c>
    </row>
    <row r="430" customFormat="false" ht="15" hidden="false" customHeight="false" outlineLevel="0" collapsed="false">
      <c r="A430" s="0" t="s">
        <v>420</v>
      </c>
      <c r="B430" s="0" t="s">
        <v>421</v>
      </c>
      <c r="C430" s="0" t="n">
        <v>20171</v>
      </c>
      <c r="D430" s="0" t="n">
        <f aca="false">VLOOKUP(A430,[1]Worksheet!$A$2:$I$1049,4,0)</f>
        <v>20</v>
      </c>
      <c r="E430" s="0" t="n">
        <f aca="false">VLOOKUP(A430,[1]Worksheet!$A$2:$I$1049,5,0)</f>
        <v>0</v>
      </c>
      <c r="F430" s="0" t="n">
        <f aca="false">VLOOKUP(A430,[1]Worksheet!$A$2:$I$1049,6,0)</f>
        <v>20</v>
      </c>
      <c r="G430" s="0" t="n">
        <f aca="false">VLOOKUP(A430,[1]Worksheet!$A$2:$I$1049,7,0)</f>
        <v>0</v>
      </c>
      <c r="K430" s="0" t="n">
        <v>0</v>
      </c>
      <c r="M430" s="0" t="n">
        <f aca="false">D430*E430</f>
        <v>0</v>
      </c>
      <c r="N430" s="0" t="n">
        <f aca="false">F430*G430</f>
        <v>0</v>
      </c>
      <c r="P430" s="0" t="n">
        <f aca="false">K430+D430</f>
        <v>20</v>
      </c>
      <c r="Q430" s="0" t="n">
        <f aca="false">M430/P430</f>
        <v>0</v>
      </c>
      <c r="R430" s="0" t="n">
        <f aca="false">F430+K430</f>
        <v>20</v>
      </c>
      <c r="S430" s="0" t="n">
        <f aca="false">N430/R430</f>
        <v>0</v>
      </c>
    </row>
    <row r="431" customFormat="false" ht="15" hidden="false" customHeight="false" outlineLevel="0" collapsed="false">
      <c r="A431" s="0" t="s">
        <v>422</v>
      </c>
      <c r="B431" s="0" t="s">
        <v>423</v>
      </c>
      <c r="C431" s="0" t="n">
        <v>20171</v>
      </c>
      <c r="D431" s="0" t="n">
        <f aca="false">VLOOKUP(A431,[1]Worksheet!$A$2:$I$1049,4,0)</f>
        <v>20</v>
      </c>
      <c r="E431" s="0" t="n">
        <f aca="false">VLOOKUP(A431,[1]Worksheet!$A$2:$I$1049,5,0)</f>
        <v>2.85</v>
      </c>
      <c r="F431" s="0" t="n">
        <f aca="false">VLOOKUP(A431,[1]Worksheet!$A$2:$I$1049,6,0)</f>
        <v>20</v>
      </c>
      <c r="G431" s="0" t="n">
        <f aca="false">VLOOKUP(A431,[1]Worksheet!$A$2:$I$1049,7,0)</f>
        <v>2.85</v>
      </c>
      <c r="K431" s="0" t="n">
        <v>0</v>
      </c>
      <c r="M431" s="0" t="n">
        <f aca="false">D431*E431</f>
        <v>57</v>
      </c>
      <c r="N431" s="0" t="n">
        <f aca="false">F431*G431</f>
        <v>57</v>
      </c>
      <c r="P431" s="0" t="n">
        <f aca="false">K431+D431</f>
        <v>20</v>
      </c>
      <c r="Q431" s="0" t="n">
        <f aca="false">M431/P431</f>
        <v>2.85</v>
      </c>
      <c r="R431" s="0" t="n">
        <f aca="false">F431+K431</f>
        <v>20</v>
      </c>
      <c r="S431" s="0" t="n">
        <f aca="false">N431/R431</f>
        <v>2.85</v>
      </c>
    </row>
    <row r="432" customFormat="false" ht="15" hidden="false" customHeight="false" outlineLevel="0" collapsed="false">
      <c r="A432" s="0" t="s">
        <v>424</v>
      </c>
      <c r="B432" s="0" t="s">
        <v>425</v>
      </c>
      <c r="C432" s="0" t="n">
        <v>20171</v>
      </c>
      <c r="D432" s="0" t="n">
        <f aca="false">VLOOKUP(A432,[1]Worksheet!$A$2:$I$1049,4,0)</f>
        <v>20</v>
      </c>
      <c r="E432" s="0" t="n">
        <f aca="false">VLOOKUP(A432,[1]Worksheet!$A$2:$I$1049,5,0)</f>
        <v>3.05</v>
      </c>
      <c r="F432" s="0" t="n">
        <f aca="false">VLOOKUP(A432,[1]Worksheet!$A$2:$I$1049,6,0)</f>
        <v>20</v>
      </c>
      <c r="G432" s="0" t="n">
        <f aca="false">VLOOKUP(A432,[1]Worksheet!$A$2:$I$1049,7,0)</f>
        <v>3.05</v>
      </c>
      <c r="K432" s="0" t="n">
        <v>0</v>
      </c>
      <c r="M432" s="0" t="n">
        <f aca="false">D432*E432</f>
        <v>61</v>
      </c>
      <c r="N432" s="0" t="n">
        <f aca="false">F432*G432</f>
        <v>61</v>
      </c>
      <c r="P432" s="0" t="n">
        <f aca="false">K432+D432</f>
        <v>20</v>
      </c>
      <c r="Q432" s="0" t="n">
        <f aca="false">M432/P432</f>
        <v>3.05</v>
      </c>
      <c r="R432" s="0" t="n">
        <f aca="false">F432+K432</f>
        <v>20</v>
      </c>
      <c r="S432" s="0" t="n">
        <f aca="false">N432/R432</f>
        <v>3.05</v>
      </c>
    </row>
    <row r="433" customFormat="false" ht="15" hidden="false" customHeight="false" outlineLevel="0" collapsed="false">
      <c r="A433" s="0" t="s">
        <v>426</v>
      </c>
      <c r="B433" s="0" t="s">
        <v>427</v>
      </c>
      <c r="C433" s="0" t="n">
        <v>20171</v>
      </c>
      <c r="D433" s="0" t="n">
        <f aca="false">VLOOKUP(A433,[1]Worksheet!$A$2:$I$1049,4,0)</f>
        <v>20</v>
      </c>
      <c r="E433" s="0" t="n">
        <f aca="false">VLOOKUP(A433,[1]Worksheet!$A$2:$I$1049,5,0)</f>
        <v>3.33</v>
      </c>
      <c r="F433" s="0" t="n">
        <f aca="false">VLOOKUP(A433,[1]Worksheet!$A$2:$I$1049,6,0)</f>
        <v>20</v>
      </c>
      <c r="G433" s="0" t="n">
        <f aca="false">VLOOKUP(A433,[1]Worksheet!$A$2:$I$1049,7,0)</f>
        <v>3.33</v>
      </c>
      <c r="K433" s="0" t="n">
        <v>0</v>
      </c>
      <c r="M433" s="0" t="n">
        <f aca="false">D433*E433</f>
        <v>66.6</v>
      </c>
      <c r="N433" s="0" t="n">
        <f aca="false">F433*G433</f>
        <v>66.6</v>
      </c>
      <c r="P433" s="0" t="n">
        <f aca="false">K433+D433</f>
        <v>20</v>
      </c>
      <c r="Q433" s="0" t="n">
        <f aca="false">M433/P433</f>
        <v>3.33</v>
      </c>
      <c r="R433" s="0" t="n">
        <f aca="false">F433+K433</f>
        <v>20</v>
      </c>
      <c r="S433" s="0" t="n">
        <f aca="false">N433/R433</f>
        <v>3.33</v>
      </c>
    </row>
    <row r="434" customFormat="false" ht="15" hidden="false" customHeight="false" outlineLevel="0" collapsed="false">
      <c r="A434" s="0" t="s">
        <v>428</v>
      </c>
      <c r="B434" s="0" t="s">
        <v>429</v>
      </c>
      <c r="C434" s="0" t="n">
        <v>20171</v>
      </c>
      <c r="D434" s="0" t="n">
        <f aca="false">VLOOKUP(A434,[1]Worksheet!$A$2:$I$1049,4,0)</f>
        <v>20</v>
      </c>
      <c r="E434" s="0" t="n">
        <f aca="false">VLOOKUP(A434,[1]Worksheet!$A$2:$I$1049,5,0)</f>
        <v>2.63</v>
      </c>
      <c r="F434" s="0" t="n">
        <f aca="false">VLOOKUP(A434,[1]Worksheet!$A$2:$I$1049,6,0)</f>
        <v>20</v>
      </c>
      <c r="G434" s="0" t="n">
        <f aca="false">VLOOKUP(A434,[1]Worksheet!$A$2:$I$1049,7,0)</f>
        <v>2.63</v>
      </c>
      <c r="K434" s="0" t="n">
        <v>0</v>
      </c>
      <c r="M434" s="0" t="n">
        <f aca="false">D434*E434</f>
        <v>52.6</v>
      </c>
      <c r="N434" s="0" t="n">
        <f aca="false">F434*G434</f>
        <v>52.6</v>
      </c>
      <c r="P434" s="0" t="n">
        <f aca="false">K434+D434</f>
        <v>20</v>
      </c>
      <c r="Q434" s="0" t="n">
        <f aca="false">M434/P434</f>
        <v>2.63</v>
      </c>
      <c r="R434" s="0" t="n">
        <f aca="false">F434+K434</f>
        <v>20</v>
      </c>
      <c r="S434" s="0" t="n">
        <f aca="false">N434/R434</f>
        <v>2.63</v>
      </c>
    </row>
    <row r="435" customFormat="false" ht="15" hidden="false" customHeight="false" outlineLevel="0" collapsed="false">
      <c r="A435" s="0" t="s">
        <v>430</v>
      </c>
      <c r="B435" s="0" t="s">
        <v>431</v>
      </c>
      <c r="C435" s="0" t="n">
        <v>20171</v>
      </c>
      <c r="D435" s="0" t="n">
        <f aca="false">VLOOKUP(A435,[1]Worksheet!$A$2:$I$1049,4,0)</f>
        <v>20</v>
      </c>
      <c r="E435" s="0" t="n">
        <f aca="false">VLOOKUP(A435,[1]Worksheet!$A$2:$I$1049,5,0)</f>
        <v>3.1</v>
      </c>
      <c r="F435" s="0" t="n">
        <f aca="false">VLOOKUP(A435,[1]Worksheet!$A$2:$I$1049,6,0)</f>
        <v>20</v>
      </c>
      <c r="G435" s="0" t="n">
        <f aca="false">VLOOKUP(A435,[1]Worksheet!$A$2:$I$1049,7,0)</f>
        <v>3.1</v>
      </c>
      <c r="K435" s="0" t="n">
        <v>0</v>
      </c>
      <c r="M435" s="0" t="n">
        <f aca="false">D435*E435</f>
        <v>62</v>
      </c>
      <c r="N435" s="0" t="n">
        <f aca="false">F435*G435</f>
        <v>62</v>
      </c>
      <c r="P435" s="0" t="n">
        <f aca="false">K435+D435</f>
        <v>20</v>
      </c>
      <c r="Q435" s="0" t="n">
        <f aca="false">M435/P435</f>
        <v>3.1</v>
      </c>
      <c r="R435" s="0" t="n">
        <f aca="false">F435+K435</f>
        <v>20</v>
      </c>
      <c r="S435" s="0" t="n">
        <f aca="false">N435/R435</f>
        <v>3.1</v>
      </c>
    </row>
    <row r="436" customFormat="false" ht="15" hidden="false" customHeight="false" outlineLevel="0" collapsed="false">
      <c r="A436" s="0" t="s">
        <v>432</v>
      </c>
      <c r="B436" s="0" t="s">
        <v>433</v>
      </c>
      <c r="C436" s="0" t="n">
        <v>20171</v>
      </c>
      <c r="D436" s="0" t="n">
        <f aca="false">VLOOKUP(A436,[1]Worksheet!$A$2:$I$1049,4,0)</f>
        <v>20</v>
      </c>
      <c r="E436" s="0" t="n">
        <f aca="false">VLOOKUP(A436,[1]Worksheet!$A$2:$I$1049,5,0)</f>
        <v>2.98</v>
      </c>
      <c r="F436" s="0" t="n">
        <f aca="false">VLOOKUP(A436,[1]Worksheet!$A$2:$I$1049,6,0)</f>
        <v>20</v>
      </c>
      <c r="G436" s="0" t="n">
        <f aca="false">VLOOKUP(A436,[1]Worksheet!$A$2:$I$1049,7,0)</f>
        <v>2.98</v>
      </c>
      <c r="K436" s="0" t="n">
        <v>0</v>
      </c>
      <c r="M436" s="0" t="n">
        <f aca="false">D436*E436</f>
        <v>59.6</v>
      </c>
      <c r="N436" s="0" t="n">
        <f aca="false">F436*G436</f>
        <v>59.6</v>
      </c>
      <c r="P436" s="0" t="n">
        <f aca="false">K436+D436</f>
        <v>20</v>
      </c>
      <c r="Q436" s="0" t="n">
        <f aca="false">M436/P436</f>
        <v>2.98</v>
      </c>
      <c r="R436" s="0" t="n">
        <f aca="false">F436+K436</f>
        <v>20</v>
      </c>
      <c r="S436" s="0" t="n">
        <f aca="false">N436/R436</f>
        <v>2.98</v>
      </c>
    </row>
    <row r="437" customFormat="false" ht="15" hidden="false" customHeight="false" outlineLevel="0" collapsed="false">
      <c r="A437" s="0" t="s">
        <v>434</v>
      </c>
      <c r="B437" s="0" t="s">
        <v>435</v>
      </c>
      <c r="C437" s="0" t="n">
        <v>20171</v>
      </c>
      <c r="D437" s="0" t="n">
        <f aca="false">VLOOKUP(A437,[1]Worksheet!$A$2:$I$1049,4,0)</f>
        <v>20</v>
      </c>
      <c r="E437" s="0" t="n">
        <f aca="false">VLOOKUP(A437,[1]Worksheet!$A$2:$I$1049,5,0)</f>
        <v>3.6</v>
      </c>
      <c r="F437" s="0" t="n">
        <f aca="false">VLOOKUP(A437,[1]Worksheet!$A$2:$I$1049,6,0)</f>
        <v>20</v>
      </c>
      <c r="G437" s="0" t="n">
        <f aca="false">VLOOKUP(A437,[1]Worksheet!$A$2:$I$1049,7,0)</f>
        <v>3.6</v>
      </c>
      <c r="K437" s="0" t="n">
        <v>0</v>
      </c>
      <c r="M437" s="0" t="n">
        <f aca="false">D437*E437</f>
        <v>72</v>
      </c>
      <c r="N437" s="0" t="n">
        <f aca="false">F437*G437</f>
        <v>72</v>
      </c>
      <c r="P437" s="0" t="n">
        <f aca="false">K437+D437</f>
        <v>20</v>
      </c>
      <c r="Q437" s="0" t="n">
        <f aca="false">M437/P437</f>
        <v>3.6</v>
      </c>
      <c r="R437" s="0" t="n">
        <f aca="false">F437+K437</f>
        <v>20</v>
      </c>
      <c r="S437" s="0" t="n">
        <f aca="false">N437/R437</f>
        <v>3.6</v>
      </c>
    </row>
    <row r="438" customFormat="false" ht="15" hidden="false" customHeight="false" outlineLevel="0" collapsed="false">
      <c r="A438" s="0" t="s">
        <v>436</v>
      </c>
      <c r="B438" s="0" t="s">
        <v>437</v>
      </c>
      <c r="C438" s="0" t="n">
        <v>20171</v>
      </c>
      <c r="D438" s="0" t="n">
        <f aca="false">VLOOKUP(A438,[1]Worksheet!$A$2:$I$1049,4,0)</f>
        <v>20</v>
      </c>
      <c r="E438" s="0" t="n">
        <f aca="false">VLOOKUP(A438,[1]Worksheet!$A$2:$I$1049,5,0)</f>
        <v>3.53</v>
      </c>
      <c r="F438" s="0" t="n">
        <f aca="false">VLOOKUP(A438,[1]Worksheet!$A$2:$I$1049,6,0)</f>
        <v>20</v>
      </c>
      <c r="G438" s="0" t="n">
        <f aca="false">VLOOKUP(A438,[1]Worksheet!$A$2:$I$1049,7,0)</f>
        <v>3.53</v>
      </c>
      <c r="K438" s="0" t="n">
        <v>0</v>
      </c>
      <c r="M438" s="0" t="n">
        <f aca="false">D438*E438</f>
        <v>70.6</v>
      </c>
      <c r="N438" s="0" t="n">
        <f aca="false">F438*G438</f>
        <v>70.6</v>
      </c>
      <c r="P438" s="0" t="n">
        <f aca="false">K438+D438</f>
        <v>20</v>
      </c>
      <c r="Q438" s="0" t="n">
        <f aca="false">M438/P438</f>
        <v>3.53</v>
      </c>
      <c r="R438" s="0" t="n">
        <f aca="false">F438+K438</f>
        <v>20</v>
      </c>
      <c r="S438" s="0" t="n">
        <f aca="false">N438/R438</f>
        <v>3.53</v>
      </c>
    </row>
    <row r="439" customFormat="false" ht="15" hidden="false" customHeight="false" outlineLevel="0" collapsed="false">
      <c r="A439" s="0" t="s">
        <v>438</v>
      </c>
      <c r="B439" s="0" t="s">
        <v>439</v>
      </c>
      <c r="C439" s="0" t="n">
        <v>20171</v>
      </c>
      <c r="D439" s="0" t="n">
        <f aca="false">VLOOKUP(A439,[1]Worksheet!$A$2:$I$1049,4,0)</f>
        <v>20</v>
      </c>
      <c r="E439" s="0" t="n">
        <f aca="false">VLOOKUP(A439,[1]Worksheet!$A$2:$I$1049,5,0)</f>
        <v>3</v>
      </c>
      <c r="F439" s="0" t="n">
        <f aca="false">VLOOKUP(A439,[1]Worksheet!$A$2:$I$1049,6,0)</f>
        <v>20</v>
      </c>
      <c r="G439" s="0" t="n">
        <f aca="false">VLOOKUP(A439,[1]Worksheet!$A$2:$I$1049,7,0)</f>
        <v>3</v>
      </c>
      <c r="K439" s="0" t="n">
        <v>0</v>
      </c>
      <c r="M439" s="0" t="n">
        <f aca="false">D439*E439</f>
        <v>60</v>
      </c>
      <c r="N439" s="0" t="n">
        <f aca="false">F439*G439</f>
        <v>60</v>
      </c>
      <c r="P439" s="0" t="n">
        <f aca="false">K439+D439</f>
        <v>20</v>
      </c>
      <c r="Q439" s="0" t="n">
        <f aca="false">M439/P439</f>
        <v>3</v>
      </c>
      <c r="R439" s="0" t="n">
        <f aca="false">F439+K439</f>
        <v>20</v>
      </c>
      <c r="S439" s="0" t="n">
        <f aca="false">N439/R439</f>
        <v>3</v>
      </c>
    </row>
    <row r="440" customFormat="false" ht="15" hidden="false" customHeight="false" outlineLevel="0" collapsed="false">
      <c r="A440" s="0" t="s">
        <v>440</v>
      </c>
      <c r="B440" s="0" t="s">
        <v>441</v>
      </c>
      <c r="C440" s="0" t="n">
        <v>20171</v>
      </c>
      <c r="D440" s="0" t="n">
        <f aca="false">VLOOKUP(A440,[1]Worksheet!$A$2:$I$1049,4,0)</f>
        <v>20</v>
      </c>
      <c r="E440" s="0" t="n">
        <f aca="false">VLOOKUP(A440,[1]Worksheet!$A$2:$I$1049,5,0)</f>
        <v>3.35</v>
      </c>
      <c r="F440" s="0" t="n">
        <f aca="false">VLOOKUP(A440,[1]Worksheet!$A$2:$I$1049,6,0)</f>
        <v>20</v>
      </c>
      <c r="G440" s="0" t="n">
        <f aca="false">VLOOKUP(A440,[1]Worksheet!$A$2:$I$1049,7,0)</f>
        <v>3.35</v>
      </c>
      <c r="K440" s="0" t="n">
        <v>0</v>
      </c>
      <c r="M440" s="0" t="n">
        <f aca="false">D440*E440</f>
        <v>67</v>
      </c>
      <c r="N440" s="0" t="n">
        <f aca="false">F440*G440</f>
        <v>67</v>
      </c>
      <c r="P440" s="0" t="n">
        <f aca="false">K440+D440</f>
        <v>20</v>
      </c>
      <c r="Q440" s="0" t="n">
        <f aca="false">M440/P440</f>
        <v>3.35</v>
      </c>
      <c r="R440" s="0" t="n">
        <f aca="false">F440+K440</f>
        <v>20</v>
      </c>
      <c r="S440" s="0" t="n">
        <f aca="false">N440/R440</f>
        <v>3.35</v>
      </c>
    </row>
    <row r="441" customFormat="false" ht="15" hidden="false" customHeight="false" outlineLevel="0" collapsed="false">
      <c r="A441" s="0" t="s">
        <v>442</v>
      </c>
      <c r="B441" s="0" t="s">
        <v>443</v>
      </c>
      <c r="C441" s="0" t="n">
        <v>20171</v>
      </c>
      <c r="D441" s="0" t="n">
        <f aca="false">VLOOKUP(A441,[1]Worksheet!$A$2:$I$1049,4,0)</f>
        <v>20</v>
      </c>
      <c r="E441" s="0" t="n">
        <f aca="false">VLOOKUP(A441,[1]Worksheet!$A$2:$I$1049,5,0)</f>
        <v>3.08</v>
      </c>
      <c r="F441" s="0" t="n">
        <f aca="false">VLOOKUP(A441,[1]Worksheet!$A$2:$I$1049,6,0)</f>
        <v>20</v>
      </c>
      <c r="G441" s="0" t="n">
        <f aca="false">VLOOKUP(A441,[1]Worksheet!$A$2:$I$1049,7,0)</f>
        <v>3.08</v>
      </c>
      <c r="K441" s="0" t="n">
        <v>0</v>
      </c>
      <c r="M441" s="0" t="n">
        <f aca="false">D441*E441</f>
        <v>61.6</v>
      </c>
      <c r="N441" s="0" t="n">
        <f aca="false">F441*G441</f>
        <v>61.6</v>
      </c>
      <c r="P441" s="0" t="n">
        <f aca="false">K441+D441</f>
        <v>20</v>
      </c>
      <c r="Q441" s="0" t="n">
        <f aca="false">M441/P441</f>
        <v>3.08</v>
      </c>
      <c r="R441" s="0" t="n">
        <f aca="false">F441+K441</f>
        <v>20</v>
      </c>
      <c r="S441" s="0" t="n">
        <f aca="false">N441/R441</f>
        <v>3.08</v>
      </c>
    </row>
    <row r="442" customFormat="false" ht="15" hidden="false" customHeight="false" outlineLevel="0" collapsed="false">
      <c r="A442" s="0" t="s">
        <v>444</v>
      </c>
      <c r="B442" s="0" t="s">
        <v>445</v>
      </c>
      <c r="C442" s="0" t="n">
        <v>20171</v>
      </c>
      <c r="D442" s="0" t="n">
        <f aca="false">VLOOKUP(A442,[1]Worksheet!$A$2:$I$1049,4,0)</f>
        <v>20</v>
      </c>
      <c r="E442" s="0" t="n">
        <f aca="false">VLOOKUP(A442,[1]Worksheet!$A$2:$I$1049,5,0)</f>
        <v>2.93</v>
      </c>
      <c r="F442" s="0" t="n">
        <f aca="false">VLOOKUP(A442,[1]Worksheet!$A$2:$I$1049,6,0)</f>
        <v>20</v>
      </c>
      <c r="G442" s="0" t="n">
        <f aca="false">VLOOKUP(A442,[1]Worksheet!$A$2:$I$1049,7,0)</f>
        <v>2.93</v>
      </c>
      <c r="K442" s="0" t="n">
        <v>0</v>
      </c>
      <c r="M442" s="0" t="n">
        <f aca="false">D442*E442</f>
        <v>58.6</v>
      </c>
      <c r="N442" s="0" t="n">
        <f aca="false">F442*G442</f>
        <v>58.6</v>
      </c>
      <c r="P442" s="0" t="n">
        <f aca="false">K442+D442</f>
        <v>20</v>
      </c>
      <c r="Q442" s="0" t="n">
        <f aca="false">M442/P442</f>
        <v>2.93</v>
      </c>
      <c r="R442" s="0" t="n">
        <f aca="false">F442+K442</f>
        <v>20</v>
      </c>
      <c r="S442" s="0" t="n">
        <f aca="false">N442/R442</f>
        <v>2.93</v>
      </c>
    </row>
    <row r="443" customFormat="false" ht="15" hidden="false" customHeight="false" outlineLevel="0" collapsed="false">
      <c r="A443" s="0" t="s">
        <v>446</v>
      </c>
      <c r="B443" s="0" t="s">
        <v>447</v>
      </c>
      <c r="C443" s="0" t="n">
        <v>20171</v>
      </c>
      <c r="D443" s="0" t="n">
        <f aca="false">VLOOKUP(A443,[1]Worksheet!$A$2:$I$1049,4,0)</f>
        <v>20</v>
      </c>
      <c r="E443" s="0" t="n">
        <f aca="false">VLOOKUP(A443,[1]Worksheet!$A$2:$I$1049,5,0)</f>
        <v>2.88</v>
      </c>
      <c r="F443" s="0" t="n">
        <f aca="false">VLOOKUP(A443,[1]Worksheet!$A$2:$I$1049,6,0)</f>
        <v>20</v>
      </c>
      <c r="G443" s="0" t="n">
        <f aca="false">VLOOKUP(A443,[1]Worksheet!$A$2:$I$1049,7,0)</f>
        <v>2.88</v>
      </c>
      <c r="K443" s="0" t="n">
        <v>0</v>
      </c>
      <c r="M443" s="0" t="n">
        <f aca="false">D443*E443</f>
        <v>57.6</v>
      </c>
      <c r="N443" s="0" t="n">
        <f aca="false">F443*G443</f>
        <v>57.6</v>
      </c>
      <c r="P443" s="0" t="n">
        <f aca="false">K443+D443</f>
        <v>20</v>
      </c>
      <c r="Q443" s="0" t="n">
        <f aca="false">M443/P443</f>
        <v>2.88</v>
      </c>
      <c r="R443" s="0" t="n">
        <f aca="false">F443+K443</f>
        <v>20</v>
      </c>
      <c r="S443" s="0" t="n">
        <f aca="false">N443/R443</f>
        <v>2.88</v>
      </c>
    </row>
    <row r="444" customFormat="false" ht="15" hidden="false" customHeight="false" outlineLevel="0" collapsed="false">
      <c r="A444" s="0" t="s">
        <v>448</v>
      </c>
      <c r="B444" s="0" t="s">
        <v>449</v>
      </c>
      <c r="C444" s="0" t="n">
        <v>20171</v>
      </c>
      <c r="D444" s="0" t="n">
        <f aca="false">VLOOKUP(A444,[1]Worksheet!$A$2:$I$1049,4,0)</f>
        <v>20</v>
      </c>
      <c r="E444" s="0" t="n">
        <f aca="false">VLOOKUP(A444,[1]Worksheet!$A$2:$I$1049,5,0)</f>
        <v>2.4</v>
      </c>
      <c r="F444" s="0" t="n">
        <f aca="false">VLOOKUP(A444,[1]Worksheet!$A$2:$I$1049,6,0)</f>
        <v>20</v>
      </c>
      <c r="G444" s="0" t="n">
        <f aca="false">VLOOKUP(A444,[1]Worksheet!$A$2:$I$1049,7,0)</f>
        <v>2.4</v>
      </c>
      <c r="K444" s="0" t="n">
        <v>0</v>
      </c>
      <c r="M444" s="0" t="n">
        <f aca="false">D444*E444</f>
        <v>48</v>
      </c>
      <c r="N444" s="0" t="n">
        <f aca="false">F444*G444</f>
        <v>48</v>
      </c>
      <c r="P444" s="0" t="n">
        <f aca="false">K444+D444</f>
        <v>20</v>
      </c>
      <c r="Q444" s="0" t="n">
        <f aca="false">M444/P444</f>
        <v>2.4</v>
      </c>
      <c r="R444" s="0" t="n">
        <f aca="false">F444+K444</f>
        <v>20</v>
      </c>
      <c r="S444" s="0" t="n">
        <f aca="false">N444/R444</f>
        <v>2.4</v>
      </c>
    </row>
    <row r="445" customFormat="false" ht="15" hidden="false" customHeight="false" outlineLevel="0" collapsed="false">
      <c r="A445" s="0" t="s">
        <v>450</v>
      </c>
      <c r="B445" s="0" t="s">
        <v>451</v>
      </c>
      <c r="C445" s="0" t="n">
        <v>20171</v>
      </c>
      <c r="D445" s="0" t="n">
        <f aca="false">VLOOKUP(A445,[1]Worksheet!$A$2:$I$1049,4,0)</f>
        <v>20</v>
      </c>
      <c r="E445" s="0" t="n">
        <f aca="false">VLOOKUP(A445,[1]Worksheet!$A$2:$I$1049,5,0)</f>
        <v>0</v>
      </c>
      <c r="F445" s="0" t="n">
        <f aca="false">VLOOKUP(A445,[1]Worksheet!$A$2:$I$1049,6,0)</f>
        <v>20</v>
      </c>
      <c r="G445" s="0" t="n">
        <f aca="false">VLOOKUP(A445,[1]Worksheet!$A$2:$I$1049,7,0)</f>
        <v>0</v>
      </c>
      <c r="K445" s="0" t="n">
        <v>0</v>
      </c>
      <c r="M445" s="0" t="n">
        <f aca="false">D445*E445</f>
        <v>0</v>
      </c>
      <c r="N445" s="0" t="n">
        <f aca="false">F445*G445</f>
        <v>0</v>
      </c>
      <c r="P445" s="0" t="n">
        <f aca="false">K445+D445</f>
        <v>20</v>
      </c>
      <c r="Q445" s="0" t="n">
        <f aca="false">M445/P445</f>
        <v>0</v>
      </c>
      <c r="R445" s="0" t="n">
        <f aca="false">F445+K445</f>
        <v>20</v>
      </c>
      <c r="S445" s="0" t="n">
        <f aca="false">N445/R445</f>
        <v>0</v>
      </c>
    </row>
    <row r="446" customFormat="false" ht="15" hidden="false" customHeight="false" outlineLevel="0" collapsed="false">
      <c r="A446" s="0" t="s">
        <v>452</v>
      </c>
      <c r="B446" s="0" t="s">
        <v>453</v>
      </c>
      <c r="C446" s="0" t="n">
        <v>20171</v>
      </c>
      <c r="D446" s="0" t="n">
        <f aca="false">VLOOKUP(A446,[1]Worksheet!$A$2:$I$1049,4,0)</f>
        <v>20</v>
      </c>
      <c r="E446" s="0" t="n">
        <f aca="false">VLOOKUP(A446,[1]Worksheet!$A$2:$I$1049,5,0)</f>
        <v>3.55</v>
      </c>
      <c r="F446" s="0" t="n">
        <f aca="false">VLOOKUP(A446,[1]Worksheet!$A$2:$I$1049,6,0)</f>
        <v>20</v>
      </c>
      <c r="G446" s="0" t="n">
        <f aca="false">VLOOKUP(A446,[1]Worksheet!$A$2:$I$1049,7,0)</f>
        <v>3.55</v>
      </c>
      <c r="K446" s="0" t="n">
        <v>0</v>
      </c>
      <c r="M446" s="0" t="n">
        <f aca="false">D446*E446</f>
        <v>71</v>
      </c>
      <c r="N446" s="0" t="n">
        <f aca="false">F446*G446</f>
        <v>71</v>
      </c>
      <c r="P446" s="0" t="n">
        <f aca="false">K446+D446</f>
        <v>20</v>
      </c>
      <c r="Q446" s="0" t="n">
        <f aca="false">M446/P446</f>
        <v>3.55</v>
      </c>
      <c r="R446" s="0" t="n">
        <f aca="false">F446+K446</f>
        <v>20</v>
      </c>
      <c r="S446" s="0" t="n">
        <f aca="false">N446/R446</f>
        <v>3.55</v>
      </c>
    </row>
    <row r="447" customFormat="false" ht="15" hidden="false" customHeight="false" outlineLevel="0" collapsed="false">
      <c r="A447" s="0" t="s">
        <v>454</v>
      </c>
      <c r="B447" s="0" t="s">
        <v>455</v>
      </c>
      <c r="C447" s="0" t="n">
        <v>20171</v>
      </c>
      <c r="D447" s="0" t="n">
        <f aca="false">VLOOKUP(A447,[1]Worksheet!$A$2:$I$1049,4,0)</f>
        <v>20</v>
      </c>
      <c r="E447" s="0" t="n">
        <f aca="false">VLOOKUP(A447,[1]Worksheet!$A$2:$I$1049,5,0)</f>
        <v>3.05</v>
      </c>
      <c r="F447" s="0" t="n">
        <f aca="false">VLOOKUP(A447,[1]Worksheet!$A$2:$I$1049,6,0)</f>
        <v>20</v>
      </c>
      <c r="G447" s="0" t="n">
        <f aca="false">VLOOKUP(A447,[1]Worksheet!$A$2:$I$1049,7,0)</f>
        <v>3.05</v>
      </c>
      <c r="K447" s="0" t="n">
        <v>0</v>
      </c>
      <c r="M447" s="0" t="n">
        <f aca="false">D447*E447</f>
        <v>61</v>
      </c>
      <c r="N447" s="0" t="n">
        <f aca="false">F447*G447</f>
        <v>61</v>
      </c>
      <c r="P447" s="0" t="n">
        <f aca="false">K447+D447</f>
        <v>20</v>
      </c>
      <c r="Q447" s="0" t="n">
        <f aca="false">M447/P447</f>
        <v>3.05</v>
      </c>
      <c r="R447" s="0" t="n">
        <f aca="false">F447+K447</f>
        <v>20</v>
      </c>
      <c r="S447" s="0" t="n">
        <f aca="false">N447/R447</f>
        <v>3.05</v>
      </c>
    </row>
    <row r="448" customFormat="false" ht="15" hidden="false" customHeight="false" outlineLevel="0" collapsed="false">
      <c r="A448" s="0" t="s">
        <v>456</v>
      </c>
      <c r="B448" s="0" t="s">
        <v>457</v>
      </c>
      <c r="C448" s="0" t="n">
        <v>20171</v>
      </c>
      <c r="D448" s="0" t="n">
        <f aca="false">VLOOKUP(A448,[1]Worksheet!$A$2:$I$1049,4,0)</f>
        <v>20</v>
      </c>
      <c r="E448" s="0" t="n">
        <f aca="false">VLOOKUP(A448,[1]Worksheet!$A$2:$I$1049,5,0)</f>
        <v>2.85</v>
      </c>
      <c r="F448" s="0" t="n">
        <f aca="false">VLOOKUP(A448,[1]Worksheet!$A$2:$I$1049,6,0)</f>
        <v>20</v>
      </c>
      <c r="G448" s="0" t="n">
        <f aca="false">VLOOKUP(A448,[1]Worksheet!$A$2:$I$1049,7,0)</f>
        <v>2.85</v>
      </c>
      <c r="K448" s="0" t="n">
        <v>0</v>
      </c>
      <c r="M448" s="0" t="n">
        <f aca="false">D448*E448</f>
        <v>57</v>
      </c>
      <c r="N448" s="0" t="n">
        <f aca="false">F448*G448</f>
        <v>57</v>
      </c>
      <c r="P448" s="0" t="n">
        <f aca="false">K448+D448</f>
        <v>20</v>
      </c>
      <c r="Q448" s="0" t="n">
        <f aca="false">M448/P448</f>
        <v>2.85</v>
      </c>
      <c r="R448" s="0" t="n">
        <f aca="false">F448+K448</f>
        <v>20</v>
      </c>
      <c r="S448" s="0" t="n">
        <f aca="false">N448/R448</f>
        <v>2.85</v>
      </c>
    </row>
    <row r="449" customFormat="false" ht="15" hidden="false" customHeight="false" outlineLevel="0" collapsed="false">
      <c r="A449" s="0" t="s">
        <v>458</v>
      </c>
      <c r="B449" s="0" t="s">
        <v>459</v>
      </c>
      <c r="C449" s="0" t="n">
        <v>20171</v>
      </c>
      <c r="D449" s="0" t="n">
        <f aca="false">VLOOKUP(A449,[1]Worksheet!$A$2:$I$1049,4,0)</f>
        <v>20</v>
      </c>
      <c r="E449" s="0" t="n">
        <f aca="false">VLOOKUP(A449,[1]Worksheet!$A$2:$I$1049,5,0)</f>
        <v>1.55</v>
      </c>
      <c r="F449" s="0" t="n">
        <f aca="false">VLOOKUP(A449,[1]Worksheet!$A$2:$I$1049,6,0)</f>
        <v>20</v>
      </c>
      <c r="G449" s="0" t="n">
        <f aca="false">VLOOKUP(A449,[1]Worksheet!$A$2:$I$1049,7,0)</f>
        <v>1.55</v>
      </c>
      <c r="K449" s="0" t="n">
        <v>0</v>
      </c>
      <c r="M449" s="0" t="n">
        <f aca="false">D449*E449</f>
        <v>31</v>
      </c>
      <c r="N449" s="0" t="n">
        <f aca="false">F449*G449</f>
        <v>31</v>
      </c>
      <c r="P449" s="0" t="n">
        <f aca="false">K449+D449</f>
        <v>20</v>
      </c>
      <c r="Q449" s="0" t="n">
        <f aca="false">M449/P449</f>
        <v>1.55</v>
      </c>
      <c r="R449" s="0" t="n">
        <f aca="false">F449+K449</f>
        <v>20</v>
      </c>
      <c r="S449" s="0" t="n">
        <f aca="false">N449/R449</f>
        <v>1.55</v>
      </c>
    </row>
    <row r="450" customFormat="false" ht="15" hidden="false" customHeight="false" outlineLevel="0" collapsed="false">
      <c r="A450" s="0" t="s">
        <v>460</v>
      </c>
      <c r="B450" s="0" t="s">
        <v>461</v>
      </c>
      <c r="C450" s="0" t="n">
        <v>20171</v>
      </c>
      <c r="D450" s="0" t="n">
        <f aca="false">VLOOKUP(A450,[1]Worksheet!$A$2:$I$1049,4,0)</f>
        <v>20</v>
      </c>
      <c r="E450" s="0" t="n">
        <f aca="false">VLOOKUP(A450,[1]Worksheet!$A$2:$I$1049,5,0)</f>
        <v>2.78</v>
      </c>
      <c r="F450" s="0" t="n">
        <f aca="false">VLOOKUP(A450,[1]Worksheet!$A$2:$I$1049,6,0)</f>
        <v>20</v>
      </c>
      <c r="G450" s="0" t="n">
        <f aca="false">VLOOKUP(A450,[1]Worksheet!$A$2:$I$1049,7,0)</f>
        <v>2.78</v>
      </c>
      <c r="K450" s="0" t="n">
        <v>0</v>
      </c>
      <c r="M450" s="0" t="n">
        <f aca="false">D450*E450</f>
        <v>55.6</v>
      </c>
      <c r="N450" s="0" t="n">
        <f aca="false">F450*G450</f>
        <v>55.6</v>
      </c>
      <c r="P450" s="0" t="n">
        <f aca="false">K450+D450</f>
        <v>20</v>
      </c>
      <c r="Q450" s="0" t="n">
        <f aca="false">M450/P450</f>
        <v>2.78</v>
      </c>
      <c r="R450" s="0" t="n">
        <f aca="false">F450+K450</f>
        <v>20</v>
      </c>
      <c r="S450" s="0" t="n">
        <f aca="false">N450/R450</f>
        <v>2.78</v>
      </c>
    </row>
    <row r="451" customFormat="false" ht="15" hidden="false" customHeight="false" outlineLevel="0" collapsed="false">
      <c r="A451" s="0" t="s">
        <v>462</v>
      </c>
      <c r="B451" s="0" t="s">
        <v>463</v>
      </c>
      <c r="C451" s="0" t="n">
        <v>20171</v>
      </c>
      <c r="D451" s="0" t="n">
        <f aca="false">VLOOKUP(A451,[1]Worksheet!$A$2:$I$1049,4,0)</f>
        <v>20</v>
      </c>
      <c r="E451" s="0" t="n">
        <f aca="false">VLOOKUP(A451,[1]Worksheet!$A$2:$I$1049,5,0)</f>
        <v>3.18</v>
      </c>
      <c r="F451" s="0" t="n">
        <f aca="false">VLOOKUP(A451,[1]Worksheet!$A$2:$I$1049,6,0)</f>
        <v>20</v>
      </c>
      <c r="G451" s="0" t="n">
        <f aca="false">VLOOKUP(A451,[1]Worksheet!$A$2:$I$1049,7,0)</f>
        <v>3.18</v>
      </c>
      <c r="K451" s="0" t="n">
        <v>0</v>
      </c>
      <c r="M451" s="0" t="n">
        <f aca="false">D451*E451</f>
        <v>63.6</v>
      </c>
      <c r="N451" s="0" t="n">
        <f aca="false">F451*G451</f>
        <v>63.6</v>
      </c>
      <c r="P451" s="0" t="n">
        <f aca="false">K451+D451</f>
        <v>20</v>
      </c>
      <c r="Q451" s="0" t="n">
        <f aca="false">M451/P451</f>
        <v>3.18</v>
      </c>
      <c r="R451" s="0" t="n">
        <f aca="false">F451+K451</f>
        <v>20</v>
      </c>
      <c r="S451" s="0" t="n">
        <f aca="false">N451/R451</f>
        <v>3.18</v>
      </c>
    </row>
    <row r="452" customFormat="false" ht="15" hidden="false" customHeight="false" outlineLevel="0" collapsed="false">
      <c r="A452" s="0" t="s">
        <v>464</v>
      </c>
      <c r="B452" s="0" t="s">
        <v>465</v>
      </c>
      <c r="C452" s="0" t="n">
        <v>20171</v>
      </c>
      <c r="D452" s="0" t="n">
        <f aca="false">VLOOKUP(A452,[1]Worksheet!$A$2:$I$1049,4,0)</f>
        <v>20</v>
      </c>
      <c r="E452" s="0" t="n">
        <f aca="false">VLOOKUP(A452,[1]Worksheet!$A$2:$I$1049,5,0)</f>
        <v>3.15</v>
      </c>
      <c r="F452" s="0" t="n">
        <f aca="false">VLOOKUP(A452,[1]Worksheet!$A$2:$I$1049,6,0)</f>
        <v>20</v>
      </c>
      <c r="G452" s="0" t="n">
        <f aca="false">VLOOKUP(A452,[1]Worksheet!$A$2:$I$1049,7,0)</f>
        <v>3.15</v>
      </c>
      <c r="K452" s="0" t="n">
        <v>0</v>
      </c>
      <c r="M452" s="0" t="n">
        <f aca="false">D452*E452</f>
        <v>63</v>
      </c>
      <c r="N452" s="0" t="n">
        <f aca="false">F452*G452</f>
        <v>63</v>
      </c>
      <c r="P452" s="0" t="n">
        <f aca="false">K452+D452</f>
        <v>20</v>
      </c>
      <c r="Q452" s="0" t="n">
        <f aca="false">M452/P452</f>
        <v>3.15</v>
      </c>
      <c r="R452" s="0" t="n">
        <f aca="false">F452+K452</f>
        <v>20</v>
      </c>
      <c r="S452" s="0" t="n">
        <f aca="false">N452/R452</f>
        <v>3.15</v>
      </c>
    </row>
    <row r="453" customFormat="false" ht="15" hidden="false" customHeight="false" outlineLevel="0" collapsed="false">
      <c r="A453" s="0" t="s">
        <v>466</v>
      </c>
      <c r="B453" s="0" t="s">
        <v>467</v>
      </c>
      <c r="C453" s="0" t="n">
        <v>20171</v>
      </c>
      <c r="D453" s="0" t="n">
        <f aca="false">VLOOKUP(A453,[1]Worksheet!$A$2:$I$1049,4,0)</f>
        <v>20</v>
      </c>
      <c r="E453" s="0" t="n">
        <f aca="false">VLOOKUP(A453,[1]Worksheet!$A$2:$I$1049,5,0)</f>
        <v>3.2</v>
      </c>
      <c r="F453" s="0" t="n">
        <f aca="false">VLOOKUP(A453,[1]Worksheet!$A$2:$I$1049,6,0)</f>
        <v>20</v>
      </c>
      <c r="G453" s="0" t="n">
        <f aca="false">VLOOKUP(A453,[1]Worksheet!$A$2:$I$1049,7,0)</f>
        <v>3.2</v>
      </c>
      <c r="K453" s="0" t="n">
        <v>0</v>
      </c>
      <c r="M453" s="0" t="n">
        <f aca="false">D453*E453</f>
        <v>64</v>
      </c>
      <c r="N453" s="0" t="n">
        <f aca="false">F453*G453</f>
        <v>64</v>
      </c>
      <c r="P453" s="0" t="n">
        <f aca="false">K453+D453</f>
        <v>20</v>
      </c>
      <c r="Q453" s="0" t="n">
        <f aca="false">M453/P453</f>
        <v>3.2</v>
      </c>
      <c r="R453" s="0" t="n">
        <f aca="false">F453+K453</f>
        <v>20</v>
      </c>
      <c r="S453" s="0" t="n">
        <f aca="false">N453/R453</f>
        <v>3.2</v>
      </c>
    </row>
    <row r="454" customFormat="false" ht="15" hidden="false" customHeight="false" outlineLevel="0" collapsed="false">
      <c r="A454" s="0" t="s">
        <v>468</v>
      </c>
      <c r="B454" s="0" t="s">
        <v>469</v>
      </c>
      <c r="C454" s="0" t="n">
        <v>20171</v>
      </c>
      <c r="D454" s="0" t="n">
        <f aca="false">VLOOKUP(A454,[1]Worksheet!$A$2:$I$1049,4,0)</f>
        <v>20</v>
      </c>
      <c r="E454" s="0" t="n">
        <f aca="false">VLOOKUP(A454,[1]Worksheet!$A$2:$I$1049,5,0)</f>
        <v>3.28</v>
      </c>
      <c r="F454" s="0" t="n">
        <f aca="false">VLOOKUP(A454,[1]Worksheet!$A$2:$I$1049,6,0)</f>
        <v>20</v>
      </c>
      <c r="G454" s="0" t="n">
        <f aca="false">VLOOKUP(A454,[1]Worksheet!$A$2:$I$1049,7,0)</f>
        <v>3.28</v>
      </c>
      <c r="K454" s="0" t="n">
        <v>0</v>
      </c>
      <c r="M454" s="0" t="n">
        <f aca="false">D454*E454</f>
        <v>65.6</v>
      </c>
      <c r="N454" s="0" t="n">
        <f aca="false">F454*G454</f>
        <v>65.6</v>
      </c>
      <c r="P454" s="0" t="n">
        <f aca="false">K454+D454</f>
        <v>20</v>
      </c>
      <c r="Q454" s="0" t="n">
        <f aca="false">M454/P454</f>
        <v>3.28</v>
      </c>
      <c r="R454" s="0" t="n">
        <f aca="false">F454+K454</f>
        <v>20</v>
      </c>
      <c r="S454" s="0" t="n">
        <f aca="false">N454/R454</f>
        <v>3.28</v>
      </c>
    </row>
    <row r="455" customFormat="false" ht="15" hidden="false" customHeight="false" outlineLevel="0" collapsed="false">
      <c r="A455" s="0" t="s">
        <v>470</v>
      </c>
      <c r="B455" s="0" t="s">
        <v>471</v>
      </c>
      <c r="C455" s="0" t="n">
        <v>20171</v>
      </c>
      <c r="D455" s="0" t="n">
        <f aca="false">VLOOKUP(A455,[1]Worksheet!$A$2:$I$1049,4,0)</f>
        <v>20</v>
      </c>
      <c r="E455" s="0" t="n">
        <f aca="false">VLOOKUP(A455,[1]Worksheet!$A$2:$I$1049,5,0)</f>
        <v>3.73</v>
      </c>
      <c r="F455" s="0" t="n">
        <f aca="false">VLOOKUP(A455,[1]Worksheet!$A$2:$I$1049,6,0)</f>
        <v>20</v>
      </c>
      <c r="G455" s="0" t="n">
        <f aca="false">VLOOKUP(A455,[1]Worksheet!$A$2:$I$1049,7,0)</f>
        <v>3.73</v>
      </c>
      <c r="K455" s="0" t="n">
        <v>0</v>
      </c>
      <c r="M455" s="0" t="n">
        <f aca="false">D455*E455</f>
        <v>74.6</v>
      </c>
      <c r="N455" s="0" t="n">
        <f aca="false">F455*G455</f>
        <v>74.6</v>
      </c>
      <c r="P455" s="0" t="n">
        <f aca="false">K455+D455</f>
        <v>20</v>
      </c>
      <c r="Q455" s="0" t="n">
        <f aca="false">M455/P455</f>
        <v>3.73</v>
      </c>
      <c r="R455" s="0" t="n">
        <f aca="false">F455+K455</f>
        <v>20</v>
      </c>
      <c r="S455" s="0" t="n">
        <f aca="false">N455/R455</f>
        <v>3.73</v>
      </c>
    </row>
    <row r="456" customFormat="false" ht="15" hidden="false" customHeight="false" outlineLevel="0" collapsed="false">
      <c r="A456" s="0" t="s">
        <v>472</v>
      </c>
      <c r="B456" s="0" t="s">
        <v>473</v>
      </c>
      <c r="C456" s="0" t="n">
        <v>20171</v>
      </c>
      <c r="D456" s="0" t="n">
        <f aca="false">VLOOKUP(A456,[1]Worksheet!$A$2:$I$1049,4,0)</f>
        <v>20</v>
      </c>
      <c r="E456" s="0" t="n">
        <f aca="false">VLOOKUP(A456,[1]Worksheet!$A$2:$I$1049,5,0)</f>
        <v>2.9</v>
      </c>
      <c r="F456" s="0" t="n">
        <f aca="false">VLOOKUP(A456,[1]Worksheet!$A$2:$I$1049,6,0)</f>
        <v>20</v>
      </c>
      <c r="G456" s="0" t="n">
        <f aca="false">VLOOKUP(A456,[1]Worksheet!$A$2:$I$1049,7,0)</f>
        <v>2.9</v>
      </c>
      <c r="K456" s="0" t="n">
        <v>0</v>
      </c>
      <c r="M456" s="0" t="n">
        <f aca="false">D456*E456</f>
        <v>58</v>
      </c>
      <c r="N456" s="0" t="n">
        <f aca="false">F456*G456</f>
        <v>58</v>
      </c>
      <c r="P456" s="0" t="n">
        <f aca="false">K456+D456</f>
        <v>20</v>
      </c>
      <c r="Q456" s="0" t="n">
        <f aca="false">M456/P456</f>
        <v>2.9</v>
      </c>
      <c r="R456" s="0" t="n">
        <f aca="false">F456+K456</f>
        <v>20</v>
      </c>
      <c r="S456" s="0" t="n">
        <f aca="false">N456/R456</f>
        <v>2.9</v>
      </c>
    </row>
    <row r="457" customFormat="false" ht="15" hidden="false" customHeight="false" outlineLevel="0" collapsed="false">
      <c r="A457" s="0" t="s">
        <v>474</v>
      </c>
      <c r="B457" s="0" t="s">
        <v>475</v>
      </c>
      <c r="C457" s="0" t="n">
        <v>20171</v>
      </c>
      <c r="D457" s="0" t="n">
        <f aca="false">VLOOKUP(A457,[1]Worksheet!$A$2:$I$1049,4,0)</f>
        <v>20</v>
      </c>
      <c r="E457" s="0" t="n">
        <f aca="false">VLOOKUP(A457,[1]Worksheet!$A$2:$I$1049,5,0)</f>
        <v>2.9</v>
      </c>
      <c r="F457" s="0" t="n">
        <f aca="false">VLOOKUP(A457,[1]Worksheet!$A$2:$I$1049,6,0)</f>
        <v>20</v>
      </c>
      <c r="G457" s="0" t="n">
        <f aca="false">VLOOKUP(A457,[1]Worksheet!$A$2:$I$1049,7,0)</f>
        <v>2.9</v>
      </c>
      <c r="K457" s="0" t="n">
        <v>0</v>
      </c>
      <c r="M457" s="0" t="n">
        <f aca="false">D457*E457</f>
        <v>58</v>
      </c>
      <c r="N457" s="0" t="n">
        <f aca="false">F457*G457</f>
        <v>58</v>
      </c>
      <c r="P457" s="0" t="n">
        <f aca="false">K457+D457</f>
        <v>20</v>
      </c>
      <c r="Q457" s="0" t="n">
        <f aca="false">M457/P457</f>
        <v>2.9</v>
      </c>
      <c r="R457" s="0" t="n">
        <f aca="false">F457+K457</f>
        <v>20</v>
      </c>
      <c r="S457" s="0" t="n">
        <f aca="false">N457/R457</f>
        <v>2.9</v>
      </c>
    </row>
    <row r="458" customFormat="false" ht="15" hidden="false" customHeight="false" outlineLevel="0" collapsed="false">
      <c r="A458" s="0" t="s">
        <v>476</v>
      </c>
      <c r="B458" s="0" t="s">
        <v>477</v>
      </c>
      <c r="C458" s="0" t="n">
        <v>20171</v>
      </c>
      <c r="D458" s="0" t="n">
        <f aca="false">VLOOKUP(A458,[1]Worksheet!$A$2:$I$1049,4,0)</f>
        <v>20</v>
      </c>
      <c r="E458" s="0" t="n">
        <f aca="false">VLOOKUP(A458,[1]Worksheet!$A$2:$I$1049,5,0)</f>
        <v>3.2</v>
      </c>
      <c r="F458" s="0" t="n">
        <f aca="false">VLOOKUP(A458,[1]Worksheet!$A$2:$I$1049,6,0)</f>
        <v>20</v>
      </c>
      <c r="G458" s="0" t="n">
        <f aca="false">VLOOKUP(A458,[1]Worksheet!$A$2:$I$1049,7,0)</f>
        <v>3.2</v>
      </c>
      <c r="K458" s="0" t="n">
        <v>0</v>
      </c>
      <c r="M458" s="0" t="n">
        <f aca="false">D458*E458</f>
        <v>64</v>
      </c>
      <c r="N458" s="0" t="n">
        <f aca="false">F458*G458</f>
        <v>64</v>
      </c>
      <c r="P458" s="0" t="n">
        <f aca="false">K458+D458</f>
        <v>20</v>
      </c>
      <c r="Q458" s="0" t="n">
        <f aca="false">M458/P458</f>
        <v>3.2</v>
      </c>
      <c r="R458" s="0" t="n">
        <f aca="false">F458+K458</f>
        <v>20</v>
      </c>
      <c r="S458" s="0" t="n">
        <f aca="false">N458/R458</f>
        <v>3.2</v>
      </c>
    </row>
    <row r="459" customFormat="false" ht="15" hidden="false" customHeight="false" outlineLevel="0" collapsed="false">
      <c r="A459" s="0" t="s">
        <v>478</v>
      </c>
      <c r="B459" s="0" t="s">
        <v>479</v>
      </c>
      <c r="C459" s="0" t="n">
        <v>20171</v>
      </c>
      <c r="D459" s="0" t="n">
        <f aca="false">VLOOKUP(A459,[1]Worksheet!$A$2:$I$1049,4,0)</f>
        <v>20</v>
      </c>
      <c r="E459" s="0" t="n">
        <f aca="false">VLOOKUP(A459,[1]Worksheet!$A$2:$I$1049,5,0)</f>
        <v>3.33</v>
      </c>
      <c r="F459" s="0" t="n">
        <f aca="false">VLOOKUP(A459,[1]Worksheet!$A$2:$I$1049,6,0)</f>
        <v>20</v>
      </c>
      <c r="G459" s="0" t="n">
        <f aca="false">VLOOKUP(A459,[1]Worksheet!$A$2:$I$1049,7,0)</f>
        <v>3.33</v>
      </c>
      <c r="K459" s="0" t="n">
        <v>0</v>
      </c>
      <c r="M459" s="0" t="n">
        <f aca="false">D459*E459</f>
        <v>66.6</v>
      </c>
      <c r="N459" s="0" t="n">
        <f aca="false">F459*G459</f>
        <v>66.6</v>
      </c>
      <c r="P459" s="0" t="n">
        <f aca="false">K459+D459</f>
        <v>20</v>
      </c>
      <c r="Q459" s="0" t="n">
        <f aca="false">M459/P459</f>
        <v>3.33</v>
      </c>
      <c r="R459" s="0" t="n">
        <f aca="false">F459+K459</f>
        <v>20</v>
      </c>
      <c r="S459" s="0" t="n">
        <f aca="false">N459/R459</f>
        <v>3.33</v>
      </c>
    </row>
    <row r="460" customFormat="false" ht="15" hidden="false" customHeight="false" outlineLevel="0" collapsed="false">
      <c r="A460" s="0" t="s">
        <v>480</v>
      </c>
      <c r="B460" s="0" t="s">
        <v>481</v>
      </c>
      <c r="C460" s="0" t="n">
        <v>20171</v>
      </c>
      <c r="D460" s="0" t="n">
        <f aca="false">VLOOKUP(A460,[1]Worksheet!$A$2:$I$1049,4,0)</f>
        <v>20</v>
      </c>
      <c r="E460" s="0" t="n">
        <f aca="false">VLOOKUP(A460,[1]Worksheet!$A$2:$I$1049,5,0)</f>
        <v>1.9</v>
      </c>
      <c r="F460" s="0" t="n">
        <f aca="false">VLOOKUP(A460,[1]Worksheet!$A$2:$I$1049,6,0)</f>
        <v>20</v>
      </c>
      <c r="G460" s="0" t="n">
        <f aca="false">VLOOKUP(A460,[1]Worksheet!$A$2:$I$1049,7,0)</f>
        <v>1.9</v>
      </c>
      <c r="K460" s="0" t="n">
        <v>0</v>
      </c>
      <c r="M460" s="0" t="n">
        <f aca="false">D460*E460</f>
        <v>38</v>
      </c>
      <c r="N460" s="0" t="n">
        <f aca="false">F460*G460</f>
        <v>38</v>
      </c>
      <c r="P460" s="0" t="n">
        <f aca="false">K460+D460</f>
        <v>20</v>
      </c>
      <c r="Q460" s="0" t="n">
        <f aca="false">M460/P460</f>
        <v>1.9</v>
      </c>
      <c r="R460" s="0" t="n">
        <f aca="false">F460+K460</f>
        <v>20</v>
      </c>
      <c r="S460" s="0" t="n">
        <f aca="false">N460/R460</f>
        <v>1.9</v>
      </c>
    </row>
    <row r="461" customFormat="false" ht="15" hidden="false" customHeight="false" outlineLevel="0" collapsed="false">
      <c r="A461" s="0" t="s">
        <v>482</v>
      </c>
      <c r="B461" s="0" t="s">
        <v>483</v>
      </c>
      <c r="C461" s="0" t="n">
        <v>20171</v>
      </c>
      <c r="D461" s="0" t="n">
        <f aca="false">VLOOKUP(A461,[1]Worksheet!$A$2:$I$1049,4,0)</f>
        <v>20</v>
      </c>
      <c r="E461" s="0" t="n">
        <f aca="false">VLOOKUP(A461,[1]Worksheet!$A$2:$I$1049,5,0)</f>
        <v>2.9</v>
      </c>
      <c r="F461" s="0" t="n">
        <f aca="false">VLOOKUP(A461,[1]Worksheet!$A$2:$I$1049,6,0)</f>
        <v>20</v>
      </c>
      <c r="G461" s="0" t="n">
        <f aca="false">VLOOKUP(A461,[1]Worksheet!$A$2:$I$1049,7,0)</f>
        <v>2.9</v>
      </c>
      <c r="K461" s="0" t="n">
        <v>0</v>
      </c>
      <c r="M461" s="0" t="n">
        <f aca="false">D461*E461</f>
        <v>58</v>
      </c>
      <c r="N461" s="0" t="n">
        <f aca="false">F461*G461</f>
        <v>58</v>
      </c>
      <c r="P461" s="0" t="n">
        <f aca="false">K461+D461</f>
        <v>20</v>
      </c>
      <c r="Q461" s="0" t="n">
        <f aca="false">M461/P461</f>
        <v>2.9</v>
      </c>
      <c r="R461" s="0" t="n">
        <f aca="false">F461+K461</f>
        <v>20</v>
      </c>
      <c r="S461" s="0" t="n">
        <f aca="false">N461/R461</f>
        <v>2.9</v>
      </c>
    </row>
    <row r="462" customFormat="false" ht="15" hidden="false" customHeight="false" outlineLevel="0" collapsed="false">
      <c r="A462" s="0" t="s">
        <v>484</v>
      </c>
      <c r="B462" s="0" t="s">
        <v>485</v>
      </c>
      <c r="C462" s="0" t="n">
        <v>20171</v>
      </c>
      <c r="D462" s="0" t="n">
        <f aca="false">VLOOKUP(A462,[1]Worksheet!$A$2:$I$1049,4,0)</f>
        <v>20</v>
      </c>
      <c r="E462" s="0" t="n">
        <f aca="false">VLOOKUP(A462,[1]Worksheet!$A$2:$I$1049,5,0)</f>
        <v>2.63</v>
      </c>
      <c r="F462" s="0" t="n">
        <f aca="false">VLOOKUP(A462,[1]Worksheet!$A$2:$I$1049,6,0)</f>
        <v>20</v>
      </c>
      <c r="G462" s="0" t="n">
        <f aca="false">VLOOKUP(A462,[1]Worksheet!$A$2:$I$1049,7,0)</f>
        <v>2.63</v>
      </c>
      <c r="K462" s="0" t="n">
        <v>0</v>
      </c>
      <c r="M462" s="0" t="n">
        <f aca="false">D462*E462</f>
        <v>52.6</v>
      </c>
      <c r="N462" s="0" t="n">
        <f aca="false">F462*G462</f>
        <v>52.6</v>
      </c>
      <c r="P462" s="0" t="n">
        <f aca="false">K462+D462</f>
        <v>20</v>
      </c>
      <c r="Q462" s="0" t="n">
        <f aca="false">M462/P462</f>
        <v>2.63</v>
      </c>
      <c r="R462" s="0" t="n">
        <f aca="false">F462+K462</f>
        <v>20</v>
      </c>
      <c r="S462" s="0" t="n">
        <f aca="false">N462/R462</f>
        <v>2.63</v>
      </c>
    </row>
    <row r="463" customFormat="false" ht="15" hidden="false" customHeight="false" outlineLevel="0" collapsed="false">
      <c r="A463" s="0" t="s">
        <v>486</v>
      </c>
      <c r="B463" s="0" t="s">
        <v>487</v>
      </c>
      <c r="C463" s="0" t="n">
        <v>20171</v>
      </c>
      <c r="D463" s="0" t="n">
        <f aca="false">VLOOKUP(A463,[1]Worksheet!$A$2:$I$1049,4,0)</f>
        <v>20</v>
      </c>
      <c r="E463" s="0" t="n">
        <f aca="false">VLOOKUP(A463,[1]Worksheet!$A$2:$I$1049,5,0)</f>
        <v>2.78</v>
      </c>
      <c r="F463" s="0" t="n">
        <f aca="false">VLOOKUP(A463,[1]Worksheet!$A$2:$I$1049,6,0)</f>
        <v>20</v>
      </c>
      <c r="G463" s="0" t="n">
        <f aca="false">VLOOKUP(A463,[1]Worksheet!$A$2:$I$1049,7,0)</f>
        <v>2.78</v>
      </c>
      <c r="K463" s="0" t="n">
        <v>0</v>
      </c>
      <c r="M463" s="0" t="n">
        <f aca="false">D463*E463</f>
        <v>55.6</v>
      </c>
      <c r="N463" s="0" t="n">
        <f aca="false">F463*G463</f>
        <v>55.6</v>
      </c>
      <c r="P463" s="0" t="n">
        <f aca="false">K463+D463</f>
        <v>20</v>
      </c>
      <c r="Q463" s="0" t="n">
        <f aca="false">M463/P463</f>
        <v>2.78</v>
      </c>
      <c r="R463" s="0" t="n">
        <f aca="false">F463+K463</f>
        <v>20</v>
      </c>
      <c r="S463" s="0" t="n">
        <f aca="false">N463/R463</f>
        <v>2.78</v>
      </c>
    </row>
    <row r="464" customFormat="false" ht="15" hidden="false" customHeight="false" outlineLevel="0" collapsed="false">
      <c r="A464" s="0" t="s">
        <v>488</v>
      </c>
      <c r="B464" s="0" t="s">
        <v>489</v>
      </c>
      <c r="C464" s="0" t="n">
        <v>20171</v>
      </c>
      <c r="D464" s="0" t="n">
        <f aca="false">VLOOKUP(A464,[1]Worksheet!$A$2:$I$1049,4,0)</f>
        <v>20</v>
      </c>
      <c r="E464" s="0" t="n">
        <f aca="false">VLOOKUP(A464,[1]Worksheet!$A$2:$I$1049,5,0)</f>
        <v>2.68</v>
      </c>
      <c r="F464" s="0" t="n">
        <f aca="false">VLOOKUP(A464,[1]Worksheet!$A$2:$I$1049,6,0)</f>
        <v>20</v>
      </c>
      <c r="G464" s="0" t="n">
        <f aca="false">VLOOKUP(A464,[1]Worksheet!$A$2:$I$1049,7,0)</f>
        <v>2.68</v>
      </c>
      <c r="K464" s="0" t="n">
        <v>0</v>
      </c>
      <c r="M464" s="0" t="n">
        <f aca="false">D464*E464</f>
        <v>53.6</v>
      </c>
      <c r="N464" s="0" t="n">
        <f aca="false">F464*G464</f>
        <v>53.6</v>
      </c>
      <c r="P464" s="0" t="n">
        <f aca="false">K464+D464</f>
        <v>20</v>
      </c>
      <c r="Q464" s="0" t="n">
        <f aca="false">M464/P464</f>
        <v>2.68</v>
      </c>
      <c r="R464" s="0" t="n">
        <f aca="false">F464+K464</f>
        <v>20</v>
      </c>
      <c r="S464" s="0" t="n">
        <f aca="false">N464/R464</f>
        <v>2.68</v>
      </c>
    </row>
    <row r="465" customFormat="false" ht="15" hidden="false" customHeight="false" outlineLevel="0" collapsed="false">
      <c r="A465" s="0" t="s">
        <v>490</v>
      </c>
      <c r="B465" s="0" t="s">
        <v>491</v>
      </c>
      <c r="C465" s="0" t="n">
        <v>20171</v>
      </c>
      <c r="D465" s="0" t="n">
        <f aca="false">VLOOKUP(A465,[1]Worksheet!$A$2:$I$1049,4,0)</f>
        <v>20</v>
      </c>
      <c r="E465" s="0" t="n">
        <f aca="false">VLOOKUP(A465,[1]Worksheet!$A$2:$I$1049,5,0)</f>
        <v>2.23</v>
      </c>
      <c r="F465" s="0" t="n">
        <f aca="false">VLOOKUP(A465,[1]Worksheet!$A$2:$I$1049,6,0)</f>
        <v>20</v>
      </c>
      <c r="G465" s="0" t="n">
        <f aca="false">VLOOKUP(A465,[1]Worksheet!$A$2:$I$1049,7,0)</f>
        <v>2.23</v>
      </c>
      <c r="K465" s="0" t="n">
        <v>0</v>
      </c>
      <c r="M465" s="0" t="n">
        <f aca="false">D465*E465</f>
        <v>44.6</v>
      </c>
      <c r="N465" s="0" t="n">
        <f aca="false">F465*G465</f>
        <v>44.6</v>
      </c>
      <c r="P465" s="0" t="n">
        <f aca="false">K465+D465</f>
        <v>20</v>
      </c>
      <c r="Q465" s="0" t="n">
        <f aca="false">M465/P465</f>
        <v>2.23</v>
      </c>
      <c r="R465" s="0" t="n">
        <f aca="false">F465+K465</f>
        <v>20</v>
      </c>
      <c r="S465" s="0" t="n">
        <f aca="false">N465/R465</f>
        <v>2.23</v>
      </c>
    </row>
    <row r="466" customFormat="false" ht="15" hidden="false" customHeight="false" outlineLevel="0" collapsed="false">
      <c r="A466" s="0" t="s">
        <v>492</v>
      </c>
      <c r="B466" s="0" t="s">
        <v>493</v>
      </c>
      <c r="C466" s="0" t="n">
        <v>20171</v>
      </c>
      <c r="D466" s="0" t="n">
        <f aca="false">VLOOKUP(A466,[1]Worksheet!$A$2:$I$1049,4,0)</f>
        <v>20</v>
      </c>
      <c r="E466" s="0" t="n">
        <f aca="false">VLOOKUP(A466,[1]Worksheet!$A$2:$I$1049,5,0)</f>
        <v>2.88</v>
      </c>
      <c r="F466" s="0" t="n">
        <f aca="false">VLOOKUP(A466,[1]Worksheet!$A$2:$I$1049,6,0)</f>
        <v>20</v>
      </c>
      <c r="G466" s="0" t="n">
        <f aca="false">VLOOKUP(A466,[1]Worksheet!$A$2:$I$1049,7,0)</f>
        <v>2.88</v>
      </c>
      <c r="K466" s="0" t="n">
        <v>0</v>
      </c>
      <c r="M466" s="0" t="n">
        <f aca="false">D466*E466</f>
        <v>57.6</v>
      </c>
      <c r="N466" s="0" t="n">
        <f aca="false">F466*G466</f>
        <v>57.6</v>
      </c>
      <c r="P466" s="0" t="n">
        <f aca="false">K466+D466</f>
        <v>20</v>
      </c>
      <c r="Q466" s="0" t="n">
        <f aca="false">M466/P466</f>
        <v>2.88</v>
      </c>
      <c r="R466" s="0" t="n">
        <f aca="false">F466+K466</f>
        <v>20</v>
      </c>
      <c r="S466" s="0" t="n">
        <f aca="false">N466/R466</f>
        <v>2.88</v>
      </c>
    </row>
    <row r="467" customFormat="false" ht="15" hidden="false" customHeight="false" outlineLevel="0" collapsed="false">
      <c r="A467" s="0" t="s">
        <v>494</v>
      </c>
      <c r="B467" s="0" t="s">
        <v>495</v>
      </c>
      <c r="C467" s="0" t="n">
        <v>20171</v>
      </c>
      <c r="D467" s="0" t="n">
        <f aca="false">VLOOKUP(A467,[1]Worksheet!$A$2:$I$1049,4,0)</f>
        <v>20</v>
      </c>
      <c r="E467" s="0" t="n">
        <f aca="false">VLOOKUP(A467,[1]Worksheet!$A$2:$I$1049,5,0)</f>
        <v>2.85</v>
      </c>
      <c r="F467" s="0" t="n">
        <f aca="false">VLOOKUP(A467,[1]Worksheet!$A$2:$I$1049,6,0)</f>
        <v>20</v>
      </c>
      <c r="G467" s="0" t="n">
        <f aca="false">VLOOKUP(A467,[1]Worksheet!$A$2:$I$1049,7,0)</f>
        <v>2.85</v>
      </c>
      <c r="K467" s="0" t="n">
        <v>0</v>
      </c>
      <c r="M467" s="0" t="n">
        <f aca="false">D467*E467</f>
        <v>57</v>
      </c>
      <c r="N467" s="0" t="n">
        <f aca="false">F467*G467</f>
        <v>57</v>
      </c>
      <c r="P467" s="0" t="n">
        <f aca="false">K467+D467</f>
        <v>20</v>
      </c>
      <c r="Q467" s="0" t="n">
        <f aca="false">M467/P467</f>
        <v>2.85</v>
      </c>
      <c r="R467" s="0" t="n">
        <f aca="false">F467+K467</f>
        <v>20</v>
      </c>
      <c r="S467" s="0" t="n">
        <f aca="false">N467/R467</f>
        <v>2.85</v>
      </c>
    </row>
    <row r="468" customFormat="false" ht="15" hidden="false" customHeight="false" outlineLevel="0" collapsed="false">
      <c r="A468" s="0" t="s">
        <v>496</v>
      </c>
      <c r="B468" s="0" t="s">
        <v>497</v>
      </c>
      <c r="C468" s="0" t="n">
        <v>20171</v>
      </c>
      <c r="D468" s="0" t="n">
        <f aca="false">VLOOKUP(A468,[1]Worksheet!$A$2:$I$1049,4,0)</f>
        <v>20</v>
      </c>
      <c r="E468" s="0" t="n">
        <f aca="false">VLOOKUP(A468,[1]Worksheet!$A$2:$I$1049,5,0)</f>
        <v>2.08</v>
      </c>
      <c r="F468" s="0" t="n">
        <f aca="false">VLOOKUP(A468,[1]Worksheet!$A$2:$I$1049,6,0)</f>
        <v>20</v>
      </c>
      <c r="G468" s="0" t="n">
        <f aca="false">VLOOKUP(A468,[1]Worksheet!$A$2:$I$1049,7,0)</f>
        <v>2.08</v>
      </c>
      <c r="K468" s="0" t="n">
        <v>0</v>
      </c>
      <c r="M468" s="0" t="n">
        <f aca="false">D468*E468</f>
        <v>41.6</v>
      </c>
      <c r="N468" s="0" t="n">
        <f aca="false">F468*G468</f>
        <v>41.6</v>
      </c>
      <c r="P468" s="0" t="n">
        <f aca="false">K468+D468</f>
        <v>20</v>
      </c>
      <c r="Q468" s="0" t="n">
        <f aca="false">M468/P468</f>
        <v>2.08</v>
      </c>
      <c r="R468" s="0" t="n">
        <f aca="false">F468+K468</f>
        <v>20</v>
      </c>
      <c r="S468" s="0" t="n">
        <f aca="false">N468/R468</f>
        <v>2.08</v>
      </c>
    </row>
    <row r="469" customFormat="false" ht="15" hidden="false" customHeight="false" outlineLevel="0" collapsed="false">
      <c r="A469" s="0" t="s">
        <v>498</v>
      </c>
      <c r="B469" s="0" t="s">
        <v>499</v>
      </c>
      <c r="C469" s="0" t="n">
        <v>20171</v>
      </c>
      <c r="D469" s="0" t="n">
        <f aca="false">VLOOKUP(A469,[1]Worksheet!$A$2:$I$1049,4,0)</f>
        <v>20</v>
      </c>
      <c r="E469" s="0" t="n">
        <f aca="false">VLOOKUP(A469,[1]Worksheet!$A$2:$I$1049,5,0)</f>
        <v>3.03</v>
      </c>
      <c r="F469" s="0" t="n">
        <f aca="false">VLOOKUP(A469,[1]Worksheet!$A$2:$I$1049,6,0)</f>
        <v>20</v>
      </c>
      <c r="G469" s="0" t="n">
        <f aca="false">VLOOKUP(A469,[1]Worksheet!$A$2:$I$1049,7,0)</f>
        <v>3.03</v>
      </c>
      <c r="K469" s="0" t="n">
        <v>0</v>
      </c>
      <c r="M469" s="0" t="n">
        <f aca="false">D469*E469</f>
        <v>60.6</v>
      </c>
      <c r="N469" s="0" t="n">
        <f aca="false">F469*G469</f>
        <v>60.6</v>
      </c>
      <c r="P469" s="0" t="n">
        <f aca="false">K469+D469</f>
        <v>20</v>
      </c>
      <c r="Q469" s="0" t="n">
        <f aca="false">M469/P469</f>
        <v>3.03</v>
      </c>
      <c r="R469" s="0" t="n">
        <f aca="false">F469+K469</f>
        <v>20</v>
      </c>
      <c r="S469" s="0" t="n">
        <f aca="false">N469/R469</f>
        <v>3.03</v>
      </c>
    </row>
    <row r="470" customFormat="false" ht="15" hidden="false" customHeight="false" outlineLevel="0" collapsed="false">
      <c r="A470" s="0" t="s">
        <v>500</v>
      </c>
      <c r="B470" s="0" t="s">
        <v>501</v>
      </c>
      <c r="C470" s="0" t="n">
        <v>20171</v>
      </c>
      <c r="D470" s="0" t="n">
        <f aca="false">VLOOKUP(A470,[1]Worksheet!$A$2:$I$1049,4,0)</f>
        <v>20</v>
      </c>
      <c r="E470" s="0" t="n">
        <f aca="false">VLOOKUP(A470,[1]Worksheet!$A$2:$I$1049,5,0)</f>
        <v>2.7</v>
      </c>
      <c r="F470" s="0" t="n">
        <f aca="false">VLOOKUP(A470,[1]Worksheet!$A$2:$I$1049,6,0)</f>
        <v>20</v>
      </c>
      <c r="G470" s="0" t="n">
        <f aca="false">VLOOKUP(A470,[1]Worksheet!$A$2:$I$1049,7,0)</f>
        <v>2.7</v>
      </c>
      <c r="K470" s="0" t="n">
        <v>0</v>
      </c>
      <c r="M470" s="0" t="n">
        <f aca="false">D470*E470</f>
        <v>54</v>
      </c>
      <c r="N470" s="0" t="n">
        <f aca="false">F470*G470</f>
        <v>54</v>
      </c>
      <c r="P470" s="0" t="n">
        <f aca="false">K470+D470</f>
        <v>20</v>
      </c>
      <c r="Q470" s="0" t="n">
        <f aca="false">M470/P470</f>
        <v>2.7</v>
      </c>
      <c r="R470" s="0" t="n">
        <f aca="false">F470+K470</f>
        <v>20</v>
      </c>
      <c r="S470" s="0" t="n">
        <f aca="false">N470/R470</f>
        <v>2.7</v>
      </c>
    </row>
    <row r="471" customFormat="false" ht="15" hidden="false" customHeight="false" outlineLevel="0" collapsed="false">
      <c r="A471" s="0" t="s">
        <v>502</v>
      </c>
      <c r="B471" s="0" t="s">
        <v>503</v>
      </c>
      <c r="C471" s="0" t="n">
        <v>20171</v>
      </c>
      <c r="D471" s="0" t="n">
        <f aca="false">VLOOKUP(A471,[1]Worksheet!$A$2:$I$1049,4,0)</f>
        <v>20</v>
      </c>
      <c r="E471" s="0" t="n">
        <f aca="false">VLOOKUP(A471,[1]Worksheet!$A$2:$I$1049,5,0)</f>
        <v>3.38</v>
      </c>
      <c r="F471" s="0" t="n">
        <f aca="false">VLOOKUP(A471,[1]Worksheet!$A$2:$I$1049,6,0)</f>
        <v>20</v>
      </c>
      <c r="G471" s="0" t="n">
        <f aca="false">VLOOKUP(A471,[1]Worksheet!$A$2:$I$1049,7,0)</f>
        <v>3.38</v>
      </c>
      <c r="K471" s="0" t="n">
        <v>0</v>
      </c>
      <c r="M471" s="0" t="n">
        <f aca="false">D471*E471</f>
        <v>67.6</v>
      </c>
      <c r="N471" s="0" t="n">
        <f aca="false">F471*G471</f>
        <v>67.6</v>
      </c>
      <c r="P471" s="0" t="n">
        <f aca="false">K471+D471</f>
        <v>20</v>
      </c>
      <c r="Q471" s="0" t="n">
        <f aca="false">M471/P471</f>
        <v>3.38</v>
      </c>
      <c r="R471" s="0" t="n">
        <f aca="false">F471+K471</f>
        <v>20</v>
      </c>
      <c r="S471" s="0" t="n">
        <f aca="false">N471/R471</f>
        <v>3.38</v>
      </c>
    </row>
    <row r="472" customFormat="false" ht="15" hidden="false" customHeight="false" outlineLevel="0" collapsed="false">
      <c r="A472" s="0" t="s">
        <v>504</v>
      </c>
      <c r="B472" s="0" t="s">
        <v>505</v>
      </c>
      <c r="C472" s="0" t="n">
        <v>20171</v>
      </c>
      <c r="D472" s="0" t="n">
        <f aca="false">VLOOKUP(A472,[1]Worksheet!$A$2:$I$1049,4,0)</f>
        <v>20</v>
      </c>
      <c r="E472" s="0" t="n">
        <f aca="false">VLOOKUP(A472,[1]Worksheet!$A$2:$I$1049,5,0)</f>
        <v>3.13</v>
      </c>
      <c r="F472" s="0" t="n">
        <f aca="false">VLOOKUP(A472,[1]Worksheet!$A$2:$I$1049,6,0)</f>
        <v>20</v>
      </c>
      <c r="G472" s="0" t="n">
        <f aca="false">VLOOKUP(A472,[1]Worksheet!$A$2:$I$1049,7,0)</f>
        <v>3.13</v>
      </c>
      <c r="K472" s="0" t="n">
        <v>0</v>
      </c>
      <c r="M472" s="0" t="n">
        <f aca="false">D472*E472</f>
        <v>62.6</v>
      </c>
      <c r="N472" s="0" t="n">
        <f aca="false">F472*G472</f>
        <v>62.6</v>
      </c>
      <c r="P472" s="0" t="n">
        <f aca="false">K472+D472</f>
        <v>20</v>
      </c>
      <c r="Q472" s="0" t="n">
        <f aca="false">M472/P472</f>
        <v>3.13</v>
      </c>
      <c r="R472" s="0" t="n">
        <f aca="false">F472+K472</f>
        <v>20</v>
      </c>
      <c r="S472" s="0" t="n">
        <f aca="false">N472/R472</f>
        <v>3.13</v>
      </c>
    </row>
    <row r="473" customFormat="false" ht="15" hidden="false" customHeight="false" outlineLevel="0" collapsed="false">
      <c r="A473" s="0" t="s">
        <v>506</v>
      </c>
      <c r="B473" s="0" t="s">
        <v>507</v>
      </c>
      <c r="C473" s="0" t="n">
        <v>20171</v>
      </c>
      <c r="D473" s="0" t="n">
        <f aca="false">VLOOKUP(A473,[1]Worksheet!$A$2:$I$1049,4,0)</f>
        <v>20</v>
      </c>
      <c r="E473" s="0" t="n">
        <f aca="false">VLOOKUP(A473,[1]Worksheet!$A$2:$I$1049,5,0)</f>
        <v>2.85</v>
      </c>
      <c r="F473" s="0" t="n">
        <f aca="false">VLOOKUP(A473,[1]Worksheet!$A$2:$I$1049,6,0)</f>
        <v>20</v>
      </c>
      <c r="G473" s="0" t="n">
        <f aca="false">VLOOKUP(A473,[1]Worksheet!$A$2:$I$1049,7,0)</f>
        <v>2.85</v>
      </c>
      <c r="K473" s="0" t="n">
        <v>0</v>
      </c>
      <c r="M473" s="0" t="n">
        <f aca="false">D473*E473</f>
        <v>57</v>
      </c>
      <c r="N473" s="0" t="n">
        <f aca="false">F473*G473</f>
        <v>57</v>
      </c>
      <c r="P473" s="0" t="n">
        <f aca="false">K473+D473</f>
        <v>20</v>
      </c>
      <c r="Q473" s="0" t="n">
        <f aca="false">M473/P473</f>
        <v>2.85</v>
      </c>
      <c r="R473" s="0" t="n">
        <f aca="false">F473+K473</f>
        <v>20</v>
      </c>
      <c r="S473" s="0" t="n">
        <f aca="false">N473/R473</f>
        <v>2.85</v>
      </c>
    </row>
    <row r="474" customFormat="false" ht="15" hidden="false" customHeight="false" outlineLevel="0" collapsed="false">
      <c r="A474" s="0" t="s">
        <v>508</v>
      </c>
      <c r="B474" s="0" t="s">
        <v>509</v>
      </c>
      <c r="C474" s="0" t="n">
        <v>20171</v>
      </c>
      <c r="D474" s="0" t="n">
        <f aca="false">VLOOKUP(A474,[1]Worksheet!$A$2:$I$1049,4,0)</f>
        <v>20</v>
      </c>
      <c r="E474" s="0" t="n">
        <f aca="false">VLOOKUP(A474,[1]Worksheet!$A$2:$I$1049,5,0)</f>
        <v>2.98</v>
      </c>
      <c r="F474" s="0" t="n">
        <f aca="false">VLOOKUP(A474,[1]Worksheet!$A$2:$I$1049,6,0)</f>
        <v>20</v>
      </c>
      <c r="G474" s="0" t="n">
        <f aca="false">VLOOKUP(A474,[1]Worksheet!$A$2:$I$1049,7,0)</f>
        <v>2.98</v>
      </c>
      <c r="K474" s="0" t="n">
        <v>0</v>
      </c>
      <c r="M474" s="0" t="n">
        <f aca="false">D474*E474</f>
        <v>59.6</v>
      </c>
      <c r="N474" s="0" t="n">
        <f aca="false">F474*G474</f>
        <v>59.6</v>
      </c>
      <c r="P474" s="0" t="n">
        <f aca="false">K474+D474</f>
        <v>20</v>
      </c>
      <c r="Q474" s="0" t="n">
        <f aca="false">M474/P474</f>
        <v>2.98</v>
      </c>
      <c r="R474" s="0" t="n">
        <f aca="false">F474+K474</f>
        <v>20</v>
      </c>
      <c r="S474" s="0" t="n">
        <f aca="false">N474/R474</f>
        <v>2.98</v>
      </c>
    </row>
    <row r="475" customFormat="false" ht="15" hidden="false" customHeight="false" outlineLevel="0" collapsed="false">
      <c r="A475" s="0" t="s">
        <v>108</v>
      </c>
      <c r="B475" s="0" t="s">
        <v>109</v>
      </c>
      <c r="C475" s="0" t="n">
        <v>20171</v>
      </c>
      <c r="D475" s="0" t="n">
        <f aca="false">VLOOKUP(A475,[1]Worksheet!$A$2:$I$1049,4,0)</f>
        <v>2</v>
      </c>
      <c r="E475" s="0" t="n">
        <f aca="false">VLOOKUP(A475,[1]Worksheet!$A$2:$I$1049,5,0)</f>
        <v>0</v>
      </c>
      <c r="F475" s="0" t="n">
        <f aca="false">VLOOKUP(A475,[1]Worksheet!$A$2:$I$1049,6,0)</f>
        <v>163</v>
      </c>
      <c r="G475" s="0" t="n">
        <f aca="false">VLOOKUP(A475,[1]Worksheet!$A$2:$I$1049,7,0)</f>
        <v>2.74</v>
      </c>
      <c r="K475" s="0" t="n">
        <v>4</v>
      </c>
      <c r="M475" s="0" t="n">
        <f aca="false">D475*E475</f>
        <v>0</v>
      </c>
      <c r="N475" s="0" t="n">
        <f aca="false">F475*G475</f>
        <v>446.62</v>
      </c>
      <c r="P475" s="0" t="n">
        <f aca="false">K475+D475</f>
        <v>6</v>
      </c>
      <c r="Q475" s="0" t="n">
        <f aca="false">M475/P475</f>
        <v>0</v>
      </c>
      <c r="R475" s="0" t="n">
        <f aca="false">F475+K475</f>
        <v>167</v>
      </c>
      <c r="S475" s="0" t="n">
        <f aca="false">N475/R475</f>
        <v>2.67437125748503</v>
      </c>
    </row>
    <row r="476" customFormat="false" ht="15" hidden="false" customHeight="false" outlineLevel="0" collapsed="false">
      <c r="A476" s="0" t="s">
        <v>1137</v>
      </c>
      <c r="B476" s="0" t="s">
        <v>1138</v>
      </c>
      <c r="C476" s="0" t="n">
        <v>20171</v>
      </c>
      <c r="D476" s="0" t="n">
        <f aca="false">VLOOKUP(A476,[1]Worksheet!$A$2:$I$1049,4,0)</f>
        <v>0</v>
      </c>
      <c r="E476" s="0" t="n">
        <f aca="false">VLOOKUP(A476,[1]Worksheet!$A$2:$I$1049,5,0)</f>
        <v>0</v>
      </c>
      <c r="F476" s="0" t="n">
        <f aca="false">VLOOKUP(A476,[1]Worksheet!$A$2:$I$1049,6,0)</f>
        <v>175</v>
      </c>
      <c r="G476" s="0" t="n">
        <f aca="false">VLOOKUP(A476,[1]Worksheet!$A$2:$I$1049,7,0)</f>
        <v>2.54</v>
      </c>
      <c r="K476" s="0" t="n">
        <v>4</v>
      </c>
      <c r="M476" s="0" t="n">
        <f aca="false">D476*E476</f>
        <v>0</v>
      </c>
      <c r="N476" s="0" t="n">
        <f aca="false">F476*G476</f>
        <v>444.5</v>
      </c>
      <c r="P476" s="0" t="n">
        <f aca="false">K476+D476</f>
        <v>4</v>
      </c>
      <c r="Q476" s="0" t="n">
        <f aca="false">M476/P476</f>
        <v>0</v>
      </c>
      <c r="R476" s="0" t="n">
        <f aca="false">F476+K476</f>
        <v>179</v>
      </c>
      <c r="S476" s="0" t="n">
        <f aca="false">N476/R476</f>
        <v>2.48324022346369</v>
      </c>
    </row>
    <row r="477" customFormat="false" ht="15" hidden="false" customHeight="false" outlineLevel="0" collapsed="false">
      <c r="A477" s="0" t="s">
        <v>1139</v>
      </c>
      <c r="B477" s="0" t="s">
        <v>1140</v>
      </c>
      <c r="C477" s="0" t="n">
        <v>20171</v>
      </c>
      <c r="D477" s="0" t="n">
        <f aca="false">VLOOKUP(A477,[1]Worksheet!$A$2:$I$1049,4,0)</f>
        <v>0</v>
      </c>
      <c r="E477" s="0" t="n">
        <f aca="false">VLOOKUP(A477,[1]Worksheet!$A$2:$I$1049,5,0)</f>
        <v>0</v>
      </c>
      <c r="F477" s="0" t="n">
        <f aca="false">VLOOKUP(A477,[1]Worksheet!$A$2:$I$1049,6,0)</f>
        <v>178</v>
      </c>
      <c r="G477" s="0" t="n">
        <f aca="false">VLOOKUP(A477,[1]Worksheet!$A$2:$I$1049,7,0)</f>
        <v>2.58</v>
      </c>
      <c r="K477" s="0" t="n">
        <v>4</v>
      </c>
      <c r="M477" s="0" t="n">
        <f aca="false">D477*E477</f>
        <v>0</v>
      </c>
      <c r="N477" s="0" t="n">
        <f aca="false">F477*G477</f>
        <v>459.24</v>
      </c>
      <c r="P477" s="0" t="n">
        <f aca="false">K477+D477</f>
        <v>4</v>
      </c>
      <c r="Q477" s="0" t="n">
        <f aca="false">M477/P477</f>
        <v>0</v>
      </c>
      <c r="R477" s="0" t="n">
        <f aca="false">F477+K477</f>
        <v>182</v>
      </c>
      <c r="S477" s="0" t="n">
        <f aca="false">N477/R477</f>
        <v>2.5232967032967</v>
      </c>
    </row>
    <row r="478" customFormat="false" ht="15" hidden="false" customHeight="false" outlineLevel="0" collapsed="false">
      <c r="A478" s="0" t="s">
        <v>832</v>
      </c>
      <c r="B478" s="0" t="s">
        <v>833</v>
      </c>
      <c r="C478" s="0" t="n">
        <v>20171</v>
      </c>
      <c r="D478" s="0" t="n">
        <f aca="false">VLOOKUP(A478,[1]Worksheet!$A$2:$I$1049,4,0)</f>
        <v>14</v>
      </c>
      <c r="E478" s="0" t="n">
        <f aca="false">VLOOKUP(A478,[1]Worksheet!$A$2:$I$1049,5,0)</f>
        <v>3.32</v>
      </c>
      <c r="F478" s="0" t="n">
        <f aca="false">VLOOKUP(A478,[1]Worksheet!$A$2:$I$1049,6,0)</f>
        <v>139</v>
      </c>
      <c r="G478" s="0" t="n">
        <f aca="false">VLOOKUP(A478,[1]Worksheet!$A$2:$I$1049,7,0)</f>
        <v>2.24</v>
      </c>
      <c r="K478" s="0" t="n">
        <v>0</v>
      </c>
      <c r="M478" s="0" t="n">
        <f aca="false">D478*E478</f>
        <v>46.48</v>
      </c>
      <c r="N478" s="0" t="n">
        <f aca="false">F478*G478</f>
        <v>311.36</v>
      </c>
      <c r="P478" s="0" t="n">
        <f aca="false">K478+D478</f>
        <v>14</v>
      </c>
      <c r="Q478" s="0" t="n">
        <f aca="false">M478/P478</f>
        <v>3.32</v>
      </c>
      <c r="R478" s="0" t="n">
        <f aca="false">F478+K478</f>
        <v>139</v>
      </c>
      <c r="S478" s="0" t="n">
        <f aca="false">N478/R478</f>
        <v>2.24</v>
      </c>
    </row>
    <row r="479" customFormat="false" ht="15" hidden="false" customHeight="false" outlineLevel="0" collapsed="false">
      <c r="A479" s="0" t="s">
        <v>866</v>
      </c>
      <c r="B479" s="0" t="s">
        <v>867</v>
      </c>
      <c r="C479" s="0" t="n">
        <v>20171</v>
      </c>
      <c r="D479" s="0" t="n">
        <f aca="false">VLOOKUP(A479,[1]Worksheet!$A$2:$I$1049,4,0)</f>
        <v>5</v>
      </c>
      <c r="E479" s="0" t="n">
        <f aca="false">VLOOKUP(A479,[1]Worksheet!$A$2:$I$1049,5,0)</f>
        <v>1.8</v>
      </c>
      <c r="F479" s="0" t="n">
        <f aca="false">VLOOKUP(A479,[1]Worksheet!$A$2:$I$1049,6,0)</f>
        <v>172</v>
      </c>
      <c r="G479" s="0" t="n">
        <f aca="false">VLOOKUP(A479,[1]Worksheet!$A$2:$I$1049,7,0)</f>
        <v>2.65</v>
      </c>
      <c r="K479" s="0" t="n">
        <v>4</v>
      </c>
      <c r="M479" s="0" t="n">
        <f aca="false">D479*E479</f>
        <v>9</v>
      </c>
      <c r="N479" s="0" t="n">
        <f aca="false">F479*G479</f>
        <v>455.8</v>
      </c>
      <c r="P479" s="0" t="n">
        <f aca="false">K479+D479</f>
        <v>9</v>
      </c>
      <c r="Q479" s="0" t="n">
        <f aca="false">M479/P479</f>
        <v>1</v>
      </c>
      <c r="R479" s="0" t="n">
        <f aca="false">F479+K479</f>
        <v>176</v>
      </c>
      <c r="S479" s="0" t="n">
        <f aca="false">N479/R479</f>
        <v>2.58977272727273</v>
      </c>
    </row>
    <row r="480" customFormat="false" ht="15" hidden="false" customHeight="false" outlineLevel="0" collapsed="false">
      <c r="A480" s="0" t="s">
        <v>198</v>
      </c>
      <c r="B480" s="0" t="s">
        <v>199</v>
      </c>
      <c r="C480" s="0" t="n">
        <v>20171</v>
      </c>
      <c r="D480" s="0" t="n">
        <f aca="false">VLOOKUP(A480,[1]Worksheet!$A$2:$I$1049,4,0)</f>
        <v>13</v>
      </c>
      <c r="E480" s="0" t="n">
        <f aca="false">VLOOKUP(A480,[1]Worksheet!$A$2:$I$1049,5,0)</f>
        <v>1.23</v>
      </c>
      <c r="F480" s="0" t="n">
        <f aca="false">VLOOKUP(A480,[1]Worksheet!$A$2:$I$1049,6,0)</f>
        <v>197</v>
      </c>
      <c r="G480" s="0" t="n">
        <f aca="false">VLOOKUP(A480,[1]Worksheet!$A$2:$I$1049,7,0)</f>
        <v>2.32</v>
      </c>
      <c r="K480" s="0" t="n">
        <v>4</v>
      </c>
      <c r="M480" s="0" t="n">
        <f aca="false">D480*E480</f>
        <v>15.99</v>
      </c>
      <c r="N480" s="0" t="n">
        <f aca="false">F480*G480</f>
        <v>457.04</v>
      </c>
      <c r="P480" s="0" t="n">
        <f aca="false">K480+D480</f>
        <v>17</v>
      </c>
      <c r="Q480" s="0" t="n">
        <f aca="false">M480/P480</f>
        <v>0.940588235294118</v>
      </c>
      <c r="R480" s="0" t="n">
        <f aca="false">F480+K480</f>
        <v>201</v>
      </c>
      <c r="S480" s="0" t="n">
        <f aca="false">N480/R480</f>
        <v>2.27383084577114</v>
      </c>
    </row>
    <row r="481" customFormat="false" ht="15" hidden="false" customHeight="false" outlineLevel="0" collapsed="false">
      <c r="A481" s="0" t="s">
        <v>1141</v>
      </c>
      <c r="B481" s="0" t="s">
        <v>1142</v>
      </c>
      <c r="C481" s="0" t="n">
        <v>20171</v>
      </c>
      <c r="D481" s="0" t="n">
        <f aca="false">VLOOKUP(A481,[1]Worksheet!$A$2:$I$1049,4,0)</f>
        <v>0</v>
      </c>
      <c r="E481" s="0" t="n">
        <f aca="false">VLOOKUP(A481,[1]Worksheet!$A$2:$I$1049,5,0)</f>
        <v>0</v>
      </c>
      <c r="F481" s="0" t="n">
        <f aca="false">VLOOKUP(A481,[1]Worksheet!$A$2:$I$1049,6,0)</f>
        <v>148</v>
      </c>
      <c r="G481" s="0" t="n">
        <f aca="false">VLOOKUP(A481,[1]Worksheet!$A$2:$I$1049,7,0)</f>
        <v>2.89</v>
      </c>
      <c r="K481" s="0" t="n">
        <v>4</v>
      </c>
      <c r="M481" s="0" t="n">
        <f aca="false">D481*E481</f>
        <v>0</v>
      </c>
      <c r="N481" s="0" t="n">
        <f aca="false">F481*G481</f>
        <v>427.72</v>
      </c>
      <c r="P481" s="0" t="n">
        <f aca="false">K481+D481</f>
        <v>4</v>
      </c>
      <c r="Q481" s="0" t="n">
        <f aca="false">M481/P481</f>
        <v>0</v>
      </c>
      <c r="R481" s="0" t="n">
        <f aca="false">F481+K481</f>
        <v>152</v>
      </c>
      <c r="S481" s="0" t="n">
        <f aca="false">N481/R481</f>
        <v>2.81394736842105</v>
      </c>
    </row>
    <row r="482" customFormat="false" ht="15" hidden="false" customHeight="false" outlineLevel="0" collapsed="false">
      <c r="A482" s="0" t="s">
        <v>551</v>
      </c>
      <c r="B482" s="0" t="s">
        <v>552</v>
      </c>
      <c r="C482" s="0" t="n">
        <v>20171</v>
      </c>
      <c r="D482" s="0" t="n">
        <f aca="false">VLOOKUP(A482,[1]Worksheet!$A$2:$I$1049,4,0)</f>
        <v>12</v>
      </c>
      <c r="E482" s="0" t="n">
        <f aca="false">VLOOKUP(A482,[1]Worksheet!$A$2:$I$1049,5,0)</f>
        <v>3.25</v>
      </c>
      <c r="F482" s="0" t="n">
        <f aca="false">VLOOKUP(A482,[1]Worksheet!$A$2:$I$1049,6,0)</f>
        <v>177</v>
      </c>
      <c r="G482" s="0" t="n">
        <f aca="false">VLOOKUP(A482,[1]Worksheet!$A$2:$I$1049,7,0)</f>
        <v>2.67</v>
      </c>
      <c r="K482" s="0" t="n">
        <v>4</v>
      </c>
      <c r="M482" s="0" t="n">
        <f aca="false">D482*E482</f>
        <v>39</v>
      </c>
      <c r="N482" s="0" t="n">
        <f aca="false">F482*G482</f>
        <v>472.59</v>
      </c>
      <c r="P482" s="0" t="n">
        <f aca="false">K482+D482</f>
        <v>16</v>
      </c>
      <c r="Q482" s="0" t="n">
        <f aca="false">M482/P482</f>
        <v>2.4375</v>
      </c>
      <c r="R482" s="0" t="n">
        <f aca="false">F482+K482</f>
        <v>181</v>
      </c>
      <c r="S482" s="0" t="n">
        <f aca="false">N482/R482</f>
        <v>2.61099447513812</v>
      </c>
    </row>
    <row r="483" customFormat="false" ht="15" hidden="false" customHeight="false" outlineLevel="0" collapsed="false">
      <c r="A483" s="0" t="s">
        <v>846</v>
      </c>
      <c r="B483" s="0" t="s">
        <v>847</v>
      </c>
      <c r="C483" s="0" t="n">
        <v>20171</v>
      </c>
      <c r="D483" s="0" t="n">
        <f aca="false">VLOOKUP(A483,[1]Worksheet!$A$2:$I$1049,4,0)</f>
        <v>8</v>
      </c>
      <c r="E483" s="0" t="n">
        <f aca="false">VLOOKUP(A483,[1]Worksheet!$A$2:$I$1049,5,0)</f>
        <v>1.31</v>
      </c>
      <c r="F483" s="0" t="n">
        <f aca="false">VLOOKUP(A483,[1]Worksheet!$A$2:$I$1049,6,0)</f>
        <v>168</v>
      </c>
      <c r="G483" s="0" t="n">
        <f aca="false">VLOOKUP(A483,[1]Worksheet!$A$2:$I$1049,7,0)</f>
        <v>2.54</v>
      </c>
      <c r="K483" s="0" t="n">
        <v>4</v>
      </c>
      <c r="M483" s="0" t="n">
        <f aca="false">D483*E483</f>
        <v>10.48</v>
      </c>
      <c r="N483" s="0" t="n">
        <f aca="false">F483*G483</f>
        <v>426.72</v>
      </c>
      <c r="P483" s="0" t="n">
        <f aca="false">K483+D483</f>
        <v>12</v>
      </c>
      <c r="Q483" s="0" t="n">
        <f aca="false">M483/P483</f>
        <v>0.873333333333333</v>
      </c>
      <c r="R483" s="0" t="n">
        <f aca="false">F483+K483</f>
        <v>172</v>
      </c>
      <c r="S483" s="0" t="n">
        <f aca="false">N483/R483</f>
        <v>2.48093023255814</v>
      </c>
    </row>
    <row r="484" customFormat="false" ht="15" hidden="false" customHeight="false" outlineLevel="0" collapsed="false">
      <c r="A484" s="0" t="s">
        <v>200</v>
      </c>
      <c r="B484" s="0" t="s">
        <v>201</v>
      </c>
      <c r="C484" s="0" t="n">
        <v>20171</v>
      </c>
      <c r="D484" s="0" t="n">
        <f aca="false">VLOOKUP(A484,[1]Worksheet!$A$2:$I$1049,4,0)</f>
        <v>14</v>
      </c>
      <c r="E484" s="0" t="n">
        <f aca="false">VLOOKUP(A484,[1]Worksheet!$A$2:$I$1049,5,0)</f>
        <v>0.43</v>
      </c>
      <c r="F484" s="0" t="n">
        <f aca="false">VLOOKUP(A484,[1]Worksheet!$A$2:$I$1049,6,0)</f>
        <v>133</v>
      </c>
      <c r="G484" s="0" t="n">
        <f aca="false">VLOOKUP(A484,[1]Worksheet!$A$2:$I$1049,7,0)</f>
        <v>1.54</v>
      </c>
      <c r="K484" s="0" t="n">
        <v>0</v>
      </c>
      <c r="M484" s="0" t="n">
        <f aca="false">D484*E484</f>
        <v>6.02</v>
      </c>
      <c r="N484" s="0" t="n">
        <f aca="false">F484*G484</f>
        <v>204.82</v>
      </c>
      <c r="P484" s="0" t="n">
        <f aca="false">K484+D484</f>
        <v>14</v>
      </c>
      <c r="Q484" s="0" t="n">
        <f aca="false">M484/P484</f>
        <v>0.43</v>
      </c>
      <c r="R484" s="0" t="n">
        <f aca="false">F484+K484</f>
        <v>133</v>
      </c>
      <c r="S484" s="0" t="n">
        <f aca="false">N484/R484</f>
        <v>1.54</v>
      </c>
    </row>
    <row r="485" customFormat="false" ht="15" hidden="false" customHeight="false" outlineLevel="0" collapsed="false">
      <c r="A485" s="0" t="s">
        <v>882</v>
      </c>
      <c r="B485" s="0" t="s">
        <v>883</v>
      </c>
      <c r="C485" s="0" t="n">
        <v>20171</v>
      </c>
      <c r="D485" s="0" t="n">
        <f aca="false">VLOOKUP(A485,[1]Worksheet!$A$2:$I$1049,4,0)</f>
        <v>7</v>
      </c>
      <c r="E485" s="0" t="n">
        <f aca="false">VLOOKUP(A485,[1]Worksheet!$A$2:$I$1049,5,0)</f>
        <v>0</v>
      </c>
      <c r="F485" s="0" t="n">
        <f aca="false">VLOOKUP(A485,[1]Worksheet!$A$2:$I$1049,6,0)</f>
        <v>181</v>
      </c>
      <c r="G485" s="0" t="n">
        <f aca="false">VLOOKUP(A485,[1]Worksheet!$A$2:$I$1049,7,0)</f>
        <v>2.52</v>
      </c>
      <c r="K485" s="0" t="n">
        <v>4</v>
      </c>
      <c r="M485" s="0" t="n">
        <f aca="false">D485*E485</f>
        <v>0</v>
      </c>
      <c r="N485" s="0" t="n">
        <f aca="false">F485*G485</f>
        <v>456.12</v>
      </c>
      <c r="P485" s="0" t="n">
        <f aca="false">K485+D485</f>
        <v>11</v>
      </c>
      <c r="Q485" s="0" t="n">
        <f aca="false">M485/P485</f>
        <v>0</v>
      </c>
      <c r="R485" s="0" t="n">
        <f aca="false">F485+K485</f>
        <v>185</v>
      </c>
      <c r="S485" s="0" t="n">
        <f aca="false">N485/R485</f>
        <v>2.46551351351351</v>
      </c>
    </row>
    <row r="486" customFormat="false" ht="15" hidden="false" customHeight="false" outlineLevel="0" collapsed="false">
      <c r="A486" s="0" t="s">
        <v>854</v>
      </c>
      <c r="B486" s="0" t="s">
        <v>855</v>
      </c>
      <c r="C486" s="0" t="n">
        <v>20171</v>
      </c>
      <c r="D486" s="0" t="n">
        <f aca="false">VLOOKUP(A486,[1]Worksheet!$A$2:$I$1049,4,0)</f>
        <v>10</v>
      </c>
      <c r="E486" s="0" t="n">
        <f aca="false">VLOOKUP(A486,[1]Worksheet!$A$2:$I$1049,5,0)</f>
        <v>2.4</v>
      </c>
      <c r="F486" s="0" t="n">
        <f aca="false">VLOOKUP(A486,[1]Worksheet!$A$2:$I$1049,6,0)</f>
        <v>156</v>
      </c>
      <c r="G486" s="0" t="n">
        <f aca="false">VLOOKUP(A486,[1]Worksheet!$A$2:$I$1049,7,0)</f>
        <v>2.18</v>
      </c>
      <c r="K486" s="0" t="n">
        <v>0</v>
      </c>
      <c r="M486" s="0" t="n">
        <f aca="false">D486*E486</f>
        <v>24</v>
      </c>
      <c r="N486" s="0" t="n">
        <f aca="false">F486*G486</f>
        <v>340.08</v>
      </c>
      <c r="P486" s="0" t="n">
        <f aca="false">K486+D486</f>
        <v>10</v>
      </c>
      <c r="Q486" s="0" t="n">
        <f aca="false">M486/P486</f>
        <v>2.4</v>
      </c>
      <c r="R486" s="0" t="n">
        <f aca="false">F486+K486</f>
        <v>156</v>
      </c>
      <c r="S486" s="0" t="n">
        <f aca="false">N486/R486</f>
        <v>2.18</v>
      </c>
    </row>
  </sheetData>
  <autoFilter ref="A1:I349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0" activeCellId="0" sqref="1:1048576"/>
    </sheetView>
  </sheetViews>
  <sheetFormatPr defaultRowHeight="15" zeroHeight="false" outlineLevelRow="0" outlineLevelCol="0"/>
  <cols>
    <col collapsed="false" customWidth="true" hidden="false" outlineLevel="0" max="1" min="1" style="0" width="42.71"/>
    <col collapsed="false" customWidth="true" hidden="false" outlineLevel="0" max="2" min="2" style="0" width="7.41"/>
    <col collapsed="false" customWidth="true" hidden="false" outlineLevel="0" max="1025" min="3" style="0" width="8.57"/>
  </cols>
  <sheetData>
    <row r="1" customFormat="false" ht="15" hidden="false" customHeight="false" outlineLevel="0" collapsed="false">
      <c r="A1" s="0" t="s">
        <v>13</v>
      </c>
      <c r="B1" s="0" t="n">
        <f aca="false">COUNTIF('Rekap Kls MK'!$B$2:$B$96,'rekap MK'!A1)</f>
        <v>2</v>
      </c>
    </row>
    <row r="2" customFormat="false" ht="15" hidden="false" customHeight="false" outlineLevel="0" collapsed="false">
      <c r="A2" s="0" t="s">
        <v>207</v>
      </c>
      <c r="B2" s="0" t="n">
        <f aca="false">COUNTIF('Rekap Kls MK'!$B$2:$B$96,'rekap MK'!A2)</f>
        <v>1</v>
      </c>
    </row>
    <row r="3" customFormat="false" ht="15" hidden="false" customHeight="false" outlineLevel="0" collapsed="false">
      <c r="A3" s="0" t="s">
        <v>262</v>
      </c>
      <c r="B3" s="0" t="n">
        <f aca="false">COUNTIF('Rekap Kls MK'!$B$2:$B$96,'rekap MK'!A3)</f>
        <v>1</v>
      </c>
    </row>
    <row r="4" customFormat="false" ht="15" hidden="false" customHeight="false" outlineLevel="0" collapsed="false">
      <c r="A4" s="0" t="s">
        <v>302</v>
      </c>
      <c r="B4" s="0" t="n">
        <f aca="false">COUNTIF('Rekap Kls MK'!$B$2:$B$96,'rekap MK'!A4)</f>
        <v>1</v>
      </c>
    </row>
    <row r="5" customFormat="false" ht="15" hidden="false" customHeight="false" outlineLevel="0" collapsed="false">
      <c r="A5" s="0" t="s">
        <v>511</v>
      </c>
      <c r="B5" s="0" t="n">
        <f aca="false">COUNTIF('Rekap Kls MK'!$B$2:$B$96,'rekap MK'!A5)</f>
        <v>1</v>
      </c>
    </row>
    <row r="6" customFormat="false" ht="15" hidden="false" customHeight="false" outlineLevel="0" collapsed="false">
      <c r="A6" s="0" t="s">
        <v>518</v>
      </c>
      <c r="B6" s="0" t="n">
        <f aca="false">COUNTIF('Rekap Kls MK'!$B$2:$B$96,'rekap MK'!A6)</f>
        <v>1</v>
      </c>
    </row>
    <row r="7" customFormat="false" ht="15" hidden="false" customHeight="false" outlineLevel="0" collapsed="false">
      <c r="A7" s="0" t="s">
        <v>554</v>
      </c>
      <c r="B7" s="0" t="n">
        <f aca="false">COUNTIF('Rekap Kls MK'!$B$2:$B$96,'rekap MK'!A7)</f>
        <v>1</v>
      </c>
    </row>
    <row r="8" customFormat="false" ht="15" hidden="false" customHeight="false" outlineLevel="0" collapsed="false">
      <c r="A8" s="0" t="s">
        <v>558</v>
      </c>
      <c r="B8" s="0" t="n">
        <f aca="false">COUNTIF('Rekap Kls MK'!$B$2:$B$96,'rekap MK'!A8)</f>
        <v>3</v>
      </c>
    </row>
    <row r="9" customFormat="false" ht="15" hidden="false" customHeight="false" outlineLevel="0" collapsed="false">
      <c r="A9" s="0" t="s">
        <v>600</v>
      </c>
      <c r="B9" s="0" t="n">
        <f aca="false">COUNTIF('Rekap Kls MK'!$B$2:$B$96,'rekap MK'!A9)</f>
        <v>3</v>
      </c>
    </row>
    <row r="10" customFormat="false" ht="15" hidden="false" customHeight="false" outlineLevel="0" collapsed="false">
      <c r="A10" s="0" t="s">
        <v>618</v>
      </c>
      <c r="B10" s="0" t="n">
        <f aca="false">COUNTIF('Rekap Kls MK'!$B$2:$B$96,'rekap MK'!A10)</f>
        <v>3</v>
      </c>
    </row>
    <row r="11" customFormat="false" ht="15" hidden="false" customHeight="false" outlineLevel="0" collapsed="false">
      <c r="A11" s="0" t="s">
        <v>642</v>
      </c>
      <c r="B11" s="0" t="n">
        <f aca="false">COUNTIF('Rekap Kls MK'!$B$2:$B$96,'rekap MK'!A11)</f>
        <v>3</v>
      </c>
    </row>
    <row r="12" customFormat="false" ht="15" hidden="false" customHeight="false" outlineLevel="0" collapsed="false">
      <c r="A12" s="0" t="s">
        <v>678</v>
      </c>
      <c r="B12" s="0" t="n">
        <f aca="false">COUNTIF('Rekap Kls MK'!$B$2:$B$96,'rekap MK'!A12)</f>
        <v>1</v>
      </c>
    </row>
    <row r="13" customFormat="false" ht="15" hidden="false" customHeight="false" outlineLevel="0" collapsed="false">
      <c r="A13" s="0" t="s">
        <v>686</v>
      </c>
      <c r="B13" s="0" t="n">
        <f aca="false">COUNTIF('Rekap Kls MK'!$B$2:$B$96,'rekap MK'!A13)</f>
        <v>1</v>
      </c>
    </row>
    <row r="14" customFormat="false" ht="15" hidden="false" customHeight="false" outlineLevel="0" collapsed="false">
      <c r="A14" s="0" t="s">
        <v>728</v>
      </c>
      <c r="B14" s="0" t="n">
        <f aca="false">COUNTIF('Rekap Kls MK'!$B$2:$B$96,'rekap MK'!A14)</f>
        <v>1</v>
      </c>
    </row>
    <row r="15" customFormat="false" ht="15" hidden="false" customHeight="false" outlineLevel="0" collapsed="false">
      <c r="A15" s="0" t="s">
        <v>744</v>
      </c>
      <c r="B15" s="0" t="n">
        <f aca="false">COUNTIF('Rekap Kls MK'!$B$2:$B$96,'rekap MK'!A15)</f>
        <v>1</v>
      </c>
    </row>
    <row r="16" customFormat="false" ht="15" hidden="false" customHeight="false" outlineLevel="0" collapsed="false">
      <c r="A16" s="0" t="s">
        <v>746</v>
      </c>
      <c r="B16" s="0" t="n">
        <f aca="false">COUNTIF('Rekap Kls MK'!$B$2:$B$96,'rekap MK'!A16)</f>
        <v>1</v>
      </c>
    </row>
    <row r="17" customFormat="false" ht="15" hidden="false" customHeight="false" outlineLevel="0" collapsed="false">
      <c r="A17" s="0" t="s">
        <v>754</v>
      </c>
      <c r="B17" s="0" t="n">
        <f aca="false">COUNTIF('Rekap Kls MK'!$B$2:$B$96,'rekap MK'!A17)</f>
        <v>1</v>
      </c>
    </row>
    <row r="18" customFormat="false" ht="15" hidden="false" customHeight="false" outlineLevel="0" collapsed="false">
      <c r="A18" s="0" t="s">
        <v>758</v>
      </c>
      <c r="B18" s="0" t="n">
        <f aca="false">COUNTIF('Rekap Kls MK'!$B$2:$B$96,'rekap MK'!A18)</f>
        <v>1</v>
      </c>
    </row>
    <row r="19" customFormat="false" ht="15" hidden="false" customHeight="false" outlineLevel="0" collapsed="false">
      <c r="A19" s="0" t="s">
        <v>764</v>
      </c>
      <c r="B19" s="0" t="n">
        <f aca="false">COUNTIF('Rekap Kls MK'!$B$2:$B$96,'rekap MK'!A19)</f>
        <v>1</v>
      </c>
    </row>
    <row r="20" customFormat="false" ht="15" hidden="false" customHeight="false" outlineLevel="0" collapsed="false">
      <c r="A20" s="0" t="s">
        <v>768</v>
      </c>
      <c r="B20" s="0" t="n">
        <f aca="false">COUNTIF('Rekap Kls MK'!$B$2:$B$96,'rekap MK'!A20)</f>
        <v>1</v>
      </c>
    </row>
    <row r="21" customFormat="false" ht="15" hidden="false" customHeight="false" outlineLevel="0" collapsed="false">
      <c r="A21" s="0" t="s">
        <v>776</v>
      </c>
      <c r="B21" s="0" t="n">
        <f aca="false">COUNTIF('Rekap Kls MK'!$B$2:$B$96,'rekap MK'!A21)</f>
        <v>1</v>
      </c>
    </row>
    <row r="22" customFormat="false" ht="15" hidden="false" customHeight="false" outlineLevel="0" collapsed="false">
      <c r="A22" s="0" t="s">
        <v>780</v>
      </c>
      <c r="B22" s="0" t="n">
        <f aca="false">COUNTIF('Rekap Kls MK'!$B$2:$B$96,'rekap MK'!A22)</f>
        <v>1</v>
      </c>
    </row>
    <row r="23" customFormat="false" ht="15" hidden="false" customHeight="false" outlineLevel="0" collapsed="false">
      <c r="A23" s="0" t="s">
        <v>782</v>
      </c>
      <c r="B23" s="0" t="n">
        <f aca="false">COUNTIF('Rekap Kls MK'!$B$2:$B$96,'rekap MK'!A23)</f>
        <v>1</v>
      </c>
    </row>
    <row r="24" customFormat="false" ht="15" hidden="false" customHeight="false" outlineLevel="0" collapsed="false">
      <c r="A24" s="0" t="s">
        <v>835</v>
      </c>
      <c r="B24" s="0" t="n">
        <f aca="false">COUNTIF('Rekap Kls MK'!$B$2:$B$96,'rekap MK'!A24)</f>
        <v>1</v>
      </c>
    </row>
    <row r="25" customFormat="false" ht="15" hidden="false" customHeight="false" outlineLevel="0" collapsed="false">
      <c r="A25" s="0" t="s">
        <v>837</v>
      </c>
      <c r="B25" s="0" t="n">
        <f aca="false">COUNTIF('Rekap Kls MK'!$B$2:$B$96,'rekap MK'!A25)</f>
        <v>1</v>
      </c>
    </row>
    <row r="26" customFormat="false" ht="15" hidden="false" customHeight="false" outlineLevel="0" collapsed="false">
      <c r="A26" s="0" t="s">
        <v>839</v>
      </c>
      <c r="B26" s="0" t="n">
        <f aca="false">COUNTIF('Rekap Kls MK'!$B$2:$B$96,'rekap MK'!A26)</f>
        <v>1</v>
      </c>
    </row>
    <row r="27" customFormat="false" ht="15" hidden="false" customHeight="false" outlineLevel="0" collapsed="false">
      <c r="A27" s="0" t="s">
        <v>841</v>
      </c>
      <c r="B27" s="0" t="n">
        <f aca="false">COUNTIF('Rekap Kls MK'!$B$2:$B$96,'rekap MK'!A27)</f>
        <v>1</v>
      </c>
    </row>
    <row r="28" customFormat="false" ht="15" hidden="false" customHeight="false" outlineLevel="0" collapsed="false">
      <c r="A28" s="0" t="s">
        <v>843</v>
      </c>
      <c r="B28" s="0" t="n">
        <f aca="false">COUNTIF('Rekap Kls MK'!$B$2:$B$96,'rekap MK'!A28)</f>
        <v>3</v>
      </c>
    </row>
    <row r="29" customFormat="false" ht="15" hidden="false" customHeight="false" outlineLevel="0" collapsed="false">
      <c r="A29" s="0" t="s">
        <v>851</v>
      </c>
      <c r="B29" s="0" t="n">
        <f aca="false">COUNTIF('Rekap Kls MK'!$B$2:$B$96,'rekap MK'!A29)</f>
        <v>1</v>
      </c>
    </row>
    <row r="30" customFormat="false" ht="15" hidden="false" customHeight="false" outlineLevel="0" collapsed="false">
      <c r="A30" s="0" t="s">
        <v>853</v>
      </c>
      <c r="B30" s="0" t="n">
        <f aca="false">COUNTIF('Rekap Kls MK'!$B$2:$B$96,'rekap MK'!A30)</f>
        <v>1</v>
      </c>
    </row>
    <row r="31" customFormat="false" ht="15" hidden="false" customHeight="false" outlineLevel="0" collapsed="false">
      <c r="A31" s="0" t="s">
        <v>857</v>
      </c>
      <c r="B31" s="0" t="n">
        <f aca="false">COUNTIF('Rekap Kls MK'!$B$2:$B$96,'rekap MK'!A31)</f>
        <v>1</v>
      </c>
    </row>
    <row r="32" customFormat="false" ht="15" hidden="false" customHeight="false" outlineLevel="0" collapsed="false">
      <c r="A32" s="0" t="s">
        <v>859</v>
      </c>
      <c r="B32" s="0" t="n">
        <f aca="false">COUNTIF('Rekap Kls MK'!$B$2:$B$96,'rekap MK'!A32)</f>
        <v>1</v>
      </c>
    </row>
    <row r="33" customFormat="false" ht="15" hidden="false" customHeight="false" outlineLevel="0" collapsed="false">
      <c r="A33" s="0" t="s">
        <v>861</v>
      </c>
      <c r="B33" s="0" t="n">
        <f aca="false">COUNTIF('Rekap Kls MK'!$B$2:$B$96,'rekap MK'!A33)</f>
        <v>1</v>
      </c>
    </row>
    <row r="34" customFormat="false" ht="15" hidden="false" customHeight="false" outlineLevel="0" collapsed="false">
      <c r="A34" s="0" t="s">
        <v>865</v>
      </c>
      <c r="B34" s="0" t="n">
        <f aca="false">COUNTIF('Rekap Kls MK'!$B$2:$B$96,'rekap MK'!A34)</f>
        <v>1</v>
      </c>
    </row>
    <row r="35" customFormat="false" ht="15" hidden="false" customHeight="false" outlineLevel="0" collapsed="false">
      <c r="A35" s="0" t="s">
        <v>869</v>
      </c>
      <c r="B35" s="0" t="n">
        <f aca="false">COUNTIF('Rekap Kls MK'!$B$2:$B$96,'rekap MK'!A35)</f>
        <v>1</v>
      </c>
    </row>
    <row r="36" customFormat="false" ht="15" hidden="false" customHeight="false" outlineLevel="0" collapsed="false">
      <c r="A36" s="0" t="s">
        <v>871</v>
      </c>
      <c r="B36" s="0" t="n">
        <f aca="false">COUNTIF('Rekap Kls MK'!$B$2:$B$96,'rekap MK'!A36)</f>
        <v>3</v>
      </c>
    </row>
    <row r="37" customFormat="false" ht="15" hidden="false" customHeight="false" outlineLevel="0" collapsed="false">
      <c r="A37" s="0" t="s">
        <v>873</v>
      </c>
      <c r="B37" s="0" t="n">
        <f aca="false">COUNTIF('Rekap Kls MK'!$B$2:$B$96,'rekap MK'!A37)</f>
        <v>1</v>
      </c>
    </row>
    <row r="38" customFormat="false" ht="15" hidden="false" customHeight="false" outlineLevel="0" collapsed="false">
      <c r="A38" s="0" t="s">
        <v>875</v>
      </c>
      <c r="B38" s="0" t="n">
        <f aca="false">COUNTIF('Rekap Kls MK'!$B$2:$B$96,'rekap MK'!A38)</f>
        <v>1</v>
      </c>
    </row>
    <row r="39" customFormat="false" ht="15" hidden="false" customHeight="false" outlineLevel="0" collapsed="false">
      <c r="A39" s="0" t="s">
        <v>877</v>
      </c>
      <c r="B39" s="0" t="n">
        <f aca="false">COUNTIF('Rekap Kls MK'!$B$2:$B$96,'rekap MK'!A39)</f>
        <v>1</v>
      </c>
    </row>
    <row r="40" customFormat="false" ht="15" hidden="false" customHeight="false" outlineLevel="0" collapsed="false">
      <c r="A40" s="0" t="s">
        <v>881</v>
      </c>
      <c r="B40" s="0" t="n">
        <f aca="false">COUNTIF('Rekap Kls MK'!$B$2:$B$96,'rekap MK'!A40)</f>
        <v>4</v>
      </c>
    </row>
    <row r="41" customFormat="false" ht="15" hidden="false" customHeight="false" outlineLevel="0" collapsed="false">
      <c r="A41" s="0" t="s">
        <v>885</v>
      </c>
      <c r="B41" s="0" t="n">
        <f aca="false">COUNTIF('Rekap Kls MK'!$B$2:$B$96,'rekap MK'!A41)</f>
        <v>1</v>
      </c>
    </row>
    <row r="42" customFormat="false" ht="15" hidden="false" customHeight="false" outlineLevel="0" collapsed="false">
      <c r="A42" s="0" t="s">
        <v>889</v>
      </c>
      <c r="B42" s="0" t="n">
        <f aca="false">COUNTIF('Rekap Kls MK'!$B$2:$B$96,'rekap MK'!A42)</f>
        <v>1</v>
      </c>
    </row>
    <row r="43" customFormat="false" ht="15" hidden="false" customHeight="false" outlineLevel="0" collapsed="false">
      <c r="A43" s="0" t="s">
        <v>891</v>
      </c>
      <c r="B43" s="0" t="n">
        <f aca="false">COUNTIF('Rekap Kls MK'!$B$2:$B$96,'rekap MK'!A43)</f>
        <v>1</v>
      </c>
    </row>
    <row r="44" customFormat="false" ht="15" hidden="false" customHeight="false" outlineLevel="0" collapsed="false">
      <c r="A44" s="0" t="s">
        <v>893</v>
      </c>
      <c r="B44" s="0" t="n">
        <f aca="false">COUNTIF('Rekap Kls MK'!$B$2:$B$96,'rekap MK'!A44)</f>
        <v>1</v>
      </c>
    </row>
    <row r="45" customFormat="false" ht="15" hidden="false" customHeight="false" outlineLevel="0" collapsed="false">
      <c r="A45" s="0" t="s">
        <v>895</v>
      </c>
      <c r="B45" s="0" t="n">
        <f aca="false">COUNTIF('Rekap Kls MK'!$B$2:$B$96,'rekap MK'!A45)</f>
        <v>1</v>
      </c>
    </row>
    <row r="46" customFormat="false" ht="15" hidden="false" customHeight="false" outlineLevel="0" collapsed="false">
      <c r="A46" s="0" t="s">
        <v>897</v>
      </c>
      <c r="B46" s="0" t="n">
        <f aca="false">COUNTIF('Rekap Kls MK'!$B$2:$B$96,'rekap MK'!A46)</f>
        <v>1</v>
      </c>
    </row>
    <row r="47" customFormat="false" ht="15" hidden="false" customHeight="false" outlineLevel="0" collapsed="false">
      <c r="A47" s="0" t="s">
        <v>899</v>
      </c>
      <c r="B47" s="0" t="n">
        <f aca="false">COUNTIF('Rekap Kls MK'!$B$2:$B$96,'rekap MK'!A47)</f>
        <v>1</v>
      </c>
    </row>
    <row r="48" customFormat="false" ht="15" hidden="false" customHeight="false" outlineLevel="0" collapsed="false">
      <c r="A48" s="0" t="s">
        <v>903</v>
      </c>
      <c r="B48" s="0" t="n">
        <f aca="false">COUNTIF('Rekap Kls MK'!$B$2:$B$96,'rekap MK'!A48)</f>
        <v>1</v>
      </c>
    </row>
    <row r="49" customFormat="false" ht="15" hidden="false" customHeight="false" outlineLevel="0" collapsed="false">
      <c r="A49" s="0" t="s">
        <v>907</v>
      </c>
      <c r="B49" s="0" t="n">
        <f aca="false">COUNTIF('Rekap Kls MK'!$B$2:$B$96,'rekap MK'!A49)</f>
        <v>1</v>
      </c>
    </row>
    <row r="50" customFormat="false" ht="15" hidden="false" customHeight="false" outlineLevel="0" collapsed="false">
      <c r="A50" s="0" t="s">
        <v>909</v>
      </c>
      <c r="B50" s="0" t="n">
        <f aca="false">COUNTIF('Rekap Kls MK'!$B$2:$B$96,'rekap MK'!A50)</f>
        <v>1</v>
      </c>
    </row>
    <row r="51" customFormat="false" ht="15" hidden="false" customHeight="false" outlineLevel="0" collapsed="false">
      <c r="A51" s="0" t="s">
        <v>911</v>
      </c>
      <c r="B51" s="0" t="n">
        <f aca="false">COUNTIF('Rekap Kls MK'!$B$2:$B$96,'rekap MK'!A51)</f>
        <v>1</v>
      </c>
    </row>
    <row r="52" customFormat="false" ht="15" hidden="false" customHeight="false" outlineLevel="0" collapsed="false">
      <c r="A52" s="0" t="s">
        <v>917</v>
      </c>
      <c r="B52" s="0" t="n">
        <f aca="false">COUNTIF('Rekap Kls MK'!$B$2:$B$96,'rekap MK'!A52)</f>
        <v>1</v>
      </c>
    </row>
    <row r="53" customFormat="false" ht="15" hidden="false" customHeight="false" outlineLevel="0" collapsed="false">
      <c r="A53" s="0" t="s">
        <v>919</v>
      </c>
      <c r="B53" s="0" t="n">
        <f aca="false">COUNTIF('Rekap Kls MK'!$B$2:$B$96,'rekap MK'!A53)</f>
        <v>1</v>
      </c>
    </row>
    <row r="54" customFormat="false" ht="15" hidden="false" customHeight="false" outlineLevel="0" collapsed="false">
      <c r="A54" s="0" t="s">
        <v>921</v>
      </c>
      <c r="B54" s="0" t="n">
        <f aca="false">COUNTIF('Rekap Kls MK'!$B$2:$B$96,'rekap MK'!A54)</f>
        <v>1</v>
      </c>
    </row>
    <row r="55" customFormat="false" ht="15" hidden="false" customHeight="false" outlineLevel="0" collapsed="false">
      <c r="A55" s="0" t="s">
        <v>923</v>
      </c>
      <c r="B55" s="0" t="n">
        <f aca="false">COUNTIF('Rekap Kls MK'!$B$2:$B$96,'rekap MK'!A55)</f>
        <v>1</v>
      </c>
    </row>
    <row r="56" customFormat="false" ht="15" hidden="false" customHeight="false" outlineLevel="0" collapsed="false">
      <c r="A56" s="0" t="s">
        <v>925</v>
      </c>
      <c r="B56" s="0" t="n">
        <f aca="false">COUNTIF('Rekap Kls MK'!$B$2:$B$96,'rekap MK'!A56)</f>
        <v>2</v>
      </c>
    </row>
    <row r="57" customFormat="false" ht="15" hidden="false" customHeight="false" outlineLevel="0" collapsed="false">
      <c r="A57" s="0" t="s">
        <v>927</v>
      </c>
      <c r="B57" s="0" t="n">
        <f aca="false">COUNTIF('Rekap Kls MK'!$B$2:$B$96,'rekap MK'!A57)</f>
        <v>1</v>
      </c>
    </row>
    <row r="58" customFormat="false" ht="15" hidden="false" customHeight="false" outlineLevel="0" collapsed="false">
      <c r="A58" s="0" t="s">
        <v>929</v>
      </c>
      <c r="B58" s="0" t="n">
        <f aca="false">COUNTIF('Rekap Kls MK'!$B$2:$B$96,'rekap MK'!A58)</f>
        <v>1</v>
      </c>
    </row>
    <row r="59" customFormat="false" ht="15" hidden="false" customHeight="false" outlineLevel="0" collapsed="false">
      <c r="A59" s="0" t="s">
        <v>931</v>
      </c>
      <c r="B59" s="0" t="n">
        <f aca="false">COUNTIF('Rekap Kls MK'!$B$2:$B$96,'rekap MK'!A59)</f>
        <v>1</v>
      </c>
    </row>
    <row r="60" customFormat="false" ht="15" hidden="false" customHeight="false" outlineLevel="0" collapsed="false">
      <c r="A60" s="0" t="s">
        <v>933</v>
      </c>
      <c r="B60" s="0" t="n">
        <f aca="false">COUNTIF('Rekap Kls MK'!$B$2:$B$96,'rekap MK'!A60)</f>
        <v>3</v>
      </c>
    </row>
    <row r="61" customFormat="false" ht="15" hidden="false" customHeight="false" outlineLevel="0" collapsed="false">
      <c r="A61" s="0" t="s">
        <v>939</v>
      </c>
      <c r="B61" s="0" t="n">
        <f aca="false">COUNTIF('Rekap Kls MK'!$B$2:$B$96,'rekap MK'!A61)</f>
        <v>1</v>
      </c>
    </row>
    <row r="62" customFormat="false" ht="15" hidden="false" customHeight="false" outlineLevel="0" collapsed="false">
      <c r="A62" s="0" t="s">
        <v>941</v>
      </c>
      <c r="B62" s="0" t="n">
        <f aca="false">COUNTIF('Rekap Kls MK'!$B$2:$B$96,'rekap MK'!A62)</f>
        <v>1</v>
      </c>
    </row>
    <row r="63" customFormat="false" ht="15" hidden="false" customHeight="false" outlineLevel="0" collapsed="false">
      <c r="A63" s="0" t="s">
        <v>943</v>
      </c>
      <c r="B63" s="0" t="n">
        <f aca="false">COUNTIF('Rekap Kls MK'!$B$2:$B$96,'rekap MK'!A63)</f>
        <v>1</v>
      </c>
    </row>
    <row r="64" customFormat="false" ht="15" hidden="false" customHeight="false" outlineLevel="0" collapsed="false">
      <c r="A64" s="0" t="s">
        <v>945</v>
      </c>
      <c r="B64" s="0" t="n">
        <f aca="false">COUNTIF('Rekap Kls MK'!$B$2:$B$96,'rekap MK'!A64)</f>
        <v>2</v>
      </c>
    </row>
    <row r="65" customFormat="false" ht="15" hidden="false" customHeight="false" outlineLevel="0" collapsed="false">
      <c r="A65" s="0" t="s">
        <v>947</v>
      </c>
      <c r="B65" s="0" t="n">
        <f aca="false">COUNTIF('Rekap Kls MK'!$B$2:$B$96,'rekap MK'!A65)</f>
        <v>1</v>
      </c>
    </row>
    <row r="66" customFormat="false" ht="15" hidden="false" customHeight="false" outlineLevel="0" collapsed="false">
      <c r="A66" s="0" t="s">
        <v>949</v>
      </c>
      <c r="B66" s="0" t="n">
        <f aca="false">COUNTIF('Rekap Kls MK'!$B$2:$B$96,'rekap MK'!A66)</f>
        <v>1</v>
      </c>
    </row>
    <row r="67" customFormat="false" ht="15" hidden="false" customHeight="false" outlineLevel="0" collapsed="false">
      <c r="A67" s="0" t="s">
        <v>953</v>
      </c>
      <c r="B67" s="0" t="n">
        <f aca="false">COUNTIF('Rekap Kls MK'!$B$2:$B$96,'rekap MK'!A67)</f>
        <v>1</v>
      </c>
    </row>
    <row r="68" customFormat="false" ht="15" hidden="false" customHeight="false" outlineLevel="0" collapsed="false">
      <c r="A68" s="0" t="s">
        <v>955</v>
      </c>
      <c r="B68" s="0" t="n">
        <f aca="false">COUNTIF('Rekap Kls MK'!$B$2:$B$96,'rekap MK'!A68)</f>
        <v>1</v>
      </c>
    </row>
    <row r="69" customFormat="false" ht="15" hidden="false" customHeight="false" outlineLevel="0" collapsed="false">
      <c r="A69" s="0" t="s">
        <v>957</v>
      </c>
      <c r="B69" s="0" t="n">
        <f aca="false">COUNTIF('Rekap Kls MK'!$B$2:$B$96,'rekap MK'!A69)</f>
        <v>1</v>
      </c>
    </row>
    <row r="70" customFormat="false" ht="15" hidden="false" customHeight="false" outlineLevel="0" collapsed="false">
      <c r="A70" s="0" t="s">
        <v>959</v>
      </c>
      <c r="B70" s="0" t="n">
        <f aca="false">COUNTIF('Rekap Kls MK'!$B$2:$B$96,'rekap MK'!A70)</f>
        <v>1</v>
      </c>
    </row>
    <row r="71" customFormat="false" ht="15" hidden="false" customHeight="false" outlineLevel="0" collapsed="false">
      <c r="A71" s="0" t="s">
        <v>961</v>
      </c>
      <c r="B71" s="0" t="n">
        <f aca="false">COUNTIF('Rekap Kls MK'!$B$2:$B$96,'rekap MK'!A71)</f>
        <v>1</v>
      </c>
    </row>
    <row r="72" customFormat="false" ht="15" hidden="false" customHeight="false" outlineLevel="0" collapsed="false">
      <c r="A72" s="0" t="s">
        <v>963</v>
      </c>
      <c r="B72" s="0" t="n">
        <f aca="false">COUNTIF('Rekap Kls MK'!$B$2:$B$96,'rekap MK'!A72)</f>
        <v>1</v>
      </c>
    </row>
    <row r="73" customFormat="false" ht="15" hidden="false" customHeight="false" outlineLevel="0" collapsed="false">
      <c r="A73" s="0" t="s">
        <v>965</v>
      </c>
      <c r="B73" s="0" t="n">
        <f aca="false">COUNTIF('Rekap Kls MK'!$B$2:$B$96,'rekap MK'!A73)</f>
        <v>1</v>
      </c>
    </row>
    <row r="74" customFormat="false" ht="15" hidden="false" customHeight="false" outlineLevel="0" collapsed="false">
      <c r="A74" s="0" t="s">
        <v>967</v>
      </c>
      <c r="B74" s="0" t="n">
        <f aca="false">COUNTIF('Rekap Kls MK'!$B$2:$B$96,'rekap MK'!A74)</f>
        <v>1</v>
      </c>
    </row>
    <row r="75" customFormat="false" ht="15" hidden="false" customHeight="false" outlineLevel="0" collapsed="false">
      <c r="A75" s="0" t="s">
        <v>971</v>
      </c>
      <c r="B75" s="0" t="n">
        <f aca="false">COUNTIF('Rekap Kls MK'!$B$2:$B$96,'rekap MK'!A75)</f>
        <v>1</v>
      </c>
    </row>
    <row r="76" customFormat="false" ht="15" hidden="false" customHeight="false" outlineLevel="0" collapsed="false">
      <c r="B76" s="0" t="n">
        <f aca="false">SUM(B1:B75)</f>
        <v>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F2" activeCellId="0" sqref="1:1048576"/>
    </sheetView>
  </sheetViews>
  <sheetFormatPr defaultRowHeight="15" zeroHeight="false" outlineLevelRow="0" outlineLevelCol="0"/>
  <cols>
    <col collapsed="false" customWidth="true" hidden="false" outlineLevel="0" max="1" min="1" style="0" width="10.58"/>
    <col collapsed="false" customWidth="true" hidden="false" outlineLevel="0" max="2" min="2" style="0" width="42.71"/>
    <col collapsed="false" customWidth="true" hidden="false" outlineLevel="0" max="3" min="3" style="0" width="7.41"/>
    <col collapsed="false" customWidth="true" hidden="false" outlineLevel="0" max="4" min="4" style="0" width="8.57"/>
    <col collapsed="false" customWidth="true" hidden="false" outlineLevel="0" max="5" min="5" style="0" width="10.99"/>
    <col collapsed="false" customWidth="true" hidden="false" outlineLevel="0" max="6" min="6" style="0" width="34.59"/>
    <col collapsed="false" customWidth="true" hidden="false" outlineLevel="0" max="7" min="7" style="0" width="42.71"/>
    <col collapsed="false" customWidth="true" hidden="false" outlineLevel="0" max="1025" min="8" style="0" width="8.57"/>
  </cols>
  <sheetData>
    <row r="1" customFormat="false" ht="15" hidden="false" customHeight="false" outlineLevel="0" collapsed="false">
      <c r="A1" s="6" t="s">
        <v>1152</v>
      </c>
      <c r="B1" s="6"/>
      <c r="C1" s="6"/>
      <c r="D1" s="6"/>
      <c r="E1" s="6"/>
      <c r="F1" s="6"/>
      <c r="I1" s="0" t="s">
        <v>1144</v>
      </c>
    </row>
    <row r="2" customFormat="false" ht="15" hidden="false" customHeight="false" outlineLevel="0" collapsed="false">
      <c r="A2" s="0" t="str">
        <f aca="false">VLOOKUP(B2,[2]Sheet1!$D$5:$L$185,9,0)</f>
        <v>ES4143</v>
      </c>
      <c r="B2" s="6" t="s">
        <v>885</v>
      </c>
      <c r="C2" s="7" t="s">
        <v>972</v>
      </c>
      <c r="D2" s="7" t="n">
        <v>6</v>
      </c>
      <c r="E2" s="0" t="str">
        <f aca="false">VLOOKUP(D2,[3]Sheet2!$A$6:$F$43,4,0)</f>
        <v>0026056701</v>
      </c>
      <c r="F2" s="0" t="str">
        <f aca="false">VLOOKUP(D2,[3]Sheet2!$A$6:$F$43,6,0)</f>
        <v>Sudi M. Al Sasongko, ST., MT.</v>
      </c>
      <c r="G2" s="0" t="str">
        <f aca="false">VLOOKUP(A2,Worksheet!$C$2:$D$3503,2,0)</f>
        <v>PRAKTEK KERJA LAPANGAN</v>
      </c>
      <c r="H2" s="0" t="n">
        <f aca="false">IF(B2=G2,1,0)</f>
        <v>1</v>
      </c>
      <c r="I2" s="0" t="n">
        <f aca="false">VLOOKUP(A2,[2]Sheet1!$C$5:$E$185,3,0)</f>
        <v>2</v>
      </c>
    </row>
    <row r="3" customFormat="false" ht="15" hidden="false" customHeight="false" outlineLevel="0" collapsed="false">
      <c r="A3" s="0" t="str">
        <f aca="false">VLOOKUP(B3,[2]Sheet1!$D$5:$L$185,9,0)</f>
        <v>ED4112</v>
      </c>
      <c r="B3" s="6" t="s">
        <v>889</v>
      </c>
      <c r="C3" s="7" t="s">
        <v>972</v>
      </c>
      <c r="D3" s="7" t="n">
        <v>17</v>
      </c>
      <c r="E3" s="0" t="str">
        <f aca="false">VLOOKUP(D3,[3]Sheet2!$A$6:$F$43,4,0)</f>
        <v>0024117102</v>
      </c>
      <c r="F3" s="0" t="str">
        <f aca="false">VLOOKUP(D3,[3]Sheet2!$A$6:$F$43,6,0)</f>
        <v>A. Sjamsjiar Rachman, ST., MT.</v>
      </c>
      <c r="G3" s="0" t="str">
        <f aca="false">VLOOKUP(A3,Worksheet!$C$2:$D$3503,2,0)</f>
        <v>PRAKTIKUM ALGORITMA DAN STRUKTUR DATA</v>
      </c>
      <c r="H3" s="0" t="n">
        <f aca="false">IF(B3=G3,1,0)</f>
        <v>1</v>
      </c>
      <c r="I3" s="0" t="n">
        <f aca="false">VLOOKUP(A3,[2]Sheet1!$C$5:$E$185,3,0)</f>
        <v>1</v>
      </c>
    </row>
    <row r="4" customFormat="false" ht="15" hidden="false" customHeight="false" outlineLevel="0" collapsed="false">
      <c r="A4" s="0" t="str">
        <f aca="false">VLOOKUP(B4,[2]Sheet1!$D$5:$L$185,9,0)</f>
        <v>ED4113</v>
      </c>
      <c r="B4" s="6" t="s">
        <v>891</v>
      </c>
      <c r="C4" s="7" t="s">
        <v>972</v>
      </c>
      <c r="D4" s="7" t="n">
        <v>17</v>
      </c>
      <c r="E4" s="0" t="str">
        <f aca="false">VLOOKUP(D4,[3]Sheet2!$A$6:$F$43,4,0)</f>
        <v>0024117102</v>
      </c>
      <c r="F4" s="0" t="str">
        <f aca="false">VLOOKUP(D4,[3]Sheet2!$A$6:$F$43,6,0)</f>
        <v>A. Sjamsjiar Rachman, ST., MT.</v>
      </c>
      <c r="G4" s="0" t="str">
        <f aca="false">VLOOKUP(A4,Worksheet!$C$2:$D$3503,2,0)</f>
        <v>PRAKTIKUM BASIS DATA</v>
      </c>
      <c r="H4" s="0" t="n">
        <f aca="false">IF(B4=G4,1,0)</f>
        <v>1</v>
      </c>
      <c r="I4" s="0" t="n">
        <f aca="false">VLOOKUP(A4,[2]Sheet1!$C$5:$E$185,3,0)</f>
        <v>1</v>
      </c>
    </row>
    <row r="5" customFormat="false" ht="15" hidden="false" customHeight="false" outlineLevel="0" collapsed="false">
      <c r="A5" s="0" t="str">
        <f aca="false">VLOOKUP(B5,[2]Sheet1!$D$5:$L$185,9,0)</f>
        <v>EA4116</v>
      </c>
      <c r="B5" s="6" t="s">
        <v>893</v>
      </c>
      <c r="C5" s="7" t="s">
        <v>972</v>
      </c>
      <c r="D5" s="7" t="n">
        <v>8</v>
      </c>
      <c r="E5" s="0" t="str">
        <f aca="false">VLOOKUP(D5,[3]Sheet2!$A$6:$F$43,4,0)</f>
        <v>0008097004</v>
      </c>
      <c r="F5" s="0" t="str">
        <f aca="false">VLOOKUP(D5,[3]Sheet2!$A$6:$F$43,6,0)</f>
        <v>I Nyoman Wahyu S., ST., M.Sc., Ph.D.</v>
      </c>
      <c r="G5" s="0" t="str">
        <f aca="false">VLOOKUP(A5,Worksheet!$C$2:$D$3503,2,0)</f>
        <v>PRAKTIKUM ELEKTRONIKA DAYA</v>
      </c>
      <c r="H5" s="0" t="n">
        <f aca="false">IF(B5=G5,1,0)</f>
        <v>1</v>
      </c>
      <c r="I5" s="0" t="n">
        <f aca="false">VLOOKUP(A5,[2]Sheet1!$C$5:$E$185,3,0)</f>
        <v>1</v>
      </c>
    </row>
    <row r="6" customFormat="false" ht="15" hidden="false" customHeight="false" outlineLevel="0" collapsed="false">
      <c r="A6" s="0" t="str">
        <f aca="false">VLOOKUP(B6,[2]Sheet1!$D$5:$L$185,9,0)</f>
        <v>EB3104</v>
      </c>
      <c r="B6" s="6" t="s">
        <v>895</v>
      </c>
      <c r="C6" s="7" t="s">
        <v>972</v>
      </c>
      <c r="D6" s="7" t="n">
        <v>23</v>
      </c>
      <c r="E6" s="0" t="str">
        <f aca="false">VLOOKUP(D6,[3]Sheet2!$A$6:$F$43,4,0)</f>
        <v>0026047105</v>
      </c>
      <c r="F6" s="0" t="str">
        <f aca="false">VLOOKUP(D6,[3]Sheet2!$A$6:$F$43,6,0)</f>
        <v>I Made Budi Suksmadana, ST., MT.</v>
      </c>
      <c r="G6" s="0" t="str">
        <f aca="false">VLOOKUP(A6,Worksheet!$C$2:$D$3503,2,0)</f>
        <v>PRAKTIKUM ELEKTRONIKA DIGITAL</v>
      </c>
      <c r="H6" s="0" t="n">
        <f aca="false">IF(B6=G6,1,0)</f>
        <v>1</v>
      </c>
      <c r="I6" s="0" t="n">
        <f aca="false">VLOOKUP(A6,[2]Sheet1!$C$5:$E$185,3,0)</f>
        <v>1</v>
      </c>
    </row>
    <row r="7" customFormat="false" ht="15" hidden="false" customHeight="false" outlineLevel="0" collapsed="false">
      <c r="A7" s="0" t="str">
        <f aca="false">VLOOKUP(B7,[2]Sheet1!$D$5:$L$185,9,0)</f>
        <v>ED4114</v>
      </c>
      <c r="B7" s="6" t="s">
        <v>897</v>
      </c>
      <c r="C7" s="7" t="s">
        <v>972</v>
      </c>
      <c r="D7" s="7" t="n">
        <v>17</v>
      </c>
      <c r="E7" s="0" t="str">
        <f aca="false">VLOOKUP(D7,[3]Sheet2!$A$6:$F$43,4,0)</f>
        <v>0024117102</v>
      </c>
      <c r="F7" s="0" t="str">
        <f aca="false">VLOOKUP(D7,[3]Sheet2!$A$6:$F$43,6,0)</f>
        <v>A. Sjamsjiar Rachman, ST., MT.</v>
      </c>
      <c r="G7" s="0" t="str">
        <f aca="false">VLOOKUP(A7,Worksheet!$C$2:$D$3503,2,0)</f>
        <v>PRAKTIKUM JARINGAN KOMPUTER</v>
      </c>
      <c r="H7" s="0" t="n">
        <f aca="false">IF(B7=G7,1,0)</f>
        <v>1</v>
      </c>
      <c r="I7" s="0" t="n">
        <f aca="false">VLOOKUP(A7,[2]Sheet1!$C$5:$E$185,3,0)</f>
        <v>1</v>
      </c>
    </row>
    <row r="8" customFormat="false" ht="15" hidden="false" customHeight="false" outlineLevel="0" collapsed="false">
      <c r="A8" s="0" t="str">
        <f aca="false">VLOOKUP(B8,[2]Sheet1!$D$5:$L$185,9,0)</f>
        <v>EB4113</v>
      </c>
      <c r="B8" s="6" t="s">
        <v>899</v>
      </c>
      <c r="C8" s="7" t="s">
        <v>972</v>
      </c>
      <c r="D8" s="7" t="n">
        <v>24</v>
      </c>
      <c r="E8" s="0" t="str">
        <f aca="false">VLOOKUP(D8,[3]Sheet2!$A$6:$F$43,4,0)</f>
        <v>0004047303</v>
      </c>
      <c r="F8" s="0" t="str">
        <f aca="false">VLOOKUP(D8,[3]Sheet2!$A$6:$F$43,6,0)</f>
        <v>I Made Ari Nrartha, ST., MT.</v>
      </c>
      <c r="G8" s="0" t="str">
        <f aca="false">VLOOKUP(A8,Worksheet!$C$2:$D$3503,2,0)</f>
        <v>PRAKTIKUM PENGOLAHAN SINYAL DIGITAL</v>
      </c>
      <c r="H8" s="0" t="n">
        <f aca="false">IF(B8=G8,1,0)</f>
        <v>1</v>
      </c>
      <c r="I8" s="0" t="n">
        <f aca="false">VLOOKUP(A8,[2]Sheet1!$C$5:$E$185,3,0)</f>
        <v>1</v>
      </c>
    </row>
    <row r="9" customFormat="false" ht="15" hidden="false" customHeight="false" outlineLevel="0" collapsed="false">
      <c r="A9" s="0" t="str">
        <f aca="false">VLOOKUP(B9,[2]Sheet1!$D$5:$L$185,9,0)</f>
        <v>ES2123</v>
      </c>
      <c r="B9" s="6" t="s">
        <v>903</v>
      </c>
      <c r="C9" s="7" t="s">
        <v>972</v>
      </c>
      <c r="D9" s="7" t="n">
        <v>2</v>
      </c>
      <c r="E9" s="0" t="str">
        <f aca="false">VLOOKUP(D9,[3]Sheet2!$A$6:$F$43,4,0)</f>
        <v>0007067105</v>
      </c>
      <c r="F9" s="0" t="str">
        <f aca="false">VLOOKUP(D9,[3]Sheet2!$A$6:$F$43,6,0)</f>
        <v>Supriyatna, ST., MT.</v>
      </c>
      <c r="G9" s="0" t="str">
        <f aca="false">VLOOKUP(A9,Worksheet!$C$2:$D$3503,2,0)</f>
        <v>PRAKTIKUM PENGUKURAN BESARAN LISTRIK</v>
      </c>
      <c r="H9" s="0" t="n">
        <f aca="false">IF(B9=G9,1,0)</f>
        <v>1</v>
      </c>
      <c r="I9" s="0" t="n">
        <f aca="false">VLOOKUP(A9,[2]Sheet1!$C$5:$E$185,3,0)</f>
        <v>1</v>
      </c>
    </row>
    <row r="10" customFormat="false" ht="15" hidden="false" customHeight="false" outlineLevel="0" collapsed="false">
      <c r="A10" s="0" t="str">
        <f aca="false">VLOOKUP(B10,[2]Sheet1!$D$5:$L$185,9,0)</f>
        <v>EA4114</v>
      </c>
      <c r="B10" s="6" t="s">
        <v>907</v>
      </c>
      <c r="C10" s="7" t="s">
        <v>972</v>
      </c>
      <c r="D10" s="7" t="n">
        <v>25</v>
      </c>
      <c r="E10" s="0" t="str">
        <f aca="false">VLOOKUP(D10,[3]Sheet2!$A$6:$F$43,4,0)</f>
        <v>0025037004</v>
      </c>
      <c r="F10" s="0" t="str">
        <f aca="false">VLOOKUP(D10,[3]Sheet2!$A$6:$F$43,6,0)</f>
        <v>Dr. I Made Ginarsa, ST., MT.</v>
      </c>
      <c r="G10" s="0" t="str">
        <f aca="false">VLOOKUP(A10,Worksheet!$C$2:$D$3503,2,0)</f>
        <v>PRAKTIKUM PROTEKSI SISTEM TENAGA</v>
      </c>
      <c r="H10" s="0" t="n">
        <f aca="false">IF(B10=G10,1,0)</f>
        <v>1</v>
      </c>
      <c r="I10" s="0" t="n">
        <f aca="false">VLOOKUP(A10,[2]Sheet1!$C$5:$E$185,3,0)</f>
        <v>1</v>
      </c>
    </row>
    <row r="11" customFormat="false" ht="15" hidden="false" customHeight="false" outlineLevel="0" collapsed="false">
      <c r="A11" s="0" t="str">
        <f aca="false">VLOOKUP(B11,[2]Sheet1!$D$5:$L$185,9,0)</f>
        <v>EB3102</v>
      </c>
      <c r="B11" s="6" t="s">
        <v>909</v>
      </c>
      <c r="C11" s="7" t="s">
        <v>972</v>
      </c>
      <c r="D11" s="7" t="n">
        <v>24</v>
      </c>
      <c r="E11" s="0" t="str">
        <f aca="false">VLOOKUP(D11,[3]Sheet2!$A$6:$F$43,4,0)</f>
        <v>0004047303</v>
      </c>
      <c r="F11" s="0" t="str">
        <f aca="false">VLOOKUP(D11,[3]Sheet2!$A$6:$F$43,6,0)</f>
        <v>I Made Ari Nrartha, ST., MT.</v>
      </c>
      <c r="G11" s="0" t="str">
        <f aca="false">VLOOKUP(A11,Worksheet!$C$2:$D$3503,2,0)</f>
        <v>PRAKTIKUM RANGKAIAN ELEKTRONIKA</v>
      </c>
      <c r="H11" s="0" t="n">
        <f aca="false">IF(B11=G11,1,0)</f>
        <v>1</v>
      </c>
      <c r="I11" s="0" t="n">
        <f aca="false">VLOOKUP(A11,[2]Sheet1!$C$5:$E$185,3,0)</f>
        <v>1</v>
      </c>
    </row>
    <row r="12" customFormat="false" ht="15" hidden="false" customHeight="false" outlineLevel="0" collapsed="false">
      <c r="A12" s="0" t="str">
        <f aca="false">VLOOKUP(B12,[2]Sheet1!$D$5:$L$185,9,0)</f>
        <v>ES2232</v>
      </c>
      <c r="B12" s="6" t="s">
        <v>911</v>
      </c>
      <c r="C12" s="7" t="s">
        <v>972</v>
      </c>
      <c r="D12" s="7" t="n">
        <v>2</v>
      </c>
      <c r="E12" s="0" t="str">
        <f aca="false">VLOOKUP(D12,[3]Sheet2!$A$6:$F$43,4,0)</f>
        <v>0007067105</v>
      </c>
      <c r="F12" s="0" t="str">
        <f aca="false">VLOOKUP(D12,[3]Sheet2!$A$6:$F$43,6,0)</f>
        <v>Supriyatna, ST., MT.</v>
      </c>
      <c r="G12" s="0" t="str">
        <f aca="false">VLOOKUP(A12,Worksheet!$C$2:$D$3503,2,0)</f>
        <v>PRAKTIKUM RANGKAIAN LISTRIK</v>
      </c>
      <c r="H12" s="0" t="n">
        <f aca="false">IF(B12=G12,1,0)</f>
        <v>1</v>
      </c>
      <c r="I12" s="0" t="n">
        <f aca="false">VLOOKUP(A12,[2]Sheet1!$C$5:$E$185,3,0)</f>
        <v>1</v>
      </c>
    </row>
    <row r="13" customFormat="false" ht="15" hidden="false" customHeight="false" outlineLevel="0" collapsed="false">
      <c r="A13" s="0" t="str">
        <f aca="false">VLOOKUP(B13,[2]Sheet1!$D$5:$L$185,9,0)</f>
        <v>ES1214</v>
      </c>
      <c r="B13" s="6" t="s">
        <v>917</v>
      </c>
      <c r="C13" s="7" t="s">
        <v>972</v>
      </c>
      <c r="D13" s="7" t="n">
        <v>25</v>
      </c>
      <c r="E13" s="0" t="str">
        <f aca="false">VLOOKUP(D13,[3]Sheet2!$A$6:$F$43,4,0)</f>
        <v>0025037004</v>
      </c>
      <c r="F13" s="0" t="str">
        <f aca="false">VLOOKUP(D13,[3]Sheet2!$A$6:$F$43,6,0)</f>
        <v>Dr. I Made Ginarsa, ST., MT.</v>
      </c>
      <c r="G13" s="0" t="str">
        <f aca="false">VLOOKUP(A13,Worksheet!$C$2:$D$3503,2,0)</f>
        <v>PRAKTIKUM RANGKAIAN LOGIKA</v>
      </c>
      <c r="H13" s="0" t="n">
        <f aca="false">IF(B13=G13,1,0)</f>
        <v>1</v>
      </c>
      <c r="I13" s="0" t="n">
        <f aca="false">VLOOKUP(A13,[2]Sheet1!$C$5:$E$185,3,0)</f>
        <v>1</v>
      </c>
    </row>
    <row r="14" customFormat="false" ht="15" hidden="false" customHeight="false" outlineLevel="0" collapsed="false">
      <c r="A14" s="0" t="str">
        <f aca="false">VLOOKUP(B14,[2]Sheet1!$D$5:$L$185,9,0)</f>
        <v>ES3140</v>
      </c>
      <c r="B14" s="6" t="s">
        <v>919</v>
      </c>
      <c r="C14" s="7" t="s">
        <v>972</v>
      </c>
      <c r="D14" s="7" t="n">
        <v>8</v>
      </c>
      <c r="E14" s="0" t="str">
        <f aca="false">VLOOKUP(D14,[3]Sheet2!$A$6:$F$43,4,0)</f>
        <v>0008097004</v>
      </c>
      <c r="F14" s="0" t="str">
        <f aca="false">VLOOKUP(D14,[3]Sheet2!$A$6:$F$43,6,0)</f>
        <v>I Nyoman Wahyu S., ST., M.Sc., Ph.D.</v>
      </c>
      <c r="G14" s="0" t="str">
        <f aca="false">VLOOKUP(A14,Worksheet!$C$2:$D$3503,2,0)</f>
        <v>PRAKTIKUM SISTEM KENDALI</v>
      </c>
      <c r="H14" s="0" t="n">
        <f aca="false">IF(B14=G14,1,0)</f>
        <v>1</v>
      </c>
      <c r="I14" s="0" t="n">
        <f aca="false">VLOOKUP(A14,[2]Sheet1!$C$5:$E$185,3,0)</f>
        <v>1</v>
      </c>
    </row>
    <row r="15" customFormat="false" ht="15" hidden="false" customHeight="false" outlineLevel="0" collapsed="false">
      <c r="A15" s="0" t="str">
        <f aca="false">VLOOKUP(B15,[2]Sheet1!$D$5:$L$185,9,0)</f>
        <v>EC4114</v>
      </c>
      <c r="B15" s="6" t="s">
        <v>921</v>
      </c>
      <c r="C15" s="7" t="s">
        <v>972</v>
      </c>
      <c r="D15" s="7" t="n">
        <v>19</v>
      </c>
      <c r="E15" s="0" t="str">
        <f aca="false">VLOOKUP(D15,[3]Sheet2!$A$6:$F$43,4,0)</f>
        <v>0017017203</v>
      </c>
      <c r="F15" s="0" t="str">
        <f aca="false">VLOOKUP(D15,[3]Sheet2!$A$6:$F$43,6,0)</f>
        <v>Made Sutha Yadnya, ST., MT.</v>
      </c>
      <c r="G15" s="0" t="str">
        <f aca="false">VLOOKUP(A15,Worksheet!$C$2:$D$3503,2,0)</f>
        <v>PRAKTIKUM SISTEM TELEKOMUNIKASI</v>
      </c>
      <c r="H15" s="0" t="n">
        <f aca="false">IF(B15=G15,1,0)</f>
        <v>1</v>
      </c>
      <c r="I15" s="0" t="n">
        <f aca="false">VLOOKUP(A15,[2]Sheet1!$C$5:$E$185,3,0)</f>
        <v>1</v>
      </c>
    </row>
    <row r="16" customFormat="false" ht="15" hidden="false" customHeight="false" outlineLevel="0" collapsed="false">
      <c r="A16" s="0" t="s">
        <v>922</v>
      </c>
      <c r="B16" s="6" t="s">
        <v>923</v>
      </c>
      <c r="C16" s="7" t="s">
        <v>972</v>
      </c>
      <c r="D16" s="7" t="n">
        <v>25</v>
      </c>
      <c r="E16" s="0" t="str">
        <f aca="false">VLOOKUP(D16,[3]Sheet2!$A$6:$F$43,4,0)</f>
        <v>0025037004</v>
      </c>
      <c r="F16" s="0" t="str">
        <f aca="false">VLOOKUP(D16,[3]Sheet2!$A$6:$F$43,6,0)</f>
        <v>Dr. I Made Ginarsa, ST., MT.</v>
      </c>
      <c r="G16" s="0" t="str">
        <f aca="false">VLOOKUP(A16,Worksheet!$C$2:$D$3503,2,0)</f>
        <v>PRAKTIKUM TRANSMISI DAN DISTRIBUSI TL</v>
      </c>
      <c r="H16" s="0" t="n">
        <f aca="false">IF(B16=G16,1,0)</f>
        <v>1</v>
      </c>
      <c r="I16" s="0" t="n">
        <f aca="false">VLOOKUP(A16,[2]Sheet1!$C$5:$E$185,3,0)</f>
        <v>1</v>
      </c>
    </row>
    <row r="17" customFormat="false" ht="15" hidden="false" customHeight="false" outlineLevel="0" collapsed="false">
      <c r="A17" s="0" t="str">
        <f aca="false">VLOOKUP(B17,[2]Sheet1!$D$5:$L$185,9,0)</f>
        <v>ES4248</v>
      </c>
      <c r="B17" s="6" t="s">
        <v>971</v>
      </c>
      <c r="C17" s="7" t="s">
        <v>972</v>
      </c>
      <c r="D17" s="7" t="n">
        <v>6</v>
      </c>
      <c r="E17" s="0" t="str">
        <f aca="false">VLOOKUP(D17,[3]Sheet2!$A$6:$F$43,4,0)</f>
        <v>0026056701</v>
      </c>
      <c r="F17" s="0" t="str">
        <f aca="false">VLOOKUP(D17,[3]Sheet2!$A$6:$F$43,6,0)</f>
        <v>Sudi M. Al Sasongko, ST., MT.</v>
      </c>
      <c r="G17" s="0" t="str">
        <f aca="false">VLOOKUP(A17,Worksheet!$C$2:$D$3503,2,0)</f>
        <v>TUGAS AKHIR</v>
      </c>
      <c r="H17" s="0" t="n">
        <f aca="false">IF(B17=G17,1,0)</f>
        <v>1</v>
      </c>
      <c r="I17" s="0" t="n">
        <f aca="false">VLOOKUP(A17,[2]Sheet1!$C$5:$E$185,3,0)</f>
        <v>4</v>
      </c>
    </row>
    <row r="18" customFormat="false" ht="15" hidden="false" customHeight="false" outlineLevel="0" collapsed="false">
      <c r="A18" s="0" t="str">
        <f aca="false">VLOOKUP(B18,[2]Sheet1!$D$5:$L$185,9,0)</f>
        <v>ES4245</v>
      </c>
      <c r="B18" s="6" t="s">
        <v>782</v>
      </c>
      <c r="C18" s="7" t="s">
        <v>972</v>
      </c>
      <c r="D18" s="7" t="n">
        <v>6</v>
      </c>
      <c r="E18" s="0" t="str">
        <f aca="false">VLOOKUP(D18,[3]Sheet2!$A$6:$F$43,4,0)</f>
        <v>0026056701</v>
      </c>
      <c r="F18" s="0" t="str">
        <f aca="false">VLOOKUP(D18,[3]Sheet2!$A$6:$F$43,6,0)</f>
        <v>Sudi M. Al Sasongko, ST., MT.</v>
      </c>
      <c r="G18" s="0" t="str">
        <f aca="false">VLOOKUP(A18,Worksheet!$C$2:$D$3503,2,0)</f>
        <v>KULIAH KERJA NYATA (KKN)</v>
      </c>
      <c r="H18" s="0" t="n">
        <f aca="false">IF(B18=G18,1,0)</f>
        <v>1</v>
      </c>
      <c r="I18" s="0" t="n">
        <f aca="false">VLOOKUP(A18,[2]Sheet1!$C$5:$E$185,3,0)</f>
        <v>4</v>
      </c>
    </row>
    <row r="19" customFormat="false" ht="15" hidden="false" customHeight="false" outlineLevel="0" collapsed="false">
      <c r="A19" s="0" t="str">
        <f aca="false">VLOOKUP(B19,[2]Sheet1!$D$5:$L$185,9,0)</f>
        <v>ES1215</v>
      </c>
      <c r="B19" s="6" t="s">
        <v>13</v>
      </c>
      <c r="C19" s="0" t="s">
        <v>14</v>
      </c>
      <c r="D19" s="0" t="n">
        <v>7</v>
      </c>
      <c r="E19" s="0" t="str">
        <f aca="false">VLOOKUP(D19,[3]Sheet2!$A$6:$F$43,4,0)</f>
        <v>0005106805</v>
      </c>
      <c r="F19" s="0" t="str">
        <f aca="false">VLOOKUP(D19,[3]Sheet2!$A$6:$F$43,6,0)</f>
        <v>Misbahuddin, ST., MT.</v>
      </c>
      <c r="G19" s="0" t="str">
        <f aca="false">VLOOKUP(A19,Worksheet!$C$2:$D$3503,2,0)</f>
        <v>ALGORITMA DAN PEMROGRAMAN</v>
      </c>
      <c r="H19" s="0" t="n">
        <f aca="false">IF(B19=G19,1,0)</f>
        <v>1</v>
      </c>
      <c r="I19" s="0" t="n">
        <f aca="false">VLOOKUP(A19,[2]Sheet1!$C$5:$E$185,3,0)</f>
        <v>2</v>
      </c>
    </row>
    <row r="20" customFormat="false" ht="15" hidden="false" customHeight="false" outlineLevel="0" collapsed="false">
      <c r="A20" s="0" t="str">
        <f aca="false">VLOOKUP(B20,[2]Sheet1!$D$5:$L$185,9,0)</f>
        <v>ES1215</v>
      </c>
      <c r="B20" s="6" t="s">
        <v>13</v>
      </c>
      <c r="C20" s="0" t="s">
        <v>18</v>
      </c>
      <c r="D20" s="0" t="n">
        <v>36</v>
      </c>
      <c r="E20" s="0" t="str">
        <f aca="false">VLOOKUP(D20,[3]Sheet2!$A$6:$F$43,4,0)</f>
        <v>0004098205</v>
      </c>
      <c r="F20" s="0" t="str">
        <f aca="false">VLOOKUP(D20,[3]Sheet2!$A$6:$F$43,6,0)</f>
        <v>Giri Wahyu Wiriasto, ST., MT.</v>
      </c>
      <c r="G20" s="0" t="str">
        <f aca="false">VLOOKUP(A20,Worksheet!$C$2:$D$3503,2,0)</f>
        <v>ALGORITMA DAN PEMROGRAMAN</v>
      </c>
      <c r="H20" s="0" t="n">
        <f aca="false">IF(B20=G20,1,0)</f>
        <v>1</v>
      </c>
      <c r="I20" s="0" t="n">
        <f aca="false">VLOOKUP(A20,[2]Sheet1!$C$5:$E$185,3,0)</f>
        <v>2</v>
      </c>
    </row>
    <row r="21" customFormat="false" ht="15" hidden="false" customHeight="false" outlineLevel="0" collapsed="false">
      <c r="A21" s="0" t="str">
        <f aca="false">VLOOKUP(B21,[2]Sheet1!$D$5:$L$185,9,0)</f>
        <v>ES2124</v>
      </c>
      <c r="B21" s="6" t="s">
        <v>558</v>
      </c>
      <c r="C21" s="0" t="s">
        <v>14</v>
      </c>
      <c r="D21" s="0" t="n">
        <v>17</v>
      </c>
      <c r="E21" s="0" t="str">
        <f aca="false">VLOOKUP(D21,[3]Sheet2!$A$6:$F$43,4,0)</f>
        <v>0024117102</v>
      </c>
      <c r="F21" s="0" t="str">
        <f aca="false">VLOOKUP(D21,[3]Sheet2!$A$6:$F$43,6,0)</f>
        <v>A. Sjamsjiar Rachman, ST., MT.</v>
      </c>
      <c r="G21" s="0" t="str">
        <f aca="false">VLOOKUP(A21,Worksheet!$C$2:$D$3503,2,0)</f>
        <v>DASAR ELEKTRONIKA</v>
      </c>
      <c r="H21" s="0" t="n">
        <f aca="false">IF(B21=G21,1,0)</f>
        <v>1</v>
      </c>
      <c r="I21" s="0" t="n">
        <f aca="false">VLOOKUP(A21,[2]Sheet1!$C$5:$E$185,3,0)</f>
        <v>3</v>
      </c>
    </row>
    <row r="22" customFormat="false" ht="15" hidden="false" customHeight="false" outlineLevel="0" collapsed="false">
      <c r="A22" s="0" t="str">
        <f aca="false">VLOOKUP(B22,[2]Sheet1!$D$5:$L$185,9,0)</f>
        <v>ES2124</v>
      </c>
      <c r="B22" s="6" t="s">
        <v>558</v>
      </c>
      <c r="C22" s="0" t="s">
        <v>18</v>
      </c>
      <c r="D22" s="0" t="n">
        <v>38</v>
      </c>
      <c r="E22" s="0" t="str">
        <f aca="false">VLOOKUP(D22,[3]Sheet2!$A$6:$F$43,4,0)</f>
        <v>0826058503</v>
      </c>
      <c r="F22" s="0" t="str">
        <f aca="false">VLOOKUP(D22,[3]Sheet2!$A$6:$F$43,6,0)</f>
        <v>Budi Darmawan, ST., M.Eng.</v>
      </c>
      <c r="G22" s="0" t="str">
        <f aca="false">VLOOKUP(A22,Worksheet!$C$2:$D$3503,2,0)</f>
        <v>DASAR ELEKTRONIKA</v>
      </c>
      <c r="H22" s="0" t="n">
        <f aca="false">IF(B22=G22,1,0)</f>
        <v>1</v>
      </c>
      <c r="I22" s="0" t="n">
        <f aca="false">VLOOKUP(A22,[2]Sheet1!$C$5:$E$185,3,0)</f>
        <v>3</v>
      </c>
    </row>
    <row r="23" customFormat="false" ht="15" hidden="false" customHeight="false" outlineLevel="0" collapsed="false">
      <c r="A23" s="0" t="str">
        <f aca="false">VLOOKUP(B23,[2]Sheet1!$D$5:$L$185,9,0)</f>
        <v>ES2124</v>
      </c>
      <c r="B23" s="6" t="s">
        <v>558</v>
      </c>
      <c r="C23" s="0" t="s">
        <v>127</v>
      </c>
      <c r="D23" s="0" t="n">
        <v>4</v>
      </c>
      <c r="E23" s="0" t="str">
        <f aca="false">VLOOKUP(D23,[3]Sheet2!$A$6:$F$43,4,0)</f>
        <v>0012066905</v>
      </c>
      <c r="F23" s="0" t="str">
        <f aca="false">VLOOKUP(D23,[3]Sheet2!$A$6:$F$43,6,0)</f>
        <v>Syafaruddin Ch., ST., MT.</v>
      </c>
      <c r="G23" s="0" t="str">
        <f aca="false">VLOOKUP(A23,Worksheet!$C$2:$D$3503,2,0)</f>
        <v>DASAR ELEKTRONIKA</v>
      </c>
      <c r="H23" s="0" t="n">
        <f aca="false">IF(B23=G23,1,0)</f>
        <v>1</v>
      </c>
      <c r="I23" s="0" t="n">
        <f aca="false">VLOOKUP(A23,[2]Sheet1!$C$5:$E$185,3,0)</f>
        <v>3</v>
      </c>
    </row>
    <row r="24" customFormat="false" ht="15" hidden="false" customHeight="false" outlineLevel="0" collapsed="false">
      <c r="A24" s="0" t="str">
        <f aca="false">VLOOKUP(B24,[2]Sheet1!$D$5:$L$185,9,0)</f>
        <v>ES1108</v>
      </c>
      <c r="B24" s="6" t="s">
        <v>600</v>
      </c>
      <c r="C24" s="0" t="s">
        <v>14</v>
      </c>
      <c r="D24" s="0" t="n">
        <v>35</v>
      </c>
      <c r="E24" s="0" t="str">
        <f aca="false">VLOOKUP(D24,[3]Sheet2!$A$6:$F$43,4,0)</f>
        <v>0010038303</v>
      </c>
      <c r="F24" s="0" t="str">
        <f aca="false">VLOOKUP(D24,[3]Sheet2!$A$6:$F$43,6,0)</f>
        <v>L. A. Syamsul Irfan Akbar, ST., M.Eng.</v>
      </c>
      <c r="G24" s="0" t="str">
        <f aca="false">VLOOKUP(A24,Worksheet!$C$2:$D$3503,2,0)</f>
        <v>DASAR TEKNOLOGI INFORMASI</v>
      </c>
      <c r="H24" s="0" t="n">
        <f aca="false">IF(B24=G24,1,0)</f>
        <v>1</v>
      </c>
      <c r="I24" s="0" t="n">
        <f aca="false">VLOOKUP(A24,[2]Sheet1!$C$5:$E$185,3,0)</f>
        <v>3</v>
      </c>
    </row>
    <row r="25" customFormat="false" ht="15" hidden="false" customHeight="false" outlineLevel="0" collapsed="false">
      <c r="A25" s="0" t="str">
        <f aca="false">VLOOKUP(B25,[2]Sheet1!$D$5:$L$185,9,0)</f>
        <v>ES1108</v>
      </c>
      <c r="B25" s="6" t="s">
        <v>600</v>
      </c>
      <c r="C25" s="0" t="s">
        <v>18</v>
      </c>
      <c r="D25" s="0" t="n">
        <v>7</v>
      </c>
      <c r="E25" s="0" t="str">
        <f aca="false">VLOOKUP(D25,[3]Sheet2!$A$6:$F$43,4,0)</f>
        <v>0005106805</v>
      </c>
      <c r="F25" s="0" t="str">
        <f aca="false">VLOOKUP(D25,[3]Sheet2!$A$6:$F$43,6,0)</f>
        <v>Misbahuddin, ST., MT.</v>
      </c>
      <c r="G25" s="0" t="str">
        <f aca="false">VLOOKUP(A25,Worksheet!$C$2:$D$3503,2,0)</f>
        <v>DASAR TEKNOLOGI INFORMASI</v>
      </c>
      <c r="H25" s="0" t="n">
        <f aca="false">IF(B25=G25,1,0)</f>
        <v>1</v>
      </c>
      <c r="I25" s="0" t="n">
        <f aca="false">VLOOKUP(A25,[2]Sheet1!$C$5:$E$185,3,0)</f>
        <v>3</v>
      </c>
    </row>
    <row r="26" customFormat="false" ht="15" hidden="false" customHeight="false" outlineLevel="0" collapsed="false">
      <c r="A26" s="0" t="str">
        <f aca="false">VLOOKUP(B26,[2]Sheet1!$D$5:$L$185,9,0)</f>
        <v>ES1108</v>
      </c>
      <c r="B26" s="6" t="s">
        <v>600</v>
      </c>
      <c r="C26" s="0" t="s">
        <v>127</v>
      </c>
      <c r="D26" s="0" t="n">
        <v>37</v>
      </c>
      <c r="E26" s="0" t="str">
        <f aca="false">VLOOKUP(D26,[3]Sheet2!$A$6:$F$43,4,0)</f>
        <v>0827038501</v>
      </c>
      <c r="F26" s="0" t="str">
        <f aca="false">VLOOKUP(D26,[3]Sheet2!$A$6:$F$43,6,0)</f>
        <v>Suthami Ariessaputra, ST., M.Eng.</v>
      </c>
      <c r="G26" s="0" t="str">
        <f aca="false">VLOOKUP(A26,Worksheet!$C$2:$D$3503,2,0)</f>
        <v>DASAR TEKNOLOGI INFORMASI</v>
      </c>
      <c r="H26" s="0" t="n">
        <f aca="false">IF(B26=G26,1,0)</f>
        <v>1</v>
      </c>
      <c r="I26" s="0" t="n">
        <f aca="false">VLOOKUP(A26,[2]Sheet1!$C$5:$E$185,3,0)</f>
        <v>3</v>
      </c>
    </row>
    <row r="27" customFormat="false" ht="15" hidden="false" customHeight="false" outlineLevel="0" collapsed="false">
      <c r="A27" s="0" t="str">
        <f aca="false">VLOOKUP(B27,[2]Sheet1!$D$5:$L$185,9,0)</f>
        <v>ES2125</v>
      </c>
      <c r="B27" s="6" t="s">
        <v>618</v>
      </c>
      <c r="C27" s="0" t="s">
        <v>14</v>
      </c>
      <c r="D27" s="0" t="n">
        <v>2</v>
      </c>
      <c r="E27" s="0" t="str">
        <f aca="false">VLOOKUP(D27,[3]Sheet2!$A$6:$F$43,4,0)</f>
        <v>0007067105</v>
      </c>
      <c r="F27" s="0" t="str">
        <f aca="false">VLOOKUP(D27,[3]Sheet2!$A$6:$F$43,6,0)</f>
        <v>Supriyatna, ST., MT.</v>
      </c>
      <c r="G27" s="0" t="str">
        <f aca="false">VLOOKUP(A27,Worksheet!$C$2:$D$3503,2,0)</f>
        <v>DASAR TENAGA LISTRIK</v>
      </c>
      <c r="H27" s="0" t="n">
        <f aca="false">IF(B27=G27,1,0)</f>
        <v>1</v>
      </c>
      <c r="I27" s="0" t="n">
        <f aca="false">VLOOKUP(A27,[2]Sheet1!$C$5:$E$185,3,0)</f>
        <v>3</v>
      </c>
    </row>
    <row r="28" customFormat="false" ht="15" hidden="false" customHeight="false" outlineLevel="0" collapsed="false">
      <c r="A28" s="0" t="str">
        <f aca="false">VLOOKUP(B28,[2]Sheet1!$D$5:$L$185,9,0)</f>
        <v>ES2125</v>
      </c>
      <c r="B28" s="6" t="s">
        <v>618</v>
      </c>
      <c r="C28" s="0" t="s">
        <v>18</v>
      </c>
      <c r="D28" s="0" t="n">
        <v>13</v>
      </c>
      <c r="E28" s="0" t="str">
        <f aca="false">VLOOKUP(D28,[3]Sheet2!$A$6:$F$43,4,0)</f>
        <v>0011027105</v>
      </c>
      <c r="F28" s="0" t="str">
        <f aca="false">VLOOKUP(D28,[3]Sheet2!$A$6:$F$43,6,0)</f>
        <v>Agung Budi Muljono, ST., MT.</v>
      </c>
      <c r="G28" s="0" t="str">
        <f aca="false">VLOOKUP(A28,Worksheet!$C$2:$D$3503,2,0)</f>
        <v>DASAR TENAGA LISTRIK</v>
      </c>
      <c r="H28" s="0" t="n">
        <f aca="false">IF(B28=G28,1,0)</f>
        <v>1</v>
      </c>
      <c r="I28" s="0" t="n">
        <f aca="false">VLOOKUP(A28,[2]Sheet1!$C$5:$E$185,3,0)</f>
        <v>3</v>
      </c>
    </row>
    <row r="29" customFormat="false" ht="15" hidden="false" customHeight="false" outlineLevel="0" collapsed="false">
      <c r="A29" s="0" t="str">
        <f aca="false">VLOOKUP(B29,[2]Sheet1!$D$5:$L$185,9,0)</f>
        <v>ES2125</v>
      </c>
      <c r="B29" s="6" t="s">
        <v>618</v>
      </c>
      <c r="C29" s="0" t="s">
        <v>127</v>
      </c>
      <c r="D29" s="0" t="n">
        <v>12</v>
      </c>
      <c r="E29" s="0" t="str">
        <f aca="false">VLOOKUP(D29,[3]Sheet2!$A$6:$F$43,4,0)</f>
        <v>0026027405</v>
      </c>
      <c r="F29" s="0" t="str">
        <f aca="false">VLOOKUP(D29,[3]Sheet2!$A$6:$F$43,6,0)</f>
        <v>Ida Bagus Fery Citarsa, ST., MT.</v>
      </c>
      <c r="G29" s="0" t="str">
        <f aca="false">VLOOKUP(A29,Worksheet!$C$2:$D$3503,2,0)</f>
        <v>DASAR TENAGA LISTRIK</v>
      </c>
      <c r="H29" s="0" t="n">
        <f aca="false">IF(B29=G29,1,0)</f>
        <v>1</v>
      </c>
      <c r="I29" s="0" t="n">
        <f aca="false">VLOOKUP(A29,[2]Sheet1!$C$5:$E$185,3,0)</f>
        <v>3</v>
      </c>
    </row>
    <row r="30" customFormat="false" ht="15" hidden="false" customHeight="false" outlineLevel="0" collapsed="false">
      <c r="A30" s="0" t="str">
        <f aca="false">VLOOKUP(B30,[2]Sheet1!$D$5:$L$185,9,0)</f>
        <v>ES2233</v>
      </c>
      <c r="B30" s="6" t="s">
        <v>642</v>
      </c>
      <c r="C30" s="0" t="s">
        <v>14</v>
      </c>
      <c r="D30" s="0" t="n">
        <v>13</v>
      </c>
      <c r="E30" s="0" t="str">
        <f aca="false">VLOOKUP(D30,[3]Sheet2!$A$6:$F$43,4,0)</f>
        <v>0011027105</v>
      </c>
      <c r="F30" s="0" t="str">
        <f aca="false">VLOOKUP(D30,[3]Sheet2!$A$6:$F$43,6,0)</f>
        <v>Agung Budi Muljono, ST., MT.</v>
      </c>
      <c r="G30" s="0" t="str">
        <f aca="false">VLOOKUP(A30,Worksheet!$C$2:$D$3503,2,0)</f>
        <v>EKONOMI TEKNIK</v>
      </c>
      <c r="H30" s="0" t="n">
        <f aca="false">IF(B30=G30,1,0)</f>
        <v>1</v>
      </c>
      <c r="I30" s="0" t="n">
        <f aca="false">VLOOKUP(A30,[2]Sheet1!$C$5:$E$185,3,0)</f>
        <v>2</v>
      </c>
    </row>
    <row r="31" customFormat="false" ht="15" hidden="false" customHeight="false" outlineLevel="0" collapsed="false">
      <c r="A31" s="0" t="str">
        <f aca="false">VLOOKUP(B31,[2]Sheet1!$D$5:$L$185,9,0)</f>
        <v>ES2233</v>
      </c>
      <c r="B31" s="6" t="s">
        <v>642</v>
      </c>
      <c r="C31" s="0" t="s">
        <v>18</v>
      </c>
      <c r="D31" s="0" t="n">
        <v>10</v>
      </c>
      <c r="E31" s="0" t="str">
        <f aca="false">VLOOKUP(D31,[3]Sheet2!$A$6:$F$43,4,0)</f>
        <v>0023087003</v>
      </c>
      <c r="F31" s="0" t="str">
        <f aca="false">VLOOKUP(D31,[3]Sheet2!$A$6:$F$43,6,0)</f>
        <v>Dr. Ida Ayu Sri Adnyani, ST., MErg.</v>
      </c>
      <c r="G31" s="0" t="str">
        <f aca="false">VLOOKUP(A31,Worksheet!$C$2:$D$3503,2,0)</f>
        <v>EKONOMI TEKNIK</v>
      </c>
      <c r="H31" s="0" t="n">
        <f aca="false">IF(B31=G31,1,0)</f>
        <v>1</v>
      </c>
      <c r="I31" s="0" t="n">
        <f aca="false">VLOOKUP(A31,[2]Sheet1!$C$5:$E$185,3,0)</f>
        <v>2</v>
      </c>
    </row>
    <row r="32" customFormat="false" ht="15" hidden="false" customHeight="false" outlineLevel="0" collapsed="false">
      <c r="A32" s="0" t="str">
        <f aca="false">VLOOKUP(B32,[2]Sheet1!$D$5:$L$185,9,0)</f>
        <v>ES2233</v>
      </c>
      <c r="B32" s="6" t="s">
        <v>642</v>
      </c>
      <c r="C32" s="0" t="s">
        <v>127</v>
      </c>
      <c r="D32" s="0" t="n">
        <v>5</v>
      </c>
      <c r="E32" s="0" t="str">
        <f aca="false">VLOOKUP(D32,[3]Sheet2!$A$6:$F$43,4,0)</f>
        <v>0031126704</v>
      </c>
      <c r="F32" s="0" t="str">
        <f aca="false">VLOOKUP(D32,[3]Sheet2!$A$6:$F$43,6,0)</f>
        <v>Sultan, ST., MT.</v>
      </c>
      <c r="G32" s="0" t="str">
        <f aca="false">VLOOKUP(A32,Worksheet!$C$2:$D$3503,2,0)</f>
        <v>EKONOMI TEKNIK</v>
      </c>
      <c r="H32" s="0" t="n">
        <f aca="false">IF(B32=G32,1,0)</f>
        <v>1</v>
      </c>
      <c r="I32" s="0" t="n">
        <f aca="false">VLOOKUP(A32,[2]Sheet1!$C$5:$E$185,3,0)</f>
        <v>2</v>
      </c>
    </row>
    <row r="33" customFormat="false" ht="15" hidden="false" customHeight="false" outlineLevel="0" collapsed="false">
      <c r="A33" s="0" t="str">
        <f aca="false">VLOOKUP(B33,[2]Sheet1!$D$5:$L$185,9,0)</f>
        <v>ES2118</v>
      </c>
      <c r="B33" s="6" t="s">
        <v>843</v>
      </c>
      <c r="C33" s="0" t="s">
        <v>14</v>
      </c>
      <c r="D33" s="0" t="n">
        <v>37</v>
      </c>
      <c r="E33" s="0" t="str">
        <f aca="false">VLOOKUP(D33,[3]Sheet2!$A$6:$F$43,4,0)</f>
        <v>0827038501</v>
      </c>
      <c r="F33" s="0" t="str">
        <f aca="false">VLOOKUP(D33,[3]Sheet2!$A$6:$F$43,6,0)</f>
        <v>Suthami Ariessaputra, ST., M.Eng.</v>
      </c>
      <c r="G33" s="0" t="str">
        <f aca="false">VLOOKUP(A33,Worksheet!$C$2:$D$3503,2,0)</f>
        <v>MATEMATIKA TEKNIK I</v>
      </c>
      <c r="H33" s="0" t="n">
        <f aca="false">IF(B33=G33,1,0)</f>
        <v>1</v>
      </c>
      <c r="I33" s="0" t="n">
        <f aca="false">VLOOKUP(A33,[2]Sheet1!$C$5:$E$185,3,0)</f>
        <v>3</v>
      </c>
    </row>
    <row r="34" customFormat="false" ht="15" hidden="false" customHeight="false" outlineLevel="0" collapsed="false">
      <c r="A34" s="0" t="str">
        <f aca="false">VLOOKUP(B34,[2]Sheet1!$D$5:$L$185,9,0)</f>
        <v>ES2118</v>
      </c>
      <c r="B34" s="6" t="s">
        <v>843</v>
      </c>
      <c r="C34" s="0" t="s">
        <v>18</v>
      </c>
      <c r="D34" s="0" t="n">
        <v>27</v>
      </c>
      <c r="E34" s="0" t="str">
        <f aca="false">VLOOKUP(D34,[3]Sheet2!$A$6:$F$43,4,0)</f>
        <v>0026117102</v>
      </c>
      <c r="F34" s="0" t="str">
        <f aca="false">VLOOKUP(D34,[3]Sheet2!$A$6:$F$43,6,0)</f>
        <v>Supriono, ST., MT.</v>
      </c>
      <c r="G34" s="0" t="str">
        <f aca="false">VLOOKUP(A34,Worksheet!$C$2:$D$3503,2,0)</f>
        <v>MATEMATIKA TEKNIK I</v>
      </c>
      <c r="H34" s="0" t="n">
        <f aca="false">IF(B34=G34,1,0)</f>
        <v>1</v>
      </c>
      <c r="I34" s="0" t="n">
        <f aca="false">VLOOKUP(A34,[2]Sheet1!$C$5:$E$185,3,0)</f>
        <v>3</v>
      </c>
    </row>
    <row r="35" customFormat="false" ht="15" hidden="false" customHeight="false" outlineLevel="0" collapsed="false">
      <c r="A35" s="0" t="str">
        <f aca="false">VLOOKUP(B35,[2]Sheet1!$D$5:$L$185,9,0)</f>
        <v>ES2118</v>
      </c>
      <c r="B35" s="6" t="s">
        <v>843</v>
      </c>
      <c r="C35" s="0" t="s">
        <v>127</v>
      </c>
      <c r="D35" s="0" t="n">
        <v>4</v>
      </c>
      <c r="E35" s="0" t="str">
        <f aca="false">VLOOKUP(D35,[3]Sheet2!$A$6:$F$43,4,0)</f>
        <v>0012066905</v>
      </c>
      <c r="F35" s="0" t="str">
        <f aca="false">VLOOKUP(D35,[3]Sheet2!$A$6:$F$43,6,0)</f>
        <v>Syafaruddin Ch., ST., MT.</v>
      </c>
      <c r="G35" s="0" t="str">
        <f aca="false">VLOOKUP(A35,Worksheet!$C$2:$D$3503,2,0)</f>
        <v>MATEMATIKA TEKNIK I</v>
      </c>
      <c r="H35" s="0" t="n">
        <f aca="false">IF(B35=G35,1,0)</f>
        <v>1</v>
      </c>
      <c r="I35" s="0" t="n">
        <f aca="false">VLOOKUP(A35,[2]Sheet1!$C$5:$E$185,3,0)</f>
        <v>3</v>
      </c>
    </row>
    <row r="36" customFormat="false" ht="15" hidden="false" customHeight="false" outlineLevel="0" collapsed="false">
      <c r="A36" s="0" t="str">
        <f aca="false">VLOOKUP(B36,[2]Sheet1!$D$5:$L$185,9,0)</f>
        <v>ES2122</v>
      </c>
      <c r="B36" s="6" t="s">
        <v>871</v>
      </c>
      <c r="C36" s="0" t="s">
        <v>14</v>
      </c>
      <c r="D36" s="0" t="n">
        <v>25</v>
      </c>
      <c r="E36" s="0" t="str">
        <f aca="false">VLOOKUP(D36,[3]Sheet2!$A$6:$F$43,4,0)</f>
        <v>0025037004</v>
      </c>
      <c r="F36" s="0" t="str">
        <f aca="false">VLOOKUP(D36,[3]Sheet2!$A$6:$F$43,6,0)</f>
        <v>Dr. I Made Ginarsa, ST., MT.</v>
      </c>
      <c r="G36" s="0" t="str">
        <f aca="false">VLOOKUP(A36,Worksheet!$C$2:$D$3503,2,0)</f>
        <v>PENGUKURAN BESARAN LISTRIK</v>
      </c>
      <c r="H36" s="0" t="n">
        <f aca="false">IF(B36=G36,1,0)</f>
        <v>1</v>
      </c>
      <c r="I36" s="0" t="n">
        <f aca="false">VLOOKUP(A36,[2]Sheet1!$C$5:$E$185,3,0)</f>
        <v>2</v>
      </c>
    </row>
    <row r="37" customFormat="false" ht="15" hidden="false" customHeight="false" outlineLevel="0" collapsed="false">
      <c r="A37" s="0" t="str">
        <f aca="false">VLOOKUP(B37,[2]Sheet1!$D$5:$L$185,9,0)</f>
        <v>ES2122</v>
      </c>
      <c r="B37" s="6" t="s">
        <v>871</v>
      </c>
      <c r="C37" s="0" t="s">
        <v>18</v>
      </c>
      <c r="D37" s="0" t="n">
        <v>1</v>
      </c>
      <c r="E37" s="0" t="str">
        <f aca="false">VLOOKUP(D37,[3]Sheet2!$A$6:$F$43,4,0)</f>
        <v>0020037003</v>
      </c>
      <c r="F37" s="0" t="str">
        <f aca="false">VLOOKUP(D37,[3]Sheet2!$A$6:$F$43,6,0)</f>
        <v>Ni Made Seniari, ST., MT.</v>
      </c>
      <c r="G37" s="0" t="str">
        <f aca="false">VLOOKUP(A37,Worksheet!$C$2:$D$3503,2,0)</f>
        <v>PENGUKURAN BESARAN LISTRIK</v>
      </c>
      <c r="H37" s="0" t="n">
        <f aca="false">IF(B37=G37,1,0)</f>
        <v>1</v>
      </c>
      <c r="I37" s="0" t="n">
        <f aca="false">VLOOKUP(A37,[2]Sheet1!$C$5:$E$185,3,0)</f>
        <v>2</v>
      </c>
    </row>
    <row r="38" customFormat="false" ht="15" hidden="false" customHeight="false" outlineLevel="0" collapsed="false">
      <c r="A38" s="0" t="str">
        <f aca="false">VLOOKUP(B38,[2]Sheet1!$D$5:$L$185,9,0)</f>
        <v>ES2122</v>
      </c>
      <c r="B38" s="6" t="s">
        <v>871</v>
      </c>
      <c r="C38" s="0" t="s">
        <v>127</v>
      </c>
      <c r="D38" s="0" t="n">
        <v>5</v>
      </c>
      <c r="E38" s="0" t="str">
        <f aca="false">VLOOKUP(D38,[3]Sheet2!$A$6:$F$43,4,0)</f>
        <v>0031126704</v>
      </c>
      <c r="F38" s="0" t="str">
        <f aca="false">VLOOKUP(D38,[3]Sheet2!$A$6:$F$43,6,0)</f>
        <v>Sultan, ST., MT.</v>
      </c>
      <c r="G38" s="0" t="str">
        <f aca="false">VLOOKUP(A38,Worksheet!$C$2:$D$3503,2,0)</f>
        <v>PENGUKURAN BESARAN LISTRIK</v>
      </c>
      <c r="H38" s="0" t="n">
        <f aca="false">IF(B38=G38,1,0)</f>
        <v>1</v>
      </c>
      <c r="I38" s="0" t="n">
        <f aca="false">VLOOKUP(A38,[2]Sheet1!$C$5:$E$185,3,0)</f>
        <v>2</v>
      </c>
    </row>
    <row r="39" customFormat="false" ht="15" hidden="false" customHeight="false" outlineLevel="0" collapsed="false">
      <c r="A39" s="0" t="str">
        <f aca="false">VLOOKUP(B39,[2]Sheet1!$D$5:$L$185,9,0)</f>
        <v>ES4144</v>
      </c>
      <c r="B39" s="6" t="s">
        <v>881</v>
      </c>
      <c r="C39" s="0" t="s">
        <v>14</v>
      </c>
      <c r="D39" s="0" t="n">
        <v>21</v>
      </c>
      <c r="E39" s="0" t="str">
        <f aca="false">VLOOKUP(D39,[3]Sheet2!$A$6:$F$43,4,0)</f>
        <v>0019117407</v>
      </c>
      <c r="F39" s="0" t="str">
        <f aca="false">VLOOKUP(D39,[3]Sheet2!$A$6:$F$43,6,0)</f>
        <v>Dr. rer.nat. Teti Zubaidah, ST., MT.</v>
      </c>
      <c r="G39" s="0" t="str">
        <f aca="false">VLOOKUP(A39,Worksheet!$C$2:$D$3503,2,0)</f>
        <v>PRA TUGAS AKHIR</v>
      </c>
      <c r="H39" s="0" t="n">
        <f aca="false">IF(B39=G39,1,0)</f>
        <v>1</v>
      </c>
      <c r="I39" s="0" t="n">
        <f aca="false">VLOOKUP(A39,[2]Sheet1!$C$5:$E$185,3,0)</f>
        <v>2</v>
      </c>
    </row>
    <row r="40" customFormat="false" ht="15" hidden="false" customHeight="false" outlineLevel="0" collapsed="false">
      <c r="A40" s="0" t="str">
        <f aca="false">VLOOKUP(B40,[2]Sheet1!$D$5:$L$185,9,0)</f>
        <v>ES4144</v>
      </c>
      <c r="B40" s="6" t="s">
        <v>881</v>
      </c>
      <c r="C40" s="0" t="s">
        <v>18</v>
      </c>
      <c r="D40" s="0" t="n">
        <v>7</v>
      </c>
      <c r="E40" s="0" t="str">
        <f aca="false">VLOOKUP(D40,[3]Sheet2!$A$6:$F$43,4,0)</f>
        <v>0005106805</v>
      </c>
      <c r="F40" s="0" t="str">
        <f aca="false">VLOOKUP(D40,[3]Sheet2!$A$6:$F$43,6,0)</f>
        <v>Misbahuddin, ST., MT.</v>
      </c>
      <c r="G40" s="0" t="str">
        <f aca="false">VLOOKUP(A40,Worksheet!$C$2:$D$3503,2,0)</f>
        <v>PRA TUGAS AKHIR</v>
      </c>
      <c r="H40" s="0" t="n">
        <f aca="false">IF(B40=G40,1,0)</f>
        <v>1</v>
      </c>
      <c r="I40" s="0" t="n">
        <f aca="false">VLOOKUP(A40,[2]Sheet1!$C$5:$E$185,3,0)</f>
        <v>2</v>
      </c>
    </row>
    <row r="41" customFormat="false" ht="15" hidden="false" customHeight="false" outlineLevel="0" collapsed="false">
      <c r="A41" s="0" t="str">
        <f aca="false">VLOOKUP(B41,[2]Sheet1!$D$5:$L$185,9,0)</f>
        <v>ES4144</v>
      </c>
      <c r="B41" s="6" t="s">
        <v>881</v>
      </c>
      <c r="C41" s="0" t="s">
        <v>127</v>
      </c>
      <c r="D41" s="0" t="n">
        <v>18</v>
      </c>
      <c r="E41" s="0" t="str">
        <f aca="false">VLOOKUP(D41,[3]Sheet2!$A$6:$F$43,4,0)</f>
        <v>0022027205</v>
      </c>
      <c r="F41" s="0" t="str">
        <f aca="false">VLOOKUP(D41,[3]Sheet2!$A$6:$F$43,6,0)</f>
        <v>Muhamad Syamsu Iqbal, ST., MT.</v>
      </c>
      <c r="G41" s="0" t="str">
        <f aca="false">VLOOKUP(A41,Worksheet!$C$2:$D$3503,2,0)</f>
        <v>PRA TUGAS AKHIR</v>
      </c>
      <c r="H41" s="0" t="n">
        <f aca="false">IF(B41=G41,1,0)</f>
        <v>1</v>
      </c>
      <c r="I41" s="0" t="n">
        <f aca="false">VLOOKUP(A41,[2]Sheet1!$C$5:$E$185,3,0)</f>
        <v>2</v>
      </c>
    </row>
    <row r="42" customFormat="false" ht="15" hidden="false" customHeight="false" outlineLevel="0" collapsed="false">
      <c r="A42" s="0" t="str">
        <f aca="false">VLOOKUP(B42,[2]Sheet1!$D$5:$L$185,9,0)</f>
        <v>ES4144</v>
      </c>
      <c r="B42" s="6" t="s">
        <v>881</v>
      </c>
      <c r="C42" s="0" t="s">
        <v>514</v>
      </c>
      <c r="D42" s="0" t="n">
        <v>25</v>
      </c>
      <c r="E42" s="0" t="str">
        <f aca="false">VLOOKUP(D42,[3]Sheet2!$A$6:$F$43,4,0)</f>
        <v>0025037004</v>
      </c>
      <c r="F42" s="0" t="str">
        <f aca="false">VLOOKUP(D42,[3]Sheet2!$A$6:$F$43,6,0)</f>
        <v>Dr. I Made Ginarsa, ST., MT.</v>
      </c>
      <c r="G42" s="0" t="str">
        <f aca="false">VLOOKUP(A42,Worksheet!$C$2:$D$3503,2,0)</f>
        <v>PRA TUGAS AKHIR</v>
      </c>
      <c r="H42" s="0" t="n">
        <f aca="false">IF(B42=G42,1,0)</f>
        <v>1</v>
      </c>
      <c r="I42" s="0" t="n">
        <f aca="false">VLOOKUP(A42,[2]Sheet1!$C$5:$E$185,3,0)</f>
        <v>2</v>
      </c>
    </row>
    <row r="43" customFormat="false" ht="15" hidden="false" customHeight="false" outlineLevel="0" collapsed="false">
      <c r="A43" s="0" t="str">
        <f aca="false">VLOOKUP(B43,[2]Sheet1!$D$5:$L$185,9,0)</f>
        <v>ES2230</v>
      </c>
      <c r="B43" s="6" t="s">
        <v>925</v>
      </c>
      <c r="C43" s="0" t="s">
        <v>14</v>
      </c>
      <c r="D43" s="0" t="n">
        <v>6</v>
      </c>
      <c r="E43" s="0" t="str">
        <f aca="false">VLOOKUP(D43,[3]Sheet2!$A$6:$F$43,4,0)</f>
        <v>0026056701</v>
      </c>
      <c r="F43" s="0" t="str">
        <f aca="false">VLOOKUP(D43,[3]Sheet2!$A$6:$F$43,6,0)</f>
        <v>Sudi M. Al Sasongko, ST., MT.</v>
      </c>
      <c r="G43" s="0" t="str">
        <f aca="false">VLOOKUP(A43,Worksheet!$C$2:$D$3503,2,0)</f>
        <v>PROSES STOKASTIK</v>
      </c>
      <c r="H43" s="0" t="n">
        <f aca="false">IF(B43=G43,1,0)</f>
        <v>1</v>
      </c>
      <c r="I43" s="0" t="n">
        <f aca="false">VLOOKUP(A43,[2]Sheet1!$C$5:$E$185,3,0)</f>
        <v>2</v>
      </c>
    </row>
    <row r="44" customFormat="false" ht="15" hidden="false" customHeight="false" outlineLevel="0" collapsed="false">
      <c r="A44" s="0" t="str">
        <f aca="false">VLOOKUP(B44,[2]Sheet1!$D$5:$L$185,9,0)</f>
        <v>ES2230</v>
      </c>
      <c r="B44" s="6" t="s">
        <v>925</v>
      </c>
      <c r="C44" s="0" t="s">
        <v>18</v>
      </c>
      <c r="D44" s="0" t="n">
        <v>18</v>
      </c>
      <c r="E44" s="0" t="str">
        <f aca="false">VLOOKUP(D44,[3]Sheet2!$A$6:$F$43,4,0)</f>
        <v>0022027205</v>
      </c>
      <c r="F44" s="0" t="str">
        <f aca="false">VLOOKUP(D44,[3]Sheet2!$A$6:$F$43,6,0)</f>
        <v>Muhamad Syamsu Iqbal, ST., MT.</v>
      </c>
      <c r="G44" s="0" t="str">
        <f aca="false">VLOOKUP(A44,Worksheet!$C$2:$D$3503,2,0)</f>
        <v>PROSES STOKASTIK</v>
      </c>
      <c r="H44" s="0" t="n">
        <f aca="false">IF(B44=G44,1,0)</f>
        <v>1</v>
      </c>
      <c r="I44" s="0" t="n">
        <f aca="false">VLOOKUP(A44,[2]Sheet1!$C$5:$E$185,3,0)</f>
        <v>2</v>
      </c>
    </row>
    <row r="45" customFormat="false" ht="15" hidden="false" customHeight="false" outlineLevel="0" collapsed="false">
      <c r="A45" s="0" t="str">
        <f aca="false">VLOOKUP(B45,[2]Sheet1!$D$5:$L$185,9,0)</f>
        <v>ES1212</v>
      </c>
      <c r="B45" s="6" t="s">
        <v>933</v>
      </c>
      <c r="C45" s="0" t="s">
        <v>14</v>
      </c>
      <c r="D45" s="0" t="n">
        <v>17</v>
      </c>
      <c r="E45" s="0" t="str">
        <f aca="false">VLOOKUP(D45,[3]Sheet2!$A$6:$F$43,4,0)</f>
        <v>0024117102</v>
      </c>
      <c r="F45" s="0" t="str">
        <f aca="false">VLOOKUP(D45,[3]Sheet2!$A$6:$F$43,6,0)</f>
        <v>A. Sjamsjiar Rachman, ST., MT.</v>
      </c>
      <c r="G45" s="0" t="str">
        <f aca="false">VLOOKUP(A45,Worksheet!$C$2:$D$3503,2,0)</f>
        <v>RANGKAIAN LISTRIK I</v>
      </c>
      <c r="H45" s="0" t="n">
        <f aca="false">IF(B45=G45,1,0)</f>
        <v>1</v>
      </c>
      <c r="I45" s="0" t="n">
        <f aca="false">VLOOKUP(A45,[2]Sheet1!$C$5:$E$185,3,0)</f>
        <v>3</v>
      </c>
    </row>
    <row r="46" customFormat="false" ht="15" hidden="false" customHeight="false" outlineLevel="0" collapsed="false">
      <c r="A46" s="0" t="str">
        <f aca="false">VLOOKUP(B46,[2]Sheet1!$D$5:$L$185,9,0)</f>
        <v>ES1212</v>
      </c>
      <c r="B46" s="6" t="s">
        <v>933</v>
      </c>
      <c r="C46" s="0" t="s">
        <v>18</v>
      </c>
      <c r="D46" s="0" t="n">
        <v>1</v>
      </c>
      <c r="E46" s="0" t="str">
        <f aca="false">VLOOKUP(D46,[3]Sheet2!$A$6:$F$43,4,0)</f>
        <v>0020037003</v>
      </c>
      <c r="F46" s="0" t="str">
        <f aca="false">VLOOKUP(D46,[3]Sheet2!$A$6:$F$43,6,0)</f>
        <v>Ni Made Seniari, ST., MT.</v>
      </c>
      <c r="G46" s="0" t="str">
        <f aca="false">VLOOKUP(A46,Worksheet!$C$2:$D$3503,2,0)</f>
        <v>RANGKAIAN LISTRIK I</v>
      </c>
      <c r="H46" s="0" t="n">
        <f aca="false">IF(B46=G46,1,0)</f>
        <v>1</v>
      </c>
      <c r="I46" s="0" t="n">
        <f aca="false">VLOOKUP(A46,[2]Sheet1!$C$5:$E$185,3,0)</f>
        <v>3</v>
      </c>
    </row>
    <row r="47" customFormat="false" ht="15" hidden="false" customHeight="false" outlineLevel="0" collapsed="false">
      <c r="A47" s="0" t="str">
        <f aca="false">VLOOKUP(B47,[2]Sheet1!$D$5:$L$185,9,0)</f>
        <v>ES1212</v>
      </c>
      <c r="B47" s="6" t="s">
        <v>933</v>
      </c>
      <c r="C47" s="0" t="s">
        <v>127</v>
      </c>
      <c r="D47" s="0" t="n">
        <v>28</v>
      </c>
      <c r="E47" s="0" t="str">
        <f aca="false">VLOOKUP(D47,[3]Sheet2!$A$6:$F$43,4,0)</f>
        <v>0013077104</v>
      </c>
      <c r="F47" s="0" t="str">
        <f aca="false">VLOOKUP(D47,[3]Sheet2!$A$6:$F$43,6,0)</f>
        <v>Sabar Nababan, ST., MT.</v>
      </c>
      <c r="G47" s="0" t="str">
        <f aca="false">VLOOKUP(A47,Worksheet!$C$2:$D$3503,2,0)</f>
        <v>RANGKAIAN LISTRIK I</v>
      </c>
      <c r="H47" s="0" t="n">
        <f aca="false">IF(B47=G47,1,0)</f>
        <v>1</v>
      </c>
      <c r="I47" s="0" t="n">
        <f aca="false">VLOOKUP(A47,[2]Sheet1!$C$5:$E$185,3,0)</f>
        <v>3</v>
      </c>
    </row>
    <row r="48" customFormat="false" ht="15" hidden="false" customHeight="false" outlineLevel="0" collapsed="false">
      <c r="A48" s="0" t="str">
        <f aca="false">VLOOKUP(B48,[2]Sheet1!$D$5:$L$185,9,0)</f>
        <v>ES3139</v>
      </c>
      <c r="B48" s="6" t="s">
        <v>945</v>
      </c>
      <c r="C48" s="0" t="s">
        <v>14</v>
      </c>
      <c r="D48" s="0" t="n">
        <v>3</v>
      </c>
      <c r="E48" s="0" t="str">
        <f aca="false">VLOOKUP(D48,[3]Sheet2!$A$6:$F$43,4,0)</f>
        <v>0024046605</v>
      </c>
      <c r="F48" s="0" t="str">
        <f aca="false">VLOOKUP(D48,[3]Sheet2!$A$6:$F$43,6,0)</f>
        <v>I Ketut Wiryajati, ST., MT.</v>
      </c>
      <c r="G48" s="0" t="str">
        <f aca="false">VLOOKUP(A48,Worksheet!$C$2:$D$3503,2,0)</f>
        <v>SISTEM KENDALI</v>
      </c>
      <c r="H48" s="0" t="n">
        <f aca="false">IF(B48=G48,1,0)</f>
        <v>1</v>
      </c>
      <c r="I48" s="0" t="n">
        <f aca="false">VLOOKUP(A48,[2]Sheet1!$C$5:$E$185,3,0)</f>
        <v>3</v>
      </c>
    </row>
    <row r="49" customFormat="false" ht="15" hidden="false" customHeight="false" outlineLevel="0" collapsed="false">
      <c r="A49" s="0" t="str">
        <f aca="false">VLOOKUP(B49,[2]Sheet1!$D$5:$L$185,9,0)</f>
        <v>ES3139</v>
      </c>
      <c r="B49" s="6" t="s">
        <v>945</v>
      </c>
      <c r="C49" s="0" t="s">
        <v>18</v>
      </c>
      <c r="D49" s="0" t="n">
        <v>8</v>
      </c>
      <c r="E49" s="0" t="str">
        <f aca="false">VLOOKUP(D49,[3]Sheet2!$A$6:$F$43,4,0)</f>
        <v>0008097004</v>
      </c>
      <c r="F49" s="0" t="str">
        <f aca="false">VLOOKUP(D49,[3]Sheet2!$A$6:$F$43,6,0)</f>
        <v>I Nyoman Wahyu S., ST., M.Sc., Ph.D.</v>
      </c>
      <c r="G49" s="0" t="str">
        <f aca="false">VLOOKUP(A49,Worksheet!$C$2:$D$3503,2,0)</f>
        <v>SISTEM KENDALI</v>
      </c>
      <c r="H49" s="0" t="n">
        <f aca="false">IF(B49=G49,1,0)</f>
        <v>1</v>
      </c>
      <c r="I49" s="0" t="n">
        <f aca="false">VLOOKUP(A49,[2]Sheet1!$C$5:$E$185,3,0)</f>
        <v>3</v>
      </c>
    </row>
    <row r="50" customFormat="false" ht="15" hidden="false" customHeight="false" outlineLevel="0" collapsed="false">
      <c r="A50" s="0" t="str">
        <f aca="false">VLOOKUP(B50,[2]Sheet1!$D$5:$L$185,9,0)</f>
        <v>EA3101</v>
      </c>
      <c r="B50" s="6" t="s">
        <v>207</v>
      </c>
      <c r="C50" s="0" t="s">
        <v>208</v>
      </c>
      <c r="D50" s="0" t="n">
        <v>24</v>
      </c>
      <c r="E50" s="0" t="str">
        <f aca="false">VLOOKUP(D50,[3]Sheet2!$A$6:$F$43,4,0)</f>
        <v>0004047303</v>
      </c>
      <c r="F50" s="0" t="str">
        <f aca="false">VLOOKUP(D50,[3]Sheet2!$A$6:$F$43,6,0)</f>
        <v>I Made Ari Nrartha, ST., MT.</v>
      </c>
      <c r="G50" s="0" t="str">
        <f aca="false">VLOOKUP(A50,Worksheet!$C$2:$D$3503,2,0)</f>
        <v>ANALISA SISTEM TENAGA I</v>
      </c>
      <c r="H50" s="0" t="n">
        <f aca="false">IF(B50=G50,1,0)</f>
        <v>1</v>
      </c>
      <c r="I50" s="0" t="n">
        <f aca="false">VLOOKUP(A50,[2]Sheet1!$C$5:$E$185,3,0)</f>
        <v>3</v>
      </c>
    </row>
    <row r="51" customFormat="false" ht="15" hidden="false" customHeight="false" outlineLevel="0" collapsed="false">
      <c r="A51" s="0" t="str">
        <f aca="false">VLOOKUP(B51,[2]Sheet1!$D$5:$L$185,9,0)</f>
        <v>EC4112</v>
      </c>
      <c r="B51" s="6" t="s">
        <v>262</v>
      </c>
      <c r="C51" s="0" t="s">
        <v>208</v>
      </c>
      <c r="D51" s="0" t="n">
        <v>9</v>
      </c>
      <c r="E51" s="0" t="str">
        <f aca="false">VLOOKUP(D51,[3]Sheet2!$A$6:$F$43,4,0)</f>
        <v>0028106901</v>
      </c>
      <c r="F51" s="0" t="str">
        <f aca="false">VLOOKUP(D51,[3]Sheet2!$A$6:$F$43,6,0)</f>
        <v>Cahyo Mustiko O.M., ST., M.Sc., Ph.D.</v>
      </c>
      <c r="G51" s="0" t="str">
        <f aca="false">VLOOKUP(A51,Worksheet!$C$2:$D$3503,2,0)</f>
        <v>ANTENA DAN PROPAGASI</v>
      </c>
      <c r="H51" s="0" t="n">
        <f aca="false">IF(B51=G51,1,0)</f>
        <v>1</v>
      </c>
      <c r="I51" s="0" t="n">
        <f aca="false">VLOOKUP(A51,[2]Sheet1!$C$5:$E$185,3,0)</f>
        <v>2</v>
      </c>
    </row>
    <row r="52" customFormat="false" ht="15" hidden="false" customHeight="false" outlineLevel="0" collapsed="false">
      <c r="A52" s="0" t="str">
        <f aca="false">VLOOKUP(B52,[2]Sheet1!$D$5:$L$185,9,0)</f>
        <v>ED3102</v>
      </c>
      <c r="B52" s="6" t="s">
        <v>518</v>
      </c>
      <c r="C52" s="0" t="s">
        <v>208</v>
      </c>
      <c r="D52" s="0" t="n">
        <v>35</v>
      </c>
      <c r="E52" s="0" t="str">
        <f aca="false">VLOOKUP(D52,[3]Sheet2!$A$6:$F$43,4,0)</f>
        <v>0010038303</v>
      </c>
      <c r="F52" s="0" t="str">
        <f aca="false">VLOOKUP(D52,[3]Sheet2!$A$6:$F$43,6,0)</f>
        <v>L. A. Syamsul Irfan Akbar, ST., M.Eng.</v>
      </c>
      <c r="G52" s="0" t="str">
        <f aca="false">VLOOKUP(A52,Worksheet!$C$2:$D$3503,2,0)</f>
        <v>BASIS DATA</v>
      </c>
      <c r="H52" s="0" t="n">
        <f aca="false">IF(B52=G52,1,0)</f>
        <v>1</v>
      </c>
      <c r="I52" s="0" t="n">
        <f aca="false">VLOOKUP(A52,[2]Sheet1!$C$5:$E$185,3,0)</f>
        <v>3</v>
      </c>
    </row>
    <row r="53" customFormat="false" ht="15" hidden="false" customHeight="false" outlineLevel="0" collapsed="false">
      <c r="A53" s="0" t="str">
        <f aca="false">VLOOKUP(B53,[2]Sheet1!$D$5:$L$185,9,0)</f>
        <v>EC3101</v>
      </c>
      <c r="B53" s="6" t="s">
        <v>678</v>
      </c>
      <c r="C53" s="0" t="s">
        <v>208</v>
      </c>
      <c r="D53" s="0" t="n">
        <v>9</v>
      </c>
      <c r="E53" s="0" t="str">
        <f aca="false">VLOOKUP(D53,[3]Sheet2!$A$6:$F$43,4,0)</f>
        <v>0028106901</v>
      </c>
      <c r="F53" s="0" t="str">
        <f aca="false">VLOOKUP(D53,[3]Sheet2!$A$6:$F$43,6,0)</f>
        <v>Cahyo Mustiko O.M., ST., M.Sc., Ph.D.</v>
      </c>
      <c r="G53" s="0" t="str">
        <f aca="false">VLOOKUP(A53,Worksheet!$C$2:$D$3503,2,0)</f>
        <v>ELEKTROMAGNETIK LANJUT</v>
      </c>
      <c r="H53" s="0" t="n">
        <f aca="false">IF(B53=G53,1,0)</f>
        <v>1</v>
      </c>
      <c r="I53" s="0" t="n">
        <f aca="false">VLOOKUP(A53,[2]Sheet1!$C$5:$E$185,3,0)</f>
        <v>2</v>
      </c>
    </row>
    <row r="54" customFormat="false" ht="15" hidden="false" customHeight="false" outlineLevel="0" collapsed="false">
      <c r="A54" s="0" t="str">
        <f aca="false">VLOOKUP(B54,[2]Sheet1!$D$5:$L$185,9,0)</f>
        <v>EB3105</v>
      </c>
      <c r="B54" s="6" t="s">
        <v>686</v>
      </c>
      <c r="C54" s="0" t="s">
        <v>208</v>
      </c>
      <c r="D54" s="0" t="n">
        <v>38</v>
      </c>
      <c r="E54" s="0" t="str">
        <f aca="false">VLOOKUP(D54,[3]Sheet2!$A$6:$F$43,4,0)</f>
        <v>0826058503</v>
      </c>
      <c r="F54" s="0" t="str">
        <f aca="false">VLOOKUP(D54,[3]Sheet2!$A$6:$F$43,6,0)</f>
        <v>Budi Darmawan, ST., M.Eng.</v>
      </c>
      <c r="G54" s="0" t="str">
        <f aca="false">VLOOKUP(A54,Worksheet!$C$2:$D$3503,2,0)</f>
        <v>ELEKTRONIKA ANALOG</v>
      </c>
      <c r="H54" s="0" t="n">
        <f aca="false">IF(B54=G54,1,0)</f>
        <v>1</v>
      </c>
      <c r="I54" s="0" t="n">
        <f aca="false">VLOOKUP(A54,[2]Sheet1!$C$5:$E$185,3,0)</f>
        <v>2</v>
      </c>
    </row>
    <row r="55" customFormat="false" ht="15" hidden="false" customHeight="false" outlineLevel="0" collapsed="false">
      <c r="A55" s="0" t="str">
        <f aca="false">VLOOKUP(B55,[2]Sheet1!$D$5:$L$185,9,0)</f>
        <v>EA4115</v>
      </c>
      <c r="B55" s="6" t="s">
        <v>728</v>
      </c>
      <c r="C55" s="0" t="s">
        <v>208</v>
      </c>
      <c r="D55" s="0" t="n">
        <v>8</v>
      </c>
      <c r="E55" s="0" t="str">
        <f aca="false">VLOOKUP(D55,[3]Sheet2!$A$6:$F$43,4,0)</f>
        <v>0008097004</v>
      </c>
      <c r="F55" s="0" t="str">
        <f aca="false">VLOOKUP(D55,[3]Sheet2!$A$6:$F$43,6,0)</f>
        <v>I Nyoman Wahyu S., ST., M.Sc., Ph.D.</v>
      </c>
      <c r="G55" s="0" t="str">
        <f aca="false">VLOOKUP(A55,Worksheet!$C$2:$D$3503,2,0)</f>
        <v>ELEKTRONIKA DAYA</v>
      </c>
      <c r="H55" s="0" t="n">
        <f aca="false">IF(B55=G55,1,0)</f>
        <v>1</v>
      </c>
      <c r="I55" s="0" t="n">
        <f aca="false">VLOOKUP(A55,[2]Sheet1!$C$5:$E$185,3,0)</f>
        <v>2</v>
      </c>
    </row>
    <row r="56" customFormat="false" ht="15" hidden="false" customHeight="false" outlineLevel="0" collapsed="false">
      <c r="A56" s="0" t="str">
        <f aca="false">VLOOKUP(B56,[2]Sheet1!$D$5:$L$185,9,0)</f>
        <v>EB3103</v>
      </c>
      <c r="B56" s="6" t="s">
        <v>744</v>
      </c>
      <c r="C56" s="0" t="s">
        <v>208</v>
      </c>
      <c r="D56" s="0" t="n">
        <v>23</v>
      </c>
      <c r="E56" s="0" t="str">
        <f aca="false">VLOOKUP(D56,[3]Sheet2!$A$6:$F$43,4,0)</f>
        <v>0026047105</v>
      </c>
      <c r="F56" s="0" t="str">
        <f aca="false">VLOOKUP(D56,[3]Sheet2!$A$6:$F$43,6,0)</f>
        <v>I Made Budi Suksmadana, ST., MT.</v>
      </c>
      <c r="G56" s="0" t="str">
        <f aca="false">VLOOKUP(A56,Worksheet!$C$2:$D$3503,2,0)</f>
        <v>ELEKTRONIKA DIGITAL</v>
      </c>
      <c r="H56" s="0" t="n">
        <f aca="false">IF(B56=G56,1,0)</f>
        <v>1</v>
      </c>
      <c r="I56" s="0" t="n">
        <f aca="false">VLOOKUP(A56,[2]Sheet1!$C$5:$E$185,3,0)</f>
        <v>2</v>
      </c>
    </row>
    <row r="57" customFormat="false" ht="15" hidden="false" customHeight="false" outlineLevel="0" collapsed="false">
      <c r="A57" s="0" t="str">
        <f aca="false">VLOOKUP(B57,[2]Sheet1!$D$5:$L$185,9,0)</f>
        <v>EA4002</v>
      </c>
      <c r="B57" s="6" t="s">
        <v>754</v>
      </c>
      <c r="C57" s="0" t="s">
        <v>208</v>
      </c>
      <c r="D57" s="0" t="n">
        <v>21</v>
      </c>
      <c r="E57" s="0" t="str">
        <f aca="false">VLOOKUP(D57,[3]Sheet2!$A$6:$F$43,4,0)</f>
        <v>0019117407</v>
      </c>
      <c r="F57" s="0" t="str">
        <f aca="false">VLOOKUP(D57,[3]Sheet2!$A$6:$F$43,6,0)</f>
        <v>Dr. rer.nat. Teti Zubaidah, ST., MT.</v>
      </c>
      <c r="G57" s="0" t="str">
        <f aca="false">VLOOKUP(A57,Worksheet!$C$2:$D$3503,2,0)</f>
        <v>GEJALA MEDAN TINGGI</v>
      </c>
      <c r="H57" s="0" t="n">
        <f aca="false">IF(B57=G57,1,0)</f>
        <v>1</v>
      </c>
      <c r="I57" s="0" t="n">
        <f aca="false">VLOOKUP(A57,[2]Sheet1!$C$5:$E$185,3,0)</f>
        <v>2</v>
      </c>
    </row>
    <row r="58" customFormat="false" ht="15" hidden="false" customHeight="false" outlineLevel="0" collapsed="false">
      <c r="A58" s="0" t="str">
        <f aca="false">VLOOKUP(B58,[2]Sheet1!$D$5:$L$185,9,0)</f>
        <v>EB4003</v>
      </c>
      <c r="B58" s="6" t="s">
        <v>758</v>
      </c>
      <c r="C58" s="0" t="s">
        <v>208</v>
      </c>
      <c r="D58" s="0" t="n">
        <v>20</v>
      </c>
      <c r="E58" s="0" t="str">
        <f aca="false">VLOOKUP(D58,[3]Sheet2!$A$6:$F$43,4,0)</f>
        <v>0023077310</v>
      </c>
      <c r="F58" s="0" t="str">
        <f aca="false">VLOOKUP(D58,[3]Sheet2!$A$6:$F$43,6,0)</f>
        <v>Bulkis Kanata, ST., MT.</v>
      </c>
      <c r="G58" s="0" t="str">
        <f aca="false">VLOOKUP(A58,Worksheet!$C$2:$D$3503,2,0)</f>
        <v>JARINGAN SYARAF TIRUAN</v>
      </c>
      <c r="H58" s="0" t="n">
        <f aca="false">IF(B58=G58,1,0)</f>
        <v>1</v>
      </c>
      <c r="I58" s="0" t="n">
        <f aca="false">VLOOKUP(A58,[2]Sheet1!$C$5:$E$185,3,0)</f>
        <v>2</v>
      </c>
    </row>
    <row r="59" customFormat="false" ht="15" hidden="false" customHeight="false" outlineLevel="0" collapsed="false">
      <c r="A59" s="0" t="str">
        <f aca="false">VLOOKUP(B59,[2]Sheet1!$D$5:$L$185,9,0)</f>
        <v>EC3103</v>
      </c>
      <c r="B59" s="6" t="s">
        <v>764</v>
      </c>
      <c r="C59" s="0" t="s">
        <v>208</v>
      </c>
      <c r="D59" s="0" t="n">
        <v>18</v>
      </c>
      <c r="E59" s="0" t="str">
        <f aca="false">VLOOKUP(D59,[3]Sheet2!$A$6:$F$43,4,0)</f>
        <v>0022027205</v>
      </c>
      <c r="F59" s="0" t="str">
        <f aca="false">VLOOKUP(D59,[3]Sheet2!$A$6:$F$43,6,0)</f>
        <v>Muhamad Syamsu Iqbal, ST., MT.</v>
      </c>
      <c r="G59" s="0" t="str">
        <f aca="false">VLOOKUP(A59,Worksheet!$C$2:$D$3503,2,0)</f>
        <v>JARINGAN TELEKOMUNIKASI</v>
      </c>
      <c r="H59" s="0" t="n">
        <f aca="false">IF(B59=G59,1,0)</f>
        <v>1</v>
      </c>
      <c r="I59" s="0" t="n">
        <f aca="false">VLOOKUP(A59,[2]Sheet1!$C$5:$E$185,3,0)</f>
        <v>3</v>
      </c>
    </row>
    <row r="60" customFormat="false" ht="15" hidden="false" customHeight="false" outlineLevel="0" collapsed="false">
      <c r="A60" s="0" t="str">
        <f aca="false">VLOOKUP(B60,[2]Sheet1!$D$5:$L$185,9,0)</f>
        <v>EA4004</v>
      </c>
      <c r="B60" s="6" t="s">
        <v>768</v>
      </c>
      <c r="C60" s="0" t="s">
        <v>208</v>
      </c>
      <c r="D60" s="0" t="n">
        <v>14</v>
      </c>
      <c r="E60" s="0" t="str">
        <f aca="false">VLOOKUP(D60,[3]Sheet2!$A$6:$F$43,4,0)</f>
        <v>0009057201</v>
      </c>
      <c r="F60" s="0" t="str">
        <f aca="false">VLOOKUP(D60,[3]Sheet2!$A$6:$F$43,6,0)</f>
        <v>Abdul Natsir, ST., MT.</v>
      </c>
      <c r="G60" s="0" t="str">
        <f aca="false">VLOOKUP(A60,Worksheet!$C$2:$D$3503,2,0)</f>
        <v>KECERDASAN BUATAN DALAM STL</v>
      </c>
      <c r="H60" s="0" t="n">
        <f aca="false">IF(B60=G60,1,0)</f>
        <v>1</v>
      </c>
      <c r="I60" s="0" t="n">
        <f aca="false">VLOOKUP(A60,[2]Sheet1!$C$5:$E$185,3,0)</f>
        <v>2</v>
      </c>
    </row>
    <row r="61" customFormat="false" ht="15" hidden="false" customHeight="false" outlineLevel="0" collapsed="false">
      <c r="A61" s="0" t="str">
        <f aca="false">VLOOKUP(B61,[2]Sheet1!$D$5:$L$185,9,0)</f>
        <v>EC4003</v>
      </c>
      <c r="B61" s="6" t="s">
        <v>780</v>
      </c>
      <c r="C61" s="0" t="s">
        <v>208</v>
      </c>
      <c r="D61" s="0" t="n">
        <v>15</v>
      </c>
      <c r="E61" s="0" t="str">
        <f aca="false">VLOOKUP(D61,[3]Sheet2!$A$6:$F$43,4,0)</f>
        <v>0026107201</v>
      </c>
      <c r="F61" s="0" t="str">
        <f aca="false">VLOOKUP(D61,[3]Sheet2!$A$6:$F$43,6,0)</f>
        <v>Abdullah Zainuddin, ST., MT.</v>
      </c>
      <c r="G61" s="0" t="str">
        <f aca="false">VLOOKUP(A61,Worksheet!$C$2:$D$3503,2,0)</f>
        <v>KOMUNIKASI GELOMBANG MIKRO</v>
      </c>
      <c r="H61" s="0" t="n">
        <f aca="false">IF(B61=G61,1,0)</f>
        <v>1</v>
      </c>
      <c r="I61" s="0" t="n">
        <f aca="false">VLOOKUP(A61,[2]Sheet1!$C$5:$E$185,3,0)</f>
        <v>2</v>
      </c>
    </row>
    <row r="62" customFormat="false" ht="15" hidden="false" customHeight="false" outlineLevel="0" collapsed="false">
      <c r="A62" s="0" t="str">
        <f aca="false">VLOOKUP(B62,[2]Sheet1!$D$5:$L$185,9,0)</f>
        <v>EB4004</v>
      </c>
      <c r="B62" s="6" t="s">
        <v>835</v>
      </c>
      <c r="C62" s="0" t="s">
        <v>208</v>
      </c>
      <c r="D62" s="0" t="n">
        <v>34</v>
      </c>
      <c r="E62" s="0" t="str">
        <f aca="false">VLOOKUP(D62,[3]Sheet2!$A$6:$F$43,4,0)</f>
        <v>0016048107</v>
      </c>
      <c r="F62" s="0" t="str">
        <f aca="false">VLOOKUP(D62,[3]Sheet2!$A$6:$F$43,6,0)</f>
        <v>Muhamad Irwan. ST., MT.</v>
      </c>
      <c r="G62" s="0" t="str">
        <f aca="false">VLOOKUP(A62,Worksheet!$C$2:$D$3503,2,0)</f>
        <v>LOGIKA FUZZY</v>
      </c>
      <c r="H62" s="0" t="n">
        <f aca="false">IF(B62=G62,1,0)</f>
        <v>1</v>
      </c>
      <c r="I62" s="0" t="n">
        <f aca="false">VLOOKUP(A62,[2]Sheet1!$C$5:$E$185,3,0)</f>
        <v>2</v>
      </c>
    </row>
    <row r="63" customFormat="false" ht="15" hidden="false" customHeight="false" outlineLevel="0" collapsed="false">
      <c r="A63" s="0" t="str">
        <f aca="false">VLOOKUP(B63,[2]Sheet1!$D$5:$L$185,9,0)</f>
        <v>EA4112</v>
      </c>
      <c r="B63" s="6" t="s">
        <v>837</v>
      </c>
      <c r="C63" s="0" t="s">
        <v>208</v>
      </c>
      <c r="D63" s="0" t="n">
        <v>24</v>
      </c>
      <c r="E63" s="0" t="str">
        <f aca="false">VLOOKUP(D63,[3]Sheet2!$A$6:$F$43,4,0)</f>
        <v>0004047303</v>
      </c>
      <c r="F63" s="0" t="str">
        <f aca="false">VLOOKUP(D63,[3]Sheet2!$A$6:$F$43,6,0)</f>
        <v>I Made Ari Nrartha, ST., MT.</v>
      </c>
      <c r="G63" s="0" t="str">
        <f aca="false">VLOOKUP(A63,Worksheet!$C$2:$D$3503,2,0)</f>
        <v>MANAJEMEN OPERASI SISTEM TENAGA</v>
      </c>
      <c r="H63" s="0" t="n">
        <f aca="false">IF(B63=G63,1,0)</f>
        <v>1</v>
      </c>
      <c r="I63" s="0" t="n">
        <f aca="false">VLOOKUP(A63,[2]Sheet1!$C$5:$E$185,3,0)</f>
        <v>2</v>
      </c>
    </row>
    <row r="64" s="8" customFormat="true" ht="15" hidden="false" customHeight="false" outlineLevel="0" collapsed="false">
      <c r="A64" s="8" t="str">
        <f aca="false">VLOOKUP(B64,[2]Sheet1!$D$5:$L$185,9,0)</f>
        <v>ED3101</v>
      </c>
      <c r="B64" s="9" t="s">
        <v>841</v>
      </c>
      <c r="C64" s="8" t="s">
        <v>208</v>
      </c>
      <c r="D64" s="8" t="n">
        <v>7</v>
      </c>
      <c r="E64" s="8" t="str">
        <f aca="false">VLOOKUP(D64,[3]Sheet2!$A$6:$F$43,4,0)</f>
        <v>0005106805</v>
      </c>
      <c r="F64" s="8" t="str">
        <f aca="false">VLOOKUP(D64,[3]Sheet2!$A$6:$F$43,6,0)</f>
        <v>Misbahuddin, ST., MT.</v>
      </c>
      <c r="G64" s="8" t="str">
        <f aca="false">VLOOKUP(A64,Worksheet!$C$2:$D$3503,2,0)</f>
        <v>MATEMATIKA DISKRIT</v>
      </c>
      <c r="H64" s="8" t="n">
        <f aca="false">IF(B64=G64,1,0)</f>
        <v>1</v>
      </c>
      <c r="I64" s="8" t="n">
        <f aca="false">VLOOKUP(A64,[2]Sheet1!$C$5:$E$185,3,0)</f>
        <v>3</v>
      </c>
    </row>
    <row r="65" customFormat="false" ht="15" hidden="false" customHeight="false" outlineLevel="0" collapsed="false">
      <c r="A65" s="0" t="str">
        <f aca="false">VLOOKUP(B65,[2]Sheet1!$D$5:$L$185,9,0)</f>
        <v>EA3102</v>
      </c>
      <c r="B65" s="6" t="s">
        <v>851</v>
      </c>
      <c r="C65" s="0" t="s">
        <v>208</v>
      </c>
      <c r="D65" s="0" t="n">
        <v>12</v>
      </c>
      <c r="E65" s="0" t="str">
        <f aca="false">VLOOKUP(D65,[3]Sheet2!$A$6:$F$43,4,0)</f>
        <v>0026027405</v>
      </c>
      <c r="F65" s="0" t="str">
        <f aca="false">VLOOKUP(D65,[3]Sheet2!$A$6:$F$43,6,0)</f>
        <v>Ida Bagus Fery Citarsa, ST., MT.</v>
      </c>
      <c r="G65" s="0" t="str">
        <f aca="false">VLOOKUP(A65,Worksheet!$C$2:$D$3503,2,0)</f>
        <v>MESIN LISTRIK I</v>
      </c>
      <c r="H65" s="0" t="n">
        <f aca="false">IF(B65=G65,1,0)</f>
        <v>1</v>
      </c>
      <c r="I65" s="0" t="n">
        <f aca="false">VLOOKUP(A65,[2]Sheet1!$C$5:$E$185,3,0)</f>
        <v>3</v>
      </c>
    </row>
    <row r="66" customFormat="false" ht="15" hidden="false" customHeight="false" outlineLevel="0" collapsed="false">
      <c r="A66" s="0" t="str">
        <f aca="false">VLOOKUP(B66,[2]Sheet1!$D$5:$L$185,9,0)</f>
        <v>EA3103</v>
      </c>
      <c r="B66" s="6" t="s">
        <v>857</v>
      </c>
      <c r="C66" s="0" t="s">
        <v>208</v>
      </c>
      <c r="D66" s="0" t="n">
        <v>14</v>
      </c>
      <c r="E66" s="0" t="str">
        <f aca="false">VLOOKUP(D66,[3]Sheet2!$A$6:$F$43,4,0)</f>
        <v>0009057201</v>
      </c>
      <c r="F66" s="0" t="str">
        <f aca="false">VLOOKUP(D66,[3]Sheet2!$A$6:$F$43,6,0)</f>
        <v>Abdul Natsir, ST., MT.</v>
      </c>
      <c r="G66" s="0" t="str">
        <f aca="false">VLOOKUP(A66,Worksheet!$C$2:$D$3503,2,0)</f>
        <v>PEMBANGKIT TENAGA LISTRIK</v>
      </c>
      <c r="H66" s="0" t="n">
        <f aca="false">IF(B66=G66,1,0)</f>
        <v>1</v>
      </c>
      <c r="I66" s="0" t="n">
        <f aca="false">VLOOKUP(A66,[2]Sheet1!$C$5:$E$185,3,0)</f>
        <v>2</v>
      </c>
    </row>
    <row r="67" customFormat="false" ht="15" hidden="false" customHeight="false" outlineLevel="0" collapsed="false">
      <c r="A67" s="0" t="str">
        <f aca="false">VLOOKUP(B67,[2]Sheet1!$D$5:$L$185,9,0)</f>
        <v>ED3104</v>
      </c>
      <c r="B67" s="6" t="s">
        <v>859</v>
      </c>
      <c r="C67" s="0" t="s">
        <v>208</v>
      </c>
      <c r="D67" s="0" t="n">
        <v>29</v>
      </c>
      <c r="E67" s="0" t="str">
        <f aca="false">VLOOKUP(D67,[3]Sheet2!$A$6:$F$43,4,0)</f>
        <v>0025047703</v>
      </c>
      <c r="F67" s="0" t="str">
        <f aca="false">VLOOKUP(D67,[3]Sheet2!$A$6:$F$43,6,0)</f>
        <v>Dr. Rismon H. Sianipar, ST., M.Eng.</v>
      </c>
      <c r="G67" s="0" t="str">
        <f aca="false">VLOOKUP(A67,Worksheet!$C$2:$D$3503,2,0)</f>
        <v>PEMROGRAMAN BERORIENTASI OBYEK</v>
      </c>
      <c r="H67" s="0" t="n">
        <f aca="false">IF(B67=G67,1,0)</f>
        <v>1</v>
      </c>
      <c r="I67" s="0" t="n">
        <f aca="false">VLOOKUP(A67,[2]Sheet1!$C$5:$E$185,3,0)</f>
        <v>2</v>
      </c>
    </row>
    <row r="68" customFormat="false" ht="15" hidden="false" customHeight="false" outlineLevel="0" collapsed="false">
      <c r="A68" s="0" t="str">
        <f aca="false">VLOOKUP(B68,[2]Sheet1!$D$5:$L$185,9,0)</f>
        <v>ED4006</v>
      </c>
      <c r="B68" s="6" t="s">
        <v>861</v>
      </c>
      <c r="C68" s="0" t="s">
        <v>208</v>
      </c>
      <c r="D68" s="0" t="n">
        <v>30</v>
      </c>
      <c r="E68" s="0" t="str">
        <f aca="false">VLOOKUP(D68,[3]Sheet2!$A$6:$F$43,4,0)</f>
        <v>0005097305</v>
      </c>
      <c r="F68" s="0" t="str">
        <f aca="false">VLOOKUP(D68,[3]Sheet2!$A$6:$F$43,6,0)</f>
        <v>Sayidiman, ST., M.Eng</v>
      </c>
      <c r="G68" s="0" t="str">
        <f aca="false">VLOOKUP(A68,Worksheet!$C$2:$D$3503,2,0)</f>
        <v>PEMROGRAMAN PLATFORM INDEPENDENT</v>
      </c>
      <c r="H68" s="0" t="n">
        <f aca="false">IF(B68=G68,1,0)</f>
        <v>1</v>
      </c>
      <c r="I68" s="0" t="n">
        <f aca="false">VLOOKUP(A68,[2]Sheet1!$C$5:$E$185,3,0)</f>
        <v>2</v>
      </c>
    </row>
    <row r="69" customFormat="false" ht="15" hidden="false" customHeight="false" outlineLevel="0" collapsed="false">
      <c r="A69" s="0" t="str">
        <f aca="false">VLOOKUP(B69,[2]Sheet1!$D$5:$L$185,9,0)</f>
        <v>EB4007</v>
      </c>
      <c r="B69" s="6" t="s">
        <v>869</v>
      </c>
      <c r="C69" s="0" t="s">
        <v>208</v>
      </c>
      <c r="D69" s="0" t="n">
        <v>20</v>
      </c>
      <c r="E69" s="0" t="str">
        <f aca="false">VLOOKUP(D69,[3]Sheet2!$A$6:$F$43,4,0)</f>
        <v>0023077310</v>
      </c>
      <c r="F69" s="0" t="str">
        <f aca="false">VLOOKUP(D69,[3]Sheet2!$A$6:$F$43,6,0)</f>
        <v>Bulkis Kanata, ST., MT.</v>
      </c>
      <c r="G69" s="0" t="str">
        <f aca="false">VLOOKUP(A69,Worksheet!$C$2:$D$3503,2,0)</f>
        <v>PENGOLAHAN CITRA DIGITAL</v>
      </c>
      <c r="H69" s="0" t="n">
        <f aca="false">IF(B69=G69,1,0)</f>
        <v>1</v>
      </c>
      <c r="I69" s="0" t="n">
        <f aca="false">VLOOKUP(A69,[2]Sheet1!$C$5:$E$185,3,0)</f>
        <v>2</v>
      </c>
    </row>
    <row r="70" customFormat="false" ht="15" hidden="false" customHeight="false" outlineLevel="0" collapsed="false">
      <c r="A70" s="0" t="str">
        <f aca="false">VLOOKUP(B70,[2]Sheet1!$D$5:$L$185,9,0)</f>
        <v>EC4113</v>
      </c>
      <c r="B70" s="6" t="s">
        <v>873</v>
      </c>
      <c r="C70" s="0" t="s">
        <v>208</v>
      </c>
      <c r="D70" s="0" t="n">
        <v>19</v>
      </c>
      <c r="E70" s="0" t="str">
        <f aca="false">VLOOKUP(D70,[3]Sheet2!$A$6:$F$43,4,0)</f>
        <v>0017017203</v>
      </c>
      <c r="F70" s="0" t="str">
        <f aca="false">VLOOKUP(D70,[3]Sheet2!$A$6:$F$43,6,0)</f>
        <v>Made Sutha Yadnya, ST., MT.</v>
      </c>
      <c r="G70" s="0" t="str">
        <f aca="false">VLOOKUP(A70,Worksheet!$C$2:$D$3503,2,0)</f>
        <v>PENGUKURAN SISTEM TELEKOMUNIKASI</v>
      </c>
      <c r="H70" s="0" t="n">
        <f aca="false">IF(B70=G70,1,0)</f>
        <v>1</v>
      </c>
      <c r="I70" s="0" t="n">
        <f aca="false">VLOOKUP(A70,[2]Sheet1!$C$5:$E$185,3,0)</f>
        <v>2</v>
      </c>
    </row>
    <row r="71" customFormat="false" ht="15" hidden="false" customHeight="false" outlineLevel="0" collapsed="false">
      <c r="A71" s="0" t="str">
        <f aca="false">VLOOKUP(B71,[2]Sheet1!$D$5:$L$185,9,0)</f>
        <v>EB4112</v>
      </c>
      <c r="B71" s="6" t="s">
        <v>875</v>
      </c>
      <c r="C71" s="0" t="s">
        <v>208</v>
      </c>
      <c r="D71" s="0" t="n">
        <v>26</v>
      </c>
      <c r="E71" s="0" t="str">
        <f aca="false">VLOOKUP(D71,[3]Sheet2!$A$6:$F$43,4,0)</f>
        <v>0023077104</v>
      </c>
      <c r="F71" s="0" t="str">
        <f aca="false">VLOOKUP(D71,[3]Sheet2!$A$6:$F$43,6,0)</f>
        <v>Paniran, ST., MT.</v>
      </c>
      <c r="G71" s="0" t="str">
        <f aca="false">VLOOKUP(A71,Worksheet!$C$2:$D$3503,2,0)</f>
        <v>PERANCANGAN SISTEM ELEKTRONIKA</v>
      </c>
      <c r="H71" s="0" t="n">
        <f aca="false">IF(B71=G71,1,0)</f>
        <v>1</v>
      </c>
      <c r="I71" s="0" t="n">
        <f aca="false">VLOOKUP(A71,[2]Sheet1!$C$5:$E$185,3,0)</f>
        <v>2</v>
      </c>
    </row>
    <row r="72" customFormat="false" ht="15" hidden="false" customHeight="false" outlineLevel="0" collapsed="false">
      <c r="A72" s="0" t="str">
        <f aca="false">VLOOKUP(B72,[2]Sheet1!$D$5:$L$185,9,0)</f>
        <v>EB4114</v>
      </c>
      <c r="B72" s="6" t="s">
        <v>877</v>
      </c>
      <c r="C72" s="0" t="s">
        <v>208</v>
      </c>
      <c r="D72" s="0" t="n">
        <v>34</v>
      </c>
      <c r="E72" s="0" t="str">
        <f aca="false">VLOOKUP(D72,[3]Sheet2!$A$6:$F$43,4,0)</f>
        <v>0016048107</v>
      </c>
      <c r="F72" s="0" t="str">
        <f aca="false">VLOOKUP(D72,[3]Sheet2!$A$6:$F$43,6,0)</f>
        <v>Muhamad Irwan. ST., MT.</v>
      </c>
      <c r="G72" s="0" t="str">
        <f aca="false">VLOOKUP(A72,Worksheet!$C$2:$D$3503,2,0)</f>
        <v>PIRANTI MIKROELEKTRONIKA</v>
      </c>
      <c r="H72" s="0" t="n">
        <f aca="false">IF(B72=G72,1,0)</f>
        <v>1</v>
      </c>
      <c r="I72" s="0" t="n">
        <f aca="false">VLOOKUP(A72,[2]Sheet1!$C$5:$E$185,3,0)</f>
        <v>2</v>
      </c>
    </row>
    <row r="73" customFormat="false" ht="15" hidden="false" customHeight="false" outlineLevel="0" collapsed="false">
      <c r="A73" s="0" t="str">
        <f aca="false">VLOOKUP(B73,[2]Sheet1!$D$5:$L$185,9,0)</f>
        <v>EA4113</v>
      </c>
      <c r="B73" s="6" t="s">
        <v>927</v>
      </c>
      <c r="C73" s="0" t="s">
        <v>208</v>
      </c>
      <c r="D73" s="0" t="n">
        <v>2</v>
      </c>
      <c r="E73" s="0" t="str">
        <f aca="false">VLOOKUP(D73,[3]Sheet2!$A$6:$F$43,4,0)</f>
        <v>0007067105</v>
      </c>
      <c r="F73" s="0" t="str">
        <f aca="false">VLOOKUP(D73,[3]Sheet2!$A$6:$F$43,6,0)</f>
        <v>Supriyatna, ST., MT.</v>
      </c>
      <c r="G73" s="0" t="str">
        <f aca="false">VLOOKUP(A73,Worksheet!$C$2:$D$3503,2,0)</f>
        <v>PROTEKSI SISTEM TENAGA</v>
      </c>
      <c r="H73" s="0" t="n">
        <f aca="false">IF(B73=G73,1,0)</f>
        <v>1</v>
      </c>
      <c r="I73" s="0" t="n">
        <f aca="false">VLOOKUP(A73,[2]Sheet1!$C$5:$E$185,3,0)</f>
        <v>2</v>
      </c>
    </row>
    <row r="74" customFormat="false" ht="15" hidden="false" customHeight="false" outlineLevel="0" collapsed="false">
      <c r="A74" s="0" t="str">
        <f aca="false">VLOOKUP(B74,[2]Sheet1!$D$5:$L$185,9,0)</f>
        <v>ED4010</v>
      </c>
      <c r="B74" s="6" t="s">
        <v>929</v>
      </c>
      <c r="C74" s="0" t="s">
        <v>208</v>
      </c>
      <c r="D74" s="0" t="n">
        <v>29</v>
      </c>
      <c r="E74" s="0" t="str">
        <f aca="false">VLOOKUP(D74,[3]Sheet2!$A$6:$F$43,4,0)</f>
        <v>0025047703</v>
      </c>
      <c r="F74" s="0" t="str">
        <f aca="false">VLOOKUP(D74,[3]Sheet2!$A$6:$F$43,6,0)</f>
        <v>Dr. Rismon H. Sianipar, ST., M.Eng.</v>
      </c>
      <c r="G74" s="0" t="str">
        <f aca="false">VLOOKUP(A74,Worksheet!$C$2:$D$3503,2,0)</f>
        <v>PROYEK PERANGKAT LUNAK</v>
      </c>
      <c r="H74" s="0" t="n">
        <f aca="false">IF(B74=G74,1,0)</f>
        <v>1</v>
      </c>
      <c r="I74" s="0" t="n">
        <f aca="false">VLOOKUP(A74,[2]Sheet1!$C$5:$E$185,3,0)</f>
        <v>2</v>
      </c>
    </row>
    <row r="75" customFormat="false" ht="15" hidden="false" customHeight="false" outlineLevel="0" collapsed="false">
      <c r="A75" s="0" t="str">
        <f aca="false">VLOOKUP(B75,[2]Sheet1!$D$5:$L$185,9,0)</f>
        <v>EB3101</v>
      </c>
      <c r="B75" s="6" t="s">
        <v>931</v>
      </c>
      <c r="C75" s="0" t="s">
        <v>208</v>
      </c>
      <c r="D75" s="0" t="n">
        <v>26</v>
      </c>
      <c r="E75" s="0" t="str">
        <f aca="false">VLOOKUP(D75,[3]Sheet2!$A$6:$F$43,4,0)</f>
        <v>0023077104</v>
      </c>
      <c r="F75" s="0" t="str">
        <f aca="false">VLOOKUP(D75,[3]Sheet2!$A$6:$F$43,6,0)</f>
        <v>Paniran, ST., MT.</v>
      </c>
      <c r="G75" s="0" t="str">
        <f aca="false">VLOOKUP(A75,Worksheet!$C$2:$D$3503,2,0)</f>
        <v>RANGKAIAN ELEKTRONIKA</v>
      </c>
      <c r="H75" s="0" t="n">
        <f aca="false">IF(B75=G75,1,0)</f>
        <v>1</v>
      </c>
      <c r="I75" s="0" t="n">
        <f aca="false">VLOOKUP(A75,[2]Sheet1!$C$5:$E$185,3,0)</f>
        <v>3</v>
      </c>
    </row>
    <row r="76" customFormat="false" ht="15" hidden="false" customHeight="false" outlineLevel="0" collapsed="false">
      <c r="A76" s="0" t="str">
        <f aca="false">VLOOKUP(B76,[2]Sheet1!$D$5:$L$185,9,0)</f>
        <v>ED3103</v>
      </c>
      <c r="B76" s="6" t="s">
        <v>939</v>
      </c>
      <c r="C76" s="0" t="s">
        <v>208</v>
      </c>
      <c r="D76" s="0" t="n">
        <v>36</v>
      </c>
      <c r="E76" s="0" t="str">
        <f aca="false">VLOOKUP(D76,[3]Sheet2!$A$6:$F$43,4,0)</f>
        <v>0004098205</v>
      </c>
      <c r="F76" s="0" t="str">
        <f aca="false">VLOOKUP(D76,[3]Sheet2!$A$6:$F$43,6,0)</f>
        <v>Giri Wahyu Wiriasto, ST., MT.</v>
      </c>
      <c r="G76" s="0" t="str">
        <f aca="false">VLOOKUP(A76,Worksheet!$C$2:$D$3503,2,0)</f>
        <v>REKAYASA PERANGKAT LUNAK</v>
      </c>
      <c r="H76" s="0" t="n">
        <f aca="false">IF(B76=G76,1,0)</f>
        <v>1</v>
      </c>
      <c r="I76" s="0" t="n">
        <f aca="false">VLOOKUP(A76,[2]Sheet1!$C$5:$E$185,3,0)</f>
        <v>2</v>
      </c>
    </row>
    <row r="77" customFormat="false" ht="15" hidden="false" customHeight="false" outlineLevel="0" collapsed="false">
      <c r="A77" s="0" t="str">
        <f aca="false">VLOOKUP(B77,[2]Sheet1!$D$5:$L$185,9,0)</f>
        <v>EC3104</v>
      </c>
      <c r="B77" s="6" t="s">
        <v>941</v>
      </c>
      <c r="C77" s="0" t="s">
        <v>208</v>
      </c>
      <c r="D77" s="0" t="n">
        <v>6</v>
      </c>
      <c r="E77" s="0" t="str">
        <f aca="false">VLOOKUP(D77,[3]Sheet2!$A$6:$F$43,4,0)</f>
        <v>0026056701</v>
      </c>
      <c r="F77" s="0" t="str">
        <f aca="false">VLOOKUP(D77,[3]Sheet2!$A$6:$F$43,6,0)</f>
        <v>Sudi M. Al Sasongko, ST., MT.</v>
      </c>
      <c r="G77" s="0" t="str">
        <f aca="false">VLOOKUP(A77,Worksheet!$C$2:$D$3503,2,0)</f>
        <v>REKAYASA TRAFIK</v>
      </c>
      <c r="H77" s="0" t="n">
        <f aca="false">IF(B77=G77,1,0)</f>
        <v>1</v>
      </c>
      <c r="I77" s="0" t="n">
        <f aca="false">VLOOKUP(A77,[2]Sheet1!$C$5:$E$185,3,0)</f>
        <v>2</v>
      </c>
    </row>
    <row r="78" customFormat="false" ht="15" hidden="false" customHeight="false" outlineLevel="0" collapsed="false">
      <c r="A78" s="0" t="str">
        <f aca="false">VLOOKUP(B78,[2]Sheet1!$D$5:$L$185,9,0)</f>
        <v>ED4111</v>
      </c>
      <c r="B78" s="6" t="s">
        <v>943</v>
      </c>
      <c r="C78" s="0" t="s">
        <v>208</v>
      </c>
      <c r="D78" s="0" t="n">
        <v>36</v>
      </c>
      <c r="E78" s="0" t="str">
        <f aca="false">VLOOKUP(D78,[3]Sheet2!$A$6:$F$43,4,0)</f>
        <v>0004098205</v>
      </c>
      <c r="F78" s="0" t="str">
        <f aca="false">VLOOKUP(D78,[3]Sheet2!$A$6:$F$43,6,0)</f>
        <v>Giri Wahyu Wiriasto, ST., MT.</v>
      </c>
      <c r="G78" s="0" t="str">
        <f aca="false">VLOOKUP(A78,Worksheet!$C$2:$D$3503,2,0)</f>
        <v>SISTEM INFORMASI MANAJEMEN</v>
      </c>
      <c r="H78" s="0" t="n">
        <f aca="false">IF(B78=G78,1,0)</f>
        <v>1</v>
      </c>
      <c r="I78" s="0" t="n">
        <f aca="false">VLOOKUP(A78,[2]Sheet1!$C$5:$E$185,3,0)</f>
        <v>2</v>
      </c>
    </row>
    <row r="79" customFormat="false" ht="15" hidden="false" customHeight="false" outlineLevel="0" collapsed="false">
      <c r="A79" s="0" t="str">
        <f aca="false">VLOOKUP(B79,[2]Sheet1!$D$5:$L$185,9,0)</f>
        <v>ES3138</v>
      </c>
      <c r="B79" s="6" t="s">
        <v>947</v>
      </c>
      <c r="C79" s="0" t="s">
        <v>208</v>
      </c>
      <c r="D79" s="0" t="n">
        <v>3</v>
      </c>
      <c r="E79" s="0" t="str">
        <f aca="false">VLOOKUP(D79,[3]Sheet2!$A$6:$F$43,4,0)</f>
        <v>0024046605</v>
      </c>
      <c r="F79" s="0" t="str">
        <f aca="false">VLOOKUP(D79,[3]Sheet2!$A$6:$F$43,6,0)</f>
        <v>I Ketut Wiryajati, ST., MT.</v>
      </c>
      <c r="G79" s="0" t="str">
        <f aca="false">VLOOKUP(A79,Worksheet!$C$2:$D$3503,2,0)</f>
        <v>SISTEM MIKROPROSESOR</v>
      </c>
      <c r="H79" s="0" t="n">
        <f aca="false">IF(B79=G79,1,0)</f>
        <v>1</v>
      </c>
      <c r="I79" s="0" t="n">
        <f aca="false">VLOOKUP(A79,[2]Sheet1!$C$5:$E$185,3,0)</f>
        <v>3</v>
      </c>
    </row>
    <row r="80" customFormat="false" ht="15" hidden="false" customHeight="false" outlineLevel="0" collapsed="false">
      <c r="A80" s="0" t="str">
        <f aca="false">VLOOKUP(B80,[2]Sheet1!$D$5:$L$185,9,0)</f>
        <v>EA4010</v>
      </c>
      <c r="B80" s="6" t="s">
        <v>949</v>
      </c>
      <c r="C80" s="0" t="s">
        <v>208</v>
      </c>
      <c r="D80" s="0" t="n">
        <v>25</v>
      </c>
      <c r="E80" s="0" t="str">
        <f aca="false">VLOOKUP(D80,[3]Sheet2!$A$6:$F$43,4,0)</f>
        <v>0025037004</v>
      </c>
      <c r="F80" s="0" t="str">
        <f aca="false">VLOOKUP(D80,[3]Sheet2!$A$6:$F$43,6,0)</f>
        <v>Dr. I Made Ginarsa, ST., MT.</v>
      </c>
      <c r="G80" s="0" t="str">
        <f aca="false">VLOOKUP(A80,Worksheet!$C$2:$D$3503,2,0)</f>
        <v>SISTEM SCADA</v>
      </c>
      <c r="H80" s="0" t="n">
        <f aca="false">IF(B80=G80,1,0)</f>
        <v>1</v>
      </c>
      <c r="I80" s="0" t="n">
        <f aca="false">VLOOKUP(A80,[2]Sheet1!$C$5:$E$185,3,0)</f>
        <v>2</v>
      </c>
    </row>
    <row r="81" customFormat="false" ht="15" hidden="false" customHeight="false" outlineLevel="0" collapsed="false">
      <c r="A81" s="0" t="str">
        <f aca="false">VLOOKUP(B81,[2]Sheet1!$D$5:$L$185,9,0)</f>
        <v>EC3102</v>
      </c>
      <c r="B81" s="6" t="s">
        <v>953</v>
      </c>
      <c r="C81" s="0" t="s">
        <v>208</v>
      </c>
      <c r="D81" s="0" t="n">
        <v>19</v>
      </c>
      <c r="E81" s="0" t="str">
        <f aca="false">VLOOKUP(D81,[3]Sheet2!$A$6:$F$43,4,0)</f>
        <v>0017017203</v>
      </c>
      <c r="F81" s="0" t="str">
        <f aca="false">VLOOKUP(D81,[3]Sheet2!$A$6:$F$43,6,0)</f>
        <v>Made Sutha Yadnya, ST., MT.</v>
      </c>
      <c r="G81" s="0" t="str">
        <f aca="false">VLOOKUP(A81,Worksheet!$C$2:$D$3503,2,0)</f>
        <v>SISTEM TELEKOMUNIKASI</v>
      </c>
      <c r="H81" s="0" t="n">
        <f aca="false">IF(B81=G81,1,0)</f>
        <v>1</v>
      </c>
      <c r="I81" s="0" t="n">
        <f aca="false">VLOOKUP(A81,[2]Sheet1!$C$5:$E$185,3,0)</f>
        <v>3</v>
      </c>
    </row>
    <row r="82" customFormat="false" ht="15" hidden="false" customHeight="false" outlineLevel="0" collapsed="false">
      <c r="A82" s="0" t="str">
        <f aca="false">VLOOKUP(B82,[2]Sheet1!$D$5:$L$185,9,0)</f>
        <v>ES4246</v>
      </c>
      <c r="B82" s="6" t="s">
        <v>955</v>
      </c>
      <c r="C82" s="0" t="s">
        <v>208</v>
      </c>
      <c r="D82" s="0" t="n">
        <v>15</v>
      </c>
      <c r="E82" s="0" t="str">
        <f aca="false">VLOOKUP(D82,[3]Sheet2!$A$6:$F$43,4,0)</f>
        <v>0026107201</v>
      </c>
      <c r="F82" s="0" t="str">
        <f aca="false">VLOOKUP(D82,[3]Sheet2!$A$6:$F$43,6,0)</f>
        <v>Abdullah Zainuddin, ST., MT.</v>
      </c>
      <c r="G82" s="0" t="str">
        <f aca="false">VLOOKUP(A82,Worksheet!$C$2:$D$3503,2,0)</f>
        <v>TECHNOPRENEURSHIP</v>
      </c>
      <c r="H82" s="0" t="n">
        <f aca="false">IF(B82=G82,1,0)</f>
        <v>1</v>
      </c>
      <c r="I82" s="0" t="n">
        <f aca="false">VLOOKUP(A82,[2]Sheet1!$C$5:$E$185,3,0)</f>
        <v>2</v>
      </c>
    </row>
    <row r="83" customFormat="false" ht="15" hidden="false" customHeight="false" outlineLevel="0" collapsed="false">
      <c r="A83" s="0" t="str">
        <f aca="false">VLOOKUP(B83,[2]Sheet1!$D$5:$L$185,9,0)</f>
        <v>EB4111</v>
      </c>
      <c r="B83" s="6" t="s">
        <v>957</v>
      </c>
      <c r="C83" s="0" t="s">
        <v>208</v>
      </c>
      <c r="D83" s="0" t="n">
        <v>23</v>
      </c>
      <c r="E83" s="0" t="str">
        <f aca="false">VLOOKUP(D83,[3]Sheet2!$A$6:$F$43,4,0)</f>
        <v>0026047105</v>
      </c>
      <c r="F83" s="0" t="str">
        <f aca="false">VLOOKUP(D83,[3]Sheet2!$A$6:$F$43,6,0)</f>
        <v>I Made Budi Suksmadana, ST., MT.</v>
      </c>
      <c r="G83" s="0" t="str">
        <f aca="false">VLOOKUP(A83,Worksheet!$C$2:$D$3503,2,0)</f>
        <v>TEKNIK INTERFACING DAN SISTEM EMBEDDED</v>
      </c>
      <c r="H83" s="0" t="n">
        <f aca="false">IF(B83=G83,1,0)</f>
        <v>1</v>
      </c>
      <c r="I83" s="0" t="n">
        <f aca="false">VLOOKUP(A83,[2]Sheet1!$C$5:$E$185,3,0)</f>
        <v>3</v>
      </c>
    </row>
    <row r="84" customFormat="false" ht="15" hidden="false" customHeight="false" outlineLevel="0" collapsed="false">
      <c r="A84" s="0" t="str">
        <f aca="false">VLOOKUP(B84,[2]Sheet1!$D$5:$L$185,9,0)</f>
        <v>EB4115</v>
      </c>
      <c r="B84" s="6" t="s">
        <v>959</v>
      </c>
      <c r="C84" s="0" t="s">
        <v>208</v>
      </c>
      <c r="D84" s="0" t="n">
        <v>27</v>
      </c>
      <c r="E84" s="0" t="str">
        <f aca="false">VLOOKUP(D84,[3]Sheet2!$A$6:$F$43,4,0)</f>
        <v>0026117102</v>
      </c>
      <c r="F84" s="0" t="str">
        <f aca="false">VLOOKUP(D84,[3]Sheet2!$A$6:$F$43,6,0)</f>
        <v>Supriono, ST., MT.</v>
      </c>
      <c r="G84" s="0" t="str">
        <f aca="false">VLOOKUP(A84,Worksheet!$C$2:$D$3503,2,0)</f>
        <v>TEKNIK KENDALI DIGITAL</v>
      </c>
      <c r="H84" s="0" t="n">
        <f aca="false">IF(B84=G84,1,0)</f>
        <v>1</v>
      </c>
      <c r="I84" s="0" t="n">
        <f aca="false">VLOOKUP(A84,[2]Sheet1!$C$5:$E$185,3,0)</f>
        <v>2</v>
      </c>
    </row>
    <row r="85" customFormat="false" ht="15" hidden="false" customHeight="false" outlineLevel="0" collapsed="false">
      <c r="A85" s="0" t="str">
        <f aca="false">VLOOKUP(B85,[2]Sheet1!$D$5:$L$185,9,0)</f>
        <v>ED4013</v>
      </c>
      <c r="B85" s="6" t="s">
        <v>961</v>
      </c>
      <c r="C85" s="0" t="s">
        <v>208</v>
      </c>
      <c r="D85" s="0" t="n">
        <v>38</v>
      </c>
      <c r="E85" s="0" t="str">
        <f aca="false">VLOOKUP(D85,[3]Sheet2!$A$6:$F$43,4,0)</f>
        <v>0826058503</v>
      </c>
      <c r="F85" s="0" t="str">
        <f aca="false">VLOOKUP(D85,[3]Sheet2!$A$6:$F$43,6,0)</f>
        <v>Budi Darmawan, ST., M.Eng.</v>
      </c>
      <c r="G85" s="0" t="str">
        <f aca="false">VLOOKUP(A85,Worksheet!$C$2:$D$3503,2,0)</f>
        <v>TEKNIK NEURO FUZZY</v>
      </c>
      <c r="H85" s="0" t="n">
        <f aca="false">IF(B85=G85,1,0)</f>
        <v>1</v>
      </c>
      <c r="I85" s="0" t="n">
        <f aca="false">VLOOKUP(A85,[2]Sheet1!$C$5:$E$185,3,0)</f>
        <v>2</v>
      </c>
    </row>
    <row r="86" customFormat="false" ht="15" hidden="false" customHeight="false" outlineLevel="0" collapsed="false">
      <c r="A86" s="0" t="str">
        <f aca="false">VLOOKUP(B86,[2]Sheet1!$D$5:$L$185,9,0)</f>
        <v>EC4012</v>
      </c>
      <c r="B86" s="6" t="s">
        <v>963</v>
      </c>
      <c r="C86" s="0" t="s">
        <v>208</v>
      </c>
      <c r="D86" s="0" t="n">
        <v>9</v>
      </c>
      <c r="E86" s="0" t="str">
        <f aca="false">VLOOKUP(D86,[3]Sheet2!$A$6:$F$43,4,0)</f>
        <v>0028106901</v>
      </c>
      <c r="F86" s="0" t="str">
        <f aca="false">VLOOKUP(D86,[3]Sheet2!$A$6:$F$43,6,0)</f>
        <v>Cahyo Mustiko O.M., ST., M.Sc., Ph.D.</v>
      </c>
      <c r="G86" s="0" t="str">
        <f aca="false">VLOOKUP(A86,Worksheet!$C$2:$D$3503,2,0)</f>
        <v>TELEMETRI</v>
      </c>
      <c r="H86" s="0" t="n">
        <f aca="false">IF(B86=G86,1,0)</f>
        <v>1</v>
      </c>
      <c r="I86" s="0" t="n">
        <f aca="false">VLOOKUP(A86,[2]Sheet1!$C$5:$E$185,3,0)</f>
        <v>2</v>
      </c>
    </row>
    <row r="87" customFormat="false" ht="15" hidden="false" customHeight="false" outlineLevel="0" collapsed="false">
      <c r="A87" s="0" t="s">
        <v>964</v>
      </c>
      <c r="B87" s="6" t="s">
        <v>965</v>
      </c>
      <c r="C87" s="0" t="s">
        <v>208</v>
      </c>
      <c r="D87" s="0" t="n">
        <v>15</v>
      </c>
      <c r="E87" s="0" t="str">
        <f aca="false">VLOOKUP(D87,[3]Sheet2!$A$6:$F$43,4,0)</f>
        <v>0026107201</v>
      </c>
      <c r="F87" s="0" t="str">
        <f aca="false">VLOOKUP(D87,[3]Sheet2!$A$6:$F$43,6,0)</f>
        <v>Abdullah Zainuddin, ST., MT.</v>
      </c>
      <c r="G87" s="0" t="str">
        <f aca="false">VLOOKUP(A87,Worksheet!$C$2:$D$3503,2,0)</f>
        <v>TRANSMISI GEL ELEKTROMAGNETIK II</v>
      </c>
      <c r="H87" s="0" t="n">
        <f aca="false">IF(B87=G87,1,0)</f>
        <v>1</v>
      </c>
      <c r="I87" s="0" t="n">
        <f aca="false">VLOOKUP(A87,[2]Sheet1!$C$5:$E$185,3,0)</f>
        <v>2</v>
      </c>
    </row>
    <row r="88" customFormat="false" ht="15" hidden="false" customHeight="false" outlineLevel="0" collapsed="false">
      <c r="A88" s="0" t="str">
        <f aca="false">VLOOKUP(B88,[2]Sheet1!$D$5:$L$185,9,0)</f>
        <v>EA3104</v>
      </c>
      <c r="B88" s="6" t="s">
        <v>967</v>
      </c>
      <c r="C88" s="0" t="s">
        <v>208</v>
      </c>
      <c r="D88" s="0" t="n">
        <v>13</v>
      </c>
      <c r="E88" s="0" t="str">
        <f aca="false">VLOOKUP(D88,[3]Sheet2!$A$6:$F$43,4,0)</f>
        <v>0011027105</v>
      </c>
      <c r="F88" s="0" t="str">
        <f aca="false">VLOOKUP(D88,[3]Sheet2!$A$6:$F$43,6,0)</f>
        <v>Agung Budi Muljono, ST., MT.</v>
      </c>
      <c r="G88" s="0" t="str">
        <f aca="false">VLOOKUP(A88,Worksheet!$C$2:$D$3503,2,0)</f>
        <v>TRANSMISI TENAGA LISTRIK</v>
      </c>
      <c r="H88" s="0" t="n">
        <f aca="false">IF(B88=G88,1,0)</f>
        <v>1</v>
      </c>
      <c r="I88" s="0" t="n">
        <f aca="false">VLOOKUP(A88,[2]Sheet1!$C$5:$E$185,3,0)</f>
        <v>2</v>
      </c>
    </row>
    <row r="89" customFormat="false" ht="15" hidden="false" customHeight="false" outlineLevel="0" collapsed="false">
      <c r="A89" s="0" t="str">
        <f aca="false">VLOOKUP(B89,[2]Sheet1!$D$5:$L$185,9,0)</f>
        <v>TPBU04203</v>
      </c>
      <c r="B89" s="6" t="s">
        <v>302</v>
      </c>
      <c r="C89" s="0" t="s">
        <v>303</v>
      </c>
      <c r="D89" s="0" t="n">
        <v>6</v>
      </c>
      <c r="E89" s="0" t="str">
        <f aca="false">VLOOKUP(D89,[3]Sheet2!$A$6:$F$43,4,0)</f>
        <v>0026056701</v>
      </c>
      <c r="F89" s="0" t="str">
        <f aca="false">VLOOKUP(D89,[3]Sheet2!$A$6:$F$43,6,0)</f>
        <v>Sudi M. Al Sasongko, ST., MT.</v>
      </c>
      <c r="G89" s="0" t="str">
        <f aca="false">VLOOKUP(A89,Worksheet!$C$2:$D$3503,2,0)</f>
        <v>BAHASA INDONESIA</v>
      </c>
      <c r="H89" s="0" t="n">
        <f aca="false">IF(B89=G89,1,0)</f>
        <v>1</v>
      </c>
      <c r="I89" s="0" t="n">
        <f aca="false">VLOOKUP(A89,[2]Sheet1!$C$5:$E$185,3,0)</f>
        <v>2</v>
      </c>
    </row>
    <row r="90" customFormat="false" ht="15" hidden="false" customHeight="false" outlineLevel="0" collapsed="false">
      <c r="A90" s="0" t="str">
        <f aca="false">VLOOKUP(B90,[2]Sheet1!$D$5:$L$185,9,0)</f>
        <v>TPBU05201</v>
      </c>
      <c r="B90" s="6" t="s">
        <v>511</v>
      </c>
      <c r="C90" s="0" t="s">
        <v>303</v>
      </c>
      <c r="D90" s="0" t="n">
        <v>6</v>
      </c>
      <c r="E90" s="0" t="str">
        <f aca="false">VLOOKUP(D90,[3]Sheet2!$A$6:$F$43,4,0)</f>
        <v>0026056701</v>
      </c>
      <c r="F90" s="0" t="str">
        <f aca="false">VLOOKUP(D90,[3]Sheet2!$A$6:$F$43,6,0)</f>
        <v>Sudi M. Al Sasongko, ST., MT.</v>
      </c>
      <c r="G90" s="0" t="str">
        <f aca="false">VLOOKUP(A90,Worksheet!$C$2:$D$3503,2,0)</f>
        <v>BAHASA INGGRIS I</v>
      </c>
      <c r="H90" s="0" t="n">
        <f aca="false">IF(B90=G90,1,0)</f>
        <v>1</v>
      </c>
      <c r="I90" s="0" t="n">
        <f aca="false">VLOOKUP(A90,[2]Sheet1!$C$5:$E$185,3,0)</f>
        <v>2</v>
      </c>
    </row>
    <row r="91" customFormat="false" ht="15" hidden="false" customHeight="false" outlineLevel="0" collapsed="false">
      <c r="A91" s="0" t="str">
        <f aca="false">VLOOKUP(B91,[2]Sheet1!$D$5:$L$185,9,0)</f>
        <v>TPB104211</v>
      </c>
      <c r="B91" s="6" t="s">
        <v>554</v>
      </c>
      <c r="C91" s="0" t="s">
        <v>303</v>
      </c>
      <c r="D91" s="0" t="n">
        <v>6</v>
      </c>
      <c r="E91" s="0" t="str">
        <f aca="false">VLOOKUP(D91,[3]Sheet2!$A$6:$F$43,4,0)</f>
        <v>0026056701</v>
      </c>
      <c r="F91" s="0" t="str">
        <f aca="false">VLOOKUP(D91,[3]Sheet2!$A$6:$F$43,6,0)</f>
        <v>Sudi M. Al Sasongko, ST., MT.</v>
      </c>
      <c r="G91" s="0" t="str">
        <f aca="false">VLOOKUP(A91,Worksheet!$C$2:$D$3503,2,0)</f>
        <v>BIOLOGI UMUM</v>
      </c>
      <c r="H91" s="0" t="n">
        <f aca="false">IF(B91=G91,1,0)</f>
        <v>1</v>
      </c>
      <c r="I91" s="0" t="n">
        <f aca="false">VLOOKUP(A91,[2]Sheet1!$C$5:$E$185,3,0)</f>
        <v>3</v>
      </c>
    </row>
    <row r="92" customFormat="false" ht="15" hidden="false" customHeight="false" outlineLevel="0" collapsed="false">
      <c r="A92" s="0" t="s">
        <v>745</v>
      </c>
      <c r="B92" s="6" t="s">
        <v>746</v>
      </c>
      <c r="C92" s="0" t="s">
        <v>303</v>
      </c>
      <c r="D92" s="0" t="n">
        <v>6</v>
      </c>
      <c r="E92" s="0" t="str">
        <f aca="false">VLOOKUP(D92,[3]Sheet2!$A$6:$F$43,4,0)</f>
        <v>0026056701</v>
      </c>
      <c r="F92" s="0" t="str">
        <f aca="false">VLOOKUP(D92,[3]Sheet2!$A$6:$F$43,6,0)</f>
        <v>Sudi M. Al Sasongko, ST., MT.</v>
      </c>
      <c r="G92" s="0" t="str">
        <f aca="false">VLOOKUP(A92,Worksheet!$C$2:$D$3503,2,0)</f>
        <v>FISIKA DASAR</v>
      </c>
      <c r="H92" s="0" t="n">
        <f aca="false">IF(B92=G92,1,0)</f>
        <v>1</v>
      </c>
      <c r="I92" s="0" t="n">
        <f aca="false">VLOOKUP(A92,[2]Sheet1!$C$5:$E$185,3,0)</f>
        <v>3</v>
      </c>
    </row>
    <row r="93" customFormat="false" ht="15" hidden="false" customHeight="false" outlineLevel="0" collapsed="false">
      <c r="A93" s="0" t="s">
        <v>775</v>
      </c>
      <c r="B93" s="6" t="s">
        <v>776</v>
      </c>
      <c r="C93" s="0" t="s">
        <v>303</v>
      </c>
      <c r="D93" s="0" t="n">
        <v>6</v>
      </c>
      <c r="E93" s="0" t="str">
        <f aca="false">VLOOKUP(D93,[3]Sheet2!$A$6:$F$43,4,0)</f>
        <v>0026056701</v>
      </c>
      <c r="F93" s="0" t="str">
        <f aca="false">VLOOKUP(D93,[3]Sheet2!$A$6:$F$43,6,0)</f>
        <v>Sudi M. Al Sasongko, ST., MT.</v>
      </c>
      <c r="G93" s="0" t="str">
        <f aca="false">VLOOKUP(A93,Worksheet!$C$2:$D$3503,2,0)</f>
        <v>KIMIA DASAR</v>
      </c>
      <c r="H93" s="0" t="n">
        <f aca="false">IF(B93=G93,1,0)</f>
        <v>1</v>
      </c>
      <c r="I93" s="0" t="n">
        <f aca="false">VLOOKUP(A93,[2]Sheet1!$C$5:$E$185,3,0)</f>
        <v>3</v>
      </c>
    </row>
    <row r="94" customFormat="false" ht="15" hidden="false" customHeight="false" outlineLevel="0" collapsed="false">
      <c r="A94" s="0" t="s">
        <v>838</v>
      </c>
      <c r="B94" s="6" t="s">
        <v>839</v>
      </c>
      <c r="C94" s="0" t="s">
        <v>303</v>
      </c>
      <c r="D94" s="0" t="n">
        <v>6</v>
      </c>
      <c r="E94" s="0" t="str">
        <f aca="false">VLOOKUP(D94,[3]Sheet2!$A$6:$F$43,4,0)</f>
        <v>0026056701</v>
      </c>
      <c r="F94" s="0" t="str">
        <f aca="false">VLOOKUP(D94,[3]Sheet2!$A$6:$F$43,6,0)</f>
        <v>Sudi M. Al Sasongko, ST., MT.</v>
      </c>
      <c r="G94" s="0" t="str">
        <f aca="false">VLOOKUP(A94,Worksheet!$C$2:$D$3503,2,0)</f>
        <v>MATEMATIKA DASAR</v>
      </c>
      <c r="H94" s="0" t="n">
        <f aca="false">IF(B94=G94,1,0)</f>
        <v>1</v>
      </c>
      <c r="I94" s="0" t="n">
        <f aca="false">VLOOKUP(A94,[2]Sheet1!$C$5:$E$185,3,0)</f>
        <v>3</v>
      </c>
    </row>
    <row r="95" customFormat="false" ht="15" hidden="false" customHeight="false" outlineLevel="0" collapsed="false">
      <c r="A95" s="0" t="str">
        <f aca="false">VLOOKUP(B95,[2]Sheet1!$D$5:$L$185,9,0)</f>
        <v>TPBU02203</v>
      </c>
      <c r="B95" s="6" t="s">
        <v>853</v>
      </c>
      <c r="C95" s="0" t="s">
        <v>303</v>
      </c>
      <c r="D95" s="0" t="n">
        <v>6</v>
      </c>
      <c r="E95" s="0" t="str">
        <f aca="false">VLOOKUP(D95,[3]Sheet2!$A$6:$F$43,4,0)</f>
        <v>0026056701</v>
      </c>
      <c r="F95" s="0" t="str">
        <f aca="false">VLOOKUP(D95,[3]Sheet2!$A$6:$F$43,6,0)</f>
        <v>Sudi M. Al Sasongko, ST., MT.</v>
      </c>
      <c r="G95" s="0" t="str">
        <f aca="false">VLOOKUP(A95,Worksheet!$C$2:$D$3503,2,0)</f>
        <v>PANCASILA</v>
      </c>
      <c r="H95" s="0" t="n">
        <f aca="false">IF(B95=G95,1,0)</f>
        <v>1</v>
      </c>
      <c r="I95" s="0" t="n">
        <f aca="false">VLOOKUP(A95,[2]Sheet1!$C$5:$E$185,3,0)</f>
        <v>2</v>
      </c>
    </row>
    <row r="96" customFormat="false" ht="15" hidden="false" customHeight="false" outlineLevel="0" collapsed="false">
      <c r="A96" s="0" t="str">
        <f aca="false">VLOOKUP(B96,[2]Sheet1!$D$5:$L$185,9,0)</f>
        <v>TPBU01203</v>
      </c>
      <c r="B96" s="6" t="s">
        <v>865</v>
      </c>
      <c r="C96" s="0" t="s">
        <v>303</v>
      </c>
      <c r="D96" s="0" t="n">
        <v>6</v>
      </c>
      <c r="E96" s="0" t="str">
        <f aca="false">VLOOKUP(D96,[3]Sheet2!$A$6:$F$43,4,0)</f>
        <v>0026056701</v>
      </c>
      <c r="F96" s="0" t="str">
        <f aca="false">VLOOKUP(D96,[3]Sheet2!$A$6:$F$43,6,0)</f>
        <v>Sudi M. Al Sasongko, ST., MT.</v>
      </c>
      <c r="G96" s="0" t="str">
        <f aca="false">VLOOKUP(A96,Worksheet!$C$2:$D$3503,2,0)</f>
        <v>PENDIDIKAN AGAMA</v>
      </c>
      <c r="H96" s="0" t="n">
        <f aca="false">IF(B96=G96,1,0)</f>
        <v>1</v>
      </c>
      <c r="I96" s="0" t="n">
        <f aca="false">VLOOKUP(A96,[2]Sheet1!$C$5:$E$185,3,0)</f>
        <v>2</v>
      </c>
    </row>
  </sheetData>
  <autoFilter ref="A1:F3489"/>
  <conditionalFormatting sqref="B2:B96">
    <cfRule type="duplicateValues" priority="2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6" activeCellId="0" sqref="1:1048576"/>
    </sheetView>
  </sheetViews>
  <sheetFormatPr defaultRowHeight="15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35.85"/>
    <col collapsed="false" customWidth="true" hidden="false" outlineLevel="0" max="3" min="3" style="0" width="8.57"/>
    <col collapsed="false" customWidth="true" hidden="false" outlineLevel="0" max="4" min="4" style="0" width="25.71"/>
    <col collapsed="false" customWidth="true" hidden="false" outlineLevel="0" max="7" min="5" style="0" width="8.57"/>
    <col collapsed="false" customWidth="true" hidden="false" outlineLevel="0" max="8" min="8" style="0" width="10.12"/>
    <col collapsed="false" customWidth="true" hidden="false" outlineLevel="0" max="9" min="9" style="0" width="35.85"/>
    <col collapsed="false" customWidth="true" hidden="false" outlineLevel="0" max="1025" min="10" style="0" width="8.57"/>
  </cols>
  <sheetData>
    <row r="1" customFormat="false" ht="15" hidden="false" customHeight="false" outlineLevel="0" collapsed="false">
      <c r="A1" s="6"/>
      <c r="B1" s="6"/>
      <c r="C1" s="6"/>
      <c r="D1" s="6"/>
      <c r="E1" s="6"/>
      <c r="F1" s="6"/>
      <c r="G1" s="6"/>
      <c r="H1" s="6"/>
      <c r="I1" s="6"/>
      <c r="J1" s="6" t="s">
        <v>1153</v>
      </c>
      <c r="K1" s="6"/>
    </row>
    <row r="2" customFormat="false" ht="15" hidden="false" customHeight="false" outlineLevel="0" collapsed="false">
      <c r="A2" s="0" t="s">
        <v>299</v>
      </c>
      <c r="B2" s="0" t="s">
        <v>300</v>
      </c>
      <c r="C2" s="0" t="s">
        <v>970</v>
      </c>
      <c r="D2" s="0" t="s">
        <v>971</v>
      </c>
      <c r="E2" s="0" t="n">
        <v>20171</v>
      </c>
      <c r="F2" s="0" t="s">
        <v>208</v>
      </c>
      <c r="G2" s="0" t="s">
        <v>787</v>
      </c>
      <c r="H2" s="0" t="s">
        <v>299</v>
      </c>
      <c r="I2" s="0" t="s">
        <v>300</v>
      </c>
      <c r="J2" s="0" t="n">
        <v>4</v>
      </c>
    </row>
    <row r="3" customFormat="false" ht="15" hidden="false" customHeight="false" outlineLevel="0" collapsed="false">
      <c r="A3" s="0" t="s">
        <v>995</v>
      </c>
      <c r="B3" s="0" t="s">
        <v>996</v>
      </c>
      <c r="C3" s="0" t="s">
        <v>970</v>
      </c>
      <c r="D3" s="0" t="s">
        <v>971</v>
      </c>
      <c r="E3" s="0" t="n">
        <v>20171</v>
      </c>
      <c r="F3" s="0" t="s">
        <v>208</v>
      </c>
      <c r="G3" s="0" t="s">
        <v>787</v>
      </c>
      <c r="H3" s="0" t="s">
        <v>995</v>
      </c>
      <c r="I3" s="0" t="s">
        <v>996</v>
      </c>
      <c r="J3" s="0" t="n">
        <v>4</v>
      </c>
    </row>
    <row r="4" customFormat="false" ht="15" hidden="false" customHeight="false" outlineLevel="0" collapsed="false">
      <c r="A4" s="0" t="s">
        <v>675</v>
      </c>
      <c r="B4" s="0" t="s">
        <v>676</v>
      </c>
      <c r="C4" s="0" t="s">
        <v>884</v>
      </c>
      <c r="D4" s="0" t="s">
        <v>885</v>
      </c>
      <c r="E4" s="0" t="n">
        <v>20171</v>
      </c>
      <c r="F4" s="0" t="s">
        <v>208</v>
      </c>
      <c r="G4" s="0" t="s">
        <v>787</v>
      </c>
      <c r="H4" s="0" t="s">
        <v>675</v>
      </c>
      <c r="I4" s="0" t="s">
        <v>676</v>
      </c>
      <c r="J4" s="0" t="n">
        <v>2</v>
      </c>
    </row>
    <row r="5" customFormat="false" ht="15" hidden="false" customHeight="false" outlineLevel="0" collapsed="false">
      <c r="A5" s="0" t="s">
        <v>1001</v>
      </c>
      <c r="B5" s="0" t="s">
        <v>1002</v>
      </c>
      <c r="C5" s="0" t="s">
        <v>970</v>
      </c>
      <c r="D5" s="0" t="s">
        <v>971</v>
      </c>
      <c r="E5" s="0" t="n">
        <v>20171</v>
      </c>
      <c r="F5" s="0" t="s">
        <v>208</v>
      </c>
      <c r="G5" s="0" t="s">
        <v>787</v>
      </c>
      <c r="H5" s="0" t="s">
        <v>1001</v>
      </c>
      <c r="I5" s="0" t="s">
        <v>1002</v>
      </c>
      <c r="J5" s="0" t="n">
        <v>4</v>
      </c>
    </row>
    <row r="6" customFormat="false" ht="15" hidden="false" customHeight="false" outlineLevel="0" collapsed="false">
      <c r="A6" s="0" t="s">
        <v>1007</v>
      </c>
      <c r="B6" s="0" t="s">
        <v>1008</v>
      </c>
      <c r="C6" s="0" t="s">
        <v>970</v>
      </c>
      <c r="D6" s="0" t="s">
        <v>971</v>
      </c>
      <c r="E6" s="0" t="n">
        <v>20171</v>
      </c>
      <c r="F6" s="0" t="s">
        <v>208</v>
      </c>
      <c r="G6" s="0" t="s">
        <v>787</v>
      </c>
      <c r="H6" s="0" t="s">
        <v>1007</v>
      </c>
      <c r="I6" s="0" t="s">
        <v>1008</v>
      </c>
      <c r="J6" s="0" t="n">
        <v>4</v>
      </c>
    </row>
    <row r="7" customFormat="false" ht="15" hidden="false" customHeight="false" outlineLevel="0" collapsed="false">
      <c r="A7" s="0" t="s">
        <v>1009</v>
      </c>
      <c r="B7" s="0" t="s">
        <v>1010</v>
      </c>
      <c r="C7" s="0" t="s">
        <v>970</v>
      </c>
      <c r="D7" s="0" t="s">
        <v>971</v>
      </c>
      <c r="E7" s="0" t="n">
        <v>20171</v>
      </c>
      <c r="F7" s="0" t="s">
        <v>208</v>
      </c>
      <c r="G7" s="0" t="s">
        <v>787</v>
      </c>
      <c r="H7" s="0" t="s">
        <v>1009</v>
      </c>
      <c r="I7" s="0" t="s">
        <v>1010</v>
      </c>
      <c r="J7" s="0" t="n">
        <v>4</v>
      </c>
    </row>
    <row r="8" customFormat="false" ht="15" hidden="false" customHeight="false" outlineLevel="0" collapsed="false">
      <c r="A8" s="0" t="s">
        <v>304</v>
      </c>
      <c r="B8" s="0" t="s">
        <v>305</v>
      </c>
      <c r="C8" s="0" t="s">
        <v>970</v>
      </c>
      <c r="D8" s="0" t="s">
        <v>971</v>
      </c>
      <c r="E8" s="0" t="n">
        <v>20171</v>
      </c>
      <c r="F8" s="0" t="s">
        <v>208</v>
      </c>
      <c r="G8" s="0" t="s">
        <v>787</v>
      </c>
      <c r="H8" s="0" t="s">
        <v>304</v>
      </c>
      <c r="I8" s="0" t="s">
        <v>305</v>
      </c>
      <c r="J8" s="0" t="n">
        <v>4</v>
      </c>
    </row>
    <row r="9" customFormat="false" ht="15" hidden="false" customHeight="false" outlineLevel="0" collapsed="false">
      <c r="A9" s="0" t="s">
        <v>1015</v>
      </c>
      <c r="B9" s="0" t="s">
        <v>1016</v>
      </c>
      <c r="C9" s="0" t="s">
        <v>970</v>
      </c>
      <c r="D9" s="0" t="s">
        <v>971</v>
      </c>
      <c r="E9" s="0" t="n">
        <v>20171</v>
      </c>
      <c r="F9" s="0" t="s">
        <v>208</v>
      </c>
      <c r="G9" s="0" t="s">
        <v>787</v>
      </c>
      <c r="H9" s="0" t="s">
        <v>1015</v>
      </c>
      <c r="I9" s="0" t="s">
        <v>1016</v>
      </c>
      <c r="J9" s="0" t="n">
        <v>4</v>
      </c>
    </row>
    <row r="10" customFormat="false" ht="15" hidden="false" customHeight="false" outlineLevel="0" collapsed="false">
      <c r="A10" s="0" t="s">
        <v>1017</v>
      </c>
      <c r="B10" s="0" t="s">
        <v>1018</v>
      </c>
      <c r="C10" s="0" t="s">
        <v>970</v>
      </c>
      <c r="D10" s="0" t="s">
        <v>971</v>
      </c>
      <c r="E10" s="0" t="n">
        <v>20171</v>
      </c>
      <c r="F10" s="0" t="s">
        <v>208</v>
      </c>
      <c r="G10" s="0" t="s">
        <v>787</v>
      </c>
      <c r="H10" s="0" t="s">
        <v>1017</v>
      </c>
      <c r="I10" s="0" t="s">
        <v>1018</v>
      </c>
      <c r="J10" s="0" t="n">
        <v>4</v>
      </c>
    </row>
    <row r="11" customFormat="false" ht="15" hidden="false" customHeight="false" outlineLevel="0" collapsed="false">
      <c r="A11" s="0" t="s">
        <v>912</v>
      </c>
      <c r="B11" s="0" t="s">
        <v>913</v>
      </c>
      <c r="C11" s="0" t="s">
        <v>970</v>
      </c>
      <c r="D11" s="0" t="s">
        <v>971</v>
      </c>
      <c r="E11" s="0" t="n">
        <v>20171</v>
      </c>
      <c r="F11" s="0" t="s">
        <v>208</v>
      </c>
      <c r="G11" s="0" t="s">
        <v>787</v>
      </c>
      <c r="H11" s="0" t="s">
        <v>912</v>
      </c>
      <c r="I11" s="0" t="s">
        <v>913</v>
      </c>
      <c r="J11" s="0" t="n">
        <v>4</v>
      </c>
    </row>
    <row r="12" customFormat="false" ht="15" hidden="false" customHeight="false" outlineLevel="0" collapsed="false">
      <c r="A12" s="0" t="s">
        <v>10</v>
      </c>
      <c r="B12" s="0" t="s">
        <v>11</v>
      </c>
      <c r="C12" s="0" t="s">
        <v>970</v>
      </c>
      <c r="D12" s="0" t="s">
        <v>971</v>
      </c>
      <c r="E12" s="0" t="n">
        <v>20171</v>
      </c>
      <c r="F12" s="0" t="s">
        <v>208</v>
      </c>
      <c r="G12" s="0" t="s">
        <v>787</v>
      </c>
      <c r="H12" s="0" t="s">
        <v>10</v>
      </c>
      <c r="I12" s="0" t="s">
        <v>11</v>
      </c>
      <c r="J12" s="0" t="n">
        <v>4</v>
      </c>
    </row>
    <row r="13" customFormat="false" ht="15" hidden="false" customHeight="false" outlineLevel="0" collapsed="false">
      <c r="A13" s="0" t="s">
        <v>1019</v>
      </c>
      <c r="B13" s="0" t="s">
        <v>1020</v>
      </c>
      <c r="C13" s="0" t="s">
        <v>970</v>
      </c>
      <c r="D13" s="0" t="s">
        <v>971</v>
      </c>
      <c r="E13" s="0" t="n">
        <v>20171</v>
      </c>
      <c r="F13" s="0" t="s">
        <v>208</v>
      </c>
      <c r="G13" s="0" t="s">
        <v>787</v>
      </c>
      <c r="H13" s="0" t="s">
        <v>1019</v>
      </c>
      <c r="I13" s="0" t="s">
        <v>1020</v>
      </c>
      <c r="J13" s="0" t="n">
        <v>4</v>
      </c>
    </row>
    <row r="14" customFormat="false" ht="15" hidden="false" customHeight="false" outlineLevel="0" collapsed="false">
      <c r="A14" s="0" t="s">
        <v>1021</v>
      </c>
      <c r="B14" s="0" t="s">
        <v>1022</v>
      </c>
      <c r="C14" s="0" t="s">
        <v>970</v>
      </c>
      <c r="D14" s="0" t="s">
        <v>971</v>
      </c>
      <c r="E14" s="0" t="n">
        <v>20171</v>
      </c>
      <c r="F14" s="0" t="s">
        <v>208</v>
      </c>
      <c r="G14" s="0" t="s">
        <v>787</v>
      </c>
      <c r="H14" s="0" t="s">
        <v>1021</v>
      </c>
      <c r="I14" s="0" t="s">
        <v>1022</v>
      </c>
      <c r="J14" s="0" t="n">
        <v>4</v>
      </c>
    </row>
    <row r="15" customFormat="false" ht="15" hidden="false" customHeight="false" outlineLevel="0" collapsed="false">
      <c r="A15" s="0" t="s">
        <v>1023</v>
      </c>
      <c r="B15" s="0" t="s">
        <v>1024</v>
      </c>
      <c r="C15" s="0" t="s">
        <v>970</v>
      </c>
      <c r="D15" s="0" t="s">
        <v>971</v>
      </c>
      <c r="E15" s="0" t="n">
        <v>20171</v>
      </c>
      <c r="F15" s="0" t="s">
        <v>208</v>
      </c>
      <c r="G15" s="0" t="s">
        <v>787</v>
      </c>
      <c r="H15" s="0" t="s">
        <v>1023</v>
      </c>
      <c r="I15" s="0" t="s">
        <v>1024</v>
      </c>
      <c r="J15" s="0" t="n">
        <v>4</v>
      </c>
    </row>
    <row r="16" customFormat="false" ht="15" hidden="false" customHeight="false" outlineLevel="0" collapsed="false">
      <c r="A16" s="0" t="s">
        <v>1025</v>
      </c>
      <c r="B16" s="0" t="s">
        <v>1026</v>
      </c>
      <c r="C16" s="0" t="s">
        <v>970</v>
      </c>
      <c r="D16" s="0" t="s">
        <v>971</v>
      </c>
      <c r="E16" s="0" t="n">
        <v>20171</v>
      </c>
      <c r="F16" s="0" t="s">
        <v>208</v>
      </c>
      <c r="G16" s="0" t="s">
        <v>787</v>
      </c>
      <c r="H16" s="0" t="s">
        <v>1025</v>
      </c>
      <c r="I16" s="0" t="s">
        <v>1026</v>
      </c>
      <c r="J16" s="0" t="n">
        <v>4</v>
      </c>
    </row>
    <row r="17" customFormat="false" ht="15" hidden="false" customHeight="false" outlineLevel="0" collapsed="false">
      <c r="A17" s="0" t="s">
        <v>1027</v>
      </c>
      <c r="B17" s="0" t="s">
        <v>1028</v>
      </c>
      <c r="C17" s="0" t="s">
        <v>970</v>
      </c>
      <c r="D17" s="0" t="s">
        <v>971</v>
      </c>
      <c r="E17" s="0" t="n">
        <v>20171</v>
      </c>
      <c r="F17" s="0" t="s">
        <v>208</v>
      </c>
      <c r="G17" s="0" t="s">
        <v>787</v>
      </c>
      <c r="H17" s="0" t="s">
        <v>1027</v>
      </c>
      <c r="I17" s="0" t="s">
        <v>1028</v>
      </c>
      <c r="J17" s="0" t="n">
        <v>4</v>
      </c>
    </row>
    <row r="18" customFormat="false" ht="15" hidden="false" customHeight="false" outlineLevel="0" collapsed="false">
      <c r="A18" s="0" t="s">
        <v>1029</v>
      </c>
      <c r="B18" s="0" t="s">
        <v>1030</v>
      </c>
      <c r="C18" s="0" t="s">
        <v>970</v>
      </c>
      <c r="D18" s="0" t="s">
        <v>971</v>
      </c>
      <c r="E18" s="0" t="n">
        <v>20171</v>
      </c>
      <c r="F18" s="0" t="s">
        <v>208</v>
      </c>
      <c r="G18" s="0" t="s">
        <v>787</v>
      </c>
      <c r="H18" s="0" t="s">
        <v>1029</v>
      </c>
      <c r="I18" s="0" t="s">
        <v>1030</v>
      </c>
      <c r="J18" s="0" t="n">
        <v>4</v>
      </c>
    </row>
    <row r="19" customFormat="false" ht="15" hidden="false" customHeight="false" outlineLevel="0" collapsed="false">
      <c r="A19" s="0" t="s">
        <v>1031</v>
      </c>
      <c r="B19" s="0" t="s">
        <v>1032</v>
      </c>
      <c r="C19" s="0" t="s">
        <v>970</v>
      </c>
      <c r="D19" s="0" t="s">
        <v>971</v>
      </c>
      <c r="E19" s="0" t="n">
        <v>20171</v>
      </c>
      <c r="F19" s="0" t="s">
        <v>208</v>
      </c>
      <c r="G19" s="0" t="s">
        <v>787</v>
      </c>
      <c r="H19" s="0" t="s">
        <v>1031</v>
      </c>
      <c r="I19" s="0" t="s">
        <v>1032</v>
      </c>
      <c r="J19" s="0" t="n">
        <v>4</v>
      </c>
    </row>
    <row r="20" customFormat="false" ht="15" hidden="false" customHeight="false" outlineLevel="0" collapsed="false">
      <c r="A20" s="0" t="s">
        <v>1033</v>
      </c>
      <c r="B20" s="0" t="s">
        <v>1034</v>
      </c>
      <c r="C20" s="0" t="s">
        <v>970</v>
      </c>
      <c r="D20" s="0" t="s">
        <v>971</v>
      </c>
      <c r="E20" s="0" t="n">
        <v>20171</v>
      </c>
      <c r="F20" s="0" t="s">
        <v>208</v>
      </c>
      <c r="G20" s="0" t="s">
        <v>787</v>
      </c>
      <c r="H20" s="0" t="s">
        <v>1033</v>
      </c>
      <c r="I20" s="0" t="s">
        <v>1034</v>
      </c>
      <c r="J20" s="0" t="n">
        <v>4</v>
      </c>
    </row>
    <row r="21" customFormat="false" ht="15" hidden="false" customHeight="false" outlineLevel="0" collapsed="false">
      <c r="A21" s="0" t="s">
        <v>1035</v>
      </c>
      <c r="B21" s="0" t="s">
        <v>1036</v>
      </c>
      <c r="C21" s="0" t="s">
        <v>970</v>
      </c>
      <c r="D21" s="0" t="s">
        <v>971</v>
      </c>
      <c r="E21" s="0" t="n">
        <v>20171</v>
      </c>
      <c r="F21" s="0" t="s">
        <v>208</v>
      </c>
      <c r="G21" s="0" t="s">
        <v>787</v>
      </c>
      <c r="H21" s="0" t="s">
        <v>1035</v>
      </c>
      <c r="I21" s="0" t="s">
        <v>1036</v>
      </c>
      <c r="J21" s="0" t="n">
        <v>4</v>
      </c>
    </row>
    <row r="22" customFormat="false" ht="15" hidden="false" customHeight="false" outlineLevel="0" collapsed="false">
      <c r="A22" s="0" t="s">
        <v>1037</v>
      </c>
      <c r="B22" s="0" t="s">
        <v>1038</v>
      </c>
      <c r="C22" s="0" t="s">
        <v>970</v>
      </c>
      <c r="D22" s="0" t="s">
        <v>971</v>
      </c>
      <c r="E22" s="0" t="n">
        <v>20171</v>
      </c>
      <c r="F22" s="0" t="s">
        <v>208</v>
      </c>
      <c r="G22" s="0" t="s">
        <v>787</v>
      </c>
      <c r="H22" s="0" t="s">
        <v>1037</v>
      </c>
      <c r="I22" s="0" t="s">
        <v>1038</v>
      </c>
      <c r="J22" s="0" t="n">
        <v>4</v>
      </c>
    </row>
    <row r="23" customFormat="false" ht="15" hidden="false" customHeight="false" outlineLevel="0" collapsed="false">
      <c r="A23" s="0" t="s">
        <v>1043</v>
      </c>
      <c r="B23" s="0" t="s">
        <v>1044</v>
      </c>
      <c r="C23" s="0" t="s">
        <v>970</v>
      </c>
      <c r="D23" s="0" t="s">
        <v>971</v>
      </c>
      <c r="E23" s="0" t="n">
        <v>20171</v>
      </c>
      <c r="F23" s="0" t="s">
        <v>208</v>
      </c>
      <c r="G23" s="0" t="s">
        <v>787</v>
      </c>
      <c r="H23" s="0" t="s">
        <v>1043</v>
      </c>
      <c r="I23" s="0" t="s">
        <v>1044</v>
      </c>
      <c r="J23" s="0" t="n">
        <v>4</v>
      </c>
    </row>
    <row r="24" customFormat="false" ht="15" hidden="false" customHeight="false" outlineLevel="0" collapsed="false">
      <c r="A24" s="0" t="s">
        <v>1047</v>
      </c>
      <c r="B24" s="0" t="s">
        <v>1048</v>
      </c>
      <c r="C24" s="0" t="s">
        <v>970</v>
      </c>
      <c r="D24" s="0" t="s">
        <v>971</v>
      </c>
      <c r="E24" s="0" t="n">
        <v>20171</v>
      </c>
      <c r="F24" s="0" t="s">
        <v>208</v>
      </c>
      <c r="G24" s="0" t="s">
        <v>787</v>
      </c>
      <c r="H24" s="0" t="s">
        <v>1047</v>
      </c>
      <c r="I24" s="0" t="s">
        <v>1048</v>
      </c>
      <c r="J24" s="0" t="n">
        <v>4</v>
      </c>
    </row>
    <row r="25" customFormat="false" ht="15" hidden="false" customHeight="false" outlineLevel="0" collapsed="false">
      <c r="A25" s="0" t="s">
        <v>783</v>
      </c>
      <c r="B25" s="0" t="s">
        <v>784</v>
      </c>
      <c r="C25" s="0" t="s">
        <v>970</v>
      </c>
      <c r="D25" s="0" t="s">
        <v>971</v>
      </c>
      <c r="E25" s="0" t="n">
        <v>20171</v>
      </c>
      <c r="F25" s="0" t="s">
        <v>208</v>
      </c>
      <c r="G25" s="0" t="s">
        <v>787</v>
      </c>
      <c r="H25" s="0" t="s">
        <v>783</v>
      </c>
      <c r="I25" s="0" t="s">
        <v>784</v>
      </c>
      <c r="J25" s="0" t="n">
        <v>4</v>
      </c>
    </row>
    <row r="26" customFormat="false" ht="15" hidden="false" customHeight="false" outlineLevel="0" collapsed="false">
      <c r="A26" s="0" t="s">
        <v>597</v>
      </c>
      <c r="B26" s="0" t="s">
        <v>598</v>
      </c>
      <c r="C26" s="0" t="s">
        <v>970</v>
      </c>
      <c r="D26" s="0" t="s">
        <v>971</v>
      </c>
      <c r="E26" s="0" t="n">
        <v>20171</v>
      </c>
      <c r="F26" s="0" t="s">
        <v>208</v>
      </c>
      <c r="G26" s="0" t="s">
        <v>787</v>
      </c>
      <c r="H26" s="0" t="s">
        <v>597</v>
      </c>
      <c r="I26" s="0" t="s">
        <v>598</v>
      </c>
      <c r="J26" s="0" t="n">
        <v>4</v>
      </c>
    </row>
    <row r="27" customFormat="false" ht="15" hidden="false" customHeight="false" outlineLevel="0" collapsed="false">
      <c r="A27" s="0" t="s">
        <v>886</v>
      </c>
      <c r="B27" s="0" t="s">
        <v>887</v>
      </c>
      <c r="C27" s="0" t="s">
        <v>884</v>
      </c>
      <c r="D27" s="0" t="s">
        <v>885</v>
      </c>
      <c r="E27" s="0" t="n">
        <v>20171</v>
      </c>
      <c r="F27" s="0" t="s">
        <v>208</v>
      </c>
      <c r="G27" s="0" t="s">
        <v>787</v>
      </c>
      <c r="H27" s="0" t="s">
        <v>886</v>
      </c>
      <c r="I27" s="0" t="s">
        <v>887</v>
      </c>
      <c r="J27" s="0" t="n">
        <v>6</v>
      </c>
    </row>
    <row r="28" customFormat="false" ht="15" hidden="false" customHeight="false" outlineLevel="0" collapsed="false">
      <c r="A28" s="0" t="s">
        <v>886</v>
      </c>
      <c r="B28" s="0" t="s">
        <v>887</v>
      </c>
      <c r="C28" s="0" t="s">
        <v>970</v>
      </c>
      <c r="D28" s="0" t="s">
        <v>971</v>
      </c>
      <c r="E28" s="0" t="n">
        <v>20171</v>
      </c>
      <c r="F28" s="0" t="s">
        <v>208</v>
      </c>
      <c r="G28" s="0" t="s">
        <v>787</v>
      </c>
      <c r="H28" s="0" t="s">
        <v>1049</v>
      </c>
      <c r="I28" s="0" t="s">
        <v>1050</v>
      </c>
      <c r="J28" s="0" t="n">
        <v>4</v>
      </c>
    </row>
    <row r="29" customFormat="false" ht="15" hidden="false" customHeight="false" outlineLevel="0" collapsed="false">
      <c r="A29" s="0" t="s">
        <v>1049</v>
      </c>
      <c r="B29" s="0" t="s">
        <v>1050</v>
      </c>
      <c r="C29" s="0" t="s">
        <v>970</v>
      </c>
      <c r="D29" s="0" t="s">
        <v>971</v>
      </c>
      <c r="E29" s="0" t="n">
        <v>20171</v>
      </c>
      <c r="F29" s="0" t="s">
        <v>208</v>
      </c>
      <c r="G29" s="0" t="s">
        <v>787</v>
      </c>
      <c r="H29" s="0" t="s">
        <v>1051</v>
      </c>
      <c r="I29" s="0" t="s">
        <v>1052</v>
      </c>
      <c r="J29" s="0" t="n">
        <v>4</v>
      </c>
    </row>
    <row r="30" customFormat="false" ht="15" hidden="false" customHeight="false" outlineLevel="0" collapsed="false">
      <c r="A30" s="0" t="s">
        <v>1051</v>
      </c>
      <c r="B30" s="0" t="s">
        <v>1052</v>
      </c>
      <c r="C30" s="0" t="s">
        <v>970</v>
      </c>
      <c r="D30" s="0" t="s">
        <v>971</v>
      </c>
      <c r="E30" s="0" t="n">
        <v>20171</v>
      </c>
      <c r="F30" s="0" t="s">
        <v>208</v>
      </c>
      <c r="G30" s="0" t="s">
        <v>787</v>
      </c>
      <c r="H30" s="0" t="s">
        <v>603</v>
      </c>
      <c r="I30" s="0" t="s">
        <v>604</v>
      </c>
      <c r="J30" s="0" t="n">
        <v>4</v>
      </c>
    </row>
    <row r="31" customFormat="false" ht="15" hidden="false" customHeight="false" outlineLevel="0" collapsed="false">
      <c r="A31" s="0" t="s">
        <v>603</v>
      </c>
      <c r="B31" s="0" t="s">
        <v>604</v>
      </c>
      <c r="C31" s="0" t="s">
        <v>970</v>
      </c>
      <c r="D31" s="0" t="s">
        <v>971</v>
      </c>
      <c r="E31" s="0" t="n">
        <v>20171</v>
      </c>
      <c r="F31" s="0" t="s">
        <v>208</v>
      </c>
      <c r="G31" s="0" t="s">
        <v>787</v>
      </c>
      <c r="H31" s="0" t="s">
        <v>1053</v>
      </c>
      <c r="I31" s="0" t="s">
        <v>1054</v>
      </c>
      <c r="J31" s="0" t="n">
        <v>4</v>
      </c>
    </row>
    <row r="32" customFormat="false" ht="15" hidden="false" customHeight="false" outlineLevel="0" collapsed="false">
      <c r="A32" s="0" t="s">
        <v>1053</v>
      </c>
      <c r="B32" s="0" t="s">
        <v>1054</v>
      </c>
      <c r="C32" s="0" t="s">
        <v>970</v>
      </c>
      <c r="D32" s="0" t="s">
        <v>971</v>
      </c>
      <c r="E32" s="0" t="n">
        <v>20171</v>
      </c>
      <c r="F32" s="0" t="s">
        <v>208</v>
      </c>
      <c r="G32" s="0" t="s">
        <v>787</v>
      </c>
      <c r="H32" s="0" t="s">
        <v>747</v>
      </c>
      <c r="I32" s="0" t="s">
        <v>748</v>
      </c>
      <c r="J32" s="0" t="n">
        <v>4</v>
      </c>
    </row>
    <row r="33" customFormat="false" ht="15" hidden="false" customHeight="false" outlineLevel="0" collapsed="false">
      <c r="A33" s="0" t="s">
        <v>747</v>
      </c>
      <c r="B33" s="0" t="s">
        <v>748</v>
      </c>
      <c r="C33" s="0" t="s">
        <v>970</v>
      </c>
      <c r="D33" s="0" t="s">
        <v>971</v>
      </c>
      <c r="E33" s="0" t="n">
        <v>20171</v>
      </c>
      <c r="F33" s="0" t="s">
        <v>208</v>
      </c>
      <c r="G33" s="0" t="s">
        <v>787</v>
      </c>
      <c r="H33" s="0" t="s">
        <v>1057</v>
      </c>
      <c r="I33" s="0" t="s">
        <v>1058</v>
      </c>
      <c r="J33" s="0" t="n">
        <v>4</v>
      </c>
    </row>
    <row r="34" customFormat="false" ht="15" hidden="false" customHeight="false" outlineLevel="0" collapsed="false">
      <c r="A34" s="0" t="s">
        <v>1057</v>
      </c>
      <c r="B34" s="0" t="s">
        <v>1058</v>
      </c>
      <c r="C34" s="0" t="s">
        <v>970</v>
      </c>
      <c r="D34" s="0" t="s">
        <v>971</v>
      </c>
      <c r="E34" s="0" t="n">
        <v>20171</v>
      </c>
      <c r="F34" s="0" t="s">
        <v>208</v>
      </c>
      <c r="G34" s="0" t="s">
        <v>787</v>
      </c>
      <c r="H34" s="0" t="s">
        <v>1059</v>
      </c>
      <c r="I34" s="0" t="s">
        <v>1060</v>
      </c>
      <c r="J34" s="0" t="n">
        <v>4</v>
      </c>
    </row>
    <row r="35" customFormat="false" ht="15" hidden="false" customHeight="false" outlineLevel="0" collapsed="false">
      <c r="A35" s="0" t="s">
        <v>1059</v>
      </c>
      <c r="B35" s="0" t="s">
        <v>1060</v>
      </c>
      <c r="C35" s="0" t="s">
        <v>970</v>
      </c>
      <c r="D35" s="0" t="s">
        <v>971</v>
      </c>
      <c r="E35" s="0" t="n">
        <v>20171</v>
      </c>
      <c r="F35" s="0" t="s">
        <v>208</v>
      </c>
      <c r="G35" s="0" t="s">
        <v>787</v>
      </c>
      <c r="H35" s="0" t="s">
        <v>904</v>
      </c>
      <c r="I35" s="0" t="s">
        <v>905</v>
      </c>
      <c r="J35" s="0" t="n">
        <v>4</v>
      </c>
    </row>
    <row r="36" customFormat="false" ht="15" hidden="false" customHeight="false" outlineLevel="0" collapsed="false">
      <c r="A36" s="0" t="s">
        <v>904</v>
      </c>
      <c r="B36" s="0" t="s">
        <v>905</v>
      </c>
      <c r="C36" s="0" t="s">
        <v>970</v>
      </c>
      <c r="D36" s="0" t="s">
        <v>971</v>
      </c>
      <c r="E36" s="0" t="n">
        <v>20171</v>
      </c>
      <c r="F36" s="0" t="s">
        <v>208</v>
      </c>
      <c r="G36" s="0" t="s">
        <v>787</v>
      </c>
      <c r="H36" s="0" t="s">
        <v>914</v>
      </c>
      <c r="I36" s="0" t="s">
        <v>915</v>
      </c>
      <c r="J36" s="0" t="n">
        <v>4</v>
      </c>
    </row>
    <row r="37" customFormat="false" ht="15" hidden="false" customHeight="false" outlineLevel="0" collapsed="false">
      <c r="A37" s="0" t="s">
        <v>914</v>
      </c>
      <c r="B37" s="0" t="s">
        <v>915</v>
      </c>
      <c r="C37" s="0" t="s">
        <v>970</v>
      </c>
      <c r="D37" s="0" t="s">
        <v>971</v>
      </c>
      <c r="E37" s="0" t="n">
        <v>20171</v>
      </c>
      <c r="F37" s="0" t="s">
        <v>208</v>
      </c>
      <c r="G37" s="0" t="s">
        <v>787</v>
      </c>
      <c r="H37" s="0" t="s">
        <v>1061</v>
      </c>
      <c r="I37" s="0" t="s">
        <v>1062</v>
      </c>
      <c r="J37" s="0" t="n">
        <v>4</v>
      </c>
    </row>
    <row r="38" customFormat="false" ht="15" hidden="false" customHeight="false" outlineLevel="0" collapsed="false">
      <c r="A38" s="0" t="s">
        <v>1061</v>
      </c>
      <c r="B38" s="0" t="s">
        <v>1062</v>
      </c>
      <c r="C38" s="0" t="s">
        <v>970</v>
      </c>
      <c r="D38" s="0" t="s">
        <v>971</v>
      </c>
      <c r="E38" s="0" t="n">
        <v>20171</v>
      </c>
      <c r="F38" s="0" t="s">
        <v>208</v>
      </c>
      <c r="G38" s="0" t="s">
        <v>787</v>
      </c>
      <c r="H38" s="0" t="s">
        <v>950</v>
      </c>
      <c r="I38" s="0" t="s">
        <v>951</v>
      </c>
      <c r="J38" s="0" t="n">
        <v>4</v>
      </c>
    </row>
    <row r="39" customFormat="false" ht="15" hidden="false" customHeight="false" outlineLevel="0" collapsed="false">
      <c r="A39" s="0" t="s">
        <v>950</v>
      </c>
      <c r="B39" s="0" t="s">
        <v>951</v>
      </c>
      <c r="C39" s="0" t="s">
        <v>970</v>
      </c>
      <c r="D39" s="0" t="s">
        <v>971</v>
      </c>
      <c r="E39" s="0" t="n">
        <v>20171</v>
      </c>
      <c r="F39" s="0" t="s">
        <v>208</v>
      </c>
      <c r="G39" s="0" t="s">
        <v>787</v>
      </c>
      <c r="H39" s="0" t="s">
        <v>785</v>
      </c>
      <c r="I39" s="0" t="s">
        <v>786</v>
      </c>
      <c r="J39" s="0" t="n">
        <v>4</v>
      </c>
    </row>
    <row r="40" customFormat="false" ht="15" hidden="false" customHeight="false" outlineLevel="0" collapsed="false">
      <c r="A40" s="0" t="s">
        <v>785</v>
      </c>
      <c r="B40" s="0" t="s">
        <v>786</v>
      </c>
      <c r="C40" s="0" t="s">
        <v>880</v>
      </c>
      <c r="D40" s="0" t="s">
        <v>881</v>
      </c>
      <c r="E40" s="0" t="n">
        <v>20171</v>
      </c>
      <c r="F40" s="0" t="s">
        <v>127</v>
      </c>
      <c r="G40" s="0" t="s">
        <v>787</v>
      </c>
      <c r="H40" s="0" t="s">
        <v>1063</v>
      </c>
      <c r="I40" s="0" t="s">
        <v>1064</v>
      </c>
      <c r="J40" s="0" t="n">
        <v>4</v>
      </c>
    </row>
    <row r="41" customFormat="false" ht="15" hidden="false" customHeight="false" outlineLevel="0" collapsed="false">
      <c r="A41" s="0" t="s">
        <v>785</v>
      </c>
      <c r="B41" s="0" t="s">
        <v>786</v>
      </c>
      <c r="C41" s="0" t="s">
        <v>884</v>
      </c>
      <c r="D41" s="0" t="s">
        <v>885</v>
      </c>
      <c r="E41" s="0" t="n">
        <v>20171</v>
      </c>
      <c r="F41" s="0" t="s">
        <v>208</v>
      </c>
      <c r="G41" s="0" t="s">
        <v>787</v>
      </c>
      <c r="H41" s="0" t="s">
        <v>1065</v>
      </c>
      <c r="I41" s="0" t="s">
        <v>1066</v>
      </c>
      <c r="J41" s="0" t="n">
        <v>4</v>
      </c>
    </row>
    <row r="42" customFormat="false" ht="15" hidden="false" customHeight="false" outlineLevel="0" collapsed="false">
      <c r="A42" s="0" t="s">
        <v>1063</v>
      </c>
      <c r="B42" s="0" t="s">
        <v>1064</v>
      </c>
      <c r="C42" s="0" t="s">
        <v>970</v>
      </c>
      <c r="D42" s="0" t="s">
        <v>971</v>
      </c>
      <c r="E42" s="0" t="n">
        <v>20171</v>
      </c>
      <c r="F42" s="0" t="s">
        <v>208</v>
      </c>
      <c r="G42" s="0" t="s">
        <v>787</v>
      </c>
      <c r="H42" s="0" t="s">
        <v>1067</v>
      </c>
      <c r="I42" s="0" t="s">
        <v>1068</v>
      </c>
      <c r="J42" s="0" t="n">
        <v>4</v>
      </c>
    </row>
    <row r="43" customFormat="false" ht="15" hidden="false" customHeight="false" outlineLevel="0" collapsed="false">
      <c r="A43" s="0" t="s">
        <v>1065</v>
      </c>
      <c r="B43" s="0" t="s">
        <v>1066</v>
      </c>
      <c r="C43" s="0" t="s">
        <v>970</v>
      </c>
      <c r="D43" s="0" t="s">
        <v>971</v>
      </c>
      <c r="E43" s="0" t="n">
        <v>20171</v>
      </c>
      <c r="F43" s="0" t="s">
        <v>208</v>
      </c>
      <c r="G43" s="0" t="s">
        <v>787</v>
      </c>
      <c r="H43" s="0" t="s">
        <v>306</v>
      </c>
      <c r="I43" s="0" t="s">
        <v>307</v>
      </c>
      <c r="J43" s="0" t="n">
        <v>4</v>
      </c>
    </row>
    <row r="44" customFormat="false" ht="15" hidden="false" customHeight="false" outlineLevel="0" collapsed="false">
      <c r="A44" s="0" t="s">
        <v>1067</v>
      </c>
      <c r="B44" s="0" t="s">
        <v>1068</v>
      </c>
      <c r="C44" s="0" t="s">
        <v>970</v>
      </c>
      <c r="D44" s="0" t="s">
        <v>971</v>
      </c>
      <c r="E44" s="0" t="n">
        <v>20171</v>
      </c>
      <c r="F44" s="0" t="s">
        <v>208</v>
      </c>
      <c r="G44" s="0" t="s">
        <v>787</v>
      </c>
      <c r="H44" s="0" t="s">
        <v>605</v>
      </c>
      <c r="I44" s="0" t="s">
        <v>606</v>
      </c>
      <c r="J44" s="0" t="n">
        <v>4</v>
      </c>
    </row>
    <row r="45" customFormat="false" ht="15" hidden="false" customHeight="false" outlineLevel="0" collapsed="false">
      <c r="A45" s="0" t="s">
        <v>306</v>
      </c>
      <c r="B45" s="0" t="s">
        <v>307</v>
      </c>
      <c r="C45" s="0" t="s">
        <v>970</v>
      </c>
      <c r="D45" s="0" t="s">
        <v>971</v>
      </c>
      <c r="E45" s="0" t="n">
        <v>20171</v>
      </c>
      <c r="F45" s="0" t="s">
        <v>208</v>
      </c>
      <c r="G45" s="0" t="s">
        <v>787</v>
      </c>
      <c r="H45" s="0" t="s">
        <v>749</v>
      </c>
      <c r="I45" s="0" t="s">
        <v>750</v>
      </c>
      <c r="J45" s="0" t="n">
        <v>4</v>
      </c>
    </row>
    <row r="46" customFormat="false" ht="15" hidden="false" customHeight="false" outlineLevel="0" collapsed="false">
      <c r="A46" s="0" t="s">
        <v>605</v>
      </c>
      <c r="B46" s="0" t="s">
        <v>606</v>
      </c>
      <c r="C46" s="0" t="s">
        <v>970</v>
      </c>
      <c r="D46" s="0" t="s">
        <v>971</v>
      </c>
      <c r="E46" s="0" t="n">
        <v>20171</v>
      </c>
      <c r="F46" s="0" t="s">
        <v>208</v>
      </c>
      <c r="G46" s="0" t="s">
        <v>787</v>
      </c>
      <c r="H46" s="0" t="s">
        <v>667</v>
      </c>
      <c r="I46" s="0" t="s">
        <v>668</v>
      </c>
      <c r="J46" s="0" t="n">
        <v>4</v>
      </c>
    </row>
    <row r="47" customFormat="false" ht="15" hidden="false" customHeight="false" outlineLevel="0" collapsed="false">
      <c r="A47" s="0" t="s">
        <v>749</v>
      </c>
      <c r="B47" s="0" t="s">
        <v>750</v>
      </c>
      <c r="C47" s="0" t="s">
        <v>781</v>
      </c>
      <c r="D47" s="0" t="s">
        <v>782</v>
      </c>
      <c r="E47" s="0" t="n">
        <v>20171</v>
      </c>
      <c r="F47" s="0" t="s">
        <v>208</v>
      </c>
      <c r="G47" s="0" t="s">
        <v>787</v>
      </c>
      <c r="H47" s="0" t="s">
        <v>1071</v>
      </c>
      <c r="I47" s="0" t="s">
        <v>1072</v>
      </c>
      <c r="J47" s="0" t="n">
        <v>4</v>
      </c>
    </row>
    <row r="48" customFormat="false" ht="15" hidden="false" customHeight="false" outlineLevel="0" collapsed="false">
      <c r="A48" s="0" t="s">
        <v>667</v>
      </c>
      <c r="B48" s="0" t="s">
        <v>668</v>
      </c>
      <c r="C48" s="0" t="s">
        <v>970</v>
      </c>
      <c r="D48" s="0" t="s">
        <v>971</v>
      </c>
      <c r="E48" s="0" t="n">
        <v>20171</v>
      </c>
      <c r="F48" s="0" t="s">
        <v>208</v>
      </c>
      <c r="G48" s="0" t="s">
        <v>787</v>
      </c>
      <c r="H48" s="0" t="s">
        <v>308</v>
      </c>
      <c r="I48" s="0" t="s">
        <v>309</v>
      </c>
      <c r="J48" s="0" t="n">
        <v>4</v>
      </c>
    </row>
    <row r="49" customFormat="false" ht="15" hidden="false" customHeight="false" outlineLevel="0" collapsed="false">
      <c r="A49" s="0" t="s">
        <v>1071</v>
      </c>
      <c r="B49" s="0" t="s">
        <v>1072</v>
      </c>
      <c r="C49" s="0" t="s">
        <v>970</v>
      </c>
      <c r="D49" s="0" t="s">
        <v>971</v>
      </c>
      <c r="E49" s="0" t="n">
        <v>20171</v>
      </c>
      <c r="F49" s="0" t="s">
        <v>208</v>
      </c>
      <c r="G49" s="0" t="s">
        <v>787</v>
      </c>
      <c r="H49" s="0" t="s">
        <v>862</v>
      </c>
      <c r="I49" s="0" t="s">
        <v>863</v>
      </c>
      <c r="J49" s="0" t="n">
        <v>4</v>
      </c>
    </row>
    <row r="50" customFormat="false" ht="15" hidden="false" customHeight="false" outlineLevel="0" collapsed="false">
      <c r="A50" s="0" t="s">
        <v>308</v>
      </c>
      <c r="B50" s="0" t="s">
        <v>309</v>
      </c>
      <c r="C50" s="0" t="s">
        <v>970</v>
      </c>
      <c r="D50" s="0" t="s">
        <v>971</v>
      </c>
      <c r="E50" s="0" t="n">
        <v>20171</v>
      </c>
      <c r="F50" s="0" t="s">
        <v>208</v>
      </c>
      <c r="G50" s="0" t="s">
        <v>787</v>
      </c>
      <c r="H50" s="0" t="s">
        <v>934</v>
      </c>
      <c r="I50" s="0" t="s">
        <v>935</v>
      </c>
      <c r="J50" s="0" t="n">
        <v>4</v>
      </c>
    </row>
    <row r="51" customFormat="false" ht="15" hidden="false" customHeight="false" outlineLevel="0" collapsed="false">
      <c r="A51" s="0" t="s">
        <v>862</v>
      </c>
      <c r="B51" s="0" t="s">
        <v>863</v>
      </c>
      <c r="C51" s="0" t="s">
        <v>970</v>
      </c>
      <c r="D51" s="0" t="s">
        <v>971</v>
      </c>
      <c r="E51" s="0" t="n">
        <v>20171</v>
      </c>
      <c r="F51" s="0" t="s">
        <v>208</v>
      </c>
      <c r="G51" s="0" t="s">
        <v>787</v>
      </c>
      <c r="H51" s="0" t="s">
        <v>1075</v>
      </c>
      <c r="I51" s="0" t="s">
        <v>1076</v>
      </c>
      <c r="J51" s="0" t="n">
        <v>4</v>
      </c>
    </row>
    <row r="52" customFormat="false" ht="15" hidden="false" customHeight="false" outlineLevel="0" collapsed="false">
      <c r="A52" s="0" t="s">
        <v>934</v>
      </c>
      <c r="B52" s="0" t="s">
        <v>935</v>
      </c>
      <c r="C52" s="0" t="s">
        <v>970</v>
      </c>
      <c r="D52" s="0" t="s">
        <v>971</v>
      </c>
      <c r="E52" s="0" t="n">
        <v>20171</v>
      </c>
      <c r="F52" s="0" t="s">
        <v>208</v>
      </c>
      <c r="G52" s="0" t="s">
        <v>787</v>
      </c>
      <c r="H52" s="0" t="s">
        <v>519</v>
      </c>
      <c r="I52" s="0" t="s">
        <v>520</v>
      </c>
      <c r="J52" s="0" t="n">
        <v>4</v>
      </c>
    </row>
    <row r="53" customFormat="false" ht="15" hidden="false" customHeight="false" outlineLevel="0" collapsed="false">
      <c r="A53" s="0" t="s">
        <v>1075</v>
      </c>
      <c r="B53" s="0" t="s">
        <v>1076</v>
      </c>
      <c r="C53" s="0" t="s">
        <v>970</v>
      </c>
      <c r="D53" s="0" t="s">
        <v>971</v>
      </c>
      <c r="E53" s="0" t="n">
        <v>20171</v>
      </c>
      <c r="F53" s="0" t="s">
        <v>208</v>
      </c>
      <c r="G53" s="0" t="s">
        <v>787</v>
      </c>
      <c r="H53" s="0" t="s">
        <v>555</v>
      </c>
      <c r="I53" s="0" t="s">
        <v>556</v>
      </c>
      <c r="J53" s="0" t="n">
        <v>4</v>
      </c>
    </row>
    <row r="54" customFormat="false" ht="15" hidden="false" customHeight="false" outlineLevel="0" collapsed="false">
      <c r="A54" s="0" t="s">
        <v>519</v>
      </c>
      <c r="B54" s="0" t="s">
        <v>520</v>
      </c>
      <c r="C54" s="0" t="s">
        <v>970</v>
      </c>
      <c r="D54" s="0" t="s">
        <v>971</v>
      </c>
      <c r="E54" s="0" t="n">
        <v>20171</v>
      </c>
      <c r="F54" s="0" t="s">
        <v>208</v>
      </c>
      <c r="G54" s="0" t="s">
        <v>787</v>
      </c>
      <c r="H54" s="0" t="s">
        <v>1079</v>
      </c>
      <c r="I54" s="0" t="s">
        <v>1080</v>
      </c>
      <c r="J54" s="0" t="n">
        <v>4</v>
      </c>
    </row>
    <row r="55" customFormat="false" ht="15" hidden="false" customHeight="false" outlineLevel="0" collapsed="false">
      <c r="A55" s="0" t="s">
        <v>555</v>
      </c>
      <c r="B55" s="0" t="s">
        <v>556</v>
      </c>
      <c r="C55" s="0" t="s">
        <v>970</v>
      </c>
      <c r="D55" s="0" t="s">
        <v>971</v>
      </c>
      <c r="E55" s="0" t="n">
        <v>20171</v>
      </c>
      <c r="F55" s="0" t="s">
        <v>208</v>
      </c>
      <c r="G55" s="0" t="s">
        <v>787</v>
      </c>
      <c r="H55" s="0" t="s">
        <v>1081</v>
      </c>
      <c r="I55" s="0" t="s">
        <v>1082</v>
      </c>
      <c r="J55" s="0" t="n">
        <v>4</v>
      </c>
    </row>
    <row r="56" customFormat="false" ht="15" hidden="false" customHeight="false" outlineLevel="0" collapsed="false">
      <c r="A56" s="0" t="s">
        <v>1079</v>
      </c>
      <c r="B56" s="0" t="s">
        <v>1080</v>
      </c>
      <c r="C56" s="0" t="s">
        <v>970</v>
      </c>
      <c r="D56" s="0" t="s">
        <v>971</v>
      </c>
      <c r="E56" s="0" t="n">
        <v>20171</v>
      </c>
      <c r="F56" s="0" t="s">
        <v>208</v>
      </c>
      <c r="G56" s="0" t="s">
        <v>787</v>
      </c>
      <c r="H56" s="0" t="s">
        <v>936</v>
      </c>
      <c r="I56" s="0" t="s">
        <v>937</v>
      </c>
      <c r="J56" s="0" t="n">
        <v>4</v>
      </c>
    </row>
    <row r="57" customFormat="false" ht="15" hidden="false" customHeight="false" outlineLevel="0" collapsed="false">
      <c r="A57" s="0" t="s">
        <v>1081</v>
      </c>
      <c r="B57" s="0" t="s">
        <v>1082</v>
      </c>
      <c r="C57" s="0" t="s">
        <v>970</v>
      </c>
      <c r="D57" s="0" t="s">
        <v>971</v>
      </c>
      <c r="E57" s="0" t="n">
        <v>20171</v>
      </c>
      <c r="F57" s="0" t="s">
        <v>208</v>
      </c>
      <c r="G57" s="0" t="s">
        <v>787</v>
      </c>
      <c r="H57" s="0" t="s">
        <v>204</v>
      </c>
      <c r="I57" s="0" t="s">
        <v>205</v>
      </c>
      <c r="J57" s="0" t="n">
        <v>4</v>
      </c>
    </row>
    <row r="58" customFormat="false" ht="15" hidden="false" customHeight="false" outlineLevel="0" collapsed="false">
      <c r="A58" s="0" t="s">
        <v>936</v>
      </c>
      <c r="B58" s="0" t="s">
        <v>937</v>
      </c>
      <c r="C58" s="0" t="s">
        <v>970</v>
      </c>
      <c r="D58" s="0" t="s">
        <v>971</v>
      </c>
      <c r="E58" s="0" t="n">
        <v>20171</v>
      </c>
      <c r="F58" s="0" t="s">
        <v>208</v>
      </c>
      <c r="G58" s="0" t="s">
        <v>787</v>
      </c>
      <c r="H58" s="0" t="s">
        <v>559</v>
      </c>
      <c r="I58" s="0" t="s">
        <v>560</v>
      </c>
      <c r="J58" s="0" t="n">
        <v>4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0" t="s">
        <v>880</v>
      </c>
      <c r="D59" s="0" t="s">
        <v>881</v>
      </c>
      <c r="E59" s="0" t="n">
        <v>20171</v>
      </c>
      <c r="F59" s="0" t="s">
        <v>127</v>
      </c>
      <c r="G59" s="0" t="s">
        <v>787</v>
      </c>
      <c r="H59" s="0" t="s">
        <v>567</v>
      </c>
      <c r="I59" s="0" t="s">
        <v>568</v>
      </c>
      <c r="J59" s="0" t="n">
        <v>2</v>
      </c>
    </row>
    <row r="60" customFormat="false" ht="15" hidden="false" customHeight="false" outlineLevel="0" collapsed="false">
      <c r="A60" s="0" t="s">
        <v>204</v>
      </c>
      <c r="B60" s="0" t="s">
        <v>205</v>
      </c>
      <c r="C60" s="0" t="s">
        <v>884</v>
      </c>
      <c r="D60" s="0" t="s">
        <v>885</v>
      </c>
      <c r="E60" s="0" t="n">
        <v>20171</v>
      </c>
      <c r="F60" s="0" t="s">
        <v>208</v>
      </c>
      <c r="G60" s="0" t="s">
        <v>787</v>
      </c>
      <c r="H60" s="0" t="s">
        <v>581</v>
      </c>
      <c r="I60" s="0" t="s">
        <v>582</v>
      </c>
      <c r="J60" s="0" t="n">
        <v>4</v>
      </c>
    </row>
    <row r="61" customFormat="false" ht="15" hidden="false" customHeight="false" outlineLevel="0" collapsed="false">
      <c r="A61" s="0" t="s">
        <v>559</v>
      </c>
      <c r="B61" s="0" t="s">
        <v>560</v>
      </c>
      <c r="C61" s="0" t="s">
        <v>970</v>
      </c>
      <c r="D61" s="0" t="s">
        <v>971</v>
      </c>
      <c r="E61" s="0" t="n">
        <v>20171</v>
      </c>
      <c r="F61" s="0" t="s">
        <v>208</v>
      </c>
      <c r="G61" s="0" t="s">
        <v>787</v>
      </c>
      <c r="H61" s="0" t="s">
        <v>523</v>
      </c>
      <c r="I61" s="0" t="s">
        <v>524</v>
      </c>
      <c r="J61" s="0" t="n">
        <v>4</v>
      </c>
    </row>
    <row r="62" customFormat="false" ht="15" hidden="false" customHeight="false" outlineLevel="0" collapsed="false">
      <c r="A62" s="0" t="s">
        <v>567</v>
      </c>
      <c r="B62" s="0" t="s">
        <v>568</v>
      </c>
      <c r="C62" s="0" t="s">
        <v>884</v>
      </c>
      <c r="D62" s="0" t="s">
        <v>885</v>
      </c>
      <c r="E62" s="0" t="n">
        <v>20171</v>
      </c>
      <c r="F62" s="0" t="s">
        <v>208</v>
      </c>
      <c r="G62" s="0" t="s">
        <v>787</v>
      </c>
      <c r="H62" s="0" t="s">
        <v>643</v>
      </c>
      <c r="I62" s="0" t="s">
        <v>644</v>
      </c>
      <c r="J62" s="0" t="n">
        <v>2</v>
      </c>
    </row>
    <row r="63" customFormat="false" ht="15" hidden="false" customHeight="false" outlineLevel="0" collapsed="false">
      <c r="A63" s="0" t="s">
        <v>581</v>
      </c>
      <c r="B63" s="0" t="s">
        <v>582</v>
      </c>
      <c r="C63" s="0" t="s">
        <v>970</v>
      </c>
      <c r="D63" s="0" t="s">
        <v>971</v>
      </c>
      <c r="E63" s="0" t="n">
        <v>20171</v>
      </c>
      <c r="F63" s="0" t="s">
        <v>208</v>
      </c>
      <c r="G63" s="0" t="s">
        <v>787</v>
      </c>
      <c r="H63" s="0" t="s">
        <v>729</v>
      </c>
      <c r="I63" s="0" t="s">
        <v>730</v>
      </c>
      <c r="J63" s="0" t="n">
        <v>4</v>
      </c>
    </row>
    <row r="64" customFormat="false" ht="15" hidden="false" customHeight="false" outlineLevel="0" collapsed="false">
      <c r="A64" s="0" t="s">
        <v>523</v>
      </c>
      <c r="B64" s="0" t="s">
        <v>524</v>
      </c>
      <c r="C64" s="0" t="s">
        <v>970</v>
      </c>
      <c r="D64" s="0" t="s">
        <v>971</v>
      </c>
      <c r="E64" s="0" t="n">
        <v>20171</v>
      </c>
      <c r="F64" s="0" t="s">
        <v>208</v>
      </c>
      <c r="G64" s="0" t="s">
        <v>787</v>
      </c>
      <c r="H64" s="0" t="s">
        <v>607</v>
      </c>
      <c r="I64" s="0" t="s">
        <v>608</v>
      </c>
      <c r="J64" s="0" t="n">
        <v>4</v>
      </c>
    </row>
    <row r="65" customFormat="false" ht="15" hidden="false" customHeight="false" outlineLevel="0" collapsed="false">
      <c r="A65" s="0" t="s">
        <v>643</v>
      </c>
      <c r="B65" s="0" t="s">
        <v>644</v>
      </c>
      <c r="C65" s="0" t="s">
        <v>880</v>
      </c>
      <c r="D65" s="0" t="s">
        <v>881</v>
      </c>
      <c r="E65" s="0" t="n">
        <v>20171</v>
      </c>
      <c r="F65" s="0" t="s">
        <v>127</v>
      </c>
      <c r="G65" s="0" t="s">
        <v>787</v>
      </c>
      <c r="H65" s="0" t="s">
        <v>1089</v>
      </c>
      <c r="I65" s="0" t="s">
        <v>1090</v>
      </c>
      <c r="J65" s="0" t="n">
        <v>4</v>
      </c>
    </row>
    <row r="66" customFormat="false" ht="15" hidden="false" customHeight="false" outlineLevel="0" collapsed="false">
      <c r="A66" s="0" t="s">
        <v>729</v>
      </c>
      <c r="B66" s="0" t="s">
        <v>730</v>
      </c>
      <c r="C66" s="0" t="s">
        <v>880</v>
      </c>
      <c r="D66" s="0" t="s">
        <v>881</v>
      </c>
      <c r="E66" s="0" t="n">
        <v>20171</v>
      </c>
      <c r="F66" s="0" t="s">
        <v>127</v>
      </c>
      <c r="G66" s="0" t="s">
        <v>787</v>
      </c>
      <c r="H66" s="0" t="s">
        <v>1093</v>
      </c>
      <c r="I66" s="0" t="s">
        <v>1094</v>
      </c>
      <c r="J66" s="0" t="n">
        <v>4</v>
      </c>
    </row>
    <row r="67" customFormat="false" ht="15" hidden="false" customHeight="false" outlineLevel="0" collapsed="false">
      <c r="A67" s="0" t="s">
        <v>729</v>
      </c>
      <c r="B67" s="0" t="s">
        <v>730</v>
      </c>
      <c r="C67" s="0" t="s">
        <v>884</v>
      </c>
      <c r="D67" s="0" t="s">
        <v>885</v>
      </c>
      <c r="E67" s="0" t="n">
        <v>20171</v>
      </c>
      <c r="F67" s="0" t="s">
        <v>208</v>
      </c>
      <c r="G67" s="0" t="s">
        <v>787</v>
      </c>
      <c r="H67" s="0" t="s">
        <v>1095</v>
      </c>
      <c r="I67" s="0" t="s">
        <v>1096</v>
      </c>
      <c r="J67" s="0" t="n">
        <v>4</v>
      </c>
    </row>
    <row r="68" customFormat="false" ht="15" hidden="false" customHeight="false" outlineLevel="0" collapsed="false">
      <c r="A68" s="0" t="s">
        <v>607</v>
      </c>
      <c r="B68" s="0" t="s">
        <v>608</v>
      </c>
      <c r="C68" s="0" t="s">
        <v>970</v>
      </c>
      <c r="D68" s="0" t="s">
        <v>971</v>
      </c>
      <c r="E68" s="0" t="n">
        <v>20171</v>
      </c>
      <c r="F68" s="0" t="s">
        <v>208</v>
      </c>
      <c r="G68" s="0" t="s">
        <v>787</v>
      </c>
      <c r="H68" s="0" t="s">
        <v>1097</v>
      </c>
      <c r="I68" s="0" t="s">
        <v>1098</v>
      </c>
      <c r="J68" s="0" t="n">
        <v>4</v>
      </c>
    </row>
    <row r="69" customFormat="false" ht="15" hidden="false" customHeight="false" outlineLevel="0" collapsed="false">
      <c r="A69" s="0" t="s">
        <v>1089</v>
      </c>
      <c r="B69" s="0" t="s">
        <v>1090</v>
      </c>
      <c r="C69" s="0" t="s">
        <v>970</v>
      </c>
      <c r="D69" s="0" t="s">
        <v>971</v>
      </c>
      <c r="E69" s="0" t="n">
        <v>20171</v>
      </c>
      <c r="F69" s="0" t="s">
        <v>208</v>
      </c>
      <c r="G69" s="0" t="s">
        <v>787</v>
      </c>
      <c r="H69" s="0" t="s">
        <v>1101</v>
      </c>
      <c r="I69" s="0" t="s">
        <v>1102</v>
      </c>
      <c r="J69" s="0" t="n">
        <v>4</v>
      </c>
    </row>
    <row r="70" customFormat="false" ht="15" hidden="false" customHeight="false" outlineLevel="0" collapsed="false">
      <c r="A70" s="0" t="s">
        <v>1093</v>
      </c>
      <c r="B70" s="0" t="s">
        <v>1094</v>
      </c>
      <c r="C70" s="0" t="s">
        <v>970</v>
      </c>
      <c r="D70" s="0" t="s">
        <v>971</v>
      </c>
      <c r="E70" s="0" t="n">
        <v>20171</v>
      </c>
      <c r="F70" s="0" t="s">
        <v>208</v>
      </c>
      <c r="G70" s="0" t="s">
        <v>787</v>
      </c>
      <c r="H70" s="0" t="s">
        <v>649</v>
      </c>
      <c r="I70" s="0" t="s">
        <v>650</v>
      </c>
      <c r="J70" s="0" t="n">
        <v>4</v>
      </c>
    </row>
    <row r="71" customFormat="false" ht="15" hidden="false" customHeight="false" outlineLevel="0" collapsed="false">
      <c r="A71" s="0" t="s">
        <v>1095</v>
      </c>
      <c r="B71" s="0" t="s">
        <v>1096</v>
      </c>
      <c r="C71" s="0" t="s">
        <v>970</v>
      </c>
      <c r="D71" s="0" t="s">
        <v>971</v>
      </c>
      <c r="E71" s="0" t="n">
        <v>20171</v>
      </c>
      <c r="F71" s="0" t="s">
        <v>208</v>
      </c>
      <c r="G71" s="0" t="s">
        <v>787</v>
      </c>
      <c r="H71" s="0" t="s">
        <v>790</v>
      </c>
      <c r="I71" s="0" t="s">
        <v>791</v>
      </c>
      <c r="J71" s="0" t="n">
        <v>6</v>
      </c>
    </row>
    <row r="72" customFormat="false" ht="15" hidden="false" customHeight="false" outlineLevel="0" collapsed="false">
      <c r="A72" s="0" t="s">
        <v>1097</v>
      </c>
      <c r="B72" s="0" t="s">
        <v>1098</v>
      </c>
      <c r="C72" s="0" t="s">
        <v>970</v>
      </c>
      <c r="D72" s="0" t="s">
        <v>971</v>
      </c>
      <c r="E72" s="0" t="n">
        <v>20171</v>
      </c>
      <c r="F72" s="0" t="s">
        <v>208</v>
      </c>
      <c r="G72" s="0" t="s">
        <v>787</v>
      </c>
      <c r="H72" s="0" t="s">
        <v>669</v>
      </c>
      <c r="I72" s="0" t="s">
        <v>670</v>
      </c>
      <c r="J72" s="0" t="n">
        <v>4</v>
      </c>
    </row>
    <row r="73" customFormat="false" ht="15" hidden="false" customHeight="false" outlineLevel="0" collapsed="false">
      <c r="A73" s="0" t="s">
        <v>1101</v>
      </c>
      <c r="B73" s="0" t="s">
        <v>1102</v>
      </c>
      <c r="C73" s="0" t="s">
        <v>970</v>
      </c>
      <c r="D73" s="0" t="s">
        <v>971</v>
      </c>
      <c r="E73" s="0" t="n">
        <v>20171</v>
      </c>
      <c r="F73" s="0" t="s">
        <v>208</v>
      </c>
      <c r="G73" s="0" t="s">
        <v>787</v>
      </c>
      <c r="H73" s="0" t="s">
        <v>1103</v>
      </c>
      <c r="I73" s="0" t="s">
        <v>1104</v>
      </c>
      <c r="J73" s="0" t="n">
        <v>4</v>
      </c>
    </row>
    <row r="74" customFormat="false" ht="15" hidden="false" customHeight="false" outlineLevel="0" collapsed="false">
      <c r="A74" s="0" t="s">
        <v>649</v>
      </c>
      <c r="B74" s="0" t="s">
        <v>650</v>
      </c>
      <c r="C74" s="0" t="s">
        <v>781</v>
      </c>
      <c r="D74" s="0" t="s">
        <v>782</v>
      </c>
      <c r="E74" s="0" t="n">
        <v>20171</v>
      </c>
      <c r="F74" s="0" t="s">
        <v>208</v>
      </c>
      <c r="G74" s="0" t="s">
        <v>787</v>
      </c>
      <c r="H74" s="0" t="s">
        <v>1105</v>
      </c>
      <c r="I74" s="0" t="s">
        <v>1106</v>
      </c>
      <c r="J74" s="0" t="n">
        <v>4</v>
      </c>
    </row>
    <row r="75" customFormat="false" ht="15" hidden="false" customHeight="false" outlineLevel="0" collapsed="false">
      <c r="A75" s="0" t="s">
        <v>790</v>
      </c>
      <c r="B75" s="0" t="s">
        <v>791</v>
      </c>
      <c r="C75" s="0" t="s">
        <v>781</v>
      </c>
      <c r="D75" s="0" t="s">
        <v>782</v>
      </c>
      <c r="E75" s="0" t="n">
        <v>20171</v>
      </c>
      <c r="F75" s="0" t="s">
        <v>208</v>
      </c>
      <c r="G75" s="0" t="s">
        <v>787</v>
      </c>
      <c r="H75" s="0" t="s">
        <v>569</v>
      </c>
      <c r="I75" s="0" t="s">
        <v>570</v>
      </c>
      <c r="J75" s="0" t="n">
        <v>4</v>
      </c>
    </row>
    <row r="76" customFormat="false" ht="15" hidden="false" customHeight="false" outlineLevel="0" collapsed="false">
      <c r="A76" s="0" t="s">
        <v>790</v>
      </c>
      <c r="B76" s="0" t="s">
        <v>791</v>
      </c>
      <c r="C76" s="0" t="s">
        <v>880</v>
      </c>
      <c r="D76" s="0" t="s">
        <v>881</v>
      </c>
      <c r="E76" s="0" t="n">
        <v>20171</v>
      </c>
      <c r="F76" s="0" t="s">
        <v>127</v>
      </c>
      <c r="G76" s="0" t="s">
        <v>787</v>
      </c>
      <c r="H76" s="0" t="s">
        <v>792</v>
      </c>
      <c r="I76" s="0" t="s">
        <v>793</v>
      </c>
      <c r="J76" s="0" t="n">
        <v>4</v>
      </c>
    </row>
    <row r="77" customFormat="false" ht="15" hidden="false" customHeight="false" outlineLevel="0" collapsed="false">
      <c r="A77" s="0" t="s">
        <v>669</v>
      </c>
      <c r="B77" s="0" t="s">
        <v>670</v>
      </c>
      <c r="C77" s="0" t="s">
        <v>781</v>
      </c>
      <c r="D77" s="0" t="s">
        <v>782</v>
      </c>
      <c r="E77" s="0" t="n">
        <v>20171</v>
      </c>
      <c r="F77" s="0" t="s">
        <v>208</v>
      </c>
      <c r="G77" s="0" t="s">
        <v>787</v>
      </c>
      <c r="H77" s="0" t="s">
        <v>1109</v>
      </c>
      <c r="I77" s="0" t="s">
        <v>1110</v>
      </c>
      <c r="J77" s="0" t="n">
        <v>4</v>
      </c>
    </row>
    <row r="78" customFormat="false" ht="15" hidden="false" customHeight="false" outlineLevel="0" collapsed="false">
      <c r="A78" s="0" t="s">
        <v>1103</v>
      </c>
      <c r="B78" s="0" t="s">
        <v>1104</v>
      </c>
      <c r="C78" s="0" t="s">
        <v>970</v>
      </c>
      <c r="D78" s="0" t="s">
        <v>971</v>
      </c>
      <c r="E78" s="0" t="n">
        <v>20171</v>
      </c>
      <c r="F78" s="0" t="s">
        <v>208</v>
      </c>
      <c r="G78" s="0" t="s">
        <v>787</v>
      </c>
      <c r="H78" s="0" t="s">
        <v>1111</v>
      </c>
      <c r="I78" s="0" t="s">
        <v>1112</v>
      </c>
      <c r="J78" s="0" t="n">
        <v>4</v>
      </c>
    </row>
    <row r="79" customFormat="false" ht="15" hidden="false" customHeight="false" outlineLevel="0" collapsed="false">
      <c r="A79" s="0" t="s">
        <v>1105</v>
      </c>
      <c r="B79" s="0" t="s">
        <v>1106</v>
      </c>
      <c r="C79" s="0" t="s">
        <v>970</v>
      </c>
      <c r="D79" s="0" t="s">
        <v>971</v>
      </c>
      <c r="E79" s="0" t="n">
        <v>20171</v>
      </c>
      <c r="F79" s="0" t="s">
        <v>208</v>
      </c>
      <c r="G79" s="0" t="s">
        <v>787</v>
      </c>
      <c r="H79" s="0" t="s">
        <v>1113</v>
      </c>
      <c r="I79" s="0" t="s">
        <v>1114</v>
      </c>
      <c r="J79" s="0" t="n">
        <v>4</v>
      </c>
    </row>
    <row r="80" customFormat="false" ht="15" hidden="false" customHeight="false" outlineLevel="0" collapsed="false">
      <c r="A80" s="0" t="s">
        <v>569</v>
      </c>
      <c r="B80" s="0" t="s">
        <v>570</v>
      </c>
      <c r="C80" s="0" t="s">
        <v>970</v>
      </c>
      <c r="D80" s="0" t="s">
        <v>971</v>
      </c>
      <c r="E80" s="0" t="n">
        <v>20171</v>
      </c>
      <c r="F80" s="0" t="s">
        <v>208</v>
      </c>
      <c r="G80" s="0" t="s">
        <v>787</v>
      </c>
      <c r="H80" s="0" t="s">
        <v>1115</v>
      </c>
      <c r="I80" s="0" t="s">
        <v>1116</v>
      </c>
      <c r="J80" s="0" t="n">
        <v>4</v>
      </c>
    </row>
    <row r="81" customFormat="false" ht="15" hidden="false" customHeight="false" outlineLevel="0" collapsed="false">
      <c r="A81" s="0" t="s">
        <v>792</v>
      </c>
      <c r="B81" s="0" t="s">
        <v>793</v>
      </c>
      <c r="C81" s="0" t="s">
        <v>970</v>
      </c>
      <c r="D81" s="0" t="s">
        <v>971</v>
      </c>
      <c r="E81" s="0" t="n">
        <v>20171</v>
      </c>
      <c r="F81" s="0" t="s">
        <v>208</v>
      </c>
      <c r="G81" s="0" t="s">
        <v>787</v>
      </c>
      <c r="H81" s="0" t="s">
        <v>561</v>
      </c>
      <c r="I81" s="0" t="s">
        <v>562</v>
      </c>
      <c r="J81" s="0" t="n">
        <v>4</v>
      </c>
    </row>
    <row r="82" customFormat="false" ht="15" hidden="false" customHeight="false" outlineLevel="0" collapsed="false">
      <c r="A82" s="0" t="s">
        <v>1109</v>
      </c>
      <c r="B82" s="0" t="s">
        <v>1110</v>
      </c>
      <c r="C82" s="0" t="s">
        <v>970</v>
      </c>
      <c r="D82" s="0" t="s">
        <v>971</v>
      </c>
      <c r="E82" s="0" t="n">
        <v>20171</v>
      </c>
      <c r="F82" s="0" t="s">
        <v>208</v>
      </c>
      <c r="G82" s="0" t="s">
        <v>787</v>
      </c>
      <c r="H82" s="0" t="s">
        <v>1117</v>
      </c>
      <c r="I82" s="0" t="s">
        <v>1118</v>
      </c>
      <c r="J82" s="0" t="n">
        <v>4</v>
      </c>
    </row>
    <row r="83" customFormat="false" ht="15" hidden="false" customHeight="false" outlineLevel="0" collapsed="false">
      <c r="A83" s="0" t="s">
        <v>1111</v>
      </c>
      <c r="B83" s="0" t="s">
        <v>1112</v>
      </c>
      <c r="C83" s="0" t="s">
        <v>970</v>
      </c>
      <c r="D83" s="0" t="s">
        <v>971</v>
      </c>
      <c r="E83" s="0" t="n">
        <v>20171</v>
      </c>
      <c r="F83" s="0" t="s">
        <v>208</v>
      </c>
      <c r="G83" s="0" t="s">
        <v>787</v>
      </c>
      <c r="H83" s="0" t="s">
        <v>1119</v>
      </c>
      <c r="I83" s="0" t="s">
        <v>1120</v>
      </c>
      <c r="J83" s="0" t="n">
        <v>4</v>
      </c>
    </row>
    <row r="84" customFormat="false" ht="15" hidden="false" customHeight="false" outlineLevel="0" collapsed="false">
      <c r="A84" s="0" t="s">
        <v>1113</v>
      </c>
      <c r="B84" s="0" t="s">
        <v>1114</v>
      </c>
      <c r="C84" s="0" t="s">
        <v>970</v>
      </c>
      <c r="D84" s="0" t="s">
        <v>971</v>
      </c>
      <c r="E84" s="0" t="n">
        <v>20171</v>
      </c>
      <c r="F84" s="0" t="s">
        <v>208</v>
      </c>
      <c r="G84" s="0" t="s">
        <v>787</v>
      </c>
      <c r="H84" s="0" t="s">
        <v>1121</v>
      </c>
      <c r="I84" s="0" t="s">
        <v>1122</v>
      </c>
      <c r="J84" s="0" t="n">
        <v>4</v>
      </c>
    </row>
    <row r="85" customFormat="false" ht="15" hidden="false" customHeight="false" outlineLevel="0" collapsed="false">
      <c r="A85" s="0" t="s">
        <v>1115</v>
      </c>
      <c r="B85" s="0" t="s">
        <v>1116</v>
      </c>
      <c r="C85" s="0" t="s">
        <v>970</v>
      </c>
      <c r="D85" s="0" t="s">
        <v>971</v>
      </c>
      <c r="E85" s="0" t="n">
        <v>20171</v>
      </c>
      <c r="F85" s="0" t="s">
        <v>208</v>
      </c>
      <c r="G85" s="0" t="s">
        <v>787</v>
      </c>
      <c r="H85" s="0" t="s">
        <v>1123</v>
      </c>
      <c r="I85" s="0" t="s">
        <v>1124</v>
      </c>
      <c r="J85" s="0" t="n">
        <v>4</v>
      </c>
    </row>
    <row r="86" customFormat="false" ht="15" hidden="false" customHeight="false" outlineLevel="0" collapsed="false">
      <c r="A86" s="0" t="s">
        <v>561</v>
      </c>
      <c r="B86" s="0" t="s">
        <v>562</v>
      </c>
      <c r="C86" s="0" t="s">
        <v>970</v>
      </c>
      <c r="D86" s="0" t="s">
        <v>971</v>
      </c>
      <c r="E86" s="0" t="n">
        <v>20171</v>
      </c>
      <c r="F86" s="0" t="s">
        <v>208</v>
      </c>
      <c r="G86" s="0" t="s">
        <v>787</v>
      </c>
      <c r="H86" s="0" t="s">
        <v>796</v>
      </c>
      <c r="I86" s="0" t="s">
        <v>797</v>
      </c>
      <c r="J86" s="0" t="n">
        <v>4</v>
      </c>
    </row>
    <row r="87" customFormat="false" ht="15" hidden="false" customHeight="false" outlineLevel="0" collapsed="false">
      <c r="A87" s="0" t="s">
        <v>1117</v>
      </c>
      <c r="B87" s="0" t="s">
        <v>1118</v>
      </c>
      <c r="C87" s="0" t="s">
        <v>970</v>
      </c>
      <c r="D87" s="0" t="s">
        <v>971</v>
      </c>
      <c r="E87" s="0" t="n">
        <v>20171</v>
      </c>
      <c r="F87" s="0" t="s">
        <v>208</v>
      </c>
      <c r="G87" s="0" t="s">
        <v>787</v>
      </c>
      <c r="H87" s="0" t="s">
        <v>563</v>
      </c>
      <c r="I87" s="0" t="s">
        <v>564</v>
      </c>
      <c r="J87" s="0" t="n">
        <v>4</v>
      </c>
    </row>
    <row r="88" customFormat="false" ht="15" hidden="false" customHeight="false" outlineLevel="0" collapsed="false">
      <c r="A88" s="0" t="s">
        <v>1119</v>
      </c>
      <c r="B88" s="0" t="s">
        <v>1120</v>
      </c>
      <c r="C88" s="0" t="s">
        <v>970</v>
      </c>
      <c r="D88" s="0" t="s">
        <v>971</v>
      </c>
      <c r="E88" s="0" t="n">
        <v>20171</v>
      </c>
      <c r="F88" s="0" t="s">
        <v>208</v>
      </c>
      <c r="G88" s="0" t="s">
        <v>787</v>
      </c>
      <c r="H88" s="0" t="s">
        <v>571</v>
      </c>
      <c r="I88" s="0" t="s">
        <v>572</v>
      </c>
      <c r="J88" s="0" t="n">
        <v>4</v>
      </c>
    </row>
    <row r="89" customFormat="false" ht="15" hidden="false" customHeight="false" outlineLevel="0" collapsed="false">
      <c r="A89" s="0" t="s">
        <v>1121</v>
      </c>
      <c r="B89" s="0" t="s">
        <v>1122</v>
      </c>
      <c r="C89" s="0" t="s">
        <v>970</v>
      </c>
      <c r="D89" s="0" t="s">
        <v>971</v>
      </c>
      <c r="E89" s="0" t="n">
        <v>20171</v>
      </c>
      <c r="F89" s="0" t="s">
        <v>208</v>
      </c>
      <c r="G89" s="0" t="s">
        <v>787</v>
      </c>
      <c r="H89" s="0" t="s">
        <v>573</v>
      </c>
      <c r="I89" s="0" t="s">
        <v>574</v>
      </c>
      <c r="J89" s="0" t="n">
        <v>2</v>
      </c>
    </row>
    <row r="90" customFormat="false" ht="15" hidden="false" customHeight="false" outlineLevel="0" collapsed="false">
      <c r="A90" s="0" t="s">
        <v>1123</v>
      </c>
      <c r="B90" s="0" t="s">
        <v>1124</v>
      </c>
      <c r="C90" s="0" t="s">
        <v>970</v>
      </c>
      <c r="D90" s="0" t="s">
        <v>971</v>
      </c>
      <c r="E90" s="0" t="n">
        <v>20171</v>
      </c>
      <c r="F90" s="0" t="s">
        <v>208</v>
      </c>
      <c r="G90" s="0" t="s">
        <v>787</v>
      </c>
      <c r="H90" s="0" t="s">
        <v>1125</v>
      </c>
      <c r="I90" s="0" t="s">
        <v>1126</v>
      </c>
      <c r="J90" s="0" t="n">
        <v>4</v>
      </c>
    </row>
    <row r="91" customFormat="false" ht="15" hidden="false" customHeight="false" outlineLevel="0" collapsed="false">
      <c r="A91" s="0" t="s">
        <v>796</v>
      </c>
      <c r="B91" s="0" t="s">
        <v>797</v>
      </c>
      <c r="C91" s="0" t="s">
        <v>970</v>
      </c>
      <c r="D91" s="0" t="s">
        <v>971</v>
      </c>
      <c r="E91" s="0" t="n">
        <v>20171</v>
      </c>
      <c r="F91" s="0" t="s">
        <v>208</v>
      </c>
      <c r="G91" s="0" t="s">
        <v>787</v>
      </c>
      <c r="H91" s="0" t="s">
        <v>1127</v>
      </c>
      <c r="I91" s="0" t="s">
        <v>1128</v>
      </c>
      <c r="J91" s="0" t="n">
        <v>4</v>
      </c>
    </row>
    <row r="92" customFormat="false" ht="15" hidden="false" customHeight="false" outlineLevel="0" collapsed="false">
      <c r="A92" s="0" t="s">
        <v>563</v>
      </c>
      <c r="B92" s="0" t="s">
        <v>564</v>
      </c>
      <c r="C92" s="0" t="s">
        <v>970</v>
      </c>
      <c r="D92" s="0" t="s">
        <v>971</v>
      </c>
      <c r="E92" s="0" t="n">
        <v>20171</v>
      </c>
      <c r="F92" s="0" t="s">
        <v>208</v>
      </c>
      <c r="G92" s="0" t="s">
        <v>787</v>
      </c>
      <c r="H92" s="0" t="s">
        <v>671</v>
      </c>
      <c r="I92" s="0" t="s">
        <v>672</v>
      </c>
      <c r="J92" s="0" t="n">
        <v>4</v>
      </c>
    </row>
    <row r="93" customFormat="false" ht="15" hidden="false" customHeight="false" outlineLevel="0" collapsed="false">
      <c r="A93" s="0" t="s">
        <v>571</v>
      </c>
      <c r="B93" s="0" t="s">
        <v>572</v>
      </c>
      <c r="C93" s="0" t="s">
        <v>970</v>
      </c>
      <c r="D93" s="0" t="s">
        <v>971</v>
      </c>
      <c r="E93" s="0" t="n">
        <v>20171</v>
      </c>
      <c r="F93" s="0" t="s">
        <v>208</v>
      </c>
      <c r="G93" s="0" t="s">
        <v>787</v>
      </c>
      <c r="H93" s="0" t="s">
        <v>19</v>
      </c>
      <c r="I93" s="0" t="s">
        <v>20</v>
      </c>
      <c r="J93" s="0" t="n">
        <v>4</v>
      </c>
    </row>
    <row r="94" customFormat="false" ht="15" hidden="false" customHeight="false" outlineLevel="0" collapsed="false">
      <c r="A94" s="0" t="s">
        <v>573</v>
      </c>
      <c r="B94" s="0" t="s">
        <v>574</v>
      </c>
      <c r="C94" s="0" t="s">
        <v>884</v>
      </c>
      <c r="D94" s="0" t="s">
        <v>885</v>
      </c>
      <c r="E94" s="0" t="n">
        <v>20171</v>
      </c>
      <c r="F94" s="0" t="s">
        <v>208</v>
      </c>
      <c r="G94" s="0" t="s">
        <v>787</v>
      </c>
      <c r="H94" s="0" t="s">
        <v>1131</v>
      </c>
      <c r="I94" s="0" t="s">
        <v>1132</v>
      </c>
      <c r="J94" s="0" t="n">
        <v>4</v>
      </c>
    </row>
    <row r="95" customFormat="false" ht="15" hidden="false" customHeight="false" outlineLevel="0" collapsed="false">
      <c r="A95" s="0" t="s">
        <v>1125</v>
      </c>
      <c r="B95" s="0" t="s">
        <v>1126</v>
      </c>
      <c r="C95" s="0" t="s">
        <v>970</v>
      </c>
      <c r="D95" s="0" t="s">
        <v>971</v>
      </c>
      <c r="E95" s="0" t="n">
        <v>20171</v>
      </c>
      <c r="F95" s="0" t="s">
        <v>208</v>
      </c>
      <c r="G95" s="0" t="s">
        <v>787</v>
      </c>
      <c r="H95" s="0" t="s">
        <v>1135</v>
      </c>
      <c r="I95" s="0" t="s">
        <v>1136</v>
      </c>
      <c r="J95" s="0" t="n">
        <v>4</v>
      </c>
    </row>
    <row r="96" customFormat="false" ht="15" hidden="false" customHeight="false" outlineLevel="0" collapsed="false">
      <c r="A96" s="0" t="s">
        <v>1127</v>
      </c>
      <c r="B96" s="0" t="s">
        <v>1128</v>
      </c>
      <c r="C96" s="0" t="s">
        <v>970</v>
      </c>
      <c r="D96" s="0" t="s">
        <v>971</v>
      </c>
      <c r="E96" s="0" t="n">
        <v>20171</v>
      </c>
      <c r="F96" s="0" t="s">
        <v>208</v>
      </c>
      <c r="G96" s="0" t="s">
        <v>787</v>
      </c>
      <c r="H96" s="0" t="s">
        <v>759</v>
      </c>
      <c r="I96" s="0" t="s">
        <v>760</v>
      </c>
      <c r="J96" s="0" t="n">
        <v>4</v>
      </c>
    </row>
    <row r="97" customFormat="false" ht="15" hidden="false" customHeight="false" outlineLevel="0" collapsed="false">
      <c r="A97" s="0" t="s">
        <v>671</v>
      </c>
      <c r="B97" s="0" t="s">
        <v>672</v>
      </c>
      <c r="C97" s="0" t="s">
        <v>970</v>
      </c>
      <c r="D97" s="0" t="s">
        <v>971</v>
      </c>
      <c r="E97" s="0" t="n">
        <v>20171</v>
      </c>
      <c r="F97" s="0" t="s">
        <v>208</v>
      </c>
      <c r="G97" s="0" t="s">
        <v>787</v>
      </c>
      <c r="H97" s="0" t="s">
        <v>798</v>
      </c>
      <c r="I97" s="0" t="s">
        <v>799</v>
      </c>
      <c r="J97" s="0" t="n">
        <v>4</v>
      </c>
    </row>
    <row r="98" customFormat="false" ht="15" hidden="false" customHeight="false" outlineLevel="0" collapsed="false">
      <c r="A98" s="0" t="s">
        <v>19</v>
      </c>
      <c r="B98" s="0" t="s">
        <v>20</v>
      </c>
      <c r="C98" s="0" t="s">
        <v>970</v>
      </c>
      <c r="D98" s="0" t="s">
        <v>971</v>
      </c>
      <c r="E98" s="0" t="n">
        <v>20171</v>
      </c>
      <c r="F98" s="0" t="s">
        <v>208</v>
      </c>
      <c r="G98" s="0" t="s">
        <v>787</v>
      </c>
      <c r="H98" s="0" t="s">
        <v>733</v>
      </c>
      <c r="I98" s="0" t="s">
        <v>734</v>
      </c>
      <c r="J98" s="0" t="n">
        <v>4</v>
      </c>
    </row>
    <row r="99" customFormat="false" ht="15" hidden="false" customHeight="false" outlineLevel="0" collapsed="false">
      <c r="A99" s="0" t="s">
        <v>1131</v>
      </c>
      <c r="B99" s="0" t="s">
        <v>1132</v>
      </c>
      <c r="C99" s="0" t="s">
        <v>970</v>
      </c>
      <c r="D99" s="0" t="s">
        <v>971</v>
      </c>
      <c r="E99" s="0" t="n">
        <v>20171</v>
      </c>
      <c r="F99" s="0" t="s">
        <v>208</v>
      </c>
      <c r="G99" s="0" t="s">
        <v>787</v>
      </c>
      <c r="H99" s="0" t="s">
        <v>651</v>
      </c>
      <c r="I99" s="0" t="s">
        <v>652</v>
      </c>
      <c r="J99" s="0" t="n">
        <v>6</v>
      </c>
    </row>
    <row r="100" customFormat="false" ht="15" hidden="false" customHeight="false" outlineLevel="0" collapsed="false">
      <c r="A100" s="0" t="s">
        <v>1135</v>
      </c>
      <c r="B100" s="0" t="s">
        <v>1136</v>
      </c>
      <c r="C100" s="0" t="s">
        <v>970</v>
      </c>
      <c r="D100" s="0" t="s">
        <v>971</v>
      </c>
      <c r="E100" s="0" t="n">
        <v>20171</v>
      </c>
      <c r="F100" s="0" t="s">
        <v>208</v>
      </c>
      <c r="G100" s="0" t="s">
        <v>787</v>
      </c>
      <c r="H100" s="0" t="s">
        <v>735</v>
      </c>
      <c r="I100" s="0" t="s">
        <v>736</v>
      </c>
      <c r="J100" s="0" t="n">
        <v>4</v>
      </c>
    </row>
    <row r="101" customFormat="false" ht="15" hidden="false" customHeight="false" outlineLevel="0" collapsed="false">
      <c r="A101" s="0" t="s">
        <v>759</v>
      </c>
      <c r="B101" s="0" t="s">
        <v>760</v>
      </c>
      <c r="C101" s="0" t="s">
        <v>781</v>
      </c>
      <c r="D101" s="0" t="s">
        <v>782</v>
      </c>
      <c r="E101" s="0" t="n">
        <v>20171</v>
      </c>
      <c r="F101" s="0" t="s">
        <v>208</v>
      </c>
      <c r="G101" s="0" t="s">
        <v>787</v>
      </c>
      <c r="H101" s="0" t="s">
        <v>525</v>
      </c>
      <c r="I101" s="0" t="s">
        <v>526</v>
      </c>
      <c r="J101" s="0" t="n">
        <v>2</v>
      </c>
    </row>
    <row r="102" customFormat="false" ht="15" hidden="false" customHeight="false" outlineLevel="0" collapsed="false">
      <c r="A102" s="0" t="s">
        <v>798</v>
      </c>
      <c r="B102" s="0" t="s">
        <v>799</v>
      </c>
      <c r="C102" s="0" t="s">
        <v>781</v>
      </c>
      <c r="D102" s="0" t="s">
        <v>782</v>
      </c>
      <c r="E102" s="0" t="n">
        <v>20171</v>
      </c>
      <c r="F102" s="0" t="s">
        <v>208</v>
      </c>
      <c r="G102" s="0" t="s">
        <v>787</v>
      </c>
      <c r="H102" s="0" t="s">
        <v>755</v>
      </c>
      <c r="I102" s="0" t="s">
        <v>756</v>
      </c>
      <c r="J102" s="0" t="n">
        <v>6</v>
      </c>
    </row>
    <row r="103" customFormat="false" ht="15" hidden="false" customHeight="false" outlineLevel="0" collapsed="false">
      <c r="A103" s="0" t="s">
        <v>733</v>
      </c>
      <c r="B103" s="0" t="s">
        <v>734</v>
      </c>
      <c r="C103" s="0" t="s">
        <v>781</v>
      </c>
      <c r="D103" s="0" t="s">
        <v>782</v>
      </c>
      <c r="E103" s="0" t="n">
        <v>20171</v>
      </c>
      <c r="F103" s="0" t="s">
        <v>208</v>
      </c>
      <c r="G103" s="0" t="s">
        <v>787</v>
      </c>
      <c r="H103" s="0" t="s">
        <v>777</v>
      </c>
      <c r="I103" s="0" t="s">
        <v>778</v>
      </c>
      <c r="J103" s="0" t="n">
        <v>6</v>
      </c>
    </row>
    <row r="104" customFormat="false" ht="15" hidden="false" customHeight="false" outlineLevel="0" collapsed="false">
      <c r="A104" s="0" t="s">
        <v>651</v>
      </c>
      <c r="B104" s="0" t="s">
        <v>652</v>
      </c>
      <c r="C104" s="0" t="s">
        <v>781</v>
      </c>
      <c r="D104" s="0" t="s">
        <v>782</v>
      </c>
      <c r="E104" s="0" t="n">
        <v>20171</v>
      </c>
      <c r="F104" s="0" t="s">
        <v>208</v>
      </c>
      <c r="G104" s="0" t="s">
        <v>787</v>
      </c>
      <c r="H104" s="0" t="s">
        <v>800</v>
      </c>
      <c r="I104" s="0" t="s">
        <v>801</v>
      </c>
      <c r="J104" s="0" t="n">
        <v>4</v>
      </c>
    </row>
    <row r="105" customFormat="false" ht="15" hidden="false" customHeight="false" outlineLevel="0" collapsed="false">
      <c r="A105" s="0" t="s">
        <v>651</v>
      </c>
      <c r="B105" s="0" t="s">
        <v>652</v>
      </c>
      <c r="C105" s="0" t="s">
        <v>884</v>
      </c>
      <c r="D105" s="0" t="s">
        <v>885</v>
      </c>
      <c r="E105" s="0" t="n">
        <v>20171</v>
      </c>
      <c r="F105" s="0" t="s">
        <v>208</v>
      </c>
      <c r="G105" s="0" t="s">
        <v>787</v>
      </c>
      <c r="H105" s="0" t="s">
        <v>655</v>
      </c>
      <c r="I105" s="0" t="s">
        <v>656</v>
      </c>
      <c r="J105" s="0" t="n">
        <v>4</v>
      </c>
    </row>
    <row r="106" customFormat="false" ht="15" hidden="false" customHeight="false" outlineLevel="0" collapsed="false">
      <c r="A106" s="0" t="s">
        <v>735</v>
      </c>
      <c r="B106" s="0" t="s">
        <v>736</v>
      </c>
      <c r="C106" s="0" t="s">
        <v>781</v>
      </c>
      <c r="D106" s="0" t="s">
        <v>782</v>
      </c>
      <c r="E106" s="0" t="n">
        <v>20171</v>
      </c>
      <c r="F106" s="0" t="s">
        <v>208</v>
      </c>
      <c r="G106" s="0" t="s">
        <v>787</v>
      </c>
      <c r="H106" s="0" t="s">
        <v>802</v>
      </c>
      <c r="I106" s="0" t="s">
        <v>803</v>
      </c>
      <c r="J106" s="0" t="n">
        <v>4</v>
      </c>
    </row>
    <row r="107" customFormat="false" ht="15" hidden="false" customHeight="false" outlineLevel="0" collapsed="false">
      <c r="A107" s="0" t="s">
        <v>525</v>
      </c>
      <c r="B107" s="0" t="s">
        <v>526</v>
      </c>
      <c r="C107" s="0" t="s">
        <v>880</v>
      </c>
      <c r="D107" s="0" t="s">
        <v>881</v>
      </c>
      <c r="E107" s="0" t="n">
        <v>20171</v>
      </c>
      <c r="F107" s="0" t="s">
        <v>127</v>
      </c>
      <c r="G107" s="0" t="s">
        <v>787</v>
      </c>
      <c r="H107" s="0" t="s">
        <v>804</v>
      </c>
      <c r="I107" s="0" t="s">
        <v>805</v>
      </c>
      <c r="J107" s="0" t="n">
        <v>6</v>
      </c>
    </row>
    <row r="108" customFormat="false" ht="15" hidden="false" customHeight="false" outlineLevel="0" collapsed="false">
      <c r="A108" s="0" t="s">
        <v>755</v>
      </c>
      <c r="B108" s="0" t="s">
        <v>756</v>
      </c>
      <c r="C108" s="0" t="s">
        <v>781</v>
      </c>
      <c r="D108" s="0" t="s">
        <v>782</v>
      </c>
      <c r="E108" s="0" t="n">
        <v>20171</v>
      </c>
      <c r="F108" s="0" t="s">
        <v>208</v>
      </c>
      <c r="G108" s="0" t="s">
        <v>787</v>
      </c>
      <c r="H108" s="0" t="s">
        <v>21</v>
      </c>
      <c r="I108" s="0" t="s">
        <v>22</v>
      </c>
      <c r="J108" s="0" t="n">
        <v>4</v>
      </c>
    </row>
    <row r="109" customFormat="false" ht="15" hidden="false" customHeight="false" outlineLevel="0" collapsed="false">
      <c r="A109" s="0" t="s">
        <v>755</v>
      </c>
      <c r="B109" s="0" t="s">
        <v>756</v>
      </c>
      <c r="C109" s="0" t="s">
        <v>884</v>
      </c>
      <c r="D109" s="0" t="s">
        <v>885</v>
      </c>
      <c r="E109" s="0" t="n">
        <v>20171</v>
      </c>
      <c r="F109" s="0" t="s">
        <v>208</v>
      </c>
      <c r="G109" s="0" t="s">
        <v>787</v>
      </c>
      <c r="H109" s="0" t="s">
        <v>112</v>
      </c>
      <c r="I109" s="0" t="s">
        <v>113</v>
      </c>
      <c r="J109" s="0" t="n">
        <v>6</v>
      </c>
    </row>
    <row r="110" customFormat="false" ht="15" hidden="false" customHeight="false" outlineLevel="0" collapsed="false">
      <c r="A110" s="0" t="s">
        <v>777</v>
      </c>
      <c r="B110" s="0" t="s">
        <v>778</v>
      </c>
      <c r="C110" s="0" t="s">
        <v>781</v>
      </c>
      <c r="D110" s="0" t="s">
        <v>782</v>
      </c>
      <c r="E110" s="0" t="n">
        <v>20171</v>
      </c>
      <c r="F110" s="0" t="s">
        <v>208</v>
      </c>
      <c r="G110" s="0" t="s">
        <v>787</v>
      </c>
      <c r="H110" s="0" t="s">
        <v>737</v>
      </c>
      <c r="I110" s="0" t="s">
        <v>738</v>
      </c>
      <c r="J110" s="0" t="n">
        <v>4</v>
      </c>
    </row>
    <row r="111" customFormat="false" ht="15" hidden="false" customHeight="false" outlineLevel="0" collapsed="false">
      <c r="A111" s="0" t="s">
        <v>777</v>
      </c>
      <c r="B111" s="0" t="s">
        <v>778</v>
      </c>
      <c r="C111" s="0" t="s">
        <v>884</v>
      </c>
      <c r="D111" s="0" t="s">
        <v>885</v>
      </c>
      <c r="E111" s="0" t="n">
        <v>20171</v>
      </c>
      <c r="F111" s="0" t="s">
        <v>208</v>
      </c>
      <c r="G111" s="0" t="s">
        <v>787</v>
      </c>
      <c r="H111" s="0" t="s">
        <v>613</v>
      </c>
      <c r="I111" s="0" t="s">
        <v>614</v>
      </c>
      <c r="J111" s="0" t="n">
        <v>6</v>
      </c>
    </row>
    <row r="112" customFormat="false" ht="15" hidden="false" customHeight="false" outlineLevel="0" collapsed="false">
      <c r="A112" s="0" t="s">
        <v>800</v>
      </c>
      <c r="B112" s="0" t="s">
        <v>801</v>
      </c>
      <c r="C112" s="0" t="s">
        <v>970</v>
      </c>
      <c r="D112" s="0" t="s">
        <v>971</v>
      </c>
      <c r="E112" s="0" t="n">
        <v>20171</v>
      </c>
      <c r="F112" s="0" t="s">
        <v>208</v>
      </c>
      <c r="G112" s="0" t="s">
        <v>787</v>
      </c>
      <c r="H112" s="0" t="s">
        <v>593</v>
      </c>
      <c r="I112" s="0" t="s">
        <v>594</v>
      </c>
      <c r="J112" s="0" t="n">
        <v>4</v>
      </c>
    </row>
    <row r="113" customFormat="false" ht="15" hidden="false" customHeight="false" outlineLevel="0" collapsed="false">
      <c r="A113" s="0" t="s">
        <v>655</v>
      </c>
      <c r="B113" s="0" t="s">
        <v>656</v>
      </c>
      <c r="C113" s="0" t="s">
        <v>781</v>
      </c>
      <c r="D113" s="0" t="s">
        <v>782</v>
      </c>
      <c r="E113" s="0" t="n">
        <v>20171</v>
      </c>
      <c r="F113" s="0" t="s">
        <v>208</v>
      </c>
      <c r="G113" s="0" t="s">
        <v>787</v>
      </c>
      <c r="H113" s="0" t="s">
        <v>810</v>
      </c>
      <c r="I113" s="0" t="s">
        <v>811</v>
      </c>
      <c r="J113" s="0" t="n">
        <v>6</v>
      </c>
    </row>
    <row r="114" customFormat="false" ht="15" hidden="false" customHeight="false" outlineLevel="0" collapsed="false">
      <c r="A114" s="0" t="s">
        <v>802</v>
      </c>
      <c r="B114" s="0" t="s">
        <v>803</v>
      </c>
      <c r="C114" s="0" t="s">
        <v>781</v>
      </c>
      <c r="D114" s="0" t="s">
        <v>782</v>
      </c>
      <c r="E114" s="0" t="n">
        <v>20171</v>
      </c>
      <c r="F114" s="0" t="s">
        <v>208</v>
      </c>
      <c r="G114" s="0" t="s">
        <v>787</v>
      </c>
      <c r="H114" s="0" t="s">
        <v>812</v>
      </c>
      <c r="I114" s="0" t="s">
        <v>813</v>
      </c>
      <c r="J114" s="0" t="n">
        <v>4</v>
      </c>
    </row>
    <row r="115" customFormat="false" ht="15" hidden="false" customHeight="false" outlineLevel="0" collapsed="false">
      <c r="A115" s="0" t="s">
        <v>804</v>
      </c>
      <c r="B115" s="0" t="s">
        <v>805</v>
      </c>
      <c r="C115" s="0" t="s">
        <v>781</v>
      </c>
      <c r="D115" s="0" t="s">
        <v>782</v>
      </c>
      <c r="E115" s="0" t="n">
        <v>20171</v>
      </c>
      <c r="F115" s="0" t="s">
        <v>208</v>
      </c>
      <c r="G115" s="0" t="s">
        <v>787</v>
      </c>
      <c r="H115" s="0" t="s">
        <v>587</v>
      </c>
      <c r="I115" s="0" t="s">
        <v>588</v>
      </c>
      <c r="J115" s="0" t="n">
        <v>4</v>
      </c>
    </row>
    <row r="116" customFormat="false" ht="15" hidden="false" customHeight="false" outlineLevel="0" collapsed="false">
      <c r="A116" s="0" t="s">
        <v>804</v>
      </c>
      <c r="B116" s="0" t="s">
        <v>805</v>
      </c>
      <c r="C116" s="0" t="s">
        <v>884</v>
      </c>
      <c r="D116" s="0" t="s">
        <v>885</v>
      </c>
      <c r="E116" s="0" t="n">
        <v>20171</v>
      </c>
      <c r="F116" s="0" t="s">
        <v>208</v>
      </c>
      <c r="G116" s="0" t="s">
        <v>787</v>
      </c>
      <c r="H116" s="0" t="s">
        <v>814</v>
      </c>
      <c r="I116" s="0" t="s">
        <v>815</v>
      </c>
      <c r="J116" s="0" t="n">
        <v>4</v>
      </c>
    </row>
    <row r="117" customFormat="false" ht="15" hidden="false" customHeight="false" outlineLevel="0" collapsed="false">
      <c r="A117" s="0" t="s">
        <v>21</v>
      </c>
      <c r="B117" s="0" t="s">
        <v>22</v>
      </c>
      <c r="C117" s="0" t="s">
        <v>781</v>
      </c>
      <c r="D117" s="0" t="s">
        <v>782</v>
      </c>
      <c r="E117" s="0" t="n">
        <v>20171</v>
      </c>
      <c r="F117" s="0" t="s">
        <v>208</v>
      </c>
      <c r="G117" s="0" t="s">
        <v>787</v>
      </c>
      <c r="H117" s="0" t="s">
        <v>512</v>
      </c>
      <c r="I117" s="0" t="s">
        <v>513</v>
      </c>
      <c r="J117" s="0" t="n">
        <v>2</v>
      </c>
    </row>
    <row r="118" customFormat="false" ht="15" hidden="false" customHeight="false" outlineLevel="0" collapsed="false">
      <c r="A118" s="0" t="s">
        <v>112</v>
      </c>
      <c r="B118" s="0" t="s">
        <v>113</v>
      </c>
      <c r="C118" s="0" t="s">
        <v>781</v>
      </c>
      <c r="D118" s="0" t="s">
        <v>782</v>
      </c>
      <c r="E118" s="0" t="n">
        <v>20171</v>
      </c>
      <c r="F118" s="0" t="s">
        <v>208</v>
      </c>
      <c r="G118" s="0" t="s">
        <v>787</v>
      </c>
      <c r="H118" s="0" t="s">
        <v>627</v>
      </c>
      <c r="I118" s="0" t="s">
        <v>628</v>
      </c>
      <c r="J118" s="0" t="n">
        <v>6</v>
      </c>
    </row>
    <row r="119" customFormat="false" ht="15" hidden="false" customHeight="false" outlineLevel="0" collapsed="false">
      <c r="A119" s="0" t="s">
        <v>112</v>
      </c>
      <c r="B119" s="0" t="s">
        <v>113</v>
      </c>
      <c r="C119" s="0" t="s">
        <v>884</v>
      </c>
      <c r="D119" s="0" t="s">
        <v>885</v>
      </c>
      <c r="E119" s="0" t="n">
        <v>20171</v>
      </c>
      <c r="F119" s="0" t="s">
        <v>208</v>
      </c>
      <c r="G119" s="0" t="s">
        <v>787</v>
      </c>
      <c r="H119" s="0" t="s">
        <v>816</v>
      </c>
      <c r="I119" s="0" t="s">
        <v>817</v>
      </c>
      <c r="J119" s="0" t="n">
        <v>6</v>
      </c>
    </row>
    <row r="120" customFormat="false" ht="15" hidden="false" customHeight="false" outlineLevel="0" collapsed="false">
      <c r="A120" s="0" t="s">
        <v>737</v>
      </c>
      <c r="B120" s="0" t="s">
        <v>738</v>
      </c>
      <c r="C120" s="0" t="s">
        <v>781</v>
      </c>
      <c r="D120" s="0" t="s">
        <v>782</v>
      </c>
      <c r="E120" s="0" t="n">
        <v>20171</v>
      </c>
      <c r="F120" s="0" t="s">
        <v>208</v>
      </c>
      <c r="G120" s="0" t="s">
        <v>787</v>
      </c>
      <c r="H120" s="0" t="s">
        <v>818</v>
      </c>
      <c r="I120" s="0" t="s">
        <v>819</v>
      </c>
      <c r="J120" s="0" t="n">
        <v>8</v>
      </c>
    </row>
    <row r="121" customFormat="false" ht="15" hidden="false" customHeight="false" outlineLevel="0" collapsed="false">
      <c r="A121" s="0" t="s">
        <v>613</v>
      </c>
      <c r="B121" s="0" t="s">
        <v>614</v>
      </c>
      <c r="C121" s="0" t="s">
        <v>781</v>
      </c>
      <c r="D121" s="0" t="s">
        <v>782</v>
      </c>
      <c r="E121" s="0" t="n">
        <v>20171</v>
      </c>
      <c r="F121" s="0" t="s">
        <v>208</v>
      </c>
      <c r="G121" s="0" t="s">
        <v>787</v>
      </c>
      <c r="H121" s="0" t="s">
        <v>673</v>
      </c>
      <c r="I121" s="0" t="s">
        <v>674</v>
      </c>
      <c r="J121" s="0" t="n">
        <v>2</v>
      </c>
    </row>
    <row r="122" customFormat="false" ht="15" hidden="false" customHeight="false" outlineLevel="0" collapsed="false">
      <c r="A122" s="0" t="s">
        <v>613</v>
      </c>
      <c r="B122" s="0" t="s">
        <v>614</v>
      </c>
      <c r="C122" s="0" t="s">
        <v>884</v>
      </c>
      <c r="D122" s="0" t="s">
        <v>885</v>
      </c>
      <c r="E122" s="0" t="n">
        <v>20171</v>
      </c>
      <c r="F122" s="0" t="s">
        <v>208</v>
      </c>
      <c r="G122" s="0" t="s">
        <v>787</v>
      </c>
      <c r="H122" s="0" t="s">
        <v>589</v>
      </c>
      <c r="I122" s="0" t="s">
        <v>590</v>
      </c>
      <c r="J122" s="0" t="n">
        <v>4</v>
      </c>
    </row>
    <row r="123" customFormat="false" ht="15" hidden="false" customHeight="false" outlineLevel="0" collapsed="false">
      <c r="A123" s="0" t="s">
        <v>593</v>
      </c>
      <c r="B123" s="0" t="s">
        <v>594</v>
      </c>
      <c r="C123" s="0" t="s">
        <v>781</v>
      </c>
      <c r="D123" s="0" t="s">
        <v>782</v>
      </c>
      <c r="E123" s="0" t="n">
        <v>20171</v>
      </c>
      <c r="F123" s="0" t="s">
        <v>208</v>
      </c>
      <c r="G123" s="0" t="s">
        <v>787</v>
      </c>
      <c r="H123" s="0" t="s">
        <v>647</v>
      </c>
      <c r="I123" s="0" t="s">
        <v>648</v>
      </c>
      <c r="J123" s="0" t="n">
        <v>2</v>
      </c>
    </row>
    <row r="124" customFormat="false" ht="15" hidden="false" customHeight="false" outlineLevel="0" collapsed="false">
      <c r="A124" s="0" t="s">
        <v>810</v>
      </c>
      <c r="B124" s="0" t="s">
        <v>811</v>
      </c>
      <c r="C124" s="0" t="s">
        <v>781</v>
      </c>
      <c r="D124" s="0" t="s">
        <v>782</v>
      </c>
      <c r="E124" s="0" t="n">
        <v>20171</v>
      </c>
      <c r="F124" s="0" t="s">
        <v>208</v>
      </c>
      <c r="G124" s="0" t="s">
        <v>787</v>
      </c>
      <c r="H124" s="0" t="s">
        <v>820</v>
      </c>
      <c r="I124" s="0" t="s">
        <v>821</v>
      </c>
      <c r="J124" s="0" t="n">
        <v>6</v>
      </c>
    </row>
    <row r="125" customFormat="false" ht="15" hidden="false" customHeight="false" outlineLevel="0" collapsed="false">
      <c r="A125" s="0" t="s">
        <v>810</v>
      </c>
      <c r="B125" s="0" t="s">
        <v>811</v>
      </c>
      <c r="C125" s="0" t="s">
        <v>884</v>
      </c>
      <c r="D125" s="0" t="s">
        <v>885</v>
      </c>
      <c r="E125" s="0" t="n">
        <v>20171</v>
      </c>
      <c r="F125" s="0" t="s">
        <v>208</v>
      </c>
      <c r="G125" s="0" t="s">
        <v>787</v>
      </c>
      <c r="H125" s="0" t="s">
        <v>769</v>
      </c>
      <c r="I125" s="0" t="s">
        <v>770</v>
      </c>
      <c r="J125" s="0" t="n">
        <v>6</v>
      </c>
    </row>
    <row r="126" customFormat="false" ht="15" hidden="false" customHeight="false" outlineLevel="0" collapsed="false">
      <c r="A126" s="0" t="s">
        <v>812</v>
      </c>
      <c r="B126" s="0" t="s">
        <v>813</v>
      </c>
      <c r="C126" s="0" t="s">
        <v>781</v>
      </c>
      <c r="D126" s="0" t="s">
        <v>782</v>
      </c>
      <c r="E126" s="0" t="n">
        <v>20171</v>
      </c>
      <c r="F126" s="0" t="s">
        <v>208</v>
      </c>
      <c r="G126" s="0" t="s">
        <v>787</v>
      </c>
      <c r="H126" s="0" t="s">
        <v>657</v>
      </c>
      <c r="I126" s="0" t="s">
        <v>658</v>
      </c>
      <c r="J126" s="0" t="n">
        <v>6</v>
      </c>
    </row>
    <row r="127" customFormat="false" ht="15" hidden="false" customHeight="false" outlineLevel="0" collapsed="false">
      <c r="A127" s="0" t="s">
        <v>587</v>
      </c>
      <c r="B127" s="0" t="s">
        <v>588</v>
      </c>
      <c r="C127" s="0" t="s">
        <v>781</v>
      </c>
      <c r="D127" s="0" t="s">
        <v>782</v>
      </c>
      <c r="E127" s="0" t="n">
        <v>20171</v>
      </c>
      <c r="F127" s="0" t="s">
        <v>208</v>
      </c>
      <c r="G127" s="0" t="s">
        <v>787</v>
      </c>
      <c r="H127" s="0" t="s">
        <v>771</v>
      </c>
      <c r="I127" s="0" t="s">
        <v>772</v>
      </c>
      <c r="J127" s="0" t="n">
        <v>8</v>
      </c>
    </row>
    <row r="128" customFormat="false" ht="15" hidden="false" customHeight="false" outlineLevel="0" collapsed="false">
      <c r="A128" s="0" t="s">
        <v>814</v>
      </c>
      <c r="B128" s="0" t="s">
        <v>815</v>
      </c>
      <c r="C128" s="0" t="s">
        <v>781</v>
      </c>
      <c r="D128" s="0" t="s">
        <v>782</v>
      </c>
      <c r="E128" s="0" t="n">
        <v>20171</v>
      </c>
      <c r="F128" s="0" t="s">
        <v>208</v>
      </c>
      <c r="G128" s="0" t="s">
        <v>787</v>
      </c>
      <c r="H128" s="0" t="s">
        <v>659</v>
      </c>
      <c r="I128" s="0" t="s">
        <v>660</v>
      </c>
      <c r="J128" s="0" t="n">
        <v>6</v>
      </c>
    </row>
    <row r="129" customFormat="false" ht="15" hidden="false" customHeight="false" outlineLevel="0" collapsed="false">
      <c r="A129" s="0" t="s">
        <v>512</v>
      </c>
      <c r="B129" s="0" t="s">
        <v>513</v>
      </c>
      <c r="C129" s="0" t="s">
        <v>880</v>
      </c>
      <c r="D129" s="0" t="s">
        <v>881</v>
      </c>
      <c r="E129" s="0" t="n">
        <v>20171</v>
      </c>
      <c r="F129" s="0" t="s">
        <v>127</v>
      </c>
      <c r="G129" s="0" t="s">
        <v>787</v>
      </c>
      <c r="H129" s="0" t="s">
        <v>629</v>
      </c>
      <c r="I129" s="0" t="s">
        <v>630</v>
      </c>
      <c r="J129" s="0" t="n">
        <v>4</v>
      </c>
    </row>
    <row r="130" customFormat="false" ht="15" hidden="false" customHeight="false" outlineLevel="0" collapsed="false">
      <c r="A130" s="0" t="s">
        <v>627</v>
      </c>
      <c r="B130" s="0" t="s">
        <v>628</v>
      </c>
      <c r="C130" s="0" t="s">
        <v>781</v>
      </c>
      <c r="D130" s="0" t="s">
        <v>782</v>
      </c>
      <c r="E130" s="0" t="n">
        <v>20171</v>
      </c>
      <c r="F130" s="0" t="s">
        <v>208</v>
      </c>
      <c r="G130" s="0" t="s">
        <v>787</v>
      </c>
      <c r="H130" s="0" t="s">
        <v>822</v>
      </c>
      <c r="I130" s="0" t="s">
        <v>823</v>
      </c>
      <c r="J130" s="0" t="n">
        <v>6</v>
      </c>
    </row>
    <row r="131" customFormat="false" ht="15" hidden="false" customHeight="false" outlineLevel="0" collapsed="false">
      <c r="A131" s="0" t="s">
        <v>627</v>
      </c>
      <c r="B131" s="0" t="s">
        <v>628</v>
      </c>
      <c r="C131" s="0" t="s">
        <v>880</v>
      </c>
      <c r="D131" s="0" t="s">
        <v>881</v>
      </c>
      <c r="E131" s="0" t="n">
        <v>20171</v>
      </c>
      <c r="F131" s="0" t="s">
        <v>127</v>
      </c>
      <c r="G131" s="0" t="s">
        <v>787</v>
      </c>
      <c r="H131" s="0" t="s">
        <v>661</v>
      </c>
      <c r="I131" s="0" t="s">
        <v>662</v>
      </c>
      <c r="J131" s="0" t="n">
        <v>4</v>
      </c>
    </row>
    <row r="132" customFormat="false" ht="15" hidden="false" customHeight="false" outlineLevel="0" collapsed="false">
      <c r="A132" s="0" t="s">
        <v>816</v>
      </c>
      <c r="B132" s="0" t="s">
        <v>817</v>
      </c>
      <c r="C132" s="0" t="s">
        <v>781</v>
      </c>
      <c r="D132" s="0" t="s">
        <v>782</v>
      </c>
      <c r="E132" s="0" t="n">
        <v>20171</v>
      </c>
      <c r="F132" s="0" t="s">
        <v>208</v>
      </c>
      <c r="G132" s="0" t="s">
        <v>787</v>
      </c>
      <c r="H132" s="0" t="s">
        <v>263</v>
      </c>
      <c r="I132" s="0" t="s">
        <v>264</v>
      </c>
      <c r="J132" s="0" t="n">
        <v>2</v>
      </c>
    </row>
    <row r="133" customFormat="false" ht="15" hidden="false" customHeight="false" outlineLevel="0" collapsed="false">
      <c r="A133" s="0" t="s">
        <v>816</v>
      </c>
      <c r="B133" s="0" t="s">
        <v>817</v>
      </c>
      <c r="C133" s="0" t="s">
        <v>880</v>
      </c>
      <c r="D133" s="0" t="s">
        <v>881</v>
      </c>
      <c r="E133" s="0" t="n">
        <v>20171</v>
      </c>
      <c r="F133" s="0" t="s">
        <v>127</v>
      </c>
      <c r="G133" s="0" t="s">
        <v>787</v>
      </c>
      <c r="H133" s="0" t="s">
        <v>615</v>
      </c>
      <c r="I133" s="0" t="s">
        <v>616</v>
      </c>
      <c r="J133" s="0" t="n">
        <v>6</v>
      </c>
    </row>
    <row r="134" customFormat="false" ht="15" hidden="false" customHeight="false" outlineLevel="0" collapsed="false">
      <c r="A134" s="0" t="s">
        <v>818</v>
      </c>
      <c r="B134" s="0" t="s">
        <v>819</v>
      </c>
      <c r="C134" s="0" t="s">
        <v>781</v>
      </c>
      <c r="D134" s="0" t="s">
        <v>782</v>
      </c>
      <c r="E134" s="0" t="n">
        <v>20171</v>
      </c>
      <c r="F134" s="0" t="s">
        <v>208</v>
      </c>
      <c r="G134" s="0" t="s">
        <v>787</v>
      </c>
      <c r="H134" s="0" t="s">
        <v>824</v>
      </c>
      <c r="I134" s="0" t="s">
        <v>825</v>
      </c>
      <c r="J134" s="0" t="n">
        <v>4</v>
      </c>
    </row>
    <row r="135" customFormat="false" ht="15" hidden="false" customHeight="false" outlineLevel="0" collapsed="false">
      <c r="A135" s="0" t="s">
        <v>818</v>
      </c>
      <c r="B135" s="0" t="s">
        <v>819</v>
      </c>
      <c r="C135" s="0" t="s">
        <v>880</v>
      </c>
      <c r="D135" s="0" t="s">
        <v>881</v>
      </c>
      <c r="E135" s="0" t="n">
        <v>20171</v>
      </c>
      <c r="F135" s="0" t="s">
        <v>127</v>
      </c>
      <c r="G135" s="0" t="s">
        <v>787</v>
      </c>
      <c r="H135" s="0" t="s">
        <v>826</v>
      </c>
      <c r="I135" s="0" t="s">
        <v>827</v>
      </c>
      <c r="J135" s="0" t="n">
        <v>4</v>
      </c>
    </row>
    <row r="136" customFormat="false" ht="15" hidden="false" customHeight="false" outlineLevel="0" collapsed="false">
      <c r="A136" s="0" t="s">
        <v>818</v>
      </c>
      <c r="B136" s="0" t="s">
        <v>819</v>
      </c>
      <c r="C136" s="0" t="s">
        <v>884</v>
      </c>
      <c r="D136" s="0" t="s">
        <v>885</v>
      </c>
      <c r="E136" s="0" t="n">
        <v>20171</v>
      </c>
      <c r="F136" s="0" t="s">
        <v>208</v>
      </c>
      <c r="G136" s="0" t="s">
        <v>787</v>
      </c>
      <c r="H136" s="0" t="s">
        <v>595</v>
      </c>
      <c r="I136" s="0" t="s">
        <v>596</v>
      </c>
      <c r="J136" s="0" t="n">
        <v>4</v>
      </c>
    </row>
    <row r="137" customFormat="false" ht="15" hidden="false" customHeight="false" outlineLevel="0" collapsed="false">
      <c r="A137" s="0" t="s">
        <v>673</v>
      </c>
      <c r="B137" s="0" t="s">
        <v>674</v>
      </c>
      <c r="C137" s="0" t="s">
        <v>880</v>
      </c>
      <c r="D137" s="0" t="s">
        <v>881</v>
      </c>
      <c r="E137" s="0" t="n">
        <v>20171</v>
      </c>
      <c r="F137" s="0" t="s">
        <v>127</v>
      </c>
      <c r="G137" s="0" t="s">
        <v>787</v>
      </c>
      <c r="H137" s="0" t="s">
        <v>773</v>
      </c>
      <c r="I137" s="0" t="s">
        <v>774</v>
      </c>
      <c r="J137" s="0" t="n">
        <v>2</v>
      </c>
    </row>
    <row r="138" customFormat="false" ht="15" hidden="false" customHeight="false" outlineLevel="0" collapsed="false">
      <c r="A138" s="0" t="s">
        <v>589</v>
      </c>
      <c r="B138" s="0" t="s">
        <v>590</v>
      </c>
      <c r="C138" s="0" t="s">
        <v>781</v>
      </c>
      <c r="D138" s="0" t="s">
        <v>782</v>
      </c>
      <c r="E138" s="0" t="n">
        <v>20171</v>
      </c>
      <c r="F138" s="0" t="s">
        <v>208</v>
      </c>
      <c r="G138" s="0" t="s">
        <v>787</v>
      </c>
      <c r="H138" s="0" t="s">
        <v>269</v>
      </c>
      <c r="I138" s="0" t="s">
        <v>270</v>
      </c>
      <c r="J138" s="0" t="n">
        <v>2</v>
      </c>
    </row>
    <row r="139" customFormat="false" ht="15" hidden="false" customHeight="false" outlineLevel="0" collapsed="false">
      <c r="A139" s="0" t="s">
        <v>647</v>
      </c>
      <c r="B139" s="0" t="s">
        <v>648</v>
      </c>
      <c r="C139" s="0" t="s">
        <v>880</v>
      </c>
      <c r="D139" s="0" t="s">
        <v>881</v>
      </c>
      <c r="E139" s="0" t="n">
        <v>20171</v>
      </c>
      <c r="F139" s="0" t="s">
        <v>127</v>
      </c>
      <c r="G139" s="0" t="s">
        <v>787</v>
      </c>
      <c r="H139" s="0" t="s">
        <v>271</v>
      </c>
      <c r="I139" s="0" t="s">
        <v>272</v>
      </c>
      <c r="J139" s="0" t="n">
        <v>2</v>
      </c>
    </row>
    <row r="140" customFormat="false" ht="15" hidden="false" customHeight="false" outlineLevel="0" collapsed="false">
      <c r="A140" s="0" t="s">
        <v>820</v>
      </c>
      <c r="B140" s="0" t="s">
        <v>821</v>
      </c>
      <c r="C140" s="0" t="s">
        <v>781</v>
      </c>
      <c r="D140" s="0" t="s">
        <v>782</v>
      </c>
      <c r="E140" s="0" t="n">
        <v>20171</v>
      </c>
      <c r="F140" s="0" t="s">
        <v>208</v>
      </c>
      <c r="G140" s="0" t="s">
        <v>787</v>
      </c>
      <c r="H140" s="0" t="s">
        <v>114</v>
      </c>
      <c r="I140" s="0" t="s">
        <v>115</v>
      </c>
      <c r="J140" s="0" t="n">
        <v>4</v>
      </c>
    </row>
    <row r="141" customFormat="false" ht="15" hidden="false" customHeight="false" outlineLevel="0" collapsed="false">
      <c r="A141" s="0" t="s">
        <v>820</v>
      </c>
      <c r="B141" s="0" t="s">
        <v>821</v>
      </c>
      <c r="C141" s="0" t="s">
        <v>880</v>
      </c>
      <c r="D141" s="0" t="s">
        <v>881</v>
      </c>
      <c r="E141" s="0" t="n">
        <v>20171</v>
      </c>
      <c r="F141" s="0" t="s">
        <v>127</v>
      </c>
      <c r="G141" s="0" t="s">
        <v>787</v>
      </c>
      <c r="H141" s="0" t="s">
        <v>202</v>
      </c>
      <c r="I141" s="0" t="s">
        <v>203</v>
      </c>
      <c r="J141" s="0" t="n">
        <v>6</v>
      </c>
    </row>
    <row r="142" customFormat="false" ht="15" hidden="false" customHeight="false" outlineLevel="0" collapsed="false">
      <c r="A142" s="0" t="s">
        <v>769</v>
      </c>
      <c r="B142" s="0" t="s">
        <v>770</v>
      </c>
      <c r="C142" s="0" t="s">
        <v>781</v>
      </c>
      <c r="D142" s="0" t="s">
        <v>782</v>
      </c>
      <c r="E142" s="0" t="n">
        <v>20171</v>
      </c>
      <c r="F142" s="0" t="s">
        <v>208</v>
      </c>
      <c r="G142" s="0" t="s">
        <v>787</v>
      </c>
      <c r="H142" s="0" t="s">
        <v>751</v>
      </c>
      <c r="I142" s="0" t="s">
        <v>752</v>
      </c>
      <c r="J142" s="0" t="n">
        <v>4</v>
      </c>
    </row>
    <row r="143" customFormat="false" ht="15" hidden="false" customHeight="false" outlineLevel="0" collapsed="false">
      <c r="A143" s="0" t="s">
        <v>769</v>
      </c>
      <c r="B143" s="0" t="s">
        <v>770</v>
      </c>
      <c r="C143" s="0" t="s">
        <v>880</v>
      </c>
      <c r="D143" s="0" t="s">
        <v>881</v>
      </c>
      <c r="E143" s="0" t="n">
        <v>20171</v>
      </c>
      <c r="F143" s="0" t="s">
        <v>127</v>
      </c>
      <c r="G143" s="0" t="s">
        <v>787</v>
      </c>
      <c r="H143" s="0" t="s">
        <v>739</v>
      </c>
      <c r="I143" s="0" t="s">
        <v>740</v>
      </c>
      <c r="J143" s="0" t="n">
        <v>4</v>
      </c>
    </row>
    <row r="144" customFormat="false" ht="15" hidden="false" customHeight="false" outlineLevel="0" collapsed="false">
      <c r="A144" s="0" t="s">
        <v>657</v>
      </c>
      <c r="B144" s="0" t="s">
        <v>658</v>
      </c>
      <c r="C144" s="0" t="s">
        <v>781</v>
      </c>
      <c r="D144" s="0" t="s">
        <v>782</v>
      </c>
      <c r="E144" s="0" t="n">
        <v>20171</v>
      </c>
      <c r="F144" s="0" t="s">
        <v>208</v>
      </c>
      <c r="G144" s="0" t="s">
        <v>787</v>
      </c>
      <c r="H144" s="0" t="s">
        <v>209</v>
      </c>
      <c r="I144" s="0" t="s">
        <v>210</v>
      </c>
      <c r="J144" s="0" t="n">
        <v>4</v>
      </c>
    </row>
    <row r="145" customFormat="false" ht="15" hidden="false" customHeight="false" outlineLevel="0" collapsed="false">
      <c r="A145" s="0" t="s">
        <v>657</v>
      </c>
      <c r="B145" s="0" t="s">
        <v>658</v>
      </c>
      <c r="C145" s="0" t="s">
        <v>880</v>
      </c>
      <c r="D145" s="0" t="s">
        <v>881</v>
      </c>
      <c r="E145" s="0" t="n">
        <v>20171</v>
      </c>
      <c r="F145" s="0" t="s">
        <v>127</v>
      </c>
      <c r="G145" s="0" t="s">
        <v>787</v>
      </c>
      <c r="H145" s="0" t="s">
        <v>547</v>
      </c>
      <c r="I145" s="0" t="s">
        <v>548</v>
      </c>
      <c r="J145" s="0" t="n">
        <v>2</v>
      </c>
    </row>
    <row r="146" customFormat="false" ht="15" hidden="false" customHeight="false" outlineLevel="0" collapsed="false">
      <c r="A146" s="0" t="s">
        <v>771</v>
      </c>
      <c r="B146" s="0" t="s">
        <v>772</v>
      </c>
      <c r="C146" s="0" t="s">
        <v>781</v>
      </c>
      <c r="D146" s="0" t="s">
        <v>782</v>
      </c>
      <c r="E146" s="0" t="n">
        <v>20171</v>
      </c>
      <c r="F146" s="0" t="s">
        <v>208</v>
      </c>
      <c r="G146" s="0" t="s">
        <v>787</v>
      </c>
      <c r="H146" s="0" t="s">
        <v>549</v>
      </c>
      <c r="I146" s="0" t="s">
        <v>550</v>
      </c>
      <c r="J146" s="0" t="n">
        <v>2</v>
      </c>
    </row>
    <row r="147" customFormat="false" ht="15" hidden="false" customHeight="false" outlineLevel="0" collapsed="false">
      <c r="A147" s="0" t="s">
        <v>771</v>
      </c>
      <c r="B147" s="0" t="s">
        <v>772</v>
      </c>
      <c r="C147" s="0" t="s">
        <v>880</v>
      </c>
      <c r="D147" s="0" t="s">
        <v>881</v>
      </c>
      <c r="E147" s="0" t="n">
        <v>20171</v>
      </c>
      <c r="F147" s="0" t="s">
        <v>127</v>
      </c>
      <c r="G147" s="0" t="s">
        <v>787</v>
      </c>
      <c r="H147" s="0" t="s">
        <v>108</v>
      </c>
      <c r="I147" s="0" t="s">
        <v>109</v>
      </c>
      <c r="J147" s="0" t="n">
        <v>4</v>
      </c>
    </row>
    <row r="148" customFormat="false" ht="15" hidden="false" customHeight="false" outlineLevel="0" collapsed="false">
      <c r="A148" s="0" t="s">
        <v>771</v>
      </c>
      <c r="B148" s="0" t="s">
        <v>772</v>
      </c>
      <c r="C148" s="0" t="s">
        <v>884</v>
      </c>
      <c r="D148" s="0" t="s">
        <v>885</v>
      </c>
      <c r="E148" s="0" t="n">
        <v>20171</v>
      </c>
      <c r="F148" s="0" t="s">
        <v>208</v>
      </c>
      <c r="G148" s="0" t="s">
        <v>787</v>
      </c>
      <c r="H148" s="0" t="s">
        <v>1137</v>
      </c>
      <c r="I148" s="0" t="s">
        <v>1138</v>
      </c>
      <c r="J148" s="0" t="n">
        <v>4</v>
      </c>
    </row>
    <row r="149" customFormat="false" ht="15" hidden="false" customHeight="false" outlineLevel="0" collapsed="false">
      <c r="A149" s="0" t="s">
        <v>659</v>
      </c>
      <c r="B149" s="0" t="s">
        <v>660</v>
      </c>
      <c r="C149" s="0" t="s">
        <v>781</v>
      </c>
      <c r="D149" s="0" t="s">
        <v>782</v>
      </c>
      <c r="E149" s="0" t="n">
        <v>20171</v>
      </c>
      <c r="F149" s="0" t="s">
        <v>208</v>
      </c>
      <c r="G149" s="0" t="s">
        <v>787</v>
      </c>
      <c r="H149" s="0" t="s">
        <v>1139</v>
      </c>
      <c r="I149" s="0" t="s">
        <v>1140</v>
      </c>
      <c r="J149" s="0" t="n">
        <v>4</v>
      </c>
    </row>
    <row r="150" customFormat="false" ht="15" hidden="false" customHeight="false" outlineLevel="0" collapsed="false">
      <c r="A150" s="0" t="s">
        <v>659</v>
      </c>
      <c r="B150" s="0" t="s">
        <v>660</v>
      </c>
      <c r="C150" s="0" t="s">
        <v>880</v>
      </c>
      <c r="D150" s="0" t="s">
        <v>881</v>
      </c>
      <c r="E150" s="0" t="n">
        <v>20171</v>
      </c>
      <c r="F150" s="0" t="s">
        <v>127</v>
      </c>
      <c r="G150" s="0" t="s">
        <v>787</v>
      </c>
      <c r="H150" s="0" t="s">
        <v>866</v>
      </c>
      <c r="I150" s="0" t="s">
        <v>867</v>
      </c>
      <c r="J150" s="0" t="n">
        <v>4</v>
      </c>
    </row>
    <row r="151" customFormat="false" ht="15" hidden="false" customHeight="false" outlineLevel="0" collapsed="false">
      <c r="A151" s="0" t="s">
        <v>629</v>
      </c>
      <c r="B151" s="0" t="s">
        <v>630</v>
      </c>
      <c r="C151" s="0" t="s">
        <v>781</v>
      </c>
      <c r="D151" s="0" t="s">
        <v>782</v>
      </c>
      <c r="E151" s="0" t="n">
        <v>20171</v>
      </c>
      <c r="F151" s="0" t="s">
        <v>208</v>
      </c>
      <c r="G151" s="0" t="s">
        <v>787</v>
      </c>
      <c r="H151" s="0" t="s">
        <v>198</v>
      </c>
      <c r="I151" s="0" t="s">
        <v>199</v>
      </c>
      <c r="J151" s="0" t="n">
        <v>4</v>
      </c>
    </row>
    <row r="152" customFormat="false" ht="15" hidden="false" customHeight="false" outlineLevel="0" collapsed="false">
      <c r="A152" s="0" t="s">
        <v>822</v>
      </c>
      <c r="B152" s="0" t="s">
        <v>823</v>
      </c>
      <c r="C152" s="0" t="s">
        <v>781</v>
      </c>
      <c r="D152" s="0" t="s">
        <v>782</v>
      </c>
      <c r="E152" s="0" t="n">
        <v>20171</v>
      </c>
      <c r="F152" s="0" t="s">
        <v>208</v>
      </c>
      <c r="G152" s="0" t="s">
        <v>787</v>
      </c>
      <c r="H152" s="0" t="s">
        <v>1141</v>
      </c>
      <c r="I152" s="0" t="s">
        <v>1142</v>
      </c>
      <c r="J152" s="0" t="n">
        <v>4</v>
      </c>
    </row>
    <row r="153" customFormat="false" ht="15" hidden="false" customHeight="false" outlineLevel="0" collapsed="false">
      <c r="A153" s="0" t="s">
        <v>822</v>
      </c>
      <c r="B153" s="0" t="s">
        <v>823</v>
      </c>
      <c r="C153" s="0" t="s">
        <v>880</v>
      </c>
      <c r="D153" s="0" t="s">
        <v>881</v>
      </c>
      <c r="E153" s="0" t="n">
        <v>20171</v>
      </c>
      <c r="F153" s="0" t="s">
        <v>127</v>
      </c>
      <c r="G153" s="0" t="s">
        <v>787</v>
      </c>
      <c r="H153" s="0" t="s">
        <v>551</v>
      </c>
      <c r="I153" s="0" t="s">
        <v>552</v>
      </c>
      <c r="J153" s="0" t="n">
        <v>4</v>
      </c>
    </row>
    <row r="154" customFormat="false" ht="15" hidden="false" customHeight="false" outlineLevel="0" collapsed="false">
      <c r="A154" s="0" t="s">
        <v>661</v>
      </c>
      <c r="B154" s="0" t="s">
        <v>662</v>
      </c>
      <c r="C154" s="0" t="s">
        <v>781</v>
      </c>
      <c r="D154" s="0" t="s">
        <v>782</v>
      </c>
      <c r="E154" s="0" t="n">
        <v>20171</v>
      </c>
      <c r="F154" s="0" t="s">
        <v>208</v>
      </c>
      <c r="G154" s="0" t="s">
        <v>787</v>
      </c>
      <c r="H154" s="0" t="s">
        <v>846</v>
      </c>
      <c r="I154" s="0" t="s">
        <v>847</v>
      </c>
      <c r="J154" s="0" t="n">
        <v>4</v>
      </c>
    </row>
    <row r="155" customFormat="false" ht="15" hidden="false" customHeight="false" outlineLevel="0" collapsed="false">
      <c r="A155" s="0" t="s">
        <v>661</v>
      </c>
      <c r="B155" s="0" t="s">
        <v>662</v>
      </c>
      <c r="C155" s="0" t="s">
        <v>880</v>
      </c>
      <c r="D155" s="0" t="s">
        <v>881</v>
      </c>
      <c r="E155" s="0" t="n">
        <v>20171</v>
      </c>
      <c r="F155" s="0" t="s">
        <v>127</v>
      </c>
      <c r="G155" s="0" t="s">
        <v>787</v>
      </c>
      <c r="H155" s="0" t="s">
        <v>882</v>
      </c>
      <c r="I155" s="0" t="s">
        <v>883</v>
      </c>
      <c r="J155" s="0" t="n">
        <v>4</v>
      </c>
    </row>
    <row r="156" customFormat="false" ht="15" hidden="false" customHeight="false" outlineLevel="0" collapsed="false">
      <c r="A156" s="0" t="s">
        <v>263</v>
      </c>
      <c r="B156" s="0" t="s">
        <v>264</v>
      </c>
      <c r="C156" s="0" t="s">
        <v>880</v>
      </c>
      <c r="D156" s="0" t="s">
        <v>881</v>
      </c>
      <c r="E156" s="0" t="n">
        <v>20171</v>
      </c>
      <c r="F156" s="0" t="s">
        <v>127</v>
      </c>
      <c r="G156" s="0" t="s">
        <v>787</v>
      </c>
    </row>
    <row r="157" customFormat="false" ht="15" hidden="false" customHeight="false" outlineLevel="0" collapsed="false">
      <c r="A157" s="0" t="s">
        <v>615</v>
      </c>
      <c r="B157" s="0" t="s">
        <v>616</v>
      </c>
      <c r="C157" s="0" t="s">
        <v>781</v>
      </c>
      <c r="D157" s="0" t="s">
        <v>782</v>
      </c>
      <c r="E157" s="0" t="n">
        <v>20171</v>
      </c>
      <c r="F157" s="0" t="s">
        <v>208</v>
      </c>
      <c r="G157" s="0" t="s">
        <v>787</v>
      </c>
    </row>
    <row r="158" customFormat="false" ht="15" hidden="false" customHeight="false" outlineLevel="0" collapsed="false">
      <c r="A158" s="0" t="s">
        <v>615</v>
      </c>
      <c r="B158" s="0" t="s">
        <v>616</v>
      </c>
      <c r="C158" s="0" t="s">
        <v>880</v>
      </c>
      <c r="D158" s="0" t="s">
        <v>881</v>
      </c>
      <c r="E158" s="0" t="n">
        <v>20171</v>
      </c>
      <c r="F158" s="0" t="s">
        <v>127</v>
      </c>
      <c r="G158" s="0" t="s">
        <v>787</v>
      </c>
    </row>
    <row r="159" customFormat="false" ht="15" hidden="false" customHeight="false" outlineLevel="0" collapsed="false">
      <c r="A159" s="0" t="s">
        <v>824</v>
      </c>
      <c r="B159" s="0" t="s">
        <v>825</v>
      </c>
      <c r="C159" s="0" t="s">
        <v>781</v>
      </c>
      <c r="D159" s="0" t="s">
        <v>782</v>
      </c>
      <c r="E159" s="0" t="n">
        <v>20171</v>
      </c>
      <c r="F159" s="0" t="s">
        <v>208</v>
      </c>
      <c r="G159" s="0" t="s">
        <v>787</v>
      </c>
    </row>
    <row r="160" customFormat="false" ht="15" hidden="false" customHeight="false" outlineLevel="0" collapsed="false">
      <c r="A160" s="0" t="s">
        <v>826</v>
      </c>
      <c r="B160" s="0" t="s">
        <v>827</v>
      </c>
      <c r="C160" s="0" t="s">
        <v>781</v>
      </c>
      <c r="D160" s="0" t="s">
        <v>782</v>
      </c>
      <c r="E160" s="0" t="n">
        <v>20171</v>
      </c>
      <c r="F160" s="0" t="s">
        <v>208</v>
      </c>
      <c r="G160" s="0" t="s">
        <v>787</v>
      </c>
    </row>
    <row r="161" customFormat="false" ht="15" hidden="false" customHeight="false" outlineLevel="0" collapsed="false">
      <c r="A161" s="0" t="s">
        <v>595</v>
      </c>
      <c r="B161" s="0" t="s">
        <v>596</v>
      </c>
      <c r="C161" s="0" t="s">
        <v>781</v>
      </c>
      <c r="D161" s="0" t="s">
        <v>782</v>
      </c>
      <c r="E161" s="0" t="n">
        <v>20171</v>
      </c>
      <c r="F161" s="0" t="s">
        <v>208</v>
      </c>
      <c r="G161" s="0" t="s">
        <v>787</v>
      </c>
    </row>
    <row r="162" customFormat="false" ht="15" hidden="false" customHeight="false" outlineLevel="0" collapsed="false">
      <c r="A162" s="0" t="s">
        <v>773</v>
      </c>
      <c r="B162" s="0" t="s">
        <v>774</v>
      </c>
      <c r="C162" s="0" t="s">
        <v>884</v>
      </c>
      <c r="D162" s="0" t="s">
        <v>885</v>
      </c>
      <c r="E162" s="0" t="n">
        <v>20171</v>
      </c>
      <c r="F162" s="0" t="s">
        <v>208</v>
      </c>
      <c r="G162" s="0" t="s">
        <v>787</v>
      </c>
    </row>
    <row r="163" customFormat="false" ht="15" hidden="false" customHeight="false" outlineLevel="0" collapsed="false">
      <c r="A163" s="0" t="s">
        <v>269</v>
      </c>
      <c r="B163" s="0" t="s">
        <v>270</v>
      </c>
      <c r="C163" s="0" t="s">
        <v>880</v>
      </c>
      <c r="D163" s="0" t="s">
        <v>881</v>
      </c>
      <c r="E163" s="0" t="n">
        <v>20171</v>
      </c>
      <c r="F163" s="0" t="s">
        <v>127</v>
      </c>
      <c r="G163" s="0" t="s">
        <v>787</v>
      </c>
    </row>
    <row r="164" customFormat="false" ht="15" hidden="false" customHeight="false" outlineLevel="0" collapsed="false">
      <c r="A164" s="0" t="s">
        <v>271</v>
      </c>
      <c r="B164" s="0" t="s">
        <v>272</v>
      </c>
      <c r="C164" s="0" t="s">
        <v>880</v>
      </c>
      <c r="D164" s="0" t="s">
        <v>881</v>
      </c>
      <c r="E164" s="0" t="n">
        <v>20171</v>
      </c>
      <c r="F164" s="0" t="s">
        <v>127</v>
      </c>
      <c r="G164" s="0" t="s">
        <v>787</v>
      </c>
    </row>
    <row r="165" customFormat="false" ht="15" hidden="false" customHeight="false" outlineLevel="0" collapsed="false">
      <c r="A165" s="0" t="s">
        <v>114</v>
      </c>
      <c r="B165" s="0" t="s">
        <v>115</v>
      </c>
      <c r="C165" s="0" t="s">
        <v>781</v>
      </c>
      <c r="D165" s="0" t="s">
        <v>782</v>
      </c>
      <c r="E165" s="0" t="n">
        <v>20171</v>
      </c>
      <c r="F165" s="0" t="s">
        <v>208</v>
      </c>
      <c r="G165" s="0" t="s">
        <v>787</v>
      </c>
    </row>
    <row r="166" customFormat="false" ht="15" hidden="false" customHeight="false" outlineLevel="0" collapsed="false">
      <c r="A166" s="0" t="s">
        <v>202</v>
      </c>
      <c r="B166" s="0" t="s">
        <v>203</v>
      </c>
      <c r="C166" s="0" t="s">
        <v>781</v>
      </c>
      <c r="D166" s="0" t="s">
        <v>782</v>
      </c>
      <c r="E166" s="0" t="n">
        <v>20171</v>
      </c>
      <c r="F166" s="0" t="s">
        <v>208</v>
      </c>
      <c r="G166" s="0" t="s">
        <v>787</v>
      </c>
    </row>
    <row r="167" customFormat="false" ht="15" hidden="false" customHeight="false" outlineLevel="0" collapsed="false">
      <c r="A167" s="0" t="s">
        <v>202</v>
      </c>
      <c r="B167" s="0" t="s">
        <v>203</v>
      </c>
      <c r="C167" s="0" t="s">
        <v>884</v>
      </c>
      <c r="D167" s="0" t="s">
        <v>885</v>
      </c>
      <c r="E167" s="0" t="n">
        <v>20171</v>
      </c>
      <c r="F167" s="0" t="s">
        <v>208</v>
      </c>
      <c r="G167" s="0" t="s">
        <v>787</v>
      </c>
    </row>
    <row r="168" customFormat="false" ht="15" hidden="false" customHeight="false" outlineLevel="0" collapsed="false">
      <c r="A168" s="0" t="s">
        <v>751</v>
      </c>
      <c r="B168" s="0" t="s">
        <v>752</v>
      </c>
      <c r="C168" s="0" t="s">
        <v>781</v>
      </c>
      <c r="D168" s="0" t="s">
        <v>782</v>
      </c>
      <c r="E168" s="0" t="n">
        <v>20171</v>
      </c>
      <c r="F168" s="0" t="s">
        <v>208</v>
      </c>
      <c r="G168" s="0" t="s">
        <v>787</v>
      </c>
    </row>
    <row r="169" customFormat="false" ht="15" hidden="false" customHeight="false" outlineLevel="0" collapsed="false">
      <c r="A169" s="0" t="s">
        <v>739</v>
      </c>
      <c r="B169" s="0" t="s">
        <v>740</v>
      </c>
      <c r="C169" s="0" t="s">
        <v>781</v>
      </c>
      <c r="D169" s="0" t="s">
        <v>782</v>
      </c>
      <c r="E169" s="0" t="n">
        <v>20171</v>
      </c>
      <c r="F169" s="0" t="s">
        <v>208</v>
      </c>
      <c r="G169" s="0" t="s">
        <v>787</v>
      </c>
    </row>
    <row r="170" customFormat="false" ht="15" hidden="false" customHeight="false" outlineLevel="0" collapsed="false">
      <c r="A170" s="0" t="s">
        <v>209</v>
      </c>
      <c r="B170" s="0" t="s">
        <v>210</v>
      </c>
      <c r="C170" s="0" t="s">
        <v>781</v>
      </c>
      <c r="D170" s="0" t="s">
        <v>782</v>
      </c>
      <c r="E170" s="0" t="n">
        <v>20171</v>
      </c>
      <c r="F170" s="0" t="s">
        <v>208</v>
      </c>
      <c r="G170" s="0" t="s">
        <v>787</v>
      </c>
    </row>
    <row r="171" customFormat="false" ht="15" hidden="false" customHeight="false" outlineLevel="0" collapsed="false">
      <c r="A171" s="0" t="s">
        <v>547</v>
      </c>
      <c r="B171" s="0" t="s">
        <v>548</v>
      </c>
      <c r="C171" s="0" t="s">
        <v>880</v>
      </c>
      <c r="D171" s="0" t="s">
        <v>881</v>
      </c>
      <c r="E171" s="0" t="n">
        <v>20171</v>
      </c>
      <c r="F171" s="0" t="s">
        <v>127</v>
      </c>
      <c r="G171" s="0" t="s">
        <v>787</v>
      </c>
    </row>
    <row r="172" customFormat="false" ht="15" hidden="false" customHeight="false" outlineLevel="0" collapsed="false">
      <c r="A172" s="0" t="s">
        <v>549</v>
      </c>
      <c r="B172" s="0" t="s">
        <v>550</v>
      </c>
      <c r="C172" s="0" t="s">
        <v>880</v>
      </c>
      <c r="D172" s="0" t="s">
        <v>881</v>
      </c>
      <c r="E172" s="0" t="n">
        <v>20171</v>
      </c>
      <c r="F172" s="0" t="s">
        <v>127</v>
      </c>
      <c r="G172" s="0" t="s">
        <v>787</v>
      </c>
    </row>
    <row r="173" customFormat="false" ht="15" hidden="false" customHeight="false" outlineLevel="0" collapsed="false">
      <c r="A173" s="0" t="s">
        <v>108</v>
      </c>
      <c r="B173" s="0" t="s">
        <v>109</v>
      </c>
      <c r="C173" s="0" t="s">
        <v>970</v>
      </c>
      <c r="D173" s="0" t="s">
        <v>971</v>
      </c>
      <c r="E173" s="0" t="n">
        <v>20171</v>
      </c>
      <c r="F173" s="0" t="s">
        <v>208</v>
      </c>
      <c r="G173" s="0" t="s">
        <v>787</v>
      </c>
    </row>
    <row r="174" customFormat="false" ht="15" hidden="false" customHeight="false" outlineLevel="0" collapsed="false">
      <c r="A174" s="0" t="s">
        <v>1137</v>
      </c>
      <c r="B174" s="0" t="s">
        <v>1138</v>
      </c>
      <c r="C174" s="0" t="s">
        <v>970</v>
      </c>
      <c r="D174" s="0" t="s">
        <v>971</v>
      </c>
      <c r="E174" s="0" t="n">
        <v>20171</v>
      </c>
      <c r="F174" s="0" t="s">
        <v>208</v>
      </c>
      <c r="G174" s="0" t="s">
        <v>787</v>
      </c>
    </row>
    <row r="175" customFormat="false" ht="15" hidden="false" customHeight="false" outlineLevel="0" collapsed="false">
      <c r="A175" s="0" t="s">
        <v>1139</v>
      </c>
      <c r="B175" s="0" t="s">
        <v>1140</v>
      </c>
      <c r="C175" s="0" t="s">
        <v>970</v>
      </c>
      <c r="D175" s="0" t="s">
        <v>971</v>
      </c>
      <c r="E175" s="0" t="n">
        <v>20171</v>
      </c>
      <c r="F175" s="0" t="s">
        <v>208</v>
      </c>
      <c r="G175" s="0" t="s">
        <v>787</v>
      </c>
    </row>
    <row r="176" customFormat="false" ht="15" hidden="false" customHeight="false" outlineLevel="0" collapsed="false">
      <c r="A176" s="0" t="s">
        <v>866</v>
      </c>
      <c r="B176" s="0" t="s">
        <v>867</v>
      </c>
      <c r="C176" s="0" t="s">
        <v>970</v>
      </c>
      <c r="D176" s="0" t="s">
        <v>971</v>
      </c>
      <c r="E176" s="0" t="n">
        <v>20171</v>
      </c>
      <c r="F176" s="0" t="s">
        <v>208</v>
      </c>
      <c r="G176" s="0" t="s">
        <v>787</v>
      </c>
    </row>
    <row r="177" customFormat="false" ht="15" hidden="false" customHeight="false" outlineLevel="0" collapsed="false">
      <c r="A177" s="0" t="s">
        <v>198</v>
      </c>
      <c r="B177" s="0" t="s">
        <v>199</v>
      </c>
      <c r="C177" s="0" t="s">
        <v>970</v>
      </c>
      <c r="D177" s="0" t="s">
        <v>971</v>
      </c>
      <c r="E177" s="0" t="n">
        <v>20171</v>
      </c>
      <c r="F177" s="0" t="s">
        <v>208</v>
      </c>
      <c r="G177" s="0" t="s">
        <v>787</v>
      </c>
    </row>
    <row r="178" customFormat="false" ht="15" hidden="false" customHeight="false" outlineLevel="0" collapsed="false">
      <c r="A178" s="0" t="s">
        <v>1141</v>
      </c>
      <c r="B178" s="0" t="s">
        <v>1142</v>
      </c>
      <c r="C178" s="0" t="s">
        <v>970</v>
      </c>
      <c r="D178" s="0" t="s">
        <v>971</v>
      </c>
      <c r="E178" s="0" t="n">
        <v>20171</v>
      </c>
      <c r="F178" s="0" t="s">
        <v>208</v>
      </c>
      <c r="G178" s="0" t="s">
        <v>787</v>
      </c>
    </row>
    <row r="179" customFormat="false" ht="15" hidden="false" customHeight="false" outlineLevel="0" collapsed="false">
      <c r="A179" s="0" t="s">
        <v>551</v>
      </c>
      <c r="B179" s="0" t="s">
        <v>552</v>
      </c>
      <c r="C179" s="0" t="s">
        <v>970</v>
      </c>
      <c r="D179" s="0" t="s">
        <v>971</v>
      </c>
      <c r="E179" s="0" t="n">
        <v>20171</v>
      </c>
      <c r="F179" s="0" t="s">
        <v>208</v>
      </c>
      <c r="G179" s="0" t="s">
        <v>787</v>
      </c>
      <c r="J179" s="0" t="n">
        <v>2</v>
      </c>
    </row>
    <row r="180" customFormat="false" ht="15" hidden="false" customHeight="false" outlineLevel="0" collapsed="false">
      <c r="A180" s="0" t="s">
        <v>846</v>
      </c>
      <c r="B180" s="0" t="s">
        <v>847</v>
      </c>
      <c r="C180" s="0" t="s">
        <v>970</v>
      </c>
      <c r="D180" s="0" t="s">
        <v>971</v>
      </c>
      <c r="E180" s="0" t="n">
        <v>20171</v>
      </c>
      <c r="F180" s="0" t="s">
        <v>208</v>
      </c>
      <c r="G180" s="0" t="s">
        <v>787</v>
      </c>
    </row>
    <row r="181" customFormat="false" ht="15" hidden="false" customHeight="false" outlineLevel="0" collapsed="false">
      <c r="A181" s="0" t="s">
        <v>882</v>
      </c>
      <c r="B181" s="0" t="s">
        <v>883</v>
      </c>
      <c r="C181" s="0" t="s">
        <v>970</v>
      </c>
      <c r="D181" s="0" t="s">
        <v>971</v>
      </c>
      <c r="E181" s="0" t="n">
        <v>20171</v>
      </c>
      <c r="F181" s="0" t="s">
        <v>208</v>
      </c>
      <c r="G181" s="0" t="s">
        <v>787</v>
      </c>
    </row>
  </sheetData>
  <autoFilter ref="A1:K18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2696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2018-02-06T02:02:19Z</dcterms:created>
  <dc:creator>Universitas Mataram</dc:creator>
  <dc:description/>
  <dc:language>en-ID</dc:language>
  <cp:lastModifiedBy/>
  <cp:lastPrinted>2018-04-09T02:54:24Z</cp:lastPrinted>
  <dcterms:modified xsi:type="dcterms:W3CDTF">2018-07-09T12:16:53Z</dcterms:modified>
  <cp:revision>14</cp:revision>
  <dc:subject/>
  <dc:title>nilai_ES1108_ES4246_202011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