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730" windowHeight="9600"/>
  </bookViews>
  <sheets>
    <sheet name="ELEKTRO" sheetId="3" r:id="rId1"/>
    <sheet name="ELEKTRO SORE" sheetId="7" r:id="rId2"/>
  </sheets>
  <externalReferences>
    <externalReference r:id="rId3"/>
  </externalReferences>
  <definedNames>
    <definedName name="_xlnm.Print_Area" localSheetId="0">ELEKTRO!$A$1:$E$110</definedName>
    <definedName name="_xlnm.Print_Area" localSheetId="1">'ELEKTRO SORE'!$A$1:$E$75</definedName>
    <definedName name="_xlnm.Print_Titles" localSheetId="0">ELEKTRO!$5:$5</definedName>
    <definedName name="_xlnm.Print_Titles" localSheetId="1">'ELEKTRO SORE'!$5:$5</definedName>
  </definedNames>
  <calcPr calcId="125725" concurrentCalc="0"/>
</workbook>
</file>

<file path=xl/calcChain.xml><?xml version="1.0" encoding="utf-8"?>
<calcChain xmlns="http://schemas.openxmlformats.org/spreadsheetml/2006/main">
  <c r="M43" i="7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7"/>
  <c r="O44"/>
  <c r="N44"/>
  <c r="L33"/>
  <c r="L32"/>
  <c r="L36"/>
  <c r="L35"/>
  <c r="L31"/>
  <c r="L43"/>
  <c r="L42"/>
  <c r="L30"/>
  <c r="L29"/>
  <c r="L34"/>
  <c r="L28"/>
  <c r="L9"/>
  <c r="L27"/>
  <c r="L26"/>
  <c r="L25"/>
  <c r="L37"/>
  <c r="L41"/>
  <c r="L24"/>
  <c r="L11"/>
  <c r="L23"/>
  <c r="L22"/>
  <c r="L38"/>
  <c r="L40"/>
  <c r="L10"/>
  <c r="L7"/>
  <c r="L21"/>
  <c r="L20"/>
  <c r="L39"/>
  <c r="L6"/>
  <c r="L8"/>
  <c r="L19"/>
  <c r="L18"/>
  <c r="L17"/>
  <c r="L16"/>
  <c r="L15"/>
  <c r="L14"/>
  <c r="L13"/>
  <c r="L12"/>
  <c r="K70"/>
  <c r="A37" i="3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I67" i="7"/>
  <c r="I66"/>
  <c r="I64"/>
  <c r="I62"/>
  <c r="I60"/>
  <c r="I58"/>
  <c r="I56"/>
  <c r="I54"/>
  <c r="I52"/>
  <c r="I50"/>
  <c r="I48"/>
  <c r="I46"/>
  <c r="I44"/>
  <c r="I42"/>
  <c r="I40"/>
  <c r="I38"/>
  <c r="I37"/>
  <c r="I36"/>
  <c r="I35"/>
  <c r="I34"/>
  <c r="I32"/>
  <c r="I30"/>
  <c r="I28"/>
  <c r="I26"/>
  <c r="I24"/>
  <c r="I22"/>
  <c r="I20"/>
  <c r="I18"/>
  <c r="I16"/>
  <c r="I14"/>
  <c r="I12"/>
  <c r="I10"/>
  <c r="I8"/>
  <c r="I6"/>
  <c r="I100" i="3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5"/>
  <c r="I42"/>
  <c r="I39"/>
  <c r="I36"/>
  <c r="I33"/>
  <c r="I30"/>
  <c r="I27"/>
  <c r="I24"/>
  <c r="I22"/>
  <c r="I21"/>
  <c r="I18"/>
  <c r="I15"/>
  <c r="I12"/>
  <c r="I9"/>
  <c r="I6"/>
  <c r="G9" i="7"/>
  <c r="G11"/>
  <c r="G13"/>
  <c r="G15"/>
  <c r="G17"/>
  <c r="G19"/>
  <c r="G21"/>
  <c r="G23"/>
  <c r="G25"/>
  <c r="G27"/>
  <c r="G29"/>
  <c r="G31"/>
  <c r="G33"/>
  <c r="G39"/>
  <c r="G41"/>
  <c r="G43"/>
  <c r="G45"/>
  <c r="G47"/>
  <c r="G49"/>
  <c r="G51"/>
  <c r="G53"/>
  <c r="G55"/>
  <c r="G57"/>
  <c r="G59"/>
  <c r="G61"/>
  <c r="G63"/>
  <c r="G65"/>
  <c r="I65"/>
  <c r="G7"/>
  <c r="I7"/>
  <c r="I9"/>
  <c r="I13"/>
  <c r="I17"/>
  <c r="I21"/>
  <c r="I25"/>
  <c r="I29"/>
  <c r="I33"/>
  <c r="I41"/>
  <c r="I45"/>
  <c r="I49"/>
  <c r="I53"/>
  <c r="I57"/>
  <c r="I61"/>
  <c r="I11"/>
  <c r="I15"/>
  <c r="I19"/>
  <c r="I23"/>
  <c r="I27"/>
  <c r="I31"/>
  <c r="I39"/>
  <c r="I43"/>
  <c r="I47"/>
  <c r="I51"/>
  <c r="I55"/>
  <c r="I59"/>
  <c r="I63"/>
  <c r="G10" i="3"/>
  <c r="G13"/>
  <c r="G16"/>
  <c r="G19"/>
  <c r="G23"/>
  <c r="I23"/>
  <c r="G25"/>
  <c r="I25"/>
  <c r="G26"/>
  <c r="I26"/>
  <c r="G28"/>
  <c r="I28"/>
  <c r="G29"/>
  <c r="I29"/>
  <c r="G31"/>
  <c r="I31"/>
  <c r="G32"/>
  <c r="I32"/>
  <c r="G34"/>
  <c r="I34"/>
  <c r="G35"/>
  <c r="I35"/>
  <c r="G37"/>
  <c r="I37"/>
  <c r="G38"/>
  <c r="I38"/>
  <c r="G40"/>
  <c r="I40"/>
  <c r="G41"/>
  <c r="I41"/>
  <c r="G43"/>
  <c r="I43"/>
  <c r="G46"/>
  <c r="I46"/>
  <c r="G47"/>
  <c r="I47"/>
  <c r="G101"/>
  <c r="G7"/>
  <c r="I7"/>
  <c r="G14"/>
  <c r="I14"/>
  <c r="I13"/>
  <c r="G102"/>
  <c r="I102"/>
  <c r="I101"/>
  <c r="G17"/>
  <c r="I17"/>
  <c r="I16"/>
  <c r="G44"/>
  <c r="I44"/>
  <c r="G20"/>
  <c r="I20"/>
  <c r="I19"/>
  <c r="G8"/>
  <c r="I8"/>
  <c r="G11"/>
  <c r="I11"/>
  <c r="I10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7" i="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</calcChain>
</file>

<file path=xl/sharedStrings.xml><?xml version="1.0" encoding="utf-8"?>
<sst xmlns="http://schemas.openxmlformats.org/spreadsheetml/2006/main" count="758" uniqueCount="420">
  <si>
    <t>F1B118062</t>
  </si>
  <si>
    <t>F1B118061</t>
  </si>
  <si>
    <t>F1B118060</t>
  </si>
  <si>
    <t>VERA ZULIANA</t>
  </si>
  <si>
    <t>F1B118059</t>
  </si>
  <si>
    <t>TYAS AYUNING SAVITRI</t>
  </si>
  <si>
    <t>F1B118058</t>
  </si>
  <si>
    <t>F1B118057</t>
  </si>
  <si>
    <t>TEGUH SUTRADI</t>
  </si>
  <si>
    <t>F1B118056</t>
  </si>
  <si>
    <t>F1B118055</t>
  </si>
  <si>
    <t>F1B118054</t>
  </si>
  <si>
    <t>SUHAEMIN</t>
  </si>
  <si>
    <t>F1B118053</t>
  </si>
  <si>
    <t>SRI DEWI YULIANA ATMAJAYA</t>
  </si>
  <si>
    <t>F1B118052</t>
  </si>
  <si>
    <t>F1B118051</t>
  </si>
  <si>
    <t>F1B118050</t>
  </si>
  <si>
    <t>F1B118049</t>
  </si>
  <si>
    <t>F1B118048</t>
  </si>
  <si>
    <t>F1B118047</t>
  </si>
  <si>
    <t>F1B118046</t>
  </si>
  <si>
    <t>PANJI AKBAR</t>
  </si>
  <si>
    <t>F1B118045</t>
  </si>
  <si>
    <t>NOVIAN DWI CAHYO</t>
  </si>
  <si>
    <t>F1B118044</t>
  </si>
  <si>
    <t>NOPA APRIANTO</t>
  </si>
  <si>
    <t>F1B118043</t>
  </si>
  <si>
    <t>MUHTAR</t>
  </si>
  <si>
    <t>F1B118042</t>
  </si>
  <si>
    <t>F1B118041</t>
  </si>
  <si>
    <t>MUHAMMAD ZAENUL HASANI</t>
  </si>
  <si>
    <t>F1B118040</t>
  </si>
  <si>
    <t>F1B118039</t>
  </si>
  <si>
    <t>MUHAMMAD YUNUS</t>
  </si>
  <si>
    <t>F1B118038</t>
  </si>
  <si>
    <t>MUHAMMAD SATRIAWAN</t>
  </si>
  <si>
    <t>F1B118037</t>
  </si>
  <si>
    <t>F1B118036</t>
  </si>
  <si>
    <t>F1B118035</t>
  </si>
  <si>
    <t>F1B118034</t>
  </si>
  <si>
    <t>F1B118033</t>
  </si>
  <si>
    <t>F1B118032</t>
  </si>
  <si>
    <t>F1B118031</t>
  </si>
  <si>
    <t>F1B118030</t>
  </si>
  <si>
    <t>MOHAMAD ABDUL AZIS</t>
  </si>
  <si>
    <t>F1B118029</t>
  </si>
  <si>
    <t>F1B118028</t>
  </si>
  <si>
    <t>M. ALFIN JUFASHA</t>
  </si>
  <si>
    <t>F1B118027</t>
  </si>
  <si>
    <t>LALU BIJE KALIH DENI RUPAWAN</t>
  </si>
  <si>
    <t>F1B118026</t>
  </si>
  <si>
    <t>KRIS AGUS SALIM</t>
  </si>
  <si>
    <t>F1B118025</t>
  </si>
  <si>
    <t>KASFUL GHOUSY</t>
  </si>
  <si>
    <t>F1B118024</t>
  </si>
  <si>
    <t>F1B118023</t>
  </si>
  <si>
    <t>F1B118022</t>
  </si>
  <si>
    <t>F1B118021</t>
  </si>
  <si>
    <t>I KOMANG YOGA TRI PRANATA</t>
  </si>
  <si>
    <t>F1B118020</t>
  </si>
  <si>
    <t>GURUH KHEDAR NURMAHSYA</t>
  </si>
  <si>
    <t>F1B118019</t>
  </si>
  <si>
    <t>F1B118018</t>
  </si>
  <si>
    <t>ENRICO ANANTA PRATAMA</t>
  </si>
  <si>
    <t>F1B118017</t>
  </si>
  <si>
    <t>DIDIN SETIAWAN</t>
  </si>
  <si>
    <t>F1B118016</t>
  </si>
  <si>
    <t>F1B118015</t>
  </si>
  <si>
    <t>DEA HILFIANA</t>
  </si>
  <si>
    <t>F1B118014</t>
  </si>
  <si>
    <t>F1B118013</t>
  </si>
  <si>
    <t>AYNUL YAQIN</t>
  </si>
  <si>
    <t>F1B118012</t>
  </si>
  <si>
    <t>ARINDA SAFIRA</t>
  </si>
  <si>
    <t>F1B118011</t>
  </si>
  <si>
    <t>ANDRI WAHYUDI</t>
  </si>
  <si>
    <t>F1B118010</t>
  </si>
  <si>
    <t>F1B118009</t>
  </si>
  <si>
    <t>F1B118008</t>
  </si>
  <si>
    <t>F1B118007</t>
  </si>
  <si>
    <t>F1B118006</t>
  </si>
  <si>
    <t>F1B118005</t>
  </si>
  <si>
    <t>ADAM HADI WIBOWO</t>
  </si>
  <si>
    <t>F1B118004</t>
  </si>
  <si>
    <t>RODY SAFRI IRAWANSYAH</t>
  </si>
  <si>
    <t>F1B118003</t>
  </si>
  <si>
    <t>F1B118002</t>
  </si>
  <si>
    <t>ANDI AZBAR</t>
  </si>
  <si>
    <t>F1B118001</t>
  </si>
  <si>
    <t>F1B018097</t>
  </si>
  <si>
    <t>F1B018096</t>
  </si>
  <si>
    <t>F1B018095</t>
  </si>
  <si>
    <t>YUDI DERI PRATAMA</t>
  </si>
  <si>
    <t>F1B018094</t>
  </si>
  <si>
    <t>F1B018093</t>
  </si>
  <si>
    <t>TOMI SAHIDIN</t>
  </si>
  <si>
    <t>F1B018092</t>
  </si>
  <si>
    <t>ROBY HANDIKA</t>
  </si>
  <si>
    <t>F1B018091</t>
  </si>
  <si>
    <t>RIZZA HALWANI</t>
  </si>
  <si>
    <t>F1B018090</t>
  </si>
  <si>
    <t>F1B018089</t>
  </si>
  <si>
    <t>F1B018088</t>
  </si>
  <si>
    <t>MUHAMMAD ALAMSYAH</t>
  </si>
  <si>
    <t>F1B018087</t>
  </si>
  <si>
    <t>F1B018086</t>
  </si>
  <si>
    <t>F1B018085</t>
  </si>
  <si>
    <t>F1B018084</t>
  </si>
  <si>
    <t>M. KHAIRI AZHARI</t>
  </si>
  <si>
    <t>F1B018083</t>
  </si>
  <si>
    <t>F1B018082</t>
  </si>
  <si>
    <t>LALU RAHMAT MAGFIRAH</t>
  </si>
  <si>
    <t>F1B018081</t>
  </si>
  <si>
    <t>F1B018080</t>
  </si>
  <si>
    <t>F1B018079</t>
  </si>
  <si>
    <t>IRFAN</t>
  </si>
  <si>
    <t>F1B018078</t>
  </si>
  <si>
    <t>F1B018077</t>
  </si>
  <si>
    <t>HERLAN SATYA WIJAYA</t>
  </si>
  <si>
    <t>F1B018076</t>
  </si>
  <si>
    <t>ETI NURBAITI</t>
  </si>
  <si>
    <t>F1B018075</t>
  </si>
  <si>
    <t>BAIQ HIDAYATUL ZOHRIAH</t>
  </si>
  <si>
    <t>F1B018074</t>
  </si>
  <si>
    <t>ANANDA NUR HIDAYAT</t>
  </si>
  <si>
    <t>F1B018073</t>
  </si>
  <si>
    <t>AGUS PRATOMI MULYO</t>
  </si>
  <si>
    <t>F1B018072</t>
  </si>
  <si>
    <t>F1B018071</t>
  </si>
  <si>
    <t>F1B018070</t>
  </si>
  <si>
    <t>MATELDA HINDOM</t>
  </si>
  <si>
    <t>F1B018069</t>
  </si>
  <si>
    <t>F1B018068</t>
  </si>
  <si>
    <t>F1B018067</t>
  </si>
  <si>
    <t>F1B018066</t>
  </si>
  <si>
    <t>TAUFIK EKA PRATAMA</t>
  </si>
  <si>
    <t>F1B018065</t>
  </si>
  <si>
    <t>SULTHON ZAMRONI</t>
  </si>
  <si>
    <t>F1B018064</t>
  </si>
  <si>
    <t>F1B018063</t>
  </si>
  <si>
    <t>SIMSON ALBERT TOGAR DAFARIUS</t>
  </si>
  <si>
    <t>F1B018062</t>
  </si>
  <si>
    <t>SEPTIAN ADITIYA WARDANA</t>
  </si>
  <si>
    <t>F1B018061</t>
  </si>
  <si>
    <t>F1B018060</t>
  </si>
  <si>
    <t>ROBBY HUDIANSYAH</t>
  </si>
  <si>
    <t>F1B018059</t>
  </si>
  <si>
    <t>F1B018058</t>
  </si>
  <si>
    <t>REFDIAN NAJM DENDRA RHAMA KRIDASWORO</t>
  </si>
  <si>
    <t>F1B018057</t>
  </si>
  <si>
    <t>RANGGA SATRIA WIRABANGSA</t>
  </si>
  <si>
    <t>F1B018056</t>
  </si>
  <si>
    <t>F1B018055</t>
  </si>
  <si>
    <t>F1B018054</t>
  </si>
  <si>
    <t>F1B018053</t>
  </si>
  <si>
    <t>NURSYAHID</t>
  </si>
  <si>
    <t>F1B018052</t>
  </si>
  <si>
    <t>F1B018051</t>
  </si>
  <si>
    <t>F1B018050</t>
  </si>
  <si>
    <t>NANDITA DIANDA</t>
  </si>
  <si>
    <t>F1B018049</t>
  </si>
  <si>
    <t>NABILLA PINKAN IBANEZ</t>
  </si>
  <si>
    <t>F1B018048</t>
  </si>
  <si>
    <t>MUHAMMAD SULTAN PUTRA SETYONO</t>
  </si>
  <si>
    <t>F1B018047</t>
  </si>
  <si>
    <t>F1B018046</t>
  </si>
  <si>
    <t>MUHAMMAD FADIL</t>
  </si>
  <si>
    <t>F1B018045</t>
  </si>
  <si>
    <t>F1B018044</t>
  </si>
  <si>
    <t>MUHAMMAD ANTONY ARANTA</t>
  </si>
  <si>
    <t>F1B018043</t>
  </si>
  <si>
    <t>MUHAMAD KIFLAN AFFANDI</t>
  </si>
  <si>
    <t>F1B018042</t>
  </si>
  <si>
    <t>MUH.MUQIMUDDIN SHOLIH</t>
  </si>
  <si>
    <t>F1B018041</t>
  </si>
  <si>
    <t>MUH. NOVIAN HADI ZAEN</t>
  </si>
  <si>
    <t>F1B018040</t>
  </si>
  <si>
    <t>MOH. SULTANULMAHDI</t>
  </si>
  <si>
    <t>F1B018039</t>
  </si>
  <si>
    <t>MOH RIZKAN SATORI</t>
  </si>
  <si>
    <t>F1B018038</t>
  </si>
  <si>
    <t>F1B018037</t>
  </si>
  <si>
    <t>MARIA GABRIELA FALENSIA WATU</t>
  </si>
  <si>
    <t>F1B018036</t>
  </si>
  <si>
    <t>M. WAWAN KURNIAWAN</t>
  </si>
  <si>
    <t>F1B018035</t>
  </si>
  <si>
    <t>LALU WIR HANAN HADI</t>
  </si>
  <si>
    <t>F1B018034</t>
  </si>
  <si>
    <t>F1B018033</t>
  </si>
  <si>
    <t>F1B018032</t>
  </si>
  <si>
    <t>F1B018031</t>
  </si>
  <si>
    <t>F1B018030</t>
  </si>
  <si>
    <t>IMAM EFENDI</t>
  </si>
  <si>
    <t>F1B018029</t>
  </si>
  <si>
    <t>F1B018028</t>
  </si>
  <si>
    <t>F1B018027</t>
  </si>
  <si>
    <t>I MADE DWI ANDIKA SAPUTRA</t>
  </si>
  <si>
    <t>F1B018026</t>
  </si>
  <si>
    <t>F1B018025</t>
  </si>
  <si>
    <t>F1B018024</t>
  </si>
  <si>
    <t>F1B018023</t>
  </si>
  <si>
    <t>FRANSISKUS XAVERIUS ARIO SETYOAJIE</t>
  </si>
  <si>
    <t>F1B018022</t>
  </si>
  <si>
    <t>F1B018021</t>
  </si>
  <si>
    <t>F1B018020</t>
  </si>
  <si>
    <t>F1B018019</t>
  </si>
  <si>
    <t>F1B018018</t>
  </si>
  <si>
    <t>EKA RIZKY ADHANSYAH ALATHAS</t>
  </si>
  <si>
    <t>F1B018017</t>
  </si>
  <si>
    <t>DIWAN ZINI ARSI</t>
  </si>
  <si>
    <t>F1B018016</t>
  </si>
  <si>
    <t>DIO YUDHA PRAWIRA BAKARY</t>
  </si>
  <si>
    <t>F1B018015</t>
  </si>
  <si>
    <t>F1B018014</t>
  </si>
  <si>
    <t>BRIAN ABIYASA AJI PRATAMA</t>
  </si>
  <si>
    <t>F1B018013</t>
  </si>
  <si>
    <t>F1B018012</t>
  </si>
  <si>
    <t>BAGI HARTAWAN</t>
  </si>
  <si>
    <t>F1B018011</t>
  </si>
  <si>
    <t>BADRUL MUHAYAT</t>
  </si>
  <si>
    <t>F1B018010</t>
  </si>
  <si>
    <t>F1B018009</t>
  </si>
  <si>
    <t>ANGGA ROJALI</t>
  </si>
  <si>
    <t>F1B018008</t>
  </si>
  <si>
    <t>ANGGA DANISTIAN</t>
  </si>
  <si>
    <t>F1B018007</t>
  </si>
  <si>
    <t>F1B018006</t>
  </si>
  <si>
    <t>F1B018005</t>
  </si>
  <si>
    <t>ALFAN FADHILA RAMDHANI</t>
  </si>
  <si>
    <t>F1B018004</t>
  </si>
  <si>
    <t>ALDYKA FALERA</t>
  </si>
  <si>
    <t>F1B018003</t>
  </si>
  <si>
    <t>AHMAD UMAR</t>
  </si>
  <si>
    <t>F1B018002</t>
  </si>
  <si>
    <t>AHMAD FAZLIN ARDIAN</t>
  </si>
  <si>
    <t>F1B018001</t>
  </si>
  <si>
    <t>NIM</t>
  </si>
  <si>
    <t>NO</t>
  </si>
  <si>
    <t>NAMA</t>
  </si>
  <si>
    <t>DANI ANWAR MUSADDAT</t>
  </si>
  <si>
    <t>AFRIZAL ALIMUDIN</t>
  </si>
  <si>
    <t>AHMAD ZULKUSWARI</t>
  </si>
  <si>
    <t>ALFIYANI ADILAH</t>
  </si>
  <si>
    <t>AMRINA ROSYIDA</t>
  </si>
  <si>
    <t>ANDI TRI RAMDHANY</t>
  </si>
  <si>
    <t>BOY TIMOTIUS HUTAURUK</t>
  </si>
  <si>
    <t xml:space="preserve">DECKY ARDHYADWIPA JANUSTANTO </t>
  </si>
  <si>
    <t>GALLAN EKA RAMADHANI</t>
  </si>
  <si>
    <t>IDA AYU NYOMAN ISWARI WIKAPTI</t>
  </si>
  <si>
    <t>IDA BAGUS ADITYA LAKSAMANA DHARMA</t>
  </si>
  <si>
    <t>JEFRI HAWARI</t>
  </si>
  <si>
    <t>MICHAEL STEFLEN LEPONG</t>
  </si>
  <si>
    <t>MUHAMAD RENALDI ALFARISHI</t>
  </si>
  <si>
    <t>MUHAMAD RIZKI PERDAMAIAN</t>
  </si>
  <si>
    <t>MUHAMMAD AHMAL RIZKI</t>
  </si>
  <si>
    <t>MUHAMMAD AHMILURRIZQI DAHLAN</t>
  </si>
  <si>
    <t>MUHAMMAD FATTAAKHUN NIZAR</t>
  </si>
  <si>
    <t>MUHAMMAD FEBRIAN ULMAYADI PRATAMA</t>
  </si>
  <si>
    <t>MUHAMMAD NAZARUL MADANI</t>
  </si>
  <si>
    <t>MUHAMMAD YUSTIAR IMAMI</t>
  </si>
  <si>
    <t>MUHAMMAD ZUHAIR HAMAMI</t>
  </si>
  <si>
    <t>RAHMAT HIDAYAT</t>
  </si>
  <si>
    <t>RAIZHA KHALIFAH AL-ARDHY SAYYIDINA</t>
  </si>
  <si>
    <t>RIRIN DYAS RAMADHANTI</t>
  </si>
  <si>
    <t>SAKATWA DAMMA WICAYO</t>
  </si>
  <si>
    <t>SEPTIAWAN ABRORI</t>
  </si>
  <si>
    <t>SERLYNITA</t>
  </si>
  <si>
    <t xml:space="preserve">SURYA AQIDAH </t>
  </si>
  <si>
    <t>SYAROFI RIDYASMARA</t>
  </si>
  <si>
    <t>TITISAN WAHYU NURUL LAILA</t>
  </si>
  <si>
    <t>VIVIANA HERLITA VIDIASARI</t>
  </si>
  <si>
    <t>WANDA DWI KUNCOROJATI</t>
  </si>
  <si>
    <t>WILITAMA TANTOSA</t>
  </si>
  <si>
    <t>ALFATH MAULANA</t>
  </si>
  <si>
    <t>ANDIKA PRAKOSO</t>
  </si>
  <si>
    <t>ARI SATRIA</t>
  </si>
  <si>
    <t>BAIK ZOHRATUL WARDAH</t>
  </si>
  <si>
    <t>DEWA MADE ANOM DIRGANTARA</t>
  </si>
  <si>
    <t>EVANIA ERNESTIN CHANDRA</t>
  </si>
  <si>
    <t>FAHRU RAHMAN</t>
  </si>
  <si>
    <t>FIDYAH AJENG WULANDARI</t>
  </si>
  <si>
    <t>FIKRI</t>
  </si>
  <si>
    <t>HAFIZAH</t>
  </si>
  <si>
    <t>HAQQI FITRAH AMRI</t>
  </si>
  <si>
    <t>I GUSTI BAGUS ADI PRAMANA</t>
  </si>
  <si>
    <t>I MADE GDE YUDI DARMAWAN</t>
  </si>
  <si>
    <t>ILHAM ZAHIDIN</t>
  </si>
  <si>
    <t>ISLAHUL ANWAR</t>
  </si>
  <si>
    <t>KAROMATUL HIKMAH</t>
  </si>
  <si>
    <t>KHAERUL KUSUMA</t>
  </si>
  <si>
    <t>KOMANG DANDY SURYA ADRIAWAN</t>
  </si>
  <si>
    <t>MEGA YUNITA DIADARA</t>
  </si>
  <si>
    <t>MUHAMMAD ARIFUDDIN MUCHTAR</t>
  </si>
  <si>
    <t>NATASYA DEWI ASTUTI</t>
  </si>
  <si>
    <t>NINA MULANA</t>
  </si>
  <si>
    <t>OVY MELIYANDIKA</t>
  </si>
  <si>
    <t>RAHMAT MUHAJIR</t>
  </si>
  <si>
    <t>RAMDANI SAPUTRA</t>
  </si>
  <si>
    <t>RIZKI FEBRIA SATRIADI</t>
  </si>
  <si>
    <t>SASKIA KHAIRUNNISA JUNEP</t>
  </si>
  <si>
    <t>SINDI HIKMALA</t>
  </si>
  <si>
    <t>WENVY ANDANI</t>
  </si>
  <si>
    <t>YOGI SOPIAN HARIS</t>
  </si>
  <si>
    <t>YUSRIL MAHENDRA</t>
  </si>
  <si>
    <t>ABDUL AZIZ</t>
  </si>
  <si>
    <t>ADAM MILANDO</t>
  </si>
  <si>
    <t>ILHAMI PRAMADITYA</t>
  </si>
  <si>
    <t>KHUSNUL FITRIANI</t>
  </si>
  <si>
    <t>LALU DEAWAN CINDAGE</t>
  </si>
  <si>
    <t xml:space="preserve">LALU THORIQ RAMADHANI </t>
  </si>
  <si>
    <t>MASYKURI  YA ZAINURI</t>
  </si>
  <si>
    <t>MAULIDDIN NUR MUHAMMAD</t>
  </si>
  <si>
    <t>MUHAMAD HANAFI</t>
  </si>
  <si>
    <t>NIAZI ZAM-ZAMI</t>
  </si>
  <si>
    <t>RIKI SAPUTRA</t>
  </si>
  <si>
    <t>TOPARANA AMRULLAH</t>
  </si>
  <si>
    <t>YUNITA SAKIRA</t>
  </si>
  <si>
    <t>YUSUF KAUTSAR ROHIMAN</t>
  </si>
  <si>
    <t>ZULFAKAR SATRIA DANIAZIS</t>
  </si>
  <si>
    <t>DAFTAR PEMBAGIAN DOSEN WALI  MAHASISWA</t>
  </si>
  <si>
    <t>JURUSAN TEKNIK ELEKTRO - REGULER</t>
  </si>
  <si>
    <t>DOSEN WALI</t>
  </si>
  <si>
    <t>NIP</t>
  </si>
  <si>
    <t>JURUSAN TEKNIK ELEKTRO - NON REGULER</t>
  </si>
  <si>
    <t>ANGKATAN TAHUN 2018</t>
  </si>
  <si>
    <t>MUHAMMAD KHOIRUR RIZKI</t>
  </si>
  <si>
    <t>Silakan ke bagian registrasi Rektorat Unram Lt. 1 Sayap Timur dengan membawa bukti bayar UKT/SPI dengan menghubungi pak Antok . Ini no HP nya jika diperlukan : 082339142554</t>
  </si>
  <si>
    <t>Keterangan :</t>
  </si>
  <si>
    <t>Bagi MABA 2018 TE yang belum keluar NIM-nya, silakan menghubungi Pak Antok No. HP  082339142554, di bagian registrasi Rektorat Unram Lt. 1 Sayap Timur dengan membawa bukti bayar UKT/SPI, terima kasih.</t>
  </si>
  <si>
    <t xml:space="preserve">Ni Made Seniari, ST., MT. </t>
  </si>
  <si>
    <t>19700320 199702 2 001</t>
  </si>
  <si>
    <t>Supriyatna, ST., MT.</t>
  </si>
  <si>
    <t>19710607 199702 1 002</t>
  </si>
  <si>
    <t>I Ketut Wiryajati, ST., MT.</t>
  </si>
  <si>
    <t>19660424 199702 1 001</t>
  </si>
  <si>
    <t>Syafaruddin Ch., ST., MT.</t>
  </si>
  <si>
    <t>19690612 199702 1 001</t>
  </si>
  <si>
    <t>Sultan, ST., MT.</t>
  </si>
  <si>
    <t>19671231 199702 1 001</t>
  </si>
  <si>
    <t>Sudi M. Al Sasongko, ST., MT.</t>
  </si>
  <si>
    <t>19670526 199703 1 001</t>
  </si>
  <si>
    <t>Dr. Misbahuddin, ST., MT.</t>
  </si>
  <si>
    <t>19681005 199703 1 001</t>
  </si>
  <si>
    <t>I Nyoman Wahyu S., ST., M.Sc., Ph.D.</t>
  </si>
  <si>
    <t>19700908 199802 1 001</t>
  </si>
  <si>
    <t>Cahyo Mustiko O.M., ST., M.Sc., Ph.D.</t>
  </si>
  <si>
    <t>19691028 199802 1 001</t>
  </si>
  <si>
    <t>Dr. Ida Ayu Sri Adnyani, ST., MErg.</t>
  </si>
  <si>
    <t>19700823 199802 2 001</t>
  </si>
  <si>
    <t>Ida Bagus Fery Citarsa, ST., MT.</t>
  </si>
  <si>
    <t>19740226 199803 1 004</t>
  </si>
  <si>
    <t>Agung Budi Muljono, ST., MT.</t>
  </si>
  <si>
    <t>19710211 199803 1 002</t>
  </si>
  <si>
    <t>Abdul Natsir, ST., MT.</t>
  </si>
  <si>
    <t>19720509 199803 1 002</t>
  </si>
  <si>
    <t>Abdullah Zainuddin, ST., MT.</t>
  </si>
  <si>
    <t>19721026 199803 1 002</t>
  </si>
  <si>
    <t>A. Sjamsjiar Rachman, ST., MT.</t>
  </si>
  <si>
    <t>19711124 199903 1 004</t>
  </si>
  <si>
    <t>Muhamad Syamsu Iqbal, ST., MT., Ph.D.</t>
  </si>
  <si>
    <t>19720222 199903 1 002</t>
  </si>
  <si>
    <t>Made Sutha Yadnya, ST., MT.</t>
  </si>
  <si>
    <t>19720117 199903 1 001</t>
  </si>
  <si>
    <t>Bulkis Kanata, ST., MT.</t>
  </si>
  <si>
    <t>19730723 199903 2 001</t>
  </si>
  <si>
    <t>Dr. rer.nat. Teti Zubaidah, ST., MT.</t>
  </si>
  <si>
    <t>19741119 199903 2 001</t>
  </si>
  <si>
    <t>I Made Budi Suksmadana, ST., MT.</t>
  </si>
  <si>
    <t>19710426 199903 1 002</t>
  </si>
  <si>
    <t>I Made Ari Nrartha, ST., MT.</t>
  </si>
  <si>
    <t>19730404 199903 1 003</t>
  </si>
  <si>
    <t>Dr. I Made Ginarsa, ST., MT.</t>
  </si>
  <si>
    <t>19700325 199903 1 001</t>
  </si>
  <si>
    <t>Paniran, ST., MT.</t>
  </si>
  <si>
    <t>19710723 199903 1 001</t>
  </si>
  <si>
    <t>Supriono, ST., MT.</t>
  </si>
  <si>
    <t>19711126 199903 1 004</t>
  </si>
  <si>
    <t>Sabar Nababan, ST., MT.</t>
  </si>
  <si>
    <t>19710713 200003 1 001</t>
  </si>
  <si>
    <t>Dr. Rismon H. Sianipar, ST., M.Eng.</t>
  </si>
  <si>
    <t>19770425 200003 1 002</t>
  </si>
  <si>
    <t>Sayidiman, ST., M.Eng</t>
  </si>
  <si>
    <t>19730905 200003 1 002</t>
  </si>
  <si>
    <t>Djulfikry Budiman, ST., MT.</t>
  </si>
  <si>
    <t>19720726 200012 1 001</t>
  </si>
  <si>
    <t>Muhamad Irwan. ST., MT.</t>
  </si>
  <si>
    <t>19810416 200812 1 003</t>
  </si>
  <si>
    <t>L. A. Syamsul Irfan Akbar, ST., M.Eng.</t>
  </si>
  <si>
    <t>19830310 200912 1 004</t>
  </si>
  <si>
    <t>Giri Wahyu Wiriasto, ST., MT.</t>
  </si>
  <si>
    <t>19820904 201012 1 001</t>
  </si>
  <si>
    <t>Suthami Ariessaputra, ST., M.Eng.</t>
  </si>
  <si>
    <t>19850327 201404 1 001</t>
  </si>
  <si>
    <t>Budi Darmawan, ST., M.Eng.</t>
  </si>
  <si>
    <t>19850526 201504 1 002</t>
  </si>
  <si>
    <t>F1B118063</t>
  </si>
  <si>
    <t>Sukirman</t>
  </si>
  <si>
    <t>F1B118064</t>
  </si>
  <si>
    <t>Muhammad Laylul Mustagfirin</t>
  </si>
  <si>
    <t>F1B118065</t>
  </si>
  <si>
    <t>I Gusti Agung Abhirama Wijaya Anggadipa</t>
  </si>
  <si>
    <t>"197210261998031002"</t>
  </si>
  <si>
    <t>"197307231999032001"</t>
  </si>
  <si>
    <t>"197104261999031002"</t>
  </si>
  <si>
    <t>F1B018098</t>
  </si>
  <si>
    <t>Muhammad Adnin Azminda</t>
  </si>
  <si>
    <t>F1B018099</t>
  </si>
  <si>
    <t>Dimas Arya Pratama</t>
  </si>
  <si>
    <t>F1B018100</t>
  </si>
  <si>
    <t>Muhammad</t>
  </si>
  <si>
    <t/>
  </si>
  <si>
    <t>Muhammad Firad, ST.</t>
  </si>
  <si>
    <t>Rosmaliati, ST., MT.</t>
  </si>
  <si>
    <t>I Ketut Perdana Putra, ST., MT.</t>
  </si>
  <si>
    <t>Herry Sulendro Mangiri, ST.</t>
  </si>
  <si>
    <t>Warindi, ST., M.Eng.</t>
  </si>
  <si>
    <t>NR</t>
  </si>
  <si>
    <t>19700202 200112 1 003</t>
  </si>
  <si>
    <t>"197002022001121003"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</si>
</sst>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Segoe UI"/>
      <family val="2"/>
    </font>
    <font>
      <b/>
      <sz val="12"/>
      <color theme="1"/>
      <name val="Arial"/>
      <family val="2"/>
    </font>
    <font>
      <b/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1" xfId="0" applyBorder="1" applyAlignment="1">
      <alignment horizontal="left"/>
    </xf>
    <xf numFmtId="0" fontId="1" fillId="3" borderId="0" xfId="0" applyFont="1" applyFill="1"/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ode%20dosen%20SI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</sheetNames>
    <sheetDataSet>
      <sheetData sheetId="0">
        <row r="6">
          <cell r="A6">
            <v>1</v>
          </cell>
          <cell r="B6">
            <v>132162524</v>
          </cell>
          <cell r="C6" t="str">
            <v>19700320 199702 2 001</v>
          </cell>
          <cell r="D6" t="str">
            <v>0020037003</v>
          </cell>
          <cell r="E6" t="str">
            <v>"197003201997022001"</v>
          </cell>
          <cell r="F6" t="str">
            <v xml:space="preserve">Ni Made Seniari, ST., MT. </v>
          </cell>
        </row>
        <row r="7">
          <cell r="A7">
            <v>2</v>
          </cell>
          <cell r="B7">
            <v>132162525</v>
          </cell>
          <cell r="C7" t="str">
            <v>19710607 199702 1 002</v>
          </cell>
          <cell r="D7" t="str">
            <v>0007067105</v>
          </cell>
          <cell r="E7" t="str">
            <v>"197106071997021002"</v>
          </cell>
          <cell r="F7" t="str">
            <v>Supriyatna, ST., MT.</v>
          </cell>
        </row>
        <row r="8">
          <cell r="A8">
            <v>3</v>
          </cell>
          <cell r="B8">
            <v>132162526</v>
          </cell>
          <cell r="C8" t="str">
            <v>19660424 199702 1 001</v>
          </cell>
          <cell r="D8" t="str">
            <v>0024046605</v>
          </cell>
          <cell r="E8" t="str">
            <v>"196604241997021001"</v>
          </cell>
          <cell r="F8" t="str">
            <v>I Ketut Wiryajati, ST., MT.</v>
          </cell>
        </row>
        <row r="9">
          <cell r="A9">
            <v>4</v>
          </cell>
          <cell r="B9">
            <v>132162528</v>
          </cell>
          <cell r="C9" t="str">
            <v>19690612 199702 1 001</v>
          </cell>
          <cell r="D9" t="str">
            <v>0012066905</v>
          </cell>
          <cell r="E9" t="str">
            <v>"196906121997021001"</v>
          </cell>
          <cell r="F9" t="str">
            <v>Syafaruddin Ch., ST., MT.</v>
          </cell>
        </row>
        <row r="10">
          <cell r="A10">
            <v>5</v>
          </cell>
          <cell r="B10">
            <v>132163849</v>
          </cell>
          <cell r="C10" t="str">
            <v>19671231 199702 1 001</v>
          </cell>
          <cell r="D10" t="str">
            <v>0031126704</v>
          </cell>
          <cell r="E10" t="str">
            <v>"196712311997021001"</v>
          </cell>
          <cell r="F10" t="str">
            <v>Sultan, ST., MT.</v>
          </cell>
        </row>
        <row r="11">
          <cell r="A11">
            <v>6</v>
          </cell>
          <cell r="B11">
            <v>132175610</v>
          </cell>
          <cell r="C11" t="str">
            <v>19670526 199703 1 001</v>
          </cell>
          <cell r="D11" t="str">
            <v>0026056701</v>
          </cell>
          <cell r="E11" t="str">
            <v>"196705261997031001"</v>
          </cell>
          <cell r="F11" t="str">
            <v>Sudi M. Al Sasongko, ST., MT.</v>
          </cell>
        </row>
        <row r="12">
          <cell r="A12">
            <v>7</v>
          </cell>
          <cell r="B12">
            <v>132175615</v>
          </cell>
          <cell r="C12" t="str">
            <v>19681005 199703 1 001</v>
          </cell>
          <cell r="D12" t="str">
            <v>0005106805</v>
          </cell>
          <cell r="E12" t="str">
            <v>"196810051997031001"</v>
          </cell>
          <cell r="F12" t="str">
            <v>Dr. Misbahuddin, ST., MT.</v>
          </cell>
        </row>
        <row r="13">
          <cell r="A13">
            <v>8</v>
          </cell>
          <cell r="B13">
            <v>132205492</v>
          </cell>
          <cell r="C13" t="str">
            <v>19700908 199802 1 001</v>
          </cell>
          <cell r="D13" t="str">
            <v>0008097004</v>
          </cell>
          <cell r="E13" t="str">
            <v>"197009081998021001"</v>
          </cell>
          <cell r="F13" t="str">
            <v>I Nyoman Wahyu S., ST., M.Sc., Ph.D.</v>
          </cell>
        </row>
        <row r="14">
          <cell r="A14">
            <v>9</v>
          </cell>
          <cell r="B14">
            <v>132205502</v>
          </cell>
          <cell r="C14" t="str">
            <v>19691028 199802 1 001</v>
          </cell>
          <cell r="D14" t="str">
            <v>0028106901</v>
          </cell>
          <cell r="E14" t="str">
            <v>"196910281998021001"</v>
          </cell>
          <cell r="F14" t="str">
            <v>Cahyo Mustiko O.M., ST., M.Sc., Ph.D.</v>
          </cell>
        </row>
        <row r="15">
          <cell r="A15">
            <v>10</v>
          </cell>
          <cell r="B15">
            <v>132205503</v>
          </cell>
          <cell r="C15" t="str">
            <v>19700823 199802 2 001</v>
          </cell>
          <cell r="D15" t="str">
            <v>0023087003</v>
          </cell>
          <cell r="E15" t="str">
            <v>"197008231998022001"</v>
          </cell>
          <cell r="F15" t="str">
            <v>Dr. Ida Ayu Sri Adnyani, ST., MErg.</v>
          </cell>
        </row>
        <row r="16">
          <cell r="A16">
            <v>11</v>
          </cell>
          <cell r="B16">
            <v>132210692</v>
          </cell>
          <cell r="C16" t="str">
            <v>19701218 199803 1 003</v>
          </cell>
          <cell r="D16" t="str">
            <v>0018127007</v>
          </cell>
          <cell r="E16" t="str">
            <v>"197012181998031003"</v>
          </cell>
          <cell r="F16" t="str">
            <v>Muhammad Firad, ST.</v>
          </cell>
        </row>
        <row r="17">
          <cell r="A17">
            <v>12</v>
          </cell>
          <cell r="B17">
            <v>132210694</v>
          </cell>
          <cell r="C17" t="str">
            <v>19740226 199803 1 004</v>
          </cell>
          <cell r="D17" t="str">
            <v>0026027405</v>
          </cell>
          <cell r="E17" t="str">
            <v>"197402261998031004"</v>
          </cell>
          <cell r="F17" t="str">
            <v>Ida Bagus Fery Citarsa, ST., MT.</v>
          </cell>
        </row>
        <row r="18">
          <cell r="A18">
            <v>13</v>
          </cell>
          <cell r="B18">
            <v>132210775</v>
          </cell>
          <cell r="C18" t="str">
            <v>19710211 199803 1 002</v>
          </cell>
          <cell r="D18" t="str">
            <v>0011027105</v>
          </cell>
          <cell r="E18" t="str">
            <v>"197102111998031002"</v>
          </cell>
          <cell r="F18" t="str">
            <v>Agung Budi Muljono, ST., MT.</v>
          </cell>
        </row>
        <row r="19">
          <cell r="A19">
            <v>14</v>
          </cell>
          <cell r="B19">
            <v>132210777</v>
          </cell>
          <cell r="C19" t="str">
            <v>19720509 199803 1 002</v>
          </cell>
          <cell r="D19" t="str">
            <v>0009057201</v>
          </cell>
          <cell r="E19" t="str">
            <v>"197205091998031002"</v>
          </cell>
          <cell r="F19" t="str">
            <v>Abdul Natsir, ST., MT.</v>
          </cell>
        </row>
        <row r="20">
          <cell r="A20">
            <v>15</v>
          </cell>
          <cell r="B20">
            <v>132213850</v>
          </cell>
          <cell r="C20" t="str">
            <v>19721026 199803 1 002</v>
          </cell>
          <cell r="D20" t="str">
            <v>0026107201</v>
          </cell>
          <cell r="E20" t="str">
            <v>"197210261998031002"</v>
          </cell>
          <cell r="F20" t="str">
            <v>Abdullah Zainuddin, ST., MT.</v>
          </cell>
        </row>
        <row r="21">
          <cell r="A21">
            <v>16</v>
          </cell>
          <cell r="B21">
            <v>132213851</v>
          </cell>
          <cell r="C21" t="str">
            <v>19680717 199803 2 002</v>
          </cell>
          <cell r="D21" t="str">
            <v>0017076807</v>
          </cell>
          <cell r="E21" t="str">
            <v>"196807171998032002"</v>
          </cell>
          <cell r="F21" t="str">
            <v>Rosmaliati, ST., MT.</v>
          </cell>
        </row>
        <row r="22">
          <cell r="A22">
            <v>17</v>
          </cell>
          <cell r="B22">
            <v>132231578</v>
          </cell>
          <cell r="C22" t="str">
            <v>19711124 199903 1 004</v>
          </cell>
          <cell r="D22" t="str">
            <v>0024117102</v>
          </cell>
          <cell r="E22" t="str">
            <v>"197111241999031004"</v>
          </cell>
          <cell r="F22" t="str">
            <v>A. Sjamsjiar Rachman, ST., MT.</v>
          </cell>
        </row>
        <row r="23">
          <cell r="A23">
            <v>18</v>
          </cell>
          <cell r="B23">
            <v>132233157</v>
          </cell>
          <cell r="C23" t="str">
            <v>19720222 199903 1 002</v>
          </cell>
          <cell r="D23" t="str">
            <v>0022027205</v>
          </cell>
          <cell r="E23" t="str">
            <v>"197202221999031002"</v>
          </cell>
          <cell r="F23" t="str">
            <v>Muhamad Syamsu Iqbal, ST., MT., Ph.D.</v>
          </cell>
        </row>
        <row r="24">
          <cell r="A24">
            <v>19</v>
          </cell>
          <cell r="B24">
            <v>132233158</v>
          </cell>
          <cell r="C24" t="str">
            <v>19720117 199903 1 001</v>
          </cell>
          <cell r="D24" t="str">
            <v>0017017203</v>
          </cell>
          <cell r="E24" t="str">
            <v>"197201171999031001"</v>
          </cell>
          <cell r="F24" t="str">
            <v>Made Sutha Yadnya, ST., MT.</v>
          </cell>
        </row>
        <row r="25">
          <cell r="A25">
            <v>20</v>
          </cell>
          <cell r="B25">
            <v>132240252</v>
          </cell>
          <cell r="C25" t="str">
            <v>19730723 199903 2 001</v>
          </cell>
          <cell r="D25" t="str">
            <v>0023077310</v>
          </cell>
          <cell r="E25" t="str">
            <v>"197307231999032001"</v>
          </cell>
          <cell r="F25" t="str">
            <v>Bulkis Kanata, ST., MT.</v>
          </cell>
        </row>
        <row r="26">
          <cell r="A26">
            <v>21</v>
          </cell>
          <cell r="B26">
            <v>132240253</v>
          </cell>
          <cell r="C26" t="str">
            <v>19741119 199903 2 001</v>
          </cell>
          <cell r="D26" t="str">
            <v>0019117407</v>
          </cell>
          <cell r="E26" t="str">
            <v>"197411191999032001"</v>
          </cell>
          <cell r="F26" t="str">
            <v>Dr. rer.nat. Teti Zubaidah, ST., MT.</v>
          </cell>
        </row>
        <row r="27">
          <cell r="A27">
            <v>22</v>
          </cell>
          <cell r="B27">
            <v>132240257</v>
          </cell>
          <cell r="C27" t="str">
            <v>19730210 199903 1 001</v>
          </cell>
          <cell r="D27" t="str">
            <v>0010027301</v>
          </cell>
          <cell r="E27" t="str">
            <v>"197302101999031001"</v>
          </cell>
          <cell r="F27" t="str">
            <v>I Ketut Perdana Putra, ST., MT.</v>
          </cell>
        </row>
        <row r="28">
          <cell r="A28">
            <v>23</v>
          </cell>
          <cell r="B28">
            <v>132240259</v>
          </cell>
          <cell r="C28" t="str">
            <v>19710426 199903 1 002</v>
          </cell>
          <cell r="D28" t="str">
            <v>0026047105</v>
          </cell>
          <cell r="E28" t="str">
            <v>"197104261999031002"</v>
          </cell>
          <cell r="F28" t="str">
            <v>I Made Budi Suksmadana, ST., MT.</v>
          </cell>
        </row>
        <row r="29">
          <cell r="A29">
            <v>24</v>
          </cell>
          <cell r="B29">
            <v>132240264</v>
          </cell>
          <cell r="C29" t="str">
            <v>19730404 199903 1 003</v>
          </cell>
          <cell r="D29" t="str">
            <v>0004047303</v>
          </cell>
          <cell r="E29" t="str">
            <v>"197304041999031003"</v>
          </cell>
          <cell r="F29" t="str">
            <v>I Made Ari Nrartha, ST., MT.</v>
          </cell>
        </row>
        <row r="30">
          <cell r="A30">
            <v>25</v>
          </cell>
          <cell r="B30">
            <v>132240265</v>
          </cell>
          <cell r="C30" t="str">
            <v>19700325 199903 1 001</v>
          </cell>
          <cell r="D30" t="str">
            <v>0025037004</v>
          </cell>
          <cell r="E30" t="str">
            <v>"197003251999031001"</v>
          </cell>
          <cell r="F30" t="str">
            <v>Dr. I Made Ginarsa, ST., MT.</v>
          </cell>
        </row>
        <row r="31">
          <cell r="A31">
            <v>26</v>
          </cell>
          <cell r="B31">
            <v>132240267</v>
          </cell>
          <cell r="C31" t="str">
            <v>19710723 199903 1 001</v>
          </cell>
          <cell r="D31" t="str">
            <v>0023077104</v>
          </cell>
          <cell r="E31" t="str">
            <v>"197107231999031001"</v>
          </cell>
          <cell r="F31" t="str">
            <v>Paniran, ST., MT.</v>
          </cell>
        </row>
        <row r="32">
          <cell r="A32">
            <v>27</v>
          </cell>
          <cell r="B32">
            <v>132240268</v>
          </cell>
          <cell r="C32" t="str">
            <v>19711126 199903 1 004</v>
          </cell>
          <cell r="D32" t="str">
            <v>0026117102</v>
          </cell>
          <cell r="E32" t="str">
            <v>"197111261999031004"</v>
          </cell>
          <cell r="F32" t="str">
            <v>Supriono, ST., MT.</v>
          </cell>
        </row>
        <row r="33">
          <cell r="A33">
            <v>28</v>
          </cell>
          <cell r="B33">
            <v>132258121</v>
          </cell>
          <cell r="C33" t="str">
            <v>19710713 200003 1 001</v>
          </cell>
          <cell r="D33" t="str">
            <v>0013077104</v>
          </cell>
          <cell r="E33" t="str">
            <v>"197107132000031001"</v>
          </cell>
          <cell r="F33" t="str">
            <v>Sabar Nababan, ST., MT.</v>
          </cell>
        </row>
        <row r="34">
          <cell r="A34">
            <v>29</v>
          </cell>
          <cell r="B34">
            <v>132262162</v>
          </cell>
          <cell r="C34" t="str">
            <v>19770425 200003 1 002</v>
          </cell>
          <cell r="D34" t="str">
            <v>0025047703</v>
          </cell>
          <cell r="E34" t="str">
            <v>"197704252000031002"</v>
          </cell>
          <cell r="F34" t="str">
            <v>Dr. Rismon H. Sianipar, ST., M.Eng.</v>
          </cell>
        </row>
        <row r="35">
          <cell r="A35">
            <v>30</v>
          </cell>
          <cell r="B35">
            <v>132262164</v>
          </cell>
          <cell r="C35" t="str">
            <v>19730905 200003 1 002</v>
          </cell>
          <cell r="D35" t="str">
            <v>0005097305</v>
          </cell>
          <cell r="E35" t="str">
            <v>"197309052000031002"</v>
          </cell>
          <cell r="F35" t="str">
            <v>Sayidiman, ST., M.Eng</v>
          </cell>
        </row>
        <row r="36">
          <cell r="A36">
            <v>31</v>
          </cell>
          <cell r="B36">
            <v>132283012</v>
          </cell>
          <cell r="C36" t="str">
            <v>19720729 200012 1 001</v>
          </cell>
          <cell r="D36" t="str">
            <v>0029077204</v>
          </cell>
          <cell r="E36" t="str">
            <v>"197207262000121001"</v>
          </cell>
          <cell r="F36" t="str">
            <v>Djul Fikry Budiman, ST., MT.</v>
          </cell>
        </row>
        <row r="37">
          <cell r="A37">
            <v>32</v>
          </cell>
          <cell r="B37">
            <v>132296860</v>
          </cell>
          <cell r="C37" t="str">
            <v>19700428 200112 1 001</v>
          </cell>
          <cell r="D37" t="str">
            <v>0028047004</v>
          </cell>
          <cell r="E37" t="str">
            <v>"197004282001121001"</v>
          </cell>
          <cell r="F37" t="str">
            <v>Herry Sulendro Mangiri, ST.</v>
          </cell>
        </row>
        <row r="38">
          <cell r="A38">
            <v>33</v>
          </cell>
          <cell r="B38">
            <v>132297885</v>
          </cell>
          <cell r="C38" t="str">
            <v>19700202 200112 1 003</v>
          </cell>
          <cell r="D38" t="str">
            <v>0002027009</v>
          </cell>
          <cell r="E38" t="str">
            <v>"197002022001121003"</v>
          </cell>
          <cell r="F38" t="str">
            <v>Dr. Warindi, ST., M.Eng.</v>
          </cell>
        </row>
        <row r="39">
          <cell r="A39">
            <v>34</v>
          </cell>
          <cell r="B39">
            <v>1</v>
          </cell>
          <cell r="C39" t="str">
            <v>19810416 200812 1 003</v>
          </cell>
          <cell r="D39" t="str">
            <v>0016048107</v>
          </cell>
          <cell r="E39" t="str">
            <v>"198104162008121003"</v>
          </cell>
          <cell r="F39" t="str">
            <v>Muhamad Irwan. ST., MT.</v>
          </cell>
        </row>
        <row r="40">
          <cell r="A40">
            <v>35</v>
          </cell>
          <cell r="B40">
            <v>2</v>
          </cell>
          <cell r="C40" t="str">
            <v>19830310 200912 1 004</v>
          </cell>
          <cell r="D40" t="str">
            <v>0010038303</v>
          </cell>
          <cell r="E40" t="str">
            <v>"198303102009121004"</v>
          </cell>
          <cell r="F40" t="str">
            <v>L. A. Syamsul Irfan Akbar, ST., M.Eng.</v>
          </cell>
        </row>
        <row r="41">
          <cell r="A41">
            <v>36</v>
          </cell>
          <cell r="B41">
            <v>3</v>
          </cell>
          <cell r="C41" t="str">
            <v>19820904 201012 1 001</v>
          </cell>
          <cell r="D41" t="str">
            <v>0004098205</v>
          </cell>
          <cell r="E41" t="str">
            <v>"198209042010121001"</v>
          </cell>
          <cell r="F41" t="str">
            <v>Giri Wahyu Wiriasto, ST., MT.</v>
          </cell>
        </row>
        <row r="42">
          <cell r="A42">
            <v>37</v>
          </cell>
          <cell r="B42">
            <v>4</v>
          </cell>
          <cell r="C42" t="str">
            <v>19850327 201404 1 001</v>
          </cell>
          <cell r="D42" t="str">
            <v>0827038501</v>
          </cell>
          <cell r="E42" t="str">
            <v>"198503272014041001"</v>
          </cell>
          <cell r="F42" t="str">
            <v>Suthami Ariessaputra, ST., M.Eng.</v>
          </cell>
        </row>
        <row r="43">
          <cell r="A43">
            <v>38</v>
          </cell>
          <cell r="B43">
            <v>5</v>
          </cell>
          <cell r="C43" t="str">
            <v>19850526 201504 1 002</v>
          </cell>
          <cell r="E43" t="str">
            <v>"198505262015041002"</v>
          </cell>
          <cell r="F43" t="str">
            <v>Budi Darmawan, ST., M.Eng.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tabSelected="1" topLeftCell="A97" workbookViewId="0">
      <selection activeCell="D6" sqref="D6:D105"/>
    </sheetView>
  </sheetViews>
  <sheetFormatPr defaultRowHeight="15"/>
  <cols>
    <col min="1" max="1" width="5.5703125" style="1" customWidth="1"/>
    <col min="2" max="2" width="13.42578125" style="4" bestFit="1" customWidth="1"/>
    <col min="3" max="3" width="43.7109375" style="1" customWidth="1"/>
    <col min="4" max="4" width="42.140625" style="1" bestFit="1" customWidth="1"/>
    <col min="5" max="5" width="26.7109375" style="1" bestFit="1" customWidth="1"/>
    <col min="6" max="8" width="9.140625" style="1"/>
    <col min="9" max="9" width="31.42578125" style="1" bestFit="1" customWidth="1"/>
    <col min="10" max="16384" width="9.140625" style="1"/>
  </cols>
  <sheetData>
    <row r="1" spans="1:9" s="5" customFormat="1" ht="20.25">
      <c r="A1" s="18" t="s">
        <v>320</v>
      </c>
      <c r="B1" s="18"/>
      <c r="C1" s="18"/>
      <c r="D1" s="18"/>
      <c r="E1" s="18"/>
    </row>
    <row r="2" spans="1:9" s="5" customFormat="1" ht="20.25">
      <c r="A2" s="18" t="s">
        <v>321</v>
      </c>
      <c r="B2" s="18"/>
      <c r="C2" s="18"/>
      <c r="D2" s="18"/>
      <c r="E2" s="18"/>
    </row>
    <row r="3" spans="1:9" s="5" customFormat="1" ht="20.25">
      <c r="A3" s="18" t="s">
        <v>325</v>
      </c>
      <c r="B3" s="18"/>
      <c r="C3" s="18"/>
      <c r="D3" s="18"/>
      <c r="E3" s="18"/>
    </row>
    <row r="4" spans="1:9" s="5" customFormat="1">
      <c r="A4" s="6"/>
      <c r="B4" s="6"/>
      <c r="C4" s="8"/>
      <c r="D4" s="8"/>
      <c r="E4" s="8"/>
    </row>
    <row r="5" spans="1:9" s="5" customFormat="1" ht="21.75" customHeight="1">
      <c r="A5" s="7" t="s">
        <v>238</v>
      </c>
      <c r="B5" s="7" t="s">
        <v>237</v>
      </c>
      <c r="C5" s="7" t="s">
        <v>239</v>
      </c>
      <c r="D5" s="7" t="s">
        <v>322</v>
      </c>
      <c r="E5" s="7" t="s">
        <v>323</v>
      </c>
    </row>
    <row r="6" spans="1:9">
      <c r="A6" s="2">
        <v>1</v>
      </c>
      <c r="B6" s="2" t="s">
        <v>236</v>
      </c>
      <c r="C6" s="3" t="s">
        <v>235</v>
      </c>
      <c r="D6" s="3" t="s">
        <v>330</v>
      </c>
      <c r="E6" s="3" t="s">
        <v>331</v>
      </c>
      <c r="G6" s="1">
        <v>1</v>
      </c>
      <c r="I6" s="1" t="str">
        <f>VLOOKUP(G6,[1]Sheet2!$A$6:$F$43,5,0)</f>
        <v>"197003201997022001"</v>
      </c>
    </row>
    <row r="7" spans="1:9">
      <c r="A7" s="2">
        <f>A6+1</f>
        <v>2</v>
      </c>
      <c r="B7" s="2" t="s">
        <v>234</v>
      </c>
      <c r="C7" s="3" t="s">
        <v>233</v>
      </c>
      <c r="D7" s="3" t="s">
        <v>330</v>
      </c>
      <c r="E7" s="3" t="s">
        <v>331</v>
      </c>
      <c r="G7" s="1">
        <f>G6</f>
        <v>1</v>
      </c>
      <c r="I7" s="1" t="str">
        <f>VLOOKUP(G7,[1]Sheet2!$A$6:$F$43,5,0)</f>
        <v>"197003201997022001"</v>
      </c>
    </row>
    <row r="8" spans="1:9">
      <c r="A8" s="2">
        <f t="shared" ref="A8:A71" si="0">A7+1</f>
        <v>3</v>
      </c>
      <c r="B8" s="2" t="s">
        <v>232</v>
      </c>
      <c r="C8" s="3" t="s">
        <v>231</v>
      </c>
      <c r="D8" s="3" t="s">
        <v>330</v>
      </c>
      <c r="E8" s="3" t="s">
        <v>331</v>
      </c>
      <c r="G8" s="1">
        <f t="shared" ref="G8:G47" si="1">G7</f>
        <v>1</v>
      </c>
      <c r="I8" s="1" t="str">
        <f>VLOOKUP(G8,[1]Sheet2!$A$6:$F$43,5,0)</f>
        <v>"197003201997022001"</v>
      </c>
    </row>
    <row r="9" spans="1:9">
      <c r="A9" s="2">
        <f t="shared" si="0"/>
        <v>4</v>
      </c>
      <c r="B9" s="2" t="s">
        <v>230</v>
      </c>
      <c r="C9" s="3" t="s">
        <v>229</v>
      </c>
      <c r="D9" s="3" t="s">
        <v>332</v>
      </c>
      <c r="E9" s="3" t="s">
        <v>333</v>
      </c>
      <c r="G9" s="1">
        <v>2</v>
      </c>
      <c r="I9" s="1" t="str">
        <f>VLOOKUP(G9,[1]Sheet2!$A$6:$F$43,5,0)</f>
        <v>"197106071997021002"</v>
      </c>
    </row>
    <row r="10" spans="1:9">
      <c r="A10" s="2">
        <f t="shared" si="0"/>
        <v>5</v>
      </c>
      <c r="B10" s="2" t="s">
        <v>228</v>
      </c>
      <c r="C10" s="3" t="s">
        <v>274</v>
      </c>
      <c r="D10" s="3" t="s">
        <v>332</v>
      </c>
      <c r="E10" s="3" t="s">
        <v>333</v>
      </c>
      <c r="G10" s="1">
        <f t="shared" si="1"/>
        <v>2</v>
      </c>
      <c r="I10" s="1" t="str">
        <f>VLOOKUP(G10,[1]Sheet2!$A$6:$F$43,5,0)</f>
        <v>"197106071997021002"</v>
      </c>
    </row>
    <row r="11" spans="1:9">
      <c r="A11" s="2">
        <f t="shared" si="0"/>
        <v>6</v>
      </c>
      <c r="B11" s="2" t="s">
        <v>227</v>
      </c>
      <c r="C11" s="3" t="s">
        <v>275</v>
      </c>
      <c r="D11" s="3" t="s">
        <v>332</v>
      </c>
      <c r="E11" s="3" t="s">
        <v>333</v>
      </c>
      <c r="G11" s="1">
        <f t="shared" si="1"/>
        <v>2</v>
      </c>
      <c r="I11" s="1" t="str">
        <f>VLOOKUP(G11,[1]Sheet2!$A$6:$F$43,5,0)</f>
        <v>"197106071997021002"</v>
      </c>
    </row>
    <row r="12" spans="1:9">
      <c r="A12" s="2">
        <f t="shared" si="0"/>
        <v>7</v>
      </c>
      <c r="B12" s="2" t="s">
        <v>226</v>
      </c>
      <c r="C12" s="3" t="s">
        <v>225</v>
      </c>
      <c r="D12" s="3" t="s">
        <v>334</v>
      </c>
      <c r="E12" s="3" t="s">
        <v>335</v>
      </c>
      <c r="G12" s="1">
        <v>3</v>
      </c>
      <c r="I12" s="1" t="str">
        <f>VLOOKUP(G12,[1]Sheet2!$A$6:$F$43,5,0)</f>
        <v>"196604241997021001"</v>
      </c>
    </row>
    <row r="13" spans="1:9">
      <c r="A13" s="2">
        <f t="shared" si="0"/>
        <v>8</v>
      </c>
      <c r="B13" s="2" t="s">
        <v>224</v>
      </c>
      <c r="C13" s="3" t="s">
        <v>223</v>
      </c>
      <c r="D13" s="3" t="s">
        <v>334</v>
      </c>
      <c r="E13" s="3" t="s">
        <v>335</v>
      </c>
      <c r="G13" s="1">
        <f t="shared" si="1"/>
        <v>3</v>
      </c>
      <c r="I13" s="1" t="str">
        <f>VLOOKUP(G13,[1]Sheet2!$A$6:$F$43,5,0)</f>
        <v>"196604241997021001"</v>
      </c>
    </row>
    <row r="14" spans="1:9">
      <c r="A14" s="2">
        <f t="shared" si="0"/>
        <v>9</v>
      </c>
      <c r="B14" s="2" t="s">
        <v>222</v>
      </c>
      <c r="C14" s="3" t="s">
        <v>276</v>
      </c>
      <c r="D14" s="3" t="s">
        <v>334</v>
      </c>
      <c r="E14" s="3" t="s">
        <v>335</v>
      </c>
      <c r="G14" s="1">
        <f t="shared" si="1"/>
        <v>3</v>
      </c>
      <c r="I14" s="1" t="str">
        <f>VLOOKUP(G14,[1]Sheet2!$A$6:$F$43,5,0)</f>
        <v>"196604241997021001"</v>
      </c>
    </row>
    <row r="15" spans="1:9">
      <c r="A15" s="2">
        <f t="shared" si="0"/>
        <v>10</v>
      </c>
      <c r="B15" s="2" t="s">
        <v>221</v>
      </c>
      <c r="C15" s="3" t="s">
        <v>220</v>
      </c>
      <c r="D15" s="3" t="s">
        <v>336</v>
      </c>
      <c r="E15" s="3" t="s">
        <v>337</v>
      </c>
      <c r="G15" s="1">
        <v>4</v>
      </c>
      <c r="I15" s="1" t="str">
        <f>VLOOKUP(G15,[1]Sheet2!$A$6:$F$43,5,0)</f>
        <v>"196906121997021001"</v>
      </c>
    </row>
    <row r="16" spans="1:9">
      <c r="A16" s="2">
        <f t="shared" si="0"/>
        <v>11</v>
      </c>
      <c r="B16" s="2" t="s">
        <v>219</v>
      </c>
      <c r="C16" s="3" t="s">
        <v>218</v>
      </c>
      <c r="D16" s="3" t="s">
        <v>336</v>
      </c>
      <c r="E16" s="3" t="s">
        <v>337</v>
      </c>
      <c r="G16" s="1">
        <f t="shared" si="1"/>
        <v>4</v>
      </c>
      <c r="I16" s="1" t="str">
        <f>VLOOKUP(G16,[1]Sheet2!$A$6:$F$43,5,0)</f>
        <v>"196906121997021001"</v>
      </c>
    </row>
    <row r="17" spans="1:9">
      <c r="A17" s="2">
        <f t="shared" si="0"/>
        <v>12</v>
      </c>
      <c r="B17" s="2" t="s">
        <v>217</v>
      </c>
      <c r="C17" s="3" t="s">
        <v>277</v>
      </c>
      <c r="D17" s="3" t="s">
        <v>336</v>
      </c>
      <c r="E17" s="3" t="s">
        <v>337</v>
      </c>
      <c r="G17" s="1">
        <f t="shared" si="1"/>
        <v>4</v>
      </c>
      <c r="I17" s="1" t="str">
        <f>VLOOKUP(G17,[1]Sheet2!$A$6:$F$43,5,0)</f>
        <v>"196906121997021001"</v>
      </c>
    </row>
    <row r="18" spans="1:9">
      <c r="A18" s="2">
        <f t="shared" si="0"/>
        <v>13</v>
      </c>
      <c r="B18" s="2" t="s">
        <v>216</v>
      </c>
      <c r="C18" s="3" t="s">
        <v>215</v>
      </c>
      <c r="D18" s="3" t="s">
        <v>338</v>
      </c>
      <c r="E18" s="3" t="s">
        <v>339</v>
      </c>
      <c r="G18" s="1">
        <v>5</v>
      </c>
      <c r="I18" s="1" t="str">
        <f>VLOOKUP(G18,[1]Sheet2!$A$6:$F$43,5,0)</f>
        <v>"196712311997021001"</v>
      </c>
    </row>
    <row r="19" spans="1:9">
      <c r="A19" s="2">
        <f t="shared" si="0"/>
        <v>14</v>
      </c>
      <c r="B19" s="2" t="s">
        <v>214</v>
      </c>
      <c r="C19" s="3" t="s">
        <v>278</v>
      </c>
      <c r="D19" s="3" t="s">
        <v>338</v>
      </c>
      <c r="E19" s="3" t="s">
        <v>339</v>
      </c>
      <c r="G19" s="1">
        <f t="shared" si="1"/>
        <v>5</v>
      </c>
      <c r="I19" s="1" t="str">
        <f>VLOOKUP(G19,[1]Sheet2!$A$6:$F$43,5,0)</f>
        <v>"196712311997021001"</v>
      </c>
    </row>
    <row r="20" spans="1:9">
      <c r="A20" s="2">
        <f t="shared" si="0"/>
        <v>15</v>
      </c>
      <c r="B20" s="2" t="s">
        <v>213</v>
      </c>
      <c r="C20" s="3" t="s">
        <v>212</v>
      </c>
      <c r="D20" s="3" t="s">
        <v>338</v>
      </c>
      <c r="E20" s="3" t="s">
        <v>339</v>
      </c>
      <c r="G20" s="1">
        <f t="shared" si="1"/>
        <v>5</v>
      </c>
      <c r="I20" s="1" t="str">
        <f>VLOOKUP(G20,[1]Sheet2!$A$6:$F$43,5,0)</f>
        <v>"196712311997021001"</v>
      </c>
    </row>
    <row r="21" spans="1:9">
      <c r="A21" s="2">
        <f t="shared" si="0"/>
        <v>16</v>
      </c>
      <c r="B21" s="2" t="s">
        <v>211</v>
      </c>
      <c r="C21" s="3" t="s">
        <v>210</v>
      </c>
      <c r="D21" s="3" t="s">
        <v>340</v>
      </c>
      <c r="E21" s="3" t="s">
        <v>341</v>
      </c>
      <c r="G21" s="1">
        <v>6</v>
      </c>
      <c r="I21" s="1" t="str">
        <f>VLOOKUP(G21,[1]Sheet2!$A$6:$F$43,5,0)</f>
        <v>"196705261997031001"</v>
      </c>
    </row>
    <row r="22" spans="1:9">
      <c r="A22" s="2">
        <f t="shared" si="0"/>
        <v>17</v>
      </c>
      <c r="B22" s="2" t="s">
        <v>209</v>
      </c>
      <c r="C22" s="3" t="s">
        <v>208</v>
      </c>
      <c r="D22" s="3" t="s">
        <v>340</v>
      </c>
      <c r="E22" s="3" t="s">
        <v>341</v>
      </c>
      <c r="G22" s="1">
        <v>6</v>
      </c>
      <c r="I22" s="1" t="str">
        <f>VLOOKUP(G22,[1]Sheet2!$A$6:$F$43,5,0)</f>
        <v>"196705261997031001"</v>
      </c>
    </row>
    <row r="23" spans="1:9">
      <c r="A23" s="2">
        <f t="shared" si="0"/>
        <v>18</v>
      </c>
      <c r="B23" s="2" t="s">
        <v>207</v>
      </c>
      <c r="C23" s="3" t="s">
        <v>279</v>
      </c>
      <c r="D23" s="3" t="s">
        <v>340</v>
      </c>
      <c r="E23" s="3" t="s">
        <v>341</v>
      </c>
      <c r="G23" s="1">
        <f t="shared" si="1"/>
        <v>6</v>
      </c>
      <c r="I23" s="1" t="str">
        <f>VLOOKUP(G23,[1]Sheet2!$A$6:$F$43,5,0)</f>
        <v>"196705261997031001"</v>
      </c>
    </row>
    <row r="24" spans="1:9">
      <c r="A24" s="2">
        <f t="shared" si="0"/>
        <v>19</v>
      </c>
      <c r="B24" s="2" t="s">
        <v>206</v>
      </c>
      <c r="C24" s="3" t="s">
        <v>280</v>
      </c>
      <c r="D24" s="3" t="s">
        <v>342</v>
      </c>
      <c r="E24" s="3" t="s">
        <v>343</v>
      </c>
      <c r="G24" s="1">
        <v>7</v>
      </c>
      <c r="I24" s="1" t="str">
        <f>VLOOKUP(G24,[1]Sheet2!$A$6:$F$43,5,0)</f>
        <v>"196810051997031001"</v>
      </c>
    </row>
    <row r="25" spans="1:9">
      <c r="A25" s="2">
        <f t="shared" si="0"/>
        <v>20</v>
      </c>
      <c r="B25" s="2" t="s">
        <v>205</v>
      </c>
      <c r="C25" s="3" t="s">
        <v>281</v>
      </c>
      <c r="D25" s="3" t="s">
        <v>342</v>
      </c>
      <c r="E25" s="3" t="s">
        <v>343</v>
      </c>
      <c r="G25" s="1">
        <f t="shared" si="1"/>
        <v>7</v>
      </c>
      <c r="I25" s="1" t="str">
        <f>VLOOKUP(G25,[1]Sheet2!$A$6:$F$43,5,0)</f>
        <v>"196810051997031001"</v>
      </c>
    </row>
    <row r="26" spans="1:9">
      <c r="A26" s="2">
        <f t="shared" si="0"/>
        <v>21</v>
      </c>
      <c r="B26" s="2" t="s">
        <v>204</v>
      </c>
      <c r="C26" s="3" t="s">
        <v>282</v>
      </c>
      <c r="D26" s="3" t="s">
        <v>342</v>
      </c>
      <c r="E26" s="3" t="s">
        <v>343</v>
      </c>
      <c r="G26" s="1">
        <f t="shared" si="1"/>
        <v>7</v>
      </c>
      <c r="I26" s="1" t="str">
        <f>VLOOKUP(G26,[1]Sheet2!$A$6:$F$43,5,0)</f>
        <v>"196810051997031001"</v>
      </c>
    </row>
    <row r="27" spans="1:9">
      <c r="A27" s="2">
        <f t="shared" si="0"/>
        <v>22</v>
      </c>
      <c r="B27" s="2" t="s">
        <v>203</v>
      </c>
      <c r="C27" s="3" t="s">
        <v>202</v>
      </c>
      <c r="D27" s="3" t="s">
        <v>344</v>
      </c>
      <c r="E27" s="3" t="s">
        <v>345</v>
      </c>
      <c r="G27" s="1">
        <v>8</v>
      </c>
      <c r="I27" s="1" t="str">
        <f>VLOOKUP(G27,[1]Sheet2!$A$6:$F$43,5,0)</f>
        <v>"197009081998021001"</v>
      </c>
    </row>
    <row r="28" spans="1:9">
      <c r="A28" s="2">
        <f t="shared" si="0"/>
        <v>23</v>
      </c>
      <c r="B28" s="2" t="s">
        <v>201</v>
      </c>
      <c r="C28" s="3" t="s">
        <v>283</v>
      </c>
      <c r="D28" s="3" t="s">
        <v>344</v>
      </c>
      <c r="E28" s="3" t="s">
        <v>345</v>
      </c>
      <c r="G28" s="1">
        <f t="shared" si="1"/>
        <v>8</v>
      </c>
      <c r="I28" s="1" t="str">
        <f>VLOOKUP(G28,[1]Sheet2!$A$6:$F$43,5,0)</f>
        <v>"197009081998021001"</v>
      </c>
    </row>
    <row r="29" spans="1:9">
      <c r="A29" s="2">
        <f t="shared" si="0"/>
        <v>24</v>
      </c>
      <c r="B29" s="2" t="s">
        <v>200</v>
      </c>
      <c r="C29" s="3" t="s">
        <v>284</v>
      </c>
      <c r="D29" s="3" t="s">
        <v>344</v>
      </c>
      <c r="E29" s="3" t="s">
        <v>345</v>
      </c>
      <c r="G29" s="1">
        <f t="shared" si="1"/>
        <v>8</v>
      </c>
      <c r="I29" s="1" t="str">
        <f>VLOOKUP(G29,[1]Sheet2!$A$6:$F$43,5,0)</f>
        <v>"197009081998021001"</v>
      </c>
    </row>
    <row r="30" spans="1:9">
      <c r="A30" s="2">
        <f t="shared" si="0"/>
        <v>25</v>
      </c>
      <c r="B30" s="2" t="s">
        <v>199</v>
      </c>
      <c r="C30" s="3" t="s">
        <v>285</v>
      </c>
      <c r="D30" s="3" t="s">
        <v>346</v>
      </c>
      <c r="E30" s="3" t="s">
        <v>347</v>
      </c>
      <c r="G30" s="1">
        <v>9</v>
      </c>
      <c r="I30" s="1" t="str">
        <f>VLOOKUP(G30,[1]Sheet2!$A$6:$F$43,5,0)</f>
        <v>"196910281998021001"</v>
      </c>
    </row>
    <row r="31" spans="1:9">
      <c r="A31" s="2">
        <f t="shared" si="0"/>
        <v>26</v>
      </c>
      <c r="B31" s="2" t="s">
        <v>198</v>
      </c>
      <c r="C31" s="3" t="s">
        <v>197</v>
      </c>
      <c r="D31" s="3" t="s">
        <v>346</v>
      </c>
      <c r="E31" s="3" t="s">
        <v>347</v>
      </c>
      <c r="G31" s="1">
        <f t="shared" si="1"/>
        <v>9</v>
      </c>
      <c r="I31" s="1" t="str">
        <f>VLOOKUP(G31,[1]Sheet2!$A$6:$F$43,5,0)</f>
        <v>"196910281998021001"</v>
      </c>
    </row>
    <row r="32" spans="1:9">
      <c r="A32" s="2">
        <f t="shared" si="0"/>
        <v>27</v>
      </c>
      <c r="B32" s="2" t="s">
        <v>196</v>
      </c>
      <c r="C32" s="3" t="s">
        <v>286</v>
      </c>
      <c r="D32" s="3" t="s">
        <v>346</v>
      </c>
      <c r="E32" s="3" t="s">
        <v>347</v>
      </c>
      <c r="G32" s="1">
        <f t="shared" si="1"/>
        <v>9</v>
      </c>
      <c r="I32" s="1" t="str">
        <f>VLOOKUP(G32,[1]Sheet2!$A$6:$F$43,5,0)</f>
        <v>"196910281998021001"</v>
      </c>
    </row>
    <row r="33" spans="1:9">
      <c r="A33" s="2">
        <f t="shared" si="0"/>
        <v>28</v>
      </c>
      <c r="B33" s="2" t="s">
        <v>195</v>
      </c>
      <c r="C33" s="3" t="s">
        <v>287</v>
      </c>
      <c r="D33" s="3" t="s">
        <v>348</v>
      </c>
      <c r="E33" s="3" t="s">
        <v>349</v>
      </c>
      <c r="G33" s="1">
        <v>10</v>
      </c>
      <c r="I33" s="1" t="str">
        <f>VLOOKUP(G33,[1]Sheet2!$A$6:$F$43,5,0)</f>
        <v>"197008231998022001"</v>
      </c>
    </row>
    <row r="34" spans="1:9">
      <c r="A34" s="2">
        <f t="shared" si="0"/>
        <v>29</v>
      </c>
      <c r="B34" s="2" t="s">
        <v>194</v>
      </c>
      <c r="C34" s="3" t="s">
        <v>193</v>
      </c>
      <c r="D34" s="3" t="s">
        <v>348</v>
      </c>
      <c r="E34" s="3" t="s">
        <v>349</v>
      </c>
      <c r="G34" s="1">
        <f t="shared" si="1"/>
        <v>10</v>
      </c>
      <c r="I34" s="1" t="str">
        <f>VLOOKUP(G34,[1]Sheet2!$A$6:$F$43,5,0)</f>
        <v>"197008231998022001"</v>
      </c>
    </row>
    <row r="35" spans="1:9">
      <c r="A35" s="2">
        <f t="shared" si="0"/>
        <v>30</v>
      </c>
      <c r="B35" s="2" t="s">
        <v>192</v>
      </c>
      <c r="C35" s="3" t="s">
        <v>288</v>
      </c>
      <c r="D35" s="3" t="s">
        <v>348</v>
      </c>
      <c r="E35" s="3" t="s">
        <v>349</v>
      </c>
      <c r="G35" s="1">
        <f t="shared" si="1"/>
        <v>10</v>
      </c>
      <c r="I35" s="1" t="str">
        <f>VLOOKUP(G35,[1]Sheet2!$A$6:$F$43,5,0)</f>
        <v>"197008231998022001"</v>
      </c>
    </row>
    <row r="36" spans="1:9">
      <c r="A36" s="2">
        <f t="shared" si="0"/>
        <v>31</v>
      </c>
      <c r="B36" s="2" t="s">
        <v>191</v>
      </c>
      <c r="C36" s="3" t="s">
        <v>289</v>
      </c>
      <c r="D36" s="3" t="s">
        <v>350</v>
      </c>
      <c r="E36" s="3" t="s">
        <v>351</v>
      </c>
      <c r="G36" s="1">
        <v>12</v>
      </c>
      <c r="I36" s="1" t="str">
        <f>VLOOKUP(G36,[1]Sheet2!$A$6:$F$43,5,0)</f>
        <v>"197402261998031004"</v>
      </c>
    </row>
    <row r="37" spans="1:9">
      <c r="A37" s="2">
        <f t="shared" si="0"/>
        <v>32</v>
      </c>
      <c r="B37" s="2" t="s">
        <v>190</v>
      </c>
      <c r="C37" s="3" t="s">
        <v>290</v>
      </c>
      <c r="D37" s="3" t="s">
        <v>350</v>
      </c>
      <c r="E37" s="3" t="s">
        <v>351</v>
      </c>
      <c r="G37" s="1">
        <f t="shared" si="1"/>
        <v>12</v>
      </c>
      <c r="I37" s="1" t="str">
        <f>VLOOKUP(G37,[1]Sheet2!$A$6:$F$43,5,0)</f>
        <v>"197402261998031004"</v>
      </c>
    </row>
    <row r="38" spans="1:9">
      <c r="A38" s="2">
        <f t="shared" si="0"/>
        <v>33</v>
      </c>
      <c r="B38" s="2" t="s">
        <v>189</v>
      </c>
      <c r="C38" s="3" t="s">
        <v>291</v>
      </c>
      <c r="D38" s="3" t="s">
        <v>350</v>
      </c>
      <c r="E38" s="3" t="s">
        <v>351</v>
      </c>
      <c r="G38" s="1">
        <f t="shared" si="1"/>
        <v>12</v>
      </c>
      <c r="I38" s="1" t="str">
        <f>VLOOKUP(G38,[1]Sheet2!$A$6:$F$43,5,0)</f>
        <v>"197402261998031004"</v>
      </c>
    </row>
    <row r="39" spans="1:9">
      <c r="A39" s="2">
        <f t="shared" si="0"/>
        <v>34</v>
      </c>
      <c r="B39" s="2" t="s">
        <v>188</v>
      </c>
      <c r="C39" s="3" t="s">
        <v>187</v>
      </c>
      <c r="D39" s="3" t="s">
        <v>352</v>
      </c>
      <c r="E39" s="3" t="s">
        <v>353</v>
      </c>
      <c r="G39" s="1">
        <v>13</v>
      </c>
      <c r="I39" s="1" t="str">
        <f>VLOOKUP(G39,[1]Sheet2!$A$6:$F$43,5,0)</f>
        <v>"197102111998031002"</v>
      </c>
    </row>
    <row r="40" spans="1:9">
      <c r="A40" s="2">
        <f t="shared" si="0"/>
        <v>35</v>
      </c>
      <c r="B40" s="2" t="s">
        <v>186</v>
      </c>
      <c r="C40" s="3" t="s">
        <v>185</v>
      </c>
      <c r="D40" s="3" t="s">
        <v>352</v>
      </c>
      <c r="E40" s="3" t="s">
        <v>353</v>
      </c>
      <c r="G40" s="1">
        <f t="shared" si="1"/>
        <v>13</v>
      </c>
      <c r="I40" s="1" t="str">
        <f>VLOOKUP(G40,[1]Sheet2!$A$6:$F$43,5,0)</f>
        <v>"197102111998031002"</v>
      </c>
    </row>
    <row r="41" spans="1:9">
      <c r="A41" s="2">
        <f t="shared" si="0"/>
        <v>36</v>
      </c>
      <c r="B41" s="2" t="s">
        <v>184</v>
      </c>
      <c r="C41" s="3" t="s">
        <v>183</v>
      </c>
      <c r="D41" s="3" t="s">
        <v>352</v>
      </c>
      <c r="E41" s="3" t="s">
        <v>353</v>
      </c>
      <c r="G41" s="1">
        <f t="shared" si="1"/>
        <v>13</v>
      </c>
      <c r="I41" s="1" t="str">
        <f>VLOOKUP(G41,[1]Sheet2!$A$6:$F$43,5,0)</f>
        <v>"197102111998031002"</v>
      </c>
    </row>
    <row r="42" spans="1:9">
      <c r="A42" s="2">
        <f t="shared" si="0"/>
        <v>37</v>
      </c>
      <c r="B42" s="2" t="s">
        <v>182</v>
      </c>
      <c r="C42" s="3" t="s">
        <v>292</v>
      </c>
      <c r="D42" s="3" t="s">
        <v>354</v>
      </c>
      <c r="E42" s="3" t="s">
        <v>355</v>
      </c>
      <c r="G42" s="1">
        <v>14</v>
      </c>
      <c r="I42" s="1" t="str">
        <f>VLOOKUP(G42,[1]Sheet2!$A$6:$F$43,5,0)</f>
        <v>"197205091998031002"</v>
      </c>
    </row>
    <row r="43" spans="1:9">
      <c r="A43" s="2">
        <f t="shared" si="0"/>
        <v>38</v>
      </c>
      <c r="B43" s="2" t="s">
        <v>181</v>
      </c>
      <c r="C43" s="3" t="s">
        <v>180</v>
      </c>
      <c r="D43" s="3" t="s">
        <v>354</v>
      </c>
      <c r="E43" s="3" t="s">
        <v>355</v>
      </c>
      <c r="G43" s="1">
        <f t="shared" si="1"/>
        <v>14</v>
      </c>
      <c r="I43" s="1" t="str">
        <f>VLOOKUP(G43,[1]Sheet2!$A$6:$F$43,5,0)</f>
        <v>"197205091998031002"</v>
      </c>
    </row>
    <row r="44" spans="1:9">
      <c r="A44" s="2">
        <f t="shared" si="0"/>
        <v>39</v>
      </c>
      <c r="B44" s="2" t="s">
        <v>179</v>
      </c>
      <c r="C44" s="3" t="s">
        <v>178</v>
      </c>
      <c r="D44" s="3" t="s">
        <v>354</v>
      </c>
      <c r="E44" s="3" t="s">
        <v>355</v>
      </c>
      <c r="G44" s="1">
        <f t="shared" si="1"/>
        <v>14</v>
      </c>
      <c r="I44" s="1" t="str">
        <f>VLOOKUP(G44,[1]Sheet2!$A$6:$F$43,5,0)</f>
        <v>"197205091998031002"</v>
      </c>
    </row>
    <row r="45" spans="1:9">
      <c r="A45" s="2">
        <f t="shared" si="0"/>
        <v>40</v>
      </c>
      <c r="B45" s="2" t="s">
        <v>177</v>
      </c>
      <c r="C45" s="3" t="s">
        <v>176</v>
      </c>
      <c r="D45" s="3" t="s">
        <v>356</v>
      </c>
      <c r="E45" s="3" t="s">
        <v>357</v>
      </c>
      <c r="G45" s="1">
        <v>15</v>
      </c>
      <c r="I45" s="1" t="str">
        <f>VLOOKUP(G45,[1]Sheet2!$A$6:$F$43,5,0)</f>
        <v>"197210261998031002"</v>
      </c>
    </row>
    <row r="46" spans="1:9">
      <c r="A46" s="2">
        <f t="shared" si="0"/>
        <v>41</v>
      </c>
      <c r="B46" s="2" t="s">
        <v>175</v>
      </c>
      <c r="C46" s="3" t="s">
        <v>174</v>
      </c>
      <c r="D46" s="3" t="s">
        <v>356</v>
      </c>
      <c r="E46" s="3" t="s">
        <v>357</v>
      </c>
      <c r="G46" s="1">
        <f t="shared" si="1"/>
        <v>15</v>
      </c>
      <c r="I46" s="1" t="str">
        <f>VLOOKUP(G46,[1]Sheet2!$A$6:$F$43,5,0)</f>
        <v>"197210261998031002"</v>
      </c>
    </row>
    <row r="47" spans="1:9">
      <c r="A47" s="2">
        <f t="shared" si="0"/>
        <v>42</v>
      </c>
      <c r="B47" s="2" t="s">
        <v>173</v>
      </c>
      <c r="C47" s="3" t="s">
        <v>172</v>
      </c>
      <c r="D47" s="3" t="s">
        <v>356</v>
      </c>
      <c r="E47" s="3" t="s">
        <v>357</v>
      </c>
      <c r="G47" s="1">
        <f t="shared" si="1"/>
        <v>15</v>
      </c>
      <c r="I47" s="1" t="str">
        <f>VLOOKUP(G47,[1]Sheet2!$A$6:$F$43,5,0)</f>
        <v>"197210261998031002"</v>
      </c>
    </row>
    <row r="48" spans="1:9">
      <c r="A48" s="2">
        <f t="shared" si="0"/>
        <v>43</v>
      </c>
      <c r="B48" s="2" t="s">
        <v>171</v>
      </c>
      <c r="C48" s="3" t="s">
        <v>170</v>
      </c>
      <c r="D48" s="3" t="s">
        <v>358</v>
      </c>
      <c r="E48" s="3" t="s">
        <v>359</v>
      </c>
      <c r="G48" s="1">
        <v>17</v>
      </c>
      <c r="I48" s="1" t="str">
        <f>VLOOKUP(G48,[1]Sheet2!$A$6:$F$43,5,0)</f>
        <v>"197111241999031004"</v>
      </c>
    </row>
    <row r="49" spans="1:9">
      <c r="A49" s="2">
        <f t="shared" si="0"/>
        <v>44</v>
      </c>
      <c r="B49" s="2" t="s">
        <v>169</v>
      </c>
      <c r="C49" s="3" t="s">
        <v>293</v>
      </c>
      <c r="D49" s="3" t="s">
        <v>358</v>
      </c>
      <c r="E49" s="3" t="s">
        <v>359</v>
      </c>
      <c r="G49" s="1">
        <v>17</v>
      </c>
      <c r="I49" s="1" t="str">
        <f>VLOOKUP(G49,[1]Sheet2!$A$6:$F$43,5,0)</f>
        <v>"197111241999031004"</v>
      </c>
    </row>
    <row r="50" spans="1:9">
      <c r="A50" s="2">
        <f t="shared" si="0"/>
        <v>45</v>
      </c>
      <c r="B50" s="2" t="s">
        <v>168</v>
      </c>
      <c r="C50" s="3" t="s">
        <v>167</v>
      </c>
      <c r="D50" s="3" t="s">
        <v>360</v>
      </c>
      <c r="E50" s="3" t="s">
        <v>361</v>
      </c>
      <c r="G50" s="1">
        <v>18</v>
      </c>
      <c r="I50" s="1" t="str">
        <f>VLOOKUP(G50,[1]Sheet2!$A$6:$F$43,5,0)</f>
        <v>"197202221999031002"</v>
      </c>
    </row>
    <row r="51" spans="1:9">
      <c r="A51" s="2">
        <f t="shared" si="0"/>
        <v>46</v>
      </c>
      <c r="B51" s="2" t="s">
        <v>166</v>
      </c>
      <c r="C51" s="3" t="s">
        <v>326</v>
      </c>
      <c r="D51" s="3" t="s">
        <v>360</v>
      </c>
      <c r="E51" s="3" t="s">
        <v>361</v>
      </c>
      <c r="G51" s="1">
        <v>18</v>
      </c>
      <c r="I51" s="1" t="str">
        <f>VLOOKUP(G51,[1]Sheet2!$A$6:$F$43,5,0)</f>
        <v>"197202221999031002"</v>
      </c>
    </row>
    <row r="52" spans="1:9">
      <c r="A52" s="2">
        <f t="shared" si="0"/>
        <v>47</v>
      </c>
      <c r="B52" s="2" t="s">
        <v>165</v>
      </c>
      <c r="C52" s="3" t="s">
        <v>164</v>
      </c>
      <c r="D52" s="3" t="s">
        <v>360</v>
      </c>
      <c r="E52" s="3" t="s">
        <v>361</v>
      </c>
      <c r="G52" s="1">
        <v>18</v>
      </c>
      <c r="I52" s="1" t="str">
        <f>VLOOKUP(G52,[1]Sheet2!$A$6:$F$43,5,0)</f>
        <v>"197202221999031002"</v>
      </c>
    </row>
    <row r="53" spans="1:9">
      <c r="A53" s="2">
        <f t="shared" si="0"/>
        <v>48</v>
      </c>
      <c r="B53" s="2" t="s">
        <v>163</v>
      </c>
      <c r="C53" s="3" t="s">
        <v>162</v>
      </c>
      <c r="D53" s="3" t="s">
        <v>362</v>
      </c>
      <c r="E53" s="3" t="s">
        <v>363</v>
      </c>
      <c r="G53" s="1">
        <v>19</v>
      </c>
      <c r="I53" s="1" t="str">
        <f>VLOOKUP(G53,[1]Sheet2!$A$6:$F$43,5,0)</f>
        <v>"197201171999031001"</v>
      </c>
    </row>
    <row r="54" spans="1:9">
      <c r="A54" s="2">
        <f t="shared" si="0"/>
        <v>49</v>
      </c>
      <c r="B54" s="2" t="s">
        <v>161</v>
      </c>
      <c r="C54" s="3" t="s">
        <v>160</v>
      </c>
      <c r="D54" s="3" t="s">
        <v>362</v>
      </c>
      <c r="E54" s="3" t="s">
        <v>363</v>
      </c>
      <c r="G54" s="1">
        <v>19</v>
      </c>
      <c r="I54" s="1" t="str">
        <f>VLOOKUP(G54,[1]Sheet2!$A$6:$F$43,5,0)</f>
        <v>"197201171999031001"</v>
      </c>
    </row>
    <row r="55" spans="1:9">
      <c r="A55" s="2">
        <f t="shared" si="0"/>
        <v>50</v>
      </c>
      <c r="B55" s="2" t="s">
        <v>159</v>
      </c>
      <c r="C55" s="3" t="s">
        <v>294</v>
      </c>
      <c r="D55" s="3" t="s">
        <v>362</v>
      </c>
      <c r="E55" s="3" t="s">
        <v>363</v>
      </c>
      <c r="G55" s="1">
        <v>19</v>
      </c>
      <c r="I55" s="1" t="str">
        <f>VLOOKUP(G55,[1]Sheet2!$A$6:$F$43,5,0)</f>
        <v>"197201171999031001"</v>
      </c>
    </row>
    <row r="56" spans="1:9">
      <c r="A56" s="2">
        <f t="shared" si="0"/>
        <v>51</v>
      </c>
      <c r="B56" s="2" t="s">
        <v>158</v>
      </c>
      <c r="C56" s="3" t="s">
        <v>295</v>
      </c>
      <c r="D56" s="3" t="s">
        <v>364</v>
      </c>
      <c r="E56" s="3" t="s">
        <v>365</v>
      </c>
      <c r="G56" s="1">
        <v>20</v>
      </c>
      <c r="I56" s="1" t="str">
        <f>VLOOKUP(G56,[1]Sheet2!$A$6:$F$43,5,0)</f>
        <v>"197307231999032001"</v>
      </c>
    </row>
    <row r="57" spans="1:9">
      <c r="A57" s="2">
        <f t="shared" si="0"/>
        <v>52</v>
      </c>
      <c r="B57" s="2" t="s">
        <v>157</v>
      </c>
      <c r="C57" s="3" t="s">
        <v>156</v>
      </c>
      <c r="D57" s="3" t="s">
        <v>364</v>
      </c>
      <c r="E57" s="3" t="s">
        <v>365</v>
      </c>
      <c r="G57" s="1">
        <v>20</v>
      </c>
      <c r="I57" s="1" t="str">
        <f>VLOOKUP(G57,[1]Sheet2!$A$6:$F$43,5,0)</f>
        <v>"197307231999032001"</v>
      </c>
    </row>
    <row r="58" spans="1:9">
      <c r="A58" s="2">
        <f t="shared" si="0"/>
        <v>53</v>
      </c>
      <c r="B58" s="2" t="s">
        <v>155</v>
      </c>
      <c r="C58" s="3" t="s">
        <v>296</v>
      </c>
      <c r="D58" s="3" t="s">
        <v>364</v>
      </c>
      <c r="E58" s="3" t="s">
        <v>365</v>
      </c>
      <c r="G58" s="1">
        <v>20</v>
      </c>
      <c r="I58" s="1" t="str">
        <f>VLOOKUP(G58,[1]Sheet2!$A$6:$F$43,5,0)</f>
        <v>"197307231999032001"</v>
      </c>
    </row>
    <row r="59" spans="1:9">
      <c r="A59" s="2">
        <f t="shared" si="0"/>
        <v>54</v>
      </c>
      <c r="B59" s="2" t="s">
        <v>154</v>
      </c>
      <c r="C59" s="3" t="s">
        <v>297</v>
      </c>
      <c r="D59" s="3" t="s">
        <v>366</v>
      </c>
      <c r="E59" s="3" t="s">
        <v>367</v>
      </c>
      <c r="G59" s="1">
        <v>21</v>
      </c>
      <c r="I59" s="1" t="str">
        <f>VLOOKUP(G59,[1]Sheet2!$A$6:$F$43,5,0)</f>
        <v>"197411191999032001"</v>
      </c>
    </row>
    <row r="60" spans="1:9">
      <c r="A60" s="2">
        <f t="shared" si="0"/>
        <v>55</v>
      </c>
      <c r="B60" s="2" t="s">
        <v>153</v>
      </c>
      <c r="C60" s="3" t="s">
        <v>298</v>
      </c>
      <c r="D60" s="3" t="s">
        <v>366</v>
      </c>
      <c r="E60" s="3" t="s">
        <v>367</v>
      </c>
      <c r="G60" s="1">
        <v>21</v>
      </c>
      <c r="I60" s="1" t="str">
        <f>VLOOKUP(G60,[1]Sheet2!$A$6:$F$43,5,0)</f>
        <v>"197411191999032001"</v>
      </c>
    </row>
    <row r="61" spans="1:9">
      <c r="A61" s="2">
        <f t="shared" si="0"/>
        <v>56</v>
      </c>
      <c r="B61" s="2" t="s">
        <v>152</v>
      </c>
      <c r="C61" s="3" t="s">
        <v>151</v>
      </c>
      <c r="D61" s="3" t="s">
        <v>366</v>
      </c>
      <c r="E61" s="3" t="s">
        <v>367</v>
      </c>
      <c r="G61" s="1">
        <v>21</v>
      </c>
      <c r="I61" s="1" t="str">
        <f>VLOOKUP(G61,[1]Sheet2!$A$6:$F$43,5,0)</f>
        <v>"197411191999032001"</v>
      </c>
    </row>
    <row r="62" spans="1:9">
      <c r="A62" s="2">
        <f t="shared" si="0"/>
        <v>57</v>
      </c>
      <c r="B62" s="2" t="s">
        <v>150</v>
      </c>
      <c r="C62" s="3" t="s">
        <v>149</v>
      </c>
      <c r="D62" s="3" t="s">
        <v>368</v>
      </c>
      <c r="E62" s="3" t="s">
        <v>369</v>
      </c>
      <c r="G62" s="1">
        <v>23</v>
      </c>
      <c r="I62" s="1" t="str">
        <f>VLOOKUP(G62,[1]Sheet2!$A$6:$F$43,5,0)</f>
        <v>"197104261999031002"</v>
      </c>
    </row>
    <row r="63" spans="1:9">
      <c r="A63" s="2">
        <f t="shared" si="0"/>
        <v>58</v>
      </c>
      <c r="B63" s="2" t="s">
        <v>148</v>
      </c>
      <c r="C63" s="3" t="s">
        <v>299</v>
      </c>
      <c r="D63" s="3" t="s">
        <v>368</v>
      </c>
      <c r="E63" s="3" t="s">
        <v>369</v>
      </c>
      <c r="G63" s="1">
        <v>23</v>
      </c>
      <c r="I63" s="1" t="str">
        <f>VLOOKUP(G63,[1]Sheet2!$A$6:$F$43,5,0)</f>
        <v>"197104261999031002"</v>
      </c>
    </row>
    <row r="64" spans="1:9">
      <c r="A64" s="2">
        <f t="shared" si="0"/>
        <v>59</v>
      </c>
      <c r="B64" s="2" t="s">
        <v>147</v>
      </c>
      <c r="C64" s="3" t="s">
        <v>146</v>
      </c>
      <c r="D64" s="3" t="s">
        <v>370</v>
      </c>
      <c r="E64" s="3" t="s">
        <v>371</v>
      </c>
      <c r="G64" s="1">
        <v>24</v>
      </c>
      <c r="I64" s="1" t="str">
        <f>VLOOKUP(G64,[1]Sheet2!$A$6:$F$43,5,0)</f>
        <v>"197304041999031003"</v>
      </c>
    </row>
    <row r="65" spans="1:9">
      <c r="A65" s="2">
        <f t="shared" si="0"/>
        <v>60</v>
      </c>
      <c r="B65" s="2" t="s">
        <v>145</v>
      </c>
      <c r="C65" s="3" t="s">
        <v>300</v>
      </c>
      <c r="D65" s="3" t="s">
        <v>370</v>
      </c>
      <c r="E65" s="3" t="s">
        <v>371</v>
      </c>
      <c r="G65" s="1">
        <v>24</v>
      </c>
      <c r="I65" s="1" t="str">
        <f>VLOOKUP(G65,[1]Sheet2!$A$6:$F$43,5,0)</f>
        <v>"197304041999031003"</v>
      </c>
    </row>
    <row r="66" spans="1:9">
      <c r="A66" s="2">
        <f t="shared" si="0"/>
        <v>61</v>
      </c>
      <c r="B66" s="2" t="s">
        <v>144</v>
      </c>
      <c r="C66" s="3" t="s">
        <v>143</v>
      </c>
      <c r="D66" s="3" t="s">
        <v>370</v>
      </c>
      <c r="E66" s="3" t="s">
        <v>371</v>
      </c>
      <c r="G66" s="1">
        <v>24</v>
      </c>
      <c r="I66" s="1" t="str">
        <f>VLOOKUP(G66,[1]Sheet2!$A$6:$F$43,5,0)</f>
        <v>"197304041999031003"</v>
      </c>
    </row>
    <row r="67" spans="1:9">
      <c r="A67" s="2">
        <f t="shared" si="0"/>
        <v>62</v>
      </c>
      <c r="B67" s="2" t="s">
        <v>142</v>
      </c>
      <c r="C67" s="3" t="s">
        <v>141</v>
      </c>
      <c r="D67" s="3" t="s">
        <v>372</v>
      </c>
      <c r="E67" s="3" t="s">
        <v>373</v>
      </c>
      <c r="G67" s="1">
        <v>25</v>
      </c>
      <c r="I67" s="1" t="str">
        <f>VLOOKUP(G67,[1]Sheet2!$A$6:$F$43,5,0)</f>
        <v>"197003251999031001"</v>
      </c>
    </row>
    <row r="68" spans="1:9">
      <c r="A68" s="2">
        <f t="shared" si="0"/>
        <v>63</v>
      </c>
      <c r="B68" s="2" t="s">
        <v>140</v>
      </c>
      <c r="C68" s="3" t="s">
        <v>301</v>
      </c>
      <c r="D68" s="3" t="s">
        <v>372</v>
      </c>
      <c r="E68" s="3" t="s">
        <v>373</v>
      </c>
      <c r="G68" s="1">
        <v>25</v>
      </c>
      <c r="I68" s="1" t="str">
        <f>VLOOKUP(G68,[1]Sheet2!$A$6:$F$43,5,0)</f>
        <v>"197003251999031001"</v>
      </c>
    </row>
    <row r="69" spans="1:9">
      <c r="A69" s="2">
        <f t="shared" si="0"/>
        <v>64</v>
      </c>
      <c r="B69" s="2" t="s">
        <v>139</v>
      </c>
      <c r="C69" s="3" t="s">
        <v>138</v>
      </c>
      <c r="D69" s="3" t="s">
        <v>372</v>
      </c>
      <c r="E69" s="3" t="s">
        <v>373</v>
      </c>
      <c r="G69" s="1">
        <v>25</v>
      </c>
      <c r="I69" s="1" t="str">
        <f>VLOOKUP(G69,[1]Sheet2!$A$6:$F$43,5,0)</f>
        <v>"197003251999031001"</v>
      </c>
    </row>
    <row r="70" spans="1:9">
      <c r="A70" s="2">
        <f t="shared" si="0"/>
        <v>65</v>
      </c>
      <c r="B70" s="2" t="s">
        <v>137</v>
      </c>
      <c r="C70" s="3" t="s">
        <v>136</v>
      </c>
      <c r="D70" s="3" t="s">
        <v>374</v>
      </c>
      <c r="E70" s="3" t="s">
        <v>375</v>
      </c>
      <c r="G70" s="1">
        <v>26</v>
      </c>
      <c r="I70" s="1" t="str">
        <f>VLOOKUP(G70,[1]Sheet2!$A$6:$F$43,5,0)</f>
        <v>"197107231999031001"</v>
      </c>
    </row>
    <row r="71" spans="1:9">
      <c r="A71" s="2">
        <f t="shared" si="0"/>
        <v>66</v>
      </c>
      <c r="B71" s="2" t="s">
        <v>135</v>
      </c>
      <c r="C71" s="3" t="s">
        <v>302</v>
      </c>
      <c r="D71" s="3" t="s">
        <v>374</v>
      </c>
      <c r="E71" s="3" t="s">
        <v>375</v>
      </c>
      <c r="G71" s="1">
        <v>26</v>
      </c>
      <c r="I71" s="1" t="str">
        <f>VLOOKUP(G71,[1]Sheet2!$A$6:$F$43,5,0)</f>
        <v>"197107231999031001"</v>
      </c>
    </row>
    <row r="72" spans="1:9">
      <c r="A72" s="2">
        <f t="shared" ref="A72:A105" si="2">A71+1</f>
        <v>67</v>
      </c>
      <c r="B72" s="2" t="s">
        <v>134</v>
      </c>
      <c r="C72" s="3" t="s">
        <v>303</v>
      </c>
      <c r="D72" s="3" t="s">
        <v>374</v>
      </c>
      <c r="E72" s="3" t="s">
        <v>375</v>
      </c>
      <c r="G72" s="1">
        <v>26</v>
      </c>
      <c r="I72" s="1" t="str">
        <f>VLOOKUP(G72,[1]Sheet2!$A$6:$F$43,5,0)</f>
        <v>"197107231999031001"</v>
      </c>
    </row>
    <row r="73" spans="1:9">
      <c r="A73" s="2">
        <f t="shared" si="2"/>
        <v>68</v>
      </c>
      <c r="B73" s="2" t="s">
        <v>133</v>
      </c>
      <c r="C73" s="3" t="s">
        <v>304</v>
      </c>
      <c r="D73" s="3" t="s">
        <v>376</v>
      </c>
      <c r="E73" s="3" t="s">
        <v>377</v>
      </c>
      <c r="G73" s="1">
        <v>27</v>
      </c>
      <c r="I73" s="1" t="str">
        <f>VLOOKUP(G73,[1]Sheet2!$A$6:$F$43,5,0)</f>
        <v>"197111261999031004"</v>
      </c>
    </row>
    <row r="74" spans="1:9">
      <c r="A74" s="2">
        <f t="shared" si="2"/>
        <v>69</v>
      </c>
      <c r="B74" s="2" t="s">
        <v>132</v>
      </c>
      <c r="C74" s="3" t="s">
        <v>131</v>
      </c>
      <c r="D74" s="3" t="s">
        <v>376</v>
      </c>
      <c r="E74" s="3" t="s">
        <v>377</v>
      </c>
      <c r="G74" s="1">
        <v>27</v>
      </c>
      <c r="I74" s="1" t="str">
        <f>VLOOKUP(G74,[1]Sheet2!$A$6:$F$43,5,0)</f>
        <v>"197111261999031004"</v>
      </c>
    </row>
    <row r="75" spans="1:9">
      <c r="A75" s="2">
        <f t="shared" si="2"/>
        <v>70</v>
      </c>
      <c r="B75" s="2" t="s">
        <v>130</v>
      </c>
      <c r="C75" s="3" t="s">
        <v>305</v>
      </c>
      <c r="D75" s="3" t="s">
        <v>376</v>
      </c>
      <c r="E75" s="3" t="s">
        <v>377</v>
      </c>
      <c r="G75" s="1">
        <v>27</v>
      </c>
      <c r="I75" s="1" t="str">
        <f>VLOOKUP(G75,[1]Sheet2!$A$6:$F$43,5,0)</f>
        <v>"197111261999031004"</v>
      </c>
    </row>
    <row r="76" spans="1:9">
      <c r="A76" s="2">
        <f t="shared" si="2"/>
        <v>71</v>
      </c>
      <c r="B76" s="2" t="s">
        <v>129</v>
      </c>
      <c r="C76" s="3" t="s">
        <v>306</v>
      </c>
      <c r="D76" s="3" t="s">
        <v>378</v>
      </c>
      <c r="E76" s="3" t="s">
        <v>379</v>
      </c>
      <c r="G76" s="1">
        <v>28</v>
      </c>
      <c r="I76" s="1" t="str">
        <f>VLOOKUP(G76,[1]Sheet2!$A$6:$F$43,5,0)</f>
        <v>"197107132000031001"</v>
      </c>
    </row>
    <row r="77" spans="1:9">
      <c r="A77" s="2">
        <f t="shared" si="2"/>
        <v>72</v>
      </c>
      <c r="B77" s="2" t="s">
        <v>128</v>
      </c>
      <c r="C77" s="3" t="s">
        <v>127</v>
      </c>
      <c r="D77" s="3" t="s">
        <v>378</v>
      </c>
      <c r="E77" s="3" t="s">
        <v>379</v>
      </c>
      <c r="G77" s="1">
        <v>28</v>
      </c>
      <c r="I77" s="1" t="str">
        <f>VLOOKUP(G77,[1]Sheet2!$A$6:$F$43,5,0)</f>
        <v>"197107132000031001"</v>
      </c>
    </row>
    <row r="78" spans="1:9">
      <c r="A78" s="2">
        <f t="shared" si="2"/>
        <v>73</v>
      </c>
      <c r="B78" s="2" t="s">
        <v>126</v>
      </c>
      <c r="C78" s="3" t="s">
        <v>125</v>
      </c>
      <c r="D78" s="3" t="s">
        <v>378</v>
      </c>
      <c r="E78" s="3" t="s">
        <v>379</v>
      </c>
      <c r="G78" s="1">
        <v>28</v>
      </c>
      <c r="I78" s="1" t="str">
        <f>VLOOKUP(G78,[1]Sheet2!$A$6:$F$43,5,0)</f>
        <v>"197107132000031001"</v>
      </c>
    </row>
    <row r="79" spans="1:9">
      <c r="A79" s="2">
        <f t="shared" si="2"/>
        <v>74</v>
      </c>
      <c r="B79" s="2" t="s">
        <v>124</v>
      </c>
      <c r="C79" s="3" t="s">
        <v>123</v>
      </c>
      <c r="D79" s="3" t="s">
        <v>380</v>
      </c>
      <c r="E79" s="3" t="s">
        <v>381</v>
      </c>
      <c r="G79" s="1">
        <v>29</v>
      </c>
      <c r="I79" s="1" t="str">
        <f>VLOOKUP(G79,[1]Sheet2!$A$6:$F$43,5,0)</f>
        <v>"197704252000031002"</v>
      </c>
    </row>
    <row r="80" spans="1:9">
      <c r="A80" s="2">
        <f t="shared" si="2"/>
        <v>75</v>
      </c>
      <c r="B80" s="2" t="s">
        <v>122</v>
      </c>
      <c r="C80" s="3" t="s">
        <v>121</v>
      </c>
      <c r="D80" s="3" t="s">
        <v>380</v>
      </c>
      <c r="E80" s="3" t="s">
        <v>381</v>
      </c>
      <c r="G80" s="1">
        <v>29</v>
      </c>
      <c r="I80" s="1" t="str">
        <f>VLOOKUP(G80,[1]Sheet2!$A$6:$F$43,5,0)</f>
        <v>"197704252000031002"</v>
      </c>
    </row>
    <row r="81" spans="1:9">
      <c r="A81" s="2">
        <f t="shared" si="2"/>
        <v>76</v>
      </c>
      <c r="B81" s="2" t="s">
        <v>120</v>
      </c>
      <c r="C81" s="3" t="s">
        <v>119</v>
      </c>
      <c r="D81" s="3" t="s">
        <v>380</v>
      </c>
      <c r="E81" s="3" t="s">
        <v>381</v>
      </c>
      <c r="G81" s="1">
        <v>29</v>
      </c>
      <c r="I81" s="1" t="str">
        <f>VLOOKUP(G81,[1]Sheet2!$A$6:$F$43,5,0)</f>
        <v>"197704252000031002"</v>
      </c>
    </row>
    <row r="82" spans="1:9">
      <c r="A82" s="2">
        <f t="shared" si="2"/>
        <v>77</v>
      </c>
      <c r="B82" s="2" t="s">
        <v>118</v>
      </c>
      <c r="C82" s="3" t="s">
        <v>307</v>
      </c>
      <c r="D82" s="3" t="s">
        <v>382</v>
      </c>
      <c r="E82" s="3" t="s">
        <v>383</v>
      </c>
      <c r="G82" s="1">
        <v>30</v>
      </c>
      <c r="I82" s="1" t="str">
        <f>VLOOKUP(G82,[1]Sheet2!$A$6:$F$43,5,0)</f>
        <v>"197309052000031002"</v>
      </c>
    </row>
    <row r="83" spans="1:9">
      <c r="A83" s="2">
        <f t="shared" si="2"/>
        <v>78</v>
      </c>
      <c r="B83" s="2" t="s">
        <v>117</v>
      </c>
      <c r="C83" s="3" t="s">
        <v>116</v>
      </c>
      <c r="D83" s="3" t="s">
        <v>382</v>
      </c>
      <c r="E83" s="3" t="s">
        <v>383</v>
      </c>
      <c r="G83" s="1">
        <v>30</v>
      </c>
      <c r="I83" s="1" t="str">
        <f>VLOOKUP(G83,[1]Sheet2!$A$6:$F$43,5,0)</f>
        <v>"197309052000031002"</v>
      </c>
    </row>
    <row r="84" spans="1:9">
      <c r="A84" s="2">
        <f t="shared" si="2"/>
        <v>79</v>
      </c>
      <c r="B84" s="2" t="s">
        <v>115</v>
      </c>
      <c r="C84" s="3" t="s">
        <v>308</v>
      </c>
      <c r="D84" s="3" t="s">
        <v>382</v>
      </c>
      <c r="E84" s="3" t="s">
        <v>383</v>
      </c>
      <c r="G84" s="1">
        <v>30</v>
      </c>
      <c r="I84" s="1" t="str">
        <f>VLOOKUP(G84,[1]Sheet2!$A$6:$F$43,5,0)</f>
        <v>"197309052000031002"</v>
      </c>
    </row>
    <row r="85" spans="1:9">
      <c r="A85" s="2">
        <f t="shared" si="2"/>
        <v>80</v>
      </c>
      <c r="B85" s="2" t="s">
        <v>114</v>
      </c>
      <c r="C85" s="3" t="s">
        <v>309</v>
      </c>
      <c r="D85" s="3" t="s">
        <v>384</v>
      </c>
      <c r="E85" s="3" t="s">
        <v>385</v>
      </c>
      <c r="G85" s="1">
        <v>31</v>
      </c>
      <c r="I85" s="1" t="str">
        <f>VLOOKUP(G85,[1]Sheet2!$A$6:$F$43,5,0)</f>
        <v>"197207262000121001"</v>
      </c>
    </row>
    <row r="86" spans="1:9">
      <c r="A86" s="2">
        <f t="shared" si="2"/>
        <v>81</v>
      </c>
      <c r="B86" s="2" t="s">
        <v>113</v>
      </c>
      <c r="C86" s="3" t="s">
        <v>112</v>
      </c>
      <c r="D86" s="3" t="s">
        <v>384</v>
      </c>
      <c r="E86" s="3" t="s">
        <v>385</v>
      </c>
      <c r="G86" s="1">
        <v>31</v>
      </c>
      <c r="I86" s="1" t="str">
        <f>VLOOKUP(G86,[1]Sheet2!$A$6:$F$43,5,0)</f>
        <v>"197207262000121001"</v>
      </c>
    </row>
    <row r="87" spans="1:9">
      <c r="A87" s="2">
        <f t="shared" si="2"/>
        <v>82</v>
      </c>
      <c r="B87" s="2" t="s">
        <v>111</v>
      </c>
      <c r="C87" s="3" t="s">
        <v>310</v>
      </c>
      <c r="D87" s="3" t="s">
        <v>384</v>
      </c>
      <c r="E87" s="3" t="s">
        <v>385</v>
      </c>
      <c r="G87" s="1">
        <v>31</v>
      </c>
      <c r="I87" s="1" t="str">
        <f>VLOOKUP(G87,[1]Sheet2!$A$6:$F$43,5,0)</f>
        <v>"197207262000121001"</v>
      </c>
    </row>
    <row r="88" spans="1:9">
      <c r="A88" s="2">
        <f t="shared" si="2"/>
        <v>83</v>
      </c>
      <c r="B88" s="2" t="s">
        <v>110</v>
      </c>
      <c r="C88" s="3" t="s">
        <v>109</v>
      </c>
      <c r="D88" s="3" t="s">
        <v>386</v>
      </c>
      <c r="E88" s="3" t="s">
        <v>387</v>
      </c>
      <c r="G88" s="1">
        <v>34</v>
      </c>
      <c r="I88" s="1" t="str">
        <f>VLOOKUP(G88,[1]Sheet2!$A$6:$F$43,5,0)</f>
        <v>"198104162008121003"</v>
      </c>
    </row>
    <row r="89" spans="1:9">
      <c r="A89" s="2">
        <f t="shared" si="2"/>
        <v>84</v>
      </c>
      <c r="B89" s="2" t="s">
        <v>108</v>
      </c>
      <c r="C89" s="3" t="s">
        <v>311</v>
      </c>
      <c r="D89" s="3" t="s">
        <v>386</v>
      </c>
      <c r="E89" s="3" t="s">
        <v>387</v>
      </c>
      <c r="G89" s="1">
        <v>34</v>
      </c>
      <c r="I89" s="1" t="str">
        <f>VLOOKUP(G89,[1]Sheet2!$A$6:$F$43,5,0)</f>
        <v>"198104162008121003"</v>
      </c>
    </row>
    <row r="90" spans="1:9">
      <c r="A90" s="2">
        <f t="shared" si="2"/>
        <v>85</v>
      </c>
      <c r="B90" s="2" t="s">
        <v>107</v>
      </c>
      <c r="C90" s="3" t="s">
        <v>312</v>
      </c>
      <c r="D90" s="3" t="s">
        <v>386</v>
      </c>
      <c r="E90" s="3" t="s">
        <v>387</v>
      </c>
      <c r="G90" s="1">
        <v>34</v>
      </c>
      <c r="I90" s="1" t="str">
        <f>VLOOKUP(G90,[1]Sheet2!$A$6:$F$43,5,0)</f>
        <v>"198104162008121003"</v>
      </c>
    </row>
    <row r="91" spans="1:9">
      <c r="A91" s="2">
        <f t="shared" si="2"/>
        <v>86</v>
      </c>
      <c r="B91" s="2" t="s">
        <v>106</v>
      </c>
      <c r="C91" s="3" t="s">
        <v>313</v>
      </c>
      <c r="D91" s="3" t="s">
        <v>388</v>
      </c>
      <c r="E91" s="3" t="s">
        <v>389</v>
      </c>
      <c r="G91" s="1">
        <v>35</v>
      </c>
      <c r="I91" s="1" t="str">
        <f>VLOOKUP(G91,[1]Sheet2!$A$6:$F$43,5,0)</f>
        <v>"198303102009121004"</v>
      </c>
    </row>
    <row r="92" spans="1:9">
      <c r="A92" s="2">
        <f t="shared" si="2"/>
        <v>87</v>
      </c>
      <c r="B92" s="2" t="s">
        <v>105</v>
      </c>
      <c r="C92" s="3" t="s">
        <v>104</v>
      </c>
      <c r="D92" s="3" t="s">
        <v>388</v>
      </c>
      <c r="E92" s="3" t="s">
        <v>389</v>
      </c>
      <c r="G92" s="1">
        <v>35</v>
      </c>
      <c r="I92" s="1" t="str">
        <f>VLOOKUP(G92,[1]Sheet2!$A$6:$F$43,5,0)</f>
        <v>"198303102009121004"</v>
      </c>
    </row>
    <row r="93" spans="1:9">
      <c r="A93" s="2">
        <f t="shared" si="2"/>
        <v>88</v>
      </c>
      <c r="B93" s="2" t="s">
        <v>103</v>
      </c>
      <c r="C93" s="3" t="s">
        <v>314</v>
      </c>
      <c r="D93" s="3" t="s">
        <v>388</v>
      </c>
      <c r="E93" s="3" t="s">
        <v>389</v>
      </c>
      <c r="G93" s="1">
        <v>35</v>
      </c>
      <c r="I93" s="1" t="str">
        <f>VLOOKUP(G93,[1]Sheet2!$A$6:$F$43,5,0)</f>
        <v>"198303102009121004"</v>
      </c>
    </row>
    <row r="94" spans="1:9">
      <c r="A94" s="2">
        <f t="shared" si="2"/>
        <v>89</v>
      </c>
      <c r="B94" s="2" t="s">
        <v>102</v>
      </c>
      <c r="C94" s="3" t="s">
        <v>315</v>
      </c>
      <c r="D94" s="3" t="s">
        <v>390</v>
      </c>
      <c r="E94" s="3" t="s">
        <v>391</v>
      </c>
      <c r="G94" s="1">
        <v>36</v>
      </c>
      <c r="I94" s="1" t="str">
        <f>VLOOKUP(G94,[1]Sheet2!$A$6:$F$43,5,0)</f>
        <v>"198209042010121001"</v>
      </c>
    </row>
    <row r="95" spans="1:9">
      <c r="A95" s="2">
        <f t="shared" si="2"/>
        <v>90</v>
      </c>
      <c r="B95" s="2" t="s">
        <v>101</v>
      </c>
      <c r="C95" s="3" t="s">
        <v>100</v>
      </c>
      <c r="D95" s="3" t="s">
        <v>390</v>
      </c>
      <c r="E95" s="3" t="s">
        <v>391</v>
      </c>
      <c r="G95" s="1">
        <v>36</v>
      </c>
      <c r="I95" s="1" t="str">
        <f>VLOOKUP(G95,[1]Sheet2!$A$6:$F$43,5,0)</f>
        <v>"198209042010121001"</v>
      </c>
    </row>
    <row r="96" spans="1:9">
      <c r="A96" s="2">
        <f t="shared" si="2"/>
        <v>91</v>
      </c>
      <c r="B96" s="2" t="s">
        <v>99</v>
      </c>
      <c r="C96" s="3" t="s">
        <v>98</v>
      </c>
      <c r="D96" s="3" t="s">
        <v>390</v>
      </c>
      <c r="E96" s="3" t="s">
        <v>391</v>
      </c>
      <c r="G96" s="1">
        <v>36</v>
      </c>
      <c r="I96" s="1" t="str">
        <f>VLOOKUP(G96,[1]Sheet2!$A$6:$F$43,5,0)</f>
        <v>"198209042010121001"</v>
      </c>
    </row>
    <row r="97" spans="1:9">
      <c r="A97" s="2">
        <f t="shared" si="2"/>
        <v>92</v>
      </c>
      <c r="B97" s="2" t="s">
        <v>97</v>
      </c>
      <c r="C97" s="3" t="s">
        <v>96</v>
      </c>
      <c r="D97" s="3" t="s">
        <v>392</v>
      </c>
      <c r="E97" s="3" t="s">
        <v>393</v>
      </c>
      <c r="G97" s="1">
        <v>37</v>
      </c>
      <c r="I97" s="1" t="str">
        <f>VLOOKUP(G97,[1]Sheet2!$A$6:$F$43,5,0)</f>
        <v>"198503272014041001"</v>
      </c>
    </row>
    <row r="98" spans="1:9">
      <c r="A98" s="2">
        <f t="shared" si="2"/>
        <v>93</v>
      </c>
      <c r="B98" s="2" t="s">
        <v>95</v>
      </c>
      <c r="C98" s="3" t="s">
        <v>316</v>
      </c>
      <c r="D98" s="3" t="s">
        <v>392</v>
      </c>
      <c r="E98" s="3" t="s">
        <v>393</v>
      </c>
      <c r="G98" s="1">
        <v>37</v>
      </c>
      <c r="I98" s="1" t="str">
        <f>VLOOKUP(G98,[1]Sheet2!$A$6:$F$43,5,0)</f>
        <v>"198503272014041001"</v>
      </c>
    </row>
    <row r="99" spans="1:9">
      <c r="A99" s="2">
        <f t="shared" si="2"/>
        <v>94</v>
      </c>
      <c r="B99" s="2" t="s">
        <v>94</v>
      </c>
      <c r="C99" s="3" t="s">
        <v>93</v>
      </c>
      <c r="D99" s="3" t="s">
        <v>392</v>
      </c>
      <c r="E99" s="3" t="s">
        <v>393</v>
      </c>
      <c r="G99" s="1">
        <v>37</v>
      </c>
      <c r="I99" s="1" t="str">
        <f>VLOOKUP(G99,[1]Sheet2!$A$6:$F$43,5,0)</f>
        <v>"198503272014041001"</v>
      </c>
    </row>
    <row r="100" spans="1:9">
      <c r="A100" s="2">
        <f t="shared" si="2"/>
        <v>95</v>
      </c>
      <c r="B100" s="2" t="s">
        <v>92</v>
      </c>
      <c r="C100" s="3" t="s">
        <v>317</v>
      </c>
      <c r="D100" s="3" t="s">
        <v>394</v>
      </c>
      <c r="E100" s="3" t="s">
        <v>395</v>
      </c>
      <c r="G100" s="1">
        <v>38</v>
      </c>
      <c r="I100" s="1" t="str">
        <f>VLOOKUP(G100,[1]Sheet2!$A$6:$F$43,5,0)</f>
        <v>"198505262015041002"</v>
      </c>
    </row>
    <row r="101" spans="1:9">
      <c r="A101" s="2">
        <f t="shared" si="2"/>
        <v>96</v>
      </c>
      <c r="B101" s="2" t="s">
        <v>91</v>
      </c>
      <c r="C101" s="3" t="s">
        <v>318</v>
      </c>
      <c r="D101" s="3" t="s">
        <v>394</v>
      </c>
      <c r="E101" s="3" t="s">
        <v>395</v>
      </c>
      <c r="G101" s="1">
        <f t="shared" ref="G101:G102" si="3">G100</f>
        <v>38</v>
      </c>
      <c r="I101" s="1" t="str">
        <f>VLOOKUP(G101,[1]Sheet2!$A$6:$F$43,5,0)</f>
        <v>"198505262015041002"</v>
      </c>
    </row>
    <row r="102" spans="1:9">
      <c r="A102" s="2">
        <f t="shared" si="2"/>
        <v>97</v>
      </c>
      <c r="B102" s="2" t="s">
        <v>90</v>
      </c>
      <c r="C102" s="3" t="s">
        <v>319</v>
      </c>
      <c r="D102" s="3" t="s">
        <v>394</v>
      </c>
      <c r="E102" s="3" t="s">
        <v>395</v>
      </c>
      <c r="G102" s="1">
        <f t="shared" si="3"/>
        <v>38</v>
      </c>
      <c r="I102" s="1" t="str">
        <f>VLOOKUP(G102,[1]Sheet2!$A$6:$F$43,5,0)</f>
        <v>"198505262015041002"</v>
      </c>
    </row>
    <row r="103" spans="1:9">
      <c r="A103" s="2">
        <f t="shared" si="2"/>
        <v>98</v>
      </c>
      <c r="B103" s="2" t="s">
        <v>405</v>
      </c>
      <c r="C103" s="3" t="s">
        <v>406</v>
      </c>
      <c r="D103" s="3" t="s">
        <v>416</v>
      </c>
      <c r="E103" s="3" t="s">
        <v>418</v>
      </c>
      <c r="G103" s="1">
        <v>14</v>
      </c>
      <c r="I103" s="1" t="s">
        <v>419</v>
      </c>
    </row>
    <row r="104" spans="1:9">
      <c r="A104" s="2">
        <f t="shared" si="2"/>
        <v>99</v>
      </c>
      <c r="B104" s="2" t="s">
        <v>407</v>
      </c>
      <c r="C104" s="3" t="s">
        <v>408</v>
      </c>
      <c r="D104" s="3" t="s">
        <v>416</v>
      </c>
      <c r="E104" s="3" t="s">
        <v>418</v>
      </c>
      <c r="G104" s="1">
        <v>10</v>
      </c>
      <c r="I104" s="1" t="s">
        <v>419</v>
      </c>
    </row>
    <row r="105" spans="1:9">
      <c r="A105" s="2">
        <f t="shared" si="2"/>
        <v>100</v>
      </c>
      <c r="B105" s="2" t="s">
        <v>409</v>
      </c>
      <c r="C105" s="3" t="s">
        <v>410</v>
      </c>
      <c r="D105" s="3" t="s">
        <v>416</v>
      </c>
      <c r="E105" s="3" t="s">
        <v>418</v>
      </c>
      <c r="G105" s="1">
        <v>10</v>
      </c>
      <c r="I105" s="1" t="s">
        <v>419</v>
      </c>
    </row>
    <row r="106" spans="1:9">
      <c r="A106" s="11"/>
      <c r="B106" s="11"/>
      <c r="C106" s="12"/>
      <c r="D106" s="12"/>
      <c r="E106" s="12"/>
    </row>
    <row r="107" spans="1:9">
      <c r="A107" s="11"/>
      <c r="B107" s="11"/>
      <c r="C107" s="12"/>
      <c r="D107" s="12"/>
      <c r="E107" s="12"/>
    </row>
    <row r="109" spans="1:9" ht="15.75">
      <c r="A109" s="10" t="s">
        <v>328</v>
      </c>
    </row>
    <row r="110" spans="1:9" ht="33.75" customHeight="1">
      <c r="A110" s="19" t="s">
        <v>329</v>
      </c>
      <c r="B110" s="19"/>
      <c r="C110" s="19"/>
      <c r="D110" s="19"/>
      <c r="E110" s="19"/>
    </row>
  </sheetData>
  <mergeCells count="4">
    <mergeCell ref="A1:E1"/>
    <mergeCell ref="A2:E2"/>
    <mergeCell ref="A3:E3"/>
    <mergeCell ref="A110:E110"/>
  </mergeCells>
  <printOptions horizontalCentered="1"/>
  <pageMargins left="0.21" right="0.2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4"/>
  <sheetViews>
    <sheetView topLeftCell="A52" workbookViewId="0">
      <selection activeCell="D6" sqref="D6:D70"/>
    </sheetView>
  </sheetViews>
  <sheetFormatPr defaultRowHeight="15"/>
  <cols>
    <col min="1" max="1" width="5.7109375" style="1" customWidth="1"/>
    <col min="2" max="2" width="13.42578125" style="4" bestFit="1" customWidth="1"/>
    <col min="3" max="3" width="44.7109375" style="1" customWidth="1"/>
    <col min="4" max="4" width="42.140625" style="1" bestFit="1" customWidth="1"/>
    <col min="5" max="5" width="26.7109375" style="1" bestFit="1" customWidth="1"/>
    <col min="6" max="8" width="9.140625" style="1"/>
    <col min="9" max="9" width="26.7109375" style="1" bestFit="1" customWidth="1"/>
    <col min="10" max="10" width="9.140625" style="1"/>
    <col min="11" max="11" width="42.140625" style="1" bestFit="1" customWidth="1"/>
    <col min="12" max="16384" width="9.140625" style="1"/>
  </cols>
  <sheetData>
    <row r="1" spans="1:18" s="5" customFormat="1" ht="20.25">
      <c r="A1" s="18" t="s">
        <v>320</v>
      </c>
      <c r="B1" s="18"/>
      <c r="C1" s="18"/>
      <c r="D1" s="18"/>
      <c r="E1" s="18"/>
    </row>
    <row r="2" spans="1:18" s="5" customFormat="1" ht="20.25">
      <c r="A2" s="18" t="s">
        <v>324</v>
      </c>
      <c r="B2" s="18"/>
      <c r="C2" s="18"/>
      <c r="D2" s="18"/>
      <c r="E2" s="18"/>
    </row>
    <row r="3" spans="1:18" s="5" customFormat="1" ht="20.25">
      <c r="A3" s="18" t="s">
        <v>325</v>
      </c>
      <c r="B3" s="18"/>
      <c r="C3" s="18"/>
      <c r="D3" s="18"/>
      <c r="E3" s="18"/>
    </row>
    <row r="4" spans="1:18" s="5" customFormat="1">
      <c r="A4" s="6"/>
      <c r="B4" s="6"/>
      <c r="C4" s="8"/>
      <c r="D4" s="8"/>
      <c r="E4" s="8"/>
    </row>
    <row r="5" spans="1:18" s="5" customFormat="1" ht="21.75" customHeight="1">
      <c r="A5" s="7" t="s">
        <v>238</v>
      </c>
      <c r="B5" s="7" t="s">
        <v>237</v>
      </c>
      <c r="C5" s="7" t="s">
        <v>239</v>
      </c>
      <c r="D5" s="7" t="s">
        <v>322</v>
      </c>
      <c r="E5" s="7" t="s">
        <v>323</v>
      </c>
      <c r="L5" s="5" t="s">
        <v>417</v>
      </c>
    </row>
    <row r="6" spans="1:18" ht="15.75">
      <c r="A6" s="2">
        <v>1</v>
      </c>
      <c r="B6" s="2" t="s">
        <v>89</v>
      </c>
      <c r="C6" s="3" t="s">
        <v>88</v>
      </c>
      <c r="D6" s="3" t="s">
        <v>330</v>
      </c>
      <c r="E6" s="3" t="s">
        <v>331</v>
      </c>
      <c r="G6" s="1">
        <v>1</v>
      </c>
      <c r="I6" s="1" t="str">
        <f>VLOOKUP(G6,[1]Sheet2!$A$6:$F$43,5,0)</f>
        <v>"197003201997022001"</v>
      </c>
      <c r="K6" s="15" t="s">
        <v>348</v>
      </c>
      <c r="L6" s="1">
        <f t="shared" ref="L6:L43" si="0">COUNTIF($D$6:$D$70,K6)</f>
        <v>2</v>
      </c>
      <c r="M6" s="1">
        <f>COUNTIF(ELEKTRO!$D$6:$D$105,'ELEKTRO SORE'!K6)</f>
        <v>3</v>
      </c>
      <c r="N6" s="17">
        <v>2</v>
      </c>
      <c r="O6" s="17">
        <v>5</v>
      </c>
      <c r="Q6" s="1">
        <v>1</v>
      </c>
      <c r="R6" s="1">
        <v>1</v>
      </c>
    </row>
    <row r="7" spans="1:18" ht="15.75">
      <c r="A7" s="2">
        <f>A6+1</f>
        <v>2</v>
      </c>
      <c r="B7" s="2" t="s">
        <v>87</v>
      </c>
      <c r="C7" s="3" t="s">
        <v>240</v>
      </c>
      <c r="D7" s="3" t="s">
        <v>330</v>
      </c>
      <c r="E7" s="3" t="s">
        <v>331</v>
      </c>
      <c r="G7" s="1">
        <f>G6</f>
        <v>1</v>
      </c>
      <c r="I7" s="1" t="str">
        <f>VLOOKUP(G7,[1]Sheet2!$A$6:$F$43,5,0)</f>
        <v>"197003201997022001"</v>
      </c>
      <c r="K7" s="13" t="s">
        <v>354</v>
      </c>
      <c r="L7" s="1">
        <f t="shared" si="0"/>
        <v>2</v>
      </c>
      <c r="M7" s="1">
        <f>COUNTIF(ELEKTRO!$D$6:$D$105,'ELEKTRO SORE'!K7)</f>
        <v>3</v>
      </c>
      <c r="N7" s="17">
        <v>2</v>
      </c>
      <c r="O7" s="17">
        <v>4</v>
      </c>
      <c r="Q7" s="1">
        <f>Q6+1</f>
        <v>2</v>
      </c>
    </row>
    <row r="8" spans="1:18" ht="15.75">
      <c r="A8" s="2">
        <f t="shared" ref="A8:A70" si="1">A7+1</f>
        <v>3</v>
      </c>
      <c r="B8" s="2" t="s">
        <v>86</v>
      </c>
      <c r="C8" s="3" t="s">
        <v>85</v>
      </c>
      <c r="D8" s="3" t="s">
        <v>332</v>
      </c>
      <c r="E8" s="3" t="s">
        <v>333</v>
      </c>
      <c r="G8" s="1">
        <v>2</v>
      </c>
      <c r="I8" s="1" t="str">
        <f>VLOOKUP(G8,[1]Sheet2!$A$6:$F$43,5,0)</f>
        <v>"197106071997021002"</v>
      </c>
      <c r="K8" s="15" t="s">
        <v>346</v>
      </c>
      <c r="L8" s="1">
        <f t="shared" si="0"/>
        <v>2</v>
      </c>
      <c r="M8" s="1">
        <f>COUNTIF(ELEKTRO!$D$6:$D$105,'ELEKTRO SORE'!K8)</f>
        <v>3</v>
      </c>
      <c r="N8" s="17">
        <v>4</v>
      </c>
      <c r="O8" s="17">
        <v>3</v>
      </c>
      <c r="Q8" s="1">
        <f t="shared" ref="Q8:Q38" si="2">Q7+1</f>
        <v>3</v>
      </c>
    </row>
    <row r="9" spans="1:18" ht="15.75">
      <c r="A9" s="2">
        <f t="shared" si="1"/>
        <v>4</v>
      </c>
      <c r="B9" s="2" t="s">
        <v>84</v>
      </c>
      <c r="C9" s="3" t="s">
        <v>83</v>
      </c>
      <c r="D9" s="3" t="s">
        <v>332</v>
      </c>
      <c r="E9" s="3" t="s">
        <v>333</v>
      </c>
      <c r="G9" s="1">
        <f>G8</f>
        <v>2</v>
      </c>
      <c r="I9" s="1" t="str">
        <f>VLOOKUP(G9,[1]Sheet2!$A$6:$F$43,5,0)</f>
        <v>"197106071997021002"</v>
      </c>
      <c r="K9" s="13" t="s">
        <v>376</v>
      </c>
      <c r="L9" s="1">
        <f t="shared" si="0"/>
        <v>2</v>
      </c>
      <c r="M9" s="1">
        <f>COUNTIF(ELEKTRO!$D$6:$D$105,'ELEKTRO SORE'!K9)</f>
        <v>3</v>
      </c>
      <c r="N9" s="17">
        <v>4</v>
      </c>
      <c r="O9" s="17">
        <v>3</v>
      </c>
      <c r="Q9" s="1">
        <f t="shared" si="2"/>
        <v>4</v>
      </c>
    </row>
    <row r="10" spans="1:18" ht="15.75">
      <c r="A10" s="2">
        <f t="shared" si="1"/>
        <v>5</v>
      </c>
      <c r="B10" s="2" t="s">
        <v>82</v>
      </c>
      <c r="C10" s="3" t="s">
        <v>241</v>
      </c>
      <c r="D10" s="3" t="s">
        <v>334</v>
      </c>
      <c r="E10" s="3" t="s">
        <v>335</v>
      </c>
      <c r="G10" s="1">
        <v>3</v>
      </c>
      <c r="I10" s="1" t="str">
        <f>VLOOKUP(G10,[1]Sheet2!$A$6:$F$43,5,0)</f>
        <v>"196604241997021001"</v>
      </c>
      <c r="K10" s="13" t="s">
        <v>356</v>
      </c>
      <c r="L10" s="1">
        <f t="shared" si="0"/>
        <v>2</v>
      </c>
      <c r="M10" s="1">
        <f>COUNTIF(ELEKTRO!$D$6:$D$105,'ELEKTRO SORE'!K10)</f>
        <v>3</v>
      </c>
      <c r="N10" s="17">
        <v>3</v>
      </c>
      <c r="O10" s="17">
        <v>3</v>
      </c>
      <c r="Q10" s="1">
        <f t="shared" si="2"/>
        <v>5</v>
      </c>
    </row>
    <row r="11" spans="1:18" ht="15.75">
      <c r="A11" s="2">
        <f t="shared" si="1"/>
        <v>6</v>
      </c>
      <c r="B11" s="2" t="s">
        <v>81</v>
      </c>
      <c r="C11" s="3" t="s">
        <v>242</v>
      </c>
      <c r="D11" s="3" t="s">
        <v>334</v>
      </c>
      <c r="E11" s="3" t="s">
        <v>335</v>
      </c>
      <c r="G11" s="1">
        <f>G10</f>
        <v>3</v>
      </c>
      <c r="I11" s="1" t="str">
        <f>VLOOKUP(G11,[1]Sheet2!$A$6:$F$43,5,0)</f>
        <v>"196604241997021001"</v>
      </c>
      <c r="K11" s="13" t="s">
        <v>364</v>
      </c>
      <c r="L11" s="1">
        <f t="shared" si="0"/>
        <v>2</v>
      </c>
      <c r="M11" s="1">
        <f>COUNTIF(ELEKTRO!$D$6:$D$105,'ELEKTRO SORE'!K11)</f>
        <v>3</v>
      </c>
      <c r="N11" s="17">
        <v>3</v>
      </c>
      <c r="O11" s="17">
        <v>3</v>
      </c>
      <c r="Q11" s="1">
        <f t="shared" si="2"/>
        <v>6</v>
      </c>
    </row>
    <row r="12" spans="1:18" ht="15.75">
      <c r="A12" s="2">
        <f t="shared" si="1"/>
        <v>7</v>
      </c>
      <c r="B12" s="2" t="s">
        <v>80</v>
      </c>
      <c r="C12" s="3" t="s">
        <v>243</v>
      </c>
      <c r="D12" s="3" t="s">
        <v>336</v>
      </c>
      <c r="E12" s="3" t="s">
        <v>337</v>
      </c>
      <c r="G12" s="1">
        <v>4</v>
      </c>
      <c r="I12" s="1" t="str">
        <f>VLOOKUP(G12,[1]Sheet2!$A$6:$F$43,5,0)</f>
        <v>"196906121997021001"</v>
      </c>
      <c r="K12" s="13" t="s">
        <v>330</v>
      </c>
      <c r="L12" s="1">
        <f t="shared" si="0"/>
        <v>2</v>
      </c>
      <c r="M12" s="1">
        <f>COUNTIF(ELEKTRO!$D$6:$D$105,'ELEKTRO SORE'!K12)</f>
        <v>3</v>
      </c>
      <c r="N12" s="17">
        <v>2</v>
      </c>
      <c r="O12" s="17">
        <v>3</v>
      </c>
      <c r="Q12" s="1">
        <f t="shared" si="2"/>
        <v>7</v>
      </c>
    </row>
    <row r="13" spans="1:18" ht="15.75">
      <c r="A13" s="2">
        <f t="shared" si="1"/>
        <v>8</v>
      </c>
      <c r="B13" s="2" t="s">
        <v>79</v>
      </c>
      <c r="C13" s="3" t="s">
        <v>244</v>
      </c>
      <c r="D13" s="3" t="s">
        <v>336</v>
      </c>
      <c r="E13" s="3" t="s">
        <v>337</v>
      </c>
      <c r="G13" s="1">
        <f>G12</f>
        <v>4</v>
      </c>
      <c r="I13" s="1" t="str">
        <f>VLOOKUP(G13,[1]Sheet2!$A$6:$F$43,5,0)</f>
        <v>"196906121997021001"</v>
      </c>
      <c r="K13" s="13" t="s">
        <v>332</v>
      </c>
      <c r="L13" s="1">
        <f t="shared" si="0"/>
        <v>2</v>
      </c>
      <c r="M13" s="1">
        <f>COUNTIF(ELEKTRO!$D$6:$D$105,'ELEKTRO SORE'!K13)</f>
        <v>3</v>
      </c>
      <c r="N13" s="17">
        <v>2</v>
      </c>
      <c r="O13" s="17">
        <v>3</v>
      </c>
      <c r="Q13" s="1">
        <f t="shared" si="2"/>
        <v>8</v>
      </c>
    </row>
    <row r="14" spans="1:18" ht="15.75">
      <c r="A14" s="2">
        <f t="shared" si="1"/>
        <v>9</v>
      </c>
      <c r="B14" s="2" t="s">
        <v>78</v>
      </c>
      <c r="C14" s="3" t="s">
        <v>245</v>
      </c>
      <c r="D14" s="3" t="s">
        <v>338</v>
      </c>
      <c r="E14" s="3" t="s">
        <v>339</v>
      </c>
      <c r="G14" s="1">
        <v>5</v>
      </c>
      <c r="I14" s="1" t="str">
        <f>VLOOKUP(G14,[1]Sheet2!$A$6:$F$43,5,0)</f>
        <v>"196712311997021001"</v>
      </c>
      <c r="K14" s="13" t="s">
        <v>334</v>
      </c>
      <c r="L14" s="1">
        <f t="shared" si="0"/>
        <v>2</v>
      </c>
      <c r="M14" s="1">
        <f>COUNTIF(ELEKTRO!$D$6:$D$105,'ELEKTRO SORE'!K14)</f>
        <v>3</v>
      </c>
      <c r="N14" s="17">
        <v>2</v>
      </c>
      <c r="O14" s="17">
        <v>3</v>
      </c>
      <c r="Q14" s="1">
        <f t="shared" si="2"/>
        <v>9</v>
      </c>
    </row>
    <row r="15" spans="1:18" ht="15.75">
      <c r="A15" s="2">
        <f t="shared" si="1"/>
        <v>10</v>
      </c>
      <c r="B15" s="2" t="s">
        <v>77</v>
      </c>
      <c r="C15" s="3" t="s">
        <v>76</v>
      </c>
      <c r="D15" s="3" t="s">
        <v>338</v>
      </c>
      <c r="E15" s="3" t="s">
        <v>339</v>
      </c>
      <c r="G15" s="1">
        <f>G14</f>
        <v>5</v>
      </c>
      <c r="I15" s="1" t="str">
        <f>VLOOKUP(G15,[1]Sheet2!$A$6:$F$43,5,0)</f>
        <v>"196712311997021001"</v>
      </c>
      <c r="K15" s="13" t="s">
        <v>336</v>
      </c>
      <c r="L15" s="1">
        <f t="shared" si="0"/>
        <v>2</v>
      </c>
      <c r="M15" s="1">
        <f>COUNTIF(ELEKTRO!$D$6:$D$105,'ELEKTRO SORE'!K15)</f>
        <v>3</v>
      </c>
      <c r="N15" s="17">
        <v>2</v>
      </c>
      <c r="O15" s="17">
        <v>3</v>
      </c>
      <c r="Q15" s="1">
        <f t="shared" si="2"/>
        <v>10</v>
      </c>
    </row>
    <row r="16" spans="1:18" ht="15.75">
      <c r="A16" s="2">
        <f t="shared" si="1"/>
        <v>11</v>
      </c>
      <c r="B16" s="2" t="s">
        <v>75</v>
      </c>
      <c r="C16" s="3" t="s">
        <v>74</v>
      </c>
      <c r="D16" s="3" t="s">
        <v>340</v>
      </c>
      <c r="E16" s="3" t="s">
        <v>341</v>
      </c>
      <c r="G16" s="1">
        <v>6</v>
      </c>
      <c r="I16" s="1" t="str">
        <f>VLOOKUP(G16,[1]Sheet2!$A$6:$F$43,5,0)</f>
        <v>"196705261997031001"</v>
      </c>
      <c r="K16" s="13" t="s">
        <v>338</v>
      </c>
      <c r="L16" s="1">
        <f t="shared" si="0"/>
        <v>2</v>
      </c>
      <c r="M16" s="1">
        <f>COUNTIF(ELEKTRO!$D$6:$D$105,'ELEKTRO SORE'!K16)</f>
        <v>3</v>
      </c>
      <c r="N16" s="17">
        <v>2</v>
      </c>
      <c r="O16" s="17">
        <v>3</v>
      </c>
      <c r="Q16" s="1">
        <f t="shared" si="2"/>
        <v>11</v>
      </c>
    </row>
    <row r="17" spans="1:17" ht="15.75">
      <c r="A17" s="2">
        <f t="shared" si="1"/>
        <v>12</v>
      </c>
      <c r="B17" s="2" t="s">
        <v>73</v>
      </c>
      <c r="C17" s="3" t="s">
        <v>72</v>
      </c>
      <c r="D17" s="3" t="s">
        <v>340</v>
      </c>
      <c r="E17" s="3" t="s">
        <v>341</v>
      </c>
      <c r="G17" s="1">
        <f>G16</f>
        <v>6</v>
      </c>
      <c r="I17" s="1" t="str">
        <f>VLOOKUP(G17,[1]Sheet2!$A$6:$F$43,5,0)</f>
        <v>"196705261997031001"</v>
      </c>
      <c r="K17" s="13" t="s">
        <v>340</v>
      </c>
      <c r="L17" s="1">
        <f t="shared" si="0"/>
        <v>2</v>
      </c>
      <c r="M17" s="1">
        <f>COUNTIF(ELEKTRO!$D$6:$D$105,'ELEKTRO SORE'!K17)</f>
        <v>3</v>
      </c>
      <c r="N17" s="17">
        <v>2</v>
      </c>
      <c r="O17" s="17">
        <v>3</v>
      </c>
      <c r="Q17" s="1">
        <f t="shared" si="2"/>
        <v>12</v>
      </c>
    </row>
    <row r="18" spans="1:17" ht="15.75">
      <c r="A18" s="2">
        <f t="shared" si="1"/>
        <v>13</v>
      </c>
      <c r="B18" s="2" t="s">
        <v>71</v>
      </c>
      <c r="C18" s="3" t="s">
        <v>246</v>
      </c>
      <c r="D18" s="3" t="s">
        <v>342</v>
      </c>
      <c r="E18" s="3" t="s">
        <v>343</v>
      </c>
      <c r="G18" s="1">
        <v>7</v>
      </c>
      <c r="I18" s="1" t="str">
        <f>VLOOKUP(G18,[1]Sheet2!$A$6:$F$43,5,0)</f>
        <v>"196810051997031001"</v>
      </c>
      <c r="K18" s="14" t="s">
        <v>342</v>
      </c>
      <c r="L18" s="1">
        <f t="shared" si="0"/>
        <v>2</v>
      </c>
      <c r="M18" s="1">
        <f>COUNTIF(ELEKTRO!$D$6:$D$105,'ELEKTRO SORE'!K18)</f>
        <v>3</v>
      </c>
      <c r="N18" s="17">
        <v>2</v>
      </c>
      <c r="O18" s="17">
        <v>3</v>
      </c>
      <c r="Q18" s="1">
        <f t="shared" si="2"/>
        <v>13</v>
      </c>
    </row>
    <row r="19" spans="1:17" ht="15.75">
      <c r="A19" s="2">
        <f t="shared" si="1"/>
        <v>14</v>
      </c>
      <c r="B19" s="2" t="s">
        <v>70</v>
      </c>
      <c r="C19" s="3" t="s">
        <v>69</v>
      </c>
      <c r="D19" s="3" t="s">
        <v>342</v>
      </c>
      <c r="E19" s="3" t="s">
        <v>343</v>
      </c>
      <c r="G19" s="1">
        <f>G18</f>
        <v>7</v>
      </c>
      <c r="I19" s="1" t="str">
        <f>VLOOKUP(G19,[1]Sheet2!$A$6:$F$43,5,0)</f>
        <v>"196810051997031001"</v>
      </c>
      <c r="K19" s="15" t="s">
        <v>344</v>
      </c>
      <c r="L19" s="1">
        <f t="shared" si="0"/>
        <v>2</v>
      </c>
      <c r="M19" s="1">
        <f>COUNTIF(ELEKTRO!$D$6:$D$105,'ELEKTRO SORE'!K19)</f>
        <v>3</v>
      </c>
      <c r="N19" s="17">
        <v>2</v>
      </c>
      <c r="O19" s="17">
        <v>3</v>
      </c>
      <c r="Q19" s="1">
        <f t="shared" si="2"/>
        <v>14</v>
      </c>
    </row>
    <row r="20" spans="1:17" ht="15.75">
      <c r="A20" s="2">
        <f t="shared" si="1"/>
        <v>15</v>
      </c>
      <c r="B20" s="2" t="s">
        <v>68</v>
      </c>
      <c r="C20" s="3" t="s">
        <v>247</v>
      </c>
      <c r="D20" s="3" t="s">
        <v>344</v>
      </c>
      <c r="E20" s="3" t="s">
        <v>345</v>
      </c>
      <c r="G20" s="1">
        <v>8</v>
      </c>
      <c r="I20" s="1" t="str">
        <f>VLOOKUP(G20,[1]Sheet2!$A$6:$F$43,5,0)</f>
        <v>"197009081998021001"</v>
      </c>
      <c r="K20" s="13" t="s">
        <v>350</v>
      </c>
      <c r="L20" s="1">
        <f t="shared" si="0"/>
        <v>2</v>
      </c>
      <c r="M20" s="1">
        <f>COUNTIF(ELEKTRO!$D$6:$D$105,'ELEKTRO SORE'!K20)</f>
        <v>3</v>
      </c>
      <c r="N20" s="17">
        <v>2</v>
      </c>
      <c r="O20" s="17">
        <v>3</v>
      </c>
      <c r="Q20" s="1">
        <f t="shared" si="2"/>
        <v>15</v>
      </c>
    </row>
    <row r="21" spans="1:17" ht="15.75">
      <c r="A21" s="2">
        <f t="shared" si="1"/>
        <v>16</v>
      </c>
      <c r="B21" s="2" t="s">
        <v>67</v>
      </c>
      <c r="C21" s="3" t="s">
        <v>66</v>
      </c>
      <c r="D21" s="3" t="s">
        <v>344</v>
      </c>
      <c r="E21" s="3" t="s">
        <v>345</v>
      </c>
      <c r="G21" s="1">
        <f>G20</f>
        <v>8</v>
      </c>
      <c r="I21" s="1" t="str">
        <f>VLOOKUP(G21,[1]Sheet2!$A$6:$F$43,5,0)</f>
        <v>"197009081998021001"</v>
      </c>
      <c r="K21" s="13" t="s">
        <v>352</v>
      </c>
      <c r="L21" s="1">
        <f t="shared" si="0"/>
        <v>2</v>
      </c>
      <c r="M21" s="1">
        <f>COUNTIF(ELEKTRO!$D$6:$D$105,'ELEKTRO SORE'!K21)</f>
        <v>3</v>
      </c>
      <c r="N21" s="17">
        <v>2</v>
      </c>
      <c r="O21" s="17">
        <v>3</v>
      </c>
      <c r="Q21" s="1">
        <f t="shared" si="2"/>
        <v>16</v>
      </c>
    </row>
    <row r="22" spans="1:17" ht="15.75">
      <c r="A22" s="2">
        <f t="shared" si="1"/>
        <v>17</v>
      </c>
      <c r="B22" s="2" t="s">
        <v>65</v>
      </c>
      <c r="C22" s="3" t="s">
        <v>64</v>
      </c>
      <c r="D22" s="3" t="s">
        <v>346</v>
      </c>
      <c r="E22" s="3" t="s">
        <v>347</v>
      </c>
      <c r="G22" s="1">
        <v>9</v>
      </c>
      <c r="I22" s="1" t="str">
        <f>VLOOKUP(G22,[1]Sheet2!$A$6:$F$43,5,0)</f>
        <v>"196910281998021001"</v>
      </c>
      <c r="K22" s="13" t="s">
        <v>360</v>
      </c>
      <c r="L22" s="1">
        <f t="shared" si="0"/>
        <v>2</v>
      </c>
      <c r="M22" s="1">
        <f>COUNTIF(ELEKTRO!$D$6:$D$105,'ELEKTRO SORE'!K22)</f>
        <v>3</v>
      </c>
      <c r="N22" s="17">
        <v>2</v>
      </c>
      <c r="O22" s="17">
        <v>3</v>
      </c>
      <c r="Q22" s="1">
        <f t="shared" si="2"/>
        <v>17</v>
      </c>
    </row>
    <row r="23" spans="1:17" ht="15.75">
      <c r="A23" s="2">
        <f t="shared" si="1"/>
        <v>18</v>
      </c>
      <c r="B23" s="2" t="s">
        <v>63</v>
      </c>
      <c r="C23" s="3" t="s">
        <v>248</v>
      </c>
      <c r="D23" s="3" t="s">
        <v>346</v>
      </c>
      <c r="E23" s="3" t="s">
        <v>347</v>
      </c>
      <c r="G23" s="1">
        <f>G22</f>
        <v>9</v>
      </c>
      <c r="I23" s="1" t="str">
        <f>VLOOKUP(G23,[1]Sheet2!$A$6:$F$43,5,0)</f>
        <v>"196910281998021001"</v>
      </c>
      <c r="K23" s="13" t="s">
        <v>362</v>
      </c>
      <c r="L23" s="1">
        <f t="shared" si="0"/>
        <v>2</v>
      </c>
      <c r="M23" s="1">
        <f>COUNTIF(ELEKTRO!$D$6:$D$105,'ELEKTRO SORE'!K23)</f>
        <v>3</v>
      </c>
      <c r="N23" s="17">
        <v>2</v>
      </c>
      <c r="O23" s="17">
        <v>3</v>
      </c>
      <c r="Q23" s="1">
        <f t="shared" si="2"/>
        <v>18</v>
      </c>
    </row>
    <row r="24" spans="1:17" ht="15.75">
      <c r="A24" s="2">
        <f t="shared" si="1"/>
        <v>19</v>
      </c>
      <c r="B24" s="2" t="s">
        <v>62</v>
      </c>
      <c r="C24" s="3" t="s">
        <v>61</v>
      </c>
      <c r="D24" s="3" t="s">
        <v>348</v>
      </c>
      <c r="E24" s="3" t="s">
        <v>349</v>
      </c>
      <c r="G24" s="1">
        <v>10</v>
      </c>
      <c r="I24" s="1" t="str">
        <f>VLOOKUP(G24,[1]Sheet2!$A$6:$F$43,5,0)</f>
        <v>"197008231998022001"</v>
      </c>
      <c r="K24" s="15" t="s">
        <v>366</v>
      </c>
      <c r="L24" s="1">
        <f t="shared" si="0"/>
        <v>2</v>
      </c>
      <c r="M24" s="1">
        <f>COUNTIF(ELEKTRO!$D$6:$D$105,'ELEKTRO SORE'!K24)</f>
        <v>3</v>
      </c>
      <c r="N24" s="17">
        <v>2</v>
      </c>
      <c r="O24" s="17">
        <v>3</v>
      </c>
      <c r="Q24" s="1">
        <f t="shared" si="2"/>
        <v>19</v>
      </c>
    </row>
    <row r="25" spans="1:17" ht="15.75">
      <c r="A25" s="2">
        <f t="shared" si="1"/>
        <v>20</v>
      </c>
      <c r="B25" s="2" t="s">
        <v>60</v>
      </c>
      <c r="C25" s="3" t="s">
        <v>59</v>
      </c>
      <c r="D25" s="3" t="s">
        <v>348</v>
      </c>
      <c r="E25" s="3" t="s">
        <v>349</v>
      </c>
      <c r="G25" s="1">
        <f>G24</f>
        <v>10</v>
      </c>
      <c r="I25" s="1" t="str">
        <f>VLOOKUP(G25,[1]Sheet2!$A$6:$F$43,5,0)</f>
        <v>"197008231998022001"</v>
      </c>
      <c r="K25" s="13" t="s">
        <v>370</v>
      </c>
      <c r="L25" s="1">
        <f t="shared" si="0"/>
        <v>2</v>
      </c>
      <c r="M25" s="1">
        <f>COUNTIF(ELEKTRO!$D$6:$D$105,'ELEKTRO SORE'!K25)</f>
        <v>3</v>
      </c>
      <c r="N25" s="17">
        <v>2</v>
      </c>
      <c r="O25" s="17">
        <v>3</v>
      </c>
      <c r="Q25" s="1">
        <f t="shared" si="2"/>
        <v>20</v>
      </c>
    </row>
    <row r="26" spans="1:17" ht="15.75">
      <c r="A26" s="2">
        <f t="shared" si="1"/>
        <v>21</v>
      </c>
      <c r="B26" s="2" t="s">
        <v>58</v>
      </c>
      <c r="C26" s="3" t="s">
        <v>249</v>
      </c>
      <c r="D26" s="3" t="s">
        <v>350</v>
      </c>
      <c r="E26" s="3" t="s">
        <v>351</v>
      </c>
      <c r="G26" s="1">
        <v>12</v>
      </c>
      <c r="I26" s="1" t="str">
        <f>VLOOKUP(G26,[1]Sheet2!$A$6:$F$43,5,0)</f>
        <v>"197402261998031004"</v>
      </c>
      <c r="K26" s="15" t="s">
        <v>372</v>
      </c>
      <c r="L26" s="1">
        <f t="shared" si="0"/>
        <v>2</v>
      </c>
      <c r="M26" s="1">
        <f>COUNTIF(ELEKTRO!$D$6:$D$105,'ELEKTRO SORE'!K26)</f>
        <v>3</v>
      </c>
      <c r="N26" s="17">
        <v>2</v>
      </c>
      <c r="O26" s="17">
        <v>3</v>
      </c>
      <c r="Q26" s="1">
        <f t="shared" si="2"/>
        <v>21</v>
      </c>
    </row>
    <row r="27" spans="1:17" ht="15.75">
      <c r="A27" s="2">
        <f t="shared" si="1"/>
        <v>22</v>
      </c>
      <c r="B27" s="2" t="s">
        <v>57</v>
      </c>
      <c r="C27" s="3" t="s">
        <v>250</v>
      </c>
      <c r="D27" s="3" t="s">
        <v>350</v>
      </c>
      <c r="E27" s="3" t="s">
        <v>351</v>
      </c>
      <c r="G27" s="1">
        <f>G26</f>
        <v>12</v>
      </c>
      <c r="I27" s="1" t="str">
        <f>VLOOKUP(G27,[1]Sheet2!$A$6:$F$43,5,0)</f>
        <v>"197402261998031004"</v>
      </c>
      <c r="K27" s="13" t="s">
        <v>374</v>
      </c>
      <c r="L27" s="1">
        <f t="shared" si="0"/>
        <v>2</v>
      </c>
      <c r="M27" s="1">
        <f>COUNTIF(ELEKTRO!$D$6:$D$105,'ELEKTRO SORE'!K27)</f>
        <v>3</v>
      </c>
      <c r="N27" s="17">
        <v>2</v>
      </c>
      <c r="O27" s="17">
        <v>3</v>
      </c>
      <c r="Q27" s="1">
        <f t="shared" si="2"/>
        <v>22</v>
      </c>
    </row>
    <row r="28" spans="1:17" ht="15.75">
      <c r="A28" s="2">
        <f t="shared" si="1"/>
        <v>23</v>
      </c>
      <c r="B28" s="2" t="s">
        <v>56</v>
      </c>
      <c r="C28" s="3" t="s">
        <v>251</v>
      </c>
      <c r="D28" s="3" t="s">
        <v>352</v>
      </c>
      <c r="E28" s="3" t="s">
        <v>353</v>
      </c>
      <c r="G28" s="1">
        <v>13</v>
      </c>
      <c r="I28" s="1" t="str">
        <f>VLOOKUP(G28,[1]Sheet2!$A$6:$F$43,5,0)</f>
        <v>"197102111998031002"</v>
      </c>
      <c r="K28" s="13" t="s">
        <v>378</v>
      </c>
      <c r="L28" s="1">
        <f t="shared" si="0"/>
        <v>2</v>
      </c>
      <c r="M28" s="1">
        <f>COUNTIF(ELEKTRO!$D$6:$D$105,'ELEKTRO SORE'!K28)</f>
        <v>3</v>
      </c>
      <c r="N28" s="17">
        <v>2</v>
      </c>
      <c r="O28" s="17">
        <v>3</v>
      </c>
      <c r="Q28" s="1">
        <f t="shared" si="2"/>
        <v>23</v>
      </c>
    </row>
    <row r="29" spans="1:17" ht="15.75">
      <c r="A29" s="2">
        <f t="shared" si="1"/>
        <v>24</v>
      </c>
      <c r="B29" s="2" t="s">
        <v>55</v>
      </c>
      <c r="C29" s="3" t="s">
        <v>54</v>
      </c>
      <c r="D29" s="3" t="s">
        <v>352</v>
      </c>
      <c r="E29" s="3" t="s">
        <v>353</v>
      </c>
      <c r="G29" s="1">
        <f>G28</f>
        <v>13</v>
      </c>
      <c r="I29" s="1" t="str">
        <f>VLOOKUP(G29,[1]Sheet2!$A$6:$F$43,5,0)</f>
        <v>"197102111998031002"</v>
      </c>
      <c r="K29" s="13" t="s">
        <v>382</v>
      </c>
      <c r="L29" s="1">
        <f t="shared" si="0"/>
        <v>2</v>
      </c>
      <c r="M29" s="1">
        <f>COUNTIF(ELEKTRO!$D$6:$D$105,'ELEKTRO SORE'!K29)</f>
        <v>3</v>
      </c>
      <c r="N29" s="17">
        <v>2</v>
      </c>
      <c r="O29" s="17">
        <v>3</v>
      </c>
      <c r="Q29" s="1">
        <f t="shared" si="2"/>
        <v>24</v>
      </c>
    </row>
    <row r="30" spans="1:17" ht="15.75">
      <c r="A30" s="2">
        <f t="shared" si="1"/>
        <v>25</v>
      </c>
      <c r="B30" s="2" t="s">
        <v>53</v>
      </c>
      <c r="C30" s="3" t="s">
        <v>52</v>
      </c>
      <c r="D30" s="3" t="s">
        <v>354</v>
      </c>
      <c r="E30" s="3" t="s">
        <v>355</v>
      </c>
      <c r="G30" s="1">
        <v>14</v>
      </c>
      <c r="I30" s="1" t="str">
        <f>VLOOKUP(G30,[1]Sheet2!$A$6:$F$43,5,0)</f>
        <v>"197205091998031002"</v>
      </c>
      <c r="K30" s="13" t="s">
        <v>384</v>
      </c>
      <c r="L30" s="1">
        <f t="shared" si="0"/>
        <v>2</v>
      </c>
      <c r="M30" s="1">
        <f>COUNTIF(ELEKTRO!$D$6:$D$105,'ELEKTRO SORE'!K30)</f>
        <v>3</v>
      </c>
      <c r="N30" s="17">
        <v>2</v>
      </c>
      <c r="O30" s="17">
        <v>3</v>
      </c>
      <c r="Q30" s="1">
        <f t="shared" si="2"/>
        <v>25</v>
      </c>
    </row>
    <row r="31" spans="1:17" ht="15.75">
      <c r="A31" s="2">
        <f t="shared" si="1"/>
        <v>26</v>
      </c>
      <c r="B31" s="2" t="s">
        <v>51</v>
      </c>
      <c r="C31" s="3" t="s">
        <v>50</v>
      </c>
      <c r="D31" s="3" t="s">
        <v>354</v>
      </c>
      <c r="E31" s="3" t="s">
        <v>355</v>
      </c>
      <c r="G31" s="1">
        <f>G30</f>
        <v>14</v>
      </c>
      <c r="I31" s="1" t="str">
        <f>VLOOKUP(G31,[1]Sheet2!$A$6:$F$43,5,0)</f>
        <v>"197205091998031002"</v>
      </c>
      <c r="K31" s="13" t="s">
        <v>386</v>
      </c>
      <c r="L31" s="1">
        <f t="shared" si="0"/>
        <v>2</v>
      </c>
      <c r="M31" s="1">
        <f>COUNTIF(ELEKTRO!$D$6:$D$105,'ELEKTRO SORE'!K31)</f>
        <v>3</v>
      </c>
      <c r="N31" s="17">
        <v>2</v>
      </c>
      <c r="O31" s="17">
        <v>3</v>
      </c>
      <c r="Q31" s="1">
        <f t="shared" si="2"/>
        <v>26</v>
      </c>
    </row>
    <row r="32" spans="1:17" ht="15.75">
      <c r="A32" s="2">
        <f t="shared" si="1"/>
        <v>27</v>
      </c>
      <c r="B32" s="2" t="s">
        <v>49</v>
      </c>
      <c r="C32" s="3" t="s">
        <v>48</v>
      </c>
      <c r="D32" s="3" t="s">
        <v>356</v>
      </c>
      <c r="E32" s="3" t="s">
        <v>357</v>
      </c>
      <c r="G32" s="1">
        <v>15</v>
      </c>
      <c r="I32" s="1" t="str">
        <f>VLOOKUP(G32,[1]Sheet2!$A$6:$F$43,5,0)</f>
        <v>"197210261998031002"</v>
      </c>
      <c r="K32" s="16" t="s">
        <v>392</v>
      </c>
      <c r="L32" s="1">
        <f t="shared" si="0"/>
        <v>2</v>
      </c>
      <c r="M32" s="1">
        <f>COUNTIF(ELEKTRO!$D$6:$D$105,'ELEKTRO SORE'!K32)</f>
        <v>3</v>
      </c>
      <c r="N32" s="17">
        <v>2</v>
      </c>
      <c r="O32" s="17">
        <v>3</v>
      </c>
      <c r="Q32" s="1">
        <f t="shared" si="2"/>
        <v>27</v>
      </c>
    </row>
    <row r="33" spans="1:17" ht="15.75">
      <c r="A33" s="2">
        <f t="shared" si="1"/>
        <v>28</v>
      </c>
      <c r="B33" s="2" t="s">
        <v>47</v>
      </c>
      <c r="C33" s="3" t="s">
        <v>252</v>
      </c>
      <c r="D33" s="3" t="s">
        <v>356</v>
      </c>
      <c r="E33" s="3" t="s">
        <v>357</v>
      </c>
      <c r="G33" s="1">
        <f>G32</f>
        <v>15</v>
      </c>
      <c r="I33" s="1" t="str">
        <f>VLOOKUP(G33,[1]Sheet2!$A$6:$F$43,5,0)</f>
        <v>"197210261998031002"</v>
      </c>
      <c r="K33" s="16" t="s">
        <v>394</v>
      </c>
      <c r="L33" s="1">
        <f t="shared" si="0"/>
        <v>2</v>
      </c>
      <c r="M33" s="1">
        <f>COUNTIF(ELEKTRO!$D$6:$D$105,'ELEKTRO SORE'!K33)</f>
        <v>3</v>
      </c>
      <c r="N33" s="17">
        <v>2</v>
      </c>
      <c r="O33" s="17">
        <v>3</v>
      </c>
      <c r="Q33" s="1">
        <f t="shared" si="2"/>
        <v>28</v>
      </c>
    </row>
    <row r="34" spans="1:17" ht="15.75">
      <c r="A34" s="2">
        <f t="shared" si="1"/>
        <v>29</v>
      </c>
      <c r="B34" s="2" t="s">
        <v>46</v>
      </c>
      <c r="C34" s="3" t="s">
        <v>45</v>
      </c>
      <c r="D34" s="3" t="s">
        <v>360</v>
      </c>
      <c r="E34" s="3" t="s">
        <v>361</v>
      </c>
      <c r="G34" s="1">
        <v>18</v>
      </c>
      <c r="I34" s="1" t="str">
        <f>VLOOKUP(G34,[1]Sheet2!$A$6:$F$43,5,0)</f>
        <v>"197202221999031002"</v>
      </c>
      <c r="K34" s="15" t="s">
        <v>380</v>
      </c>
      <c r="L34" s="1">
        <f t="shared" si="0"/>
        <v>0</v>
      </c>
      <c r="M34" s="1">
        <f>COUNTIF(ELEKTRO!$D$6:$D$105,'ELEKTRO SORE'!K34)</f>
        <v>3</v>
      </c>
      <c r="N34" s="17">
        <v>0</v>
      </c>
      <c r="O34" s="17">
        <v>3</v>
      </c>
      <c r="Q34" s="1">
        <f t="shared" si="2"/>
        <v>29</v>
      </c>
    </row>
    <row r="35" spans="1:17" ht="15.75">
      <c r="A35" s="2">
        <f t="shared" si="1"/>
        <v>30</v>
      </c>
      <c r="B35" s="2" t="s">
        <v>44</v>
      </c>
      <c r="C35" s="3" t="s">
        <v>253</v>
      </c>
      <c r="D35" s="3" t="s">
        <v>360</v>
      </c>
      <c r="E35" s="3" t="s">
        <v>361</v>
      </c>
      <c r="G35" s="1">
        <v>18</v>
      </c>
      <c r="I35" s="1" t="str">
        <f>VLOOKUP(G35,[1]Sheet2!$A$6:$F$43,5,0)</f>
        <v>"197202221999031002"</v>
      </c>
      <c r="K35" s="13" t="s">
        <v>388</v>
      </c>
      <c r="L35" s="1">
        <f t="shared" si="0"/>
        <v>0</v>
      </c>
      <c r="M35" s="1">
        <f>COUNTIF(ELEKTRO!$D$6:$D$105,'ELEKTRO SORE'!K35)</f>
        <v>3</v>
      </c>
      <c r="N35" s="17">
        <v>0</v>
      </c>
      <c r="O35" s="17">
        <v>3</v>
      </c>
      <c r="Q35" s="1">
        <f t="shared" si="2"/>
        <v>30</v>
      </c>
    </row>
    <row r="36" spans="1:17" ht="15.75">
      <c r="A36" s="2">
        <f t="shared" si="1"/>
        <v>31</v>
      </c>
      <c r="B36" s="2" t="s">
        <v>43</v>
      </c>
      <c r="C36" s="3" t="s">
        <v>254</v>
      </c>
      <c r="D36" s="3" t="s">
        <v>362</v>
      </c>
      <c r="E36" s="3" t="s">
        <v>363</v>
      </c>
      <c r="G36" s="1">
        <v>19</v>
      </c>
      <c r="I36" s="1" t="str">
        <f>VLOOKUP(G36,[1]Sheet2!$A$6:$F$43,5,0)</f>
        <v>"197201171999031001"</v>
      </c>
      <c r="K36" s="13" t="s">
        <v>390</v>
      </c>
      <c r="L36" s="1">
        <f t="shared" si="0"/>
        <v>0</v>
      </c>
      <c r="M36" s="1">
        <f>COUNTIF(ELEKTRO!$D$6:$D$105,'ELEKTRO SORE'!K36)</f>
        <v>3</v>
      </c>
      <c r="N36" s="17">
        <v>0</v>
      </c>
      <c r="O36" s="17">
        <v>3</v>
      </c>
      <c r="Q36" s="1">
        <f t="shared" si="2"/>
        <v>31</v>
      </c>
    </row>
    <row r="37" spans="1:17" ht="15.75">
      <c r="A37" s="2">
        <f t="shared" si="1"/>
        <v>32</v>
      </c>
      <c r="B37" s="2" t="s">
        <v>42</v>
      </c>
      <c r="C37" s="3" t="s">
        <v>255</v>
      </c>
      <c r="D37" s="3" t="s">
        <v>362</v>
      </c>
      <c r="E37" s="3" t="s">
        <v>363</v>
      </c>
      <c r="G37" s="1">
        <v>19</v>
      </c>
      <c r="I37" s="1" t="str">
        <f>VLOOKUP(G37,[1]Sheet2!$A$6:$F$43,5,0)</f>
        <v>"197201171999031001"</v>
      </c>
      <c r="K37" s="13" t="s">
        <v>368</v>
      </c>
      <c r="L37" s="1">
        <f t="shared" si="0"/>
        <v>2</v>
      </c>
      <c r="M37" s="1">
        <f>COUNTIF(ELEKTRO!$D$6:$D$105,'ELEKTRO SORE'!K37)</f>
        <v>2</v>
      </c>
      <c r="N37" s="17">
        <v>3</v>
      </c>
      <c r="O37" s="17">
        <v>2</v>
      </c>
      <c r="Q37" s="1">
        <f t="shared" si="2"/>
        <v>32</v>
      </c>
    </row>
    <row r="38" spans="1:17" ht="15.75">
      <c r="A38" s="2">
        <f t="shared" si="1"/>
        <v>33</v>
      </c>
      <c r="B38" s="2" t="s">
        <v>41</v>
      </c>
      <c r="C38" s="3" t="s">
        <v>256</v>
      </c>
      <c r="D38" s="3" t="s">
        <v>364</v>
      </c>
      <c r="E38" s="3" t="s">
        <v>365</v>
      </c>
      <c r="G38" s="1">
        <v>20</v>
      </c>
      <c r="I38" s="1" t="str">
        <f>VLOOKUP(G38,[1]Sheet2!$A$6:$F$43,5,0)</f>
        <v>"197307231999032001"</v>
      </c>
      <c r="K38" s="13" t="s">
        <v>358</v>
      </c>
      <c r="L38" s="1">
        <f t="shared" si="0"/>
        <v>0</v>
      </c>
      <c r="M38" s="1">
        <f>COUNTIF(ELEKTRO!$D$6:$D$105,'ELEKTRO SORE'!K38)</f>
        <v>2</v>
      </c>
      <c r="N38" s="17">
        <v>0</v>
      </c>
      <c r="O38" s="17">
        <v>2</v>
      </c>
      <c r="Q38" s="1">
        <f t="shared" si="2"/>
        <v>33</v>
      </c>
    </row>
    <row r="39" spans="1:17" ht="15.75">
      <c r="A39" s="2">
        <f t="shared" si="1"/>
        <v>34</v>
      </c>
      <c r="B39" s="2" t="s">
        <v>40</v>
      </c>
      <c r="C39" s="3" t="s">
        <v>257</v>
      </c>
      <c r="D39" s="3" t="s">
        <v>364</v>
      </c>
      <c r="E39" s="3" t="s">
        <v>365</v>
      </c>
      <c r="G39" s="1">
        <f>G38</f>
        <v>20</v>
      </c>
      <c r="I39" s="1" t="str">
        <f>VLOOKUP(G39,[1]Sheet2!$A$6:$F$43,5,0)</f>
        <v>"197307231999032001"</v>
      </c>
      <c r="K39" s="14" t="s">
        <v>412</v>
      </c>
      <c r="L39" s="1">
        <f t="shared" si="0"/>
        <v>0</v>
      </c>
      <c r="M39" s="1">
        <f>COUNTIF(ELEKTRO!$D$6:$D$105,'ELEKTRO SORE'!K39)</f>
        <v>0</v>
      </c>
      <c r="N39" s="17">
        <v>0</v>
      </c>
      <c r="O39" s="17">
        <v>0</v>
      </c>
    </row>
    <row r="40" spans="1:17" ht="15.75">
      <c r="A40" s="2">
        <f t="shared" si="1"/>
        <v>35</v>
      </c>
      <c r="B40" s="2" t="s">
        <v>39</v>
      </c>
      <c r="C40" s="3" t="s">
        <v>258</v>
      </c>
      <c r="D40" s="3" t="s">
        <v>366</v>
      </c>
      <c r="E40" s="3" t="s">
        <v>367</v>
      </c>
      <c r="G40" s="1">
        <v>21</v>
      </c>
      <c r="I40" s="1" t="str">
        <f>VLOOKUP(G40,[1]Sheet2!$A$6:$F$43,5,0)</f>
        <v>"197411191999032001"</v>
      </c>
      <c r="K40" s="14" t="s">
        <v>413</v>
      </c>
      <c r="L40" s="1">
        <f t="shared" si="0"/>
        <v>0</v>
      </c>
      <c r="M40" s="1">
        <f>COUNTIF(ELEKTRO!$D$6:$D$105,'ELEKTRO SORE'!K40)</f>
        <v>0</v>
      </c>
      <c r="N40" s="17">
        <v>0</v>
      </c>
      <c r="O40" s="17">
        <v>0</v>
      </c>
    </row>
    <row r="41" spans="1:17" ht="15.75">
      <c r="A41" s="2">
        <f t="shared" si="1"/>
        <v>36</v>
      </c>
      <c r="B41" s="2" t="s">
        <v>38</v>
      </c>
      <c r="C41" s="3" t="s">
        <v>259</v>
      </c>
      <c r="D41" s="3" t="s">
        <v>366</v>
      </c>
      <c r="E41" s="3" t="s">
        <v>367</v>
      </c>
      <c r="G41" s="1">
        <f>G40</f>
        <v>21</v>
      </c>
      <c r="I41" s="1" t="str">
        <f>VLOOKUP(G41,[1]Sheet2!$A$6:$F$43,5,0)</f>
        <v>"197411191999032001"</v>
      </c>
      <c r="K41" s="14" t="s">
        <v>414</v>
      </c>
      <c r="L41" s="1">
        <f t="shared" si="0"/>
        <v>0</v>
      </c>
      <c r="M41" s="1">
        <f>COUNTIF(ELEKTRO!$D$6:$D$105,'ELEKTRO SORE'!K41)</f>
        <v>0</v>
      </c>
      <c r="N41" s="17">
        <v>0</v>
      </c>
      <c r="O41" s="17">
        <v>0</v>
      </c>
    </row>
    <row r="42" spans="1:17" ht="15.75">
      <c r="A42" s="2">
        <f t="shared" si="1"/>
        <v>37</v>
      </c>
      <c r="B42" s="2" t="s">
        <v>37</v>
      </c>
      <c r="C42" s="3" t="s">
        <v>36</v>
      </c>
      <c r="D42" s="3" t="s">
        <v>368</v>
      </c>
      <c r="E42" s="3" t="s">
        <v>369</v>
      </c>
      <c r="G42" s="1">
        <v>23</v>
      </c>
      <c r="I42" s="1" t="str">
        <f>VLOOKUP(G42,[1]Sheet2!$A$6:$F$43,5,0)</f>
        <v>"197104261999031002"</v>
      </c>
      <c r="K42" s="14" t="s">
        <v>415</v>
      </c>
      <c r="L42" s="1">
        <f t="shared" si="0"/>
        <v>0</v>
      </c>
      <c r="M42" s="1">
        <f>COUNTIF(ELEKTRO!$D$6:$D$105,'ELEKTRO SORE'!K42)</f>
        <v>0</v>
      </c>
      <c r="N42" s="17">
        <v>0</v>
      </c>
      <c r="O42" s="17">
        <v>0</v>
      </c>
    </row>
    <row r="43" spans="1:17" ht="15.75">
      <c r="A43" s="2">
        <f t="shared" si="1"/>
        <v>38</v>
      </c>
      <c r="B43" s="2" t="s">
        <v>35</v>
      </c>
      <c r="C43" s="3" t="s">
        <v>34</v>
      </c>
      <c r="D43" s="3" t="s">
        <v>368</v>
      </c>
      <c r="E43" s="3" t="s">
        <v>369</v>
      </c>
      <c r="G43" s="1">
        <f>G42</f>
        <v>23</v>
      </c>
      <c r="I43" s="1" t="str">
        <f>VLOOKUP(G43,[1]Sheet2!$A$6:$F$43,5,0)</f>
        <v>"197104261999031002"</v>
      </c>
      <c r="K43" s="14" t="s">
        <v>416</v>
      </c>
      <c r="L43" s="1">
        <f t="shared" si="0"/>
        <v>7</v>
      </c>
      <c r="M43" s="1">
        <f>COUNTIF(ELEKTRO!$D$6:$D$105,'ELEKTRO SORE'!K43)</f>
        <v>3</v>
      </c>
      <c r="N43" s="17">
        <v>0</v>
      </c>
      <c r="O43" s="17">
        <v>0</v>
      </c>
    </row>
    <row r="44" spans="1:17">
      <c r="A44" s="2">
        <f t="shared" si="1"/>
        <v>39</v>
      </c>
      <c r="B44" s="2" t="s">
        <v>33</v>
      </c>
      <c r="C44" s="3" t="s">
        <v>260</v>
      </c>
      <c r="D44" s="3" t="s">
        <v>370</v>
      </c>
      <c r="E44" s="3" t="s">
        <v>371</v>
      </c>
      <c r="G44" s="1">
        <v>24</v>
      </c>
      <c r="I44" s="1" t="str">
        <f>VLOOKUP(G44,[1]Sheet2!$A$6:$F$43,5,0)</f>
        <v>"197304041999031003"</v>
      </c>
      <c r="K44" s="1" t="s">
        <v>411</v>
      </c>
      <c r="N44" s="1">
        <f>SUM(N6:N43)</f>
        <v>65</v>
      </c>
      <c r="O44" s="1">
        <f>SUM(O6:O43)</f>
        <v>100</v>
      </c>
    </row>
    <row r="45" spans="1:17">
      <c r="A45" s="2">
        <f t="shared" si="1"/>
        <v>40</v>
      </c>
      <c r="B45" s="2" t="s">
        <v>32</v>
      </c>
      <c r="C45" s="3" t="s">
        <v>31</v>
      </c>
      <c r="D45" s="3" t="s">
        <v>370</v>
      </c>
      <c r="E45" s="3" t="s">
        <v>371</v>
      </c>
      <c r="G45" s="1">
        <f>G44</f>
        <v>24</v>
      </c>
      <c r="I45" s="1" t="str">
        <f>VLOOKUP(G45,[1]Sheet2!$A$6:$F$43,5,0)</f>
        <v>"197304041999031003"</v>
      </c>
      <c r="K45" s="1" t="s">
        <v>411</v>
      </c>
    </row>
    <row r="46" spans="1:17">
      <c r="A46" s="2">
        <f t="shared" si="1"/>
        <v>41</v>
      </c>
      <c r="B46" s="2" t="s">
        <v>30</v>
      </c>
      <c r="C46" s="3" t="s">
        <v>261</v>
      </c>
      <c r="D46" s="3" t="s">
        <v>372</v>
      </c>
      <c r="E46" s="3" t="s">
        <v>373</v>
      </c>
      <c r="G46" s="1">
        <v>25</v>
      </c>
      <c r="I46" s="1" t="str">
        <f>VLOOKUP(G46,[1]Sheet2!$A$6:$F$43,5,0)</f>
        <v>"197003251999031001"</v>
      </c>
      <c r="K46" s="1" t="s">
        <v>411</v>
      </c>
    </row>
    <row r="47" spans="1:17">
      <c r="A47" s="2">
        <f t="shared" si="1"/>
        <v>42</v>
      </c>
      <c r="B47" s="2" t="s">
        <v>29</v>
      </c>
      <c r="C47" s="3" t="s">
        <v>28</v>
      </c>
      <c r="D47" s="3" t="s">
        <v>372</v>
      </c>
      <c r="E47" s="3" t="s">
        <v>373</v>
      </c>
      <c r="G47" s="1">
        <f>G46</f>
        <v>25</v>
      </c>
      <c r="I47" s="1" t="str">
        <f>VLOOKUP(G47,[1]Sheet2!$A$6:$F$43,5,0)</f>
        <v>"197003251999031001"</v>
      </c>
      <c r="K47" s="1" t="s">
        <v>411</v>
      </c>
    </row>
    <row r="48" spans="1:17">
      <c r="A48" s="2">
        <f t="shared" si="1"/>
        <v>43</v>
      </c>
      <c r="B48" s="2" t="s">
        <v>27</v>
      </c>
      <c r="C48" s="3" t="s">
        <v>26</v>
      </c>
      <c r="D48" s="3" t="s">
        <v>374</v>
      </c>
      <c r="E48" s="3" t="s">
        <v>375</v>
      </c>
      <c r="G48" s="1">
        <v>26</v>
      </c>
      <c r="I48" s="1" t="str">
        <f>VLOOKUP(G48,[1]Sheet2!$A$6:$F$43,5,0)</f>
        <v>"197107231999031001"</v>
      </c>
      <c r="K48" s="1" t="s">
        <v>411</v>
      </c>
    </row>
    <row r="49" spans="1:11">
      <c r="A49" s="2">
        <f t="shared" si="1"/>
        <v>44</v>
      </c>
      <c r="B49" s="2" t="s">
        <v>25</v>
      </c>
      <c r="C49" s="3" t="s">
        <v>24</v>
      </c>
      <c r="D49" s="3" t="s">
        <v>374</v>
      </c>
      <c r="E49" s="3" t="s">
        <v>375</v>
      </c>
      <c r="G49" s="1">
        <f>G48</f>
        <v>26</v>
      </c>
      <c r="I49" s="1" t="str">
        <f>VLOOKUP(G49,[1]Sheet2!$A$6:$F$43,5,0)</f>
        <v>"197107231999031001"</v>
      </c>
      <c r="K49" s="1" t="s">
        <v>411</v>
      </c>
    </row>
    <row r="50" spans="1:11">
      <c r="A50" s="2">
        <f t="shared" si="1"/>
        <v>45</v>
      </c>
      <c r="B50" s="2" t="s">
        <v>23</v>
      </c>
      <c r="C50" s="3" t="s">
        <v>22</v>
      </c>
      <c r="D50" s="3" t="s">
        <v>376</v>
      </c>
      <c r="E50" s="3" t="s">
        <v>377</v>
      </c>
      <c r="G50" s="1">
        <v>27</v>
      </c>
      <c r="I50" s="1" t="str">
        <f>VLOOKUP(G50,[1]Sheet2!$A$6:$F$43,5,0)</f>
        <v>"197111261999031004"</v>
      </c>
      <c r="K50" s="1" t="s">
        <v>411</v>
      </c>
    </row>
    <row r="51" spans="1:11">
      <c r="A51" s="2">
        <f t="shared" si="1"/>
        <v>46</v>
      </c>
      <c r="B51" s="2" t="s">
        <v>21</v>
      </c>
      <c r="C51" s="3" t="s">
        <v>262</v>
      </c>
      <c r="D51" s="3" t="s">
        <v>376</v>
      </c>
      <c r="E51" s="3" t="s">
        <v>377</v>
      </c>
      <c r="G51" s="1">
        <f>G50</f>
        <v>27</v>
      </c>
      <c r="I51" s="1" t="str">
        <f>VLOOKUP(G51,[1]Sheet2!$A$6:$F$43,5,0)</f>
        <v>"197111261999031004"</v>
      </c>
      <c r="K51" s="1" t="s">
        <v>411</v>
      </c>
    </row>
    <row r="52" spans="1:11">
      <c r="A52" s="2">
        <f t="shared" si="1"/>
        <v>47</v>
      </c>
      <c r="B52" s="2" t="s">
        <v>20</v>
      </c>
      <c r="C52" s="3" t="s">
        <v>263</v>
      </c>
      <c r="D52" s="3" t="s">
        <v>378</v>
      </c>
      <c r="E52" s="3" t="s">
        <v>379</v>
      </c>
      <c r="G52" s="1">
        <v>28</v>
      </c>
      <c r="I52" s="1" t="str">
        <f>VLOOKUP(G52,[1]Sheet2!$A$6:$F$43,5,0)</f>
        <v>"197107132000031001"</v>
      </c>
      <c r="K52" s="1" t="s">
        <v>411</v>
      </c>
    </row>
    <row r="53" spans="1:11">
      <c r="A53" s="2">
        <f t="shared" si="1"/>
        <v>48</v>
      </c>
      <c r="B53" s="2" t="s">
        <v>19</v>
      </c>
      <c r="C53" s="3" t="s">
        <v>264</v>
      </c>
      <c r="D53" s="3" t="s">
        <v>378</v>
      </c>
      <c r="E53" s="3" t="s">
        <v>379</v>
      </c>
      <c r="G53" s="1">
        <f>G52</f>
        <v>28</v>
      </c>
      <c r="I53" s="1" t="str">
        <f>VLOOKUP(G53,[1]Sheet2!$A$6:$F$43,5,0)</f>
        <v>"197107132000031001"</v>
      </c>
      <c r="K53" s="1" t="s">
        <v>411</v>
      </c>
    </row>
    <row r="54" spans="1:11">
      <c r="A54" s="2">
        <f t="shared" si="1"/>
        <v>49</v>
      </c>
      <c r="B54" s="2" t="s">
        <v>18</v>
      </c>
      <c r="C54" s="3" t="s">
        <v>265</v>
      </c>
      <c r="D54" s="3" t="s">
        <v>382</v>
      </c>
      <c r="E54" s="3" t="s">
        <v>383</v>
      </c>
      <c r="G54" s="1">
        <v>30</v>
      </c>
      <c r="I54" s="1" t="str">
        <f>VLOOKUP(G54,[1]Sheet2!$A$6:$F$43,5,0)</f>
        <v>"197309052000031002"</v>
      </c>
      <c r="K54" s="1" t="s">
        <v>411</v>
      </c>
    </row>
    <row r="55" spans="1:11">
      <c r="A55" s="2">
        <f t="shared" si="1"/>
        <v>50</v>
      </c>
      <c r="B55" s="2" t="s">
        <v>17</v>
      </c>
      <c r="C55" s="3" t="s">
        <v>266</v>
      </c>
      <c r="D55" s="3" t="s">
        <v>382</v>
      </c>
      <c r="E55" s="3" t="s">
        <v>383</v>
      </c>
      <c r="G55" s="1">
        <f>G54</f>
        <v>30</v>
      </c>
      <c r="I55" s="1" t="str">
        <f>VLOOKUP(G55,[1]Sheet2!$A$6:$F$43,5,0)</f>
        <v>"197309052000031002"</v>
      </c>
      <c r="K55" s="1" t="s">
        <v>411</v>
      </c>
    </row>
    <row r="56" spans="1:11">
      <c r="A56" s="2">
        <f t="shared" si="1"/>
        <v>51</v>
      </c>
      <c r="B56" s="2" t="s">
        <v>16</v>
      </c>
      <c r="C56" s="3" t="s">
        <v>267</v>
      </c>
      <c r="D56" s="3" t="s">
        <v>384</v>
      </c>
      <c r="E56" s="3" t="s">
        <v>385</v>
      </c>
      <c r="G56" s="1">
        <v>31</v>
      </c>
      <c r="I56" s="1" t="str">
        <f>VLOOKUP(G56,[1]Sheet2!$A$6:$F$43,5,0)</f>
        <v>"197207262000121001"</v>
      </c>
      <c r="K56" s="1" t="s">
        <v>411</v>
      </c>
    </row>
    <row r="57" spans="1:11">
      <c r="A57" s="2">
        <f t="shared" si="1"/>
        <v>52</v>
      </c>
      <c r="B57" s="2" t="s">
        <v>15</v>
      </c>
      <c r="C57" s="3" t="s">
        <v>14</v>
      </c>
      <c r="D57" s="3" t="s">
        <v>384</v>
      </c>
      <c r="E57" s="3" t="s">
        <v>385</v>
      </c>
      <c r="G57" s="1">
        <f>G56</f>
        <v>31</v>
      </c>
      <c r="I57" s="1" t="str">
        <f>VLOOKUP(G57,[1]Sheet2!$A$6:$F$43,5,0)</f>
        <v>"197207262000121001"</v>
      </c>
      <c r="K57" s="1" t="s">
        <v>411</v>
      </c>
    </row>
    <row r="58" spans="1:11">
      <c r="A58" s="2">
        <f t="shared" si="1"/>
        <v>53</v>
      </c>
      <c r="B58" s="2" t="s">
        <v>13</v>
      </c>
      <c r="C58" s="3" t="s">
        <v>12</v>
      </c>
      <c r="D58" s="3" t="s">
        <v>386</v>
      </c>
      <c r="E58" s="3" t="s">
        <v>387</v>
      </c>
      <c r="G58" s="1">
        <v>34</v>
      </c>
      <c r="I58" s="1" t="str">
        <f>VLOOKUP(G58,[1]Sheet2!$A$6:$F$43,5,0)</f>
        <v>"198104162008121003"</v>
      </c>
      <c r="K58" s="1" t="s">
        <v>411</v>
      </c>
    </row>
    <row r="59" spans="1:11">
      <c r="A59" s="2">
        <f t="shared" si="1"/>
        <v>54</v>
      </c>
      <c r="B59" s="2" t="s">
        <v>11</v>
      </c>
      <c r="C59" s="3" t="s">
        <v>268</v>
      </c>
      <c r="D59" s="3" t="s">
        <v>386</v>
      </c>
      <c r="E59" s="3" t="s">
        <v>387</v>
      </c>
      <c r="G59" s="1">
        <f>G58</f>
        <v>34</v>
      </c>
      <c r="I59" s="1" t="str">
        <f>VLOOKUP(G59,[1]Sheet2!$A$6:$F$43,5,0)</f>
        <v>"198104162008121003"</v>
      </c>
      <c r="K59" s="1" t="s">
        <v>411</v>
      </c>
    </row>
    <row r="60" spans="1:11">
      <c r="A60" s="2">
        <f t="shared" si="1"/>
        <v>55</v>
      </c>
      <c r="B60" s="2" t="s">
        <v>10</v>
      </c>
      <c r="C60" s="3" t="s">
        <v>269</v>
      </c>
      <c r="D60" s="3" t="s">
        <v>392</v>
      </c>
      <c r="E60" s="3" t="s">
        <v>393</v>
      </c>
      <c r="G60" s="1">
        <v>37</v>
      </c>
      <c r="I60" s="1" t="str">
        <f>VLOOKUP(G60,[1]Sheet2!$A$6:$F$43,5,0)</f>
        <v>"198503272014041001"</v>
      </c>
      <c r="K60" s="1" t="s">
        <v>411</v>
      </c>
    </row>
    <row r="61" spans="1:11">
      <c r="A61" s="2">
        <f t="shared" si="1"/>
        <v>56</v>
      </c>
      <c r="B61" s="2" t="s">
        <v>9</v>
      </c>
      <c r="C61" s="3" t="s">
        <v>8</v>
      </c>
      <c r="D61" s="3" t="s">
        <v>392</v>
      </c>
      <c r="E61" s="3" t="s">
        <v>393</v>
      </c>
      <c r="G61" s="1">
        <f>G60</f>
        <v>37</v>
      </c>
      <c r="I61" s="1" t="str">
        <f>VLOOKUP(G61,[1]Sheet2!$A$6:$F$43,5,0)</f>
        <v>"198503272014041001"</v>
      </c>
      <c r="K61" s="1" t="s">
        <v>411</v>
      </c>
    </row>
    <row r="62" spans="1:11">
      <c r="A62" s="2">
        <f t="shared" si="1"/>
        <v>57</v>
      </c>
      <c r="B62" s="2" t="s">
        <v>7</v>
      </c>
      <c r="C62" s="3" t="s">
        <v>270</v>
      </c>
      <c r="D62" s="3" t="s">
        <v>394</v>
      </c>
      <c r="E62" s="3" t="s">
        <v>395</v>
      </c>
      <c r="G62" s="1">
        <v>38</v>
      </c>
      <c r="I62" s="1" t="str">
        <f>VLOOKUP(G62,[1]Sheet2!$A$6:$F$43,5,0)</f>
        <v>"198505262015041002"</v>
      </c>
      <c r="K62" s="1" t="s">
        <v>411</v>
      </c>
    </row>
    <row r="63" spans="1:11">
      <c r="A63" s="2">
        <f t="shared" si="1"/>
        <v>58</v>
      </c>
      <c r="B63" s="2" t="s">
        <v>6</v>
      </c>
      <c r="C63" s="3" t="s">
        <v>5</v>
      </c>
      <c r="D63" s="3" t="s">
        <v>394</v>
      </c>
      <c r="E63" s="3" t="s">
        <v>395</v>
      </c>
      <c r="G63" s="1">
        <f>G62</f>
        <v>38</v>
      </c>
      <c r="I63" s="1" t="str">
        <f>VLOOKUP(G63,[1]Sheet2!$A$6:$F$43,5,0)</f>
        <v>"198505262015041002"</v>
      </c>
      <c r="K63" s="1" t="s">
        <v>411</v>
      </c>
    </row>
    <row r="64" spans="1:11">
      <c r="A64" s="2">
        <f t="shared" si="1"/>
        <v>59</v>
      </c>
      <c r="B64" s="2" t="s">
        <v>4</v>
      </c>
      <c r="C64" s="3" t="s">
        <v>3</v>
      </c>
      <c r="D64" s="3" t="s">
        <v>416</v>
      </c>
      <c r="E64" s="3" t="s">
        <v>418</v>
      </c>
      <c r="G64" s="1">
        <v>27</v>
      </c>
      <c r="I64" s="1" t="str">
        <f>VLOOKUP(G64,[1]Sheet2!$A$6:$F$43,5,0)</f>
        <v>"197111261999031004"</v>
      </c>
      <c r="K64" s="1" t="s">
        <v>411</v>
      </c>
    </row>
    <row r="65" spans="1:11">
      <c r="A65" s="2">
        <f t="shared" si="1"/>
        <v>60</v>
      </c>
      <c r="B65" s="2" t="s">
        <v>2</v>
      </c>
      <c r="C65" s="3" t="s">
        <v>271</v>
      </c>
      <c r="D65" s="3" t="s">
        <v>416</v>
      </c>
      <c r="E65" s="3" t="s">
        <v>418</v>
      </c>
      <c r="G65" s="1">
        <f>G64</f>
        <v>27</v>
      </c>
      <c r="I65" s="1" t="str">
        <f>VLOOKUP(G65,[1]Sheet2!$A$6:$F$43,5,0)</f>
        <v>"197111261999031004"</v>
      </c>
      <c r="K65" s="1" t="s">
        <v>411</v>
      </c>
    </row>
    <row r="66" spans="1:11">
      <c r="A66" s="2">
        <f t="shared" si="1"/>
        <v>61</v>
      </c>
      <c r="B66" s="2" t="s">
        <v>1</v>
      </c>
      <c r="C66" s="3" t="s">
        <v>272</v>
      </c>
      <c r="D66" s="3" t="s">
        <v>416</v>
      </c>
      <c r="E66" s="3" t="s">
        <v>418</v>
      </c>
      <c r="G66" s="1">
        <v>9</v>
      </c>
      <c r="I66" s="1" t="str">
        <f>VLOOKUP(G66,[1]Sheet2!$A$6:$F$43,5,0)</f>
        <v>"196910281998021001"</v>
      </c>
      <c r="K66" s="1" t="s">
        <v>411</v>
      </c>
    </row>
    <row r="67" spans="1:11">
      <c r="A67" s="2">
        <f t="shared" si="1"/>
        <v>62</v>
      </c>
      <c r="B67" s="2" t="s">
        <v>0</v>
      </c>
      <c r="C67" s="3" t="s">
        <v>273</v>
      </c>
      <c r="D67" s="3" t="s">
        <v>416</v>
      </c>
      <c r="E67" s="3" t="s">
        <v>418</v>
      </c>
      <c r="G67" s="1">
        <v>9</v>
      </c>
      <c r="I67" s="1" t="str">
        <f>VLOOKUP(G67,[1]Sheet2!$A$6:$F$43,5,0)</f>
        <v>"196910281998021001"</v>
      </c>
      <c r="K67" s="1" t="s">
        <v>411</v>
      </c>
    </row>
    <row r="68" spans="1:11">
      <c r="A68" s="2">
        <f t="shared" si="1"/>
        <v>63</v>
      </c>
      <c r="B68" s="2" t="s">
        <v>396</v>
      </c>
      <c r="C68" s="3" t="s">
        <v>397</v>
      </c>
      <c r="D68" s="3" t="s">
        <v>416</v>
      </c>
      <c r="E68" s="3" t="s">
        <v>418</v>
      </c>
      <c r="G68" s="1">
        <v>15</v>
      </c>
      <c r="I68" s="1" t="s">
        <v>402</v>
      </c>
      <c r="K68" s="1" t="s">
        <v>411</v>
      </c>
    </row>
    <row r="69" spans="1:11">
      <c r="A69" s="2">
        <f t="shared" si="1"/>
        <v>64</v>
      </c>
      <c r="B69" s="2" t="s">
        <v>398</v>
      </c>
      <c r="C69" s="3" t="s">
        <v>399</v>
      </c>
      <c r="D69" s="3" t="s">
        <v>416</v>
      </c>
      <c r="E69" s="3" t="s">
        <v>418</v>
      </c>
      <c r="G69" s="1">
        <v>20</v>
      </c>
      <c r="I69" s="1" t="s">
        <v>403</v>
      </c>
      <c r="K69" s="1" t="s">
        <v>411</v>
      </c>
    </row>
    <row r="70" spans="1:11">
      <c r="A70" s="2">
        <f t="shared" si="1"/>
        <v>65</v>
      </c>
      <c r="B70" s="2" t="s">
        <v>400</v>
      </c>
      <c r="C70" s="3" t="s">
        <v>401</v>
      </c>
      <c r="D70" s="3" t="s">
        <v>416</v>
      </c>
      <c r="E70" s="3" t="s">
        <v>418</v>
      </c>
      <c r="G70" s="1">
        <v>23</v>
      </c>
      <c r="I70" s="1" t="s">
        <v>404</v>
      </c>
      <c r="K70" s="1" t="str">
        <f t="shared" ref="K70" si="3">IF(D69&lt;&gt;D70,D70,"")</f>
        <v/>
      </c>
    </row>
    <row r="73" spans="1:11" ht="15.75">
      <c r="A73" s="10" t="s">
        <v>328</v>
      </c>
    </row>
    <row r="74" spans="1:11" ht="35.25" customHeight="1">
      <c r="A74" s="19" t="s">
        <v>329</v>
      </c>
      <c r="B74" s="19"/>
      <c r="C74" s="19"/>
      <c r="D74" s="19"/>
      <c r="E74" s="19"/>
    </row>
    <row r="79" spans="1:11" ht="17.25">
      <c r="A79" s="9" t="s">
        <v>327</v>
      </c>
    </row>
    <row r="82" spans="2:3">
      <c r="B82" s="4" t="s">
        <v>396</v>
      </c>
      <c r="C82" s="1" t="s">
        <v>397</v>
      </c>
    </row>
    <row r="83" spans="2:3">
      <c r="B83" s="4" t="s">
        <v>398</v>
      </c>
      <c r="C83" s="1" t="s">
        <v>399</v>
      </c>
    </row>
    <row r="84" spans="2:3">
      <c r="B84" s="4" t="s">
        <v>400</v>
      </c>
      <c r="C84" s="1" t="s">
        <v>401</v>
      </c>
    </row>
  </sheetData>
  <sortState ref="K6:O43">
    <sortCondition descending="1" ref="O6:O43"/>
  </sortState>
  <mergeCells count="4">
    <mergeCell ref="A74:E74"/>
    <mergeCell ref="A1:E1"/>
    <mergeCell ref="A2:E2"/>
    <mergeCell ref="A3:E3"/>
  </mergeCells>
  <printOptions horizontalCentered="1"/>
  <pageMargins left="0.23" right="0.2" top="0.28999999999999998" bottom="0.28000000000000003" header="0.16" footer="0.16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ELEKTRO</vt:lpstr>
      <vt:lpstr>ELEKTRO SORE</vt:lpstr>
      <vt:lpstr>ELEKTRO!Print_Area</vt:lpstr>
      <vt:lpstr>'ELEKTRO SORE'!Print_Area</vt:lpstr>
      <vt:lpstr>ELEKTRO!Print_Titles</vt:lpstr>
      <vt:lpstr>'ELEKTRO SORE'!Print_Titles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Registrasi</dc:creator>
  <cp:lastModifiedBy>Admin TE</cp:lastModifiedBy>
  <cp:lastPrinted>2018-09-03T05:24:24Z</cp:lastPrinted>
  <dcterms:created xsi:type="dcterms:W3CDTF">2018-08-31T01:08:38Z</dcterms:created>
  <dcterms:modified xsi:type="dcterms:W3CDTF">2018-11-12T04:01:43Z</dcterms:modified>
</cp:coreProperties>
</file>