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7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Kur 2014+TPB 2016" sheetId="1" state="visible" r:id="rId2"/>
    <sheet name="KBK STL" sheetId="2" state="visible" r:id="rId3"/>
    <sheet name="KBK ELKA" sheetId="3" state="visible" r:id="rId4"/>
    <sheet name="KBK TELKOM" sheetId="4" state="visible" r:id="rId5"/>
    <sheet name="KBK INFOR" sheetId="5" state="visible" r:id="rId6"/>
    <sheet name="ALL KBK + SYARAT" sheetId="6" state="visible" r:id="rId7"/>
    <sheet name="Sheet1" sheetId="7" state="visible" r:id="rId8"/>
  </sheets>
  <externalReferences>
    <externalReference r:id="rId9"/>
  </externalReferences>
  <definedNames>
    <definedName function="false" hidden="false" localSheetId="5" name="_xlnm.Print_Area" vbProcedure="false">'ALL KBK + SYARAT'!$A$1:$I$284</definedName>
    <definedName function="false" hidden="false" localSheetId="5" name="_xlnm.Print_Titles" vbProcedure="false">'ALL KBK + SYARAT'!$6:$6</definedName>
    <definedName function="false" hidden="false" localSheetId="2" name="_xlnm.Print_Area" vbProcedure="false">'KBK ELKA'!$A$1:$I$112</definedName>
    <definedName function="false" hidden="false" localSheetId="2" name="_xlnm.Print_Titles" vbProcedure="false">'KBK ELKA'!$1:$6</definedName>
    <definedName function="false" hidden="false" localSheetId="4" name="_xlnm.Print_Area" vbProcedure="false">'KBK INFOR'!$A$1:$I$112</definedName>
    <definedName function="false" hidden="false" localSheetId="4" name="_xlnm.Print_Titles" vbProcedure="false">'KBK INFOR'!$1:$6</definedName>
    <definedName function="false" hidden="false" localSheetId="1" name="_xlnm.Print_Area" vbProcedure="false">'KBK STL'!$A$1:$I$115</definedName>
    <definedName function="false" hidden="false" localSheetId="1" name="_xlnm.Print_Titles" vbProcedure="false">'KBK STL'!$1:$6</definedName>
    <definedName function="false" hidden="false" localSheetId="3" name="_xlnm.Print_Area" vbProcedure="false">'KBK TELKOM'!$A$1:$I$111</definedName>
    <definedName function="false" hidden="false" localSheetId="3" name="_xlnm.Print_Titles" vbProcedure="false">'KBK TELKOM'!$1:$6</definedName>
    <definedName function="false" hidden="false" localSheetId="0" name="_xlnm.Print_Area" vbProcedure="false">'Kur 2014+TPB 2016'!$A$1:$G$175</definedName>
    <definedName function="false" hidden="false" localSheetId="0" name="_xlnm.Print_Titles" vbProcedure="false">'Kur 2014+TPB 2016'!$1:$6</definedName>
    <definedName function="false" hidden="false" localSheetId="6" name="_xlnm.Print_Titles" vbProcedure="false">Sheet1!$3:$3</definedName>
    <definedName function="false" hidden="true" localSheetId="6" name="_xlnm._FilterDatabase" vbProcedure="false">Sheet1!$K$3:$AF$165</definedName>
    <definedName function="false" hidden="false" name="Excel_BuiltIn_Print_Area" vbProcedure="false">#REF!</definedName>
    <definedName function="false" hidden="false" name="Excel_BuiltIn_Print_Titles" vbProcedure="false">#REF!</definedName>
    <definedName function="false" hidden="false" name="Print_Area_1" vbProcedure="false">#REF!</definedName>
    <definedName function="false" hidden="false" name="Print_Area_2" vbProcedure="false">#REF!</definedName>
    <definedName function="false" hidden="false" name="Print_Area_3" vbProcedure="false">#REF!</definedName>
    <definedName function="false" hidden="false" name="Print_Titles_1" vbProcedure="false">#REF!</definedName>
    <definedName function="false" hidden="false" name="Print_Titles_2" vbProcedure="false">#REF!</definedName>
    <definedName function="false" hidden="false" name="Print_Titles_3" vbProcedure="false">#REF!</definedName>
    <definedName function="false" hidden="false" localSheetId="0" name="Excel_BuiltIn_Print_Area" vbProcedure="false">#REF!</definedName>
    <definedName function="false" hidden="false" localSheetId="0" name="Excel_BuiltIn_Print_Titles" vbProcedure="false">#REF!</definedName>
    <definedName function="false" hidden="false" localSheetId="0" name="Print_Area_1" vbProcedure="false">#REF!</definedName>
    <definedName function="false" hidden="false" localSheetId="0" name="Print_Area_2" vbProcedure="false">#REF!</definedName>
    <definedName function="false" hidden="false" localSheetId="0" name="Print_Area_3" vbProcedure="false">#REF!</definedName>
    <definedName function="false" hidden="false" localSheetId="0" name="Print_Titles_1" vbProcedure="false">#REF!</definedName>
    <definedName function="false" hidden="false" localSheetId="0" name="Print_Titles_2" vbProcedure="false">#REF!</definedName>
    <definedName function="false" hidden="false" localSheetId="0" name="Print_Titles_3" vbProcedure="false">#REF!</definedName>
    <definedName function="false" hidden="false" localSheetId="0" name="_xlnm.Print_Titles" vbProcedure="false">'Kur 2014+TPB 2016'!$1:$6</definedName>
    <definedName function="false" hidden="false" localSheetId="0" name="_xlnm.Print_Titles_0" vbProcedure="false">'Kur 2014+TPB 2016'!$1:$6</definedName>
    <definedName function="false" hidden="false" localSheetId="0" name="_xlnm.Print_Titles_0_0" vbProcedure="false">'Kur 2014+TPB 2016'!$1:$6</definedName>
    <definedName function="false" hidden="false" localSheetId="0" name="_xlnm.Print_Titles_0_0_0" vbProcedure="false">'Kur 2014+TPB 2016'!$1:$6</definedName>
    <definedName function="false" hidden="false" localSheetId="0" name="_xlnm.Print_Titles_0_0_0_0" vbProcedure="false">'Kur 2014+TPB 2016'!$1:$6</definedName>
    <definedName function="false" hidden="false" localSheetId="0" name="_xlnm.Print_Titles_0_0_0_0_0" vbProcedure="false">'Kur 2014+TPB 2016'!$1:$6</definedName>
    <definedName function="false" hidden="false" localSheetId="0" name="_xlnm.Print_Titles_0_0_0_0_0_0" vbProcedure="false">'Kur 2014+TPB 2016'!$1:$6</definedName>
    <definedName function="false" hidden="false" localSheetId="0" name="_xlnm.Print_Titles_0_0_0_0_0_0_0" vbProcedure="false">'Kur 2014+TPB 2016'!$1:$6</definedName>
    <definedName function="false" hidden="false" localSheetId="0" name="_xlnm.Print_Titles_0_0_0_0_0_0_0_0" vbProcedure="false">'Kur 2014+TPB 2016'!$1:$6</definedName>
    <definedName function="false" hidden="false" localSheetId="1" name="Excel_BuiltIn_Print_Area" vbProcedure="false">#REF!</definedName>
    <definedName function="false" hidden="false" localSheetId="1" name="Excel_BuiltIn_Print_Titles" vbProcedure="false">#REF!</definedName>
    <definedName function="false" hidden="false" localSheetId="1" name="Print_Area_1" vbProcedure="false">#REF!</definedName>
    <definedName function="false" hidden="false" localSheetId="1" name="Print_Area_2" vbProcedure="false">#REF!</definedName>
    <definedName function="false" hidden="false" localSheetId="1" name="Print_Area_3" vbProcedure="false">#REF!</definedName>
    <definedName function="false" hidden="false" localSheetId="1" name="Print_Titles_1" vbProcedure="false">#REF!</definedName>
    <definedName function="false" hidden="false" localSheetId="1" name="Print_Titles_2" vbProcedure="false">#REF!</definedName>
    <definedName function="false" hidden="false" localSheetId="1" name="Print_Titles_3" vbProcedure="false">#REF!</definedName>
    <definedName function="false" hidden="false" localSheetId="1" name="_xlnm.Print_Titles" vbProcedure="false">'KBK STL'!$1:$6</definedName>
    <definedName function="false" hidden="false" localSheetId="1" name="_xlnm.Print_Titles_0" vbProcedure="false">'KBK STL'!$1:$6</definedName>
    <definedName function="false" hidden="false" localSheetId="1" name="_xlnm.Print_Titles_0_0" vbProcedure="false">'KBK STL'!$1:$6</definedName>
    <definedName function="false" hidden="false" localSheetId="1" name="_xlnm.Print_Titles_0_0_0" vbProcedure="false">'KBK STL'!$1:$6</definedName>
    <definedName function="false" hidden="false" localSheetId="1" name="_xlnm.Print_Titles_0_0_0_0" vbProcedure="false">'KBK STL'!$1:$6</definedName>
    <definedName function="false" hidden="false" localSheetId="1" name="_xlnm.Print_Titles_0_0_0_0_0" vbProcedure="false">'KBK STL'!$1:$6</definedName>
    <definedName function="false" hidden="false" localSheetId="1" name="_xlnm.Print_Titles_0_0_0_0_0_0" vbProcedure="false">'KBK STL'!$1:$6</definedName>
    <definedName function="false" hidden="false" localSheetId="1" name="_xlnm.Print_Titles_0_0_0_0_0_0_0" vbProcedure="false">'KBK STL'!$1:$6</definedName>
    <definedName function="false" hidden="false" localSheetId="1" name="_xlnm.Print_Titles_0_0_0_0_0_0_0_0" vbProcedure="false">'KBK STL'!$1:$6</definedName>
    <definedName function="false" hidden="false" localSheetId="2" name="Excel_BuiltIn_Print_Area" vbProcedure="false">#REF!</definedName>
    <definedName function="false" hidden="false" localSheetId="2" name="Excel_BuiltIn_Print_Titles" vbProcedure="false">#REF!</definedName>
    <definedName function="false" hidden="false" localSheetId="2" name="Print_Area_1" vbProcedure="false">#REF!</definedName>
    <definedName function="false" hidden="false" localSheetId="2" name="Print_Area_2" vbProcedure="false">#REF!</definedName>
    <definedName function="false" hidden="false" localSheetId="2" name="Print_Area_3" vbProcedure="false">#REF!</definedName>
    <definedName function="false" hidden="false" localSheetId="2" name="Print_Titles_1" vbProcedure="false">#REF!</definedName>
    <definedName function="false" hidden="false" localSheetId="2" name="Print_Titles_2" vbProcedure="false">#REF!</definedName>
    <definedName function="false" hidden="false" localSheetId="2" name="Print_Titles_3" vbProcedure="false">#REF!</definedName>
    <definedName function="false" hidden="false" localSheetId="2" name="_xlnm.Print_Titles" vbProcedure="false">'KBK ELKA'!$1:$6</definedName>
    <definedName function="false" hidden="false" localSheetId="2" name="_xlnm.Print_Titles_0" vbProcedure="false">'KBK ELKA'!$1:$6</definedName>
    <definedName function="false" hidden="false" localSheetId="2" name="_xlnm.Print_Titles_0_0" vbProcedure="false">'KBK ELKA'!$1:$6</definedName>
    <definedName function="false" hidden="false" localSheetId="2" name="_xlnm.Print_Titles_0_0_0" vbProcedure="false">'KBK ELKA'!$1:$6</definedName>
    <definedName function="false" hidden="false" localSheetId="2" name="_xlnm.Print_Titles_0_0_0_0" vbProcedure="false">'KBK ELKA'!$1:$6</definedName>
    <definedName function="false" hidden="false" localSheetId="2" name="_xlnm.Print_Titles_0_0_0_0_0" vbProcedure="false">'KBK ELKA'!$1:$6</definedName>
    <definedName function="false" hidden="false" localSheetId="2" name="_xlnm.Print_Titles_0_0_0_0_0_0" vbProcedure="false">'KBK ELKA'!$1:$6</definedName>
    <definedName function="false" hidden="false" localSheetId="2" name="_xlnm.Print_Titles_0_0_0_0_0_0_0" vbProcedure="false">'KBK ELKA'!$1:$6</definedName>
    <definedName function="false" hidden="false" localSheetId="2" name="_xlnm.Print_Titles_0_0_0_0_0_0_0_0" vbProcedure="false">'KBK ELKA'!$1:$6</definedName>
    <definedName function="false" hidden="false" localSheetId="3" name="Excel_BuiltIn_Print_Area" vbProcedure="false">#REF!</definedName>
    <definedName function="false" hidden="false" localSheetId="3" name="Excel_BuiltIn_Print_Titles" vbProcedure="false">#REF!</definedName>
    <definedName function="false" hidden="false" localSheetId="3" name="Print_Area_1" vbProcedure="false">#REF!</definedName>
    <definedName function="false" hidden="false" localSheetId="3" name="Print_Area_2" vbProcedure="false">#REF!</definedName>
    <definedName function="false" hidden="false" localSheetId="3" name="Print_Area_3" vbProcedure="false">#REF!</definedName>
    <definedName function="false" hidden="false" localSheetId="3" name="Print_Titles_1" vbProcedure="false">#REF!</definedName>
    <definedName function="false" hidden="false" localSheetId="3" name="Print_Titles_2" vbProcedure="false">#REF!</definedName>
    <definedName function="false" hidden="false" localSheetId="3" name="Print_Titles_3" vbProcedure="false">#REF!</definedName>
    <definedName function="false" hidden="false" localSheetId="3" name="_xlnm.Print_Titles" vbProcedure="false">'KBK TELKOM'!$1:$6</definedName>
    <definedName function="false" hidden="false" localSheetId="3" name="_xlnm.Print_Titles_0" vbProcedure="false">'KBK TELKOM'!$1:$6</definedName>
    <definedName function="false" hidden="false" localSheetId="3" name="_xlnm.Print_Titles_0_0" vbProcedure="false">'KBK TELKOM'!$1:$6</definedName>
    <definedName function="false" hidden="false" localSheetId="3" name="_xlnm.Print_Titles_0_0_0" vbProcedure="false">'KBK TELKOM'!$1:$6</definedName>
    <definedName function="false" hidden="false" localSheetId="3" name="_xlnm.Print_Titles_0_0_0_0" vbProcedure="false">'KBK TELKOM'!$1:$6</definedName>
    <definedName function="false" hidden="false" localSheetId="3" name="_xlnm.Print_Titles_0_0_0_0_0" vbProcedure="false">'KBK TELKOM'!$1:$6</definedName>
    <definedName function="false" hidden="false" localSheetId="3" name="_xlnm.Print_Titles_0_0_0_0_0_0" vbProcedure="false">'KBK TELKOM'!$1:$6</definedName>
    <definedName function="false" hidden="false" localSheetId="3" name="_xlnm.Print_Titles_0_0_0_0_0_0_0" vbProcedure="false">'KBK TELKOM'!$1:$6</definedName>
    <definedName function="false" hidden="false" localSheetId="3" name="_xlnm.Print_Titles_0_0_0_0_0_0_0_0" vbProcedure="false">'KBK TELKOM'!$1:$6</definedName>
    <definedName function="false" hidden="false" localSheetId="4" name="Excel_BuiltIn_Print_Area" vbProcedure="false">#REF!</definedName>
    <definedName function="false" hidden="false" localSheetId="4" name="Excel_BuiltIn_Print_Titles" vbProcedure="false">#REF!</definedName>
    <definedName function="false" hidden="false" localSheetId="4" name="Print_Area_1" vbProcedure="false">#REF!</definedName>
    <definedName function="false" hidden="false" localSheetId="4" name="Print_Area_2" vbProcedure="false">#REF!</definedName>
    <definedName function="false" hidden="false" localSheetId="4" name="Print_Area_3" vbProcedure="false">#REF!</definedName>
    <definedName function="false" hidden="false" localSheetId="4" name="Print_Titles_1" vbProcedure="false">#REF!</definedName>
    <definedName function="false" hidden="false" localSheetId="4" name="Print_Titles_2" vbProcedure="false">#REF!</definedName>
    <definedName function="false" hidden="false" localSheetId="4" name="Print_Titles_3" vbProcedure="false">#REF!</definedName>
    <definedName function="false" hidden="false" localSheetId="4" name="_xlnm.Print_Titles" vbProcedure="false">'KBK INFOR'!$1:$6</definedName>
    <definedName function="false" hidden="false" localSheetId="4" name="_xlnm.Print_Titles_0" vbProcedure="false">'KBK INFOR'!$1:$6</definedName>
    <definedName function="false" hidden="false" localSheetId="4" name="_xlnm.Print_Titles_0_0" vbProcedure="false">'KBK INFOR'!$1:$6</definedName>
    <definedName function="false" hidden="false" localSheetId="4" name="_xlnm.Print_Titles_0_0_0" vbProcedure="false">'KBK INFOR'!$1:$6</definedName>
    <definedName function="false" hidden="false" localSheetId="4" name="_xlnm.Print_Titles_0_0_0_0" vbProcedure="false">'KBK INFOR'!$1:$6</definedName>
    <definedName function="false" hidden="false" localSheetId="4" name="_xlnm.Print_Titles_0_0_0_0_0" vbProcedure="false">'KBK INFOR'!$1:$6</definedName>
    <definedName function="false" hidden="false" localSheetId="4" name="_xlnm.Print_Titles_0_0_0_0_0_0" vbProcedure="false">'KBK INFOR'!$1:$6</definedName>
    <definedName function="false" hidden="false" localSheetId="4" name="_xlnm.Print_Titles_0_0_0_0_0_0_0" vbProcedure="false">'KBK INFOR'!$1:$6</definedName>
    <definedName function="false" hidden="false" localSheetId="4" name="_xlnm.Print_Titles_0_0_0_0_0_0_0_0" vbProcedure="false">'KBK INFOR'!$1:$6</definedName>
    <definedName function="false" hidden="false" localSheetId="5" name="Excel_BuiltIn_Print_Area" vbProcedure="false">#REF!</definedName>
    <definedName function="false" hidden="false" localSheetId="5" name="Excel_BuiltIn_Print_Titles" vbProcedure="false">#REF!</definedName>
    <definedName function="false" hidden="false" localSheetId="5" name="Print_Area_1" vbProcedure="false">#REF!</definedName>
    <definedName function="false" hidden="false" localSheetId="5" name="Print_Area_2" vbProcedure="false">#REF!</definedName>
    <definedName function="false" hidden="false" localSheetId="5" name="Print_Area_3" vbProcedure="false">#REF!</definedName>
    <definedName function="false" hidden="false" localSheetId="5" name="Print_Titles_1" vbProcedure="false">#REF!</definedName>
    <definedName function="false" hidden="false" localSheetId="5" name="Print_Titles_2" vbProcedure="false">#REF!</definedName>
    <definedName function="false" hidden="false" localSheetId="5" name="Print_Titles_3" vbProcedure="false">#REF!</definedName>
    <definedName function="false" hidden="false" localSheetId="5" name="_xlnm.Print_Titles" vbProcedure="false">'ALL KBK + SYARAT'!$6:$6</definedName>
    <definedName function="false" hidden="false" localSheetId="5" name="_xlnm.Print_Titles_0" vbProcedure="false">'ALL KBK + SYARAT'!$6:$6</definedName>
    <definedName function="false" hidden="false" localSheetId="5" name="_xlnm.Print_Titles_0_0" vbProcedure="false">'ALL KBK + SYARAT'!$6:$6</definedName>
    <definedName function="false" hidden="false" localSheetId="5" name="_xlnm.Print_Titles_0_0_0" vbProcedure="false">'ALL KBK + SYARAT'!$6:$6</definedName>
    <definedName function="false" hidden="false" localSheetId="5" name="_xlnm.Print_Titles_0_0_0_0" vbProcedure="false">'ALL KBK + SYARAT'!$6:$6</definedName>
    <definedName function="false" hidden="false" localSheetId="5" name="_xlnm.Print_Titles_0_0_0_0_0" vbProcedure="false">'ALL KBK + SYARAT'!$6:$6</definedName>
    <definedName function="false" hidden="false" localSheetId="5" name="_xlnm.Print_Titles_0_0_0_0_0_0" vbProcedure="false">'ALL KBK + SYARAT'!$6:$6</definedName>
    <definedName function="false" hidden="false" localSheetId="5" name="_xlnm.Print_Titles_0_0_0_0_0_0_0" vbProcedure="false">'ALL KBK + SYARAT'!$6:$6</definedName>
    <definedName function="false" hidden="false" localSheetId="5" name="_xlnm.Print_Titles_0_0_0_0_0_0_0_0" vbProcedure="false">'ALL KBK + SYARAT'!$6:$6</definedName>
    <definedName function="false" hidden="false" localSheetId="6" name="_xlnm.Print_Titles" vbProcedure="false">Sheet1!$3:$3</definedName>
    <definedName function="false" hidden="false" localSheetId="6" name="_xlnm.Print_Titles_0" vbProcedure="false">Sheet1!$3:$3</definedName>
    <definedName function="false" hidden="false" localSheetId="6" name="_xlnm.Print_Titles_0_0" vbProcedure="false">Sheet1!$3:$3</definedName>
    <definedName function="false" hidden="false" localSheetId="6" name="_xlnm.Print_Titles_0_0_0" vbProcedure="false">Sheet1!$3:$3</definedName>
    <definedName function="false" hidden="false" localSheetId="6" name="_xlnm.Print_Titles_0_0_0_0" vbProcedure="false">Sheet1!$3:$3</definedName>
    <definedName function="false" hidden="false" localSheetId="6" name="_xlnm.Print_Titles_0_0_0_0_0" vbProcedure="false">Sheet1!$3:$3</definedName>
    <definedName function="false" hidden="false" localSheetId="6" name="_xlnm.Print_Titles_0_0_0_0_0_0" vbProcedure="false">Sheet1!$3:$3</definedName>
    <definedName function="false" hidden="false" localSheetId="6" name="_xlnm.Print_Titles_0_0_0_0_0_0_0" vbProcedure="false">Sheet1!$3:$3</definedName>
    <definedName function="false" hidden="false" localSheetId="6" name="_xlnm.Print_Titles_0_0_0_0_0_0_0_0" vbProcedure="false">Sheet1!$3:$3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<sst xmlns="http://schemas.openxmlformats.org/spreadsheetml/2006/main" count="3101" uniqueCount="448">
  <si>
    <t xml:space="preserve">KURIKULUM TE 2014 + TPB 2016</t>
  </si>
  <si>
    <t xml:space="preserve">PROGRAM STUDI S1 TEKNIK ELEKTRO</t>
  </si>
  <si>
    <t xml:space="preserve">FAKULTAS TEKNIK UNIVERSITAS MATARAM</t>
  </si>
  <si>
    <t xml:space="preserve">NO.</t>
  </si>
  <si>
    <t xml:space="preserve">Smtr</t>
  </si>
  <si>
    <t xml:space="preserve">Kode</t>
  </si>
  <si>
    <t xml:space="preserve">Nama Mata Kuliah</t>
  </si>
  <si>
    <t xml:space="preserve">SKS</t>
  </si>
  <si>
    <t xml:space="preserve">Prasyarat</t>
  </si>
  <si>
    <t xml:space="preserve">Ket.</t>
  </si>
  <si>
    <t xml:space="preserve">I</t>
  </si>
  <si>
    <t xml:space="preserve">TPBU01203</t>
  </si>
  <si>
    <t xml:space="preserve">TPBU02203</t>
  </si>
  <si>
    <t xml:space="preserve">TPBU04203</t>
  </si>
  <si>
    <t xml:space="preserve">TPBU05201</t>
  </si>
  <si>
    <t xml:space="preserve">TPB101301</t>
  </si>
  <si>
    <t xml:space="preserve">TPB102211</t>
  </si>
  <si>
    <t xml:space="preserve">TPB103211</t>
  </si>
  <si>
    <t xml:space="preserve">TPB104211</t>
  </si>
  <si>
    <t xml:space="preserve">II</t>
  </si>
  <si>
    <t xml:space="preserve">TPBU03203</t>
  </si>
  <si>
    <t xml:space="preserve">TPBU06202</t>
  </si>
  <si>
    <t xml:space="preserve">TPBU07202</t>
  </si>
  <si>
    <t xml:space="preserve">TPBU08202</t>
  </si>
  <si>
    <t xml:space="preserve">ES1213</t>
  </si>
  <si>
    <t xml:space="preserve">ES1106</t>
  </si>
  <si>
    <t xml:space="preserve">ES1217</t>
  </si>
  <si>
    <t xml:space="preserve">ES1210</t>
  </si>
  <si>
    <t xml:space="preserve">ES1211</t>
  </si>
  <si>
    <t xml:space="preserve">ES2126</t>
  </si>
  <si>
    <t xml:space="preserve">III</t>
  </si>
  <si>
    <t xml:space="preserve">ES2118</t>
  </si>
  <si>
    <t xml:space="preserve">ES1108</t>
  </si>
  <si>
    <t xml:space="preserve">ES1212</t>
  </si>
  <si>
    <t xml:space="preserve">ES2122</t>
  </si>
  <si>
    <t xml:space="preserve">ES2123</t>
  </si>
  <si>
    <t xml:space="preserve">ES2124</t>
  </si>
  <si>
    <t xml:space="preserve">ES2125</t>
  </si>
  <si>
    <t xml:space="preserve">ES1215</t>
  </si>
  <si>
    <t xml:space="preserve">ES1214</t>
  </si>
  <si>
    <t xml:space="preserve">IV</t>
  </si>
  <si>
    <t xml:space="preserve">ES1216</t>
  </si>
  <si>
    <t xml:space="preserve">ES2228</t>
  </si>
  <si>
    <t xml:space="preserve">ES2229</t>
  </si>
  <si>
    <t xml:space="preserve">ES1105</t>
  </si>
  <si>
    <t xml:space="preserve">ES2119</t>
  </si>
  <si>
    <t xml:space="preserve">ES2231</t>
  </si>
  <si>
    <t xml:space="preserve">ES2121</t>
  </si>
  <si>
    <t xml:space="preserve">ES2234</t>
  </si>
  <si>
    <t xml:space="preserve">ES2235</t>
  </si>
  <si>
    <t xml:space="preserve">ES2236</t>
  </si>
  <si>
    <t xml:space="preserve">V</t>
  </si>
  <si>
    <t xml:space="preserve">ES3138</t>
  </si>
  <si>
    <t xml:space="preserve">ES3139</t>
  </si>
  <si>
    <t xml:space="preserve">ES3140</t>
  </si>
  <si>
    <t xml:space="preserve">ES2232</t>
  </si>
  <si>
    <t xml:space="preserve">ES2233</t>
  </si>
  <si>
    <t xml:space="preserve">Bidang Keahlian A (STL)</t>
  </si>
  <si>
    <t xml:space="preserve">EA3101</t>
  </si>
  <si>
    <t xml:space="preserve">EA3102</t>
  </si>
  <si>
    <t xml:space="preserve">EA3103</t>
  </si>
  <si>
    <t xml:space="preserve">EA3104</t>
  </si>
  <si>
    <t xml:space="preserve">Bidang Keahlian B (Elektronika)</t>
  </si>
  <si>
    <t xml:space="preserve">EB3101</t>
  </si>
  <si>
    <t xml:space="preserve">EB3102</t>
  </si>
  <si>
    <t xml:space="preserve">EB3103</t>
  </si>
  <si>
    <t xml:space="preserve">EB3104</t>
  </si>
  <si>
    <t xml:space="preserve">EB3105</t>
  </si>
  <si>
    <t xml:space="preserve">Bidang Keahlian C (Telekomunikasi)</t>
  </si>
  <si>
    <t xml:space="preserve">EC3101</t>
  </si>
  <si>
    <t xml:space="preserve">EC3102</t>
  </si>
  <si>
    <t xml:space="preserve">EC3103</t>
  </si>
  <si>
    <t xml:space="preserve">EC3104</t>
  </si>
  <si>
    <t xml:space="preserve">Bidang Keahlian D (Komputer dan Informatika)</t>
  </si>
  <si>
    <t xml:space="preserve">ED3101</t>
  </si>
  <si>
    <t xml:space="preserve">ED3102</t>
  </si>
  <si>
    <t xml:space="preserve">ED3103</t>
  </si>
  <si>
    <t xml:space="preserve">ED3104</t>
  </si>
  <si>
    <t xml:space="preserve">VI</t>
  </si>
  <si>
    <t xml:space="preserve">ES3241</t>
  </si>
  <si>
    <t xml:space="preserve">EA3205</t>
  </si>
  <si>
    <t xml:space="preserve">EA3206</t>
  </si>
  <si>
    <t xml:space="preserve">EA3207</t>
  </si>
  <si>
    <t xml:space="preserve">EA3208</t>
  </si>
  <si>
    <t xml:space="preserve">EA3209</t>
  </si>
  <si>
    <t xml:space="preserve">EA3210</t>
  </si>
  <si>
    <t xml:space="preserve">EA3211</t>
  </si>
  <si>
    <t xml:space="preserve">EA40XX1</t>
  </si>
  <si>
    <t xml:space="preserve">EA40XX2</t>
  </si>
  <si>
    <t xml:space="preserve">EB3206</t>
  </si>
  <si>
    <t xml:space="preserve">EB3207</t>
  </si>
  <si>
    <t xml:space="preserve">EB3208</t>
  </si>
  <si>
    <t xml:space="preserve">EB3209</t>
  </si>
  <si>
    <t xml:space="preserve">EB3210</t>
  </si>
  <si>
    <t xml:space="preserve">EB40XX1</t>
  </si>
  <si>
    <t xml:space="preserve">EB40XX2</t>
  </si>
  <si>
    <t xml:space="preserve">EC3205</t>
  </si>
  <si>
    <t xml:space="preserve">EC3206</t>
  </si>
  <si>
    <t xml:space="preserve">EC3207</t>
  </si>
  <si>
    <t xml:space="preserve">EC3208</t>
  </si>
  <si>
    <t xml:space="preserve">EC3209</t>
  </si>
  <si>
    <t xml:space="preserve">EC3210</t>
  </si>
  <si>
    <t xml:space="preserve">EC40XX1</t>
  </si>
  <si>
    <t xml:space="preserve">ED3210</t>
  </si>
  <si>
    <t xml:space="preserve">ED3205</t>
  </si>
  <si>
    <t xml:space="preserve">ED3206</t>
  </si>
  <si>
    <t xml:space="preserve">ED3207</t>
  </si>
  <si>
    <t xml:space="preserve">ED3208</t>
  </si>
  <si>
    <t xml:space="preserve">ED3209</t>
  </si>
  <si>
    <t xml:space="preserve">ED40XX1</t>
  </si>
  <si>
    <t xml:space="preserve">ED40XX2</t>
  </si>
  <si>
    <t xml:space="preserve">VII</t>
  </si>
  <si>
    <t xml:space="preserve">ES2230</t>
  </si>
  <si>
    <t xml:space="preserve">ES4143</t>
  </si>
  <si>
    <t xml:space="preserve">ES4144</t>
  </si>
  <si>
    <t xml:space="preserve">EA4112</t>
  </si>
  <si>
    <t xml:space="preserve">EA4113</t>
  </si>
  <si>
    <t xml:space="preserve">EA4114</t>
  </si>
  <si>
    <t xml:space="preserve">EA4115</t>
  </si>
  <si>
    <t xml:space="preserve">EA4116</t>
  </si>
  <si>
    <t xml:space="preserve">EA4117</t>
  </si>
  <si>
    <t xml:space="preserve">EA40XX3</t>
  </si>
  <si>
    <t xml:space="preserve">EB4111</t>
  </si>
  <si>
    <t xml:space="preserve">EB4112</t>
  </si>
  <si>
    <t xml:space="preserve">EB4113</t>
  </si>
  <si>
    <t xml:space="preserve">EB4114</t>
  </si>
  <si>
    <t xml:space="preserve">EB4115</t>
  </si>
  <si>
    <t xml:space="preserve">EB40XX3</t>
  </si>
  <si>
    <t xml:space="preserve">EC4111</t>
  </si>
  <si>
    <t xml:space="preserve">EC4112</t>
  </si>
  <si>
    <t xml:space="preserve">EC4113</t>
  </si>
  <si>
    <t xml:space="preserve">EC4114</t>
  </si>
  <si>
    <t xml:space="preserve">EC40XX2</t>
  </si>
  <si>
    <t xml:space="preserve">EC40XX3</t>
  </si>
  <si>
    <t xml:space="preserve">ED4110</t>
  </si>
  <si>
    <t xml:space="preserve">ED4111</t>
  </si>
  <si>
    <t xml:space="preserve">ED4112</t>
  </si>
  <si>
    <t xml:space="preserve">ED4113</t>
  </si>
  <si>
    <t xml:space="preserve">ED4114</t>
  </si>
  <si>
    <t xml:space="preserve">ED40XX3</t>
  </si>
  <si>
    <t xml:space="preserve">VIII</t>
  </si>
  <si>
    <t xml:space="preserve">ES4245</t>
  </si>
  <si>
    <t xml:space="preserve">ES4247</t>
  </si>
  <si>
    <t xml:space="preserve">ES4248</t>
  </si>
  <si>
    <t xml:space="preserve">TOTAL SKS BIDANG KEAHLIAN :</t>
  </si>
  <si>
    <t xml:space="preserve">A. SISTEM TENAGA LISTRIK</t>
  </si>
  <si>
    <t xml:space="preserve">B, ELEKTRONIKA</t>
  </si>
  <si>
    <t xml:space="preserve">C. TELEKOMUNIKASI</t>
  </si>
  <si>
    <t xml:space="preserve">D. KOMPUTER DAN INFORMATIKA</t>
  </si>
  <si>
    <t xml:space="preserve">BIDANG KEAHLIAN SISTEM TENAGA</t>
  </si>
  <si>
    <t xml:space="preserve">-</t>
  </si>
  <si>
    <t xml:space="preserve">=</t>
  </si>
  <si>
    <t xml:space="preserve">CAPAIAN  &gt; 110 SKS</t>
  </si>
  <si>
    <t xml:space="preserve">Capaian &gt; 120 SKS</t>
  </si>
  <si>
    <t xml:space="preserve">Capaian &gt; 130</t>
  </si>
  <si>
    <t xml:space="preserve">MATA KULIAH PILIHAN SISTEM TENAGA</t>
  </si>
  <si>
    <t xml:space="preserve">No.</t>
  </si>
  <si>
    <t xml:space="preserve">EA4001</t>
  </si>
  <si>
    <t xml:space="preserve">Dinamika dan Stabilitas STL</t>
  </si>
  <si>
    <t xml:space="preserve">EA4002</t>
  </si>
  <si>
    <t xml:space="preserve">Gejala Medan Tinggi</t>
  </si>
  <si>
    <t xml:space="preserve">EA4003</t>
  </si>
  <si>
    <t xml:space="preserve">Harmonisa Dalam STL</t>
  </si>
  <si>
    <t xml:space="preserve">EA4004</t>
  </si>
  <si>
    <t xml:space="preserve">Kecerdasan Buatan dalam STL</t>
  </si>
  <si>
    <t xml:space="preserve">EA4005</t>
  </si>
  <si>
    <t xml:space="preserve">Perancangan Mesin-mesin Listrik</t>
  </si>
  <si>
    <t xml:space="preserve">EA4006</t>
  </si>
  <si>
    <t xml:space="preserve">Perencanaan Energi</t>
  </si>
  <si>
    <t xml:space="preserve">EA4007</t>
  </si>
  <si>
    <t xml:space="preserve">Perencanaan STL</t>
  </si>
  <si>
    <t xml:space="preserve">EA4008</t>
  </si>
  <si>
    <t xml:space="preserve">PLC</t>
  </si>
  <si>
    <t xml:space="preserve">EA4009</t>
  </si>
  <si>
    <t xml:space="preserve">PPML</t>
  </si>
  <si>
    <t xml:space="preserve">EA4010</t>
  </si>
  <si>
    <t xml:space="preserve">Sistem SCADA</t>
  </si>
  <si>
    <t xml:space="preserve">EA4011</t>
  </si>
  <si>
    <t xml:space="preserve">Teknik Energi Alternatif</t>
  </si>
  <si>
    <t xml:space="preserve">EA4012</t>
  </si>
  <si>
    <t xml:space="preserve">Teknologi Gardu Induk &amp; Pentanahan STL</t>
  </si>
  <si>
    <t xml:space="preserve">EA4013</t>
  </si>
  <si>
    <t xml:space="preserve">Elektronika Daya Lanjut</t>
  </si>
  <si>
    <t xml:space="preserve">BIDANG KEAHLIAN ELEKTRONIKA</t>
  </si>
  <si>
    <t xml:space="preserve">MATA KULIAH PILIHAN ELEKTRONIKA</t>
  </si>
  <si>
    <t xml:space="preserve">EB4001</t>
  </si>
  <si>
    <t xml:space="preserve">Algoritma dan Struktur Data</t>
  </si>
  <si>
    <t xml:space="preserve">genap</t>
  </si>
  <si>
    <t xml:space="preserve">EB4002</t>
  </si>
  <si>
    <t xml:space="preserve">Instrumentasi Biomedis</t>
  </si>
  <si>
    <t xml:space="preserve">EB4003</t>
  </si>
  <si>
    <t xml:space="preserve">Jaringan Saraf Tiruan</t>
  </si>
  <si>
    <t xml:space="preserve">EB4004</t>
  </si>
  <si>
    <t xml:space="preserve">Logika Fuzzy</t>
  </si>
  <si>
    <t xml:space="preserve">EB4005</t>
  </si>
  <si>
    <t xml:space="preserve">Mikroprosessor Lanjut</t>
  </si>
  <si>
    <t xml:space="preserve">EB4006</t>
  </si>
  <si>
    <t xml:space="preserve">Opto Elektronika</t>
  </si>
  <si>
    <t xml:space="preserve">EB4007</t>
  </si>
  <si>
    <t xml:space="preserve">Pengolahan Citra Digital</t>
  </si>
  <si>
    <t xml:space="preserve">EB4008</t>
  </si>
  <si>
    <t xml:space="preserve">EB4009</t>
  </si>
  <si>
    <t xml:space="preserve">Robotika</t>
  </si>
  <si>
    <t xml:space="preserve">EB4010</t>
  </si>
  <si>
    <t xml:space="preserve">Tek. Rangkaian Terintegrasi (VLSI)</t>
  </si>
  <si>
    <t xml:space="preserve">BIDANG KEAHLIAN TELEKOMUNIKASI</t>
  </si>
  <si>
    <t xml:space="preserve">MATA KULIAH PILIHAN TELEKOMUNIKASI</t>
  </si>
  <si>
    <t xml:space="preserve">EC4001</t>
  </si>
  <si>
    <t xml:space="preserve">Jaringan Syaraf Tiruan</t>
  </si>
  <si>
    <t xml:space="preserve">EC4002</t>
  </si>
  <si>
    <t xml:space="preserve">Komunikasi Bergerak</t>
  </si>
  <si>
    <t xml:space="preserve">EC4003</t>
  </si>
  <si>
    <t xml:space="preserve">Komunikasi Gel. Mikro</t>
  </si>
  <si>
    <t xml:space="preserve">EC4004</t>
  </si>
  <si>
    <t xml:space="preserve">Komunikasi Satelit</t>
  </si>
  <si>
    <t xml:space="preserve">EC4005</t>
  </si>
  <si>
    <t xml:space="preserve">Mikroprosessor  Lanjut</t>
  </si>
  <si>
    <t xml:space="preserve">EC4006</t>
  </si>
  <si>
    <t xml:space="preserve">EC4007</t>
  </si>
  <si>
    <t xml:space="preserve">EC4008</t>
  </si>
  <si>
    <t xml:space="preserve">Radar dan Navigasi</t>
  </si>
  <si>
    <t xml:space="preserve">EC4009</t>
  </si>
  <si>
    <t xml:space="preserve">Sistem Broadcasting</t>
  </si>
  <si>
    <t xml:space="preserve">EC4010</t>
  </si>
  <si>
    <t xml:space="preserve">Sistem Komunikasi Fiber Optik</t>
  </si>
  <si>
    <t xml:space="preserve">EC4011</t>
  </si>
  <si>
    <t xml:space="preserve">Telefoni Digital</t>
  </si>
  <si>
    <t xml:space="preserve">EC4012</t>
  </si>
  <si>
    <t xml:space="preserve">Telemetri</t>
  </si>
  <si>
    <t xml:space="preserve">EC4013</t>
  </si>
  <si>
    <t xml:space="preserve">Topik Khusus Telekomunikasi</t>
  </si>
  <si>
    <t xml:space="preserve">BIDANG KEAHLIAN INFORMATIKA &amp; KOMPUTER</t>
  </si>
  <si>
    <t xml:space="preserve">MATA KULIAH PILIHAN TEKNIK INFORMATIK DAN KOMPUTER</t>
  </si>
  <si>
    <t xml:space="preserve">ED4001</t>
  </si>
  <si>
    <t xml:space="preserve">Algoritma Cepat</t>
  </si>
  <si>
    <t xml:space="preserve">ganjil</t>
  </si>
  <si>
    <t xml:space="preserve">ED4002</t>
  </si>
  <si>
    <t xml:space="preserve">Analisis &amp; Design Berorientasi Objek</t>
  </si>
  <si>
    <t xml:space="preserve">ED4003</t>
  </si>
  <si>
    <t xml:space="preserve">Aplikasi Komputer Dlm STL</t>
  </si>
  <si>
    <t xml:space="preserve">ED4004</t>
  </si>
  <si>
    <t xml:space="preserve">Automata &amp; Pengantar Kompilasi</t>
  </si>
  <si>
    <t xml:space="preserve">ED4005</t>
  </si>
  <si>
    <t xml:space="preserve">Keamanan Informasi</t>
  </si>
  <si>
    <t xml:space="preserve">ED4006</t>
  </si>
  <si>
    <t xml:space="preserve">Pemrograman Platform Independent</t>
  </si>
  <si>
    <t xml:space="preserve">ED4007</t>
  </si>
  <si>
    <t xml:space="preserve">Pengenalan Pola</t>
  </si>
  <si>
    <t xml:space="preserve">ED4008</t>
  </si>
  <si>
    <t xml:space="preserve">ED4009</t>
  </si>
  <si>
    <t xml:space="preserve">ED4010</t>
  </si>
  <si>
    <t xml:space="preserve">Proyek Perangkat Lunak</t>
  </si>
  <si>
    <t xml:space="preserve">ED4011</t>
  </si>
  <si>
    <t xml:space="preserve">Riset Operasional.</t>
  </si>
  <si>
    <t xml:space="preserve">ED4012</t>
  </si>
  <si>
    <t xml:space="preserve">Sistem Operasi</t>
  </si>
  <si>
    <t xml:space="preserve">ED4013</t>
  </si>
  <si>
    <t xml:space="preserve">Teknik Neuro Fuzzy</t>
  </si>
  <si>
    <t xml:space="preserve">ED4014</t>
  </si>
  <si>
    <t xml:space="preserve">Teori Antrian &amp; Keandalan</t>
  </si>
  <si>
    <t xml:space="preserve">ED4015</t>
  </si>
  <si>
    <t xml:space="preserve">Teknik Kompresi Data</t>
  </si>
  <si>
    <t xml:space="preserve">SEMUA BIDANG KEAHLIAN SEMESTER I - IV + PRASYARAT</t>
  </si>
  <si>
    <t xml:space="preserve">SEMUA BIDANG KEAHLIAN SEMESTER V - VIII + PRASYARAT</t>
  </si>
  <si>
    <t xml:space="preserve">BIDANG KEAHLIAN SISTEM TENAGA (A)</t>
  </si>
  <si>
    <t xml:space="preserve">BIDANG KEAHLIAN ELEKTRONIKA (B)</t>
  </si>
  <si>
    <t xml:space="preserve">BIDANG KEAHLIAN TELEKOMUNIKASI (C)</t>
  </si>
  <si>
    <t xml:space="preserve">BIDANG KEAHLIAN INFORMATIKA &amp; KOMPUTER (D)</t>
  </si>
  <si>
    <t xml:space="preserve">Teknologi Gardu Induk &amp; Pentanahan</t>
  </si>
  <si>
    <t xml:space="preserve">DAFTAR MATA KULIAH YANG DITAWARKAN PADA SEMESTER GENAP 2017/2018</t>
  </si>
  <si>
    <t xml:space="preserve">Daftar Mata Kuliah Tambahan yang ditawarkan semester Genap 2016/2017</t>
  </si>
  <si>
    <t xml:space="preserve">Kode MK</t>
  </si>
  <si>
    <t xml:space="preserve">Nama MK</t>
  </si>
  <si>
    <t xml:space="preserve">Jenjang Pendidikan</t>
  </si>
  <si>
    <t xml:space="preserve">Jenis MK</t>
  </si>
  <si>
    <t xml:space="preserve">sks_tm</t>
  </si>
  <si>
    <t xml:space="preserve">sks_prak</t>
  </si>
  <si>
    <t xml:space="preserve">sks_prak_lap</t>
  </si>
  <si>
    <t xml:space="preserve">sks_sim</t>
  </si>
  <si>
    <t xml:space="preserve">a_sap</t>
  </si>
  <si>
    <t xml:space="preserve">a_silabus</t>
  </si>
  <si>
    <t xml:space="preserve">a_bahan_ajar</t>
  </si>
  <si>
    <t xml:space="preserve">acara_praka_diktat</t>
  </si>
  <si>
    <t xml:space="preserve">Semester</t>
  </si>
  <si>
    <t xml:space="preserve">KODE</t>
  </si>
  <si>
    <t xml:space="preserve">SMTR</t>
  </si>
  <si>
    <t xml:space="preserve">ANALISA SISTEM TENAGA I</t>
  </si>
  <si>
    <t xml:space="preserve">C</t>
  </si>
  <si>
    <t xml:space="preserve">1</t>
  </si>
  <si>
    <t xml:space="preserve">MATEMATIKA DASAR</t>
  </si>
  <si>
    <t xml:space="preserve">MK TPB</t>
  </si>
  <si>
    <t xml:space="preserve">BAHASA INDONESIA</t>
  </si>
  <si>
    <t xml:space="preserve">TP</t>
  </si>
  <si>
    <t xml:space="preserve">Dibagi 2 kelas</t>
  </si>
  <si>
    <t xml:space="preserve">MESIN LISTRIK I</t>
  </si>
  <si>
    <t xml:space="preserve">FISIKA DASAR</t>
  </si>
  <si>
    <t xml:space="preserve">PANCASILA</t>
  </si>
  <si>
    <t xml:space="preserve">PEMBANGKIT TENAGA LISTRIK</t>
  </si>
  <si>
    <t xml:space="preserve">KIMIA DASAR</t>
  </si>
  <si>
    <t xml:space="preserve">ILMU SOSIAL DAN BUDAYA DASAR</t>
  </si>
  <si>
    <t xml:space="preserve">TRANSMISI TENAGA LISTRIK</t>
  </si>
  <si>
    <t xml:space="preserve">BIOLOGI UMUM</t>
  </si>
  <si>
    <t xml:space="preserve">PRAKTIKUM RANGKAIAN LISTRIK</t>
  </si>
  <si>
    <t xml:space="preserve">ANALISA SISTEM TENAGA II</t>
  </si>
  <si>
    <t xml:space="preserve">PENDIDIKAN AGAMA</t>
  </si>
  <si>
    <t xml:space="preserve">PRAKTIKUM ANALISA SISTEM TENAGA</t>
  </si>
  <si>
    <t xml:space="preserve">Keterangan :</t>
  </si>
  <si>
    <t xml:space="preserve">MESIN LISTRIK II</t>
  </si>
  <si>
    <t xml:space="preserve">&gt; Jadwal kuliah dan dosen pengampu menyusul</t>
  </si>
  <si>
    <t xml:space="preserve">PRAKTIKUM MESIN LISTRIK</t>
  </si>
  <si>
    <t xml:space="preserve">BAHASA INGGRIS I</t>
  </si>
  <si>
    <t xml:space="preserve">&gt; Kuliahnya digabung antara kelas reguler dan non reguler</t>
  </si>
  <si>
    <t xml:space="preserve">SISTEM DISTRIBUSI TENAGA LISTRIK</t>
  </si>
  <si>
    <t xml:space="preserve">KONSEP SAINS DAN TEKNOLOGI</t>
  </si>
  <si>
    <t xml:space="preserve">&gt; Kelas kuliah akan dibagi menjadi 2, kelas A dan B berdasarkan NIM</t>
  </si>
  <si>
    <t xml:space="preserve">PERENCANAAN INSTALASI TENAGA LISTRIK</t>
  </si>
  <si>
    <t xml:space="preserve">FISIKA II / FISIKA LANJUT</t>
  </si>
  <si>
    <t xml:space="preserve">TEKNIK TEGANGAN TINGGI</t>
  </si>
  <si>
    <t xml:space="preserve">KALKULUS II / MATEMATIKA LANJUT</t>
  </si>
  <si>
    <t xml:space="preserve">DINAMIKA DAN STABILITAS STL</t>
  </si>
  <si>
    <t xml:space="preserve">D</t>
  </si>
  <si>
    <t xml:space="preserve">RANGKAIAN LOGIKA</t>
  </si>
  <si>
    <t xml:space="preserve">MANAJEMEN OPERASI SISTEM TENAGA</t>
  </si>
  <si>
    <t xml:space="preserve">GEJALA MEDAN TINGGI</t>
  </si>
  <si>
    <t xml:space="preserve">DASAR TELEKOMUNIKASI</t>
  </si>
  <si>
    <t xml:space="preserve">PROTEKSI SISTEM TENAGA</t>
  </si>
  <si>
    <t xml:space="preserve">HARMONISA DALAM STL</t>
  </si>
  <si>
    <t xml:space="preserve">PRAKTIKUM DASAR TELEKOMUNIKASI</t>
  </si>
  <si>
    <t xml:space="preserve">PRAKTIKUM PROTEKSI SISTEM TENAGA</t>
  </si>
  <si>
    <t xml:space="preserve">KECERDASAN BUATAN DALAM STL</t>
  </si>
  <si>
    <t xml:space="preserve">KEWARGANEGARAAN</t>
  </si>
  <si>
    <t xml:space="preserve">ELEKTRONIKA DAYA</t>
  </si>
  <si>
    <t xml:space="preserve">PERANCANGAN MESIN-MESIN LISTRIK</t>
  </si>
  <si>
    <t xml:space="preserve">BAHASA INGGRIS II</t>
  </si>
  <si>
    <t xml:space="preserve">PRAKTIKUM ELEKTRONIKA DAYA</t>
  </si>
  <si>
    <t xml:space="preserve">PERENCANAAN ENERGI</t>
  </si>
  <si>
    <t xml:space="preserve">KEWIRAUSAHAAN</t>
  </si>
  <si>
    <t xml:space="preserve">PRAKTIKUM TRANSMISI DAN DISTRIBUSI</t>
  </si>
  <si>
    <t xml:space="preserve">PERANCANGAN SISTEM TENAGA LISTRIK</t>
  </si>
  <si>
    <t xml:space="preserve">RANGKAIAN ELEKTRONIKA</t>
  </si>
  <si>
    <t xml:space="preserve">DASAR TEKNOLOGI INFORMASI</t>
  </si>
  <si>
    <t xml:space="preserve">PRAKTIKUM RANGKAIAN ELEKTRONIKA</t>
  </si>
  <si>
    <t xml:space="preserve">RANGKAIAN LISTRIK I</t>
  </si>
  <si>
    <t xml:space="preserve">ELEKTRONIKA DIGITAL</t>
  </si>
  <si>
    <t xml:space="preserve">SISTEM SCADA</t>
  </si>
  <si>
    <t xml:space="preserve">PRAKTIKUM RANGKAIAN LOGIKA</t>
  </si>
  <si>
    <t xml:space="preserve">PRAKTIKUM ELEKTRONIKA DIGITAL</t>
  </si>
  <si>
    <t xml:space="preserve">TEKNIK ENERGI ALTERNATIF</t>
  </si>
  <si>
    <t xml:space="preserve">ALGORITMA DAN PEMROGRAMAN</t>
  </si>
  <si>
    <t xml:space="preserve">ELEKTRONIKA ANALOG</t>
  </si>
  <si>
    <t xml:space="preserve">TEKNOLOGI GARDU INDUK DAN PENTANAHAN</t>
  </si>
  <si>
    <t xml:space="preserve">MATEMATIKA TEKNIK I</t>
  </si>
  <si>
    <t xml:space="preserve">MEKATRONIKA</t>
  </si>
  <si>
    <t xml:space="preserve">ELEKTRONIKA DAYA LANJUT</t>
  </si>
  <si>
    <t xml:space="preserve">PENGUKURAN BESARAN LISTRIK</t>
  </si>
  <si>
    <t xml:space="preserve">PRAKTIKUM ELEKTRONIKA LANJUT</t>
  </si>
  <si>
    <t xml:space="preserve">PRAKTIKUM PENGUKURAN BESARAN LISTRIK</t>
  </si>
  <si>
    <t xml:space="preserve">PENGOLAHAN SINYAL DIGITAL</t>
  </si>
  <si>
    <t xml:space="preserve">DASAR ELEKTRONIKA</t>
  </si>
  <si>
    <t xml:space="preserve">SISTEM INSTRUMENTASI ELEKTRONIKA</t>
  </si>
  <si>
    <t xml:space="preserve">DASAR TENAGA LISTRIK</t>
  </si>
  <si>
    <t xml:space="preserve">ELEKTRONIKA INDUSTRI</t>
  </si>
  <si>
    <t xml:space="preserve">BAHAN LISTRIK</t>
  </si>
  <si>
    <t xml:space="preserve">TEKNIK INTERFACING DAN SISTEM EMBEDDED</t>
  </si>
  <si>
    <t xml:space="preserve">PRAKTKUM ALGORITMA DAN PEMROGRAMAN</t>
  </si>
  <si>
    <t xml:space="preserve">PERANCANGAN SISTEM ELEKTRONIKA</t>
  </si>
  <si>
    <t xml:space="preserve">PROBABILITAS DAN STATISTIK</t>
  </si>
  <si>
    <t xml:space="preserve">PRAKTIKUM PENGOLAHAN SINYAL DIGITAL</t>
  </si>
  <si>
    <t xml:space="preserve">RANGKAIAN LISTRIK II</t>
  </si>
  <si>
    <t xml:space="preserve">PIRANTI MIKROELEKTRONIKA</t>
  </si>
  <si>
    <t xml:space="preserve">MATEMATIKA TEKNIK II</t>
  </si>
  <si>
    <t xml:space="preserve">TEKNIK KENDALI DIGITAL</t>
  </si>
  <si>
    <t xml:space="preserve">SINYAL DAN SISTEM</t>
  </si>
  <si>
    <t xml:space="preserve">ELEKTROMAGNETIK LANJUT</t>
  </si>
  <si>
    <t xml:space="preserve">METODE NUMERIK</t>
  </si>
  <si>
    <t xml:space="preserve">SISTEM TELEKOMUNIKASI</t>
  </si>
  <si>
    <t xml:space="preserve">ELEKTROMAGNETIK</t>
  </si>
  <si>
    <t xml:space="preserve">JARINGAN TELEKOMUNIKASI</t>
  </si>
  <si>
    <t xml:space="preserve">PRAKTIKUM DASAR ELEKTRONIKA</t>
  </si>
  <si>
    <t xml:space="preserve">REKAYASA TRAFIK</t>
  </si>
  <si>
    <t xml:space="preserve">PRAKTIKUM DASAR TENAGA LISTRIK</t>
  </si>
  <si>
    <t xml:space="preserve">TRANSMISI GELOMBANG ELEKTROMANETIK I</t>
  </si>
  <si>
    <t xml:space="preserve">KOMUNIKASI DIGITAL</t>
  </si>
  <si>
    <t xml:space="preserve">ELEKTRONIKA TELEKOMUNIKASI</t>
  </si>
  <si>
    <t xml:space="preserve">ALGORITMA DAN STRUKTUR DATA</t>
  </si>
  <si>
    <t xml:space="preserve">PRAKTIKUM JARINGAN TELEKOMUNIKASI</t>
  </si>
  <si>
    <t xml:space="preserve">INSTRUMENTASI BIOMEDIS</t>
  </si>
  <si>
    <t xml:space="preserve">KOMUNIKASI DATA DAN JARINGAN KOMPUTER</t>
  </si>
  <si>
    <t xml:space="preserve">JARINGAN SYARAF TIRUAN</t>
  </si>
  <si>
    <t xml:space="preserve">TRANSMISI GELOMBANG ELEKTROMANETIK II</t>
  </si>
  <si>
    <t xml:space="preserve">LOGIKA FUZZY</t>
  </si>
  <si>
    <t xml:space="preserve">ANTENA DAN PROPAGASI</t>
  </si>
  <si>
    <t xml:space="preserve">MIKROPROSESOR LANJUT</t>
  </si>
  <si>
    <t xml:space="preserve">PENGUKURAN SISTEM TELEKOMUNIKASI</t>
  </si>
  <si>
    <t xml:space="preserve">OPTO ELEKTRONIKA</t>
  </si>
  <si>
    <t xml:space="preserve">PRAKTIKUM SISTEM TELEKOMUNIKASI</t>
  </si>
  <si>
    <t xml:space="preserve">PENGOLAHAN CITRA DIGITAL</t>
  </si>
  <si>
    <t xml:space="preserve">MATEMATIKA DISKRIT</t>
  </si>
  <si>
    <t xml:space="preserve">BASIS DATA</t>
  </si>
  <si>
    <t xml:space="preserve">ROBOTIKA</t>
  </si>
  <si>
    <t xml:space="preserve">REKAYASA PERANGKAT LUNAK</t>
  </si>
  <si>
    <t xml:space="preserve">TEKNOLOGI RANGKAIAN TERINTEGRASI (VLSI)</t>
  </si>
  <si>
    <t xml:space="preserve">PEMROGRAMAN BERORIENTASI OBYEK</t>
  </si>
  <si>
    <t xml:space="preserve">ARSITEKTUR SISTEM KOMPUTER</t>
  </si>
  <si>
    <t xml:space="preserve">PRAKTIKUM PEMROGRAMAN BERBASIS OBYEK</t>
  </si>
  <si>
    <t xml:space="preserve">KECERDASAN BUATAN</t>
  </si>
  <si>
    <t xml:space="preserve">EKONOMI TEKNIK</t>
  </si>
  <si>
    <t xml:space="preserve">SISTEM MIKROPROSESOR</t>
  </si>
  <si>
    <t xml:space="preserve">SISTEM KENDALI</t>
  </si>
  <si>
    <t xml:space="preserve">SISTEM INFORMASI MANAJEMEN</t>
  </si>
  <si>
    <t xml:space="preserve">PRAKTIKUM SISTEM KENDALI</t>
  </si>
  <si>
    <t xml:space="preserve">PRAKTIKUM ALGORITMA DAN STRUKTUR DATA</t>
  </si>
  <si>
    <t xml:space="preserve">PRAKTIKUM BASIS DATA</t>
  </si>
  <si>
    <t xml:space="preserve">PRAKTIKUM JARINGAN KOMPUTER</t>
  </si>
  <si>
    <t xml:space="preserve">KOMUNIKASI BERGERAK</t>
  </si>
  <si>
    <t xml:space="preserve">KOMUNIKASI GELOMBANG MIKRO</t>
  </si>
  <si>
    <t xml:space="preserve">KOMUNIKASI SATELIT</t>
  </si>
  <si>
    <t xml:space="preserve">RADAR DAN NAVIGASI</t>
  </si>
  <si>
    <t xml:space="preserve">SISTEM BROADCASTING</t>
  </si>
  <si>
    <t xml:space="preserve">SISTEM KOMUNIKASI FIBER OPTIK</t>
  </si>
  <si>
    <t xml:space="preserve">TELEFONI DIGITAL</t>
  </si>
  <si>
    <t xml:space="preserve">TELEMETRI</t>
  </si>
  <si>
    <t xml:space="preserve">TOPIK KHUSUS TELEKOMUNIKASI</t>
  </si>
  <si>
    <t xml:space="preserve">PROSES STOKASTIK</t>
  </si>
  <si>
    <t xml:space="preserve">ALGORITMA CEPAT</t>
  </si>
  <si>
    <t xml:space="preserve">PRAKTIKUM SISTEM MIKROPROSESOR</t>
  </si>
  <si>
    <t xml:space="preserve">ANALISIS DAN DESAIN BERORIENTASI OBYEK</t>
  </si>
  <si>
    <t xml:space="preserve">PRAKTEK KERJA LAPANGAN</t>
  </si>
  <si>
    <t xml:space="preserve">APLIKASI KOMPUTER DALAM STL</t>
  </si>
  <si>
    <t xml:space="preserve">PRA TUGAS AKHIR</t>
  </si>
  <si>
    <t xml:space="preserve">AUTOMATA DAN PENGANTAR KOMPILASI</t>
  </si>
  <si>
    <t xml:space="preserve">KULIAH KERJA NYATA (KKN)</t>
  </si>
  <si>
    <t xml:space="preserve">KEAMANAN INFORMASI</t>
  </si>
  <si>
    <t xml:space="preserve">LINGKUNGAN DAN ETIKA REKAYASA</t>
  </si>
  <si>
    <t xml:space="preserve">PEMROGRAMAN PLATFORM INDEPENDENT</t>
  </si>
  <si>
    <t xml:space="preserve">TUGAS AKHIR</t>
  </si>
  <si>
    <t xml:space="preserve">PENGENALAN POLA</t>
  </si>
  <si>
    <t xml:space="preserve">PROYEK PERANGKAT LUNAK</t>
  </si>
  <si>
    <t xml:space="preserve">RISET OPERASIONAL</t>
  </si>
  <si>
    <t xml:space="preserve">SISTEM OPERASI</t>
  </si>
  <si>
    <t xml:space="preserve">TEKNIK NEURO FUZZY</t>
  </si>
  <si>
    <t xml:space="preserve">TEORI ANTRIAN DAN DAN KEANDALAN</t>
  </si>
  <si>
    <t xml:space="preserve">TEKNK KOMPRESI DATA</t>
  </si>
  <si>
    <t xml:space="preserve">A</t>
  </si>
  <si>
    <t xml:space="preserve">E</t>
  </si>
  <si>
    <t xml:space="preserve">EU4245</t>
  </si>
  <si>
    <r>
      <rPr>
        <sz val="12"/>
        <rFont val="Arial"/>
        <family val="2"/>
        <charset val="1"/>
      </rPr>
      <t xml:space="preserve">TUGAS AKHIR </t>
    </r>
    <r>
      <rPr>
        <sz val="8"/>
        <rFont val="Arial"/>
        <family val="2"/>
        <charset val="1"/>
      </rPr>
      <t xml:space="preserve">(khusus utk mhs yg sdh seminar proposal TA sblm 1 Juli 2015)</t>
    </r>
  </si>
  <si>
    <t xml:space="preserve">Wajib Semua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</si>
</sst>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D9D9D9"/>
        <bgColor rgb="FFFFC7CE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99FF66"/>
      </patternFill>
    </fill>
    <fill>
      <patternFill patternType="solid">
        <fgColor rgb="FFFFC000"/>
        <bgColor rgb="FFFFCC00"/>
      </patternFill>
    </fill>
    <fill>
      <patternFill patternType="solid">
        <fgColor rgb="FFBFBFBF"/>
        <bgColor rgb="FFD9D9D9"/>
      </patternFill>
    </fill>
    <fill>
      <patternFill patternType="solid">
        <fgColor rgb="FFFFF200"/>
        <bgColor rgb="FFFFFF00"/>
      </patternFill>
    </fill>
    <fill>
      <patternFill patternType="solid">
        <fgColor rgb="FFFF99FF"/>
        <bgColor rgb="FFCC99FF"/>
      </patternFill>
    </fill>
    <fill>
      <patternFill patternType="solid">
        <fgColor rgb="FF00FF66"/>
        <bgColor rgb="FF00FFFF"/>
      </patternFill>
    </fill>
    <fill>
      <patternFill patternType="solid">
        <fgColor rgb="FF99FF66"/>
        <bgColor rgb="FF92D050"/>
      </patternFill>
    </fill>
    <fill>
      <patternFill patternType="solid">
        <fgColor rgb="FFFFCC00"/>
        <bgColor rgb="FFFFC000"/>
      </patternFill>
    </fill>
    <fill>
      <patternFill patternType="solid">
        <fgColor rgb="FFFF66CC"/>
        <bgColor rgb="FFFF99FF"/>
      </patternFill>
    </fill>
    <fill>
      <patternFill patternType="solid">
        <fgColor rgb="FFFFFFFF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dashed"/>
      <diagonal/>
    </border>
    <border diagonalUp="false" diagonalDown="false">
      <left style="thin"/>
      <right style="thin"/>
      <top style="dashed"/>
      <bottom style="dashed"/>
      <diagonal/>
    </border>
    <border diagonalUp="false" diagonalDown="false">
      <left style="thin"/>
      <right style="thin"/>
      <top style="dashed"/>
      <bottom style="thin"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/>
      <top style="double"/>
      <bottom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hair"/>
      <diagonal/>
    </border>
    <border diagonalUp="false" diagonalDown="false">
      <left style="thin"/>
      <right/>
      <top style="double"/>
      <bottom style="hair"/>
      <diagonal/>
    </border>
    <border diagonalUp="false" diagonalDown="false">
      <left/>
      <right/>
      <top style="double"/>
      <bottom style="hair"/>
      <diagonal/>
    </border>
    <border diagonalUp="false" diagonalDown="false">
      <left/>
      <right style="thin"/>
      <top style="double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double"/>
      <diagonal/>
    </border>
    <border diagonalUp="false" diagonalDown="false">
      <left style="thin"/>
      <right/>
      <top style="hair"/>
      <bottom style="double"/>
      <diagonal/>
    </border>
    <border diagonalUp="false" diagonalDown="false">
      <left/>
      <right/>
      <top style="hair"/>
      <bottom style="double"/>
      <diagonal/>
    </border>
    <border diagonalUp="false" diagonalDown="false">
      <left/>
      <right style="thin"/>
      <top style="hair"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thin"/>
      <top style="double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1">
    <dxf>
      <font>
        <name val="Arial"/>
        <charset val="1"/>
        <family val="2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66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D9D9D9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B0F0"/>
      <rgbColor rgb="FFCCFFFF"/>
      <rgbColor rgb="FF99FF66"/>
      <rgbColor rgb="FFFFFF99"/>
      <rgbColor rgb="FF99CCFF"/>
      <rgbColor rgb="FFFF99FF"/>
      <rgbColor rgb="FFCC99FF"/>
      <rgbColor rgb="FFFFC7CE"/>
      <rgbColor rgb="FF3366FF"/>
      <rgbColor rgb="FF33CCCC"/>
      <rgbColor rgb="FF92D050"/>
      <rgbColor rgb="FFFFCC00"/>
      <rgbColor rgb="FFF79646"/>
      <rgbColor rgb="FFFFC0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externalLink" Target="externalLinks/externalLink1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Users/yagyu/Dropbox/Public/PNBP/2018/INPUT_DATA/Users/yagyu/Dropbox/Public/PNBP/2018/INPUT_DATA/Users/yagyu/Dropbox/Public/PNBP/2018/INPUT_DATA/Users/yagyu/Dropbox/Public/PNBP/2018/Users/yagyu/Dropbox/Public/PNBP/2018/Users/yagyu/Dropbox/Public/PNBP/2018/Users/yagyu/Dropbox/Public/PNBP/2018/Users/yagyu/Dropbox/Public/PNBP/2018/Users/yagyu/Downloads/Daftar%20MK%20Kurikulum%20TE%202014%20+%20TPB%202015%20+%20TPB%202016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C5" t="str">
            <v>ES1101</v>
          </cell>
          <cell r="D5" t="str">
            <v>AGAMA ISLAM</v>
          </cell>
          <cell r="E5">
            <v>2</v>
          </cell>
        </row>
        <row r="6">
          <cell r="C6" t="str">
            <v>ES1102</v>
          </cell>
          <cell r="D6" t="str">
            <v>BAHASA INGGRIS AKADEMIK</v>
          </cell>
          <cell r="E6">
            <v>2</v>
          </cell>
        </row>
        <row r="7">
          <cell r="C7" t="str">
            <v>ES1103</v>
          </cell>
          <cell r="D7" t="str">
            <v>FISIKA I</v>
          </cell>
          <cell r="E7">
            <v>3</v>
          </cell>
        </row>
        <row r="8">
          <cell r="C8" t="str">
            <v>ES1104</v>
          </cell>
          <cell r="D8" t="str">
            <v>KALKULUS I</v>
          </cell>
          <cell r="E8">
            <v>3</v>
          </cell>
        </row>
        <row r="9">
          <cell r="C9" t="str">
            <v>ES1105</v>
          </cell>
          <cell r="D9" t="str">
            <v>BAHAN LISTRIK</v>
          </cell>
          <cell r="E9">
            <v>2</v>
          </cell>
        </row>
        <row r="10">
          <cell r="C10" t="str">
            <v>ES1106</v>
          </cell>
          <cell r="D10" t="str">
            <v>KONSEP SAINS DAN TEKNOLOGI</v>
          </cell>
          <cell r="E10">
            <v>2</v>
          </cell>
        </row>
        <row r="11">
          <cell r="C11" t="str">
            <v>ES1107</v>
          </cell>
          <cell r="D11" t="str">
            <v>GAMBAR TEKNIK</v>
          </cell>
          <cell r="E11">
            <v>2</v>
          </cell>
        </row>
        <row r="12">
          <cell r="C12" t="str">
            <v>ES1108</v>
          </cell>
          <cell r="D12" t="str">
            <v>DASAR TEKNOLOGI INFORMASI</v>
          </cell>
          <cell r="E12">
            <v>3</v>
          </cell>
        </row>
        <row r="13">
          <cell r="C13" t="str">
            <v>ES1149</v>
          </cell>
          <cell r="D13" t="str">
            <v>AGAMA KRISTEN KATOLIK</v>
          </cell>
          <cell r="E13">
            <v>2</v>
          </cell>
        </row>
        <row r="14">
          <cell r="C14" t="str">
            <v>ES1150</v>
          </cell>
          <cell r="D14" t="str">
            <v>AGAMA KRISTEN PROTESTAN</v>
          </cell>
          <cell r="E14">
            <v>2</v>
          </cell>
        </row>
        <row r="15">
          <cell r="C15" t="str">
            <v>ES1151</v>
          </cell>
          <cell r="D15" t="str">
            <v>AGAMA HINDU</v>
          </cell>
          <cell r="E15">
            <v>2</v>
          </cell>
        </row>
        <row r="16">
          <cell r="C16" t="str">
            <v>ES1152</v>
          </cell>
          <cell r="D16" t="str">
            <v>AGAMA BUDHA</v>
          </cell>
          <cell r="E16">
            <v>2</v>
          </cell>
        </row>
        <row r="17">
          <cell r="C17" t="str">
            <v>TPB11211</v>
          </cell>
          <cell r="D17" t="str">
            <v>BIOLOGI DASAR</v>
          </cell>
          <cell r="E17">
            <v>3</v>
          </cell>
        </row>
        <row r="18">
          <cell r="C18" t="str">
            <v>TPB12301</v>
          </cell>
          <cell r="D18" t="str">
            <v>MATEMATIKA DASAR</v>
          </cell>
          <cell r="E18">
            <v>3</v>
          </cell>
        </row>
        <row r="19">
          <cell r="C19" t="str">
            <v>ES1209</v>
          </cell>
          <cell r="D19" t="str">
            <v>PEMBANGUNAN KARAKTER</v>
          </cell>
          <cell r="E19">
            <v>2</v>
          </cell>
        </row>
        <row r="20">
          <cell r="C20" t="str">
            <v>ES1210</v>
          </cell>
          <cell r="D20" t="str">
            <v>FISIKA II / FISIKA LANJUT</v>
          </cell>
          <cell r="E20">
            <v>3</v>
          </cell>
        </row>
        <row r="21">
          <cell r="C21" t="str">
            <v>ES1211</v>
          </cell>
          <cell r="D21" t="str">
            <v>KALKULUS II / MATEMATIKA LANJUT</v>
          </cell>
          <cell r="E21">
            <v>2</v>
          </cell>
        </row>
        <row r="22">
          <cell r="C22" t="str">
            <v>ES1212</v>
          </cell>
          <cell r="D22" t="str">
            <v>RANGKAIAN LISTRIK I</v>
          </cell>
          <cell r="E22">
            <v>3</v>
          </cell>
        </row>
        <row r="23">
          <cell r="C23" t="str">
            <v>ES1213</v>
          </cell>
          <cell r="D23" t="str">
            <v>RANGKAIAN LOGIKA</v>
          </cell>
          <cell r="E23">
            <v>2</v>
          </cell>
        </row>
        <row r="24">
          <cell r="C24" t="str">
            <v>ES1214</v>
          </cell>
          <cell r="D24" t="str">
            <v>PRAKTIKUM RANGKAIAN LOGIKA</v>
          </cell>
          <cell r="E24">
            <v>1</v>
          </cell>
        </row>
        <row r="25">
          <cell r="C25" t="str">
            <v>ES1215</v>
          </cell>
          <cell r="D25" t="str">
            <v>ALGORITMA DAN PEMROGRAMAN</v>
          </cell>
          <cell r="E25">
            <v>2</v>
          </cell>
        </row>
        <row r="26">
          <cell r="C26" t="str">
            <v>ES1216</v>
          </cell>
          <cell r="D26" t="str">
            <v>PRAKTKUM ALGORITMA DAN PEMROGRAMAN</v>
          </cell>
          <cell r="E26">
            <v>1</v>
          </cell>
        </row>
        <row r="27">
          <cell r="C27" t="str">
            <v>ES1217</v>
          </cell>
          <cell r="D27" t="str">
            <v>DASAR TELEKOMUNIKASI</v>
          </cell>
          <cell r="E27">
            <v>3</v>
          </cell>
        </row>
        <row r="28">
          <cell r="C28" t="str">
            <v>TPB13212</v>
          </cell>
          <cell r="D28" t="str">
            <v>KIMIA DASAR</v>
          </cell>
          <cell r="E28">
            <v>3</v>
          </cell>
        </row>
        <row r="29">
          <cell r="C29" t="str">
            <v>TPB14212</v>
          </cell>
          <cell r="D29" t="str">
            <v>FISIKA DASAR</v>
          </cell>
          <cell r="E29">
            <v>3</v>
          </cell>
        </row>
        <row r="30">
          <cell r="C30" t="str">
            <v>ES2118</v>
          </cell>
          <cell r="D30" t="str">
            <v>MATEMATIKA TEKNIK I</v>
          </cell>
          <cell r="E30">
            <v>3</v>
          </cell>
        </row>
        <row r="31">
          <cell r="C31" t="str">
            <v>ES2119</v>
          </cell>
          <cell r="D31" t="str">
            <v>PROBABILITAS DAN STATISTIK</v>
          </cell>
          <cell r="E31">
            <v>2</v>
          </cell>
        </row>
        <row r="32">
          <cell r="C32" t="str">
            <v>ES2120</v>
          </cell>
          <cell r="D32" t="str">
            <v>PRAKTIKUM FISIKA</v>
          </cell>
          <cell r="E32">
            <v>1</v>
          </cell>
        </row>
        <row r="33">
          <cell r="C33" t="str">
            <v>ES2121</v>
          </cell>
          <cell r="D33" t="str">
            <v>RANGKAIAN LISTRIK II</v>
          </cell>
          <cell r="E33">
            <v>3</v>
          </cell>
        </row>
        <row r="34">
          <cell r="C34" t="str">
            <v>ES2122</v>
          </cell>
          <cell r="D34" t="str">
            <v>PENGUKURAN BESARAN LISTRIK</v>
          </cell>
          <cell r="E34">
            <v>2</v>
          </cell>
        </row>
        <row r="35">
          <cell r="C35" t="str">
            <v>ES2123</v>
          </cell>
          <cell r="D35" t="str">
            <v>PRAKTIKUM PENGUKURAN BESARAN LISTRIK</v>
          </cell>
          <cell r="E35">
            <v>1</v>
          </cell>
        </row>
        <row r="36">
          <cell r="C36" t="str">
            <v>ES2124</v>
          </cell>
          <cell r="D36" t="str">
            <v>DASAR ELEKTRONIKA</v>
          </cell>
          <cell r="E36">
            <v>3</v>
          </cell>
        </row>
        <row r="37">
          <cell r="C37" t="str">
            <v>ES2125</v>
          </cell>
          <cell r="D37" t="str">
            <v>DASAR TENAGA LISTRIK</v>
          </cell>
          <cell r="E37">
            <v>3</v>
          </cell>
        </row>
        <row r="38">
          <cell r="C38" t="str">
            <v>ES2126</v>
          </cell>
          <cell r="D38" t="str">
            <v>PRAKTIKUM DASAR TELEKOMUNIKASI</v>
          </cell>
          <cell r="E38">
            <v>1</v>
          </cell>
        </row>
        <row r="39">
          <cell r="C39" t="str">
            <v>ES2227</v>
          </cell>
          <cell r="D39" t="str">
            <v>BAHASA INDONESIA AKADEMIK</v>
          </cell>
          <cell r="E39">
            <v>2</v>
          </cell>
        </row>
        <row r="40">
          <cell r="C40" t="str">
            <v>ES2228</v>
          </cell>
          <cell r="D40" t="str">
            <v>MATEMATIKA TEKNIK II</v>
          </cell>
          <cell r="E40">
            <v>3</v>
          </cell>
        </row>
        <row r="41">
          <cell r="C41" t="str">
            <v>ES2229</v>
          </cell>
          <cell r="D41" t="str">
            <v>SINYAL DAN SISTEM</v>
          </cell>
          <cell r="E41">
            <v>3</v>
          </cell>
        </row>
        <row r="42">
          <cell r="C42" t="str">
            <v>ES2230</v>
          </cell>
          <cell r="D42" t="str">
            <v>PROSES STOKASTIK</v>
          </cell>
          <cell r="E42">
            <v>2</v>
          </cell>
        </row>
        <row r="43">
          <cell r="C43" t="str">
            <v>ES2231</v>
          </cell>
          <cell r="D43" t="str">
            <v>METODE NUMERIK</v>
          </cell>
          <cell r="E43">
            <v>2</v>
          </cell>
        </row>
        <row r="44">
          <cell r="C44" t="str">
            <v>ES2232</v>
          </cell>
          <cell r="D44" t="str">
            <v>PRAKTIKUM RANGKAIAN LISTRIK</v>
          </cell>
          <cell r="E44">
            <v>1</v>
          </cell>
        </row>
        <row r="45">
          <cell r="C45" t="str">
            <v>ES2233</v>
          </cell>
          <cell r="D45" t="str">
            <v>EKONOMI TEKNIK</v>
          </cell>
          <cell r="E45">
            <v>2</v>
          </cell>
        </row>
        <row r="46">
          <cell r="C46" t="str">
            <v>ES2234</v>
          </cell>
          <cell r="D46" t="str">
            <v>ELEKTROMAGNETIK</v>
          </cell>
          <cell r="E46">
            <v>3</v>
          </cell>
        </row>
        <row r="47">
          <cell r="C47" t="str">
            <v>ES2235</v>
          </cell>
          <cell r="D47" t="str">
            <v>PRAKTIKUM DASAR ELEKTRONIKA</v>
          </cell>
          <cell r="E47">
            <v>1</v>
          </cell>
        </row>
        <row r="48">
          <cell r="C48" t="str">
            <v>ES2236</v>
          </cell>
          <cell r="D48" t="str">
            <v>PRAKTIKUM DASAR TENAGA LISTRIK</v>
          </cell>
          <cell r="E48">
            <v>1</v>
          </cell>
        </row>
        <row r="49">
          <cell r="C49" t="str">
            <v>EA3101</v>
          </cell>
          <cell r="D49" t="str">
            <v>ANALISA SISTEM TENAGA I</v>
          </cell>
          <cell r="E49">
            <v>3</v>
          </cell>
        </row>
        <row r="50">
          <cell r="C50" t="str">
            <v>EA3102</v>
          </cell>
          <cell r="D50" t="str">
            <v>MESIN LISTRIK I</v>
          </cell>
          <cell r="E50">
            <v>3</v>
          </cell>
        </row>
        <row r="51">
          <cell r="C51" t="str">
            <v>EA3103</v>
          </cell>
          <cell r="D51" t="str">
            <v>PEMBANGKIT TENAGA LISTRIK</v>
          </cell>
          <cell r="E51">
            <v>2</v>
          </cell>
        </row>
        <row r="52">
          <cell r="C52" t="str">
            <v>EA3104</v>
          </cell>
          <cell r="D52" t="str">
            <v>TRANSMISI TENAGA LISTRIK</v>
          </cell>
          <cell r="E52">
            <v>2</v>
          </cell>
        </row>
        <row r="53">
          <cell r="C53" t="str">
            <v>EB3101</v>
          </cell>
          <cell r="D53" t="str">
            <v>RANGKAIAN ELEKTRONIKA</v>
          </cell>
          <cell r="E53">
            <v>3</v>
          </cell>
        </row>
        <row r="54">
          <cell r="C54" t="str">
            <v>EB3102</v>
          </cell>
          <cell r="D54" t="str">
            <v>PRAKTIKUM RANGKAIAN ELEKTRONIKA</v>
          </cell>
          <cell r="E54">
            <v>1</v>
          </cell>
        </row>
        <row r="55">
          <cell r="C55" t="str">
            <v>EB3103</v>
          </cell>
          <cell r="D55" t="str">
            <v>ELEKTRONIKA DIGITAL</v>
          </cell>
          <cell r="E55">
            <v>2</v>
          </cell>
        </row>
        <row r="56">
          <cell r="C56" t="str">
            <v>EB3104</v>
          </cell>
          <cell r="D56" t="str">
            <v>PRAKTIKUM ELEKTRONIKA DIGITAL</v>
          </cell>
          <cell r="E56">
            <v>1</v>
          </cell>
        </row>
        <row r="57">
          <cell r="C57" t="str">
            <v>EB3105</v>
          </cell>
          <cell r="D57" t="str">
            <v>ELEKTRONIKA ANALOG</v>
          </cell>
          <cell r="E57">
            <v>2</v>
          </cell>
        </row>
        <row r="58">
          <cell r="C58" t="str">
            <v>EC3101</v>
          </cell>
          <cell r="D58" t="str">
            <v>ELEKTROMAGNETIK LANJUT</v>
          </cell>
          <cell r="E58">
            <v>2</v>
          </cell>
        </row>
        <row r="59">
          <cell r="C59" t="str">
            <v>EC3102</v>
          </cell>
          <cell r="D59" t="str">
            <v>SISTEM TELEKOMUNIKASI</v>
          </cell>
          <cell r="E59">
            <v>3</v>
          </cell>
        </row>
        <row r="60">
          <cell r="C60" t="str">
            <v>EC3103</v>
          </cell>
          <cell r="D60" t="str">
            <v>JARINGAN TELEKOMUNIKASI</v>
          </cell>
          <cell r="E60">
            <v>3</v>
          </cell>
        </row>
        <row r="61">
          <cell r="C61" t="str">
            <v>EC3104</v>
          </cell>
          <cell r="D61" t="str">
            <v>REKAYASA TRAFIK</v>
          </cell>
          <cell r="E61">
            <v>2</v>
          </cell>
        </row>
        <row r="62">
          <cell r="C62" t="str">
            <v>ED3101</v>
          </cell>
          <cell r="D62" t="str">
            <v>MATEMATIKA DISKRIT</v>
          </cell>
          <cell r="E62">
            <v>3</v>
          </cell>
        </row>
        <row r="63">
          <cell r="C63" t="str">
            <v>ED3102</v>
          </cell>
          <cell r="D63" t="str">
            <v>BASIS DATA</v>
          </cell>
          <cell r="E63">
            <v>3</v>
          </cell>
        </row>
        <row r="64">
          <cell r="C64" t="str">
            <v>ED3103</v>
          </cell>
          <cell r="D64" t="str">
            <v>REKAYASA PERANGKAT LUNAK</v>
          </cell>
          <cell r="E64">
            <v>2</v>
          </cell>
        </row>
        <row r="65">
          <cell r="C65" t="str">
            <v>ED3104</v>
          </cell>
          <cell r="D65" t="str">
            <v>PEMROGRAMAN BERORIENTASI OBYEK</v>
          </cell>
          <cell r="E65">
            <v>2</v>
          </cell>
        </row>
        <row r="66">
          <cell r="C66" t="str">
            <v>ES3137</v>
          </cell>
          <cell r="D66" t="str">
            <v>ILMU SOSIAL DAN BUDAYA DASAR</v>
          </cell>
          <cell r="E66">
            <v>2</v>
          </cell>
        </row>
        <row r="67">
          <cell r="C67" t="str">
            <v>ES3138</v>
          </cell>
          <cell r="D67" t="str">
            <v>SISTEM MIKROPROSESOR</v>
          </cell>
          <cell r="E67">
            <v>3</v>
          </cell>
        </row>
        <row r="68">
          <cell r="C68" t="str">
            <v>ES3139</v>
          </cell>
          <cell r="D68" t="str">
            <v>SISTEM KENDALI</v>
          </cell>
          <cell r="E68">
            <v>3</v>
          </cell>
        </row>
        <row r="69">
          <cell r="C69" t="str">
            <v>ES3140</v>
          </cell>
          <cell r="D69" t="str">
            <v>PRAKTIKUM SISTEM KENDALI</v>
          </cell>
          <cell r="E69">
            <v>1</v>
          </cell>
        </row>
        <row r="70">
          <cell r="C70" t="str">
            <v>EA3205</v>
          </cell>
          <cell r="D70" t="str">
            <v>ANALISA SISTEM TENAGA II</v>
          </cell>
          <cell r="E70">
            <v>2</v>
          </cell>
        </row>
        <row r="71">
          <cell r="C71" t="str">
            <v>EA3206</v>
          </cell>
          <cell r="D71" t="str">
            <v>PRAKTIKUM ANALISA SISTEM TENAGA</v>
          </cell>
          <cell r="E71">
            <v>1</v>
          </cell>
        </row>
        <row r="72">
          <cell r="C72" t="str">
            <v>EA3207</v>
          </cell>
          <cell r="D72" t="str">
            <v>MESIN LISTRIK II</v>
          </cell>
          <cell r="E72">
            <v>2</v>
          </cell>
        </row>
        <row r="73">
          <cell r="C73" t="str">
            <v>EA3208</v>
          </cell>
          <cell r="D73" t="str">
            <v>PRAKTIKUM MESIN LISTRIK</v>
          </cell>
          <cell r="E73">
            <v>1</v>
          </cell>
        </row>
        <row r="74">
          <cell r="C74" t="str">
            <v>EA3209</v>
          </cell>
          <cell r="D74" t="str">
            <v>SISTEM DISTRIBUSI TENAGA LISTRIK</v>
          </cell>
          <cell r="E74">
            <v>3</v>
          </cell>
        </row>
        <row r="75">
          <cell r="C75" t="str">
            <v>EA3210</v>
          </cell>
          <cell r="D75" t="str">
            <v>PERENCANAAN INSTALASI TENAGA LISTRIK</v>
          </cell>
          <cell r="E75">
            <v>3</v>
          </cell>
        </row>
        <row r="76">
          <cell r="C76" t="str">
            <v>EA3211</v>
          </cell>
          <cell r="D76" t="str">
            <v>TEKNIK TEGANGAN TINGGI</v>
          </cell>
          <cell r="E76">
            <v>2</v>
          </cell>
        </row>
        <row r="77">
          <cell r="C77" t="str">
            <v>EA4001</v>
          </cell>
          <cell r="D77" t="str">
            <v>DINAMIKA DAN STABILITAS STL</v>
          </cell>
          <cell r="E77">
            <v>2</v>
          </cell>
        </row>
        <row r="78">
          <cell r="C78" t="str">
            <v>EA4006</v>
          </cell>
          <cell r="D78" t="str">
            <v>PERENCANAAN ENERGI</v>
          </cell>
          <cell r="E78">
            <v>2</v>
          </cell>
        </row>
        <row r="79">
          <cell r="C79" t="str">
            <v>EA4008</v>
          </cell>
          <cell r="D79" t="str">
            <v>PLC</v>
          </cell>
          <cell r="E79">
            <v>2</v>
          </cell>
        </row>
        <row r="80">
          <cell r="C80" t="str">
            <v>EA4009</v>
          </cell>
          <cell r="D80" t="str">
            <v>PPML</v>
          </cell>
          <cell r="E80">
            <v>2</v>
          </cell>
        </row>
        <row r="81">
          <cell r="C81" t="str">
            <v>EA4011</v>
          </cell>
          <cell r="D81" t="str">
            <v>TEKNIK ENERGI ALTERNATIF</v>
          </cell>
          <cell r="E81">
            <v>2</v>
          </cell>
        </row>
        <row r="82">
          <cell r="C82" t="str">
            <v>EA4012</v>
          </cell>
          <cell r="D82" t="str">
            <v>TEKNOLOGI GARDU INDUK DAN PENTANAHAN</v>
          </cell>
          <cell r="E82">
            <v>2</v>
          </cell>
        </row>
        <row r="83">
          <cell r="C83" t="str">
            <v>EA4013</v>
          </cell>
          <cell r="D83" t="str">
            <v>ELEKTRONIKA DAYA LANJUT</v>
          </cell>
          <cell r="E83">
            <v>2</v>
          </cell>
        </row>
        <row r="84">
          <cell r="C84" t="str">
            <v>EB3206</v>
          </cell>
          <cell r="D84" t="str">
            <v>MEKATRONIKA</v>
          </cell>
          <cell r="E84">
            <v>2</v>
          </cell>
        </row>
        <row r="85">
          <cell r="C85" t="str">
            <v>EB3207</v>
          </cell>
          <cell r="D85" t="str">
            <v>PRAKTIKUM ELEKTRONIKA LANJUT</v>
          </cell>
          <cell r="E85">
            <v>1</v>
          </cell>
        </row>
        <row r="86">
          <cell r="C86" t="str">
            <v>EB3208</v>
          </cell>
          <cell r="D86" t="str">
            <v>PENGOLAHAN SINYAL DIGITAL</v>
          </cell>
          <cell r="E86">
            <v>3</v>
          </cell>
        </row>
        <row r="87">
          <cell r="C87" t="str">
            <v>EB3209</v>
          </cell>
          <cell r="D87" t="str">
            <v>SISTEM INSTRUMENTASI ELEKTRONIKA</v>
          </cell>
          <cell r="E87">
            <v>3</v>
          </cell>
        </row>
        <row r="88">
          <cell r="C88" t="str">
            <v>EB3210</v>
          </cell>
          <cell r="D88" t="str">
            <v>ELEKTRONIKA INDUSTRI</v>
          </cell>
          <cell r="E88">
            <v>3</v>
          </cell>
        </row>
        <row r="89">
          <cell r="C89" t="str">
            <v>EB4001</v>
          </cell>
          <cell r="D89" t="str">
            <v>ALGORITMA DAN STRUKTUR DATA</v>
          </cell>
          <cell r="E89">
            <v>2</v>
          </cell>
        </row>
        <row r="90">
          <cell r="C90" t="str">
            <v>EB4006</v>
          </cell>
          <cell r="D90" t="str">
            <v>OPTO ELEKTRONIKA</v>
          </cell>
          <cell r="E90">
            <v>2</v>
          </cell>
        </row>
        <row r="91">
          <cell r="C91" t="str">
            <v>EB4008</v>
          </cell>
          <cell r="D91" t="str">
            <v>PLC</v>
          </cell>
          <cell r="E91">
            <v>2</v>
          </cell>
        </row>
        <row r="92">
          <cell r="C92" t="str">
            <v>EB4009</v>
          </cell>
          <cell r="D92" t="str">
            <v>ROBOTIKA</v>
          </cell>
          <cell r="E92">
            <v>2</v>
          </cell>
        </row>
        <row r="93">
          <cell r="C93" t="str">
            <v>EB4010</v>
          </cell>
          <cell r="D93" t="str">
            <v>TEKNOLOGI RANGKAIAN TERINTEGRASI (VLSI)</v>
          </cell>
          <cell r="E93">
            <v>2</v>
          </cell>
        </row>
        <row r="94">
          <cell r="C94" t="str">
            <v>EC3205</v>
          </cell>
          <cell r="D94" t="str">
            <v>TRANSMISI GELOMBANG ELEKTROMANETIK I</v>
          </cell>
          <cell r="E94">
            <v>3</v>
          </cell>
        </row>
        <row r="95">
          <cell r="C95" t="str">
            <v>EC3206</v>
          </cell>
          <cell r="D95" t="str">
            <v>PENGOLAHAN SINYAL DIGITAL</v>
          </cell>
          <cell r="E95">
            <v>3</v>
          </cell>
        </row>
        <row r="96">
          <cell r="C96" t="str">
            <v>EC3207</v>
          </cell>
          <cell r="D96" t="str">
            <v>KOMUNIKASI DIGITAL</v>
          </cell>
          <cell r="E96">
            <v>2</v>
          </cell>
        </row>
        <row r="97">
          <cell r="C97" t="str">
            <v>EC3208</v>
          </cell>
          <cell r="D97" t="str">
            <v>ELEKTRONIKA TELEKOMUNIKASI</v>
          </cell>
          <cell r="E97">
            <v>3</v>
          </cell>
        </row>
        <row r="98">
          <cell r="C98" t="str">
            <v>EC3209</v>
          </cell>
          <cell r="D98" t="str">
            <v>PRAKTIKUM JARINGAN TELEKOMUNIKASI</v>
          </cell>
          <cell r="E98">
            <v>1</v>
          </cell>
        </row>
        <row r="99">
          <cell r="C99" t="str">
            <v>EC3210</v>
          </cell>
          <cell r="D99" t="str">
            <v>KOMUNIKASI DATA DAN JARINGAN KOMPUTER</v>
          </cell>
          <cell r="E99">
            <v>3</v>
          </cell>
        </row>
        <row r="100">
          <cell r="C100" t="str">
            <v>EC4002</v>
          </cell>
          <cell r="D100" t="str">
            <v>KOMUNIKASI BERGERAK</v>
          </cell>
          <cell r="E100">
            <v>2</v>
          </cell>
        </row>
        <row r="101">
          <cell r="C101" t="str">
            <v>EC4004</v>
          </cell>
          <cell r="D101" t="str">
            <v>KOMUNIKASI SATELIT</v>
          </cell>
          <cell r="E101">
            <v>2</v>
          </cell>
        </row>
        <row r="102">
          <cell r="C102" t="str">
            <v>EC4007</v>
          </cell>
          <cell r="D102" t="str">
            <v>PLC</v>
          </cell>
          <cell r="E102">
            <v>2</v>
          </cell>
        </row>
        <row r="103">
          <cell r="C103" t="str">
            <v>EC4008</v>
          </cell>
          <cell r="D103" t="str">
            <v>RADAR DAN NAVIGASI</v>
          </cell>
          <cell r="E103">
            <v>2</v>
          </cell>
        </row>
        <row r="104">
          <cell r="C104" t="str">
            <v>EC4011</v>
          </cell>
          <cell r="D104" t="str">
            <v>TELEFONI DIGITAL</v>
          </cell>
          <cell r="E104">
            <v>2</v>
          </cell>
        </row>
        <row r="105">
          <cell r="C105" t="str">
            <v>EC4012</v>
          </cell>
          <cell r="D105" t="str">
            <v>TELEMETRI</v>
          </cell>
          <cell r="E105">
            <v>2</v>
          </cell>
        </row>
        <row r="106">
          <cell r="C106" t="str">
            <v>EC4013</v>
          </cell>
          <cell r="D106" t="str">
            <v>TOPIK KHUSUS TELEKOMUNIKASI</v>
          </cell>
          <cell r="E106">
            <v>2</v>
          </cell>
        </row>
        <row r="107">
          <cell r="C107" t="str">
            <v>ED3205</v>
          </cell>
          <cell r="D107" t="str">
            <v>ARSITEKTUR SISTEM KOMPUTER</v>
          </cell>
          <cell r="E107">
            <v>2</v>
          </cell>
        </row>
        <row r="108">
          <cell r="C108" t="str">
            <v>ED3206</v>
          </cell>
          <cell r="D108" t="str">
            <v>KOMUNIKASI DATA DAN JARINGAN KOMPUTER</v>
          </cell>
          <cell r="E108">
            <v>3</v>
          </cell>
        </row>
        <row r="109">
          <cell r="C109" t="str">
            <v>ED3207</v>
          </cell>
          <cell r="D109" t="str">
            <v>ALGORITMA DAN STRUKTUR DATA</v>
          </cell>
          <cell r="E109">
            <v>2</v>
          </cell>
        </row>
        <row r="110">
          <cell r="C110" t="str">
            <v>ED3208</v>
          </cell>
          <cell r="D110" t="str">
            <v>PRAKTIKUM PEMROGRAMAN BERBASIS OBYEK</v>
          </cell>
          <cell r="E110">
            <v>1</v>
          </cell>
        </row>
        <row r="111">
          <cell r="C111" t="str">
            <v>ED3209</v>
          </cell>
          <cell r="D111" t="str">
            <v>KECERDASAN BUATAN</v>
          </cell>
          <cell r="E111">
            <v>2</v>
          </cell>
        </row>
        <row r="112">
          <cell r="C112" t="str">
            <v>ED3210</v>
          </cell>
          <cell r="D112" t="str">
            <v>PENGOLAHAN SINYAL DIGITAL</v>
          </cell>
          <cell r="E112">
            <v>3</v>
          </cell>
        </row>
        <row r="113">
          <cell r="C113" t="str">
            <v>ED4002</v>
          </cell>
          <cell r="D113" t="str">
            <v>ANALISIS DAN DESAIN BERORIENTASI OBYEK</v>
          </cell>
          <cell r="E113">
            <v>2</v>
          </cell>
        </row>
        <row r="114">
          <cell r="C114" t="str">
            <v>ED4004</v>
          </cell>
          <cell r="D114" t="str">
            <v>AUTOMATA DAN PENGANTAR KOMPILASI</v>
          </cell>
          <cell r="E114">
            <v>2</v>
          </cell>
        </row>
        <row r="115">
          <cell r="C115" t="str">
            <v>ED4005</v>
          </cell>
          <cell r="D115" t="str">
            <v>KEAMANAN INFORMASI</v>
          </cell>
          <cell r="E115">
            <v>2</v>
          </cell>
        </row>
        <row r="116">
          <cell r="C116" t="str">
            <v>ED4007</v>
          </cell>
          <cell r="D116" t="str">
            <v>PENGENALAN POLA</v>
          </cell>
          <cell r="E116">
            <v>2</v>
          </cell>
        </row>
        <row r="117">
          <cell r="C117" t="str">
            <v>ED4009</v>
          </cell>
          <cell r="D117" t="str">
            <v>PLC</v>
          </cell>
          <cell r="E117">
            <v>2</v>
          </cell>
        </row>
        <row r="118">
          <cell r="C118" t="str">
            <v>ED4012</v>
          </cell>
          <cell r="D118" t="str">
            <v>SISTEM OPERASI</v>
          </cell>
          <cell r="E118">
            <v>2</v>
          </cell>
        </row>
        <row r="119">
          <cell r="C119" t="str">
            <v>ED4013</v>
          </cell>
          <cell r="D119" t="str">
            <v>TEKNIK NEURO FUZZY</v>
          </cell>
          <cell r="E119">
            <v>2</v>
          </cell>
        </row>
        <row r="120">
          <cell r="C120" t="str">
            <v>ED4015</v>
          </cell>
          <cell r="D120" t="str">
            <v>TEKNK KOMPRESI DATA</v>
          </cell>
          <cell r="E120">
            <v>2</v>
          </cell>
        </row>
        <row r="121">
          <cell r="C121" t="str">
            <v>ES3241</v>
          </cell>
          <cell r="D121" t="str">
            <v>PRAKTIKUM SISTEM MIKROPROSESOR</v>
          </cell>
          <cell r="E121">
            <v>1</v>
          </cell>
        </row>
        <row r="122">
          <cell r="C122" t="str">
            <v>EA4002</v>
          </cell>
          <cell r="D122" t="str">
            <v>GEJALA MEDAN TINGGI</v>
          </cell>
          <cell r="E122">
            <v>2</v>
          </cell>
        </row>
        <row r="123">
          <cell r="C123" t="str">
            <v>EA4003</v>
          </cell>
          <cell r="D123" t="str">
            <v>HARMONISA DALAM STL</v>
          </cell>
          <cell r="E123">
            <v>2</v>
          </cell>
        </row>
        <row r="124">
          <cell r="C124" t="str">
            <v>EA4004</v>
          </cell>
          <cell r="D124" t="str">
            <v>KECERDASAN BUATAN DALAM STL</v>
          </cell>
          <cell r="E124">
            <v>2</v>
          </cell>
        </row>
        <row r="125">
          <cell r="C125" t="str">
            <v>EA4005</v>
          </cell>
          <cell r="D125" t="str">
            <v>PERANCANGAN MESIN-MESIN LISTRIK</v>
          </cell>
          <cell r="E125">
            <v>2</v>
          </cell>
        </row>
        <row r="126">
          <cell r="C126" t="str">
            <v>EA4007</v>
          </cell>
          <cell r="D126" t="str">
            <v>PERANCANGAN SISTEM TENAGA LISTRIK</v>
          </cell>
          <cell r="E126">
            <v>2</v>
          </cell>
        </row>
        <row r="127">
          <cell r="C127" t="str">
            <v>EA4010</v>
          </cell>
          <cell r="D127" t="str">
            <v>SISTEM SCADA</v>
          </cell>
          <cell r="E127">
            <v>2</v>
          </cell>
        </row>
        <row r="128">
          <cell r="C128" t="str">
            <v>EA4112</v>
          </cell>
          <cell r="D128" t="str">
            <v>MANAJEMEN OPERASI SISTEM TENAGA</v>
          </cell>
          <cell r="E128">
            <v>2</v>
          </cell>
        </row>
        <row r="129">
          <cell r="C129" t="str">
            <v>EA4113</v>
          </cell>
          <cell r="D129" t="str">
            <v>PROTEKSI SISTEM TENAGA</v>
          </cell>
          <cell r="E129">
            <v>2</v>
          </cell>
        </row>
        <row r="130">
          <cell r="C130" t="str">
            <v>EA4114</v>
          </cell>
          <cell r="D130" t="str">
            <v>PRAKTIKUM PROTEKSI SISTEM TENAGA</v>
          </cell>
          <cell r="E130">
            <v>1</v>
          </cell>
        </row>
        <row r="131">
          <cell r="C131" t="str">
            <v>EA4115</v>
          </cell>
          <cell r="D131" t="str">
            <v>ELEKTRONIKA DAYA</v>
          </cell>
          <cell r="E131">
            <v>2</v>
          </cell>
        </row>
        <row r="132">
          <cell r="C132" t="str">
            <v>EA4116</v>
          </cell>
          <cell r="D132" t="str">
            <v>PRAKTIKUM ELEKTRONIKA DAYA</v>
          </cell>
          <cell r="E132">
            <v>1</v>
          </cell>
        </row>
        <row r="133">
          <cell r="C133" t="str">
            <v>EA4117</v>
          </cell>
          <cell r="D133" t="str">
            <v>PRAKTIKUM TRANSMISI DAN DISTRIBUSI</v>
          </cell>
          <cell r="E133">
            <v>1</v>
          </cell>
        </row>
        <row r="134">
          <cell r="C134" t="str">
            <v>EB4002</v>
          </cell>
          <cell r="D134" t="str">
            <v>INSTRUMENTASI BIOMEDIS</v>
          </cell>
          <cell r="E134">
            <v>2</v>
          </cell>
        </row>
        <row r="135">
          <cell r="C135" t="str">
            <v>EB4003</v>
          </cell>
          <cell r="D135" t="str">
            <v>JARINGAN SYARAF TIRUAN</v>
          </cell>
          <cell r="E135">
            <v>2</v>
          </cell>
        </row>
        <row r="136">
          <cell r="C136" t="str">
            <v>EB4004</v>
          </cell>
          <cell r="D136" t="str">
            <v>LOGIKA FUZZY</v>
          </cell>
          <cell r="E136">
            <v>2</v>
          </cell>
        </row>
        <row r="137">
          <cell r="C137" t="str">
            <v>EB4005</v>
          </cell>
          <cell r="D137" t="str">
            <v>MIKROPROSESOR LANJUT</v>
          </cell>
          <cell r="E137">
            <v>2</v>
          </cell>
        </row>
        <row r="138">
          <cell r="C138" t="str">
            <v>EB4007</v>
          </cell>
          <cell r="D138" t="str">
            <v>PENGOLAHAN CITRA DIGITAL</v>
          </cell>
          <cell r="E138">
            <v>2</v>
          </cell>
        </row>
        <row r="139">
          <cell r="C139" t="str">
            <v>EB4111</v>
          </cell>
          <cell r="D139" t="str">
            <v>TEKNIK INTERFACING DAN SISTEM EMBEDDED</v>
          </cell>
          <cell r="E139">
            <v>3</v>
          </cell>
        </row>
        <row r="140">
          <cell r="C140" t="str">
            <v>EB4112</v>
          </cell>
          <cell r="D140" t="str">
            <v>PERANCANGAN SISTEM ELEKTRONIKA</v>
          </cell>
          <cell r="E140">
            <v>2</v>
          </cell>
        </row>
        <row r="141">
          <cell r="C141" t="str">
            <v>EB4113</v>
          </cell>
          <cell r="D141" t="str">
            <v>PRAKTIKUM PENGOLAHAN SINYAL DIGITAL</v>
          </cell>
          <cell r="E141">
            <v>1</v>
          </cell>
        </row>
        <row r="142">
          <cell r="C142" t="str">
            <v>EB4114</v>
          </cell>
          <cell r="D142" t="str">
            <v>PIRANTI MIKROELEKTRONIKA</v>
          </cell>
          <cell r="E142">
            <v>2</v>
          </cell>
        </row>
        <row r="143">
          <cell r="C143" t="str">
            <v>EB4115</v>
          </cell>
          <cell r="D143" t="str">
            <v>TEKNIK KENDALI DIGITAL</v>
          </cell>
          <cell r="E143">
            <v>2</v>
          </cell>
        </row>
        <row r="144">
          <cell r="C144" t="str">
            <v>EC4001</v>
          </cell>
          <cell r="D144" t="str">
            <v>JARINGAN SYARAF TIRUAN</v>
          </cell>
          <cell r="E144">
            <v>2</v>
          </cell>
        </row>
        <row r="145">
          <cell r="C145" t="str">
            <v>EC4003</v>
          </cell>
          <cell r="D145" t="str">
            <v>KOMUNIKASI GELOMBANG MIKRO</v>
          </cell>
          <cell r="E145">
            <v>2</v>
          </cell>
        </row>
        <row r="146">
          <cell r="C146" t="str">
            <v>EC4005</v>
          </cell>
          <cell r="D146" t="str">
            <v>MIKROPROSESOR LANJUT</v>
          </cell>
          <cell r="E146">
            <v>2</v>
          </cell>
        </row>
        <row r="147">
          <cell r="C147" t="str">
            <v>EC4006</v>
          </cell>
          <cell r="D147" t="str">
            <v>PENGOLAHAN CITRA DIGITAL</v>
          </cell>
          <cell r="E147">
            <v>2</v>
          </cell>
        </row>
        <row r="148">
          <cell r="C148" t="str">
            <v>EC4009</v>
          </cell>
          <cell r="D148" t="str">
            <v>SISTEM BROADCASTING</v>
          </cell>
          <cell r="E148">
            <v>2</v>
          </cell>
        </row>
        <row r="149">
          <cell r="C149" t="str">
            <v>EC4010</v>
          </cell>
          <cell r="D149" t="str">
            <v>SISTEM KOMUNIKASI FIBER OPTIK</v>
          </cell>
          <cell r="E149">
            <v>2</v>
          </cell>
        </row>
        <row r="150">
          <cell r="C150" t="str">
            <v>EC4111</v>
          </cell>
          <cell r="D150" t="str">
            <v>TRANSMISI GELOMBANG ELEKTROMANETIK II</v>
          </cell>
          <cell r="E150">
            <v>2</v>
          </cell>
        </row>
        <row r="151">
          <cell r="C151" t="str">
            <v>EC4112</v>
          </cell>
          <cell r="D151" t="str">
            <v>ANTENA DAN PROPAGASI</v>
          </cell>
          <cell r="E151">
            <v>2</v>
          </cell>
        </row>
        <row r="152">
          <cell r="C152" t="str">
            <v>EC4113</v>
          </cell>
          <cell r="D152" t="str">
            <v>PENGUKURAN SISTEM TELEKOMUNIKASI</v>
          </cell>
          <cell r="E152">
            <v>2</v>
          </cell>
        </row>
        <row r="153">
          <cell r="C153" t="str">
            <v>EC4114</v>
          </cell>
          <cell r="D153" t="str">
            <v>PRAKTIKUM SISTEM TELEKOMUNIKASI</v>
          </cell>
          <cell r="E153">
            <v>1</v>
          </cell>
        </row>
        <row r="154">
          <cell r="C154" t="str">
            <v>ED4001</v>
          </cell>
          <cell r="D154" t="str">
            <v>ALGORITMA CEPAT</v>
          </cell>
          <cell r="E154">
            <v>2</v>
          </cell>
        </row>
        <row r="155">
          <cell r="C155" t="str">
            <v>ED4003</v>
          </cell>
          <cell r="D155" t="str">
            <v>APLIKASI KOMPUTER DALAM STL</v>
          </cell>
          <cell r="E155">
            <v>2</v>
          </cell>
        </row>
        <row r="156">
          <cell r="C156" t="str">
            <v>ED4006</v>
          </cell>
          <cell r="D156" t="str">
            <v>PEMROGRAMAN PLATFORM INDEPENDENT</v>
          </cell>
          <cell r="E156">
            <v>2</v>
          </cell>
        </row>
        <row r="157">
          <cell r="C157" t="str">
            <v>ED4008</v>
          </cell>
          <cell r="D157" t="str">
            <v>PENGOLAHAN CITRA DIGITAL</v>
          </cell>
          <cell r="E157">
            <v>2</v>
          </cell>
        </row>
        <row r="158">
          <cell r="C158" t="str">
            <v>ED4011</v>
          </cell>
          <cell r="D158" t="str">
            <v>RISET OPERASIONAL</v>
          </cell>
          <cell r="E158">
            <v>2</v>
          </cell>
        </row>
        <row r="159">
          <cell r="C159" t="str">
            <v>ED4014</v>
          </cell>
          <cell r="D159" t="str">
            <v>TEORI ANTRIAN DAN DAN KEANDALAN</v>
          </cell>
          <cell r="E159">
            <v>2</v>
          </cell>
        </row>
        <row r="160">
          <cell r="C160" t="str">
            <v>ED4010</v>
          </cell>
          <cell r="D160" t="str">
            <v>PROYEK PERANGKAT LUNAK</v>
          </cell>
          <cell r="E160">
            <v>2</v>
          </cell>
        </row>
        <row r="161">
          <cell r="C161" t="str">
            <v>ED4110</v>
          </cell>
          <cell r="D161" t="str">
            <v>TEKNIK INTERFACING DAN SISTEM EMBEDDED</v>
          </cell>
          <cell r="E161">
            <v>3</v>
          </cell>
        </row>
        <row r="162">
          <cell r="C162" t="str">
            <v>ED4111</v>
          </cell>
          <cell r="D162" t="str">
            <v>SISTEM INFORMASI MANAJEMEN</v>
          </cell>
          <cell r="E162">
            <v>2</v>
          </cell>
        </row>
        <row r="163">
          <cell r="C163" t="str">
            <v>ED4112</v>
          </cell>
          <cell r="D163" t="str">
            <v>PRAKTIKUM ALGORITMA DAN STRUKTUR DATA</v>
          </cell>
          <cell r="E163">
            <v>1</v>
          </cell>
        </row>
        <row r="164">
          <cell r="C164" t="str">
            <v>ED4113</v>
          </cell>
          <cell r="D164" t="str">
            <v>PRAKTIKUM BASIS DATA</v>
          </cell>
          <cell r="E164">
            <v>1</v>
          </cell>
        </row>
        <row r="165">
          <cell r="C165" t="str">
            <v>ED4114</v>
          </cell>
          <cell r="D165" t="str">
            <v>PRAKTIKUM JARINGAN KOMPUTER</v>
          </cell>
          <cell r="E165">
            <v>1</v>
          </cell>
        </row>
        <row r="166">
          <cell r="C166" t="str">
            <v>ES4142</v>
          </cell>
          <cell r="D166" t="str">
            <v>PANCASILA DAN KEWARGANEGARAAN</v>
          </cell>
          <cell r="E166">
            <v>2</v>
          </cell>
        </row>
        <row r="167">
          <cell r="C167" t="str">
            <v>ES4143</v>
          </cell>
          <cell r="D167" t="str">
            <v>PRAKTEK KERJA LAPANGAN</v>
          </cell>
          <cell r="E167">
            <v>2</v>
          </cell>
        </row>
        <row r="168">
          <cell r="C168" t="str">
            <v>ES4144</v>
          </cell>
          <cell r="D168" t="str">
            <v>PRA TUGAS AKHIR</v>
          </cell>
          <cell r="E168">
            <v>2</v>
          </cell>
        </row>
        <row r="169">
          <cell r="C169" t="str">
            <v>ES4245</v>
          </cell>
          <cell r="D169" t="str">
            <v>KULIAH KERJA NYATA (KKN)</v>
          </cell>
          <cell r="E169">
            <v>4</v>
          </cell>
        </row>
        <row r="170">
          <cell r="C170" t="str">
            <v>ES4246</v>
          </cell>
          <cell r="D170" t="str">
            <v>TECHNOPRENEURSHIP</v>
          </cell>
          <cell r="E170">
            <v>2</v>
          </cell>
        </row>
        <row r="171">
          <cell r="C171" t="str">
            <v>ES4247</v>
          </cell>
          <cell r="D171" t="str">
            <v>LINGKUNGAN DAN ETIKA REKAYASA</v>
          </cell>
          <cell r="E171">
            <v>2</v>
          </cell>
        </row>
        <row r="172">
          <cell r="C172" t="str">
            <v>ES4248</v>
          </cell>
          <cell r="D172" t="str">
            <v>TUGAS AKHIR</v>
          </cell>
          <cell r="E172">
            <v>4</v>
          </cell>
        </row>
        <row r="173">
          <cell r="C173" t="str">
            <v>EU4245</v>
          </cell>
          <cell r="D173" t="str">
            <v>TUGAS AKHIR</v>
          </cell>
          <cell r="E173">
            <v>6</v>
          </cell>
        </row>
        <row r="174">
          <cell r="C174" t="str">
            <v>TPBU01203</v>
          </cell>
          <cell r="D174" t="str">
            <v>PENDIDIKAN AGAMA</v>
          </cell>
          <cell r="E174">
            <v>2</v>
          </cell>
        </row>
        <row r="175">
          <cell r="C175" t="str">
            <v>TPBU02203</v>
          </cell>
          <cell r="D175" t="str">
            <v>PANCASILA</v>
          </cell>
          <cell r="E175">
            <v>2</v>
          </cell>
        </row>
        <row r="176">
          <cell r="C176" t="str">
            <v>TPBU04203</v>
          </cell>
          <cell r="D176" t="str">
            <v>BAHASA INDONESIA</v>
          </cell>
          <cell r="E176">
            <v>2</v>
          </cell>
        </row>
        <row r="177">
          <cell r="C177" t="str">
            <v>TPBU05201</v>
          </cell>
          <cell r="D177" t="str">
            <v>BAHASA INGGRIS I</v>
          </cell>
          <cell r="E177">
            <v>2</v>
          </cell>
        </row>
        <row r="178">
          <cell r="C178" t="str">
            <v>TPB101301</v>
          </cell>
          <cell r="D178" t="str">
            <v>MATEMATIKA DASAR</v>
          </cell>
          <cell r="E178">
            <v>3</v>
          </cell>
        </row>
        <row r="179">
          <cell r="C179" t="str">
            <v>TPB102211</v>
          </cell>
          <cell r="D179" t="str">
            <v>FISIKA DASAR</v>
          </cell>
          <cell r="E179">
            <v>3</v>
          </cell>
        </row>
        <row r="180">
          <cell r="C180" t="str">
            <v>TPB103211</v>
          </cell>
          <cell r="D180" t="str">
            <v>KIMIA DASAR</v>
          </cell>
          <cell r="E180">
            <v>3</v>
          </cell>
        </row>
        <row r="181">
          <cell r="C181" t="str">
            <v>TPB104211</v>
          </cell>
          <cell r="D181" t="str">
            <v>BIOLOGI UMUM</v>
          </cell>
          <cell r="E181">
            <v>3</v>
          </cell>
        </row>
        <row r="182">
          <cell r="C182" t="str">
            <v>TPBU03203</v>
          </cell>
          <cell r="D182" t="str">
            <v>KEWARGANEGARAAN</v>
          </cell>
          <cell r="E182">
            <v>2</v>
          </cell>
        </row>
        <row r="183">
          <cell r="C183" t="str">
            <v>TPBU06202</v>
          </cell>
          <cell r="D183" t="str">
            <v>BAHASA INGGRIS II</v>
          </cell>
          <cell r="E183">
            <v>2</v>
          </cell>
        </row>
        <row r="184">
          <cell r="C184" t="str">
            <v>TPBU07202</v>
          </cell>
          <cell r="D184" t="str">
            <v>KEWIRAUSAHAAN</v>
          </cell>
          <cell r="E184">
            <v>2</v>
          </cell>
        </row>
        <row r="185">
          <cell r="C185" t="str">
            <v>TPBU08202</v>
          </cell>
          <cell r="D185" t="str">
            <v>ILMU SOSIAL DAN BUDAYA DASAR</v>
          </cell>
          <cell r="E185">
            <v>2</v>
          </cell>
        </row>
        <row r="186">
          <cell r="C186" t="str">
            <v>EA40XX1</v>
          </cell>
          <cell r="D186" t="str">
            <v>MK PILIHAN I</v>
          </cell>
          <cell r="E186">
            <v>2</v>
          </cell>
        </row>
        <row r="187">
          <cell r="C187" t="str">
            <v>EB40XX1</v>
          </cell>
          <cell r="D187" t="str">
            <v>MK PILIHAN I</v>
          </cell>
          <cell r="E187">
            <v>2</v>
          </cell>
        </row>
        <row r="188">
          <cell r="C188" t="str">
            <v>EC40XX1</v>
          </cell>
          <cell r="D188" t="str">
            <v>MK PILIHAN I</v>
          </cell>
          <cell r="E188">
            <v>2</v>
          </cell>
        </row>
        <row r="189">
          <cell r="C189" t="str">
            <v>ED40XX1</v>
          </cell>
          <cell r="D189" t="str">
            <v>MK PILIHAN I</v>
          </cell>
          <cell r="E189">
            <v>2</v>
          </cell>
        </row>
        <row r="190">
          <cell r="C190" t="str">
            <v>EA40XX2</v>
          </cell>
          <cell r="D190" t="str">
            <v>MK PILIHAN II</v>
          </cell>
          <cell r="E190">
            <v>2</v>
          </cell>
        </row>
        <row r="191">
          <cell r="C191" t="str">
            <v>EB40XX2</v>
          </cell>
          <cell r="D191" t="str">
            <v>MK PILIHAN II</v>
          </cell>
          <cell r="E191">
            <v>2</v>
          </cell>
        </row>
        <row r="192">
          <cell r="C192" t="str">
            <v>EC40XX2</v>
          </cell>
          <cell r="D192" t="str">
            <v>MK PILIHAN II</v>
          </cell>
          <cell r="E192">
            <v>2</v>
          </cell>
        </row>
        <row r="193">
          <cell r="C193" t="str">
            <v>ED40XX2</v>
          </cell>
          <cell r="D193" t="str">
            <v>MK PILIHAN II</v>
          </cell>
          <cell r="E193">
            <v>2</v>
          </cell>
        </row>
        <row r="194">
          <cell r="C194" t="str">
            <v>EA40XX3</v>
          </cell>
          <cell r="D194" t="str">
            <v>MK PILIHAN III</v>
          </cell>
          <cell r="E194">
            <v>2</v>
          </cell>
        </row>
        <row r="195">
          <cell r="C195" t="str">
            <v>EB40XX3</v>
          </cell>
          <cell r="D195" t="str">
            <v>MK PILIHAN III</v>
          </cell>
          <cell r="E195">
            <v>2</v>
          </cell>
        </row>
        <row r="196">
          <cell r="C196" t="str">
            <v>EC40XX3</v>
          </cell>
          <cell r="D196" t="str">
            <v>MK PILIHAN III</v>
          </cell>
          <cell r="E196">
            <v>2</v>
          </cell>
        </row>
        <row r="197">
          <cell r="C197" t="str">
            <v>ED40XX3</v>
          </cell>
          <cell r="D197" t="str">
            <v>MK PILIHAN III</v>
          </cell>
          <cell r="E197">
            <v>2</v>
          </cell>
        </row>
        <row r="198">
          <cell r="C198" t="str">
            <v>EA40XX4</v>
          </cell>
          <cell r="D198" t="str">
            <v>MK PILIHAN IV</v>
          </cell>
          <cell r="E198">
            <v>2</v>
          </cell>
        </row>
        <row r="199">
          <cell r="C199" t="str">
            <v>EB40XX4</v>
          </cell>
          <cell r="D199" t="str">
            <v>MK PILIHAN IV</v>
          </cell>
          <cell r="E199">
            <v>2</v>
          </cell>
        </row>
        <row r="200">
          <cell r="C200" t="str">
            <v>EC40XX4</v>
          </cell>
          <cell r="D200" t="str">
            <v>MK PILIHAN IV</v>
          </cell>
          <cell r="E200">
            <v>2</v>
          </cell>
        </row>
        <row r="201">
          <cell r="C201" t="str">
            <v>ED40XX4</v>
          </cell>
          <cell r="D201" t="str">
            <v>MK PILIHAN IV</v>
          </cell>
          <cell r="E201">
            <v>2</v>
          </cell>
        </row>
        <row r="202">
          <cell r="C202">
            <v>0</v>
          </cell>
          <cell r="D202">
            <v>0</v>
          </cell>
          <cell r="E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</row>
      </sheetData>
      <sheetData sheetId="1"/>
      <sheetData sheetId="2"/>
    </sheetDataSet>
  </externalBook>
</externalLink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4"/>
  <sheetViews>
    <sheetView showFormulas="false" showGridLines="true" showRowColHeaders="true" showZeros="true" rightToLeft="false" tabSelected="false" showOutlineSymbols="true" defaultGridColor="true" view="normal" topLeftCell="A121" colorId="64" zoomScale="90" zoomScaleNormal="90" zoomScalePageLayoutView="100" workbookViewId="0">
      <selection pane="topLeft" activeCell="C124" activeCellId="1" sqref="D110:D118 C124"/>
    </sheetView>
  </sheetViews>
  <sheetFormatPr defaultRowHeight="12.7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4.86"/>
    <col collapsed="false" customWidth="true" hidden="false" outlineLevel="0" max="3" min="3" style="1" width="11.42"/>
    <col collapsed="false" customWidth="true" hidden="false" outlineLevel="0" max="4" min="4" style="1" width="45.42"/>
    <col collapsed="false" customWidth="true" hidden="false" outlineLevel="0" max="5" min="5" style="1" width="5.01"/>
    <col collapsed="false" customWidth="true" hidden="true" outlineLevel="0" max="6" min="6" style="2" width="9.85"/>
    <col collapsed="false" customWidth="true" hidden="false" outlineLevel="0" max="7" min="7" style="2" width="4.71"/>
    <col collapsed="false" customWidth="true" hidden="false" outlineLevel="0" max="8" min="8" style="0" width="4.43"/>
    <col collapsed="false" customWidth="true" hidden="false" outlineLevel="0" max="10" min="9" style="0" width="6.57"/>
    <col collapsed="false" customWidth="true" hidden="false" outlineLevel="0" max="11" min="11" style="0" width="9.13"/>
    <col collapsed="false" customWidth="true" hidden="false" outlineLevel="0" max="12" min="12" style="0" width="8.57"/>
    <col collapsed="false" customWidth="true" hidden="false" outlineLevel="0" max="13" min="13" style="0" width="13.02"/>
    <col collapsed="false" customWidth="true" hidden="false" outlineLevel="0" max="1025" min="14" style="0" width="8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2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2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s="5" customFormat="true" ht="12.7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="1" customFormat="true" ht="12.7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2.75" hidden="false" customHeight="false" outlineLevel="0" collapsed="false">
      <c r="A7" s="6" t="n">
        <v>1</v>
      </c>
      <c r="B7" s="7" t="s">
        <v>10</v>
      </c>
      <c r="C7" s="6" t="s">
        <v>11</v>
      </c>
      <c r="D7" s="8" t="str">
        <f aca="false">VLOOKUP(C7,[1]Sheet1!$C$5:$E$205,2,0)</f>
        <v>PENDIDIKAN AGAMA</v>
      </c>
      <c r="E7" s="6" t="n">
        <f aca="false">VLOOKUP(C7,[1]Sheet1!$C$5:$E$205,3,0)</f>
        <v>2</v>
      </c>
      <c r="F7" s="9"/>
      <c r="G7" s="9"/>
      <c r="H7" s="0" t="n">
        <v>1</v>
      </c>
    </row>
    <row r="8" customFormat="false" ht="12.75" hidden="false" customHeight="false" outlineLevel="0" collapsed="false">
      <c r="A8" s="6" t="n">
        <v>2</v>
      </c>
      <c r="B8" s="7"/>
      <c r="C8" s="6" t="s">
        <v>12</v>
      </c>
      <c r="D8" s="8" t="str">
        <f aca="false">VLOOKUP(C8,[1]Sheet1!$C$5:$E$205,2,0)</f>
        <v>PANCASILA</v>
      </c>
      <c r="E8" s="6" t="n">
        <f aca="false">VLOOKUP(C8,[1]Sheet1!$C$5:$E$205,3,0)</f>
        <v>2</v>
      </c>
      <c r="F8" s="9"/>
      <c r="G8" s="9"/>
      <c r="H8" s="0" t="n">
        <v>1</v>
      </c>
    </row>
    <row r="9" customFormat="false" ht="12.75" hidden="false" customHeight="false" outlineLevel="0" collapsed="false">
      <c r="A9" s="6" t="n">
        <v>3</v>
      </c>
      <c r="B9" s="7"/>
      <c r="C9" s="6" t="s">
        <v>13</v>
      </c>
      <c r="D9" s="8" t="str">
        <f aca="false">VLOOKUP(C9,[1]Sheet1!$C$5:$E$205,2,0)</f>
        <v>BAHASA INDONESIA</v>
      </c>
      <c r="E9" s="6" t="n">
        <f aca="false">VLOOKUP(C9,[1]Sheet1!$C$5:$E$205,3,0)</f>
        <v>2</v>
      </c>
      <c r="F9" s="9"/>
      <c r="G9" s="9"/>
      <c r="H9" s="0" t="n">
        <v>1</v>
      </c>
    </row>
    <row r="10" customFormat="false" ht="12.75" hidden="false" customHeight="false" outlineLevel="0" collapsed="false">
      <c r="A10" s="6" t="n">
        <v>4</v>
      </c>
      <c r="B10" s="7"/>
      <c r="C10" s="6" t="s">
        <v>14</v>
      </c>
      <c r="D10" s="8" t="str">
        <f aca="false">VLOOKUP(C10,[1]Sheet1!$C$5:$E$205,2,0)</f>
        <v>BAHASA INGGRIS I</v>
      </c>
      <c r="E10" s="6" t="n">
        <f aca="false">VLOOKUP(C10,[1]Sheet1!$C$5:$E$205,3,0)</f>
        <v>2</v>
      </c>
      <c r="F10" s="9"/>
      <c r="G10" s="9"/>
      <c r="H10" s="0" t="n">
        <v>1</v>
      </c>
    </row>
    <row r="11" customFormat="false" ht="12.75" hidden="false" customHeight="false" outlineLevel="0" collapsed="false">
      <c r="A11" s="6" t="n">
        <v>5</v>
      </c>
      <c r="B11" s="7"/>
      <c r="C11" s="6" t="s">
        <v>15</v>
      </c>
      <c r="D11" s="8" t="str">
        <f aca="false">VLOOKUP(C11,[1]Sheet1!$C$5:$E$205,2,0)</f>
        <v>MATEMATIKA DASAR</v>
      </c>
      <c r="E11" s="6" t="n">
        <f aca="false">VLOOKUP(C11,[1]Sheet1!$C$5:$E$205,3,0)</f>
        <v>3</v>
      </c>
      <c r="F11" s="9"/>
      <c r="G11" s="9"/>
      <c r="H11" s="0" t="n">
        <v>1</v>
      </c>
    </row>
    <row r="12" customFormat="false" ht="12.75" hidden="false" customHeight="false" outlineLevel="0" collapsed="false">
      <c r="A12" s="6" t="n">
        <v>6</v>
      </c>
      <c r="B12" s="7"/>
      <c r="C12" s="6" t="s">
        <v>16</v>
      </c>
      <c r="D12" s="8" t="str">
        <f aca="false">VLOOKUP(C12,[1]Sheet1!$C$5:$E$205,2,0)</f>
        <v>FISIKA DASAR</v>
      </c>
      <c r="E12" s="6" t="n">
        <f aca="false">VLOOKUP(C12,[1]Sheet1!$C$5:$E$205,3,0)</f>
        <v>3</v>
      </c>
      <c r="F12" s="9"/>
      <c r="G12" s="9"/>
      <c r="H12" s="0" t="n">
        <v>1</v>
      </c>
    </row>
    <row r="13" customFormat="false" ht="12.75" hidden="false" customHeight="false" outlineLevel="0" collapsed="false">
      <c r="A13" s="6" t="n">
        <v>7</v>
      </c>
      <c r="B13" s="7"/>
      <c r="C13" s="6" t="s">
        <v>17</v>
      </c>
      <c r="D13" s="8" t="str">
        <f aca="false">VLOOKUP(C13,[1]Sheet1!$C$5:$E$205,2,0)</f>
        <v>KIMIA DASAR</v>
      </c>
      <c r="E13" s="6" t="n">
        <f aca="false">VLOOKUP(C13,[1]Sheet1!$C$5:$E$205,3,0)</f>
        <v>3</v>
      </c>
      <c r="F13" s="9"/>
      <c r="G13" s="9"/>
      <c r="H13" s="0" t="n">
        <v>1</v>
      </c>
    </row>
    <row r="14" s="5" customFormat="true" ht="12.75" hidden="false" customHeight="false" outlineLevel="0" collapsed="false">
      <c r="A14" s="6" t="n">
        <v>8</v>
      </c>
      <c r="B14" s="7"/>
      <c r="C14" s="6" t="s">
        <v>18</v>
      </c>
      <c r="D14" s="8" t="str">
        <f aca="false">VLOOKUP(C14,[1]Sheet1!$C$5:$E$205,2,0)</f>
        <v>BIOLOGI UMUM</v>
      </c>
      <c r="E14" s="6" t="n">
        <f aca="false">VLOOKUP(C14,[1]Sheet1!$C$5:$E$205,3,0)</f>
        <v>3</v>
      </c>
      <c r="F14" s="10"/>
      <c r="G14" s="10"/>
      <c r="H14" s="5" t="n">
        <v>1</v>
      </c>
    </row>
    <row r="15" s="13" customFormat="true" ht="12.75" hidden="false" customHeight="false" outlineLevel="0" collapsed="false">
      <c r="A15" s="11"/>
      <c r="B15" s="11"/>
      <c r="C15" s="11"/>
      <c r="D15" s="11"/>
      <c r="E15" s="12" t="n">
        <f aca="false">SUM(E7:E14)</f>
        <v>20</v>
      </c>
      <c r="F15" s="12"/>
      <c r="G15" s="12"/>
      <c r="H15" s="13" t="n">
        <v>0</v>
      </c>
    </row>
    <row r="16" s="5" customFormat="true" ht="12.75" hidden="false" customHeight="false" outlineLevel="0" collapsed="false">
      <c r="A16" s="6" t="n">
        <v>1</v>
      </c>
      <c r="B16" s="7" t="s">
        <v>19</v>
      </c>
      <c r="C16" s="6" t="s">
        <v>20</v>
      </c>
      <c r="D16" s="8" t="str">
        <f aca="false">VLOOKUP(C16,[1]Sheet1!$C$5:$E$205,2,0)</f>
        <v>KEWARGANEGARAAN</v>
      </c>
      <c r="E16" s="6" t="n">
        <f aca="false">VLOOKUP(C16,[1]Sheet1!$C$5:$E$205,3,0)</f>
        <v>2</v>
      </c>
      <c r="F16" s="10"/>
      <c r="G16" s="10"/>
      <c r="H16" s="5" t="n">
        <v>2</v>
      </c>
    </row>
    <row r="17" customFormat="false" ht="12.75" hidden="false" customHeight="false" outlineLevel="0" collapsed="false">
      <c r="A17" s="6" t="n">
        <f aca="false">A16+1</f>
        <v>2</v>
      </c>
      <c r="B17" s="7"/>
      <c r="C17" s="6" t="s">
        <v>21</v>
      </c>
      <c r="D17" s="8" t="str">
        <f aca="false">VLOOKUP(C17,[1]Sheet1!$C$5:$E$205,2,0)</f>
        <v>BAHASA INGGRIS II</v>
      </c>
      <c r="E17" s="6" t="n">
        <f aca="false">VLOOKUP(C17,[1]Sheet1!$C$5:$E$205,3,0)</f>
        <v>2</v>
      </c>
      <c r="F17" s="9"/>
      <c r="G17" s="9"/>
      <c r="H17" s="0" t="n">
        <v>2</v>
      </c>
    </row>
    <row r="18" s="5" customFormat="true" ht="12.75" hidden="false" customHeight="false" outlineLevel="0" collapsed="false">
      <c r="A18" s="6" t="n">
        <f aca="false">A17+1</f>
        <v>3</v>
      </c>
      <c r="B18" s="7"/>
      <c r="C18" s="6" t="s">
        <v>22</v>
      </c>
      <c r="D18" s="8" t="str">
        <f aca="false">VLOOKUP(C18,[1]Sheet1!$C$5:$E$205,2,0)</f>
        <v>KEWIRAUSAHAAN</v>
      </c>
      <c r="E18" s="6" t="n">
        <f aca="false">VLOOKUP(C18,[1]Sheet1!$C$5:$E$205,3,0)</f>
        <v>2</v>
      </c>
      <c r="F18" s="10"/>
      <c r="G18" s="10"/>
      <c r="H18" s="5" t="n">
        <v>2</v>
      </c>
    </row>
    <row r="19" customFormat="false" ht="12.75" hidden="false" customHeight="false" outlineLevel="0" collapsed="false">
      <c r="A19" s="6" t="n">
        <f aca="false">A18+1</f>
        <v>4</v>
      </c>
      <c r="B19" s="7"/>
      <c r="C19" s="6" t="s">
        <v>23</v>
      </c>
      <c r="D19" s="8" t="str">
        <f aca="false">VLOOKUP(C19,[1]Sheet1!$C$5:$E$205,2,0)</f>
        <v>ILMU SOSIAL DAN BUDAYA DASAR</v>
      </c>
      <c r="E19" s="6" t="n">
        <f aca="false">VLOOKUP(C19,[1]Sheet1!$C$5:$E$205,3,0)</f>
        <v>2</v>
      </c>
      <c r="F19" s="9"/>
      <c r="G19" s="9"/>
      <c r="H19" s="0" t="n">
        <v>2</v>
      </c>
    </row>
    <row r="20" s="5" customFormat="true" ht="12.75" hidden="false" customHeight="false" outlineLevel="0" collapsed="false">
      <c r="A20" s="6" t="n">
        <f aca="false">A19+1</f>
        <v>5</v>
      </c>
      <c r="B20" s="7"/>
      <c r="C20" s="6" t="s">
        <v>24</v>
      </c>
      <c r="D20" s="8" t="str">
        <f aca="false">VLOOKUP(C20,[1]Sheet1!$C$5:$E$205,2,0)</f>
        <v>RANGKAIAN LOGIKA</v>
      </c>
      <c r="E20" s="6" t="n">
        <f aca="false">VLOOKUP(C20,[1]Sheet1!$C$5:$E$205,3,0)</f>
        <v>2</v>
      </c>
      <c r="F20" s="10"/>
      <c r="G20" s="10"/>
      <c r="H20" s="5" t="n">
        <v>2</v>
      </c>
    </row>
    <row r="21" customFormat="false" ht="12.75" hidden="false" customHeight="false" outlineLevel="0" collapsed="false">
      <c r="A21" s="6" t="n">
        <f aca="false">A20+1</f>
        <v>6</v>
      </c>
      <c r="B21" s="7"/>
      <c r="C21" s="6" t="s">
        <v>25</v>
      </c>
      <c r="D21" s="8" t="str">
        <f aca="false">VLOOKUP(C21,[1]Sheet1!$C$5:$E$205,2,0)</f>
        <v>KONSEP SAINS DAN TEKNOLOGI</v>
      </c>
      <c r="E21" s="6" t="n">
        <f aca="false">VLOOKUP(C21,[1]Sheet1!$C$5:$E$205,3,0)</f>
        <v>2</v>
      </c>
      <c r="F21" s="9"/>
      <c r="G21" s="9"/>
      <c r="H21" s="0" t="n">
        <v>2</v>
      </c>
    </row>
    <row r="22" s="5" customFormat="true" ht="12.75" hidden="false" customHeight="false" outlineLevel="0" collapsed="false">
      <c r="A22" s="6" t="n">
        <f aca="false">A21+1</f>
        <v>7</v>
      </c>
      <c r="B22" s="7"/>
      <c r="C22" s="6" t="s">
        <v>26</v>
      </c>
      <c r="D22" s="8" t="str">
        <f aca="false">VLOOKUP(C22,[1]Sheet1!$C$5:$E$205,2,0)</f>
        <v>DASAR TELEKOMUNIKASI</v>
      </c>
      <c r="E22" s="6" t="n">
        <f aca="false">VLOOKUP(C22,[1]Sheet1!$C$5:$E$205,3,0)</f>
        <v>3</v>
      </c>
      <c r="F22" s="10"/>
      <c r="G22" s="10"/>
      <c r="H22" s="5" t="n">
        <v>2</v>
      </c>
    </row>
    <row r="23" s="5" customFormat="true" ht="12.75" hidden="false" customHeight="false" outlineLevel="0" collapsed="false">
      <c r="A23" s="6" t="n">
        <f aca="false">A22+1</f>
        <v>8</v>
      </c>
      <c r="B23" s="7"/>
      <c r="C23" s="6" t="s">
        <v>27</v>
      </c>
      <c r="D23" s="8" t="str">
        <f aca="false">VLOOKUP(C23,[1]Sheet1!$C$5:$E$205,2,0)</f>
        <v>FISIKA II / FISIKA LANJUT</v>
      </c>
      <c r="E23" s="6" t="n">
        <f aca="false">VLOOKUP(C23,[1]Sheet1!$C$5:$E$205,3,0)</f>
        <v>3</v>
      </c>
      <c r="F23" s="10"/>
      <c r="G23" s="10"/>
      <c r="H23" s="5" t="n">
        <v>2</v>
      </c>
    </row>
    <row r="24" customFormat="false" ht="12.75" hidden="false" customHeight="false" outlineLevel="0" collapsed="false">
      <c r="A24" s="6" t="n">
        <f aca="false">A23+1</f>
        <v>9</v>
      </c>
      <c r="B24" s="7"/>
      <c r="C24" s="6" t="s">
        <v>28</v>
      </c>
      <c r="D24" s="8" t="str">
        <f aca="false">VLOOKUP(C24,[1]Sheet1!$C$5:$E$205,2,0)</f>
        <v>KALKULUS II / MATEMATIKA LANJUT</v>
      </c>
      <c r="E24" s="6" t="n">
        <f aca="false">VLOOKUP(C24,[1]Sheet1!$C$5:$E$205,3,0)</f>
        <v>2</v>
      </c>
      <c r="F24" s="9"/>
      <c r="G24" s="9"/>
      <c r="H24" s="0" t="n">
        <v>2</v>
      </c>
    </row>
    <row r="25" customFormat="false" ht="12.75" hidden="false" customHeight="false" outlineLevel="0" collapsed="false">
      <c r="A25" s="6" t="n">
        <f aca="false">A24+1</f>
        <v>10</v>
      </c>
      <c r="B25" s="7"/>
      <c r="C25" s="6" t="s">
        <v>29</v>
      </c>
      <c r="D25" s="8" t="str">
        <f aca="false">VLOOKUP(C25,[1]Sheet1!$C$5:$E$205,2,0)</f>
        <v>PRAKTIKUM DASAR TELEKOMUNIKASI</v>
      </c>
      <c r="E25" s="6" t="n">
        <f aca="false">VLOOKUP(C25,[1]Sheet1!$C$5:$E$205,3,0)</f>
        <v>1</v>
      </c>
      <c r="F25" s="9"/>
      <c r="G25" s="9"/>
      <c r="H25" s="0" t="n">
        <v>2</v>
      </c>
    </row>
    <row r="26" s="5" customFormat="true" ht="12.75" hidden="false" customHeight="false" outlineLevel="0" collapsed="false">
      <c r="A26" s="14"/>
      <c r="B26" s="14"/>
      <c r="C26" s="14"/>
      <c r="D26" s="11"/>
      <c r="E26" s="12" t="n">
        <f aca="false">SUM(E16:E25)</f>
        <v>21</v>
      </c>
      <c r="F26" s="12"/>
      <c r="G26" s="12"/>
      <c r="H26" s="5" t="n">
        <v>0</v>
      </c>
    </row>
    <row r="27" customFormat="false" ht="12.75" hidden="false" customHeight="false" outlineLevel="0" collapsed="false">
      <c r="A27" s="6" t="n">
        <v>1</v>
      </c>
      <c r="B27" s="7" t="s">
        <v>30</v>
      </c>
      <c r="C27" s="6" t="s">
        <v>31</v>
      </c>
      <c r="D27" s="8" t="str">
        <f aca="false">VLOOKUP(C27,[1]Sheet1!$C$5:$E$205,2,0)</f>
        <v>MATEMATIKA TEKNIK I</v>
      </c>
      <c r="E27" s="6" t="n">
        <f aca="false">VLOOKUP(C27,[1]Sheet1!$C$5:$E$205,3,0)</f>
        <v>3</v>
      </c>
      <c r="F27" s="9"/>
      <c r="G27" s="9"/>
      <c r="H27" s="0" t="n">
        <v>3</v>
      </c>
      <c r="J27" s="0" t="n">
        <v>3</v>
      </c>
    </row>
    <row r="28" customFormat="false" ht="12.75" hidden="false" customHeight="false" outlineLevel="0" collapsed="false">
      <c r="A28" s="6" t="n">
        <f aca="false">A27+1</f>
        <v>2</v>
      </c>
      <c r="B28" s="7"/>
      <c r="C28" s="6" t="s">
        <v>32</v>
      </c>
      <c r="D28" s="8" t="str">
        <f aca="false">VLOOKUP(C28,[1]Sheet1!$C$5:$E$205,2,0)</f>
        <v>DASAR TEKNOLOGI INFORMASI</v>
      </c>
      <c r="E28" s="6" t="n">
        <f aca="false">VLOOKUP(C28,[1]Sheet1!$C$5:$E$205,3,0)</f>
        <v>3</v>
      </c>
      <c r="F28" s="9"/>
      <c r="G28" s="9"/>
      <c r="H28" s="0" t="n">
        <v>3</v>
      </c>
    </row>
    <row r="29" customFormat="false" ht="12.75" hidden="false" customHeight="false" outlineLevel="0" collapsed="false">
      <c r="A29" s="6" t="n">
        <f aca="false">A28+1</f>
        <v>3</v>
      </c>
      <c r="B29" s="7"/>
      <c r="C29" s="6" t="s">
        <v>33</v>
      </c>
      <c r="D29" s="8" t="str">
        <f aca="false">VLOOKUP(C29,[1]Sheet1!$C$5:$E$205,2,0)</f>
        <v>RANGKAIAN LISTRIK I</v>
      </c>
      <c r="E29" s="6" t="n">
        <f aca="false">VLOOKUP(C29,[1]Sheet1!$C$5:$E$205,3,0)</f>
        <v>3</v>
      </c>
      <c r="F29" s="9"/>
      <c r="G29" s="9"/>
      <c r="H29" s="0" t="n">
        <v>3</v>
      </c>
    </row>
    <row r="30" customFormat="false" ht="12.75" hidden="false" customHeight="false" outlineLevel="0" collapsed="false">
      <c r="A30" s="6" t="n">
        <f aca="false">A29+1</f>
        <v>4</v>
      </c>
      <c r="B30" s="7"/>
      <c r="C30" s="6" t="s">
        <v>34</v>
      </c>
      <c r="D30" s="8" t="str">
        <f aca="false">VLOOKUP(C30,[1]Sheet1!$C$5:$E$205,2,0)</f>
        <v>PENGUKURAN BESARAN LISTRIK</v>
      </c>
      <c r="E30" s="6" t="n">
        <f aca="false">VLOOKUP(C30,[1]Sheet1!$C$5:$E$205,3,0)</f>
        <v>2</v>
      </c>
      <c r="F30" s="9"/>
      <c r="G30" s="9"/>
      <c r="H30" s="0" t="n">
        <v>3</v>
      </c>
      <c r="J30" s="0" t="n">
        <v>2</v>
      </c>
    </row>
    <row r="31" customFormat="false" ht="12.75" hidden="false" customHeight="false" outlineLevel="0" collapsed="false">
      <c r="A31" s="6" t="n">
        <f aca="false">A30+1</f>
        <v>5</v>
      </c>
      <c r="B31" s="7"/>
      <c r="C31" s="6" t="s">
        <v>35</v>
      </c>
      <c r="D31" s="15" t="str">
        <f aca="false">VLOOKUP(C31,[1]Sheet1!$C$5:$E$205,2,0)</f>
        <v>PRAKTIKUM PENGUKURAN BESARAN LISTRIK</v>
      </c>
      <c r="E31" s="6" t="n">
        <f aca="false">VLOOKUP(C31,[1]Sheet1!$C$5:$E$205,3,0)</f>
        <v>1</v>
      </c>
      <c r="F31" s="9"/>
      <c r="G31" s="9"/>
      <c r="H31" s="0" t="n">
        <v>3</v>
      </c>
      <c r="J31" s="0" t="n">
        <v>1</v>
      </c>
    </row>
    <row r="32" customFormat="false" ht="12.75" hidden="false" customHeight="false" outlineLevel="0" collapsed="false">
      <c r="A32" s="6" t="n">
        <f aca="false">A31+1</f>
        <v>6</v>
      </c>
      <c r="B32" s="7"/>
      <c r="C32" s="6" t="s">
        <v>36</v>
      </c>
      <c r="D32" s="8" t="str">
        <f aca="false">VLOOKUP(C32,[1]Sheet1!$C$5:$E$205,2,0)</f>
        <v>DASAR ELEKTRONIKA</v>
      </c>
      <c r="E32" s="6" t="n">
        <f aca="false">VLOOKUP(C32,[1]Sheet1!$C$5:$E$205,3,0)</f>
        <v>3</v>
      </c>
      <c r="F32" s="9"/>
      <c r="G32" s="9"/>
      <c r="H32" s="0" t="n">
        <v>3</v>
      </c>
      <c r="J32" s="0" t="n">
        <v>3</v>
      </c>
    </row>
    <row r="33" customFormat="false" ht="12.75" hidden="false" customHeight="false" outlineLevel="0" collapsed="false">
      <c r="A33" s="6" t="n">
        <f aca="false">A32+1</f>
        <v>7</v>
      </c>
      <c r="B33" s="7"/>
      <c r="C33" s="6" t="s">
        <v>37</v>
      </c>
      <c r="D33" s="8" t="str">
        <f aca="false">VLOOKUP(C33,[1]Sheet1!$C$5:$E$205,2,0)</f>
        <v>DASAR TENAGA LISTRIK</v>
      </c>
      <c r="E33" s="6" t="n">
        <f aca="false">VLOOKUP(C33,[1]Sheet1!$C$5:$E$205,3,0)</f>
        <v>3</v>
      </c>
      <c r="F33" s="9"/>
      <c r="G33" s="9"/>
      <c r="H33" s="0" t="n">
        <v>3</v>
      </c>
      <c r="J33" s="0" t="n">
        <v>3</v>
      </c>
    </row>
    <row r="34" s="16" customFormat="true" ht="12.75" hidden="false" customHeight="false" outlineLevel="0" collapsed="false">
      <c r="A34" s="6" t="n">
        <f aca="false">A33+1</f>
        <v>8</v>
      </c>
      <c r="B34" s="7"/>
      <c r="C34" s="6" t="s">
        <v>38</v>
      </c>
      <c r="D34" s="8" t="str">
        <f aca="false">VLOOKUP(C34,[1]Sheet1!$C$5:$E$205,2,0)</f>
        <v>ALGORITMA DAN PEMROGRAMAN</v>
      </c>
      <c r="E34" s="6" t="n">
        <f aca="false">VLOOKUP(C34,[1]Sheet1!$C$5:$E$205,3,0)</f>
        <v>2</v>
      </c>
      <c r="F34" s="6"/>
      <c r="G34" s="6"/>
      <c r="H34" s="16" t="n">
        <v>3</v>
      </c>
    </row>
    <row r="35" s="5" customFormat="true" ht="12.75" hidden="false" customHeight="false" outlineLevel="0" collapsed="false">
      <c r="A35" s="6" t="n">
        <f aca="false">A34+1</f>
        <v>9</v>
      </c>
      <c r="B35" s="7"/>
      <c r="C35" s="6" t="s">
        <v>39</v>
      </c>
      <c r="D35" s="15" t="str">
        <f aca="false">VLOOKUP(C35,[1]Sheet1!$C$5:$E$205,2,0)</f>
        <v>PRAKTIKUM RANGKAIAN LOGIKA</v>
      </c>
      <c r="E35" s="6" t="n">
        <f aca="false">VLOOKUP(C35,[1]Sheet1!$C$5:$E$205,3,0)</f>
        <v>1</v>
      </c>
      <c r="F35" s="10"/>
      <c r="G35" s="10"/>
      <c r="H35" s="5" t="n">
        <v>3</v>
      </c>
    </row>
    <row r="36" s="5" customFormat="true" ht="12.75" hidden="false" customHeight="false" outlineLevel="0" collapsed="false">
      <c r="A36" s="14"/>
      <c r="B36" s="14"/>
      <c r="C36" s="14"/>
      <c r="D36" s="11"/>
      <c r="E36" s="12" t="n">
        <f aca="false">SUM(E27:E35)</f>
        <v>21</v>
      </c>
      <c r="F36" s="12"/>
      <c r="G36" s="12"/>
      <c r="H36" s="5" t="n">
        <v>0</v>
      </c>
      <c r="J36" s="5" t="n">
        <f aca="false">SUM(J27:J35)</f>
        <v>12</v>
      </c>
    </row>
    <row r="37" s="16" customFormat="true" ht="12.75" hidden="false" customHeight="false" outlineLevel="0" collapsed="false">
      <c r="A37" s="6" t="n">
        <v>1</v>
      </c>
      <c r="B37" s="7" t="s">
        <v>40</v>
      </c>
      <c r="C37" s="6" t="s">
        <v>41</v>
      </c>
      <c r="D37" s="8" t="str">
        <f aca="false">VLOOKUP(C37,[1]Sheet1!$C$5:$E$205,2,0)</f>
        <v>PRAKTKUM ALGORITMA DAN PEMROGRAMAN</v>
      </c>
      <c r="E37" s="6" t="n">
        <f aca="false">VLOOKUP(C37,[1]Sheet1!$C$5:$E$205,3,0)</f>
        <v>1</v>
      </c>
      <c r="F37" s="6"/>
      <c r="G37" s="6"/>
      <c r="H37" s="16" t="n">
        <v>4</v>
      </c>
    </row>
    <row r="38" s="16" customFormat="true" ht="12.75" hidden="false" customHeight="false" outlineLevel="0" collapsed="false">
      <c r="A38" s="6" t="n">
        <f aca="false">A37+1</f>
        <v>2</v>
      </c>
      <c r="B38" s="7"/>
      <c r="C38" s="6" t="s">
        <v>42</v>
      </c>
      <c r="D38" s="8" t="str">
        <f aca="false">VLOOKUP(C38,[1]Sheet1!$C$5:$E$205,2,0)</f>
        <v>MATEMATIKA TEKNIK II</v>
      </c>
      <c r="E38" s="6" t="n">
        <f aca="false">VLOOKUP(C38,[1]Sheet1!$C$5:$E$205,3,0)</f>
        <v>3</v>
      </c>
      <c r="F38" s="6"/>
      <c r="G38" s="6"/>
      <c r="H38" s="16" t="n">
        <v>4</v>
      </c>
    </row>
    <row r="39" s="16" customFormat="true" ht="12.75" hidden="false" customHeight="false" outlineLevel="0" collapsed="false">
      <c r="A39" s="6" t="n">
        <f aca="false">A38+1</f>
        <v>3</v>
      </c>
      <c r="B39" s="7"/>
      <c r="C39" s="6" t="s">
        <v>43</v>
      </c>
      <c r="D39" s="8" t="str">
        <f aca="false">VLOOKUP(C39,[1]Sheet1!$C$5:$E$205,2,0)</f>
        <v>SINYAL DAN SISTEM</v>
      </c>
      <c r="E39" s="6" t="n">
        <f aca="false">VLOOKUP(C39,[1]Sheet1!$C$5:$E$205,3,0)</f>
        <v>3</v>
      </c>
      <c r="F39" s="6"/>
      <c r="G39" s="6"/>
      <c r="H39" s="16" t="n">
        <v>4</v>
      </c>
    </row>
    <row r="40" s="16" customFormat="true" ht="12.75" hidden="false" customHeight="false" outlineLevel="0" collapsed="false">
      <c r="A40" s="6" t="n">
        <f aca="false">A39+1</f>
        <v>4</v>
      </c>
      <c r="B40" s="7"/>
      <c r="C40" s="6" t="s">
        <v>44</v>
      </c>
      <c r="D40" s="8" t="str">
        <f aca="false">VLOOKUP(C40,[1]Sheet1!$C$5:$E$205,2,0)</f>
        <v>BAHAN LISTRIK</v>
      </c>
      <c r="E40" s="6" t="n">
        <f aca="false">VLOOKUP(C40,[1]Sheet1!$C$5:$E$205,3,0)</f>
        <v>2</v>
      </c>
      <c r="F40" s="6"/>
      <c r="G40" s="6"/>
      <c r="H40" s="16" t="n">
        <v>4</v>
      </c>
    </row>
    <row r="41" s="16" customFormat="true" ht="12.75" hidden="false" customHeight="false" outlineLevel="0" collapsed="false">
      <c r="A41" s="6" t="n">
        <f aca="false">A40+1</f>
        <v>5</v>
      </c>
      <c r="B41" s="7"/>
      <c r="C41" s="6" t="s">
        <v>45</v>
      </c>
      <c r="D41" s="8" t="str">
        <f aca="false">VLOOKUP(C41,[1]Sheet1!$C$5:$E$205,2,0)</f>
        <v>PROBABILITAS DAN STATISTIK</v>
      </c>
      <c r="E41" s="6" t="n">
        <f aca="false">VLOOKUP(C41,[1]Sheet1!$C$5:$E$205,3,0)</f>
        <v>2</v>
      </c>
      <c r="F41" s="6"/>
      <c r="G41" s="6"/>
      <c r="H41" s="16" t="n">
        <v>4</v>
      </c>
    </row>
    <row r="42" s="16" customFormat="true" ht="12.75" hidden="false" customHeight="false" outlineLevel="0" collapsed="false">
      <c r="A42" s="6" t="n">
        <f aca="false">A41+1</f>
        <v>6</v>
      </c>
      <c r="B42" s="7"/>
      <c r="C42" s="6" t="s">
        <v>46</v>
      </c>
      <c r="D42" s="8" t="str">
        <f aca="false">VLOOKUP(C42,[1]Sheet1!$C$5:$E$205,2,0)</f>
        <v>METODE NUMERIK</v>
      </c>
      <c r="E42" s="6" t="n">
        <f aca="false">VLOOKUP(C42,[1]Sheet1!$C$5:$E$205,3,0)</f>
        <v>2</v>
      </c>
      <c r="F42" s="6"/>
      <c r="G42" s="6"/>
      <c r="H42" s="16" t="n">
        <v>4</v>
      </c>
    </row>
    <row r="43" s="16" customFormat="true" ht="12.75" hidden="false" customHeight="false" outlineLevel="0" collapsed="false">
      <c r="A43" s="6" t="n">
        <f aca="false">A42+1</f>
        <v>7</v>
      </c>
      <c r="B43" s="7"/>
      <c r="C43" s="6" t="s">
        <v>47</v>
      </c>
      <c r="D43" s="8" t="str">
        <f aca="false">VLOOKUP(C43,[1]Sheet1!$C$5:$E$205,2,0)</f>
        <v>RANGKAIAN LISTRIK II</v>
      </c>
      <c r="E43" s="6" t="n">
        <f aca="false">VLOOKUP(C43,[1]Sheet1!$C$5:$E$205,3,0)</f>
        <v>3</v>
      </c>
      <c r="F43" s="6"/>
      <c r="G43" s="6"/>
      <c r="H43" s="16" t="n">
        <v>4</v>
      </c>
    </row>
    <row r="44" s="16" customFormat="true" ht="12.75" hidden="false" customHeight="false" outlineLevel="0" collapsed="false">
      <c r="A44" s="6" t="n">
        <f aca="false">A43+1</f>
        <v>8</v>
      </c>
      <c r="B44" s="7"/>
      <c r="C44" s="6" t="s">
        <v>48</v>
      </c>
      <c r="D44" s="8" t="str">
        <f aca="false">VLOOKUP(C44,[1]Sheet1!$C$5:$E$205,2,0)</f>
        <v>ELEKTROMAGNETIK</v>
      </c>
      <c r="E44" s="6" t="n">
        <f aca="false">VLOOKUP(C44,[1]Sheet1!$C$5:$E$205,3,0)</f>
        <v>3</v>
      </c>
      <c r="F44" s="6"/>
      <c r="G44" s="6"/>
      <c r="H44" s="16" t="n">
        <v>4</v>
      </c>
    </row>
    <row r="45" s="16" customFormat="true" ht="12.75" hidden="false" customHeight="false" outlineLevel="0" collapsed="false">
      <c r="A45" s="6" t="n">
        <f aca="false">A44+1</f>
        <v>9</v>
      </c>
      <c r="B45" s="7"/>
      <c r="C45" s="6" t="s">
        <v>49</v>
      </c>
      <c r="D45" s="8" t="str">
        <f aca="false">VLOOKUP(C45,[1]Sheet1!$C$5:$E$205,2,0)</f>
        <v>PRAKTIKUM DASAR ELEKTRONIKA</v>
      </c>
      <c r="E45" s="6" t="n">
        <f aca="false">VLOOKUP(C45,[1]Sheet1!$C$5:$E$205,3,0)</f>
        <v>1</v>
      </c>
      <c r="F45" s="6"/>
      <c r="G45" s="6"/>
      <c r="H45" s="16" t="n">
        <v>4</v>
      </c>
    </row>
    <row r="46" s="16" customFormat="true" ht="12.75" hidden="false" customHeight="false" outlineLevel="0" collapsed="false">
      <c r="A46" s="6" t="n">
        <f aca="false">A45+1</f>
        <v>10</v>
      </c>
      <c r="B46" s="7"/>
      <c r="C46" s="6" t="s">
        <v>50</v>
      </c>
      <c r="D46" s="8" t="str">
        <f aca="false">VLOOKUP(C46,[1]Sheet1!$C$5:$E$205,2,0)</f>
        <v>PRAKTIKUM DASAR TENAGA LISTRIK</v>
      </c>
      <c r="E46" s="6" t="n">
        <f aca="false">VLOOKUP(C46,[1]Sheet1!$C$5:$E$205,3,0)</f>
        <v>1</v>
      </c>
      <c r="F46" s="6"/>
      <c r="G46" s="6"/>
      <c r="H46" s="16" t="n">
        <v>4</v>
      </c>
    </row>
    <row r="47" s="5" customFormat="true" ht="12.75" hidden="false" customHeight="false" outlineLevel="0" collapsed="false">
      <c r="A47" s="14"/>
      <c r="B47" s="14"/>
      <c r="C47" s="14"/>
      <c r="D47" s="11"/>
      <c r="E47" s="12" t="n">
        <f aca="false">SUM(E37:E46)</f>
        <v>21</v>
      </c>
      <c r="F47" s="12"/>
      <c r="G47" s="12"/>
      <c r="H47" s="5" t="n">
        <v>0</v>
      </c>
    </row>
    <row r="48" s="5" customFormat="true" ht="12.75" hidden="false" customHeight="false" outlineLevel="0" collapsed="false">
      <c r="A48" s="6" t="n">
        <v>1</v>
      </c>
      <c r="B48" s="17" t="s">
        <v>51</v>
      </c>
      <c r="C48" s="6" t="s">
        <v>52</v>
      </c>
      <c r="D48" s="8" t="str">
        <f aca="false">VLOOKUP(C48,[1]Sheet1!$C$5:$E$205,2,0)</f>
        <v>SISTEM MIKROPROSESOR</v>
      </c>
      <c r="E48" s="6" t="n">
        <f aca="false">VLOOKUP(C48,[1]Sheet1!$C$5:$E$205,3,0)</f>
        <v>3</v>
      </c>
      <c r="F48" s="10"/>
      <c r="G48" s="10"/>
      <c r="H48" s="5" t="n">
        <v>5</v>
      </c>
      <c r="J48" s="5" t="n">
        <v>3</v>
      </c>
    </row>
    <row r="49" customFormat="false" ht="12.75" hidden="false" customHeight="false" outlineLevel="0" collapsed="false">
      <c r="A49" s="6" t="n">
        <f aca="false">A48+1</f>
        <v>2</v>
      </c>
      <c r="B49" s="17"/>
      <c r="C49" s="6" t="s">
        <v>53</v>
      </c>
      <c r="D49" s="8" t="str">
        <f aca="false">VLOOKUP(C49,[1]Sheet1!$C$5:$E$205,2,0)</f>
        <v>SISTEM KENDALI</v>
      </c>
      <c r="E49" s="6" t="n">
        <f aca="false">VLOOKUP(C49,[1]Sheet1!$C$5:$E$205,3,0)</f>
        <v>3</v>
      </c>
      <c r="F49" s="9"/>
      <c r="G49" s="9"/>
      <c r="H49" s="0" t="n">
        <v>5</v>
      </c>
      <c r="J49" s="0" t="n">
        <v>3</v>
      </c>
    </row>
    <row r="50" customFormat="false" ht="12.75" hidden="false" customHeight="false" outlineLevel="0" collapsed="false">
      <c r="A50" s="6" t="n">
        <f aca="false">A49+1</f>
        <v>3</v>
      </c>
      <c r="B50" s="17"/>
      <c r="C50" s="6" t="s">
        <v>54</v>
      </c>
      <c r="D50" s="15" t="str">
        <f aca="false">VLOOKUP(C50,[1]Sheet1!$C$5:$E$205,2,0)</f>
        <v>PRAKTIKUM SISTEM KENDALI</v>
      </c>
      <c r="E50" s="6" t="n">
        <f aca="false">VLOOKUP(C50,[1]Sheet1!$C$5:$E$205,3,0)</f>
        <v>1</v>
      </c>
      <c r="F50" s="9"/>
      <c r="G50" s="9"/>
      <c r="H50" s="0" t="n">
        <v>5</v>
      </c>
      <c r="J50" s="0" t="n">
        <v>1</v>
      </c>
    </row>
    <row r="51" customFormat="false" ht="12.75" hidden="false" customHeight="false" outlineLevel="0" collapsed="false">
      <c r="A51" s="6" t="n">
        <f aca="false">A50+1</f>
        <v>4</v>
      </c>
      <c r="B51" s="17"/>
      <c r="C51" s="6" t="s">
        <v>55</v>
      </c>
      <c r="D51" s="15" t="str">
        <f aca="false">VLOOKUP(C51,[1]Sheet1!$C$5:$E$205,2,0)</f>
        <v>PRAKTIKUM RANGKAIAN LISTRIK</v>
      </c>
      <c r="E51" s="6" t="n">
        <f aca="false">VLOOKUP(C51,[1]Sheet1!$C$5:$E$205,3,0)</f>
        <v>1</v>
      </c>
      <c r="F51" s="9"/>
      <c r="G51" s="9"/>
      <c r="H51" s="0" t="n">
        <v>5</v>
      </c>
      <c r="J51" s="0" t="n">
        <v>1</v>
      </c>
    </row>
    <row r="52" customFormat="false" ht="12.75" hidden="false" customHeight="false" outlineLevel="0" collapsed="false">
      <c r="A52" s="6" t="n">
        <f aca="false">A51+1</f>
        <v>5</v>
      </c>
      <c r="B52" s="17"/>
      <c r="C52" s="6" t="s">
        <v>56</v>
      </c>
      <c r="D52" s="8" t="str">
        <f aca="false">VLOOKUP(C52,[1]Sheet1!$C$5:$E$205,2,0)</f>
        <v>EKONOMI TEKNIK</v>
      </c>
      <c r="E52" s="6" t="n">
        <f aca="false">VLOOKUP(C52,[1]Sheet1!$C$5:$E$205,3,0)</f>
        <v>2</v>
      </c>
      <c r="F52" s="9"/>
      <c r="G52" s="9"/>
      <c r="H52" s="0" t="n">
        <v>5</v>
      </c>
      <c r="J52" s="0" t="n">
        <v>2</v>
      </c>
    </row>
    <row r="53" s="5" customFormat="true" ht="12.75" hidden="false" customHeight="false" outlineLevel="0" collapsed="false">
      <c r="A53" s="6"/>
      <c r="B53" s="17"/>
      <c r="C53" s="18" t="s">
        <v>57</v>
      </c>
      <c r="D53" s="18"/>
      <c r="E53" s="18"/>
      <c r="F53" s="10"/>
      <c r="G53" s="10"/>
      <c r="H53" s="5" t="n">
        <v>0</v>
      </c>
      <c r="J53" s="5" t="n">
        <f aca="false">SUM(J48:J52)</f>
        <v>10</v>
      </c>
    </row>
    <row r="54" customFormat="false" ht="12.75" hidden="false" customHeight="false" outlineLevel="0" collapsed="false">
      <c r="A54" s="6" t="n">
        <v>6</v>
      </c>
      <c r="B54" s="17"/>
      <c r="C54" s="6" t="s">
        <v>58</v>
      </c>
      <c r="D54" s="8" t="str">
        <f aca="false">VLOOKUP(C54,[1]Sheet1!$C$5:$E$205,2,0)</f>
        <v>ANALISA SISTEM TENAGA I</v>
      </c>
      <c r="E54" s="6" t="n">
        <f aca="false">VLOOKUP(C54,[1]Sheet1!$C$5:$E$205,3,0)</f>
        <v>3</v>
      </c>
      <c r="F54" s="9"/>
      <c r="G54" s="9"/>
      <c r="H54" s="0" t="n">
        <v>5</v>
      </c>
    </row>
    <row r="55" customFormat="false" ht="12.75" hidden="false" customHeight="false" outlineLevel="0" collapsed="false">
      <c r="A55" s="6" t="n">
        <f aca="false">A54+1</f>
        <v>7</v>
      </c>
      <c r="B55" s="17"/>
      <c r="C55" s="6" t="s">
        <v>59</v>
      </c>
      <c r="D55" s="8" t="str">
        <f aca="false">VLOOKUP(C55,[1]Sheet1!$C$5:$E$205,2,0)</f>
        <v>MESIN LISTRIK I</v>
      </c>
      <c r="E55" s="6" t="n">
        <f aca="false">VLOOKUP(C55,[1]Sheet1!$C$5:$E$205,3,0)</f>
        <v>3</v>
      </c>
      <c r="F55" s="9"/>
      <c r="G55" s="9"/>
      <c r="H55" s="0" t="n">
        <v>5</v>
      </c>
    </row>
    <row r="56" customFormat="false" ht="12.75" hidden="false" customHeight="false" outlineLevel="0" collapsed="false">
      <c r="A56" s="6" t="n">
        <f aca="false">A55+1</f>
        <v>8</v>
      </c>
      <c r="B56" s="17"/>
      <c r="C56" s="6" t="s">
        <v>60</v>
      </c>
      <c r="D56" s="8" t="str">
        <f aca="false">VLOOKUP(C56,[1]Sheet1!$C$5:$E$205,2,0)</f>
        <v>PEMBANGKIT TENAGA LISTRIK</v>
      </c>
      <c r="E56" s="6" t="n">
        <f aca="false">VLOOKUP(C56,[1]Sheet1!$C$5:$E$205,3,0)</f>
        <v>2</v>
      </c>
      <c r="F56" s="9"/>
      <c r="G56" s="9"/>
      <c r="H56" s="0" t="n">
        <v>5</v>
      </c>
    </row>
    <row r="57" customFormat="false" ht="12.75" hidden="false" customHeight="false" outlineLevel="0" collapsed="false">
      <c r="A57" s="6" t="n">
        <f aca="false">A56+1</f>
        <v>9</v>
      </c>
      <c r="B57" s="17"/>
      <c r="C57" s="6" t="s">
        <v>61</v>
      </c>
      <c r="D57" s="8" t="str">
        <f aca="false">VLOOKUP(C57,[1]Sheet1!$C$5:$E$205,2,0)</f>
        <v>TRANSMISI TENAGA LISTRIK</v>
      </c>
      <c r="E57" s="6" t="n">
        <f aca="false">VLOOKUP(C57,[1]Sheet1!$C$5:$E$205,3,0)</f>
        <v>2</v>
      </c>
      <c r="F57" s="9"/>
      <c r="G57" s="9"/>
      <c r="H57" s="0" t="n">
        <v>5</v>
      </c>
    </row>
    <row r="58" s="5" customFormat="true" ht="12.75" hidden="false" customHeight="false" outlineLevel="0" collapsed="false">
      <c r="A58" s="14"/>
      <c r="B58" s="17"/>
      <c r="C58" s="14"/>
      <c r="D58" s="11"/>
      <c r="E58" s="12" t="n">
        <f aca="false">SUM(E54:E57)+SUM(E48:E52)</f>
        <v>20</v>
      </c>
      <c r="F58" s="12"/>
      <c r="G58" s="12"/>
      <c r="H58" s="5" t="n">
        <v>0</v>
      </c>
    </row>
    <row r="59" s="5" customFormat="true" ht="12.75" hidden="false" customHeight="false" outlineLevel="0" collapsed="false">
      <c r="A59" s="6"/>
      <c r="B59" s="17"/>
      <c r="C59" s="19" t="s">
        <v>62</v>
      </c>
      <c r="D59" s="19"/>
      <c r="E59" s="19"/>
      <c r="F59" s="10"/>
      <c r="G59" s="10"/>
      <c r="H59" s="5" t="n">
        <v>0</v>
      </c>
    </row>
    <row r="60" s="5" customFormat="true" ht="12.75" hidden="false" customHeight="false" outlineLevel="0" collapsed="false">
      <c r="A60" s="6" t="n">
        <v>6</v>
      </c>
      <c r="B60" s="17"/>
      <c r="C60" s="6" t="s">
        <v>63</v>
      </c>
      <c r="D60" s="8" t="str">
        <f aca="false">VLOOKUP(C60,[1]Sheet1!$C$5:$E$205,2,0)</f>
        <v>RANGKAIAN ELEKTRONIKA</v>
      </c>
      <c r="E60" s="6" t="n">
        <f aca="false">VLOOKUP(C60,[1]Sheet1!$C$5:$E$205,3,0)</f>
        <v>3</v>
      </c>
      <c r="F60" s="10"/>
      <c r="G60" s="10"/>
      <c r="H60" s="5" t="n">
        <v>5</v>
      </c>
    </row>
    <row r="61" s="5" customFormat="true" ht="12.75" hidden="false" customHeight="false" outlineLevel="0" collapsed="false">
      <c r="A61" s="6" t="n">
        <f aca="false">A60+1</f>
        <v>7</v>
      </c>
      <c r="B61" s="17"/>
      <c r="C61" s="6" t="s">
        <v>64</v>
      </c>
      <c r="D61" s="15" t="str">
        <f aca="false">VLOOKUP(C61,[1]Sheet1!$C$5:$E$205,2,0)</f>
        <v>PRAKTIKUM RANGKAIAN ELEKTRONIKA</v>
      </c>
      <c r="E61" s="6" t="n">
        <f aca="false">VLOOKUP(C61,[1]Sheet1!$C$5:$E$205,3,0)</f>
        <v>1</v>
      </c>
      <c r="F61" s="10"/>
      <c r="G61" s="10"/>
      <c r="H61" s="5" t="n">
        <v>5</v>
      </c>
    </row>
    <row r="62" customFormat="false" ht="12.75" hidden="false" customHeight="false" outlineLevel="0" collapsed="false">
      <c r="A62" s="6" t="n">
        <f aca="false">A61+1</f>
        <v>8</v>
      </c>
      <c r="B62" s="17"/>
      <c r="C62" s="6" t="s">
        <v>65</v>
      </c>
      <c r="D62" s="8" t="str">
        <f aca="false">VLOOKUP(C62,[1]Sheet1!$C$5:$E$205,2,0)</f>
        <v>ELEKTRONIKA DIGITAL</v>
      </c>
      <c r="E62" s="6" t="n">
        <f aca="false">VLOOKUP(C62,[1]Sheet1!$C$5:$E$205,3,0)</f>
        <v>2</v>
      </c>
      <c r="F62" s="9"/>
      <c r="G62" s="9"/>
      <c r="H62" s="0" t="n">
        <v>5</v>
      </c>
    </row>
    <row r="63" customFormat="false" ht="12.75" hidden="false" customHeight="false" outlineLevel="0" collapsed="false">
      <c r="A63" s="6" t="n">
        <f aca="false">A62+1</f>
        <v>9</v>
      </c>
      <c r="B63" s="17"/>
      <c r="C63" s="6" t="s">
        <v>66</v>
      </c>
      <c r="D63" s="15" t="str">
        <f aca="false">VLOOKUP(C63,[1]Sheet1!$C$5:$E$205,2,0)</f>
        <v>PRAKTIKUM ELEKTRONIKA DIGITAL</v>
      </c>
      <c r="E63" s="6" t="n">
        <f aca="false">VLOOKUP(C63,[1]Sheet1!$C$5:$E$205,3,0)</f>
        <v>1</v>
      </c>
      <c r="F63" s="9"/>
      <c r="G63" s="9"/>
      <c r="H63" s="0" t="n">
        <v>5</v>
      </c>
    </row>
    <row r="64" customFormat="false" ht="12.75" hidden="false" customHeight="false" outlineLevel="0" collapsed="false">
      <c r="A64" s="6" t="n">
        <f aca="false">A63+1</f>
        <v>10</v>
      </c>
      <c r="B64" s="17"/>
      <c r="C64" s="6" t="s">
        <v>67</v>
      </c>
      <c r="D64" s="8" t="str">
        <f aca="false">VLOOKUP(C64,[1]Sheet1!$C$5:$E$205,2,0)</f>
        <v>ELEKTRONIKA ANALOG</v>
      </c>
      <c r="E64" s="6" t="n">
        <f aca="false">VLOOKUP(C64,[1]Sheet1!$C$5:$E$205,3,0)</f>
        <v>2</v>
      </c>
      <c r="F64" s="9"/>
      <c r="G64" s="9"/>
      <c r="H64" s="0" t="n">
        <v>5</v>
      </c>
    </row>
    <row r="65" s="5" customFormat="true" ht="12.75" hidden="false" customHeight="false" outlineLevel="0" collapsed="false">
      <c r="A65" s="14"/>
      <c r="B65" s="17"/>
      <c r="C65" s="14"/>
      <c r="D65" s="11"/>
      <c r="E65" s="12" t="n">
        <f aca="false">SUM(E60:E64)+SUM(E48:E52)</f>
        <v>19</v>
      </c>
      <c r="F65" s="12"/>
      <c r="G65" s="12"/>
      <c r="H65" s="5" t="n">
        <v>0</v>
      </c>
    </row>
    <row r="66" s="5" customFormat="true" ht="12.75" hidden="false" customHeight="false" outlineLevel="0" collapsed="false">
      <c r="A66" s="6"/>
      <c r="B66" s="17"/>
      <c r="C66" s="20" t="s">
        <v>68</v>
      </c>
      <c r="D66" s="20"/>
      <c r="E66" s="20"/>
      <c r="F66" s="10"/>
      <c r="G66" s="10"/>
      <c r="H66" s="5" t="n">
        <v>0</v>
      </c>
    </row>
    <row r="67" s="5" customFormat="true" ht="12.75" hidden="false" customHeight="false" outlineLevel="0" collapsed="false">
      <c r="A67" s="6" t="n">
        <v>6</v>
      </c>
      <c r="B67" s="17"/>
      <c r="C67" s="6" t="s">
        <v>69</v>
      </c>
      <c r="D67" s="8" t="str">
        <f aca="false">VLOOKUP(C67,[1]Sheet1!$C$5:$E$205,2,0)</f>
        <v>ELEKTROMAGNETIK LANJUT</v>
      </c>
      <c r="E67" s="6" t="n">
        <f aca="false">VLOOKUP(C67,[1]Sheet1!$C$5:$E$205,3,0)</f>
        <v>2</v>
      </c>
      <c r="F67" s="10"/>
      <c r="G67" s="10"/>
      <c r="H67" s="5" t="n">
        <v>5</v>
      </c>
    </row>
    <row r="68" customFormat="false" ht="12.75" hidden="false" customHeight="false" outlineLevel="0" collapsed="false">
      <c r="A68" s="6" t="n">
        <f aca="false">A67+1</f>
        <v>7</v>
      </c>
      <c r="B68" s="17"/>
      <c r="C68" s="6" t="s">
        <v>70</v>
      </c>
      <c r="D68" s="8" t="str">
        <f aca="false">VLOOKUP(C68,[1]Sheet1!$C$5:$E$205,2,0)</f>
        <v>SISTEM TELEKOMUNIKASI</v>
      </c>
      <c r="E68" s="6" t="n">
        <f aca="false">VLOOKUP(C68,[1]Sheet1!$C$5:$E$205,3,0)</f>
        <v>3</v>
      </c>
      <c r="F68" s="9"/>
      <c r="G68" s="9"/>
      <c r="H68" s="0" t="n">
        <v>5</v>
      </c>
    </row>
    <row r="69" customFormat="false" ht="12.75" hidden="false" customHeight="false" outlineLevel="0" collapsed="false">
      <c r="A69" s="6" t="n">
        <f aca="false">A68+1</f>
        <v>8</v>
      </c>
      <c r="B69" s="17"/>
      <c r="C69" s="6" t="s">
        <v>71</v>
      </c>
      <c r="D69" s="8" t="str">
        <f aca="false">VLOOKUP(C69,[1]Sheet1!$C$5:$E$205,2,0)</f>
        <v>JARINGAN TELEKOMUNIKASI</v>
      </c>
      <c r="E69" s="6" t="n">
        <f aca="false">VLOOKUP(C69,[1]Sheet1!$C$5:$E$205,3,0)</f>
        <v>3</v>
      </c>
      <c r="F69" s="9"/>
      <c r="G69" s="9"/>
      <c r="H69" s="0" t="n">
        <v>5</v>
      </c>
    </row>
    <row r="70" customFormat="false" ht="12.75" hidden="false" customHeight="false" outlineLevel="0" collapsed="false">
      <c r="A70" s="6" t="n">
        <f aca="false">A69+1</f>
        <v>9</v>
      </c>
      <c r="B70" s="17"/>
      <c r="C70" s="6" t="s">
        <v>72</v>
      </c>
      <c r="D70" s="8" t="str">
        <f aca="false">VLOOKUP(C70,[1]Sheet1!$C$5:$E$205,2,0)</f>
        <v>REKAYASA TRAFIK</v>
      </c>
      <c r="E70" s="6" t="n">
        <f aca="false">VLOOKUP(C70,[1]Sheet1!$C$5:$E$205,3,0)</f>
        <v>2</v>
      </c>
      <c r="F70" s="9"/>
      <c r="G70" s="9"/>
      <c r="H70" s="0" t="n">
        <v>5</v>
      </c>
    </row>
    <row r="71" s="5" customFormat="true" ht="12.75" hidden="false" customHeight="false" outlineLevel="0" collapsed="false">
      <c r="A71" s="14"/>
      <c r="B71" s="17"/>
      <c r="C71" s="14"/>
      <c r="D71" s="11"/>
      <c r="E71" s="12" t="n">
        <f aca="false">SUM(E67:E70)+SUM(E48:E52)</f>
        <v>20</v>
      </c>
      <c r="F71" s="12"/>
      <c r="G71" s="12"/>
      <c r="H71" s="5" t="n">
        <v>0</v>
      </c>
    </row>
    <row r="72" s="5" customFormat="true" ht="12.75" hidden="false" customHeight="false" outlineLevel="0" collapsed="false">
      <c r="A72" s="6"/>
      <c r="B72" s="17"/>
      <c r="C72" s="21" t="s">
        <v>73</v>
      </c>
      <c r="D72" s="21"/>
      <c r="E72" s="21"/>
      <c r="F72" s="10"/>
      <c r="G72" s="10"/>
      <c r="H72" s="5" t="n">
        <v>0</v>
      </c>
    </row>
    <row r="73" customFormat="false" ht="12.75" hidden="false" customHeight="false" outlineLevel="0" collapsed="false">
      <c r="A73" s="6" t="n">
        <v>6</v>
      </c>
      <c r="B73" s="17"/>
      <c r="C73" s="6" t="s">
        <v>74</v>
      </c>
      <c r="D73" s="8" t="str">
        <f aca="false">VLOOKUP(C73,[1]Sheet1!$C$5:$E$205,2,0)</f>
        <v>MATEMATIKA DISKRIT</v>
      </c>
      <c r="E73" s="6" t="n">
        <f aca="false">VLOOKUP(C73,[1]Sheet1!$C$5:$E$205,3,0)</f>
        <v>3</v>
      </c>
      <c r="F73" s="9"/>
      <c r="G73" s="9"/>
      <c r="H73" s="0" t="n">
        <v>5</v>
      </c>
    </row>
    <row r="74" customFormat="false" ht="12.75" hidden="false" customHeight="false" outlineLevel="0" collapsed="false">
      <c r="A74" s="6" t="n">
        <f aca="false">A73+1</f>
        <v>7</v>
      </c>
      <c r="B74" s="17"/>
      <c r="C74" s="6" t="s">
        <v>75</v>
      </c>
      <c r="D74" s="8" t="str">
        <f aca="false">VLOOKUP(C74,[1]Sheet1!$C$5:$E$205,2,0)</f>
        <v>BASIS DATA</v>
      </c>
      <c r="E74" s="6" t="n">
        <f aca="false">VLOOKUP(C74,[1]Sheet1!$C$5:$E$205,3,0)</f>
        <v>3</v>
      </c>
      <c r="F74" s="9"/>
      <c r="G74" s="9"/>
      <c r="H74" s="0" t="n">
        <v>5</v>
      </c>
    </row>
    <row r="75" s="5" customFormat="true" ht="12.75" hidden="false" customHeight="false" outlineLevel="0" collapsed="false">
      <c r="A75" s="6" t="n">
        <f aca="false">A74+1</f>
        <v>8</v>
      </c>
      <c r="B75" s="17"/>
      <c r="C75" s="6" t="s">
        <v>76</v>
      </c>
      <c r="D75" s="8" t="str">
        <f aca="false">VLOOKUP(C75,[1]Sheet1!$C$5:$E$205,2,0)</f>
        <v>REKAYASA PERANGKAT LUNAK</v>
      </c>
      <c r="E75" s="6" t="n">
        <f aca="false">VLOOKUP(C75,[1]Sheet1!$C$5:$E$205,3,0)</f>
        <v>2</v>
      </c>
      <c r="F75" s="10"/>
      <c r="G75" s="10"/>
      <c r="H75" s="5" t="n">
        <v>5</v>
      </c>
    </row>
    <row r="76" customFormat="false" ht="12.75" hidden="false" customHeight="false" outlineLevel="0" collapsed="false">
      <c r="A76" s="6" t="n">
        <f aca="false">A75+1</f>
        <v>9</v>
      </c>
      <c r="B76" s="17"/>
      <c r="C76" s="6" t="s">
        <v>77</v>
      </c>
      <c r="D76" s="8" t="str">
        <f aca="false">VLOOKUP(C76,[1]Sheet1!$C$5:$E$205,2,0)</f>
        <v>PEMROGRAMAN BERORIENTASI OBYEK</v>
      </c>
      <c r="E76" s="6" t="n">
        <f aca="false">VLOOKUP(C76,[1]Sheet1!$C$5:$E$205,3,0)</f>
        <v>2</v>
      </c>
      <c r="F76" s="9"/>
      <c r="G76" s="9"/>
      <c r="H76" s="0" t="n">
        <v>5</v>
      </c>
    </row>
    <row r="77" s="5" customFormat="true" ht="12.75" hidden="false" customHeight="false" outlineLevel="0" collapsed="false">
      <c r="A77" s="14"/>
      <c r="B77" s="14"/>
      <c r="C77" s="14"/>
      <c r="D77" s="11"/>
      <c r="E77" s="12" t="n">
        <f aca="false">SUM(E73:E76)+SUM(E48:E52)</f>
        <v>20</v>
      </c>
      <c r="F77" s="12"/>
      <c r="G77" s="12"/>
      <c r="H77" s="5" t="n">
        <v>0</v>
      </c>
    </row>
    <row r="78" s="5" customFormat="true" ht="12.75" hidden="false" customHeight="false" outlineLevel="0" collapsed="false">
      <c r="A78" s="6" t="n">
        <v>1</v>
      </c>
      <c r="B78" s="7" t="s">
        <v>78</v>
      </c>
      <c r="C78" s="6" t="s">
        <v>79</v>
      </c>
      <c r="D78" s="8" t="str">
        <f aca="false">VLOOKUP(C78,[1]Sheet1!$C$5:$E$205,2,0)</f>
        <v>PRAKTIKUM SISTEM MIKROPROSESOR</v>
      </c>
      <c r="E78" s="6" t="n">
        <f aca="false">VLOOKUP(C78,[1]Sheet1!$C$5:$E$205,3,0)</f>
        <v>1</v>
      </c>
      <c r="F78" s="9"/>
      <c r="G78" s="9"/>
      <c r="H78" s="5" t="n">
        <v>6</v>
      </c>
    </row>
    <row r="79" s="5" customFormat="true" ht="12.75" hidden="false" customHeight="false" outlineLevel="0" collapsed="false">
      <c r="A79" s="6"/>
      <c r="B79" s="7"/>
      <c r="C79" s="18" t="s">
        <v>57</v>
      </c>
      <c r="D79" s="18"/>
      <c r="E79" s="18"/>
      <c r="F79" s="10"/>
      <c r="G79" s="10"/>
      <c r="H79" s="5" t="n">
        <v>0</v>
      </c>
    </row>
    <row r="80" customFormat="false" ht="12.75" hidden="false" customHeight="false" outlineLevel="0" collapsed="false">
      <c r="A80" s="6" t="n">
        <f aca="false">A78+1</f>
        <v>2</v>
      </c>
      <c r="B80" s="7"/>
      <c r="C80" s="6" t="s">
        <v>80</v>
      </c>
      <c r="D80" s="8" t="str">
        <f aca="false">VLOOKUP(C80,[1]Sheet1!$C$5:$E$205,2,0)</f>
        <v>ANALISA SISTEM TENAGA II</v>
      </c>
      <c r="E80" s="6" t="n">
        <f aca="false">VLOOKUP(C80,[1]Sheet1!$C$5:$E$205,3,0)</f>
        <v>2</v>
      </c>
      <c r="F80" s="9"/>
      <c r="G80" s="9"/>
      <c r="H80" s="0" t="n">
        <v>6</v>
      </c>
    </row>
    <row r="81" customFormat="false" ht="12.75" hidden="false" customHeight="false" outlineLevel="0" collapsed="false">
      <c r="A81" s="6" t="n">
        <f aca="false">A80+1</f>
        <v>3</v>
      </c>
      <c r="B81" s="7"/>
      <c r="C81" s="6" t="s">
        <v>81</v>
      </c>
      <c r="D81" s="8" t="str">
        <f aca="false">VLOOKUP(C81,[1]Sheet1!$C$5:$E$205,2,0)</f>
        <v>PRAKTIKUM ANALISA SISTEM TENAGA</v>
      </c>
      <c r="E81" s="6" t="n">
        <f aca="false">VLOOKUP(C81,[1]Sheet1!$C$5:$E$205,3,0)</f>
        <v>1</v>
      </c>
      <c r="F81" s="9"/>
      <c r="G81" s="9"/>
      <c r="H81" s="0" t="n">
        <v>6</v>
      </c>
    </row>
    <row r="82" customFormat="false" ht="12.75" hidden="false" customHeight="false" outlineLevel="0" collapsed="false">
      <c r="A82" s="6" t="n">
        <f aca="false">A81+1</f>
        <v>4</v>
      </c>
      <c r="B82" s="7"/>
      <c r="C82" s="6" t="s">
        <v>82</v>
      </c>
      <c r="D82" s="8" t="str">
        <f aca="false">VLOOKUP(C82,[1]Sheet1!$C$5:$E$205,2,0)</f>
        <v>MESIN LISTRIK II</v>
      </c>
      <c r="E82" s="6" t="n">
        <f aca="false">VLOOKUP(C82,[1]Sheet1!$C$5:$E$205,3,0)</f>
        <v>2</v>
      </c>
      <c r="F82" s="9"/>
      <c r="G82" s="9"/>
      <c r="H82" s="0" t="n">
        <v>6</v>
      </c>
    </row>
    <row r="83" customFormat="false" ht="12.75" hidden="false" customHeight="false" outlineLevel="0" collapsed="false">
      <c r="A83" s="6" t="n">
        <f aca="false">A82+1</f>
        <v>5</v>
      </c>
      <c r="B83" s="7"/>
      <c r="C83" s="6" t="s">
        <v>83</v>
      </c>
      <c r="D83" s="8" t="str">
        <f aca="false">VLOOKUP(C83,[1]Sheet1!$C$5:$E$205,2,0)</f>
        <v>PRAKTIKUM MESIN LISTRIK</v>
      </c>
      <c r="E83" s="6" t="n">
        <f aca="false">VLOOKUP(C83,[1]Sheet1!$C$5:$E$205,3,0)</f>
        <v>1</v>
      </c>
      <c r="F83" s="9"/>
      <c r="G83" s="9"/>
      <c r="H83" s="0" t="n">
        <v>6</v>
      </c>
    </row>
    <row r="84" customFormat="false" ht="12.75" hidden="false" customHeight="false" outlineLevel="0" collapsed="false">
      <c r="A84" s="6" t="n">
        <f aca="false">A83+1</f>
        <v>6</v>
      </c>
      <c r="B84" s="7"/>
      <c r="C84" s="6" t="s">
        <v>84</v>
      </c>
      <c r="D84" s="8" t="str">
        <f aca="false">VLOOKUP(C84,[1]Sheet1!$C$5:$E$205,2,0)</f>
        <v>SISTEM DISTRIBUSI TENAGA LISTRIK</v>
      </c>
      <c r="E84" s="6" t="n">
        <f aca="false">VLOOKUP(C84,[1]Sheet1!$C$5:$E$205,3,0)</f>
        <v>3</v>
      </c>
      <c r="F84" s="9"/>
      <c r="G84" s="9"/>
      <c r="H84" s="0" t="n">
        <v>6</v>
      </c>
    </row>
    <row r="85" customFormat="false" ht="12.75" hidden="false" customHeight="false" outlineLevel="0" collapsed="false">
      <c r="A85" s="6" t="n">
        <f aca="false">A84+1</f>
        <v>7</v>
      </c>
      <c r="B85" s="7"/>
      <c r="C85" s="6" t="s">
        <v>85</v>
      </c>
      <c r="D85" s="8" t="str">
        <f aca="false">VLOOKUP(C85,[1]Sheet1!$C$5:$E$205,2,0)</f>
        <v>PERENCANAAN INSTALASI TENAGA LISTRIK</v>
      </c>
      <c r="E85" s="6" t="n">
        <f aca="false">VLOOKUP(C85,[1]Sheet1!$C$5:$E$205,3,0)</f>
        <v>3</v>
      </c>
      <c r="F85" s="9"/>
      <c r="G85" s="9"/>
      <c r="H85" s="0" t="n">
        <v>6</v>
      </c>
    </row>
    <row r="86" customFormat="false" ht="12.75" hidden="false" customHeight="false" outlineLevel="0" collapsed="false">
      <c r="A86" s="6" t="n">
        <f aca="false">A85+1</f>
        <v>8</v>
      </c>
      <c r="B86" s="7"/>
      <c r="C86" s="6" t="s">
        <v>86</v>
      </c>
      <c r="D86" s="8" t="str">
        <f aca="false">VLOOKUP(C86,[1]Sheet1!$C$5:$E$205,2,0)</f>
        <v>TEKNIK TEGANGAN TINGGI</v>
      </c>
      <c r="E86" s="6" t="n">
        <f aca="false">VLOOKUP(C86,[1]Sheet1!$C$5:$E$205,3,0)</f>
        <v>2</v>
      </c>
      <c r="F86" s="9"/>
      <c r="G86" s="9"/>
      <c r="H86" s="0" t="n">
        <v>6</v>
      </c>
    </row>
    <row r="87" customFormat="false" ht="12.75" hidden="false" customHeight="false" outlineLevel="0" collapsed="false">
      <c r="A87" s="6" t="n">
        <f aca="false">A86+1</f>
        <v>9</v>
      </c>
      <c r="B87" s="7"/>
      <c r="C87" s="6" t="s">
        <v>87</v>
      </c>
      <c r="D87" s="8" t="str">
        <f aca="false">VLOOKUP(C87,[1]Sheet1!$C$5:$E$205,2,0)</f>
        <v>MK PILIHAN I</v>
      </c>
      <c r="E87" s="6" t="n">
        <f aca="false">VLOOKUP(C87,[1]Sheet1!$C$5:$E$205,3,0)</f>
        <v>2</v>
      </c>
      <c r="F87" s="9"/>
      <c r="G87" s="9"/>
      <c r="H87" s="0" t="n">
        <v>6</v>
      </c>
    </row>
    <row r="88" customFormat="false" ht="12.75" hidden="false" customHeight="false" outlineLevel="0" collapsed="false">
      <c r="A88" s="6" t="n">
        <f aca="false">A87+1</f>
        <v>10</v>
      </c>
      <c r="B88" s="7"/>
      <c r="C88" s="6" t="s">
        <v>88</v>
      </c>
      <c r="D88" s="8" t="str">
        <f aca="false">VLOOKUP(C88,[1]Sheet1!$C$5:$E$205,2,0)</f>
        <v>MK PILIHAN II</v>
      </c>
      <c r="E88" s="6" t="n">
        <f aca="false">VLOOKUP(C88,[1]Sheet1!$C$5:$E$205,3,0)</f>
        <v>2</v>
      </c>
      <c r="F88" s="9"/>
      <c r="G88" s="9"/>
      <c r="H88" s="0" t="n">
        <v>6</v>
      </c>
    </row>
    <row r="89" s="5" customFormat="true" ht="12.75" hidden="false" customHeight="false" outlineLevel="0" collapsed="false">
      <c r="A89" s="14"/>
      <c r="B89" s="7"/>
      <c r="C89" s="14"/>
      <c r="D89" s="11"/>
      <c r="E89" s="12" t="n">
        <f aca="false">SUM(E80:E88)+SUM(E78)</f>
        <v>19</v>
      </c>
      <c r="F89" s="12"/>
      <c r="G89" s="12"/>
      <c r="H89" s="5" t="n">
        <v>0</v>
      </c>
    </row>
    <row r="90" s="5" customFormat="true" ht="12.75" hidden="false" customHeight="false" outlineLevel="0" collapsed="false">
      <c r="A90" s="6"/>
      <c r="B90" s="7"/>
      <c r="C90" s="19" t="s">
        <v>62</v>
      </c>
      <c r="D90" s="19"/>
      <c r="E90" s="19"/>
      <c r="F90" s="10"/>
      <c r="G90" s="10"/>
      <c r="H90" s="5" t="n">
        <v>0</v>
      </c>
    </row>
    <row r="91" customFormat="false" ht="12.75" hidden="false" customHeight="false" outlineLevel="0" collapsed="false">
      <c r="A91" s="6" t="n">
        <v>2</v>
      </c>
      <c r="B91" s="7"/>
      <c r="C91" s="6" t="s">
        <v>89</v>
      </c>
      <c r="D91" s="8" t="str">
        <f aca="false">VLOOKUP(C91,[1]Sheet1!$C$5:$E$205,2,0)</f>
        <v>MEKATRONIKA</v>
      </c>
      <c r="E91" s="6" t="n">
        <f aca="false">VLOOKUP(C91,[1]Sheet1!$C$5:$E$205,3,0)</f>
        <v>2</v>
      </c>
      <c r="F91" s="9"/>
      <c r="G91" s="9"/>
      <c r="H91" s="0" t="n">
        <v>6</v>
      </c>
    </row>
    <row r="92" customFormat="false" ht="12.75" hidden="false" customHeight="false" outlineLevel="0" collapsed="false">
      <c r="A92" s="6" t="n">
        <f aca="false">A91+1</f>
        <v>3</v>
      </c>
      <c r="B92" s="7"/>
      <c r="C92" s="6" t="s">
        <v>90</v>
      </c>
      <c r="D92" s="8" t="str">
        <f aca="false">VLOOKUP(C92,[1]Sheet1!$C$5:$E$205,2,0)</f>
        <v>PRAKTIKUM ELEKTRONIKA LANJUT</v>
      </c>
      <c r="E92" s="6" t="n">
        <f aca="false">VLOOKUP(C92,[1]Sheet1!$C$5:$E$205,3,0)</f>
        <v>1</v>
      </c>
      <c r="F92" s="9"/>
      <c r="G92" s="9"/>
      <c r="H92" s="0" t="n">
        <v>6</v>
      </c>
    </row>
    <row r="93" customFormat="false" ht="12.75" hidden="false" customHeight="false" outlineLevel="0" collapsed="false">
      <c r="A93" s="6" t="n">
        <f aca="false">A92+1</f>
        <v>4</v>
      </c>
      <c r="B93" s="7"/>
      <c r="C93" s="6" t="s">
        <v>91</v>
      </c>
      <c r="D93" s="8" t="str">
        <f aca="false">VLOOKUP(C93,[1]Sheet1!$C$5:$E$205,2,0)</f>
        <v>PENGOLAHAN SINYAL DIGITAL</v>
      </c>
      <c r="E93" s="6" t="n">
        <f aca="false">VLOOKUP(C93,[1]Sheet1!$C$5:$E$205,3,0)</f>
        <v>3</v>
      </c>
      <c r="F93" s="9"/>
      <c r="G93" s="9"/>
      <c r="H93" s="0" t="n">
        <v>6</v>
      </c>
    </row>
    <row r="94" s="5" customFormat="true" ht="12.75" hidden="false" customHeight="false" outlineLevel="0" collapsed="false">
      <c r="A94" s="6" t="n">
        <f aca="false">A93+1</f>
        <v>5</v>
      </c>
      <c r="B94" s="7"/>
      <c r="C94" s="6" t="s">
        <v>92</v>
      </c>
      <c r="D94" s="8" t="str">
        <f aca="false">VLOOKUP(C94,[1]Sheet1!$C$5:$E$205,2,0)</f>
        <v>SISTEM INSTRUMENTASI ELEKTRONIKA</v>
      </c>
      <c r="E94" s="6" t="n">
        <f aca="false">VLOOKUP(C94,[1]Sheet1!$C$5:$E$205,3,0)</f>
        <v>3</v>
      </c>
      <c r="F94" s="10"/>
      <c r="G94" s="10"/>
      <c r="H94" s="5" t="n">
        <v>6</v>
      </c>
    </row>
    <row r="95" customFormat="false" ht="12.75" hidden="false" customHeight="false" outlineLevel="0" collapsed="false">
      <c r="A95" s="6" t="n">
        <f aca="false">A94+1</f>
        <v>6</v>
      </c>
      <c r="B95" s="7"/>
      <c r="C95" s="6" t="s">
        <v>93</v>
      </c>
      <c r="D95" s="8" t="str">
        <f aca="false">VLOOKUP(C95,[1]Sheet1!$C$5:$E$205,2,0)</f>
        <v>ELEKTRONIKA INDUSTRI</v>
      </c>
      <c r="E95" s="6" t="n">
        <f aca="false">VLOOKUP(C95,[1]Sheet1!$C$5:$E$205,3,0)</f>
        <v>3</v>
      </c>
      <c r="F95" s="9"/>
      <c r="G95" s="9"/>
      <c r="H95" s="0" t="n">
        <v>6</v>
      </c>
    </row>
    <row r="96" customFormat="false" ht="12.75" hidden="false" customHeight="false" outlineLevel="0" collapsed="false">
      <c r="A96" s="6" t="n">
        <f aca="false">A95+1</f>
        <v>7</v>
      </c>
      <c r="B96" s="7"/>
      <c r="C96" s="6" t="s">
        <v>94</v>
      </c>
      <c r="D96" s="8" t="str">
        <f aca="false">VLOOKUP(C96,[1]Sheet1!$C$5:$E$205,2,0)</f>
        <v>MK PILIHAN I</v>
      </c>
      <c r="E96" s="6" t="n">
        <f aca="false">VLOOKUP(C96,[1]Sheet1!$C$5:$E$205,3,0)</f>
        <v>2</v>
      </c>
      <c r="F96" s="9"/>
      <c r="G96" s="9"/>
      <c r="H96" s="0" t="n">
        <v>6</v>
      </c>
    </row>
    <row r="97" customFormat="false" ht="12.75" hidden="false" customHeight="false" outlineLevel="0" collapsed="false">
      <c r="A97" s="6" t="n">
        <f aca="false">A96+1</f>
        <v>8</v>
      </c>
      <c r="B97" s="7"/>
      <c r="C97" s="6" t="s">
        <v>95</v>
      </c>
      <c r="D97" s="8" t="str">
        <f aca="false">VLOOKUP(C97,[1]Sheet1!$C$5:$E$205,2,0)</f>
        <v>MK PILIHAN II</v>
      </c>
      <c r="E97" s="6" t="n">
        <f aca="false">VLOOKUP(C97,[1]Sheet1!$C$5:$E$205,3,0)</f>
        <v>2</v>
      </c>
      <c r="F97" s="9"/>
      <c r="G97" s="9"/>
      <c r="H97" s="0" t="n">
        <v>6</v>
      </c>
    </row>
    <row r="98" s="5" customFormat="true" ht="12.75" hidden="false" customHeight="false" outlineLevel="0" collapsed="false">
      <c r="A98" s="14"/>
      <c r="B98" s="7"/>
      <c r="C98" s="14"/>
      <c r="D98" s="11"/>
      <c r="E98" s="12" t="n">
        <f aca="false">SUM(E91:E97)+SUM(E78)</f>
        <v>17</v>
      </c>
      <c r="F98" s="12"/>
      <c r="G98" s="12"/>
      <c r="H98" s="5" t="n">
        <v>0</v>
      </c>
    </row>
    <row r="99" s="5" customFormat="true" ht="12.75" hidden="false" customHeight="false" outlineLevel="0" collapsed="false">
      <c r="A99" s="6"/>
      <c r="B99" s="7"/>
      <c r="C99" s="20" t="s">
        <v>68</v>
      </c>
      <c r="D99" s="20"/>
      <c r="E99" s="20"/>
      <c r="F99" s="10"/>
      <c r="G99" s="10"/>
      <c r="H99" s="5" t="n">
        <v>0</v>
      </c>
    </row>
    <row r="100" customFormat="false" ht="12.75" hidden="false" customHeight="false" outlineLevel="0" collapsed="false">
      <c r="A100" s="6" t="n">
        <v>2</v>
      </c>
      <c r="B100" s="7"/>
      <c r="C100" s="6" t="s">
        <v>96</v>
      </c>
      <c r="D100" s="8" t="str">
        <f aca="false">VLOOKUP(C100,[1]Sheet1!$C$5:$E$205,2,0)</f>
        <v>TRANSMISI GELOMBANG ELEKTROMANETIK I</v>
      </c>
      <c r="E100" s="6" t="n">
        <f aca="false">VLOOKUP(C100,[1]Sheet1!$C$5:$E$205,3,0)</f>
        <v>3</v>
      </c>
      <c r="F100" s="9"/>
      <c r="G100" s="9"/>
      <c r="H100" s="0" t="n">
        <v>6</v>
      </c>
    </row>
    <row r="101" customFormat="false" ht="12.75" hidden="false" customHeight="false" outlineLevel="0" collapsed="false">
      <c r="A101" s="6" t="n">
        <f aca="false">A100+1</f>
        <v>3</v>
      </c>
      <c r="B101" s="7"/>
      <c r="C101" s="6" t="s">
        <v>97</v>
      </c>
      <c r="D101" s="8" t="str">
        <f aca="false">VLOOKUP(C101,[1]Sheet1!$C$5:$E$205,2,0)</f>
        <v>PENGOLAHAN SINYAL DIGITAL</v>
      </c>
      <c r="E101" s="6" t="n">
        <f aca="false">VLOOKUP(C101,[1]Sheet1!$C$5:$E$205,3,0)</f>
        <v>3</v>
      </c>
      <c r="F101" s="9"/>
      <c r="G101" s="9"/>
      <c r="H101" s="0" t="n">
        <v>6</v>
      </c>
    </row>
    <row r="102" customFormat="false" ht="12.75" hidden="false" customHeight="false" outlineLevel="0" collapsed="false">
      <c r="A102" s="6" t="n">
        <f aca="false">A101+1</f>
        <v>4</v>
      </c>
      <c r="B102" s="7"/>
      <c r="C102" s="6" t="s">
        <v>98</v>
      </c>
      <c r="D102" s="8" t="str">
        <f aca="false">VLOOKUP(C102,[1]Sheet1!$C$5:$E$205,2,0)</f>
        <v>KOMUNIKASI DIGITAL</v>
      </c>
      <c r="E102" s="6" t="n">
        <f aca="false">VLOOKUP(C102,[1]Sheet1!$C$5:$E$205,3,0)</f>
        <v>2</v>
      </c>
      <c r="F102" s="9"/>
      <c r="G102" s="9"/>
      <c r="H102" s="0" t="n">
        <v>6</v>
      </c>
    </row>
    <row r="103" customFormat="false" ht="12.75" hidden="false" customHeight="false" outlineLevel="0" collapsed="false">
      <c r="A103" s="6" t="n">
        <f aca="false">A102+1</f>
        <v>5</v>
      </c>
      <c r="B103" s="7"/>
      <c r="C103" s="6" t="s">
        <v>99</v>
      </c>
      <c r="D103" s="8" t="str">
        <f aca="false">VLOOKUP(C103,[1]Sheet1!$C$5:$E$205,2,0)</f>
        <v>ELEKTRONIKA TELEKOMUNIKASI</v>
      </c>
      <c r="E103" s="6" t="n">
        <f aca="false">VLOOKUP(C103,[1]Sheet1!$C$5:$E$205,3,0)</f>
        <v>3</v>
      </c>
      <c r="F103" s="9"/>
      <c r="G103" s="9"/>
      <c r="H103" s="0" t="n">
        <v>6</v>
      </c>
    </row>
    <row r="104" customFormat="false" ht="12.75" hidden="false" customHeight="false" outlineLevel="0" collapsed="false">
      <c r="A104" s="6" t="n">
        <f aca="false">A103+1</f>
        <v>6</v>
      </c>
      <c r="B104" s="7"/>
      <c r="C104" s="6" t="s">
        <v>100</v>
      </c>
      <c r="D104" s="8" t="str">
        <f aca="false">VLOOKUP(C104,[1]Sheet1!$C$5:$E$205,2,0)</f>
        <v>PRAKTIKUM JARINGAN TELEKOMUNIKASI</v>
      </c>
      <c r="E104" s="6" t="n">
        <f aca="false">VLOOKUP(C104,[1]Sheet1!$C$5:$E$205,3,0)</f>
        <v>1</v>
      </c>
      <c r="F104" s="9"/>
      <c r="G104" s="9"/>
      <c r="H104" s="0" t="n">
        <v>6</v>
      </c>
    </row>
    <row r="105" customFormat="false" ht="12.75" hidden="false" customHeight="false" outlineLevel="0" collapsed="false">
      <c r="A105" s="6" t="n">
        <f aca="false">A104+1</f>
        <v>7</v>
      </c>
      <c r="B105" s="7"/>
      <c r="C105" s="6" t="s">
        <v>101</v>
      </c>
      <c r="D105" s="8" t="str">
        <f aca="false">VLOOKUP(C105,[1]Sheet1!$C$5:$E$205,2,0)</f>
        <v>KOMUNIKASI DATA DAN JARINGAN KOMPUTER</v>
      </c>
      <c r="E105" s="6" t="n">
        <f aca="false">VLOOKUP(C105,[1]Sheet1!$C$5:$E$205,3,0)</f>
        <v>3</v>
      </c>
      <c r="F105" s="9"/>
      <c r="G105" s="9"/>
      <c r="H105" s="0" t="n">
        <v>6</v>
      </c>
    </row>
    <row r="106" customFormat="false" ht="12.75" hidden="false" customHeight="false" outlineLevel="0" collapsed="false">
      <c r="A106" s="6" t="n">
        <f aca="false">A105+1</f>
        <v>8</v>
      </c>
      <c r="B106" s="7"/>
      <c r="C106" s="6" t="s">
        <v>102</v>
      </c>
      <c r="D106" s="8" t="str">
        <f aca="false">VLOOKUP(C106,[1]Sheet1!$C$5:$E$205,2,0)</f>
        <v>MK PILIHAN I</v>
      </c>
      <c r="E106" s="6" t="n">
        <f aca="false">VLOOKUP(C106,[1]Sheet1!$C$5:$E$205,3,0)</f>
        <v>2</v>
      </c>
      <c r="F106" s="9"/>
      <c r="G106" s="9"/>
      <c r="H106" s="0" t="n">
        <v>6</v>
      </c>
    </row>
    <row r="107" s="5" customFormat="true" ht="12.75" hidden="false" customHeight="false" outlineLevel="0" collapsed="false">
      <c r="A107" s="14"/>
      <c r="B107" s="7"/>
      <c r="C107" s="14"/>
      <c r="D107" s="11"/>
      <c r="E107" s="12" t="n">
        <f aca="false">SUM(E100:E106)+SUM(E78)</f>
        <v>18</v>
      </c>
      <c r="F107" s="12"/>
      <c r="G107" s="12"/>
      <c r="H107" s="5" t="n">
        <v>0</v>
      </c>
    </row>
    <row r="108" s="5" customFormat="true" ht="12.75" hidden="false" customHeight="false" outlineLevel="0" collapsed="false">
      <c r="A108" s="6"/>
      <c r="B108" s="7"/>
      <c r="C108" s="21" t="s">
        <v>73</v>
      </c>
      <c r="D108" s="21"/>
      <c r="E108" s="21"/>
      <c r="F108" s="10"/>
      <c r="G108" s="10"/>
      <c r="H108" s="5" t="n">
        <v>0</v>
      </c>
    </row>
    <row r="109" s="16" customFormat="true" ht="12.75" hidden="false" customHeight="false" outlineLevel="0" collapsed="false">
      <c r="A109" s="6" t="n">
        <v>2</v>
      </c>
      <c r="B109" s="7"/>
      <c r="C109" s="6" t="s">
        <v>103</v>
      </c>
      <c r="D109" s="8" t="str">
        <f aca="false">VLOOKUP(C109,[1]Sheet1!$C$5:$E$205,2,0)</f>
        <v>PENGOLAHAN SINYAL DIGITAL</v>
      </c>
      <c r="E109" s="6" t="n">
        <f aca="false">VLOOKUP(C109,[1]Sheet1!$C$5:$E$205,3,0)</f>
        <v>3</v>
      </c>
      <c r="F109" s="6"/>
      <c r="G109" s="6"/>
      <c r="H109" s="16" t="n">
        <v>6</v>
      </c>
    </row>
    <row r="110" s="5" customFormat="true" ht="12.75" hidden="false" customHeight="false" outlineLevel="0" collapsed="false">
      <c r="A110" s="6" t="n">
        <f aca="false">A109+1</f>
        <v>3</v>
      </c>
      <c r="B110" s="7"/>
      <c r="C110" s="6" t="s">
        <v>104</v>
      </c>
      <c r="D110" s="8" t="str">
        <f aca="false">VLOOKUP(C110,[1]Sheet1!$C$5:$E$205,2,0)</f>
        <v>ARSITEKTUR SISTEM KOMPUTER</v>
      </c>
      <c r="E110" s="6" t="n">
        <f aca="false">VLOOKUP(C110,[1]Sheet1!$C$5:$E$205,3,0)</f>
        <v>2</v>
      </c>
      <c r="F110" s="10"/>
      <c r="G110" s="10"/>
      <c r="H110" s="5" t="n">
        <v>6</v>
      </c>
    </row>
    <row r="111" s="5" customFormat="true" ht="12.75" hidden="false" customHeight="false" outlineLevel="0" collapsed="false">
      <c r="A111" s="6" t="n">
        <f aca="false">A110+1</f>
        <v>4</v>
      </c>
      <c r="B111" s="7"/>
      <c r="C111" s="6" t="s">
        <v>105</v>
      </c>
      <c r="D111" s="8" t="str">
        <f aca="false">VLOOKUP(C111,[1]Sheet1!$C$5:$E$205,2,0)</f>
        <v>KOMUNIKASI DATA DAN JARINGAN KOMPUTER</v>
      </c>
      <c r="E111" s="6" t="n">
        <f aca="false">VLOOKUP(C111,[1]Sheet1!$C$5:$E$205,3,0)</f>
        <v>3</v>
      </c>
      <c r="F111" s="10"/>
      <c r="G111" s="10"/>
      <c r="H111" s="5" t="n">
        <v>6</v>
      </c>
    </row>
    <row r="112" customFormat="false" ht="12.75" hidden="false" customHeight="false" outlineLevel="0" collapsed="false">
      <c r="A112" s="6" t="n">
        <f aca="false">A111+1</f>
        <v>5</v>
      </c>
      <c r="B112" s="7"/>
      <c r="C112" s="6" t="s">
        <v>106</v>
      </c>
      <c r="D112" s="8" t="str">
        <f aca="false">VLOOKUP(C112,[1]Sheet1!$C$5:$E$205,2,0)</f>
        <v>ALGORITMA DAN STRUKTUR DATA</v>
      </c>
      <c r="E112" s="6" t="n">
        <f aca="false">VLOOKUP(C112,[1]Sheet1!$C$5:$E$205,3,0)</f>
        <v>2</v>
      </c>
      <c r="F112" s="9"/>
      <c r="G112" s="9"/>
      <c r="H112" s="0" t="n">
        <v>6</v>
      </c>
    </row>
    <row r="113" customFormat="false" ht="12.75" hidden="false" customHeight="false" outlineLevel="0" collapsed="false">
      <c r="A113" s="6" t="n">
        <f aca="false">A112+1</f>
        <v>6</v>
      </c>
      <c r="B113" s="7"/>
      <c r="C113" s="6" t="s">
        <v>107</v>
      </c>
      <c r="D113" s="8" t="str">
        <f aca="false">VLOOKUP(C113,[1]Sheet1!$C$5:$E$205,2,0)</f>
        <v>PRAKTIKUM PEMROGRAMAN BERBASIS OBYEK</v>
      </c>
      <c r="E113" s="6" t="n">
        <f aca="false">VLOOKUP(C113,[1]Sheet1!$C$5:$E$205,3,0)</f>
        <v>1</v>
      </c>
      <c r="F113" s="9"/>
      <c r="G113" s="9"/>
      <c r="H113" s="0" t="n">
        <v>6</v>
      </c>
    </row>
    <row r="114" customFormat="false" ht="12.75" hidden="false" customHeight="false" outlineLevel="0" collapsed="false">
      <c r="A114" s="6" t="n">
        <f aca="false">A113+1</f>
        <v>7</v>
      </c>
      <c r="B114" s="7"/>
      <c r="C114" s="6" t="s">
        <v>108</v>
      </c>
      <c r="D114" s="8" t="str">
        <f aca="false">VLOOKUP(C114,[1]Sheet1!$C$5:$E$205,2,0)</f>
        <v>KECERDASAN BUATAN</v>
      </c>
      <c r="E114" s="6" t="n">
        <f aca="false">VLOOKUP(C114,[1]Sheet1!$C$5:$E$205,3,0)</f>
        <v>2</v>
      </c>
      <c r="F114" s="9"/>
      <c r="G114" s="9"/>
      <c r="H114" s="0" t="n">
        <v>6</v>
      </c>
    </row>
    <row r="115" customFormat="false" ht="12.75" hidden="false" customHeight="false" outlineLevel="0" collapsed="false">
      <c r="A115" s="6" t="n">
        <f aca="false">A114+1</f>
        <v>8</v>
      </c>
      <c r="B115" s="7"/>
      <c r="C115" s="6" t="s">
        <v>109</v>
      </c>
      <c r="D115" s="8" t="str">
        <f aca="false">VLOOKUP(C115,[1]Sheet1!$C$5:$E$205,2,0)</f>
        <v>MK PILIHAN I</v>
      </c>
      <c r="E115" s="6" t="n">
        <f aca="false">VLOOKUP(C115,[1]Sheet1!$C$5:$E$205,3,0)</f>
        <v>2</v>
      </c>
      <c r="F115" s="9"/>
      <c r="G115" s="9"/>
      <c r="H115" s="0" t="n">
        <v>6</v>
      </c>
    </row>
    <row r="116" customFormat="false" ht="12.75" hidden="false" customHeight="false" outlineLevel="0" collapsed="false">
      <c r="A116" s="6" t="n">
        <f aca="false">A115+1</f>
        <v>9</v>
      </c>
      <c r="B116" s="7"/>
      <c r="C116" s="6" t="s">
        <v>110</v>
      </c>
      <c r="D116" s="8" t="str">
        <f aca="false">VLOOKUP(C116,[1]Sheet1!$C$5:$E$205,2,0)</f>
        <v>MK PILIHAN II</v>
      </c>
      <c r="E116" s="6" t="n">
        <f aca="false">VLOOKUP(C116,[1]Sheet1!$C$5:$E$205,3,0)</f>
        <v>2</v>
      </c>
      <c r="F116" s="9"/>
      <c r="G116" s="9"/>
      <c r="H116" s="0" t="n">
        <v>6</v>
      </c>
    </row>
    <row r="117" s="5" customFormat="true" ht="12.75" hidden="false" customHeight="false" outlineLevel="0" collapsed="false">
      <c r="A117" s="14"/>
      <c r="B117" s="22"/>
      <c r="C117" s="22"/>
      <c r="D117" s="23"/>
      <c r="E117" s="12" t="n">
        <f aca="false">SUM(E109:E116)+SUM(E78)</f>
        <v>18</v>
      </c>
      <c r="F117" s="12"/>
      <c r="G117" s="12"/>
      <c r="H117" s="5" t="n">
        <v>0</v>
      </c>
    </row>
    <row r="118" customFormat="false" ht="12.75" hidden="false" customHeight="false" outlineLevel="0" collapsed="false">
      <c r="A118" s="9" t="n">
        <v>1</v>
      </c>
      <c r="B118" s="7" t="s">
        <v>111</v>
      </c>
      <c r="C118" s="6" t="s">
        <v>112</v>
      </c>
      <c r="D118" s="8" t="str">
        <f aca="false">VLOOKUP(C118,[1]Sheet1!$C$5:$E$205,2,0)</f>
        <v>PROSES STOKASTIK</v>
      </c>
      <c r="E118" s="6" t="n">
        <f aca="false">VLOOKUP(C118,[1]Sheet1!$C$5:$E$205,3,0)</f>
        <v>2</v>
      </c>
      <c r="F118" s="9"/>
      <c r="G118" s="9"/>
      <c r="H118" s="0" t="n">
        <v>7</v>
      </c>
    </row>
    <row r="119" customFormat="false" ht="12.75" hidden="false" customHeight="false" outlineLevel="0" collapsed="false">
      <c r="A119" s="9" t="n">
        <f aca="false">A118+1</f>
        <v>2</v>
      </c>
      <c r="B119" s="7"/>
      <c r="C119" s="6" t="s">
        <v>113</v>
      </c>
      <c r="D119" s="8" t="str">
        <f aca="false">VLOOKUP(C119,[1]Sheet1!$C$5:$E$205,2,0)</f>
        <v>PRAKTEK KERJA LAPANGAN</v>
      </c>
      <c r="E119" s="6" t="n">
        <f aca="false">VLOOKUP(C119,[1]Sheet1!$C$5:$E$205,3,0)</f>
        <v>2</v>
      </c>
      <c r="F119" s="9"/>
      <c r="G119" s="9"/>
      <c r="H119" s="0" t="n">
        <v>7</v>
      </c>
    </row>
    <row r="120" customFormat="false" ht="12.75" hidden="false" customHeight="false" outlineLevel="0" collapsed="false">
      <c r="A120" s="9" t="n">
        <f aca="false">A119+1</f>
        <v>3</v>
      </c>
      <c r="B120" s="7"/>
      <c r="C120" s="6" t="s">
        <v>114</v>
      </c>
      <c r="D120" s="8" t="str">
        <f aca="false">VLOOKUP(C120,[1]Sheet1!$C$5:$E$205,2,0)</f>
        <v>PRA TUGAS AKHIR</v>
      </c>
      <c r="E120" s="6" t="n">
        <f aca="false">VLOOKUP(C120,[1]Sheet1!$C$5:$E$205,3,0)</f>
        <v>2</v>
      </c>
      <c r="F120" s="9"/>
      <c r="G120" s="9"/>
      <c r="H120" s="0" t="n">
        <v>7</v>
      </c>
    </row>
    <row r="121" s="5" customFormat="true" ht="12.75" hidden="false" customHeight="false" outlineLevel="0" collapsed="false">
      <c r="A121" s="6"/>
      <c r="B121" s="7"/>
      <c r="C121" s="18" t="s">
        <v>57</v>
      </c>
      <c r="D121" s="18"/>
      <c r="E121" s="18"/>
      <c r="F121" s="10"/>
      <c r="G121" s="10"/>
      <c r="H121" s="5" t="n">
        <v>0</v>
      </c>
    </row>
    <row r="122" s="16" customFormat="true" ht="12.75" hidden="false" customHeight="false" outlineLevel="0" collapsed="false">
      <c r="A122" s="9" t="n">
        <f aca="false">A120+1</f>
        <v>4</v>
      </c>
      <c r="B122" s="7"/>
      <c r="C122" s="6" t="s">
        <v>115</v>
      </c>
      <c r="D122" s="8" t="str">
        <f aca="false">VLOOKUP(C122,[1]Sheet1!$C$5:$E$205,2,0)</f>
        <v>MANAJEMEN OPERASI SISTEM TENAGA</v>
      </c>
      <c r="E122" s="6" t="n">
        <f aca="false">VLOOKUP(C122,[1]Sheet1!$C$5:$E$205,3,0)</f>
        <v>2</v>
      </c>
      <c r="F122" s="9"/>
      <c r="G122" s="9"/>
      <c r="H122" s="16" t="n">
        <v>7</v>
      </c>
    </row>
    <row r="123" s="16" customFormat="true" ht="12.75" hidden="false" customHeight="false" outlineLevel="0" collapsed="false">
      <c r="A123" s="9" t="n">
        <f aca="false">A122+1</f>
        <v>5</v>
      </c>
      <c r="B123" s="7"/>
      <c r="C123" s="6" t="s">
        <v>116</v>
      </c>
      <c r="D123" s="8" t="str">
        <f aca="false">VLOOKUP(C123,[1]Sheet1!$C$5:$E$205,2,0)</f>
        <v>PROTEKSI SISTEM TENAGA</v>
      </c>
      <c r="E123" s="6" t="n">
        <f aca="false">VLOOKUP(C123,[1]Sheet1!$C$5:$E$205,3,0)</f>
        <v>2</v>
      </c>
      <c r="F123" s="9"/>
      <c r="G123" s="9"/>
      <c r="H123" s="16" t="n">
        <v>7</v>
      </c>
    </row>
    <row r="124" s="16" customFormat="true" ht="12.75" hidden="false" customHeight="false" outlineLevel="0" collapsed="false">
      <c r="A124" s="9" t="n">
        <f aca="false">A123+1</f>
        <v>6</v>
      </c>
      <c r="B124" s="7"/>
      <c r="C124" s="6" t="s">
        <v>117</v>
      </c>
      <c r="D124" s="8" t="str">
        <f aca="false">VLOOKUP(C124,[1]Sheet1!$C$5:$E$205,2,0)</f>
        <v>PRAKTIKUM PROTEKSI SISTEM TENAGA</v>
      </c>
      <c r="E124" s="6" t="n">
        <f aca="false">VLOOKUP(C124,[1]Sheet1!$C$5:$E$205,3,0)</f>
        <v>1</v>
      </c>
      <c r="F124" s="9"/>
      <c r="G124" s="9"/>
      <c r="H124" s="16" t="n">
        <v>7</v>
      </c>
    </row>
    <row r="125" s="16" customFormat="true" ht="12.75" hidden="false" customHeight="false" outlineLevel="0" collapsed="false">
      <c r="A125" s="9" t="n">
        <f aca="false">A124+1</f>
        <v>7</v>
      </c>
      <c r="B125" s="7"/>
      <c r="C125" s="6" t="s">
        <v>118</v>
      </c>
      <c r="D125" s="8" t="str">
        <f aca="false">VLOOKUP(C125,[1]Sheet1!$C$5:$E$205,2,0)</f>
        <v>ELEKTRONIKA DAYA</v>
      </c>
      <c r="E125" s="6" t="n">
        <f aca="false">VLOOKUP(C125,[1]Sheet1!$C$5:$E$205,3,0)</f>
        <v>2</v>
      </c>
      <c r="F125" s="9"/>
      <c r="G125" s="9"/>
      <c r="H125" s="16" t="n">
        <v>7</v>
      </c>
    </row>
    <row r="126" s="16" customFormat="true" ht="12.75" hidden="false" customHeight="false" outlineLevel="0" collapsed="false">
      <c r="A126" s="9" t="n">
        <f aca="false">A125+1</f>
        <v>8</v>
      </c>
      <c r="B126" s="7"/>
      <c r="C126" s="6" t="s">
        <v>119</v>
      </c>
      <c r="D126" s="15" t="str">
        <f aca="false">VLOOKUP(C126,[1]Sheet1!$C$5:$E$205,2,0)</f>
        <v>PRAKTIKUM ELEKTRONIKA DAYA</v>
      </c>
      <c r="E126" s="6" t="n">
        <f aca="false">VLOOKUP(C126,[1]Sheet1!$C$5:$E$205,3,0)</f>
        <v>1</v>
      </c>
      <c r="F126" s="9"/>
      <c r="G126" s="9"/>
      <c r="H126" s="16" t="n">
        <v>7</v>
      </c>
    </row>
    <row r="127" s="16" customFormat="true" ht="12.75" hidden="false" customHeight="false" outlineLevel="0" collapsed="false">
      <c r="A127" s="9" t="n">
        <f aca="false">A126+1</f>
        <v>9</v>
      </c>
      <c r="B127" s="7"/>
      <c r="C127" s="6" t="s">
        <v>120</v>
      </c>
      <c r="D127" s="15" t="str">
        <f aca="false">VLOOKUP(C127,[1]Sheet1!$C$5:$E$205,2,0)</f>
        <v>PRAKTIKUM TRANSMISI DAN DISTRIBUSI</v>
      </c>
      <c r="E127" s="6" t="n">
        <f aca="false">VLOOKUP(C127,[1]Sheet1!$C$5:$E$205,3,0)</f>
        <v>1</v>
      </c>
      <c r="F127" s="9"/>
      <c r="G127" s="9"/>
      <c r="H127" s="16" t="n">
        <v>7</v>
      </c>
    </row>
    <row r="128" s="16" customFormat="true" ht="12.75" hidden="false" customHeight="false" outlineLevel="0" collapsed="false">
      <c r="A128" s="9" t="n">
        <f aca="false">A127+1</f>
        <v>10</v>
      </c>
      <c r="B128" s="7"/>
      <c r="C128" s="6" t="s">
        <v>121</v>
      </c>
      <c r="D128" s="8" t="str">
        <f aca="false">VLOOKUP(C128,[1]Sheet1!$C$5:$E$205,2,0)</f>
        <v>MK PILIHAN III</v>
      </c>
      <c r="E128" s="6" t="n">
        <f aca="false">VLOOKUP(C128,[1]Sheet1!$C$5:$E$205,3,0)</f>
        <v>2</v>
      </c>
      <c r="F128" s="9"/>
      <c r="G128" s="9"/>
      <c r="H128" s="16" t="n">
        <v>7</v>
      </c>
    </row>
    <row r="129" s="5" customFormat="true" ht="12.75" hidden="false" customHeight="false" outlineLevel="0" collapsed="false">
      <c r="A129" s="14"/>
      <c r="B129" s="7"/>
      <c r="C129" s="14"/>
      <c r="D129" s="11"/>
      <c r="E129" s="12" t="n">
        <f aca="false">SUM(E122:E128)+SUM(E118:E120)</f>
        <v>17</v>
      </c>
      <c r="F129" s="12"/>
      <c r="G129" s="12"/>
      <c r="H129" s="5" t="n">
        <v>0</v>
      </c>
    </row>
    <row r="130" s="5" customFormat="true" ht="12.75" hidden="false" customHeight="false" outlineLevel="0" collapsed="false">
      <c r="A130" s="6"/>
      <c r="B130" s="7"/>
      <c r="C130" s="19" t="s">
        <v>62</v>
      </c>
      <c r="D130" s="19"/>
      <c r="E130" s="19"/>
      <c r="F130" s="10"/>
      <c r="G130" s="10"/>
      <c r="H130" s="5" t="n">
        <v>0</v>
      </c>
    </row>
    <row r="131" s="16" customFormat="true" ht="12.75" hidden="false" customHeight="false" outlineLevel="0" collapsed="false">
      <c r="A131" s="6" t="n">
        <v>4</v>
      </c>
      <c r="B131" s="7"/>
      <c r="C131" s="6" t="s">
        <v>122</v>
      </c>
      <c r="D131" s="8" t="str">
        <f aca="false">VLOOKUP(C131,[1]Sheet1!$C$5:$E$205,2,0)</f>
        <v>TEKNIK INTERFACING DAN SISTEM EMBEDDED</v>
      </c>
      <c r="E131" s="6" t="n">
        <f aca="false">VLOOKUP(C131,[1]Sheet1!$C$5:$E$205,3,0)</f>
        <v>3</v>
      </c>
      <c r="F131" s="6"/>
      <c r="G131" s="6"/>
      <c r="H131" s="16" t="n">
        <v>7</v>
      </c>
    </row>
    <row r="132" s="16" customFormat="true" ht="12.75" hidden="false" customHeight="false" outlineLevel="0" collapsed="false">
      <c r="A132" s="6" t="n">
        <f aca="false">A131+1</f>
        <v>5</v>
      </c>
      <c r="B132" s="7"/>
      <c r="C132" s="6" t="s">
        <v>123</v>
      </c>
      <c r="D132" s="8" t="str">
        <f aca="false">VLOOKUP(C132,[1]Sheet1!$C$5:$E$205,2,0)</f>
        <v>PERANCANGAN SISTEM ELEKTRONIKA</v>
      </c>
      <c r="E132" s="6" t="n">
        <f aca="false">VLOOKUP(C132,[1]Sheet1!$C$5:$E$205,3,0)</f>
        <v>2</v>
      </c>
      <c r="F132" s="6"/>
      <c r="G132" s="6"/>
      <c r="H132" s="16" t="n">
        <v>7</v>
      </c>
    </row>
    <row r="133" s="16" customFormat="true" ht="12.75" hidden="false" customHeight="false" outlineLevel="0" collapsed="false">
      <c r="A133" s="6" t="n">
        <f aca="false">A132+1</f>
        <v>6</v>
      </c>
      <c r="B133" s="7"/>
      <c r="C133" s="6" t="s">
        <v>124</v>
      </c>
      <c r="D133" s="15" t="str">
        <f aca="false">VLOOKUP(C133,[1]Sheet1!$C$5:$E$205,2,0)</f>
        <v>PRAKTIKUM PENGOLAHAN SINYAL DIGITAL</v>
      </c>
      <c r="E133" s="6" t="n">
        <f aca="false">VLOOKUP(C133,[1]Sheet1!$C$5:$E$205,3,0)</f>
        <v>1</v>
      </c>
      <c r="F133" s="6"/>
      <c r="G133" s="6"/>
      <c r="H133" s="16" t="n">
        <v>7</v>
      </c>
    </row>
    <row r="134" s="16" customFormat="true" ht="12.75" hidden="false" customHeight="false" outlineLevel="0" collapsed="false">
      <c r="A134" s="6" t="n">
        <f aca="false">A133+1</f>
        <v>7</v>
      </c>
      <c r="B134" s="7"/>
      <c r="C134" s="6" t="s">
        <v>125</v>
      </c>
      <c r="D134" s="8" t="str">
        <f aca="false">VLOOKUP(C134,[1]Sheet1!$C$5:$E$205,2,0)</f>
        <v>PIRANTI MIKROELEKTRONIKA</v>
      </c>
      <c r="E134" s="6" t="n">
        <f aca="false">VLOOKUP(C134,[1]Sheet1!$C$5:$E$205,3,0)</f>
        <v>2</v>
      </c>
      <c r="F134" s="6"/>
      <c r="G134" s="6"/>
      <c r="H134" s="16" t="n">
        <v>7</v>
      </c>
    </row>
    <row r="135" s="16" customFormat="true" ht="12.75" hidden="false" customHeight="false" outlineLevel="0" collapsed="false">
      <c r="A135" s="6" t="n">
        <f aca="false">A134+1</f>
        <v>8</v>
      </c>
      <c r="B135" s="7"/>
      <c r="C135" s="6" t="s">
        <v>126</v>
      </c>
      <c r="D135" s="8" t="str">
        <f aca="false">VLOOKUP(C135,[1]Sheet1!$C$5:$E$205,2,0)</f>
        <v>TEKNIK KENDALI DIGITAL</v>
      </c>
      <c r="E135" s="6" t="n">
        <f aca="false">VLOOKUP(C135,[1]Sheet1!$C$5:$E$205,3,0)</f>
        <v>2</v>
      </c>
      <c r="F135" s="6"/>
      <c r="G135" s="6"/>
      <c r="H135" s="16" t="n">
        <v>7</v>
      </c>
    </row>
    <row r="136" s="16" customFormat="true" ht="12.75" hidden="false" customHeight="false" outlineLevel="0" collapsed="false">
      <c r="A136" s="6" t="n">
        <f aca="false">A135+1</f>
        <v>9</v>
      </c>
      <c r="B136" s="7"/>
      <c r="C136" s="6" t="s">
        <v>127</v>
      </c>
      <c r="D136" s="8" t="str">
        <f aca="false">VLOOKUP(C136,[1]Sheet1!$C$5:$E$205,2,0)</f>
        <v>MK PILIHAN III</v>
      </c>
      <c r="E136" s="6" t="n">
        <f aca="false">VLOOKUP(C136,[1]Sheet1!$C$5:$E$205,3,0)</f>
        <v>2</v>
      </c>
      <c r="F136" s="6"/>
      <c r="G136" s="6"/>
      <c r="H136" s="16" t="n">
        <v>7</v>
      </c>
    </row>
    <row r="137" s="5" customFormat="true" ht="12.75" hidden="false" customHeight="false" outlineLevel="0" collapsed="false">
      <c r="A137" s="14"/>
      <c r="B137" s="7"/>
      <c r="C137" s="14"/>
      <c r="D137" s="11"/>
      <c r="E137" s="12" t="n">
        <f aca="false">SUM(E131:E136)+SUM(E118:E120)</f>
        <v>18</v>
      </c>
      <c r="F137" s="12"/>
      <c r="G137" s="12"/>
      <c r="H137" s="5" t="n">
        <v>0</v>
      </c>
    </row>
    <row r="138" s="5" customFormat="true" ht="12.75" hidden="false" customHeight="false" outlineLevel="0" collapsed="false">
      <c r="A138" s="6"/>
      <c r="B138" s="7"/>
      <c r="C138" s="20" t="s">
        <v>68</v>
      </c>
      <c r="D138" s="20"/>
      <c r="E138" s="20"/>
      <c r="F138" s="10"/>
      <c r="G138" s="10"/>
      <c r="H138" s="5" t="n">
        <v>0</v>
      </c>
    </row>
    <row r="139" s="16" customFormat="true" ht="12.75" hidden="false" customHeight="false" outlineLevel="0" collapsed="false">
      <c r="A139" s="6" t="n">
        <v>4</v>
      </c>
      <c r="B139" s="7"/>
      <c r="C139" s="6" t="s">
        <v>128</v>
      </c>
      <c r="D139" s="8" t="str">
        <f aca="false">VLOOKUP(C139,[1]Sheet1!$C$5:$E$205,2,0)</f>
        <v>TRANSMISI GELOMBANG ELEKTROMANETIK II</v>
      </c>
      <c r="E139" s="6" t="n">
        <f aca="false">VLOOKUP(C139,[1]Sheet1!$C$5:$E$205,3,0)</f>
        <v>2</v>
      </c>
      <c r="F139" s="6"/>
      <c r="G139" s="6"/>
      <c r="H139" s="16" t="n">
        <v>7</v>
      </c>
    </row>
    <row r="140" s="5" customFormat="true" ht="12.75" hidden="false" customHeight="false" outlineLevel="0" collapsed="false">
      <c r="A140" s="10" t="n">
        <f aca="false">A139+1</f>
        <v>5</v>
      </c>
      <c r="B140" s="7"/>
      <c r="C140" s="6" t="s">
        <v>129</v>
      </c>
      <c r="D140" s="8" t="str">
        <f aca="false">VLOOKUP(C140,[1]Sheet1!$C$5:$E$205,2,0)</f>
        <v>ANTENA DAN PROPAGASI</v>
      </c>
      <c r="E140" s="6" t="n">
        <f aca="false">VLOOKUP(C140,[1]Sheet1!$C$5:$E$205,3,0)</f>
        <v>2</v>
      </c>
      <c r="F140" s="10"/>
      <c r="G140" s="10"/>
      <c r="H140" s="5" t="n">
        <v>7</v>
      </c>
    </row>
    <row r="141" s="16" customFormat="true" ht="12.75" hidden="false" customHeight="false" outlineLevel="0" collapsed="false">
      <c r="A141" s="6" t="n">
        <f aca="false">A140+1</f>
        <v>6</v>
      </c>
      <c r="B141" s="7"/>
      <c r="C141" s="6" t="s">
        <v>130</v>
      </c>
      <c r="D141" s="8" t="str">
        <f aca="false">VLOOKUP(C141,[1]Sheet1!$C$5:$E$205,2,0)</f>
        <v>PENGUKURAN SISTEM TELEKOMUNIKASI</v>
      </c>
      <c r="E141" s="6" t="n">
        <f aca="false">VLOOKUP(C141,[1]Sheet1!$C$5:$E$205,3,0)</f>
        <v>2</v>
      </c>
      <c r="F141" s="6"/>
      <c r="G141" s="6"/>
      <c r="H141" s="16" t="n">
        <v>7</v>
      </c>
    </row>
    <row r="142" s="16" customFormat="true" ht="12.75" hidden="false" customHeight="false" outlineLevel="0" collapsed="false">
      <c r="A142" s="6" t="n">
        <f aca="false">A141+1</f>
        <v>7</v>
      </c>
      <c r="B142" s="7"/>
      <c r="C142" s="6" t="s">
        <v>131</v>
      </c>
      <c r="D142" s="15" t="str">
        <f aca="false">VLOOKUP(C142,[1]Sheet1!$C$5:$E$205,2,0)</f>
        <v>PRAKTIKUM SISTEM TELEKOMUNIKASI</v>
      </c>
      <c r="E142" s="6" t="n">
        <f aca="false">VLOOKUP(C142,[1]Sheet1!$C$5:$E$205,3,0)</f>
        <v>1</v>
      </c>
      <c r="F142" s="6"/>
      <c r="G142" s="6"/>
      <c r="H142" s="16" t="n">
        <v>7</v>
      </c>
    </row>
    <row r="143" s="16" customFormat="true" ht="12.75" hidden="false" customHeight="false" outlineLevel="0" collapsed="false">
      <c r="A143" s="6" t="n">
        <f aca="false">A142+1</f>
        <v>8</v>
      </c>
      <c r="B143" s="7"/>
      <c r="C143" s="6" t="s">
        <v>132</v>
      </c>
      <c r="D143" s="8" t="str">
        <f aca="false">VLOOKUP(C143,[1]Sheet1!$C$5:$E$205,2,0)</f>
        <v>MK PILIHAN II</v>
      </c>
      <c r="E143" s="6" t="n">
        <f aca="false">VLOOKUP(C143,[1]Sheet1!$C$5:$E$205,3,0)</f>
        <v>2</v>
      </c>
      <c r="F143" s="6"/>
      <c r="G143" s="6"/>
      <c r="H143" s="16" t="n">
        <v>7</v>
      </c>
    </row>
    <row r="144" s="16" customFormat="true" ht="12.75" hidden="false" customHeight="false" outlineLevel="0" collapsed="false">
      <c r="A144" s="6" t="n">
        <f aca="false">A143+1</f>
        <v>9</v>
      </c>
      <c r="B144" s="7"/>
      <c r="C144" s="6" t="s">
        <v>133</v>
      </c>
      <c r="D144" s="8" t="str">
        <f aca="false">VLOOKUP(C144,[1]Sheet1!$C$5:$E$205,2,0)</f>
        <v>MK PILIHAN III</v>
      </c>
      <c r="E144" s="6" t="n">
        <f aca="false">VLOOKUP(C144,[1]Sheet1!$C$5:$E$205,3,0)</f>
        <v>2</v>
      </c>
      <c r="F144" s="6"/>
      <c r="G144" s="6"/>
      <c r="H144" s="16" t="n">
        <v>7</v>
      </c>
    </row>
    <row r="145" s="5" customFormat="true" ht="12.75" hidden="false" customHeight="false" outlineLevel="0" collapsed="false">
      <c r="A145" s="14"/>
      <c r="B145" s="7"/>
      <c r="C145" s="14"/>
      <c r="D145" s="11"/>
      <c r="E145" s="12" t="n">
        <f aca="false">SUM(E139:E144)+SUM(E118:E120)</f>
        <v>17</v>
      </c>
      <c r="F145" s="12"/>
      <c r="G145" s="12"/>
      <c r="H145" s="5" t="n">
        <v>0</v>
      </c>
    </row>
    <row r="146" s="5" customFormat="true" ht="12.75" hidden="false" customHeight="false" outlineLevel="0" collapsed="false">
      <c r="A146" s="6"/>
      <c r="B146" s="7"/>
      <c r="C146" s="21" t="s">
        <v>73</v>
      </c>
      <c r="D146" s="21"/>
      <c r="E146" s="21"/>
      <c r="F146" s="10"/>
      <c r="G146" s="10"/>
      <c r="H146" s="5" t="n">
        <v>0</v>
      </c>
    </row>
    <row r="147" customFormat="false" ht="12.75" hidden="false" customHeight="false" outlineLevel="0" collapsed="false">
      <c r="A147" s="9" t="n">
        <v>4</v>
      </c>
      <c r="B147" s="7"/>
      <c r="C147" s="6" t="s">
        <v>134</v>
      </c>
      <c r="D147" s="8" t="str">
        <f aca="false">VLOOKUP(C147,[1]Sheet1!$C$5:$E$205,2,0)</f>
        <v>TEKNIK INTERFACING DAN SISTEM EMBEDDED</v>
      </c>
      <c r="E147" s="6" t="n">
        <f aca="false">VLOOKUP(C147,[1]Sheet1!$C$5:$E$205,3,0)</f>
        <v>3</v>
      </c>
      <c r="F147" s="9"/>
      <c r="G147" s="9"/>
      <c r="H147" s="0" t="n">
        <v>7</v>
      </c>
    </row>
    <row r="148" customFormat="false" ht="12.75" hidden="false" customHeight="false" outlineLevel="0" collapsed="false">
      <c r="A148" s="9" t="n">
        <f aca="false">A147+1</f>
        <v>5</v>
      </c>
      <c r="B148" s="7"/>
      <c r="C148" s="6" t="s">
        <v>135</v>
      </c>
      <c r="D148" s="8" t="str">
        <f aca="false">VLOOKUP(C148,[1]Sheet1!$C$5:$E$205,2,0)</f>
        <v>SISTEM INFORMASI MANAJEMEN</v>
      </c>
      <c r="E148" s="6" t="n">
        <f aca="false">VLOOKUP(C148,[1]Sheet1!$C$5:$E$205,3,0)</f>
        <v>2</v>
      </c>
      <c r="F148" s="9"/>
      <c r="G148" s="9"/>
      <c r="H148" s="0" t="n">
        <v>7</v>
      </c>
    </row>
    <row r="149" customFormat="false" ht="12.75" hidden="false" customHeight="false" outlineLevel="0" collapsed="false">
      <c r="A149" s="9" t="n">
        <f aca="false">A148+1</f>
        <v>6</v>
      </c>
      <c r="B149" s="7"/>
      <c r="C149" s="6" t="s">
        <v>136</v>
      </c>
      <c r="D149" s="15" t="str">
        <f aca="false">VLOOKUP(C149,[1]Sheet1!$C$5:$E$205,2,0)</f>
        <v>PRAKTIKUM ALGORITMA DAN STRUKTUR DATA</v>
      </c>
      <c r="E149" s="6" t="n">
        <f aca="false">VLOOKUP(C149,[1]Sheet1!$C$5:$E$205,3,0)</f>
        <v>1</v>
      </c>
      <c r="F149" s="9"/>
      <c r="G149" s="9"/>
      <c r="H149" s="0" t="n">
        <v>7</v>
      </c>
    </row>
    <row r="150" customFormat="false" ht="12.75" hidden="false" customHeight="false" outlineLevel="0" collapsed="false">
      <c r="A150" s="9" t="n">
        <f aca="false">A149+1</f>
        <v>7</v>
      </c>
      <c r="B150" s="7"/>
      <c r="C150" s="6" t="s">
        <v>137</v>
      </c>
      <c r="D150" s="15" t="str">
        <f aca="false">VLOOKUP(C150,[1]Sheet1!$C$5:$E$205,2,0)</f>
        <v>PRAKTIKUM BASIS DATA</v>
      </c>
      <c r="E150" s="6" t="n">
        <f aca="false">VLOOKUP(C150,[1]Sheet1!$C$5:$E$205,3,0)</f>
        <v>1</v>
      </c>
      <c r="F150" s="9"/>
      <c r="G150" s="9"/>
      <c r="H150" s="0" t="n">
        <v>7</v>
      </c>
    </row>
    <row r="151" customFormat="false" ht="12.75" hidden="false" customHeight="false" outlineLevel="0" collapsed="false">
      <c r="A151" s="9" t="n">
        <f aca="false">A150+1</f>
        <v>8</v>
      </c>
      <c r="B151" s="7"/>
      <c r="C151" s="6" t="s">
        <v>138</v>
      </c>
      <c r="D151" s="15" t="str">
        <f aca="false">VLOOKUP(C151,[1]Sheet1!$C$5:$E$205,2,0)</f>
        <v>PRAKTIKUM JARINGAN KOMPUTER</v>
      </c>
      <c r="E151" s="6" t="n">
        <f aca="false">VLOOKUP(C151,[1]Sheet1!$C$5:$E$205,3,0)</f>
        <v>1</v>
      </c>
      <c r="F151" s="9"/>
      <c r="G151" s="9"/>
      <c r="H151" s="0" t="n">
        <v>7</v>
      </c>
    </row>
    <row r="152" customFormat="false" ht="12.75" hidden="false" customHeight="false" outlineLevel="0" collapsed="false">
      <c r="A152" s="9" t="n">
        <f aca="false">A151+1</f>
        <v>9</v>
      </c>
      <c r="B152" s="7"/>
      <c r="C152" s="6" t="s">
        <v>139</v>
      </c>
      <c r="D152" s="8" t="str">
        <f aca="false">VLOOKUP(C152,[1]Sheet1!$C$5:$E$205,2,0)</f>
        <v>MK PILIHAN III</v>
      </c>
      <c r="E152" s="6" t="n">
        <f aca="false">VLOOKUP(C152,[1]Sheet1!$C$5:$E$205,3,0)</f>
        <v>2</v>
      </c>
      <c r="F152" s="9"/>
      <c r="G152" s="9"/>
      <c r="H152" s="0" t="n">
        <v>7</v>
      </c>
    </row>
    <row r="153" s="5" customFormat="true" ht="12.75" hidden="false" customHeight="false" outlineLevel="0" collapsed="false">
      <c r="A153" s="14"/>
      <c r="B153" s="14"/>
      <c r="C153" s="14"/>
      <c r="D153" s="24"/>
      <c r="E153" s="12" t="n">
        <f aca="false">SUM(E147:E152)+SUM(E118:E120)</f>
        <v>16</v>
      </c>
      <c r="F153" s="12"/>
      <c r="G153" s="12"/>
      <c r="H153" s="5" t="n">
        <v>0</v>
      </c>
    </row>
    <row r="154" customFormat="false" ht="12.75" hidden="false" customHeight="false" outlineLevel="0" collapsed="false">
      <c r="A154" s="6" t="n">
        <v>1</v>
      </c>
      <c r="B154" s="7" t="s">
        <v>140</v>
      </c>
      <c r="C154" s="6" t="s">
        <v>141</v>
      </c>
      <c r="D154" s="8" t="str">
        <f aca="false">VLOOKUP(C154,[1]Sheet1!$C$5:$E$205,2,0)</f>
        <v>KULIAH KERJA NYATA (KKN)</v>
      </c>
      <c r="E154" s="6" t="n">
        <f aca="false">VLOOKUP(C154,[1]Sheet1!$C$5:$E$205,3,0)</f>
        <v>4</v>
      </c>
      <c r="F154" s="9"/>
      <c r="G154" s="9"/>
      <c r="H154" s="0" t="n">
        <v>8</v>
      </c>
    </row>
    <row r="155" s="5" customFormat="true" ht="12.75" hidden="false" customHeight="false" outlineLevel="0" collapsed="false">
      <c r="A155" s="6" t="n">
        <f aca="false">A154+1</f>
        <v>2</v>
      </c>
      <c r="B155" s="7"/>
      <c r="C155" s="6" t="s">
        <v>142</v>
      </c>
      <c r="D155" s="8" t="str">
        <f aca="false">VLOOKUP(C155,[1]Sheet1!$C$5:$E$205,2,0)</f>
        <v>LINGKUNGAN DAN ETIKA REKAYASA</v>
      </c>
      <c r="E155" s="6" t="n">
        <f aca="false">VLOOKUP(C155,[1]Sheet1!$C$5:$E$205,3,0)</f>
        <v>2</v>
      </c>
      <c r="F155" s="10"/>
      <c r="G155" s="10"/>
      <c r="H155" s="5" t="n">
        <v>8</v>
      </c>
    </row>
    <row r="156" s="5" customFormat="true" ht="12.75" hidden="false" customHeight="false" outlineLevel="0" collapsed="false">
      <c r="A156" s="6" t="n">
        <f aca="false">A155+1</f>
        <v>3</v>
      </c>
      <c r="B156" s="7"/>
      <c r="C156" s="6" t="s">
        <v>143</v>
      </c>
      <c r="D156" s="8" t="str">
        <f aca="false">VLOOKUP(C156,[1]Sheet1!$C$5:$E$205,2,0)</f>
        <v>TUGAS AKHIR</v>
      </c>
      <c r="E156" s="6" t="n">
        <f aca="false">VLOOKUP(C156,[1]Sheet1!$C$5:$E$205,3,0)</f>
        <v>4</v>
      </c>
      <c r="F156" s="10"/>
      <c r="G156" s="10"/>
      <c r="H156" s="5" t="n">
        <v>8</v>
      </c>
    </row>
    <row r="157" s="5" customFormat="true" ht="12.75" hidden="false" customHeight="false" outlineLevel="0" collapsed="false">
      <c r="A157" s="14"/>
      <c r="B157" s="14"/>
      <c r="C157" s="14"/>
      <c r="D157" s="14"/>
      <c r="E157" s="14" t="n">
        <f aca="false">SUM(E154:E156)</f>
        <v>10</v>
      </c>
      <c r="F157" s="12"/>
      <c r="G157" s="12"/>
    </row>
    <row r="158" customFormat="false" ht="12.75" hidden="false" customHeight="false" outlineLevel="0" collapsed="false">
      <c r="A158" s="25"/>
      <c r="B158" s="25"/>
      <c r="C158" s="25"/>
      <c r="D158" s="25"/>
      <c r="E158" s="25"/>
      <c r="F158" s="26"/>
      <c r="G158" s="26"/>
    </row>
    <row r="159" customFormat="false" ht="12.75" hidden="false" customHeight="false" outlineLevel="0" collapsed="false">
      <c r="A159" s="25"/>
      <c r="B159" s="25"/>
      <c r="C159" s="25"/>
      <c r="D159" s="25"/>
      <c r="E159" s="25"/>
      <c r="F159" s="26"/>
      <c r="G159" s="26"/>
    </row>
    <row r="160" customFormat="false" ht="12.75" hidden="false" customHeight="false" outlineLevel="0" collapsed="false">
      <c r="A160" s="25"/>
      <c r="B160" s="25"/>
      <c r="C160" s="25"/>
      <c r="D160" s="27" t="s">
        <v>144</v>
      </c>
      <c r="E160" s="27"/>
      <c r="F160" s="26"/>
      <c r="G160" s="26"/>
    </row>
    <row r="161" customFormat="false" ht="12.75" hidden="false" customHeight="false" outlineLevel="0" collapsed="false">
      <c r="A161" s="25"/>
      <c r="B161" s="25"/>
      <c r="C161" s="25"/>
      <c r="D161" s="28" t="s">
        <v>145</v>
      </c>
      <c r="E161" s="29" t="n">
        <f aca="false">E15+E26+E36+E47+E58+E89+E129+E157</f>
        <v>149</v>
      </c>
      <c r="F161" s="26"/>
      <c r="G161" s="26"/>
    </row>
    <row r="162" customFormat="false" ht="12.75" hidden="false" customHeight="false" outlineLevel="0" collapsed="false">
      <c r="A162" s="25"/>
      <c r="B162" s="25"/>
      <c r="C162" s="25"/>
      <c r="D162" s="30" t="s">
        <v>146</v>
      </c>
      <c r="E162" s="31" t="n">
        <f aca="false">E157+E137+E98+E65+E47+E36+E26+E15</f>
        <v>147</v>
      </c>
    </row>
    <row r="163" customFormat="false" ht="12.75" hidden="false" customHeight="false" outlineLevel="0" collapsed="false">
      <c r="A163" s="25"/>
      <c r="B163" s="25"/>
      <c r="C163" s="25"/>
      <c r="D163" s="32" t="s">
        <v>147</v>
      </c>
      <c r="E163" s="33" t="n">
        <f aca="false">E157+E145+E107+E71+E47+E36+E26+E15</f>
        <v>148</v>
      </c>
      <c r="F163" s="26"/>
      <c r="G163" s="26"/>
    </row>
    <row r="164" customFormat="false" ht="12.75" hidden="false" customHeight="false" outlineLevel="0" collapsed="false">
      <c r="A164" s="25"/>
      <c r="B164" s="25"/>
      <c r="C164" s="25"/>
      <c r="D164" s="34" t="s">
        <v>148</v>
      </c>
      <c r="E164" s="35" t="n">
        <f aca="false">E157+E153+E117+E77+E47+E36+E26+E15</f>
        <v>147</v>
      </c>
      <c r="F164" s="26"/>
      <c r="G164" s="26"/>
    </row>
  </sheetData>
  <mergeCells count="31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  <mergeCell ref="B7:B14"/>
    <mergeCell ref="B16:B25"/>
    <mergeCell ref="B27:B35"/>
    <mergeCell ref="B37:B46"/>
    <mergeCell ref="B48:B76"/>
    <mergeCell ref="C53:E53"/>
    <mergeCell ref="C59:E59"/>
    <mergeCell ref="C66:E66"/>
    <mergeCell ref="C72:E72"/>
    <mergeCell ref="B78:B116"/>
    <mergeCell ref="C79:E79"/>
    <mergeCell ref="C90:E90"/>
    <mergeCell ref="C99:E99"/>
    <mergeCell ref="C108:E108"/>
    <mergeCell ref="B118:B152"/>
    <mergeCell ref="C121:E121"/>
    <mergeCell ref="C130:E130"/>
    <mergeCell ref="C138:E138"/>
    <mergeCell ref="C146:E146"/>
    <mergeCell ref="B154:B156"/>
    <mergeCell ref="D160:E160"/>
  </mergeCells>
  <printOptions headings="false" gridLines="false" gridLinesSet="true" horizontalCentered="true" verticalCentered="false"/>
  <pageMargins left="0.409722222222222" right="0.279861111111111" top="0.590277777777778" bottom="0.559722222222222" header="0.511805555555555" footer="0.3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00B0F0"/>
    <pageSetUpPr fitToPage="false"/>
  </sheetPr>
  <dimension ref="A1:N121"/>
  <sheetViews>
    <sheetView showFormulas="false" showGridLines="true" showRowColHeaders="true" showZeros="true" rightToLeft="false" tabSelected="false" showOutlineSymbols="true" defaultGridColor="true" view="normal" topLeftCell="B105" colorId="64" zoomScale="90" zoomScaleNormal="90" zoomScalePageLayoutView="100" workbookViewId="0">
      <selection pane="topLeft" activeCell="C109" activeCellId="1" sqref="D110:D118 C109"/>
    </sheetView>
  </sheetViews>
  <sheetFormatPr defaultRowHeight="12.7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4.86"/>
    <col collapsed="false" customWidth="true" hidden="false" outlineLevel="0" max="3" min="3" style="1" width="11.42"/>
    <col collapsed="false" customWidth="true" hidden="false" outlineLevel="0" max="4" min="4" style="1" width="45.42"/>
    <col collapsed="false" customWidth="true" hidden="false" outlineLevel="0" max="5" min="5" style="1" width="5.01"/>
    <col collapsed="false" customWidth="true" hidden="false" outlineLevel="0" max="6" min="6" style="1" width="8.14"/>
    <col collapsed="false" customWidth="true" hidden="false" outlineLevel="0" max="7" min="7" style="1" width="7.57"/>
    <col collapsed="false" customWidth="true" hidden="false" outlineLevel="0" max="8" min="8" style="2" width="7.57"/>
    <col collapsed="false" customWidth="true" hidden="false" outlineLevel="0" max="9" min="9" style="2" width="4.71"/>
    <col collapsed="false" customWidth="true" hidden="false" outlineLevel="0" max="10" min="10" style="0" width="4.43"/>
    <col collapsed="false" customWidth="true" hidden="false" outlineLevel="0" max="12" min="11" style="0" width="6.57"/>
    <col collapsed="false" customWidth="true" hidden="false" outlineLevel="0" max="13" min="13" style="0" width="4.14"/>
    <col collapsed="false" customWidth="true" hidden="false" outlineLevel="0" max="14" min="14" style="0" width="8"/>
    <col collapsed="false" customWidth="true" hidden="false" outlineLevel="0" max="15" min="15" style="0" width="32.29"/>
    <col collapsed="false" customWidth="true" hidden="false" outlineLevel="0" max="16" min="16" style="0" width="5.14"/>
    <col collapsed="false" customWidth="true" hidden="false" outlineLevel="0" max="1025" min="17" style="0" width="8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2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2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12.75" hidden="false" customHeight="false" outlineLevel="0" collapsed="false">
      <c r="A4" s="3" t="s">
        <v>149</v>
      </c>
      <c r="B4" s="3"/>
      <c r="C4" s="3"/>
      <c r="D4" s="3"/>
      <c r="E4" s="3"/>
      <c r="F4" s="3"/>
      <c r="G4" s="3"/>
      <c r="H4" s="3"/>
      <c r="I4" s="3"/>
    </row>
    <row r="5" customFormat="false" ht="13.5" hidden="false" customHeight="false" outlineLevel="0" collapsed="false"/>
    <row r="6" s="5" customFormat="true" ht="14.25" hidden="false" customHeight="false" outlineLevel="0" collapsed="false">
      <c r="A6" s="36" t="s">
        <v>3</v>
      </c>
      <c r="B6" s="36" t="s">
        <v>4</v>
      </c>
      <c r="C6" s="37" t="s">
        <v>5</v>
      </c>
      <c r="D6" s="38" t="s">
        <v>6</v>
      </c>
      <c r="E6" s="36" t="s">
        <v>7</v>
      </c>
      <c r="F6" s="38" t="s">
        <v>8</v>
      </c>
      <c r="G6" s="38"/>
      <c r="H6" s="38"/>
      <c r="I6" s="36" t="s">
        <v>9</v>
      </c>
    </row>
    <row r="7" customFormat="false" ht="13.5" hidden="false" customHeight="false" outlineLevel="0" collapsed="false">
      <c r="A7" s="39" t="n">
        <v>1</v>
      </c>
      <c r="B7" s="40" t="s">
        <v>10</v>
      </c>
      <c r="C7" s="41" t="s">
        <v>11</v>
      </c>
      <c r="D7" s="42" t="str">
        <f aca="false">VLOOKUP(C7,[1]Sheet1!$C$5:$E$205,2,0)</f>
        <v>PENDIDIKAN AGAMA</v>
      </c>
      <c r="E7" s="39" t="n">
        <f aca="false">VLOOKUP(C7,[1]Sheet1!$C$5:$E$205,3,0)</f>
        <v>2</v>
      </c>
      <c r="F7" s="43" t="s">
        <v>150</v>
      </c>
      <c r="G7" s="44"/>
      <c r="H7" s="45"/>
      <c r="I7" s="46"/>
    </row>
    <row r="8" customFormat="false" ht="12.75" hidden="false" customHeight="false" outlineLevel="0" collapsed="false">
      <c r="A8" s="47" t="n">
        <v>2</v>
      </c>
      <c r="B8" s="40"/>
      <c r="C8" s="48" t="s">
        <v>12</v>
      </c>
      <c r="D8" s="49" t="str">
        <f aca="false">VLOOKUP(C8,[1]Sheet1!$C$5:$E$205,2,0)</f>
        <v>PANCASILA</v>
      </c>
      <c r="E8" s="47" t="n">
        <f aca="false">VLOOKUP(C8,[1]Sheet1!$C$5:$E$205,3,0)</f>
        <v>2</v>
      </c>
      <c r="F8" s="50" t="s">
        <v>150</v>
      </c>
      <c r="G8" s="51"/>
      <c r="H8" s="52"/>
      <c r="I8" s="53"/>
    </row>
    <row r="9" customFormat="false" ht="12.75" hidden="false" customHeight="false" outlineLevel="0" collapsed="false">
      <c r="A9" s="47" t="n">
        <v>3</v>
      </c>
      <c r="B9" s="40"/>
      <c r="C9" s="48" t="s">
        <v>13</v>
      </c>
      <c r="D9" s="49" t="str">
        <f aca="false">VLOOKUP(C9,[1]Sheet1!$C$5:$E$205,2,0)</f>
        <v>BAHASA INDONESIA</v>
      </c>
      <c r="E9" s="47" t="n">
        <f aca="false">VLOOKUP(C9,[1]Sheet1!$C$5:$E$205,3,0)</f>
        <v>2</v>
      </c>
      <c r="F9" s="50" t="s">
        <v>150</v>
      </c>
      <c r="G9" s="51"/>
      <c r="H9" s="52"/>
      <c r="I9" s="53"/>
    </row>
    <row r="10" customFormat="false" ht="12.75" hidden="false" customHeight="false" outlineLevel="0" collapsed="false">
      <c r="A10" s="47" t="n">
        <v>4</v>
      </c>
      <c r="B10" s="40"/>
      <c r="C10" s="48" t="s">
        <v>14</v>
      </c>
      <c r="D10" s="49" t="str">
        <f aca="false">VLOOKUP(C10,[1]Sheet1!$C$5:$E$205,2,0)</f>
        <v>BAHASA INGGRIS I</v>
      </c>
      <c r="E10" s="47" t="n">
        <f aca="false">VLOOKUP(C10,[1]Sheet1!$C$5:$E$205,3,0)</f>
        <v>2</v>
      </c>
      <c r="F10" s="50" t="s">
        <v>150</v>
      </c>
      <c r="G10" s="51"/>
      <c r="H10" s="52"/>
      <c r="I10" s="53"/>
    </row>
    <row r="11" customFormat="false" ht="12.75" hidden="false" customHeight="false" outlineLevel="0" collapsed="false">
      <c r="A11" s="47" t="n">
        <v>5</v>
      </c>
      <c r="B11" s="40"/>
      <c r="C11" s="48" t="s">
        <v>15</v>
      </c>
      <c r="D11" s="49" t="str">
        <f aca="false">VLOOKUP(C11,[1]Sheet1!$C$5:$E$205,2,0)</f>
        <v>MATEMATIKA DASAR</v>
      </c>
      <c r="E11" s="47" t="n">
        <f aca="false">VLOOKUP(C11,[1]Sheet1!$C$5:$E$205,3,0)</f>
        <v>3</v>
      </c>
      <c r="F11" s="50" t="s">
        <v>150</v>
      </c>
      <c r="G11" s="51"/>
      <c r="H11" s="52"/>
      <c r="I11" s="53"/>
    </row>
    <row r="12" customFormat="false" ht="12.75" hidden="false" customHeight="false" outlineLevel="0" collapsed="false">
      <c r="A12" s="47" t="n">
        <v>6</v>
      </c>
      <c r="B12" s="40"/>
      <c r="C12" s="48" t="s">
        <v>16</v>
      </c>
      <c r="D12" s="49" t="str">
        <f aca="false">VLOOKUP(C12,[1]Sheet1!$C$5:$E$205,2,0)</f>
        <v>FISIKA DASAR</v>
      </c>
      <c r="E12" s="48" t="n">
        <f aca="false">VLOOKUP(C12,[1]Sheet1!$C$5:$E$205,3,0)</f>
        <v>3</v>
      </c>
      <c r="F12" s="50" t="s">
        <v>150</v>
      </c>
      <c r="G12" s="51"/>
      <c r="H12" s="52"/>
      <c r="I12" s="53"/>
    </row>
    <row r="13" customFormat="false" ht="12.75" hidden="false" customHeight="false" outlineLevel="0" collapsed="false">
      <c r="A13" s="47" t="n">
        <v>7</v>
      </c>
      <c r="B13" s="40"/>
      <c r="C13" s="48" t="s">
        <v>17</v>
      </c>
      <c r="D13" s="49" t="str">
        <f aca="false">VLOOKUP(C13,[1]Sheet1!$C$5:$E$205,2,0)</f>
        <v>KIMIA DASAR</v>
      </c>
      <c r="E13" s="47" t="n">
        <f aca="false">VLOOKUP(C13,[1]Sheet1!$C$5:$E$205,3,0)</f>
        <v>3</v>
      </c>
      <c r="F13" s="50" t="s">
        <v>150</v>
      </c>
      <c r="G13" s="51"/>
      <c r="H13" s="52"/>
      <c r="I13" s="53"/>
    </row>
    <row r="14" s="5" customFormat="true" ht="12.75" hidden="false" customHeight="false" outlineLevel="0" collapsed="false">
      <c r="A14" s="47" t="n">
        <v>8</v>
      </c>
      <c r="B14" s="40"/>
      <c r="C14" s="48" t="s">
        <v>18</v>
      </c>
      <c r="D14" s="49" t="str">
        <f aca="false">VLOOKUP(C14,[1]Sheet1!$C$5:$E$205,2,0)</f>
        <v>BIOLOGI UMUM</v>
      </c>
      <c r="E14" s="47" t="n">
        <f aca="false">VLOOKUP(C14,[1]Sheet1!$C$5:$E$205,3,0)</f>
        <v>3</v>
      </c>
      <c r="F14" s="50" t="s">
        <v>150</v>
      </c>
      <c r="G14" s="51"/>
      <c r="H14" s="54"/>
      <c r="I14" s="55"/>
    </row>
    <row r="15" s="5" customFormat="true" ht="13.5" hidden="false" customHeight="false" outlineLevel="0" collapsed="false">
      <c r="A15" s="56"/>
      <c r="B15" s="40"/>
      <c r="C15" s="56"/>
      <c r="D15" s="56"/>
      <c r="E15" s="56"/>
      <c r="F15" s="57"/>
      <c r="G15" s="58"/>
      <c r="H15" s="59"/>
      <c r="I15" s="60"/>
    </row>
    <row r="16" s="13" customFormat="true" ht="14.25" hidden="false" customHeight="false" outlineLevel="0" collapsed="false">
      <c r="A16" s="61"/>
      <c r="B16" s="61"/>
      <c r="C16" s="61"/>
      <c r="D16" s="61"/>
      <c r="E16" s="62" t="n">
        <f aca="false">SUM(E7:E15)</f>
        <v>20</v>
      </c>
      <c r="F16" s="63"/>
      <c r="G16" s="64"/>
      <c r="H16" s="65"/>
      <c r="I16" s="66"/>
    </row>
    <row r="17" customFormat="false" ht="13.5" hidden="false" customHeight="false" outlineLevel="0" collapsed="false">
      <c r="A17" s="67"/>
      <c r="B17" s="67"/>
      <c r="C17" s="67"/>
      <c r="D17" s="67"/>
      <c r="E17" s="67"/>
      <c r="F17" s="68"/>
      <c r="G17" s="69"/>
      <c r="H17" s="70"/>
      <c r="I17" s="71"/>
    </row>
    <row r="18" s="5" customFormat="true" ht="12.75" hidden="false" customHeight="false" outlineLevel="0" collapsed="false">
      <c r="A18" s="47" t="n">
        <v>1</v>
      </c>
      <c r="B18" s="72" t="s">
        <v>19</v>
      </c>
      <c r="C18" s="47" t="s">
        <v>20</v>
      </c>
      <c r="D18" s="49" t="str">
        <f aca="false">VLOOKUP(C18,[1]Sheet1!$C$5:$E$205,2,0)</f>
        <v>KEWARGANEGARAAN</v>
      </c>
      <c r="E18" s="47" t="n">
        <f aca="false">VLOOKUP(C18,[1]Sheet1!$C$5:$E$205,3,0)</f>
        <v>2</v>
      </c>
      <c r="F18" s="50" t="s">
        <v>12</v>
      </c>
      <c r="G18" s="51"/>
      <c r="H18" s="54"/>
      <c r="I18" s="55"/>
    </row>
    <row r="19" customFormat="false" ht="12.75" hidden="false" customHeight="false" outlineLevel="0" collapsed="false">
      <c r="A19" s="47" t="n">
        <f aca="false">A18+1</f>
        <v>2</v>
      </c>
      <c r="B19" s="72"/>
      <c r="C19" s="47" t="s">
        <v>21</v>
      </c>
      <c r="D19" s="49" t="str">
        <f aca="false">VLOOKUP(C19,[1]Sheet1!$C$5:$E$205,2,0)</f>
        <v>BAHASA INGGRIS II</v>
      </c>
      <c r="E19" s="47" t="n">
        <f aca="false">VLOOKUP(C19,[1]Sheet1!$C$5:$E$205,3,0)</f>
        <v>2</v>
      </c>
      <c r="F19" s="50" t="s">
        <v>14</v>
      </c>
      <c r="G19" s="51"/>
      <c r="H19" s="52"/>
      <c r="I19" s="53"/>
    </row>
    <row r="20" s="5" customFormat="true" ht="12.75" hidden="false" customHeight="false" outlineLevel="0" collapsed="false">
      <c r="A20" s="47" t="n">
        <f aca="false">A19+1</f>
        <v>3</v>
      </c>
      <c r="B20" s="72"/>
      <c r="C20" s="48" t="s">
        <v>22</v>
      </c>
      <c r="D20" s="49" t="str">
        <f aca="false">VLOOKUP(C20,[1]Sheet1!$C$5:$E$205,2,0)</f>
        <v>KEWIRAUSAHAAN</v>
      </c>
      <c r="E20" s="47" t="n">
        <f aca="false">VLOOKUP(C20,[1]Sheet1!$C$5:$E$205,3,0)</f>
        <v>2</v>
      </c>
      <c r="F20" s="50" t="s">
        <v>150</v>
      </c>
      <c r="G20" s="51"/>
      <c r="H20" s="54"/>
      <c r="I20" s="55"/>
    </row>
    <row r="21" customFormat="false" ht="12.75" hidden="false" customHeight="false" outlineLevel="0" collapsed="false">
      <c r="A21" s="47" t="n">
        <f aca="false">A20+1</f>
        <v>4</v>
      </c>
      <c r="B21" s="72"/>
      <c r="C21" s="47" t="s">
        <v>23</v>
      </c>
      <c r="D21" s="49" t="str">
        <f aca="false">VLOOKUP(C21,[1]Sheet1!$C$5:$E$205,2,0)</f>
        <v>ILMU SOSIAL DAN BUDAYA DASAR</v>
      </c>
      <c r="E21" s="47" t="n">
        <f aca="false">VLOOKUP(C21,[1]Sheet1!$C$5:$E$205,3,0)</f>
        <v>2</v>
      </c>
      <c r="F21" s="50" t="s">
        <v>150</v>
      </c>
      <c r="G21" s="51"/>
      <c r="H21" s="52"/>
      <c r="I21" s="53"/>
    </row>
    <row r="22" s="5" customFormat="true" ht="12.75" hidden="false" customHeight="false" outlineLevel="0" collapsed="false">
      <c r="A22" s="47" t="n">
        <f aca="false">A21+1</f>
        <v>5</v>
      </c>
      <c r="B22" s="72"/>
      <c r="C22" s="48" t="s">
        <v>24</v>
      </c>
      <c r="D22" s="49" t="str">
        <f aca="false">VLOOKUP(C22,[1]Sheet1!$C$5:$E$205,2,0)</f>
        <v>RANGKAIAN LOGIKA</v>
      </c>
      <c r="E22" s="47" t="n">
        <f aca="false">VLOOKUP(C22,[1]Sheet1!$C$5:$E$205,3,0)</f>
        <v>2</v>
      </c>
      <c r="F22" s="50" t="s">
        <v>150</v>
      </c>
      <c r="G22" s="51"/>
      <c r="H22" s="54"/>
      <c r="I22" s="55"/>
    </row>
    <row r="23" customFormat="false" ht="12.75" hidden="false" customHeight="false" outlineLevel="0" collapsed="false">
      <c r="A23" s="47" t="n">
        <f aca="false">A22+1</f>
        <v>6</v>
      </c>
      <c r="B23" s="72"/>
      <c r="C23" s="48" t="s">
        <v>25</v>
      </c>
      <c r="D23" s="49" t="str">
        <f aca="false">VLOOKUP(C23,[1]Sheet1!$C$5:$E$205,2,0)</f>
        <v>KONSEP SAINS DAN TEKNOLOGI</v>
      </c>
      <c r="E23" s="47" t="n">
        <f aca="false">VLOOKUP(C23,[1]Sheet1!$C$5:$E$205,3,0)</f>
        <v>2</v>
      </c>
      <c r="F23" s="50" t="s">
        <v>150</v>
      </c>
      <c r="G23" s="51"/>
      <c r="H23" s="52"/>
      <c r="I23" s="53"/>
      <c r="N23" s="5"/>
    </row>
    <row r="24" s="5" customFormat="true" ht="12.75" hidden="false" customHeight="false" outlineLevel="0" collapsed="false">
      <c r="A24" s="47" t="n">
        <f aca="false">A23+1</f>
        <v>7</v>
      </c>
      <c r="B24" s="72"/>
      <c r="C24" s="48" t="s">
        <v>26</v>
      </c>
      <c r="D24" s="49" t="str">
        <f aca="false">VLOOKUP(C24,[1]Sheet1!$C$5:$E$205,2,0)</f>
        <v>DASAR TELEKOMUNIKASI</v>
      </c>
      <c r="E24" s="47" t="n">
        <f aca="false">VLOOKUP(C24,[1]Sheet1!$C$5:$E$205,3,0)</f>
        <v>3</v>
      </c>
      <c r="F24" s="50" t="s">
        <v>150</v>
      </c>
      <c r="G24" s="51"/>
      <c r="H24" s="54"/>
      <c r="I24" s="55"/>
      <c r="N24" s="16"/>
    </row>
    <row r="25" s="5" customFormat="true" ht="12.75" hidden="false" customHeight="false" outlineLevel="0" collapsed="false">
      <c r="A25" s="47" t="n">
        <f aca="false">A24+1</f>
        <v>8</v>
      </c>
      <c r="B25" s="72"/>
      <c r="C25" s="48" t="s">
        <v>27</v>
      </c>
      <c r="D25" s="49" t="str">
        <f aca="false">VLOOKUP(C25,[1]Sheet1!$C$5:$E$205,2,0)</f>
        <v>FISIKA II / FISIKA LANJUT</v>
      </c>
      <c r="E25" s="47" t="n">
        <f aca="false">VLOOKUP(C25,[1]Sheet1!$C$5:$E$205,3,0)</f>
        <v>3</v>
      </c>
      <c r="F25" s="50" t="s">
        <v>16</v>
      </c>
      <c r="G25" s="51"/>
      <c r="H25" s="54"/>
      <c r="I25" s="55"/>
      <c r="N25" s="16"/>
    </row>
    <row r="26" customFormat="false" ht="12.75" hidden="false" customHeight="false" outlineLevel="0" collapsed="false">
      <c r="A26" s="47" t="n">
        <f aca="false">A25+1</f>
        <v>9</v>
      </c>
      <c r="B26" s="72"/>
      <c r="C26" s="48" t="s">
        <v>28</v>
      </c>
      <c r="D26" s="49" t="str">
        <f aca="false">VLOOKUP(C26,[1]Sheet1!$C$5:$E$205,2,0)</f>
        <v>KALKULUS II / MATEMATIKA LANJUT</v>
      </c>
      <c r="E26" s="47" t="n">
        <f aca="false">VLOOKUP(C26,[1]Sheet1!$C$5:$E$205,3,0)</f>
        <v>2</v>
      </c>
      <c r="F26" s="50" t="s">
        <v>15</v>
      </c>
      <c r="G26" s="51"/>
      <c r="H26" s="52"/>
      <c r="I26" s="53"/>
      <c r="N26" s="16"/>
    </row>
    <row r="27" customFormat="false" ht="13.5" hidden="false" customHeight="false" outlineLevel="0" collapsed="false">
      <c r="A27" s="56" t="n">
        <f aca="false">A26+1</f>
        <v>10</v>
      </c>
      <c r="B27" s="72"/>
      <c r="C27" s="73" t="s">
        <v>29</v>
      </c>
      <c r="D27" s="74" t="str">
        <f aca="false">VLOOKUP(C27,[1]Sheet1!$C$5:$E$205,2,0)</f>
        <v>PRAKTIKUM DASAR TELEKOMUNIKASI</v>
      </c>
      <c r="E27" s="56" t="n">
        <f aca="false">VLOOKUP(C27,[1]Sheet1!$C$5:$E$205,3,0)</f>
        <v>1</v>
      </c>
      <c r="F27" s="57" t="s">
        <v>151</v>
      </c>
      <c r="G27" s="58" t="str">
        <f aca="false">C24</f>
        <v>ES1217</v>
      </c>
      <c r="H27" s="75"/>
      <c r="I27" s="76"/>
      <c r="N27" s="16"/>
    </row>
    <row r="28" s="5" customFormat="true" ht="14.25" hidden="false" customHeight="false" outlineLevel="0" collapsed="false">
      <c r="A28" s="77"/>
      <c r="B28" s="77"/>
      <c r="C28" s="77"/>
      <c r="D28" s="61"/>
      <c r="E28" s="77" t="n">
        <f aca="false">SUM(E18:E27)</f>
        <v>21</v>
      </c>
      <c r="F28" s="78"/>
      <c r="G28" s="79"/>
      <c r="H28" s="80"/>
      <c r="I28" s="81"/>
      <c r="N28" s="16"/>
    </row>
    <row r="29" customFormat="false" ht="13.5" hidden="false" customHeight="false" outlineLevel="0" collapsed="false">
      <c r="A29" s="67"/>
      <c r="B29" s="40" t="s">
        <v>30</v>
      </c>
      <c r="C29" s="67"/>
      <c r="D29" s="67"/>
      <c r="E29" s="67"/>
      <c r="F29" s="82"/>
      <c r="G29" s="83"/>
      <c r="H29" s="84"/>
      <c r="I29" s="85"/>
      <c r="N29" s="16"/>
    </row>
    <row r="30" customFormat="false" ht="12.75" hidden="false" customHeight="false" outlineLevel="0" collapsed="false">
      <c r="A30" s="47" t="n">
        <v>1</v>
      </c>
      <c r="B30" s="40"/>
      <c r="C30" s="48" t="s">
        <v>31</v>
      </c>
      <c r="D30" s="49" t="str">
        <f aca="false">VLOOKUP(C30,[1]Sheet1!$C$5:$E$205,2,0)</f>
        <v>MATEMATIKA TEKNIK I</v>
      </c>
      <c r="E30" s="47" t="n">
        <f aca="false">VLOOKUP(C30,[1]Sheet1!$C$5:$E$205,3,0)</f>
        <v>3</v>
      </c>
      <c r="F30" s="50" t="s">
        <v>28</v>
      </c>
      <c r="G30" s="51"/>
      <c r="H30" s="52"/>
      <c r="I30" s="53"/>
      <c r="N30" s="16"/>
    </row>
    <row r="31" customFormat="false" ht="12.75" hidden="false" customHeight="false" outlineLevel="0" collapsed="false">
      <c r="A31" s="47" t="n">
        <f aca="false">A30+1</f>
        <v>2</v>
      </c>
      <c r="B31" s="40"/>
      <c r="C31" s="48" t="s">
        <v>32</v>
      </c>
      <c r="D31" s="49" t="str">
        <f aca="false">VLOOKUP(C31,[1]Sheet1!$C$5:$E$205,2,0)</f>
        <v>DASAR TEKNOLOGI INFORMASI</v>
      </c>
      <c r="E31" s="47" t="n">
        <f aca="false">VLOOKUP(C31,[1]Sheet1!$C$5:$E$205,3,0)</f>
        <v>3</v>
      </c>
      <c r="F31" s="50" t="s">
        <v>150</v>
      </c>
      <c r="G31" s="51"/>
      <c r="H31" s="52"/>
      <c r="I31" s="53"/>
      <c r="N31" s="16"/>
    </row>
    <row r="32" customFormat="false" ht="12.75" hidden="false" customHeight="false" outlineLevel="0" collapsed="false">
      <c r="A32" s="47" t="n">
        <f aca="false">A31+1</f>
        <v>3</v>
      </c>
      <c r="B32" s="40"/>
      <c r="C32" s="48" t="s">
        <v>33</v>
      </c>
      <c r="D32" s="49" t="str">
        <f aca="false">VLOOKUP(C32,[1]Sheet1!$C$5:$E$205,2,0)</f>
        <v>RANGKAIAN LISTRIK I</v>
      </c>
      <c r="E32" s="47" t="n">
        <f aca="false">VLOOKUP(C32,[1]Sheet1!$C$5:$E$205,3,0)</f>
        <v>3</v>
      </c>
      <c r="F32" s="50" t="s">
        <v>27</v>
      </c>
      <c r="G32" s="51"/>
      <c r="H32" s="52"/>
      <c r="I32" s="53"/>
      <c r="N32" s="16"/>
    </row>
    <row r="33" customFormat="false" ht="12.75" hidden="false" customHeight="false" outlineLevel="0" collapsed="false">
      <c r="A33" s="47" t="n">
        <f aca="false">A32+1</f>
        <v>4</v>
      </c>
      <c r="B33" s="40"/>
      <c r="C33" s="48" t="s">
        <v>34</v>
      </c>
      <c r="D33" s="49" t="str">
        <f aca="false">VLOOKUP(C33,[1]Sheet1!$C$5:$E$205,2,0)</f>
        <v>PENGUKURAN BESARAN LISTRIK</v>
      </c>
      <c r="E33" s="47" t="n">
        <f aca="false">VLOOKUP(C33,[1]Sheet1!$C$5:$E$205,3,0)</f>
        <v>2</v>
      </c>
      <c r="F33" s="50" t="s">
        <v>27</v>
      </c>
      <c r="G33" s="51"/>
      <c r="H33" s="52"/>
      <c r="I33" s="53"/>
    </row>
    <row r="34" customFormat="false" ht="12.75" hidden="false" customHeight="false" outlineLevel="0" collapsed="false">
      <c r="A34" s="47" t="n">
        <f aca="false">A33+1</f>
        <v>5</v>
      </c>
      <c r="B34" s="40"/>
      <c r="C34" s="48" t="s">
        <v>35</v>
      </c>
      <c r="D34" s="49" t="str">
        <f aca="false">VLOOKUP(C34,[1]Sheet1!$C$5:$E$205,2,0)</f>
        <v>PRAKTIKUM PENGUKURAN BESARAN LISTRIK</v>
      </c>
      <c r="E34" s="47" t="n">
        <f aca="false">VLOOKUP(C34,[1]Sheet1!$C$5:$E$205,3,0)</f>
        <v>1</v>
      </c>
      <c r="F34" s="50" t="s">
        <v>151</v>
      </c>
      <c r="G34" s="51" t="s">
        <v>34</v>
      </c>
      <c r="H34" s="52"/>
      <c r="I34" s="53"/>
    </row>
    <row r="35" customFormat="false" ht="12.75" hidden="false" customHeight="false" outlineLevel="0" collapsed="false">
      <c r="A35" s="47" t="n">
        <f aca="false">A34+1</f>
        <v>6</v>
      </c>
      <c r="B35" s="40"/>
      <c r="C35" s="48" t="s">
        <v>36</v>
      </c>
      <c r="D35" s="49" t="str">
        <f aca="false">VLOOKUP(C35,[1]Sheet1!$C$5:$E$205,2,0)</f>
        <v>DASAR ELEKTRONIKA</v>
      </c>
      <c r="E35" s="47" t="n">
        <f aca="false">VLOOKUP(C35,[1]Sheet1!$C$5:$E$205,3,0)</f>
        <v>3</v>
      </c>
      <c r="F35" s="50" t="s">
        <v>33</v>
      </c>
      <c r="G35" s="51"/>
      <c r="H35" s="52"/>
      <c r="I35" s="53"/>
      <c r="N35" s="5"/>
    </row>
    <row r="36" customFormat="false" ht="12.75" hidden="false" customHeight="false" outlineLevel="0" collapsed="false">
      <c r="A36" s="47" t="n">
        <f aca="false">A35+1</f>
        <v>7</v>
      </c>
      <c r="B36" s="40"/>
      <c r="C36" s="48" t="s">
        <v>37</v>
      </c>
      <c r="D36" s="49" t="str">
        <f aca="false">VLOOKUP(C36,[1]Sheet1!$C$5:$E$205,2,0)</f>
        <v>DASAR TENAGA LISTRIK</v>
      </c>
      <c r="E36" s="47" t="n">
        <f aca="false">VLOOKUP(C36,[1]Sheet1!$C$5:$E$205,3,0)</f>
        <v>3</v>
      </c>
      <c r="F36" s="50" t="s">
        <v>33</v>
      </c>
      <c r="G36" s="51"/>
      <c r="H36" s="52"/>
      <c r="I36" s="53"/>
      <c r="N36" s="16"/>
    </row>
    <row r="37" s="16" customFormat="true" ht="12.75" hidden="false" customHeight="false" outlineLevel="0" collapsed="false">
      <c r="A37" s="47" t="n">
        <f aca="false">A36+1</f>
        <v>8</v>
      </c>
      <c r="B37" s="40"/>
      <c r="C37" s="48" t="s">
        <v>38</v>
      </c>
      <c r="D37" s="49" t="str">
        <f aca="false">VLOOKUP(C37,[1]Sheet1!$C$5:$E$205,2,0)</f>
        <v>ALGORITMA DAN PEMROGRAMAN</v>
      </c>
      <c r="E37" s="47" t="n">
        <f aca="false">VLOOKUP(C37,[1]Sheet1!$C$5:$E$205,3,0)</f>
        <v>2</v>
      </c>
      <c r="F37" s="50" t="s">
        <v>24</v>
      </c>
      <c r="G37" s="51"/>
      <c r="H37" s="86"/>
      <c r="I37" s="87"/>
    </row>
    <row r="38" s="5" customFormat="true" ht="12.75" hidden="false" customHeight="false" outlineLevel="0" collapsed="false">
      <c r="A38" s="47" t="n">
        <f aca="false">A37+1</f>
        <v>9</v>
      </c>
      <c r="B38" s="40"/>
      <c r="C38" s="48" t="s">
        <v>39</v>
      </c>
      <c r="D38" s="49" t="str">
        <f aca="false">VLOOKUP(C38,[1]Sheet1!$C$5:$E$205,2,0)</f>
        <v>PRAKTIKUM RANGKAIAN LOGIKA</v>
      </c>
      <c r="E38" s="47" t="n">
        <f aca="false">VLOOKUP(C38,[1]Sheet1!$C$5:$E$205,3,0)</f>
        <v>1</v>
      </c>
      <c r="F38" s="50" t="s">
        <v>24</v>
      </c>
      <c r="G38" s="51"/>
      <c r="H38" s="54"/>
      <c r="I38" s="55"/>
    </row>
    <row r="39" customFormat="false" ht="13.5" hidden="false" customHeight="false" outlineLevel="0" collapsed="false">
      <c r="A39" s="56"/>
      <c r="B39" s="40"/>
      <c r="C39" s="56"/>
      <c r="D39" s="56"/>
      <c r="E39" s="56"/>
      <c r="F39" s="57"/>
      <c r="G39" s="58"/>
      <c r="H39" s="75"/>
      <c r="I39" s="76"/>
    </row>
    <row r="40" s="5" customFormat="true" ht="14.25" hidden="false" customHeight="false" outlineLevel="0" collapsed="false">
      <c r="A40" s="62"/>
      <c r="B40" s="62"/>
      <c r="C40" s="62"/>
      <c r="D40" s="61"/>
      <c r="E40" s="62" t="n">
        <f aca="false">SUM(E30:E39)</f>
        <v>21</v>
      </c>
      <c r="F40" s="63"/>
      <c r="G40" s="64"/>
      <c r="H40" s="65"/>
      <c r="I40" s="66"/>
    </row>
    <row r="41" customFormat="false" ht="13.5" hidden="false" customHeight="false" outlineLevel="0" collapsed="false">
      <c r="A41" s="88"/>
      <c r="B41" s="88"/>
      <c r="C41" s="88"/>
      <c r="D41" s="88"/>
      <c r="E41" s="88"/>
      <c r="F41" s="68"/>
      <c r="G41" s="69"/>
      <c r="H41" s="70"/>
      <c r="I41" s="71"/>
    </row>
    <row r="42" s="16" customFormat="true" ht="12.75" hidden="false" customHeight="false" outlineLevel="0" collapsed="false">
      <c r="A42" s="47" t="n">
        <v>1</v>
      </c>
      <c r="B42" s="72" t="s">
        <v>40</v>
      </c>
      <c r="C42" s="48" t="s">
        <v>41</v>
      </c>
      <c r="D42" s="49" t="str">
        <f aca="false">VLOOKUP(C42,[1]Sheet1!$C$5:$E$205,2,0)</f>
        <v>PRAKTKUM ALGORITMA DAN PEMROGRAMAN</v>
      </c>
      <c r="E42" s="47" t="n">
        <f aca="false">VLOOKUP(C42,[1]Sheet1!$C$5:$E$205,3,0)</f>
        <v>1</v>
      </c>
      <c r="F42" s="50" t="str">
        <f aca="false">C37</f>
        <v>ES1215</v>
      </c>
      <c r="G42" s="51"/>
      <c r="H42" s="86"/>
      <c r="I42" s="87"/>
    </row>
    <row r="43" s="16" customFormat="true" ht="12.75" hidden="false" customHeight="false" outlineLevel="0" collapsed="false">
      <c r="A43" s="47" t="n">
        <f aca="false">A42+1</f>
        <v>2</v>
      </c>
      <c r="B43" s="72"/>
      <c r="C43" s="48" t="s">
        <v>42</v>
      </c>
      <c r="D43" s="49" t="str">
        <f aca="false">VLOOKUP(C43,[1]Sheet1!$C$5:$E$205,2,0)</f>
        <v>MATEMATIKA TEKNIK II</v>
      </c>
      <c r="E43" s="47" t="n">
        <f aca="false">VLOOKUP(C43,[1]Sheet1!$C$5:$E$205,3,0)</f>
        <v>3</v>
      </c>
      <c r="F43" s="50" t="str">
        <f aca="false">C30</f>
        <v>ES2118</v>
      </c>
      <c r="G43" s="51"/>
      <c r="H43" s="86"/>
      <c r="I43" s="87"/>
    </row>
    <row r="44" s="16" customFormat="true" ht="12.75" hidden="false" customHeight="false" outlineLevel="0" collapsed="false">
      <c r="A44" s="47" t="n">
        <f aca="false">A43+1</f>
        <v>3</v>
      </c>
      <c r="B44" s="72"/>
      <c r="C44" s="48" t="s">
        <v>43</v>
      </c>
      <c r="D44" s="49" t="str">
        <f aca="false">VLOOKUP(C44,[1]Sheet1!$C$5:$E$205,2,0)</f>
        <v>SINYAL DAN SISTEM</v>
      </c>
      <c r="E44" s="47" t="n">
        <f aca="false">VLOOKUP(C44,[1]Sheet1!$C$5:$E$205,3,0)</f>
        <v>3</v>
      </c>
      <c r="F44" s="50" t="str">
        <f aca="false">C43</f>
        <v>ES2228</v>
      </c>
      <c r="G44" s="51"/>
      <c r="H44" s="86"/>
      <c r="I44" s="87"/>
    </row>
    <row r="45" s="16" customFormat="true" ht="12.75" hidden="false" customHeight="false" outlineLevel="0" collapsed="false">
      <c r="A45" s="47" t="n">
        <f aca="false">A44+1</f>
        <v>4</v>
      </c>
      <c r="B45" s="72"/>
      <c r="C45" s="48" t="s">
        <v>44</v>
      </c>
      <c r="D45" s="49" t="str">
        <f aca="false">VLOOKUP(C45,[1]Sheet1!$C$5:$E$205,2,0)</f>
        <v>BAHAN LISTRIK</v>
      </c>
      <c r="E45" s="47" t="n">
        <f aca="false">VLOOKUP(C45,[1]Sheet1!$C$5:$E$205,3,0)</f>
        <v>2</v>
      </c>
      <c r="F45" s="50" t="s">
        <v>16</v>
      </c>
      <c r="G45" s="51"/>
      <c r="H45" s="86"/>
      <c r="I45" s="87"/>
    </row>
    <row r="46" s="16" customFormat="true" ht="12.75" hidden="false" customHeight="false" outlineLevel="0" collapsed="false">
      <c r="A46" s="47" t="n">
        <f aca="false">A45+1</f>
        <v>5</v>
      </c>
      <c r="B46" s="72"/>
      <c r="C46" s="48" t="s">
        <v>45</v>
      </c>
      <c r="D46" s="49" t="str">
        <f aca="false">VLOOKUP(C46,[1]Sheet1!$C$5:$E$205,2,0)</f>
        <v>PROBABILITAS DAN STATISTIK</v>
      </c>
      <c r="E46" s="47" t="n">
        <f aca="false">VLOOKUP(C46,[1]Sheet1!$C$5:$E$205,3,0)</f>
        <v>2</v>
      </c>
      <c r="F46" s="50" t="s">
        <v>31</v>
      </c>
      <c r="G46" s="51"/>
      <c r="H46" s="86"/>
      <c r="I46" s="87"/>
    </row>
    <row r="47" s="16" customFormat="true" ht="12.75" hidden="false" customHeight="false" outlineLevel="0" collapsed="false">
      <c r="A47" s="47" t="n">
        <f aca="false">A46+1</f>
        <v>6</v>
      </c>
      <c r="B47" s="72"/>
      <c r="C47" s="48" t="s">
        <v>46</v>
      </c>
      <c r="D47" s="49" t="str">
        <f aca="false">VLOOKUP(C47,[1]Sheet1!$C$5:$E$205,2,0)</f>
        <v>METODE NUMERIK</v>
      </c>
      <c r="E47" s="47" t="n">
        <f aca="false">VLOOKUP(C47,[1]Sheet1!$C$5:$E$205,3,0)</f>
        <v>2</v>
      </c>
      <c r="F47" s="50" t="s">
        <v>31</v>
      </c>
      <c r="G47" s="51"/>
      <c r="H47" s="86"/>
      <c r="I47" s="87"/>
    </row>
    <row r="48" s="16" customFormat="true" ht="12.75" hidden="false" customHeight="false" outlineLevel="0" collapsed="false">
      <c r="A48" s="47" t="n">
        <f aca="false">A47+1</f>
        <v>7</v>
      </c>
      <c r="B48" s="72"/>
      <c r="C48" s="48" t="s">
        <v>47</v>
      </c>
      <c r="D48" s="49" t="str">
        <f aca="false">VLOOKUP(C48,[1]Sheet1!$C$5:$E$205,2,0)</f>
        <v>RANGKAIAN LISTRIK II</v>
      </c>
      <c r="E48" s="47" t="n">
        <f aca="false">VLOOKUP(C48,[1]Sheet1!$C$5:$E$205,3,0)</f>
        <v>3</v>
      </c>
      <c r="F48" s="50" t="str">
        <f aca="false">C32</f>
        <v>ES1212</v>
      </c>
      <c r="G48" s="51"/>
      <c r="H48" s="86"/>
      <c r="I48" s="87"/>
    </row>
    <row r="49" s="16" customFormat="true" ht="12.75" hidden="false" customHeight="false" outlineLevel="0" collapsed="false">
      <c r="A49" s="47" t="n">
        <f aca="false">A48+1</f>
        <v>8</v>
      </c>
      <c r="B49" s="72"/>
      <c r="C49" s="48" t="s">
        <v>48</v>
      </c>
      <c r="D49" s="49" t="str">
        <f aca="false">VLOOKUP(C49,[1]Sheet1!$C$5:$E$205,2,0)</f>
        <v>ELEKTROMAGNETIK</v>
      </c>
      <c r="E49" s="47" t="n">
        <f aca="false">VLOOKUP(C49,[1]Sheet1!$C$5:$E$205,3,0)</f>
        <v>3</v>
      </c>
      <c r="F49" s="50" t="str">
        <f aca="false">C25</f>
        <v>ES1210</v>
      </c>
      <c r="G49" s="51" t="str">
        <f aca="false">C26</f>
        <v>ES1211</v>
      </c>
      <c r="H49" s="86"/>
      <c r="I49" s="87"/>
    </row>
    <row r="50" s="16" customFormat="true" ht="12.75" hidden="false" customHeight="false" outlineLevel="0" collapsed="false">
      <c r="A50" s="47" t="n">
        <f aca="false">A49+1</f>
        <v>9</v>
      </c>
      <c r="B50" s="72"/>
      <c r="C50" s="48" t="s">
        <v>49</v>
      </c>
      <c r="D50" s="49" t="str">
        <f aca="false">VLOOKUP(C50,[1]Sheet1!$C$5:$E$205,2,0)</f>
        <v>PRAKTIKUM DASAR ELEKTRONIKA</v>
      </c>
      <c r="E50" s="47" t="n">
        <f aca="false">VLOOKUP(C50,[1]Sheet1!$C$5:$E$205,3,0)</f>
        <v>1</v>
      </c>
      <c r="F50" s="50" t="str">
        <f aca="false">C35</f>
        <v>ES2124</v>
      </c>
      <c r="G50" s="51"/>
      <c r="H50" s="86"/>
      <c r="I50" s="87"/>
    </row>
    <row r="51" s="16" customFormat="true" ht="12.75" hidden="false" customHeight="false" outlineLevel="0" collapsed="false">
      <c r="A51" s="47" t="n">
        <f aca="false">A50+1</f>
        <v>10</v>
      </c>
      <c r="B51" s="72"/>
      <c r="C51" s="48" t="s">
        <v>50</v>
      </c>
      <c r="D51" s="49" t="str">
        <f aca="false">VLOOKUP(C51,[1]Sheet1!$C$5:$E$205,2,0)</f>
        <v>PRAKTIKUM DASAR TENAGA LISTRIK</v>
      </c>
      <c r="E51" s="47" t="n">
        <f aca="false">VLOOKUP(C51,[1]Sheet1!$C$5:$E$205,3,0)</f>
        <v>1</v>
      </c>
      <c r="F51" s="50" t="str">
        <f aca="false">C36</f>
        <v>ES2125</v>
      </c>
      <c r="G51" s="51"/>
      <c r="H51" s="86"/>
      <c r="I51" s="87"/>
    </row>
    <row r="52" customFormat="false" ht="13.5" hidden="false" customHeight="false" outlineLevel="0" collapsed="false">
      <c r="A52" s="56"/>
      <c r="B52" s="72"/>
      <c r="C52" s="56"/>
      <c r="D52" s="56"/>
      <c r="E52" s="56"/>
      <c r="F52" s="57"/>
      <c r="G52" s="58"/>
      <c r="H52" s="75"/>
      <c r="I52" s="76"/>
    </row>
    <row r="53" s="5" customFormat="true" ht="14.25" hidden="false" customHeight="false" outlineLevel="0" collapsed="false">
      <c r="A53" s="62"/>
      <c r="B53" s="62"/>
      <c r="C53" s="62"/>
      <c r="D53" s="61"/>
      <c r="E53" s="62" t="n">
        <f aca="false">SUM(E42:E52)</f>
        <v>21</v>
      </c>
      <c r="F53" s="63"/>
      <c r="G53" s="64"/>
      <c r="H53" s="65"/>
      <c r="I53" s="66"/>
    </row>
    <row r="54" customFormat="false" ht="13.5" hidden="false" customHeight="false" outlineLevel="0" collapsed="false">
      <c r="A54" s="88"/>
      <c r="B54" s="88"/>
      <c r="C54" s="88"/>
      <c r="D54" s="88"/>
      <c r="E54" s="88"/>
      <c r="F54" s="68"/>
      <c r="G54" s="69"/>
      <c r="H54" s="70"/>
      <c r="I54" s="71"/>
    </row>
    <row r="55" s="5" customFormat="true" ht="12.75" hidden="false" customHeight="false" outlineLevel="0" collapsed="false">
      <c r="A55" s="47" t="n">
        <v>1</v>
      </c>
      <c r="B55" s="89" t="s">
        <v>51</v>
      </c>
      <c r="C55" s="90" t="s">
        <v>52</v>
      </c>
      <c r="D55" s="91" t="str">
        <f aca="false">VLOOKUP(C55,[1]Sheet1!$C$5:$E$205,2,0)</f>
        <v>SISTEM MIKROPROSESOR</v>
      </c>
      <c r="E55" s="90" t="n">
        <f aca="false">VLOOKUP(C55,[1]Sheet1!$C$5:$E$205,3,0)</f>
        <v>3</v>
      </c>
      <c r="F55" s="50" t="s">
        <v>24</v>
      </c>
      <c r="G55" s="51"/>
      <c r="H55" s="54"/>
      <c r="I55" s="55"/>
    </row>
    <row r="56" customFormat="false" ht="12.75" hidden="false" customHeight="false" outlineLevel="0" collapsed="false">
      <c r="A56" s="47" t="n">
        <f aca="false">A55+1</f>
        <v>2</v>
      </c>
      <c r="B56" s="89"/>
      <c r="C56" s="90" t="s">
        <v>53</v>
      </c>
      <c r="D56" s="91" t="str">
        <f aca="false">VLOOKUP(C56,[1]Sheet1!$C$5:$E$205,2,0)</f>
        <v>SISTEM KENDALI</v>
      </c>
      <c r="E56" s="47" t="n">
        <f aca="false">VLOOKUP(C56,[1]Sheet1!$C$5:$E$205,3,0)</f>
        <v>3</v>
      </c>
      <c r="F56" s="50" t="s">
        <v>31</v>
      </c>
      <c r="G56" s="51"/>
      <c r="H56" s="52"/>
      <c r="I56" s="53"/>
    </row>
    <row r="57" customFormat="false" ht="12.75" hidden="false" customHeight="false" outlineLevel="0" collapsed="false">
      <c r="A57" s="47" t="n">
        <f aca="false">A56+1</f>
        <v>3</v>
      </c>
      <c r="B57" s="89"/>
      <c r="C57" s="90" t="s">
        <v>54</v>
      </c>
      <c r="D57" s="91" t="str">
        <f aca="false">VLOOKUP(C57,[1]Sheet1!$C$5:$E$205,2,0)</f>
        <v>PRAKTIKUM SISTEM KENDALI</v>
      </c>
      <c r="E57" s="47" t="n">
        <f aca="false">VLOOKUP(C57,[1]Sheet1!$C$5:$E$205,3,0)</f>
        <v>1</v>
      </c>
      <c r="F57" s="50" t="s">
        <v>151</v>
      </c>
      <c r="G57" s="51" t="s">
        <v>53</v>
      </c>
      <c r="H57" s="52"/>
      <c r="I57" s="53"/>
    </row>
    <row r="58" customFormat="false" ht="12.75" hidden="false" customHeight="false" outlineLevel="0" collapsed="false">
      <c r="A58" s="47" t="n">
        <f aca="false">A57+1</f>
        <v>4</v>
      </c>
      <c r="B58" s="89"/>
      <c r="C58" s="90" t="s">
        <v>55</v>
      </c>
      <c r="D58" s="91" t="str">
        <f aca="false">VLOOKUP(C58,[1]Sheet1!$C$5:$E$205,2,0)</f>
        <v>PRAKTIKUM RANGKAIAN LISTRIK</v>
      </c>
      <c r="E58" s="47" t="n">
        <f aca="false">VLOOKUP(C58,[1]Sheet1!$C$5:$E$205,3,0)</f>
        <v>1</v>
      </c>
      <c r="F58" s="50" t="s">
        <v>33</v>
      </c>
      <c r="G58" s="51" t="s">
        <v>47</v>
      </c>
      <c r="H58" s="52"/>
      <c r="I58" s="53"/>
    </row>
    <row r="59" customFormat="false" ht="12.75" hidden="false" customHeight="false" outlineLevel="0" collapsed="false">
      <c r="A59" s="47" t="n">
        <f aca="false">A58+1</f>
        <v>5</v>
      </c>
      <c r="B59" s="89"/>
      <c r="C59" s="48" t="s">
        <v>56</v>
      </c>
      <c r="D59" s="49" t="str">
        <f aca="false">VLOOKUP(C59,[1]Sheet1!$C$5:$E$205,2,0)</f>
        <v>EKONOMI TEKNIK</v>
      </c>
      <c r="E59" s="47" t="n">
        <f aca="false">VLOOKUP(C59,[1]Sheet1!$C$5:$E$205,3,0)</f>
        <v>2</v>
      </c>
      <c r="F59" s="50" t="s">
        <v>150</v>
      </c>
      <c r="G59" s="51"/>
      <c r="H59" s="52"/>
      <c r="I59" s="53"/>
    </row>
    <row r="60" customFormat="false" ht="12.75" hidden="false" customHeight="false" outlineLevel="0" collapsed="false">
      <c r="A60" s="47" t="n">
        <v>6</v>
      </c>
      <c r="B60" s="89"/>
      <c r="C60" s="48" t="s">
        <v>58</v>
      </c>
      <c r="D60" s="49" t="str">
        <f aca="false">VLOOKUP(C60,[1]Sheet1!$C$5:$E$205,2,0)</f>
        <v>ANALISA SISTEM TENAGA I</v>
      </c>
      <c r="E60" s="47" t="n">
        <f aca="false">VLOOKUP(C60,[1]Sheet1!$C$5:$E$205,3,0)</f>
        <v>3</v>
      </c>
      <c r="F60" s="50" t="s">
        <v>37</v>
      </c>
      <c r="G60" s="51" t="s">
        <v>47</v>
      </c>
      <c r="H60" s="52"/>
      <c r="I60" s="53"/>
    </row>
    <row r="61" customFormat="false" ht="12.75" hidden="false" customHeight="false" outlineLevel="0" collapsed="false">
      <c r="A61" s="47" t="n">
        <f aca="false">A60+1</f>
        <v>7</v>
      </c>
      <c r="B61" s="89"/>
      <c r="C61" s="48" t="s">
        <v>59</v>
      </c>
      <c r="D61" s="49" t="str">
        <f aca="false">VLOOKUP(C61,[1]Sheet1!$C$5:$E$205,2,0)</f>
        <v>MESIN LISTRIK I</v>
      </c>
      <c r="E61" s="47" t="n">
        <f aca="false">VLOOKUP(C61,[1]Sheet1!$C$5:$E$205,3,0)</f>
        <v>3</v>
      </c>
      <c r="F61" s="50" t="s">
        <v>37</v>
      </c>
      <c r="G61" s="51" t="s">
        <v>48</v>
      </c>
      <c r="H61" s="52"/>
      <c r="I61" s="53"/>
    </row>
    <row r="62" customFormat="false" ht="12.75" hidden="false" customHeight="false" outlineLevel="0" collapsed="false">
      <c r="A62" s="47" t="n">
        <f aca="false">A61+1</f>
        <v>8</v>
      </c>
      <c r="B62" s="89"/>
      <c r="C62" s="90" t="s">
        <v>60</v>
      </c>
      <c r="D62" s="91" t="str">
        <f aca="false">VLOOKUP(C62,[1]Sheet1!$C$5:$E$205,2,0)</f>
        <v>PEMBANGKIT TENAGA LISTRIK</v>
      </c>
      <c r="E62" s="47" t="n">
        <f aca="false">VLOOKUP(C62,[1]Sheet1!$C$5:$E$205,3,0)</f>
        <v>2</v>
      </c>
      <c r="F62" s="50" t="s">
        <v>37</v>
      </c>
      <c r="G62" s="51"/>
      <c r="H62" s="52"/>
      <c r="I62" s="53"/>
    </row>
    <row r="63" customFormat="false" ht="12.75" hidden="false" customHeight="false" outlineLevel="0" collapsed="false">
      <c r="A63" s="47" t="n">
        <f aca="false">A62+1</f>
        <v>9</v>
      </c>
      <c r="B63" s="89"/>
      <c r="C63" s="92" t="s">
        <v>61</v>
      </c>
      <c r="D63" s="93" t="str">
        <f aca="false">VLOOKUP(C63,[1]Sheet1!$C$5:$E$205,2,0)</f>
        <v>TRANSMISI TENAGA LISTRIK</v>
      </c>
      <c r="E63" s="92" t="n">
        <f aca="false">VLOOKUP(C63,[1]Sheet1!$C$5:$E$205,3,0)</f>
        <v>2</v>
      </c>
      <c r="F63" s="50" t="s">
        <v>37</v>
      </c>
      <c r="G63" s="51" t="s">
        <v>47</v>
      </c>
      <c r="H63" s="52"/>
      <c r="I63" s="53"/>
    </row>
    <row r="64" customFormat="false" ht="12.75" hidden="false" customHeight="false" outlineLevel="0" collapsed="false">
      <c r="A64" s="47"/>
      <c r="B64" s="89"/>
      <c r="C64" s="47"/>
      <c r="D64" s="47"/>
      <c r="E64" s="47"/>
      <c r="F64" s="50"/>
      <c r="G64" s="51"/>
      <c r="H64" s="52"/>
      <c r="I64" s="53"/>
    </row>
    <row r="65" s="5" customFormat="true" ht="13.5" hidden="false" customHeight="false" outlineLevel="0" collapsed="false">
      <c r="A65" s="94"/>
      <c r="B65" s="94"/>
      <c r="C65" s="94"/>
      <c r="D65" s="94"/>
      <c r="E65" s="94" t="n">
        <f aca="false">SUM(E60:E64)+SUM(E55:E59)</f>
        <v>20</v>
      </c>
      <c r="F65" s="95"/>
      <c r="G65" s="96"/>
      <c r="H65" s="97"/>
      <c r="I65" s="98"/>
    </row>
    <row r="66" s="5" customFormat="true" ht="13.5" hidden="false" customHeight="false" outlineLevel="0" collapsed="false">
      <c r="A66" s="47"/>
      <c r="B66" s="89" t="s">
        <v>78</v>
      </c>
      <c r="C66" s="47"/>
      <c r="D66" s="47"/>
      <c r="E66" s="47"/>
      <c r="F66" s="50"/>
      <c r="G66" s="51"/>
      <c r="H66" s="54"/>
      <c r="I66" s="55"/>
    </row>
    <row r="67" s="5" customFormat="true" ht="12.75" hidden="false" customHeight="false" outlineLevel="0" collapsed="false">
      <c r="A67" s="47" t="n">
        <v>1</v>
      </c>
      <c r="B67" s="89"/>
      <c r="C67" s="47" t="s">
        <v>79</v>
      </c>
      <c r="D67" s="49" t="str">
        <f aca="false">VLOOKUP(C67,[1]Sheet1!$C$5:$E$205,2,0)</f>
        <v>PRAKTIKUM SISTEM MIKROPROSESOR</v>
      </c>
      <c r="E67" s="47" t="n">
        <f aca="false">VLOOKUP(C67,[1]Sheet1!$C$5:$E$205,3,0)</f>
        <v>1</v>
      </c>
      <c r="F67" s="50" t="s">
        <v>52</v>
      </c>
      <c r="G67" s="51"/>
      <c r="H67" s="52"/>
      <c r="I67" s="53"/>
    </row>
    <row r="68" customFormat="false" ht="12.75" hidden="false" customHeight="false" outlineLevel="0" collapsed="false">
      <c r="A68" s="47" t="n">
        <f aca="false">A67+1</f>
        <v>2</v>
      </c>
      <c r="B68" s="89"/>
      <c r="C68" s="47" t="s">
        <v>80</v>
      </c>
      <c r="D68" s="99" t="str">
        <f aca="false">VLOOKUP(C68,[1]Sheet1!$C$5:$E$205,2,0)</f>
        <v>ANALISA SISTEM TENAGA II</v>
      </c>
      <c r="E68" s="47" t="n">
        <f aca="false">VLOOKUP(C68,[1]Sheet1!$C$5:$E$205,3,0)</f>
        <v>2</v>
      </c>
      <c r="F68" s="50" t="s">
        <v>58</v>
      </c>
      <c r="G68" s="51"/>
      <c r="H68" s="52"/>
      <c r="I68" s="53"/>
    </row>
    <row r="69" customFormat="false" ht="12.75" hidden="false" customHeight="false" outlineLevel="0" collapsed="false">
      <c r="A69" s="47" t="n">
        <f aca="false">A68+1</f>
        <v>3</v>
      </c>
      <c r="B69" s="89"/>
      <c r="C69" s="47" t="s">
        <v>81</v>
      </c>
      <c r="D69" s="99" t="str">
        <f aca="false">VLOOKUP(C69,[1]Sheet1!$C$5:$E$205,2,0)</f>
        <v>PRAKTIKUM ANALISA SISTEM TENAGA</v>
      </c>
      <c r="E69" s="47" t="n">
        <f aca="false">VLOOKUP(C69,[1]Sheet1!$C$5:$E$205,3,0)</f>
        <v>1</v>
      </c>
      <c r="F69" s="50" t="s">
        <v>151</v>
      </c>
      <c r="G69" s="51" t="s">
        <v>80</v>
      </c>
      <c r="H69" s="52"/>
      <c r="I69" s="53"/>
    </row>
    <row r="70" customFormat="false" ht="12.75" hidden="false" customHeight="false" outlineLevel="0" collapsed="false">
      <c r="A70" s="47" t="n">
        <f aca="false">A69+1</f>
        <v>4</v>
      </c>
      <c r="B70" s="89"/>
      <c r="C70" s="47" t="s">
        <v>82</v>
      </c>
      <c r="D70" s="99" t="str">
        <f aca="false">VLOOKUP(C70,[1]Sheet1!$C$5:$E$205,2,0)</f>
        <v>MESIN LISTRIK II</v>
      </c>
      <c r="E70" s="47" t="n">
        <f aca="false">VLOOKUP(C70,[1]Sheet1!$C$5:$E$205,3,0)</f>
        <v>2</v>
      </c>
      <c r="F70" s="50" t="s">
        <v>59</v>
      </c>
      <c r="G70" s="51"/>
      <c r="H70" s="52"/>
      <c r="I70" s="53"/>
    </row>
    <row r="71" customFormat="false" ht="12.75" hidden="false" customHeight="false" outlineLevel="0" collapsed="false">
      <c r="A71" s="47" t="n">
        <f aca="false">A70+1</f>
        <v>5</v>
      </c>
      <c r="B71" s="89"/>
      <c r="C71" s="47" t="s">
        <v>83</v>
      </c>
      <c r="D71" s="99" t="str">
        <f aca="false">VLOOKUP(C71,[1]Sheet1!$C$5:$E$205,2,0)</f>
        <v>PRAKTIKUM MESIN LISTRIK</v>
      </c>
      <c r="E71" s="47" t="n">
        <f aca="false">VLOOKUP(C71,[1]Sheet1!$C$5:$E$205,3,0)</f>
        <v>1</v>
      </c>
      <c r="F71" s="50" t="s">
        <v>151</v>
      </c>
      <c r="G71" s="51" t="s">
        <v>82</v>
      </c>
      <c r="H71" s="52"/>
      <c r="I71" s="53"/>
    </row>
    <row r="72" customFormat="false" ht="12.75" hidden="false" customHeight="false" outlineLevel="0" collapsed="false">
      <c r="A72" s="47" t="n">
        <f aca="false">A71+1</f>
        <v>6</v>
      </c>
      <c r="B72" s="89"/>
      <c r="C72" s="47" t="s">
        <v>84</v>
      </c>
      <c r="D72" s="99" t="str">
        <f aca="false">VLOOKUP(C72,[1]Sheet1!$C$5:$E$205,2,0)</f>
        <v>SISTEM DISTRIBUSI TENAGA LISTRIK</v>
      </c>
      <c r="E72" s="47" t="n">
        <f aca="false">VLOOKUP(C72,[1]Sheet1!$C$5:$E$205,3,0)</f>
        <v>3</v>
      </c>
      <c r="F72" s="50" t="s">
        <v>58</v>
      </c>
      <c r="G72" s="51" t="s">
        <v>151</v>
      </c>
      <c r="H72" s="52" t="s">
        <v>80</v>
      </c>
      <c r="I72" s="53"/>
    </row>
    <row r="73" customFormat="false" ht="12.75" hidden="false" customHeight="false" outlineLevel="0" collapsed="false">
      <c r="A73" s="47" t="n">
        <f aca="false">A72+1</f>
        <v>7</v>
      </c>
      <c r="B73" s="89"/>
      <c r="C73" s="47" t="s">
        <v>85</v>
      </c>
      <c r="D73" s="99" t="str">
        <f aca="false">VLOOKUP(C73,[1]Sheet1!$C$5:$E$205,2,0)</f>
        <v>PERENCANAAN INSTALASI TENAGA LISTRIK</v>
      </c>
      <c r="E73" s="47" t="n">
        <f aca="false">VLOOKUP(C73,[1]Sheet1!$C$5:$E$205,3,0)</f>
        <v>3</v>
      </c>
      <c r="F73" s="50" t="s">
        <v>44</v>
      </c>
      <c r="G73" s="51" t="s">
        <v>47</v>
      </c>
      <c r="H73" s="52"/>
      <c r="I73" s="53"/>
    </row>
    <row r="74" customFormat="false" ht="12.75" hidden="false" customHeight="false" outlineLevel="0" collapsed="false">
      <c r="A74" s="47" t="n">
        <f aca="false">A73+1</f>
        <v>8</v>
      </c>
      <c r="B74" s="89"/>
      <c r="C74" s="47" t="s">
        <v>86</v>
      </c>
      <c r="D74" s="99" t="str">
        <f aca="false">VLOOKUP(C74,[1]Sheet1!$C$5:$E$205,2,0)</f>
        <v>TEKNIK TEGANGAN TINGGI</v>
      </c>
      <c r="E74" s="47" t="n">
        <f aca="false">VLOOKUP(C74,[1]Sheet1!$C$5:$E$205,3,0)</f>
        <v>2</v>
      </c>
      <c r="F74" s="50" t="s">
        <v>44</v>
      </c>
      <c r="G74" s="51" t="s">
        <v>42</v>
      </c>
      <c r="H74" s="52"/>
      <c r="I74" s="53"/>
    </row>
    <row r="75" customFormat="false" ht="12.75" hidden="false" customHeight="false" outlineLevel="0" collapsed="false">
      <c r="A75" s="47" t="n">
        <f aca="false">A74+1</f>
        <v>9</v>
      </c>
      <c r="B75" s="89"/>
      <c r="C75" s="47" t="s">
        <v>87</v>
      </c>
      <c r="D75" s="87" t="str">
        <f aca="false">VLOOKUP(C75,[1]Sheet1!$C$5:$E$205,2,0)</f>
        <v>MK PILIHAN I</v>
      </c>
      <c r="E75" s="47" t="n">
        <f aca="false">VLOOKUP(C75,[1]Sheet1!$C$5:$E$205,3,0)</f>
        <v>2</v>
      </c>
      <c r="F75" s="50"/>
      <c r="G75" s="51"/>
      <c r="H75" s="52"/>
      <c r="I75" s="53"/>
    </row>
    <row r="76" customFormat="false" ht="12.75" hidden="false" customHeight="false" outlineLevel="0" collapsed="false">
      <c r="A76" s="47" t="n">
        <f aca="false">A75+1</f>
        <v>10</v>
      </c>
      <c r="B76" s="89"/>
      <c r="C76" s="47" t="s">
        <v>88</v>
      </c>
      <c r="D76" s="87" t="str">
        <f aca="false">VLOOKUP(C76,[1]Sheet1!$C$5:$E$205,2,0)</f>
        <v>MK PILIHAN II</v>
      </c>
      <c r="E76" s="47" t="n">
        <f aca="false">VLOOKUP(C76,[1]Sheet1!$C$5:$E$205,3,0)</f>
        <v>2</v>
      </c>
      <c r="F76" s="50"/>
      <c r="G76" s="51"/>
      <c r="H76" s="52"/>
      <c r="I76" s="53"/>
    </row>
    <row r="77" customFormat="false" ht="12.75" hidden="false" customHeight="false" outlineLevel="0" collapsed="false">
      <c r="A77" s="47"/>
      <c r="B77" s="89"/>
      <c r="C77" s="47"/>
      <c r="D77" s="47"/>
      <c r="E77" s="47"/>
      <c r="F77" s="50"/>
      <c r="G77" s="51"/>
      <c r="H77" s="52"/>
      <c r="I77" s="53"/>
    </row>
    <row r="78" s="5" customFormat="true" ht="13.5" hidden="false" customHeight="false" outlineLevel="0" collapsed="false">
      <c r="A78" s="94"/>
      <c r="B78" s="94"/>
      <c r="C78" s="94"/>
      <c r="D78" s="94"/>
      <c r="E78" s="94" t="n">
        <f aca="false">SUM(E68:E76)+SUM(E67)</f>
        <v>19</v>
      </c>
      <c r="F78" s="95"/>
      <c r="G78" s="96"/>
      <c r="H78" s="97"/>
      <c r="I78" s="98"/>
    </row>
    <row r="79" s="5" customFormat="true" ht="13.5" hidden="false" customHeight="false" outlineLevel="0" collapsed="false">
      <c r="A79" s="39"/>
      <c r="B79" s="39"/>
      <c r="C79" s="100"/>
      <c r="D79" s="100"/>
      <c r="E79" s="39"/>
      <c r="F79" s="43"/>
      <c r="G79" s="44"/>
      <c r="H79" s="101"/>
      <c r="I79" s="102"/>
    </row>
    <row r="80" customFormat="false" ht="12.75" hidden="false" customHeight="false" outlineLevel="0" collapsed="false">
      <c r="A80" s="103" t="n">
        <v>1</v>
      </c>
      <c r="B80" s="89" t="s">
        <v>111</v>
      </c>
      <c r="C80" s="90" t="s">
        <v>112</v>
      </c>
      <c r="D80" s="91" t="str">
        <f aca="false">VLOOKUP(C80,[1]Sheet1!$C$5:$E$205,2,0)</f>
        <v>PROSES STOKASTIK</v>
      </c>
      <c r="E80" s="47" t="n">
        <f aca="false">VLOOKUP(C80,[1]Sheet1!$C$5:$E$205,3,0)</f>
        <v>2</v>
      </c>
      <c r="F80" s="50" t="s">
        <v>45</v>
      </c>
      <c r="G80" s="51"/>
      <c r="H80" s="52"/>
      <c r="I80" s="53"/>
    </row>
    <row r="81" customFormat="false" ht="12.75" hidden="false" customHeight="false" outlineLevel="0" collapsed="false">
      <c r="A81" s="47" t="n">
        <f aca="false">A80+1</f>
        <v>2</v>
      </c>
      <c r="B81" s="89"/>
      <c r="C81" s="47" t="s">
        <v>113</v>
      </c>
      <c r="D81" s="99" t="str">
        <f aca="false">VLOOKUP(C81,[1]Sheet1!$C$5:$E$205,2,0)</f>
        <v>PRAKTEK KERJA LAPANGAN</v>
      </c>
      <c r="E81" s="47" t="n">
        <f aca="false">VLOOKUP(C81,[1]Sheet1!$C$5:$E$205,3,0)</f>
        <v>2</v>
      </c>
      <c r="F81" s="50" t="s">
        <v>152</v>
      </c>
      <c r="G81" s="51"/>
      <c r="H81" s="52"/>
      <c r="I81" s="53"/>
    </row>
    <row r="82" customFormat="false" ht="12.75" hidden="false" customHeight="false" outlineLevel="0" collapsed="false">
      <c r="A82" s="47" t="n">
        <f aca="false">A81+1</f>
        <v>3</v>
      </c>
      <c r="B82" s="89"/>
      <c r="C82" s="47" t="s">
        <v>114</v>
      </c>
      <c r="D82" s="99" t="str">
        <f aca="false">VLOOKUP(C82,[1]Sheet1!$C$5:$E$205,2,0)</f>
        <v>PRA TUGAS AKHIR</v>
      </c>
      <c r="E82" s="47" t="n">
        <f aca="false">VLOOKUP(C82,[1]Sheet1!$C$5:$E$205,3,0)</f>
        <v>2</v>
      </c>
      <c r="F82" s="50" t="s">
        <v>152</v>
      </c>
      <c r="G82" s="51"/>
      <c r="H82" s="52"/>
      <c r="I82" s="53"/>
    </row>
    <row r="83" s="16" customFormat="true" ht="12.75" hidden="false" customHeight="false" outlineLevel="0" collapsed="false">
      <c r="A83" s="47" t="n">
        <f aca="false">A82+1</f>
        <v>4</v>
      </c>
      <c r="B83" s="89"/>
      <c r="C83" s="48" t="s">
        <v>115</v>
      </c>
      <c r="D83" s="49" t="str">
        <f aca="false">VLOOKUP(C83,[1]Sheet1!$C$5:$E$205,2,0)</f>
        <v>MANAJEMEN OPERASI SISTEM TENAGA</v>
      </c>
      <c r="E83" s="47" t="n">
        <f aca="false">VLOOKUP(C83,[1]Sheet1!$C$5:$E$205,3,0)</f>
        <v>2</v>
      </c>
      <c r="F83" s="50" t="s">
        <v>60</v>
      </c>
      <c r="G83" s="51" t="s">
        <v>80</v>
      </c>
      <c r="H83" s="52" t="s">
        <v>53</v>
      </c>
      <c r="I83" s="53"/>
    </row>
    <row r="84" s="16" customFormat="true" ht="12.75" hidden="false" customHeight="false" outlineLevel="0" collapsed="false">
      <c r="A84" s="47" t="n">
        <f aca="false">A83+1</f>
        <v>5</v>
      </c>
      <c r="B84" s="89"/>
      <c r="C84" s="90" t="s">
        <v>116</v>
      </c>
      <c r="D84" s="91" t="str">
        <f aca="false">VLOOKUP(C84,[1]Sheet1!$C$5:$E$205,2,0)</f>
        <v>PROTEKSI SISTEM TENAGA</v>
      </c>
      <c r="E84" s="47" t="n">
        <f aca="false">VLOOKUP(C84,[1]Sheet1!$C$5:$E$205,3,0)</f>
        <v>2</v>
      </c>
      <c r="F84" s="50" t="s">
        <v>80</v>
      </c>
      <c r="G84" s="51"/>
      <c r="H84" s="52"/>
      <c r="I84" s="53"/>
    </row>
    <row r="85" s="16" customFormat="true" ht="12.75" hidden="false" customHeight="false" outlineLevel="0" collapsed="false">
      <c r="A85" s="47" t="n">
        <f aca="false">A84+1</f>
        <v>6</v>
      </c>
      <c r="B85" s="89"/>
      <c r="C85" s="90" t="s">
        <v>117</v>
      </c>
      <c r="D85" s="91" t="str">
        <f aca="false">VLOOKUP(C85,[1]Sheet1!$C$5:$E$205,2,0)</f>
        <v>PRAKTIKUM PROTEKSI SISTEM TENAGA</v>
      </c>
      <c r="E85" s="47" t="n">
        <f aca="false">VLOOKUP(C85,[1]Sheet1!$C$5:$E$205,3,0)</f>
        <v>1</v>
      </c>
      <c r="F85" s="50" t="s">
        <v>151</v>
      </c>
      <c r="G85" s="51" t="s">
        <v>116</v>
      </c>
      <c r="H85" s="52"/>
      <c r="I85" s="53"/>
    </row>
    <row r="86" s="16" customFormat="true" ht="12.75" hidden="false" customHeight="false" outlineLevel="0" collapsed="false">
      <c r="A86" s="47" t="n">
        <f aca="false">A85+1</f>
        <v>7</v>
      </c>
      <c r="B86" s="89"/>
      <c r="C86" s="48" t="s">
        <v>118</v>
      </c>
      <c r="D86" s="49" t="str">
        <f aca="false">VLOOKUP(C86,[1]Sheet1!$C$5:$E$205,2,0)</f>
        <v>ELEKTRONIKA DAYA</v>
      </c>
      <c r="E86" s="47" t="n">
        <f aca="false">VLOOKUP(C86,[1]Sheet1!$C$5:$E$205,3,0)</f>
        <v>2</v>
      </c>
      <c r="F86" s="50" t="s">
        <v>36</v>
      </c>
      <c r="G86" s="51"/>
      <c r="H86" s="52"/>
      <c r="I86" s="53"/>
    </row>
    <row r="87" s="16" customFormat="true" ht="12.75" hidden="false" customHeight="false" outlineLevel="0" collapsed="false">
      <c r="A87" s="47" t="n">
        <f aca="false">A86+1</f>
        <v>8</v>
      </c>
      <c r="B87" s="89"/>
      <c r="C87" s="90" t="s">
        <v>119</v>
      </c>
      <c r="D87" s="91" t="str">
        <f aca="false">VLOOKUP(C87,[1]Sheet1!$C$5:$E$205,2,0)</f>
        <v>PRAKTIKUM ELEKTRONIKA DAYA</v>
      </c>
      <c r="E87" s="90" t="n">
        <f aca="false">VLOOKUP(C87,[1]Sheet1!$C$5:$E$205,3,0)</f>
        <v>1</v>
      </c>
      <c r="F87" s="50" t="s">
        <v>151</v>
      </c>
      <c r="G87" s="51" t="s">
        <v>118</v>
      </c>
      <c r="H87" s="52"/>
      <c r="I87" s="53"/>
    </row>
    <row r="88" s="16" customFormat="true" ht="12.75" hidden="false" customHeight="false" outlineLevel="0" collapsed="false">
      <c r="A88" s="47" t="n">
        <f aca="false">A87+1</f>
        <v>9</v>
      </c>
      <c r="B88" s="89"/>
      <c r="C88" s="90" t="s">
        <v>120</v>
      </c>
      <c r="D88" s="91" t="str">
        <f aca="false">VLOOKUP(C88,[1]Sheet1!$C$5:$E$205,2,0)</f>
        <v>PRAKTIKUM TRANSMISI DAN DISTRIBUSI</v>
      </c>
      <c r="E88" s="47" t="n">
        <f aca="false">VLOOKUP(C88,[1]Sheet1!$C$5:$E$205,3,0)</f>
        <v>1</v>
      </c>
      <c r="F88" s="50" t="s">
        <v>61</v>
      </c>
      <c r="G88" s="51" t="s">
        <v>84</v>
      </c>
      <c r="H88" s="52"/>
      <c r="I88" s="53"/>
    </row>
    <row r="89" s="16" customFormat="true" ht="12.75" hidden="false" customHeight="false" outlineLevel="0" collapsed="false">
      <c r="A89" s="47" t="n">
        <f aca="false">A88+1</f>
        <v>10</v>
      </c>
      <c r="B89" s="89"/>
      <c r="C89" s="47" t="s">
        <v>121</v>
      </c>
      <c r="D89" s="87" t="str">
        <f aca="false">VLOOKUP(C89,[1]Sheet1!$C$5:$E$205,2,0)</f>
        <v>MK PILIHAN III</v>
      </c>
      <c r="E89" s="47" t="n">
        <f aca="false">VLOOKUP(C89,[1]Sheet1!$C$5:$E$205,3,0)</f>
        <v>2</v>
      </c>
      <c r="F89" s="50"/>
      <c r="G89" s="51"/>
      <c r="H89" s="52"/>
      <c r="I89" s="53"/>
    </row>
    <row r="90" s="16" customFormat="true" ht="12.75" hidden="false" customHeight="false" outlineLevel="0" collapsed="false">
      <c r="A90" s="104"/>
      <c r="B90" s="89"/>
      <c r="C90" s="104"/>
      <c r="D90" s="104"/>
      <c r="E90" s="104"/>
      <c r="F90" s="105"/>
      <c r="G90" s="106"/>
      <c r="H90" s="107"/>
      <c r="I90" s="108"/>
    </row>
    <row r="91" s="5" customFormat="true" ht="13.5" hidden="false" customHeight="false" outlineLevel="0" collapsed="false">
      <c r="A91" s="94"/>
      <c r="B91" s="94"/>
      <c r="C91" s="94"/>
      <c r="D91" s="94"/>
      <c r="E91" s="94" t="n">
        <f aca="false">SUM(E83:E89)+SUM(E80:E82)</f>
        <v>17</v>
      </c>
      <c r="F91" s="95"/>
      <c r="G91" s="96"/>
      <c r="H91" s="97"/>
      <c r="I91" s="98"/>
    </row>
    <row r="92" s="5" customFormat="true" ht="13.5" hidden="false" customHeight="false" outlineLevel="0" collapsed="false">
      <c r="A92" s="109"/>
      <c r="B92" s="110" t="s">
        <v>140</v>
      </c>
      <c r="C92" s="109"/>
      <c r="D92" s="109"/>
      <c r="E92" s="109"/>
      <c r="F92" s="111"/>
      <c r="G92" s="112"/>
      <c r="H92" s="113"/>
      <c r="I92" s="114"/>
    </row>
    <row r="93" customFormat="false" ht="12.75" hidden="false" customHeight="false" outlineLevel="0" collapsed="false">
      <c r="A93" s="47" t="n">
        <v>1</v>
      </c>
      <c r="B93" s="110"/>
      <c r="C93" s="47" t="s">
        <v>141</v>
      </c>
      <c r="D93" s="99" t="str">
        <f aca="false">VLOOKUP(C93,[1]Sheet1!$C$5:$E$205,2,0)</f>
        <v>KULIAH KERJA NYATA (KKN)</v>
      </c>
      <c r="E93" s="47" t="n">
        <f aca="false">VLOOKUP(C93,[1]Sheet1!$C$5:$E$205,3,0)</f>
        <v>4</v>
      </c>
      <c r="F93" s="50" t="s">
        <v>153</v>
      </c>
      <c r="G93" s="51"/>
      <c r="H93" s="52"/>
      <c r="I93" s="53"/>
    </row>
    <row r="94" s="5" customFormat="true" ht="12.75" hidden="false" customHeight="false" outlineLevel="0" collapsed="false">
      <c r="A94" s="47" t="n">
        <f aca="false">A93+1</f>
        <v>2</v>
      </c>
      <c r="B94" s="110"/>
      <c r="C94" s="47" t="s">
        <v>142</v>
      </c>
      <c r="D94" s="115" t="str">
        <f aca="false">VLOOKUP(C94,[1]Sheet1!$C$5:$E$205,2,0)</f>
        <v>LINGKUNGAN DAN ETIKA REKAYASA</v>
      </c>
      <c r="E94" s="47" t="n">
        <f aca="false">VLOOKUP(C94,[1]Sheet1!$C$5:$E$205,3,0)</f>
        <v>2</v>
      </c>
      <c r="F94" s="50" t="s">
        <v>25</v>
      </c>
      <c r="G94" s="51"/>
      <c r="H94" s="54"/>
      <c r="I94" s="55"/>
    </row>
    <row r="95" s="5" customFormat="true" ht="12.75" hidden="false" customHeight="false" outlineLevel="0" collapsed="false">
      <c r="A95" s="47" t="n">
        <f aca="false">A94+1</f>
        <v>3</v>
      </c>
      <c r="B95" s="110"/>
      <c r="C95" s="47" t="s">
        <v>143</v>
      </c>
      <c r="D95" s="115" t="str">
        <f aca="false">VLOOKUP(C95,[1]Sheet1!$C$5:$E$205,2,0)</f>
        <v>TUGAS AKHIR</v>
      </c>
      <c r="E95" s="47" t="n">
        <f aca="false">VLOOKUP(C95,[1]Sheet1!$C$5:$E$205,3,0)</f>
        <v>4</v>
      </c>
      <c r="F95" s="50" t="s">
        <v>154</v>
      </c>
      <c r="G95" s="51"/>
      <c r="H95" s="54"/>
      <c r="I95" s="55"/>
    </row>
    <row r="96" s="5" customFormat="true" ht="12.75" hidden="false" customHeight="false" outlineLevel="0" collapsed="false">
      <c r="A96" s="116"/>
      <c r="B96" s="110"/>
      <c r="C96" s="117"/>
      <c r="D96" s="117"/>
      <c r="E96" s="118"/>
      <c r="F96" s="119"/>
      <c r="G96" s="120"/>
      <c r="H96" s="54"/>
      <c r="I96" s="55"/>
    </row>
    <row r="97" s="5" customFormat="true" ht="13.5" hidden="false" customHeight="false" outlineLevel="0" collapsed="false">
      <c r="A97" s="94"/>
      <c r="B97" s="94"/>
      <c r="C97" s="94"/>
      <c r="D97" s="94"/>
      <c r="E97" s="94" t="n">
        <f aca="false">SUM(E93:E96)</f>
        <v>10</v>
      </c>
      <c r="F97" s="121"/>
      <c r="G97" s="122"/>
      <c r="H97" s="123"/>
      <c r="I97" s="124"/>
    </row>
    <row r="98" customFormat="false" ht="13.5" hidden="false" customHeight="false" outlineLevel="0" collapsed="false">
      <c r="A98" s="125"/>
      <c r="B98" s="125"/>
      <c r="C98" s="125"/>
      <c r="D98" s="125"/>
      <c r="E98" s="125"/>
      <c r="F98" s="125"/>
      <c r="G98" s="125"/>
      <c r="H98" s="126"/>
      <c r="I98" s="126"/>
    </row>
    <row r="99" customFormat="false" ht="12.75" hidden="false" customHeight="false" outlineLevel="0" collapsed="false">
      <c r="A99" s="25"/>
      <c r="B99" s="25"/>
      <c r="C99" s="25"/>
      <c r="D99" s="25"/>
      <c r="E99" s="25"/>
      <c r="F99" s="25"/>
      <c r="G99" s="25"/>
      <c r="H99" s="26"/>
      <c r="I99" s="26"/>
    </row>
    <row r="100" customFormat="false" ht="12.75" hidden="false" customHeight="false" outlineLevel="0" collapsed="false">
      <c r="A100" s="25"/>
      <c r="B100" s="25"/>
      <c r="C100" s="25"/>
      <c r="D100" s="27" t="s">
        <v>144</v>
      </c>
      <c r="E100" s="27"/>
      <c r="F100" s="25"/>
      <c r="G100" s="25"/>
      <c r="H100" s="26"/>
      <c r="I100" s="26"/>
    </row>
    <row r="101" customFormat="false" ht="12.75" hidden="false" customHeight="false" outlineLevel="0" collapsed="false">
      <c r="A101" s="25"/>
      <c r="B101" s="25"/>
      <c r="C101" s="25"/>
      <c r="D101" s="28" t="s">
        <v>145</v>
      </c>
      <c r="E101" s="29" t="n">
        <f aca="false">E16+E28+E40+E53+E65+E78+E91+E97</f>
        <v>149</v>
      </c>
      <c r="F101" s="25"/>
      <c r="G101" s="25"/>
      <c r="H101" s="26"/>
      <c r="I101" s="26"/>
    </row>
    <row r="102" customFormat="false" ht="12.75" hidden="true" customHeight="false" outlineLevel="0" collapsed="false">
      <c r="A102" s="25"/>
      <c r="B102" s="25"/>
      <c r="C102" s="25"/>
      <c r="D102" s="30" t="s">
        <v>146</v>
      </c>
      <c r="E102" s="31" t="e">
        <f aca="false">E97+#REF!+#REF!+#REF!+E53+E40+E28+E16</f>
        <v>#REF!</v>
      </c>
      <c r="F102" s="127"/>
      <c r="G102" s="127"/>
    </row>
    <row r="103" customFormat="false" ht="12.75" hidden="true" customHeight="false" outlineLevel="0" collapsed="false">
      <c r="A103" s="25"/>
      <c r="B103" s="25"/>
      <c r="C103" s="25"/>
      <c r="D103" s="32" t="s">
        <v>147</v>
      </c>
      <c r="E103" s="33" t="e">
        <f aca="false">E97+#REF!+#REF!+#REF!+E53+E40+E28+E16</f>
        <v>#REF!</v>
      </c>
      <c r="F103" s="128"/>
      <c r="G103" s="128"/>
      <c r="H103" s="26"/>
      <c r="I103" s="26"/>
    </row>
    <row r="104" customFormat="false" ht="12.75" hidden="true" customHeight="false" outlineLevel="0" collapsed="false">
      <c r="A104" s="25"/>
      <c r="B104" s="25"/>
      <c r="C104" s="25"/>
      <c r="D104" s="34" t="s">
        <v>148</v>
      </c>
      <c r="E104" s="35" t="e">
        <f aca="false">E97+#REF!+#REF!+#REF!+E53+E40+E28+E16</f>
        <v>#REF!</v>
      </c>
      <c r="F104" s="129"/>
      <c r="G104" s="129"/>
      <c r="H104" s="26"/>
      <c r="I104" s="26"/>
    </row>
    <row r="107" customFormat="false" ht="12.75" hidden="false" customHeight="false" outlineLevel="0" collapsed="false">
      <c r="B107" s="130" t="s">
        <v>155</v>
      </c>
      <c r="C107" s="130"/>
      <c r="D107" s="130"/>
      <c r="E107" s="130"/>
    </row>
    <row r="108" customFormat="false" ht="12.75" hidden="false" customHeight="false" outlineLevel="0" collapsed="false">
      <c r="B108" s="10" t="s">
        <v>156</v>
      </c>
      <c r="C108" s="10" t="s">
        <v>5</v>
      </c>
      <c r="D108" s="10" t="s">
        <v>6</v>
      </c>
      <c r="E108" s="10" t="s">
        <v>7</v>
      </c>
    </row>
    <row r="109" customFormat="false" ht="12.75" hidden="false" customHeight="false" outlineLevel="0" collapsed="false">
      <c r="B109" s="6" t="n">
        <v>1</v>
      </c>
      <c r="C109" s="131" t="s">
        <v>157</v>
      </c>
      <c r="D109" s="132" t="s">
        <v>158</v>
      </c>
      <c r="E109" s="6" t="n">
        <v>2</v>
      </c>
    </row>
    <row r="110" customFormat="false" ht="12.75" hidden="false" customHeight="false" outlineLevel="0" collapsed="false">
      <c r="B110" s="6" t="n">
        <f aca="false">B109+1</f>
        <v>2</v>
      </c>
      <c r="C110" s="131" t="s">
        <v>159</v>
      </c>
      <c r="D110" s="132" t="s">
        <v>160</v>
      </c>
      <c r="E110" s="133" t="n">
        <v>2</v>
      </c>
    </row>
    <row r="111" customFormat="false" ht="12.75" hidden="false" customHeight="false" outlineLevel="0" collapsed="false">
      <c r="B111" s="6" t="n">
        <f aca="false">B110+1</f>
        <v>3</v>
      </c>
      <c r="C111" s="131" t="s">
        <v>161</v>
      </c>
      <c r="D111" s="132" t="s">
        <v>162</v>
      </c>
      <c r="E111" s="6" t="n">
        <v>2</v>
      </c>
    </row>
    <row r="112" customFormat="false" ht="12.75" hidden="false" customHeight="false" outlineLevel="0" collapsed="false">
      <c r="B112" s="6" t="n">
        <f aca="false">B111+1</f>
        <v>4</v>
      </c>
      <c r="C112" s="131" t="s">
        <v>163</v>
      </c>
      <c r="D112" s="132" t="s">
        <v>164</v>
      </c>
      <c r="E112" s="6" t="n">
        <v>2</v>
      </c>
    </row>
    <row r="113" customFormat="false" ht="12.75" hidden="false" customHeight="false" outlineLevel="0" collapsed="false">
      <c r="B113" s="6" t="n">
        <f aca="false">B112+1</f>
        <v>5</v>
      </c>
      <c r="C113" s="131" t="s">
        <v>165</v>
      </c>
      <c r="D113" s="132" t="s">
        <v>166</v>
      </c>
      <c r="E113" s="6" t="n">
        <v>2</v>
      </c>
    </row>
    <row r="114" customFormat="false" ht="12.75" hidden="false" customHeight="false" outlineLevel="0" collapsed="false">
      <c r="B114" s="6" t="n">
        <f aca="false">B113+1</f>
        <v>6</v>
      </c>
      <c r="C114" s="131" t="s">
        <v>167</v>
      </c>
      <c r="D114" s="132" t="s">
        <v>168</v>
      </c>
      <c r="E114" s="6" t="n">
        <v>2</v>
      </c>
    </row>
    <row r="115" customFormat="false" ht="12.75" hidden="false" customHeight="false" outlineLevel="0" collapsed="false">
      <c r="B115" s="6" t="n">
        <f aca="false">B114+1</f>
        <v>7</v>
      </c>
      <c r="C115" s="131" t="s">
        <v>169</v>
      </c>
      <c r="D115" s="132" t="s">
        <v>170</v>
      </c>
      <c r="E115" s="6" t="n">
        <v>2</v>
      </c>
    </row>
    <row r="116" customFormat="false" ht="12.75" hidden="false" customHeight="false" outlineLevel="0" collapsed="false">
      <c r="B116" s="6" t="n">
        <f aca="false">B115+1</f>
        <v>8</v>
      </c>
      <c r="C116" s="131" t="s">
        <v>171</v>
      </c>
      <c r="D116" s="132" t="s">
        <v>172</v>
      </c>
      <c r="E116" s="6" t="n">
        <v>2</v>
      </c>
    </row>
    <row r="117" customFormat="false" ht="12.75" hidden="false" customHeight="false" outlineLevel="0" collapsed="false">
      <c r="B117" s="6" t="n">
        <f aca="false">B116+1</f>
        <v>9</v>
      </c>
      <c r="C117" s="131" t="s">
        <v>173</v>
      </c>
      <c r="D117" s="132" t="s">
        <v>174</v>
      </c>
      <c r="E117" s="6" t="n">
        <v>2</v>
      </c>
    </row>
    <row r="118" customFormat="false" ht="12.75" hidden="false" customHeight="false" outlineLevel="0" collapsed="false">
      <c r="B118" s="6" t="n">
        <f aca="false">B117+1</f>
        <v>10</v>
      </c>
      <c r="C118" s="131" t="s">
        <v>175</v>
      </c>
      <c r="D118" s="132" t="s">
        <v>176</v>
      </c>
      <c r="E118" s="134" t="n">
        <v>2</v>
      </c>
    </row>
    <row r="119" s="2" customFormat="true" ht="12.75" hidden="false" customHeight="false" outlineLevel="0" collapsed="false">
      <c r="A119" s="1"/>
      <c r="B119" s="6" t="n">
        <f aca="false">B118+1</f>
        <v>11</v>
      </c>
      <c r="C119" s="131" t="s">
        <v>177</v>
      </c>
      <c r="D119" s="132" t="s">
        <v>178</v>
      </c>
      <c r="E119" s="6" t="n">
        <v>2</v>
      </c>
      <c r="F119" s="1"/>
      <c r="G119" s="1"/>
    </row>
    <row r="120" s="2" customFormat="true" ht="12.75" hidden="false" customHeight="false" outlineLevel="0" collapsed="false">
      <c r="A120" s="1"/>
      <c r="B120" s="6" t="n">
        <f aca="false">B119+1</f>
        <v>12</v>
      </c>
      <c r="C120" s="131" t="s">
        <v>179</v>
      </c>
      <c r="D120" s="132" t="s">
        <v>180</v>
      </c>
      <c r="E120" s="6" t="n">
        <v>2</v>
      </c>
      <c r="F120" s="1"/>
      <c r="G120" s="1"/>
    </row>
    <row r="121" s="2" customFormat="true" ht="12.75" hidden="false" customHeight="false" outlineLevel="0" collapsed="false">
      <c r="A121" s="1"/>
      <c r="B121" s="6" t="n">
        <f aca="false">B120+1</f>
        <v>13</v>
      </c>
      <c r="C121" s="131" t="s">
        <v>181</v>
      </c>
      <c r="D121" s="132" t="s">
        <v>182</v>
      </c>
      <c r="E121" s="6" t="n">
        <v>2</v>
      </c>
      <c r="F121" s="1"/>
      <c r="G121" s="1"/>
    </row>
  </sheetData>
  <mergeCells count="15">
    <mergeCell ref="A1:I1"/>
    <mergeCell ref="A2:I2"/>
    <mergeCell ref="A3:I3"/>
    <mergeCell ref="A4:I4"/>
    <mergeCell ref="F6:H6"/>
    <mergeCell ref="B7:B15"/>
    <mergeCell ref="B18:B27"/>
    <mergeCell ref="B29:B39"/>
    <mergeCell ref="B42:B52"/>
    <mergeCell ref="B55:B64"/>
    <mergeCell ref="B66:B77"/>
    <mergeCell ref="B80:B90"/>
    <mergeCell ref="B92:B96"/>
    <mergeCell ref="D100:E100"/>
    <mergeCell ref="B107:E107"/>
  </mergeCells>
  <printOptions headings="false" gridLines="false" gridLinesSet="true" horizontalCentered="true" verticalCentered="false"/>
  <pageMargins left="0.409722222222222" right="0.279861111111111" top="0.590277777777778" bottom="0.559722222222222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92D050"/>
    <pageSetUpPr fitToPage="false"/>
  </sheetPr>
  <dimension ref="A1:N116"/>
  <sheetViews>
    <sheetView showFormulas="false" showGridLines="true" showRowColHeaders="true" showZeros="true" rightToLeft="false" tabSelected="false" showOutlineSymbols="true" defaultGridColor="true" view="normal" topLeftCell="B90" colorId="64" zoomScale="90" zoomScaleNormal="90" zoomScalePageLayoutView="100" workbookViewId="0">
      <selection pane="topLeft" activeCell="D111" activeCellId="0" sqref="D110:D118"/>
    </sheetView>
  </sheetViews>
  <sheetFormatPr defaultRowHeight="12.7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4.86"/>
    <col collapsed="false" customWidth="true" hidden="false" outlineLevel="0" max="3" min="3" style="1" width="11.42"/>
    <col collapsed="false" customWidth="true" hidden="false" outlineLevel="0" max="4" min="4" style="1" width="45.42"/>
    <col collapsed="false" customWidth="true" hidden="false" outlineLevel="0" max="5" min="5" style="1" width="5.01"/>
    <col collapsed="false" customWidth="true" hidden="false" outlineLevel="0" max="6" min="6" style="1" width="7.29"/>
    <col collapsed="false" customWidth="true" hidden="false" outlineLevel="0" max="7" min="7" style="1" width="7.57"/>
    <col collapsed="false" customWidth="true" hidden="false" outlineLevel="0" max="8" min="8" style="2" width="7.57"/>
    <col collapsed="false" customWidth="true" hidden="false" outlineLevel="0" max="9" min="9" style="2" width="4.71"/>
    <col collapsed="false" customWidth="true" hidden="false" outlineLevel="0" max="10" min="10" style="0" width="4.43"/>
    <col collapsed="false" customWidth="true" hidden="false" outlineLevel="0" max="12" min="11" style="0" width="6.57"/>
    <col collapsed="false" customWidth="true" hidden="false" outlineLevel="0" max="13" min="13" style="0" width="4.14"/>
    <col collapsed="false" customWidth="true" hidden="false" outlineLevel="0" max="14" min="14" style="0" width="8.57"/>
    <col collapsed="false" customWidth="true" hidden="false" outlineLevel="0" max="15" min="15" style="0" width="30.57"/>
    <col collapsed="false" customWidth="true" hidden="false" outlineLevel="0" max="16" min="16" style="0" width="5.14"/>
    <col collapsed="false" customWidth="true" hidden="false" outlineLevel="0" max="1025" min="17" style="0" width="8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2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2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12.75" hidden="false" customHeight="false" outlineLevel="0" collapsed="false">
      <c r="A4" s="3" t="s">
        <v>183</v>
      </c>
      <c r="B4" s="3"/>
      <c r="C4" s="3"/>
      <c r="D4" s="3"/>
      <c r="E4" s="3"/>
      <c r="F4" s="3"/>
      <c r="G4" s="3"/>
      <c r="H4" s="3"/>
      <c r="I4" s="3"/>
    </row>
    <row r="5" customFormat="false" ht="13.5" hidden="false" customHeight="false" outlineLevel="0" collapsed="false"/>
    <row r="6" s="5" customFormat="true" ht="14.25" hidden="false" customHeight="false" outlineLevel="0" collapsed="false">
      <c r="A6" s="36" t="s">
        <v>3</v>
      </c>
      <c r="B6" s="36" t="s">
        <v>4</v>
      </c>
      <c r="C6" s="37" t="s">
        <v>5</v>
      </c>
      <c r="D6" s="38" t="s">
        <v>6</v>
      </c>
      <c r="E6" s="36" t="s">
        <v>7</v>
      </c>
      <c r="F6" s="38" t="s">
        <v>8</v>
      </c>
      <c r="G6" s="38"/>
      <c r="H6" s="38"/>
      <c r="I6" s="36" t="s">
        <v>9</v>
      </c>
    </row>
    <row r="7" customFormat="false" ht="13.5" hidden="false" customHeight="false" outlineLevel="0" collapsed="false">
      <c r="A7" s="39" t="n">
        <v>1</v>
      </c>
      <c r="B7" s="40" t="s">
        <v>10</v>
      </c>
      <c r="C7" s="39" t="s">
        <v>11</v>
      </c>
      <c r="D7" s="135" t="str">
        <f aca="false">VLOOKUP(C7,[1]Sheet1!$C$5:$E$205,2,0)</f>
        <v>PENDIDIKAN AGAMA</v>
      </c>
      <c r="E7" s="39" t="n">
        <f aca="false">VLOOKUP(C7,[1]Sheet1!$C$5:$E$205,3,0)</f>
        <v>2</v>
      </c>
      <c r="F7" s="43" t="s">
        <v>150</v>
      </c>
      <c r="G7" s="44"/>
      <c r="H7" s="45"/>
      <c r="I7" s="46"/>
    </row>
    <row r="8" customFormat="false" ht="12.75" hidden="false" customHeight="false" outlineLevel="0" collapsed="false">
      <c r="A8" s="47" t="n">
        <v>2</v>
      </c>
      <c r="B8" s="40"/>
      <c r="C8" s="47" t="s">
        <v>12</v>
      </c>
      <c r="D8" s="87" t="str">
        <f aca="false">VLOOKUP(C8,[1]Sheet1!$C$5:$E$205,2,0)</f>
        <v>PANCASILA</v>
      </c>
      <c r="E8" s="47" t="n">
        <f aca="false">VLOOKUP(C8,[1]Sheet1!$C$5:$E$205,3,0)</f>
        <v>2</v>
      </c>
      <c r="F8" s="50" t="s">
        <v>150</v>
      </c>
      <c r="G8" s="51"/>
      <c r="H8" s="52"/>
      <c r="I8" s="53"/>
    </row>
    <row r="9" customFormat="false" ht="12.75" hidden="false" customHeight="false" outlineLevel="0" collapsed="false">
      <c r="A9" s="47" t="n">
        <v>3</v>
      </c>
      <c r="B9" s="40"/>
      <c r="C9" s="48" t="s">
        <v>13</v>
      </c>
      <c r="D9" s="49" t="str">
        <f aca="false">VLOOKUP(C9,[1]Sheet1!$C$5:$E$205,2,0)</f>
        <v>BAHASA INDONESIA</v>
      </c>
      <c r="E9" s="47" t="n">
        <f aca="false">VLOOKUP(C9,[1]Sheet1!$C$5:$E$205,3,0)</f>
        <v>2</v>
      </c>
      <c r="F9" s="50" t="s">
        <v>150</v>
      </c>
      <c r="G9" s="51"/>
      <c r="H9" s="52"/>
      <c r="I9" s="53"/>
    </row>
    <row r="10" customFormat="false" ht="12.75" hidden="false" customHeight="false" outlineLevel="0" collapsed="false">
      <c r="A10" s="47" t="n">
        <v>4</v>
      </c>
      <c r="B10" s="40"/>
      <c r="C10" s="47" t="s">
        <v>14</v>
      </c>
      <c r="D10" s="87" t="str">
        <f aca="false">VLOOKUP(C10,[1]Sheet1!$C$5:$E$205,2,0)</f>
        <v>BAHASA INGGRIS I</v>
      </c>
      <c r="E10" s="47" t="n">
        <f aca="false">VLOOKUP(C10,[1]Sheet1!$C$5:$E$205,3,0)</f>
        <v>2</v>
      </c>
      <c r="F10" s="50" t="s">
        <v>150</v>
      </c>
      <c r="G10" s="51"/>
      <c r="H10" s="52"/>
      <c r="I10" s="53"/>
    </row>
    <row r="11" customFormat="false" ht="12.75" hidden="false" customHeight="false" outlineLevel="0" collapsed="false">
      <c r="A11" s="47" t="n">
        <v>5</v>
      </c>
      <c r="B11" s="40"/>
      <c r="C11" s="47" t="s">
        <v>15</v>
      </c>
      <c r="D11" s="87" t="str">
        <f aca="false">VLOOKUP(C11,[1]Sheet1!$C$5:$E$205,2,0)</f>
        <v>MATEMATIKA DASAR</v>
      </c>
      <c r="E11" s="47" t="n">
        <f aca="false">VLOOKUP(C11,[1]Sheet1!$C$5:$E$205,3,0)</f>
        <v>3</v>
      </c>
      <c r="F11" s="50" t="s">
        <v>150</v>
      </c>
      <c r="G11" s="51"/>
      <c r="H11" s="52"/>
      <c r="I11" s="53"/>
    </row>
    <row r="12" customFormat="false" ht="12.75" hidden="false" customHeight="false" outlineLevel="0" collapsed="false">
      <c r="A12" s="47" t="n">
        <v>6</v>
      </c>
      <c r="B12" s="40"/>
      <c r="C12" s="48" t="s">
        <v>16</v>
      </c>
      <c r="D12" s="49" t="str">
        <f aca="false">VLOOKUP(C12,[1]Sheet1!$C$5:$E$205,2,0)</f>
        <v>FISIKA DASAR</v>
      </c>
      <c r="E12" s="48" t="n">
        <f aca="false">VLOOKUP(C12,[1]Sheet1!$C$5:$E$205,3,0)</f>
        <v>3</v>
      </c>
      <c r="F12" s="50" t="s">
        <v>150</v>
      </c>
      <c r="G12" s="51"/>
      <c r="H12" s="52"/>
      <c r="I12" s="53"/>
    </row>
    <row r="13" customFormat="false" ht="12.75" hidden="false" customHeight="false" outlineLevel="0" collapsed="false">
      <c r="A13" s="47" t="n">
        <v>7</v>
      </c>
      <c r="B13" s="40"/>
      <c r="C13" s="47" t="s">
        <v>17</v>
      </c>
      <c r="D13" s="87" t="str">
        <f aca="false">VLOOKUP(C13,[1]Sheet1!$C$5:$E$205,2,0)</f>
        <v>KIMIA DASAR</v>
      </c>
      <c r="E13" s="47" t="n">
        <f aca="false">VLOOKUP(C13,[1]Sheet1!$C$5:$E$205,3,0)</f>
        <v>3</v>
      </c>
      <c r="F13" s="50" t="s">
        <v>150</v>
      </c>
      <c r="G13" s="51"/>
      <c r="H13" s="52"/>
      <c r="I13" s="53"/>
    </row>
    <row r="14" s="5" customFormat="true" ht="12.75" hidden="false" customHeight="false" outlineLevel="0" collapsed="false">
      <c r="A14" s="47" t="n">
        <v>8</v>
      </c>
      <c r="B14" s="40"/>
      <c r="C14" s="47" t="s">
        <v>18</v>
      </c>
      <c r="D14" s="87" t="str">
        <f aca="false">VLOOKUP(C14,[1]Sheet1!$C$5:$E$205,2,0)</f>
        <v>BIOLOGI UMUM</v>
      </c>
      <c r="E14" s="47" t="n">
        <f aca="false">VLOOKUP(C14,[1]Sheet1!$C$5:$E$205,3,0)</f>
        <v>3</v>
      </c>
      <c r="F14" s="50" t="s">
        <v>150</v>
      </c>
      <c r="G14" s="51"/>
      <c r="H14" s="54"/>
      <c r="I14" s="55"/>
    </row>
    <row r="15" s="5" customFormat="true" ht="13.5" hidden="false" customHeight="false" outlineLevel="0" collapsed="false">
      <c r="A15" s="56"/>
      <c r="B15" s="40"/>
      <c r="C15" s="56"/>
      <c r="D15" s="56"/>
      <c r="E15" s="56"/>
      <c r="F15" s="57"/>
      <c r="G15" s="58"/>
      <c r="H15" s="59"/>
      <c r="I15" s="60"/>
    </row>
    <row r="16" s="13" customFormat="true" ht="14.25" hidden="false" customHeight="false" outlineLevel="0" collapsed="false">
      <c r="A16" s="61"/>
      <c r="B16" s="61"/>
      <c r="C16" s="61"/>
      <c r="D16" s="61"/>
      <c r="E16" s="62" t="n">
        <f aca="false">SUM(E7:E15)</f>
        <v>20</v>
      </c>
      <c r="F16" s="63"/>
      <c r="G16" s="64"/>
      <c r="H16" s="65"/>
      <c r="I16" s="66"/>
    </row>
    <row r="17" customFormat="false" ht="13.5" hidden="false" customHeight="false" outlineLevel="0" collapsed="false">
      <c r="A17" s="67"/>
      <c r="B17" s="67"/>
      <c r="C17" s="67"/>
      <c r="D17" s="67"/>
      <c r="E17" s="67"/>
      <c r="F17" s="68"/>
      <c r="G17" s="69"/>
      <c r="H17" s="70"/>
      <c r="I17" s="71"/>
    </row>
    <row r="18" s="5" customFormat="true" ht="12.75" hidden="false" customHeight="false" outlineLevel="0" collapsed="false">
      <c r="A18" s="47" t="n">
        <v>1</v>
      </c>
      <c r="B18" s="72" t="s">
        <v>19</v>
      </c>
      <c r="C18" s="47" t="s">
        <v>20</v>
      </c>
      <c r="D18" s="87" t="str">
        <f aca="false">VLOOKUP(C18,[1]Sheet1!$C$5:$E$205,2,0)</f>
        <v>KEWARGANEGARAAN</v>
      </c>
      <c r="E18" s="47" t="n">
        <f aca="false">VLOOKUP(C18,[1]Sheet1!$C$5:$E$205,3,0)</f>
        <v>2</v>
      </c>
      <c r="F18" s="50" t="s">
        <v>12</v>
      </c>
      <c r="G18" s="51"/>
      <c r="H18" s="54"/>
      <c r="I18" s="55"/>
    </row>
    <row r="19" customFormat="false" ht="12.75" hidden="false" customHeight="false" outlineLevel="0" collapsed="false">
      <c r="A19" s="47" t="n">
        <f aca="false">A18+1</f>
        <v>2</v>
      </c>
      <c r="B19" s="72"/>
      <c r="C19" s="47" t="s">
        <v>21</v>
      </c>
      <c r="D19" s="87" t="str">
        <f aca="false">VLOOKUP(C19,[1]Sheet1!$C$5:$E$205,2,0)</f>
        <v>BAHASA INGGRIS II</v>
      </c>
      <c r="E19" s="47" t="n">
        <f aca="false">VLOOKUP(C19,[1]Sheet1!$C$5:$E$205,3,0)</f>
        <v>2</v>
      </c>
      <c r="F19" s="50" t="s">
        <v>14</v>
      </c>
      <c r="G19" s="51"/>
      <c r="H19" s="52"/>
      <c r="I19" s="53"/>
      <c r="N19" s="5"/>
    </row>
    <row r="20" s="5" customFormat="true" ht="12.75" hidden="false" customHeight="false" outlineLevel="0" collapsed="false">
      <c r="A20" s="47" t="n">
        <f aca="false">A19+1</f>
        <v>3</v>
      </c>
      <c r="B20" s="72"/>
      <c r="C20" s="47" t="s">
        <v>22</v>
      </c>
      <c r="D20" s="87" t="str">
        <f aca="false">VLOOKUP(C20,[1]Sheet1!$C$5:$E$205,2,0)</f>
        <v>KEWIRAUSAHAAN</v>
      </c>
      <c r="E20" s="47" t="n">
        <f aca="false">VLOOKUP(C20,[1]Sheet1!$C$5:$E$205,3,0)</f>
        <v>2</v>
      </c>
      <c r="F20" s="50" t="s">
        <v>150</v>
      </c>
      <c r="G20" s="51"/>
      <c r="H20" s="54"/>
      <c r="I20" s="55"/>
    </row>
    <row r="21" customFormat="false" ht="12.75" hidden="false" customHeight="false" outlineLevel="0" collapsed="false">
      <c r="A21" s="47" t="n">
        <f aca="false">A20+1</f>
        <v>4</v>
      </c>
      <c r="B21" s="72"/>
      <c r="C21" s="47" t="s">
        <v>23</v>
      </c>
      <c r="D21" s="87" t="str">
        <f aca="false">VLOOKUP(C21,[1]Sheet1!$C$5:$E$205,2,0)</f>
        <v>ILMU SOSIAL DAN BUDAYA DASAR</v>
      </c>
      <c r="E21" s="47" t="n">
        <f aca="false">VLOOKUP(C21,[1]Sheet1!$C$5:$E$205,3,0)</f>
        <v>2</v>
      </c>
      <c r="F21" s="50" t="s">
        <v>150</v>
      </c>
      <c r="G21" s="51"/>
      <c r="H21" s="52"/>
      <c r="I21" s="53"/>
      <c r="N21" s="16"/>
    </row>
    <row r="22" s="5" customFormat="true" ht="12.75" hidden="false" customHeight="false" outlineLevel="0" collapsed="false">
      <c r="A22" s="47" t="n">
        <f aca="false">A21+1</f>
        <v>5</v>
      </c>
      <c r="B22" s="72"/>
      <c r="C22" s="48" t="s">
        <v>24</v>
      </c>
      <c r="D22" s="49" t="str">
        <f aca="false">VLOOKUP(C22,[1]Sheet1!$C$5:$E$205,2,0)</f>
        <v>RANGKAIAN LOGIKA</v>
      </c>
      <c r="E22" s="47" t="n">
        <f aca="false">VLOOKUP(C22,[1]Sheet1!$C$5:$E$205,3,0)</f>
        <v>2</v>
      </c>
      <c r="F22" s="50" t="s">
        <v>150</v>
      </c>
      <c r="G22" s="51"/>
      <c r="H22" s="54"/>
      <c r="I22" s="55"/>
      <c r="N22" s="16"/>
    </row>
    <row r="23" customFormat="false" ht="12.75" hidden="false" customHeight="false" outlineLevel="0" collapsed="false">
      <c r="A23" s="47" t="n">
        <f aca="false">A22+1</f>
        <v>6</v>
      </c>
      <c r="B23" s="72"/>
      <c r="C23" s="48" t="s">
        <v>25</v>
      </c>
      <c r="D23" s="49" t="str">
        <f aca="false">VLOOKUP(C23,[1]Sheet1!$C$5:$E$205,2,0)</f>
        <v>KONSEP SAINS DAN TEKNOLOGI</v>
      </c>
      <c r="E23" s="47" t="n">
        <f aca="false">VLOOKUP(C23,[1]Sheet1!$C$5:$E$205,3,0)</f>
        <v>2</v>
      </c>
      <c r="F23" s="50" t="s">
        <v>150</v>
      </c>
      <c r="G23" s="51"/>
      <c r="H23" s="52"/>
      <c r="I23" s="53"/>
      <c r="N23" s="16"/>
    </row>
    <row r="24" s="5" customFormat="true" ht="12.75" hidden="false" customHeight="false" outlineLevel="0" collapsed="false">
      <c r="A24" s="47" t="n">
        <f aca="false">A23+1</f>
        <v>7</v>
      </c>
      <c r="B24" s="72"/>
      <c r="C24" s="48" t="s">
        <v>26</v>
      </c>
      <c r="D24" s="49" t="str">
        <f aca="false">VLOOKUP(C24,[1]Sheet1!$C$5:$E$205,2,0)</f>
        <v>DASAR TELEKOMUNIKASI</v>
      </c>
      <c r="E24" s="47" t="n">
        <f aca="false">VLOOKUP(C24,[1]Sheet1!$C$5:$E$205,3,0)</f>
        <v>3</v>
      </c>
      <c r="F24" s="50" t="s">
        <v>150</v>
      </c>
      <c r="G24" s="51"/>
      <c r="H24" s="54"/>
      <c r="I24" s="55"/>
      <c r="N24" s="16"/>
    </row>
    <row r="25" s="5" customFormat="true" ht="12.75" hidden="false" customHeight="false" outlineLevel="0" collapsed="false">
      <c r="A25" s="47" t="n">
        <f aca="false">A24+1</f>
        <v>8</v>
      </c>
      <c r="B25" s="72"/>
      <c r="C25" s="48" t="s">
        <v>27</v>
      </c>
      <c r="D25" s="49" t="str">
        <f aca="false">VLOOKUP(C25,[1]Sheet1!$C$5:$E$205,2,0)</f>
        <v>FISIKA II / FISIKA LANJUT</v>
      </c>
      <c r="E25" s="47" t="n">
        <f aca="false">VLOOKUP(C25,[1]Sheet1!$C$5:$E$205,3,0)</f>
        <v>3</v>
      </c>
      <c r="F25" s="50" t="s">
        <v>16</v>
      </c>
      <c r="G25" s="51"/>
      <c r="H25" s="54"/>
      <c r="I25" s="55"/>
      <c r="N25" s="16"/>
    </row>
    <row r="26" customFormat="false" ht="12.75" hidden="false" customHeight="false" outlineLevel="0" collapsed="false">
      <c r="A26" s="47" t="n">
        <f aca="false">A25+1</f>
        <v>9</v>
      </c>
      <c r="B26" s="72"/>
      <c r="C26" s="48" t="s">
        <v>28</v>
      </c>
      <c r="D26" s="49" t="str">
        <f aca="false">VLOOKUP(C26,[1]Sheet1!$C$5:$E$205,2,0)</f>
        <v>KALKULUS II / MATEMATIKA LANJUT</v>
      </c>
      <c r="E26" s="47" t="n">
        <f aca="false">VLOOKUP(C26,[1]Sheet1!$C$5:$E$205,3,0)</f>
        <v>2</v>
      </c>
      <c r="F26" s="50" t="s">
        <v>15</v>
      </c>
      <c r="G26" s="51"/>
      <c r="H26" s="52"/>
      <c r="I26" s="53"/>
      <c r="N26" s="16"/>
    </row>
    <row r="27" customFormat="false" ht="13.5" hidden="false" customHeight="false" outlineLevel="0" collapsed="false">
      <c r="A27" s="56" t="n">
        <f aca="false">A26+1</f>
        <v>10</v>
      </c>
      <c r="B27" s="72"/>
      <c r="C27" s="73" t="s">
        <v>29</v>
      </c>
      <c r="D27" s="74" t="str">
        <f aca="false">VLOOKUP(C27,[1]Sheet1!$C$5:$E$205,2,0)</f>
        <v>PRAKTIKUM DASAR TELEKOMUNIKASI</v>
      </c>
      <c r="E27" s="56" t="n">
        <f aca="false">VLOOKUP(C27,[1]Sheet1!$C$5:$E$205,3,0)</f>
        <v>1</v>
      </c>
      <c r="F27" s="57" t="s">
        <v>151</v>
      </c>
      <c r="G27" s="58" t="s">
        <v>26</v>
      </c>
      <c r="H27" s="75"/>
      <c r="I27" s="76"/>
      <c r="N27" s="16"/>
    </row>
    <row r="28" s="5" customFormat="true" ht="14.25" hidden="false" customHeight="false" outlineLevel="0" collapsed="false">
      <c r="A28" s="77"/>
      <c r="B28" s="77"/>
      <c r="C28" s="77"/>
      <c r="D28" s="61"/>
      <c r="E28" s="77" t="n">
        <f aca="false">SUM(E18:E27)</f>
        <v>21</v>
      </c>
      <c r="F28" s="78"/>
      <c r="G28" s="79"/>
      <c r="H28" s="80"/>
      <c r="I28" s="81"/>
      <c r="N28" s="16"/>
    </row>
    <row r="29" customFormat="false" ht="13.5" hidden="false" customHeight="false" outlineLevel="0" collapsed="false">
      <c r="A29" s="67"/>
      <c r="B29" s="40" t="s">
        <v>30</v>
      </c>
      <c r="C29" s="67"/>
      <c r="D29" s="67"/>
      <c r="E29" s="67"/>
      <c r="F29" s="82"/>
      <c r="G29" s="83"/>
      <c r="H29" s="84"/>
      <c r="I29" s="85"/>
      <c r="N29" s="16"/>
    </row>
    <row r="30" customFormat="false" ht="12.75" hidden="false" customHeight="false" outlineLevel="0" collapsed="false">
      <c r="A30" s="47" t="n">
        <v>1</v>
      </c>
      <c r="B30" s="40"/>
      <c r="C30" s="48" t="s">
        <v>31</v>
      </c>
      <c r="D30" s="49" t="str">
        <f aca="false">VLOOKUP(C30,[1]Sheet1!$C$5:$E$205,2,0)</f>
        <v>MATEMATIKA TEKNIK I</v>
      </c>
      <c r="E30" s="47" t="n">
        <f aca="false">VLOOKUP(C30,[1]Sheet1!$C$5:$E$205,3,0)</f>
        <v>3</v>
      </c>
      <c r="F30" s="50" t="s">
        <v>28</v>
      </c>
      <c r="G30" s="51"/>
      <c r="H30" s="52"/>
      <c r="I30" s="53"/>
    </row>
    <row r="31" customFormat="false" ht="12.75" hidden="false" customHeight="false" outlineLevel="0" collapsed="false">
      <c r="A31" s="47" t="n">
        <f aca="false">A30+1</f>
        <v>2</v>
      </c>
      <c r="B31" s="40"/>
      <c r="C31" s="48" t="s">
        <v>32</v>
      </c>
      <c r="D31" s="49" t="str">
        <f aca="false">VLOOKUP(C31,[1]Sheet1!$C$5:$E$205,2,0)</f>
        <v>DASAR TEKNOLOGI INFORMASI</v>
      </c>
      <c r="E31" s="47" t="n">
        <f aca="false">VLOOKUP(C31,[1]Sheet1!$C$5:$E$205,3,0)</f>
        <v>3</v>
      </c>
      <c r="F31" s="50" t="s">
        <v>150</v>
      </c>
      <c r="G31" s="51"/>
      <c r="H31" s="52"/>
      <c r="I31" s="53"/>
    </row>
    <row r="32" customFormat="false" ht="12.75" hidden="false" customHeight="false" outlineLevel="0" collapsed="false">
      <c r="A32" s="47" t="n">
        <f aca="false">A31+1</f>
        <v>3</v>
      </c>
      <c r="B32" s="40"/>
      <c r="C32" s="48" t="s">
        <v>33</v>
      </c>
      <c r="D32" s="49" t="str">
        <f aca="false">VLOOKUP(C32,[1]Sheet1!$C$5:$E$205,2,0)</f>
        <v>RANGKAIAN LISTRIK I</v>
      </c>
      <c r="E32" s="47" t="n">
        <f aca="false">VLOOKUP(C32,[1]Sheet1!$C$5:$E$205,3,0)</f>
        <v>3</v>
      </c>
      <c r="F32" s="50" t="s">
        <v>27</v>
      </c>
      <c r="G32" s="51"/>
      <c r="H32" s="52"/>
      <c r="I32" s="53"/>
      <c r="N32" s="5"/>
    </row>
    <row r="33" customFormat="false" ht="12.75" hidden="false" customHeight="false" outlineLevel="0" collapsed="false">
      <c r="A33" s="47" t="n">
        <f aca="false">A32+1</f>
        <v>4</v>
      </c>
      <c r="B33" s="40"/>
      <c r="C33" s="48" t="s">
        <v>34</v>
      </c>
      <c r="D33" s="49" t="str">
        <f aca="false">VLOOKUP(C33,[1]Sheet1!$C$5:$E$205,2,0)</f>
        <v>PENGUKURAN BESARAN LISTRIK</v>
      </c>
      <c r="E33" s="47" t="n">
        <f aca="false">VLOOKUP(C33,[1]Sheet1!$C$5:$E$205,3,0)</f>
        <v>2</v>
      </c>
      <c r="F33" s="50" t="s">
        <v>27</v>
      </c>
      <c r="G33" s="51"/>
      <c r="H33" s="52"/>
      <c r="I33" s="53"/>
      <c r="N33" s="16"/>
    </row>
    <row r="34" customFormat="false" ht="12.75" hidden="false" customHeight="false" outlineLevel="0" collapsed="false">
      <c r="A34" s="47" t="n">
        <f aca="false">A33+1</f>
        <v>5</v>
      </c>
      <c r="B34" s="40"/>
      <c r="C34" s="48" t="s">
        <v>35</v>
      </c>
      <c r="D34" s="49" t="str">
        <f aca="false">VLOOKUP(C34,[1]Sheet1!$C$5:$E$205,2,0)</f>
        <v>PRAKTIKUM PENGUKURAN BESARAN LISTRIK</v>
      </c>
      <c r="E34" s="47" t="n">
        <f aca="false">VLOOKUP(C34,[1]Sheet1!$C$5:$E$205,3,0)</f>
        <v>1</v>
      </c>
      <c r="F34" s="50" t="s">
        <v>151</v>
      </c>
      <c r="G34" s="51" t="s">
        <v>34</v>
      </c>
      <c r="H34" s="52"/>
      <c r="I34" s="53"/>
      <c r="N34" s="16"/>
    </row>
    <row r="35" customFormat="false" ht="12.75" hidden="false" customHeight="false" outlineLevel="0" collapsed="false">
      <c r="A35" s="47" t="n">
        <f aca="false">A34+1</f>
        <v>6</v>
      </c>
      <c r="B35" s="40"/>
      <c r="C35" s="48" t="s">
        <v>36</v>
      </c>
      <c r="D35" s="49" t="str">
        <f aca="false">VLOOKUP(C35,[1]Sheet1!$C$5:$E$205,2,0)</f>
        <v>DASAR ELEKTRONIKA</v>
      </c>
      <c r="E35" s="47" t="n">
        <f aca="false">VLOOKUP(C35,[1]Sheet1!$C$5:$E$205,3,0)</f>
        <v>3</v>
      </c>
      <c r="F35" s="50" t="s">
        <v>33</v>
      </c>
      <c r="G35" s="51"/>
      <c r="H35" s="52"/>
      <c r="I35" s="53"/>
    </row>
    <row r="36" customFormat="false" ht="12.75" hidden="false" customHeight="false" outlineLevel="0" collapsed="false">
      <c r="A36" s="47" t="n">
        <f aca="false">A35+1</f>
        <v>7</v>
      </c>
      <c r="B36" s="40"/>
      <c r="C36" s="48" t="s">
        <v>37</v>
      </c>
      <c r="D36" s="49" t="str">
        <f aca="false">VLOOKUP(C36,[1]Sheet1!$C$5:$E$205,2,0)</f>
        <v>DASAR TENAGA LISTRIK</v>
      </c>
      <c r="E36" s="47" t="n">
        <f aca="false">VLOOKUP(C36,[1]Sheet1!$C$5:$E$205,3,0)</f>
        <v>3</v>
      </c>
      <c r="F36" s="50" t="s">
        <v>33</v>
      </c>
      <c r="G36" s="51"/>
      <c r="H36" s="52"/>
      <c r="I36" s="53"/>
    </row>
    <row r="37" s="16" customFormat="true" ht="12.75" hidden="false" customHeight="false" outlineLevel="0" collapsed="false">
      <c r="A37" s="47" t="n">
        <f aca="false">A36+1</f>
        <v>8</v>
      </c>
      <c r="B37" s="40"/>
      <c r="C37" s="48" t="s">
        <v>38</v>
      </c>
      <c r="D37" s="49" t="str">
        <f aca="false">VLOOKUP(C37,[1]Sheet1!$C$5:$E$205,2,0)</f>
        <v>ALGORITMA DAN PEMROGRAMAN</v>
      </c>
      <c r="E37" s="47" t="n">
        <f aca="false">VLOOKUP(C37,[1]Sheet1!$C$5:$E$205,3,0)</f>
        <v>2</v>
      </c>
      <c r="F37" s="50" t="s">
        <v>24</v>
      </c>
      <c r="G37" s="51"/>
      <c r="H37" s="86"/>
      <c r="I37" s="87"/>
    </row>
    <row r="38" s="5" customFormat="true" ht="12.75" hidden="false" customHeight="false" outlineLevel="0" collapsed="false">
      <c r="A38" s="47" t="n">
        <f aca="false">A37+1</f>
        <v>9</v>
      </c>
      <c r="B38" s="40"/>
      <c r="C38" s="48" t="s">
        <v>39</v>
      </c>
      <c r="D38" s="49" t="str">
        <f aca="false">VLOOKUP(C38,[1]Sheet1!$C$5:$E$205,2,0)</f>
        <v>PRAKTIKUM RANGKAIAN LOGIKA</v>
      </c>
      <c r="E38" s="47" t="n">
        <f aca="false">VLOOKUP(C38,[1]Sheet1!$C$5:$E$205,3,0)</f>
        <v>1</v>
      </c>
      <c r="F38" s="50" t="s">
        <v>24</v>
      </c>
      <c r="G38" s="51"/>
      <c r="H38" s="54"/>
      <c r="I38" s="55"/>
    </row>
    <row r="39" customFormat="false" ht="13.5" hidden="false" customHeight="false" outlineLevel="0" collapsed="false">
      <c r="A39" s="56"/>
      <c r="B39" s="40"/>
      <c r="C39" s="56"/>
      <c r="D39" s="56"/>
      <c r="E39" s="56"/>
      <c r="F39" s="57"/>
      <c r="G39" s="58"/>
      <c r="H39" s="75"/>
      <c r="I39" s="76"/>
    </row>
    <row r="40" s="5" customFormat="true" ht="14.25" hidden="false" customHeight="false" outlineLevel="0" collapsed="false">
      <c r="A40" s="62"/>
      <c r="B40" s="62"/>
      <c r="C40" s="62"/>
      <c r="D40" s="61"/>
      <c r="E40" s="62" t="n">
        <f aca="false">SUM(E30:E39)</f>
        <v>21</v>
      </c>
      <c r="F40" s="63"/>
      <c r="G40" s="64"/>
      <c r="H40" s="65"/>
      <c r="I40" s="66"/>
    </row>
    <row r="41" customFormat="false" ht="13.5" hidden="false" customHeight="false" outlineLevel="0" collapsed="false">
      <c r="A41" s="88"/>
      <c r="B41" s="88"/>
      <c r="C41" s="88"/>
      <c r="D41" s="88"/>
      <c r="E41" s="88"/>
      <c r="F41" s="68"/>
      <c r="G41" s="69"/>
      <c r="H41" s="70"/>
      <c r="I41" s="71"/>
    </row>
    <row r="42" s="16" customFormat="true" ht="12.8" hidden="false" customHeight="false" outlineLevel="0" collapsed="false">
      <c r="A42" s="47" t="n">
        <v>1</v>
      </c>
      <c r="B42" s="72" t="s">
        <v>40</v>
      </c>
      <c r="C42" s="48" t="s">
        <v>41</v>
      </c>
      <c r="D42" s="49" t="str">
        <f aca="false">VLOOKUP(C42,[1]Sheet1!$C$5:$E$205,2,0)</f>
        <v>PRAKTKUM ALGORITMA DAN PEMROGRAMAN</v>
      </c>
      <c r="E42" s="47" t="n">
        <f aca="false">VLOOKUP(C42,[1]Sheet1!$C$5:$E$205,3,0)</f>
        <v>1</v>
      </c>
      <c r="F42" s="50" t="s">
        <v>38</v>
      </c>
      <c r="G42" s="51"/>
      <c r="H42" s="86"/>
      <c r="I42" s="87"/>
    </row>
    <row r="43" s="16" customFormat="true" ht="12.75" hidden="false" customHeight="false" outlineLevel="0" collapsed="false">
      <c r="A43" s="47" t="n">
        <f aca="false">A42+1</f>
        <v>2</v>
      </c>
      <c r="B43" s="72"/>
      <c r="C43" s="48" t="s">
        <v>42</v>
      </c>
      <c r="D43" s="49" t="str">
        <f aca="false">VLOOKUP(C43,[1]Sheet1!$C$5:$E$205,2,0)</f>
        <v>MATEMATIKA TEKNIK II</v>
      </c>
      <c r="E43" s="47" t="n">
        <f aca="false">VLOOKUP(C43,[1]Sheet1!$C$5:$E$205,3,0)</f>
        <v>3</v>
      </c>
      <c r="F43" s="50" t="s">
        <v>31</v>
      </c>
      <c r="G43" s="51"/>
      <c r="H43" s="86"/>
      <c r="I43" s="87"/>
    </row>
    <row r="44" s="16" customFormat="true" ht="12.75" hidden="false" customHeight="false" outlineLevel="0" collapsed="false">
      <c r="A44" s="47" t="n">
        <f aca="false">A43+1</f>
        <v>3</v>
      </c>
      <c r="B44" s="72"/>
      <c r="C44" s="48" t="s">
        <v>43</v>
      </c>
      <c r="D44" s="49" t="str">
        <f aca="false">VLOOKUP(C44,[1]Sheet1!$C$5:$E$205,2,0)</f>
        <v>SINYAL DAN SISTEM</v>
      </c>
      <c r="E44" s="47" t="n">
        <f aca="false">VLOOKUP(C44,[1]Sheet1!$C$5:$E$205,3,0)</f>
        <v>3</v>
      </c>
      <c r="F44" s="50" t="s">
        <v>42</v>
      </c>
      <c r="G44" s="51"/>
      <c r="H44" s="86"/>
      <c r="I44" s="87"/>
    </row>
    <row r="45" s="16" customFormat="true" ht="12.75" hidden="false" customHeight="false" outlineLevel="0" collapsed="false">
      <c r="A45" s="47" t="n">
        <f aca="false">A44+1</f>
        <v>4</v>
      </c>
      <c r="B45" s="72"/>
      <c r="C45" s="48" t="s">
        <v>44</v>
      </c>
      <c r="D45" s="49" t="str">
        <f aca="false">VLOOKUP(C45,[1]Sheet1!$C$5:$E$205,2,0)</f>
        <v>BAHAN LISTRIK</v>
      </c>
      <c r="E45" s="47" t="n">
        <f aca="false">VLOOKUP(C45,[1]Sheet1!$C$5:$E$205,3,0)</f>
        <v>2</v>
      </c>
      <c r="F45" s="50" t="s">
        <v>16</v>
      </c>
      <c r="G45" s="51"/>
      <c r="H45" s="86"/>
      <c r="I45" s="87"/>
    </row>
    <row r="46" s="16" customFormat="true" ht="12.75" hidden="false" customHeight="false" outlineLevel="0" collapsed="false">
      <c r="A46" s="47" t="n">
        <f aca="false">A45+1</f>
        <v>5</v>
      </c>
      <c r="B46" s="72"/>
      <c r="C46" s="48" t="s">
        <v>45</v>
      </c>
      <c r="D46" s="49" t="str">
        <f aca="false">VLOOKUP(C46,[1]Sheet1!$C$5:$E$205,2,0)</f>
        <v>PROBABILITAS DAN STATISTIK</v>
      </c>
      <c r="E46" s="47" t="n">
        <f aca="false">VLOOKUP(C46,[1]Sheet1!$C$5:$E$205,3,0)</f>
        <v>2</v>
      </c>
      <c r="F46" s="50" t="s">
        <v>31</v>
      </c>
      <c r="G46" s="51"/>
      <c r="H46" s="86"/>
      <c r="I46" s="87"/>
    </row>
    <row r="47" s="16" customFormat="true" ht="12.75" hidden="false" customHeight="false" outlineLevel="0" collapsed="false">
      <c r="A47" s="47" t="n">
        <f aca="false">A46+1</f>
        <v>6</v>
      </c>
      <c r="B47" s="72"/>
      <c r="C47" s="48" t="s">
        <v>46</v>
      </c>
      <c r="D47" s="49" t="str">
        <f aca="false">VLOOKUP(C47,[1]Sheet1!$C$5:$E$205,2,0)</f>
        <v>METODE NUMERIK</v>
      </c>
      <c r="E47" s="47" t="n">
        <f aca="false">VLOOKUP(C47,[1]Sheet1!$C$5:$E$205,3,0)</f>
        <v>2</v>
      </c>
      <c r="F47" s="50" t="s">
        <v>31</v>
      </c>
      <c r="G47" s="51"/>
      <c r="H47" s="86"/>
      <c r="I47" s="87"/>
    </row>
    <row r="48" s="16" customFormat="true" ht="12.75" hidden="false" customHeight="false" outlineLevel="0" collapsed="false">
      <c r="A48" s="47" t="n">
        <f aca="false">A47+1</f>
        <v>7</v>
      </c>
      <c r="B48" s="72"/>
      <c r="C48" s="48" t="s">
        <v>47</v>
      </c>
      <c r="D48" s="49" t="str">
        <f aca="false">VLOOKUP(C48,[1]Sheet1!$C$5:$E$205,2,0)</f>
        <v>RANGKAIAN LISTRIK II</v>
      </c>
      <c r="E48" s="47" t="n">
        <f aca="false">VLOOKUP(C48,[1]Sheet1!$C$5:$E$205,3,0)</f>
        <v>3</v>
      </c>
      <c r="F48" s="50" t="s">
        <v>33</v>
      </c>
      <c r="G48" s="51"/>
      <c r="H48" s="86"/>
      <c r="I48" s="87"/>
    </row>
    <row r="49" s="16" customFormat="true" ht="12.75" hidden="false" customHeight="false" outlineLevel="0" collapsed="false">
      <c r="A49" s="47" t="n">
        <f aca="false">A48+1</f>
        <v>8</v>
      </c>
      <c r="B49" s="72"/>
      <c r="C49" s="48" t="s">
        <v>48</v>
      </c>
      <c r="D49" s="49" t="str">
        <f aca="false">VLOOKUP(C49,[1]Sheet1!$C$5:$E$205,2,0)</f>
        <v>ELEKTROMAGNETIK</v>
      </c>
      <c r="E49" s="47" t="n">
        <f aca="false">VLOOKUP(C49,[1]Sheet1!$C$5:$E$205,3,0)</f>
        <v>3</v>
      </c>
      <c r="F49" s="50" t="s">
        <v>27</v>
      </c>
      <c r="G49" s="51" t="s">
        <v>28</v>
      </c>
      <c r="H49" s="86"/>
      <c r="I49" s="87"/>
    </row>
    <row r="50" s="16" customFormat="true" ht="12.75" hidden="false" customHeight="false" outlineLevel="0" collapsed="false">
      <c r="A50" s="47" t="n">
        <f aca="false">A49+1</f>
        <v>9</v>
      </c>
      <c r="B50" s="72"/>
      <c r="C50" s="48" t="s">
        <v>49</v>
      </c>
      <c r="D50" s="49" t="str">
        <f aca="false">VLOOKUP(C50,[1]Sheet1!$C$5:$E$205,2,0)</f>
        <v>PRAKTIKUM DASAR ELEKTRONIKA</v>
      </c>
      <c r="E50" s="47" t="n">
        <f aca="false">VLOOKUP(C50,[1]Sheet1!$C$5:$E$205,3,0)</f>
        <v>1</v>
      </c>
      <c r="F50" s="50" t="s">
        <v>36</v>
      </c>
      <c r="G50" s="51"/>
      <c r="H50" s="86"/>
      <c r="I50" s="87"/>
    </row>
    <row r="51" s="16" customFormat="true" ht="12.75" hidden="false" customHeight="false" outlineLevel="0" collapsed="false">
      <c r="A51" s="47" t="n">
        <f aca="false">A50+1</f>
        <v>10</v>
      </c>
      <c r="B51" s="72"/>
      <c r="C51" s="48" t="s">
        <v>50</v>
      </c>
      <c r="D51" s="49" t="str">
        <f aca="false">VLOOKUP(C51,[1]Sheet1!$C$5:$E$205,2,0)</f>
        <v>PRAKTIKUM DASAR TENAGA LISTRIK</v>
      </c>
      <c r="E51" s="47" t="n">
        <f aca="false">VLOOKUP(C51,[1]Sheet1!$C$5:$E$205,3,0)</f>
        <v>1</v>
      </c>
      <c r="F51" s="50" t="s">
        <v>37</v>
      </c>
      <c r="G51" s="51"/>
      <c r="H51" s="86"/>
      <c r="I51" s="87"/>
    </row>
    <row r="52" customFormat="false" ht="13.5" hidden="false" customHeight="false" outlineLevel="0" collapsed="false">
      <c r="A52" s="56"/>
      <c r="B52" s="72"/>
      <c r="C52" s="56"/>
      <c r="D52" s="56"/>
      <c r="E52" s="56"/>
      <c r="F52" s="136"/>
      <c r="G52" s="137"/>
      <c r="H52" s="138"/>
      <c r="I52" s="139"/>
    </row>
    <row r="53" s="5" customFormat="true" ht="14.25" hidden="false" customHeight="false" outlineLevel="0" collapsed="false">
      <c r="A53" s="62"/>
      <c r="B53" s="62"/>
      <c r="C53" s="62"/>
      <c r="D53" s="61"/>
      <c r="E53" s="62" t="n">
        <f aca="false">SUM(E42:E52)</f>
        <v>21</v>
      </c>
      <c r="F53" s="140"/>
      <c r="G53" s="141"/>
      <c r="H53" s="142"/>
      <c r="I53" s="143"/>
    </row>
    <row r="54" customFormat="false" ht="13.5" hidden="false" customHeight="false" outlineLevel="0" collapsed="false">
      <c r="A54" s="88"/>
      <c r="B54" s="88"/>
      <c r="C54" s="88"/>
      <c r="D54" s="88"/>
      <c r="E54" s="88"/>
      <c r="F54" s="144"/>
      <c r="G54" s="25"/>
      <c r="H54" s="145"/>
      <c r="I54" s="146"/>
    </row>
    <row r="55" s="5" customFormat="true" ht="12.75" hidden="false" customHeight="false" outlineLevel="0" collapsed="false">
      <c r="A55" s="47" t="n">
        <v>1</v>
      </c>
      <c r="B55" s="89" t="s">
        <v>51</v>
      </c>
      <c r="C55" s="90" t="s">
        <v>52</v>
      </c>
      <c r="D55" s="91" t="str">
        <f aca="false">VLOOKUP(C55,[1]Sheet1!$C$5:$E$205,2,0)</f>
        <v>SISTEM MIKROPROSESOR</v>
      </c>
      <c r="E55" s="47" t="n">
        <f aca="false">VLOOKUP(C55,[1]Sheet1!$C$5:$E$205,3,0)</f>
        <v>3</v>
      </c>
      <c r="F55" s="147" t="s">
        <v>24</v>
      </c>
      <c r="G55" s="103"/>
      <c r="H55" s="148"/>
      <c r="I55" s="118"/>
    </row>
    <row r="56" customFormat="false" ht="12.75" hidden="false" customHeight="false" outlineLevel="0" collapsed="false">
      <c r="A56" s="47" t="n">
        <f aca="false">A55+1</f>
        <v>2</v>
      </c>
      <c r="B56" s="89"/>
      <c r="C56" s="90" t="s">
        <v>53</v>
      </c>
      <c r="D56" s="91" t="str">
        <f aca="false">VLOOKUP(C56,[1]Sheet1!$C$5:$E$205,2,0)</f>
        <v>SISTEM KENDALI</v>
      </c>
      <c r="E56" s="47" t="n">
        <f aca="false">VLOOKUP(C56,[1]Sheet1!$C$5:$E$205,3,0)</f>
        <v>3</v>
      </c>
      <c r="F56" s="147" t="s">
        <v>31</v>
      </c>
      <c r="G56" s="103"/>
      <c r="H56" s="149"/>
      <c r="I56" s="150"/>
    </row>
    <row r="57" customFormat="false" ht="12.75" hidden="false" customHeight="false" outlineLevel="0" collapsed="false">
      <c r="A57" s="47" t="n">
        <f aca="false">A56+1</f>
        <v>3</v>
      </c>
      <c r="B57" s="89"/>
      <c r="C57" s="90" t="s">
        <v>54</v>
      </c>
      <c r="D57" s="91" t="str">
        <f aca="false">VLOOKUP(C57,[1]Sheet1!$C$5:$E$205,2,0)</f>
        <v>PRAKTIKUM SISTEM KENDALI</v>
      </c>
      <c r="E57" s="47" t="n">
        <f aca="false">VLOOKUP(C57,[1]Sheet1!$C$5:$E$205,3,0)</f>
        <v>1</v>
      </c>
      <c r="F57" s="147" t="s">
        <v>151</v>
      </c>
      <c r="G57" s="103" t="s">
        <v>53</v>
      </c>
      <c r="H57" s="149"/>
      <c r="I57" s="150"/>
    </row>
    <row r="58" customFormat="false" ht="12.75" hidden="false" customHeight="false" outlineLevel="0" collapsed="false">
      <c r="A58" s="47" t="n">
        <f aca="false">A57+1</f>
        <v>4</v>
      </c>
      <c r="B58" s="89"/>
      <c r="C58" s="90" t="s">
        <v>55</v>
      </c>
      <c r="D58" s="91" t="str">
        <f aca="false">VLOOKUP(C58,[1]Sheet1!$C$5:$E$205,2,0)</f>
        <v>PRAKTIKUM RANGKAIAN LISTRIK</v>
      </c>
      <c r="E58" s="47" t="n">
        <f aca="false">VLOOKUP(C58,[1]Sheet1!$C$5:$E$205,3,0)</f>
        <v>1</v>
      </c>
      <c r="F58" s="147" t="s">
        <v>33</v>
      </c>
      <c r="G58" s="103" t="s">
        <v>47</v>
      </c>
      <c r="H58" s="149"/>
      <c r="I58" s="150"/>
    </row>
    <row r="59" customFormat="false" ht="12.75" hidden="false" customHeight="false" outlineLevel="0" collapsed="false">
      <c r="A59" s="47" t="n">
        <f aca="false">A58+1</f>
        <v>5</v>
      </c>
      <c r="B59" s="89"/>
      <c r="C59" s="48" t="s">
        <v>56</v>
      </c>
      <c r="D59" s="49" t="str">
        <f aca="false">VLOOKUP(C59,[1]Sheet1!$C$5:$E$205,2,0)</f>
        <v>EKONOMI TEKNIK</v>
      </c>
      <c r="E59" s="47" t="n">
        <f aca="false">VLOOKUP(C59,[1]Sheet1!$C$5:$E$205,3,0)</f>
        <v>2</v>
      </c>
      <c r="F59" s="147" t="s">
        <v>150</v>
      </c>
      <c r="G59" s="103"/>
      <c r="H59" s="149"/>
      <c r="I59" s="150"/>
    </row>
    <row r="60" s="5" customFormat="true" ht="12.75" hidden="false" customHeight="false" outlineLevel="0" collapsed="false">
      <c r="A60" s="47" t="n">
        <v>6</v>
      </c>
      <c r="B60" s="89"/>
      <c r="C60" s="90" t="s">
        <v>63</v>
      </c>
      <c r="D60" s="91" t="str">
        <f aca="false">VLOOKUP(C60,[1]Sheet1!$C$5:$E$205,2,0)</f>
        <v>RANGKAIAN ELEKTRONIKA</v>
      </c>
      <c r="E60" s="90" t="n">
        <f aca="false">VLOOKUP(C60,[1]Sheet1!$C$5:$E$205,3,0)</f>
        <v>3</v>
      </c>
      <c r="F60" s="147" t="s">
        <v>36</v>
      </c>
      <c r="G60" s="103" t="s">
        <v>47</v>
      </c>
      <c r="H60" s="148"/>
      <c r="I60" s="118"/>
    </row>
    <row r="61" s="5" customFormat="true" ht="12.75" hidden="false" customHeight="false" outlineLevel="0" collapsed="false">
      <c r="A61" s="47" t="n">
        <f aca="false">A60+1</f>
        <v>7</v>
      </c>
      <c r="B61" s="89"/>
      <c r="C61" s="90" t="s">
        <v>64</v>
      </c>
      <c r="D61" s="91" t="str">
        <f aca="false">VLOOKUP(C61,[1]Sheet1!$C$5:$E$205,2,0)</f>
        <v>PRAKTIKUM RANGKAIAN ELEKTRONIKA</v>
      </c>
      <c r="E61" s="90" t="n">
        <f aca="false">VLOOKUP(C61,[1]Sheet1!$C$5:$E$205,3,0)</f>
        <v>1</v>
      </c>
      <c r="F61" s="147" t="s">
        <v>151</v>
      </c>
      <c r="G61" s="103" t="s">
        <v>63</v>
      </c>
      <c r="H61" s="148"/>
      <c r="I61" s="118"/>
    </row>
    <row r="62" customFormat="false" ht="12.75" hidden="false" customHeight="false" outlineLevel="0" collapsed="false">
      <c r="A62" s="47" t="n">
        <f aca="false">A61+1</f>
        <v>8</v>
      </c>
      <c r="B62" s="89"/>
      <c r="C62" s="48" t="s">
        <v>65</v>
      </c>
      <c r="D62" s="49" t="str">
        <f aca="false">VLOOKUP(C62,[1]Sheet1!$C$5:$E$205,2,0)</f>
        <v>ELEKTRONIKA DIGITAL</v>
      </c>
      <c r="E62" s="47" t="n">
        <f aca="false">VLOOKUP(C62,[1]Sheet1!$C$5:$E$205,3,0)</f>
        <v>2</v>
      </c>
      <c r="F62" s="147" t="s">
        <v>24</v>
      </c>
      <c r="G62" s="103"/>
      <c r="H62" s="149"/>
      <c r="I62" s="150"/>
    </row>
    <row r="63" customFormat="false" ht="12.75" hidden="false" customHeight="false" outlineLevel="0" collapsed="false">
      <c r="A63" s="47" t="n">
        <f aca="false">A62+1</f>
        <v>9</v>
      </c>
      <c r="B63" s="89"/>
      <c r="C63" s="90" t="s">
        <v>66</v>
      </c>
      <c r="D63" s="91" t="str">
        <f aca="false">VLOOKUP(C63,[1]Sheet1!$C$5:$E$205,2,0)</f>
        <v>PRAKTIKUM ELEKTRONIKA DIGITAL</v>
      </c>
      <c r="E63" s="90" t="n">
        <f aca="false">VLOOKUP(C63,[1]Sheet1!$C$5:$E$205,3,0)</f>
        <v>1</v>
      </c>
      <c r="F63" s="147" t="s">
        <v>151</v>
      </c>
      <c r="G63" s="103" t="s">
        <v>65</v>
      </c>
      <c r="H63" s="149"/>
      <c r="I63" s="150"/>
    </row>
    <row r="64" customFormat="false" ht="12.75" hidden="false" customHeight="false" outlineLevel="0" collapsed="false">
      <c r="A64" s="47" t="n">
        <f aca="false">A63+1</f>
        <v>10</v>
      </c>
      <c r="B64" s="89"/>
      <c r="C64" s="48" t="s">
        <v>67</v>
      </c>
      <c r="D64" s="49" t="str">
        <f aca="false">VLOOKUP(C64,[1]Sheet1!$C$5:$E$205,2,0)</f>
        <v>ELEKTRONIKA ANALOG</v>
      </c>
      <c r="E64" s="48" t="n">
        <f aca="false">VLOOKUP(C64,[1]Sheet1!$C$5:$E$205,3,0)</f>
        <v>2</v>
      </c>
      <c r="F64" s="147" t="s">
        <v>151</v>
      </c>
      <c r="G64" s="103" t="s">
        <v>63</v>
      </c>
      <c r="H64" s="149"/>
      <c r="I64" s="150"/>
    </row>
    <row r="65" s="5" customFormat="true" ht="13.5" hidden="false" customHeight="false" outlineLevel="0" collapsed="false">
      <c r="A65" s="94"/>
      <c r="B65" s="94"/>
      <c r="C65" s="94"/>
      <c r="D65" s="94"/>
      <c r="E65" s="94" t="n">
        <f aca="false">SUM(E60:E64)+SUM(E55:E59)</f>
        <v>19</v>
      </c>
      <c r="F65" s="121"/>
      <c r="G65" s="122"/>
      <c r="H65" s="123"/>
      <c r="I65" s="124"/>
    </row>
    <row r="66" s="5" customFormat="true" ht="13.5" hidden="false" customHeight="false" outlineLevel="0" collapsed="false">
      <c r="A66" s="47"/>
      <c r="B66" s="89" t="s">
        <v>78</v>
      </c>
      <c r="C66" s="47"/>
      <c r="D66" s="47"/>
      <c r="E66" s="47"/>
      <c r="F66" s="147"/>
      <c r="G66" s="103"/>
      <c r="H66" s="148"/>
      <c r="I66" s="118"/>
    </row>
    <row r="67" s="5" customFormat="true" ht="12.75" hidden="false" customHeight="false" outlineLevel="0" collapsed="false">
      <c r="A67" s="47" t="n">
        <v>1</v>
      </c>
      <c r="B67" s="89"/>
      <c r="C67" s="48" t="s">
        <v>79</v>
      </c>
      <c r="D67" s="49" t="str">
        <f aca="false">VLOOKUP(C67,[1]Sheet1!$C$5:$E$205,2,0)</f>
        <v>PRAKTIKUM SISTEM MIKROPROSESOR</v>
      </c>
      <c r="E67" s="47" t="n">
        <f aca="false">VLOOKUP(C67,[1]Sheet1!$C$5:$E$205,3,0)</f>
        <v>1</v>
      </c>
      <c r="F67" s="50" t="s">
        <v>52</v>
      </c>
      <c r="G67" s="103"/>
      <c r="H67" s="149"/>
      <c r="I67" s="150"/>
    </row>
    <row r="68" customFormat="false" ht="12.75" hidden="false" customHeight="false" outlineLevel="0" collapsed="false">
      <c r="A68" s="47" t="n">
        <v>2</v>
      </c>
      <c r="B68" s="89"/>
      <c r="C68" s="47" t="s">
        <v>89</v>
      </c>
      <c r="D68" s="115" t="str">
        <f aca="false">VLOOKUP(C68,[1]Sheet1!$C$5:$E$205,2,0)</f>
        <v>MEKATRONIKA</v>
      </c>
      <c r="E68" s="47" t="n">
        <f aca="false">VLOOKUP(C68,[1]Sheet1!$C$5:$E$205,3,0)</f>
        <v>2</v>
      </c>
      <c r="F68" s="147" t="s">
        <v>36</v>
      </c>
      <c r="G68" s="103" t="s">
        <v>37</v>
      </c>
      <c r="H68" s="149"/>
      <c r="I68" s="150"/>
    </row>
    <row r="69" customFormat="false" ht="12.75" hidden="false" customHeight="false" outlineLevel="0" collapsed="false">
      <c r="A69" s="47" t="n">
        <f aca="false">A68+1</f>
        <v>3</v>
      </c>
      <c r="B69" s="89"/>
      <c r="C69" s="47" t="s">
        <v>90</v>
      </c>
      <c r="D69" s="115" t="str">
        <f aca="false">VLOOKUP(C69,[1]Sheet1!$C$5:$E$205,2,0)</f>
        <v>PRAKTIKUM ELEKTRONIKA LANJUT</v>
      </c>
      <c r="E69" s="47" t="n">
        <f aca="false">VLOOKUP(C69,[1]Sheet1!$C$5:$E$205,3,0)</f>
        <v>1</v>
      </c>
      <c r="F69" s="147" t="s">
        <v>63</v>
      </c>
      <c r="G69" s="103"/>
      <c r="H69" s="149"/>
      <c r="I69" s="150"/>
    </row>
    <row r="70" customFormat="false" ht="12.75" hidden="false" customHeight="false" outlineLevel="0" collapsed="false">
      <c r="A70" s="47" t="n">
        <f aca="false">A69+1</f>
        <v>4</v>
      </c>
      <c r="B70" s="89"/>
      <c r="C70" s="47" t="s">
        <v>91</v>
      </c>
      <c r="D70" s="115" t="str">
        <f aca="false">VLOOKUP(C70,[1]Sheet1!$C$5:$E$205,2,0)</f>
        <v>PENGOLAHAN SINYAL DIGITAL</v>
      </c>
      <c r="E70" s="47" t="n">
        <f aca="false">VLOOKUP(C70,[1]Sheet1!$C$5:$E$205,3,0)</f>
        <v>3</v>
      </c>
      <c r="F70" s="147" t="s">
        <v>24</v>
      </c>
      <c r="G70" s="103" t="s">
        <v>43</v>
      </c>
      <c r="H70" s="149"/>
      <c r="I70" s="150"/>
    </row>
    <row r="71" s="5" customFormat="true" ht="12.75" hidden="false" customHeight="false" outlineLevel="0" collapsed="false">
      <c r="A71" s="47" t="n">
        <f aca="false">A70+1</f>
        <v>5</v>
      </c>
      <c r="B71" s="89"/>
      <c r="C71" s="47" t="s">
        <v>92</v>
      </c>
      <c r="D71" s="115" t="str">
        <f aca="false">VLOOKUP(C71,[1]Sheet1!$C$5:$E$205,2,0)</f>
        <v>SISTEM INSTRUMENTASI ELEKTRONIKA</v>
      </c>
      <c r="E71" s="47" t="n">
        <f aca="false">VLOOKUP(C71,[1]Sheet1!$C$5:$E$205,3,0)</f>
        <v>3</v>
      </c>
      <c r="F71" s="147" t="s">
        <v>34</v>
      </c>
      <c r="G71" s="103" t="s">
        <v>65</v>
      </c>
      <c r="H71" s="148"/>
      <c r="I71" s="118"/>
    </row>
    <row r="72" customFormat="false" ht="12.75" hidden="false" customHeight="false" outlineLevel="0" collapsed="false">
      <c r="A72" s="47" t="n">
        <f aca="false">A71+1</f>
        <v>6</v>
      </c>
      <c r="B72" s="89"/>
      <c r="C72" s="47" t="s">
        <v>93</v>
      </c>
      <c r="D72" s="115" t="str">
        <f aca="false">VLOOKUP(C72,[1]Sheet1!$C$5:$E$205,2,0)</f>
        <v>ELEKTRONIKA INDUSTRI</v>
      </c>
      <c r="E72" s="47" t="n">
        <f aca="false">VLOOKUP(C72,[1]Sheet1!$C$5:$E$205,3,0)</f>
        <v>3</v>
      </c>
      <c r="F72" s="147" t="s">
        <v>37</v>
      </c>
      <c r="G72" s="103" t="s">
        <v>53</v>
      </c>
      <c r="H72" s="149"/>
      <c r="I72" s="150"/>
    </row>
    <row r="73" customFormat="false" ht="12.75" hidden="false" customHeight="false" outlineLevel="0" collapsed="false">
      <c r="A73" s="47" t="n">
        <f aca="false">A72+1</f>
        <v>7</v>
      </c>
      <c r="B73" s="89"/>
      <c r="C73" s="47" t="s">
        <v>94</v>
      </c>
      <c r="D73" s="87" t="str">
        <f aca="false">VLOOKUP(C73,[1]Sheet1!$C$5:$E$205,2,0)</f>
        <v>MK PILIHAN I</v>
      </c>
      <c r="E73" s="47" t="n">
        <f aca="false">VLOOKUP(C73,[1]Sheet1!$C$5:$E$205,3,0)</f>
        <v>2</v>
      </c>
      <c r="F73" s="147"/>
      <c r="G73" s="103"/>
      <c r="H73" s="149"/>
      <c r="I73" s="150"/>
    </row>
    <row r="74" customFormat="false" ht="12.75" hidden="false" customHeight="false" outlineLevel="0" collapsed="false">
      <c r="A74" s="47" t="n">
        <f aca="false">A73+1</f>
        <v>8</v>
      </c>
      <c r="B74" s="89"/>
      <c r="C74" s="47" t="s">
        <v>95</v>
      </c>
      <c r="D74" s="87" t="str">
        <f aca="false">VLOOKUP(C74,[1]Sheet1!$C$5:$E$205,2,0)</f>
        <v>MK PILIHAN II</v>
      </c>
      <c r="E74" s="47" t="n">
        <f aca="false">VLOOKUP(C74,[1]Sheet1!$C$5:$E$205,3,0)</f>
        <v>2</v>
      </c>
      <c r="F74" s="147"/>
      <c r="G74" s="103"/>
      <c r="H74" s="149"/>
      <c r="I74" s="150"/>
    </row>
    <row r="75" customFormat="false" ht="12.75" hidden="false" customHeight="false" outlineLevel="0" collapsed="false">
      <c r="A75" s="47"/>
      <c r="B75" s="151"/>
      <c r="C75" s="47"/>
      <c r="D75" s="47"/>
      <c r="E75" s="47"/>
      <c r="F75" s="147"/>
      <c r="G75" s="103"/>
      <c r="H75" s="149"/>
      <c r="I75" s="150"/>
    </row>
    <row r="76" s="5" customFormat="true" ht="13.5" hidden="false" customHeight="false" outlineLevel="0" collapsed="false">
      <c r="A76" s="94"/>
      <c r="B76" s="94"/>
      <c r="C76" s="94"/>
      <c r="D76" s="94"/>
      <c r="E76" s="94" t="n">
        <f aca="false">SUM(E68:E74)+SUM(E67)</f>
        <v>17</v>
      </c>
      <c r="F76" s="121"/>
      <c r="G76" s="122"/>
      <c r="H76" s="123"/>
      <c r="I76" s="124"/>
    </row>
    <row r="77" s="5" customFormat="true" ht="13.5" hidden="false" customHeight="false" outlineLevel="0" collapsed="false">
      <c r="A77" s="39"/>
      <c r="B77" s="39"/>
      <c r="C77" s="39"/>
      <c r="D77" s="39"/>
      <c r="E77" s="39"/>
      <c r="F77" s="152"/>
      <c r="G77" s="153"/>
      <c r="H77" s="154"/>
      <c r="I77" s="155"/>
    </row>
    <row r="78" customFormat="false" ht="12.75" hidden="false" customHeight="false" outlineLevel="0" collapsed="false">
      <c r="A78" s="103" t="n">
        <v>1</v>
      </c>
      <c r="B78" s="156" t="s">
        <v>111</v>
      </c>
      <c r="C78" s="90" t="s">
        <v>112</v>
      </c>
      <c r="D78" s="91" t="str">
        <f aca="false">VLOOKUP(C78,[1]Sheet1!$C$5:$E$205,2,0)</f>
        <v>PROSES STOKASTIK</v>
      </c>
      <c r="E78" s="47" t="n">
        <f aca="false">VLOOKUP(C78,[1]Sheet1!$C$5:$E$205,3,0)</f>
        <v>2</v>
      </c>
      <c r="F78" s="50" t="s">
        <v>45</v>
      </c>
      <c r="G78" s="51"/>
      <c r="H78" s="52"/>
      <c r="I78" s="150"/>
    </row>
    <row r="79" customFormat="false" ht="12.75" hidden="false" customHeight="false" outlineLevel="0" collapsed="false">
      <c r="A79" s="47" t="n">
        <f aca="false">A78+1</f>
        <v>2</v>
      </c>
      <c r="B79" s="156"/>
      <c r="C79" s="47" t="s">
        <v>113</v>
      </c>
      <c r="D79" s="49" t="str">
        <f aca="false">VLOOKUP(C79,[1]Sheet1!$C$5:$E$205,2,0)</f>
        <v>PRAKTEK KERJA LAPANGAN</v>
      </c>
      <c r="E79" s="47" t="n">
        <f aca="false">VLOOKUP(C79,[1]Sheet1!$C$5:$E$205,3,0)</f>
        <v>2</v>
      </c>
      <c r="F79" s="50" t="s">
        <v>152</v>
      </c>
      <c r="G79" s="51"/>
      <c r="H79" s="52"/>
      <c r="I79" s="150"/>
    </row>
    <row r="80" customFormat="false" ht="12.75" hidden="false" customHeight="false" outlineLevel="0" collapsed="false">
      <c r="A80" s="47" t="n">
        <f aca="false">A79+1</f>
        <v>3</v>
      </c>
      <c r="B80" s="156"/>
      <c r="C80" s="90" t="s">
        <v>114</v>
      </c>
      <c r="D80" s="91" t="str">
        <f aca="false">VLOOKUP(C80,[1]Sheet1!$C$5:$E$205,2,0)</f>
        <v>PRA TUGAS AKHIR</v>
      </c>
      <c r="E80" s="47" t="n">
        <f aca="false">VLOOKUP(C80,[1]Sheet1!$C$5:$E$205,3,0)</f>
        <v>2</v>
      </c>
      <c r="F80" s="50" t="s">
        <v>152</v>
      </c>
      <c r="G80" s="51"/>
      <c r="H80" s="52"/>
      <c r="I80" s="150"/>
    </row>
    <row r="81" s="16" customFormat="true" ht="12.75" hidden="false" customHeight="false" outlineLevel="0" collapsed="false">
      <c r="A81" s="47" t="n">
        <v>4</v>
      </c>
      <c r="B81" s="156"/>
      <c r="C81" s="92" t="s">
        <v>122</v>
      </c>
      <c r="D81" s="93" t="str">
        <f aca="false">VLOOKUP(C81,[1]Sheet1!$C$5:$E$205,2,0)</f>
        <v>TEKNIK INTERFACING DAN SISTEM EMBEDDED</v>
      </c>
      <c r="E81" s="92" t="n">
        <f aca="false">VLOOKUP(C81,[1]Sheet1!$C$5:$E$205,3,0)</f>
        <v>3</v>
      </c>
      <c r="F81" s="147" t="s">
        <v>38</v>
      </c>
      <c r="G81" s="103" t="s">
        <v>52</v>
      </c>
      <c r="H81" s="157"/>
      <c r="I81" s="47"/>
    </row>
    <row r="82" s="16" customFormat="true" ht="12.75" hidden="false" customHeight="false" outlineLevel="0" collapsed="false">
      <c r="A82" s="47" t="n">
        <f aca="false">A81+1</f>
        <v>5</v>
      </c>
      <c r="B82" s="156"/>
      <c r="C82" s="90" t="s">
        <v>123</v>
      </c>
      <c r="D82" s="91" t="str">
        <f aca="false">VLOOKUP(C82,[1]Sheet1!$C$5:$E$205,2,0)</f>
        <v>PERANCANGAN SISTEM ELEKTRONIKA</v>
      </c>
      <c r="E82" s="90" t="n">
        <f aca="false">VLOOKUP(C82,[1]Sheet1!$C$5:$E$205,3,0)</f>
        <v>2</v>
      </c>
      <c r="F82" s="147" t="s">
        <v>67</v>
      </c>
      <c r="G82" s="103"/>
      <c r="H82" s="157"/>
      <c r="I82" s="47"/>
    </row>
    <row r="83" s="16" customFormat="true" ht="12.75" hidden="false" customHeight="false" outlineLevel="0" collapsed="false">
      <c r="A83" s="47" t="n">
        <f aca="false">A82+1</f>
        <v>6</v>
      </c>
      <c r="B83" s="156"/>
      <c r="C83" s="90" t="s">
        <v>124</v>
      </c>
      <c r="D83" s="91" t="str">
        <f aca="false">VLOOKUP(C83,[1]Sheet1!$C$5:$E$205,2,0)</f>
        <v>PRAKTIKUM PENGOLAHAN SINYAL DIGITAL</v>
      </c>
      <c r="E83" s="47" t="n">
        <f aca="false">VLOOKUP(C83,[1]Sheet1!$C$5:$E$205,3,0)</f>
        <v>1</v>
      </c>
      <c r="F83" s="147" t="s">
        <v>91</v>
      </c>
      <c r="G83" s="103"/>
      <c r="H83" s="157"/>
      <c r="I83" s="47"/>
    </row>
    <row r="84" s="16" customFormat="true" ht="12.75" hidden="false" customHeight="false" outlineLevel="0" collapsed="false">
      <c r="A84" s="47" t="n">
        <f aca="false">A83+1</f>
        <v>7</v>
      </c>
      <c r="B84" s="156"/>
      <c r="C84" s="90" t="s">
        <v>125</v>
      </c>
      <c r="D84" s="91" t="str">
        <f aca="false">VLOOKUP(C84,[1]Sheet1!$C$5:$E$205,2,0)</f>
        <v>PIRANTI MIKROELEKTRONIKA</v>
      </c>
      <c r="E84" s="90" t="n">
        <f aca="false">VLOOKUP(C84,[1]Sheet1!$C$5:$E$205,3,0)</f>
        <v>2</v>
      </c>
      <c r="F84" s="147" t="s">
        <v>63</v>
      </c>
      <c r="G84" s="103"/>
      <c r="H84" s="157"/>
      <c r="I84" s="47"/>
    </row>
    <row r="85" s="16" customFormat="true" ht="12.75" hidden="false" customHeight="false" outlineLevel="0" collapsed="false">
      <c r="A85" s="47" t="n">
        <f aca="false">A84+1</f>
        <v>8</v>
      </c>
      <c r="B85" s="156"/>
      <c r="C85" s="92" t="s">
        <v>126</v>
      </c>
      <c r="D85" s="93" t="str">
        <f aca="false">VLOOKUP(C85,[1]Sheet1!$C$5:$E$205,2,0)</f>
        <v>TEKNIK KENDALI DIGITAL</v>
      </c>
      <c r="E85" s="92" t="n">
        <f aca="false">VLOOKUP(C85,[1]Sheet1!$C$5:$E$205,3,0)</f>
        <v>2</v>
      </c>
      <c r="F85" s="147" t="s">
        <v>53</v>
      </c>
      <c r="G85" s="103"/>
      <c r="H85" s="157"/>
      <c r="I85" s="47"/>
    </row>
    <row r="86" s="16" customFormat="true" ht="12.75" hidden="false" customHeight="false" outlineLevel="0" collapsed="false">
      <c r="A86" s="47" t="n">
        <f aca="false">A85+1</f>
        <v>9</v>
      </c>
      <c r="B86" s="156"/>
      <c r="C86" s="47" t="s">
        <v>127</v>
      </c>
      <c r="D86" s="87" t="str">
        <f aca="false">VLOOKUP(C86,[1]Sheet1!$C$5:$E$205,2,0)</f>
        <v>MK PILIHAN III</v>
      </c>
      <c r="E86" s="47" t="n">
        <f aca="false">VLOOKUP(C86,[1]Sheet1!$C$5:$E$205,3,0)</f>
        <v>2</v>
      </c>
      <c r="F86" s="147"/>
      <c r="G86" s="103"/>
      <c r="H86" s="157"/>
      <c r="I86" s="47"/>
    </row>
    <row r="87" s="5" customFormat="true" ht="12.75" hidden="false" customHeight="false" outlineLevel="0" collapsed="false">
      <c r="A87" s="104"/>
      <c r="B87" s="158"/>
      <c r="C87" s="104"/>
      <c r="D87" s="104"/>
      <c r="E87" s="104"/>
      <c r="F87" s="159"/>
      <c r="G87" s="160"/>
      <c r="H87" s="161"/>
      <c r="I87" s="162"/>
    </row>
    <row r="88" s="5" customFormat="true" ht="13.5" hidden="false" customHeight="false" outlineLevel="0" collapsed="false">
      <c r="A88" s="94"/>
      <c r="B88" s="94"/>
      <c r="C88" s="94"/>
      <c r="D88" s="94"/>
      <c r="E88" s="94" t="n">
        <f aca="false">SUM(E81:E86)+SUM(E78:E80)</f>
        <v>18</v>
      </c>
      <c r="F88" s="121"/>
      <c r="G88" s="122"/>
      <c r="H88" s="123"/>
      <c r="I88" s="124"/>
    </row>
    <row r="89" s="5" customFormat="true" ht="13.5" hidden="false" customHeight="false" outlineLevel="0" collapsed="false">
      <c r="A89" s="109"/>
      <c r="B89" s="110" t="s">
        <v>140</v>
      </c>
      <c r="C89" s="109"/>
      <c r="D89" s="109"/>
      <c r="E89" s="109"/>
      <c r="F89" s="163"/>
      <c r="G89" s="164"/>
      <c r="H89" s="165"/>
      <c r="I89" s="166"/>
    </row>
    <row r="90" customFormat="false" ht="12.75" hidden="false" customHeight="false" outlineLevel="0" collapsed="false">
      <c r="A90" s="47" t="n">
        <v>1</v>
      </c>
      <c r="B90" s="110"/>
      <c r="C90" s="47" t="s">
        <v>141</v>
      </c>
      <c r="D90" s="49" t="str">
        <f aca="false">VLOOKUP(C90,[1]Sheet1!$C$5:$E$205,2,0)</f>
        <v>KULIAH KERJA NYATA (KKN)</v>
      </c>
      <c r="E90" s="47" t="n">
        <f aca="false">VLOOKUP(C90,[1]Sheet1!$C$5:$E$205,3,0)</f>
        <v>4</v>
      </c>
      <c r="F90" s="50" t="s">
        <v>153</v>
      </c>
      <c r="G90" s="51"/>
      <c r="H90" s="52"/>
      <c r="I90" s="150"/>
    </row>
    <row r="91" s="5" customFormat="true" ht="12.75" hidden="false" customHeight="false" outlineLevel="0" collapsed="false">
      <c r="A91" s="47" t="n">
        <f aca="false">A90+1</f>
        <v>2</v>
      </c>
      <c r="B91" s="110"/>
      <c r="C91" s="47" t="s">
        <v>142</v>
      </c>
      <c r="D91" s="49" t="str">
        <f aca="false">VLOOKUP(C91,[1]Sheet1!$C$5:$E$205,2,0)</f>
        <v>LINGKUNGAN DAN ETIKA REKAYASA</v>
      </c>
      <c r="E91" s="47" t="n">
        <f aca="false">VLOOKUP(C91,[1]Sheet1!$C$5:$E$205,3,0)</f>
        <v>2</v>
      </c>
      <c r="F91" s="50" t="s">
        <v>25</v>
      </c>
      <c r="G91" s="51"/>
      <c r="H91" s="54"/>
      <c r="I91" s="118"/>
    </row>
    <row r="92" s="5" customFormat="true" ht="12.75" hidden="false" customHeight="false" outlineLevel="0" collapsed="false">
      <c r="A92" s="47" t="n">
        <f aca="false">A91+1</f>
        <v>3</v>
      </c>
      <c r="B92" s="110"/>
      <c r="C92" s="47" t="s">
        <v>143</v>
      </c>
      <c r="D92" s="49" t="str">
        <f aca="false">VLOOKUP(C92,[1]Sheet1!$C$5:$E$205,2,0)</f>
        <v>TUGAS AKHIR</v>
      </c>
      <c r="E92" s="47" t="n">
        <f aca="false">VLOOKUP(C92,[1]Sheet1!$C$5:$E$205,3,0)</f>
        <v>4</v>
      </c>
      <c r="F92" s="50" t="s">
        <v>154</v>
      </c>
      <c r="G92" s="51"/>
      <c r="H92" s="54"/>
      <c r="I92" s="118"/>
    </row>
    <row r="93" s="5" customFormat="true" ht="12.75" hidden="false" customHeight="false" outlineLevel="0" collapsed="false">
      <c r="A93" s="116"/>
      <c r="B93" s="110"/>
      <c r="C93" s="117"/>
      <c r="D93" s="117"/>
      <c r="E93" s="118"/>
      <c r="F93" s="167"/>
      <c r="G93" s="168"/>
      <c r="H93" s="148"/>
      <c r="I93" s="118"/>
    </row>
    <row r="94" s="5" customFormat="true" ht="13.5" hidden="false" customHeight="false" outlineLevel="0" collapsed="false">
      <c r="A94" s="94"/>
      <c r="B94" s="94"/>
      <c r="C94" s="94"/>
      <c r="D94" s="94"/>
      <c r="E94" s="94" t="n">
        <f aca="false">SUM(E90:E93)</f>
        <v>10</v>
      </c>
      <c r="F94" s="121"/>
      <c r="G94" s="122"/>
      <c r="H94" s="123"/>
      <c r="I94" s="124"/>
    </row>
    <row r="95" customFormat="false" ht="13.5" hidden="false" customHeight="false" outlineLevel="0" collapsed="false">
      <c r="A95" s="125"/>
      <c r="B95" s="125"/>
      <c r="C95" s="125"/>
      <c r="D95" s="125"/>
      <c r="E95" s="125"/>
      <c r="F95" s="125"/>
      <c r="G95" s="125"/>
      <c r="H95" s="126"/>
      <c r="I95" s="126"/>
    </row>
    <row r="96" customFormat="false" ht="12.75" hidden="false" customHeight="false" outlineLevel="0" collapsed="false">
      <c r="A96" s="25"/>
      <c r="B96" s="25"/>
      <c r="C96" s="25"/>
      <c r="D96" s="25"/>
      <c r="E96" s="25"/>
      <c r="F96" s="25"/>
      <c r="G96" s="25"/>
      <c r="H96" s="26"/>
      <c r="I96" s="26"/>
    </row>
    <row r="97" customFormat="false" ht="12.75" hidden="false" customHeight="false" outlineLevel="0" collapsed="false">
      <c r="A97" s="25"/>
      <c r="B97" s="25"/>
      <c r="C97" s="25"/>
      <c r="D97" s="27" t="s">
        <v>144</v>
      </c>
      <c r="E97" s="27"/>
      <c r="F97" s="25"/>
      <c r="G97" s="25"/>
      <c r="H97" s="26"/>
      <c r="I97" s="26"/>
    </row>
    <row r="98" customFormat="false" ht="12.75" hidden="true" customHeight="false" outlineLevel="0" collapsed="false">
      <c r="A98" s="25"/>
      <c r="B98" s="25"/>
      <c r="C98" s="25"/>
      <c r="D98" s="28" t="s">
        <v>145</v>
      </c>
      <c r="E98" s="29" t="e">
        <f aca="false">E16+E28+E40+E53+#REF!+#REF!+#REF!+E94</f>
        <v>#REF!</v>
      </c>
      <c r="F98" s="25"/>
      <c r="G98" s="25"/>
      <c r="H98" s="26"/>
      <c r="I98" s="26"/>
    </row>
    <row r="99" customFormat="false" ht="12.75" hidden="false" customHeight="false" outlineLevel="0" collapsed="false">
      <c r="A99" s="25"/>
      <c r="B99" s="25"/>
      <c r="C99" s="25"/>
      <c r="D99" s="30" t="s">
        <v>146</v>
      </c>
      <c r="E99" s="31" t="n">
        <f aca="false">E94+E88+E76+E65+E53+E40+E28+E16</f>
        <v>147</v>
      </c>
      <c r="F99" s="25"/>
      <c r="G99" s="25"/>
    </row>
    <row r="100" customFormat="false" ht="12.75" hidden="true" customHeight="false" outlineLevel="0" collapsed="false">
      <c r="A100" s="25"/>
      <c r="B100" s="25"/>
      <c r="C100" s="25"/>
      <c r="D100" s="32" t="s">
        <v>147</v>
      </c>
      <c r="E100" s="33" t="e">
        <f aca="false">E94+#REF!+#REF!+#REF!+E53+E40+E28+E16</f>
        <v>#REF!</v>
      </c>
      <c r="F100" s="128"/>
      <c r="G100" s="128"/>
      <c r="H100" s="26"/>
      <c r="I100" s="26"/>
    </row>
    <row r="101" customFormat="false" ht="12.75" hidden="true" customHeight="false" outlineLevel="0" collapsed="false">
      <c r="A101" s="25"/>
      <c r="B101" s="25"/>
      <c r="C101" s="25"/>
      <c r="D101" s="34" t="s">
        <v>148</v>
      </c>
      <c r="E101" s="35" t="e">
        <f aca="false">E94+#REF!+#REF!+#REF!+E53+E40+E28+E16</f>
        <v>#REF!</v>
      </c>
      <c r="F101" s="129"/>
      <c r="G101" s="129"/>
      <c r="H101" s="26"/>
      <c r="I101" s="26"/>
    </row>
    <row r="105" customFormat="false" ht="12.75" hidden="false" customHeight="false" outlineLevel="0" collapsed="false">
      <c r="B105" s="130" t="s">
        <v>184</v>
      </c>
      <c r="C105" s="130"/>
      <c r="D105" s="130"/>
      <c r="E105" s="130"/>
    </row>
    <row r="106" customFormat="false" ht="12.75" hidden="false" customHeight="false" outlineLevel="0" collapsed="false">
      <c r="B106" s="10" t="s">
        <v>156</v>
      </c>
      <c r="C106" s="10" t="s">
        <v>5</v>
      </c>
      <c r="D106" s="10" t="s">
        <v>6</v>
      </c>
      <c r="E106" s="10" t="s">
        <v>7</v>
      </c>
    </row>
    <row r="107" customFormat="false" ht="12.75" hidden="false" customHeight="false" outlineLevel="0" collapsed="false">
      <c r="B107" s="6" t="n">
        <v>1</v>
      </c>
      <c r="C107" s="6" t="s">
        <v>185</v>
      </c>
      <c r="D107" s="169" t="s">
        <v>186</v>
      </c>
      <c r="E107" s="6" t="n">
        <v>2</v>
      </c>
      <c r="F107" s="1" t="s">
        <v>187</v>
      </c>
    </row>
    <row r="108" customFormat="false" ht="12.75" hidden="false" customHeight="false" outlineLevel="0" collapsed="false">
      <c r="B108" s="6" t="n">
        <f aca="false">B107+1</f>
        <v>2</v>
      </c>
      <c r="C108" s="6" t="s">
        <v>188</v>
      </c>
      <c r="D108" s="169" t="s">
        <v>189</v>
      </c>
      <c r="E108" s="6" t="n">
        <v>2</v>
      </c>
    </row>
    <row r="109" customFormat="false" ht="12.75" hidden="false" customHeight="false" outlineLevel="0" collapsed="false">
      <c r="B109" s="6" t="n">
        <f aca="false">B108+1</f>
        <v>3</v>
      </c>
      <c r="C109" s="133" t="s">
        <v>190</v>
      </c>
      <c r="D109" s="169" t="s">
        <v>191</v>
      </c>
      <c r="E109" s="133" t="n">
        <v>2</v>
      </c>
    </row>
    <row r="110" customFormat="false" ht="12.75" hidden="false" customHeight="false" outlineLevel="0" collapsed="false">
      <c r="B110" s="6" t="n">
        <f aca="false">B109+1</f>
        <v>4</v>
      </c>
      <c r="C110" s="133" t="s">
        <v>192</v>
      </c>
      <c r="D110" s="169" t="s">
        <v>193</v>
      </c>
      <c r="E110" s="6" t="n">
        <v>2</v>
      </c>
    </row>
    <row r="111" customFormat="false" ht="12.75" hidden="false" customHeight="false" outlineLevel="0" collapsed="false">
      <c r="B111" s="6" t="n">
        <f aca="false">B110+1</f>
        <v>5</v>
      </c>
      <c r="C111" s="6" t="s">
        <v>194</v>
      </c>
      <c r="D111" s="169" t="s">
        <v>195</v>
      </c>
      <c r="E111" s="6" t="n">
        <v>2</v>
      </c>
    </row>
    <row r="112" customFormat="false" ht="12.75" hidden="false" customHeight="false" outlineLevel="0" collapsed="false">
      <c r="B112" s="6" t="n">
        <f aca="false">B111+1</f>
        <v>6</v>
      </c>
      <c r="C112" s="133" t="s">
        <v>196</v>
      </c>
      <c r="D112" s="169" t="s">
        <v>197</v>
      </c>
      <c r="E112" s="6" t="n">
        <v>2</v>
      </c>
      <c r="F112" s="1" t="s">
        <v>187</v>
      </c>
    </row>
    <row r="113" customFormat="false" ht="12.75" hidden="false" customHeight="false" outlineLevel="0" collapsed="false">
      <c r="B113" s="6" t="n">
        <f aca="false">B112+1</f>
        <v>7</v>
      </c>
      <c r="C113" s="6" t="s">
        <v>198</v>
      </c>
      <c r="D113" s="170" t="s">
        <v>199</v>
      </c>
      <c r="E113" s="6" t="n">
        <v>2</v>
      </c>
    </row>
    <row r="114" customFormat="false" ht="12.75" hidden="false" customHeight="false" outlineLevel="0" collapsed="false">
      <c r="B114" s="6" t="n">
        <f aca="false">B113+1</f>
        <v>8</v>
      </c>
      <c r="C114" s="6" t="s">
        <v>200</v>
      </c>
      <c r="D114" s="170" t="s">
        <v>172</v>
      </c>
      <c r="E114" s="6" t="n">
        <v>2</v>
      </c>
      <c r="F114" s="1" t="s">
        <v>187</v>
      </c>
    </row>
    <row r="115" customFormat="false" ht="12.75" hidden="false" customHeight="false" outlineLevel="0" collapsed="false">
      <c r="B115" s="6" t="n">
        <f aca="false">B114+1</f>
        <v>9</v>
      </c>
      <c r="C115" s="6" t="s">
        <v>201</v>
      </c>
      <c r="D115" s="170" t="s">
        <v>202</v>
      </c>
      <c r="E115" s="6" t="n">
        <v>2</v>
      </c>
      <c r="F115" s="1" t="s">
        <v>187</v>
      </c>
    </row>
    <row r="116" s="2" customFormat="true" ht="12.75" hidden="false" customHeight="false" outlineLevel="0" collapsed="false">
      <c r="A116" s="1"/>
      <c r="B116" s="6" t="n">
        <f aca="false">B115+1</f>
        <v>10</v>
      </c>
      <c r="C116" s="6" t="s">
        <v>203</v>
      </c>
      <c r="D116" s="170" t="s">
        <v>204</v>
      </c>
      <c r="E116" s="6" t="n">
        <v>2</v>
      </c>
      <c r="F116" s="1" t="s">
        <v>187</v>
      </c>
      <c r="G116" s="1"/>
    </row>
  </sheetData>
  <mergeCells count="15">
    <mergeCell ref="A1:I1"/>
    <mergeCell ref="A2:I2"/>
    <mergeCell ref="A3:I3"/>
    <mergeCell ref="A4:I4"/>
    <mergeCell ref="F6:H6"/>
    <mergeCell ref="B7:B15"/>
    <mergeCell ref="B18:B27"/>
    <mergeCell ref="B29:B39"/>
    <mergeCell ref="B42:B52"/>
    <mergeCell ref="B55:B64"/>
    <mergeCell ref="B66:B74"/>
    <mergeCell ref="B78:B86"/>
    <mergeCell ref="B89:B93"/>
    <mergeCell ref="D97:E97"/>
    <mergeCell ref="B105:E105"/>
  </mergeCells>
  <printOptions headings="false" gridLines="false" gridLinesSet="true" horizontalCentered="true" verticalCentered="false"/>
  <pageMargins left="0.409722222222222" right="0.279861111111111" top="0.590277777777778" bottom="0.559722222222222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F79646"/>
    <pageSetUpPr fitToPage="false"/>
  </sheetPr>
  <dimension ref="A1:N118"/>
  <sheetViews>
    <sheetView showFormulas="false" showGridLines="true" showRowColHeaders="true" showZeros="true" rightToLeft="false" tabSelected="true" showOutlineSymbols="true" defaultGridColor="true" view="normal" topLeftCell="A103" colorId="64" zoomScale="90" zoomScaleNormal="90" zoomScalePageLayoutView="100" workbookViewId="0">
      <selection pane="topLeft" activeCell="D110" activeCellId="0" sqref="D110:D118"/>
    </sheetView>
  </sheetViews>
  <sheetFormatPr defaultRowHeight="12.7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4.86"/>
    <col collapsed="false" customWidth="true" hidden="false" outlineLevel="0" max="3" min="3" style="1" width="11.42"/>
    <col collapsed="false" customWidth="true" hidden="false" outlineLevel="0" max="4" min="4" style="1" width="45.42"/>
    <col collapsed="false" customWidth="true" hidden="false" outlineLevel="0" max="5" min="5" style="1" width="5.01"/>
    <col collapsed="false" customWidth="true" hidden="false" outlineLevel="0" max="7" min="6" style="1" width="8"/>
    <col collapsed="false" customWidth="true" hidden="false" outlineLevel="0" max="8" min="8" style="2" width="9.85"/>
    <col collapsed="false" customWidth="true" hidden="false" outlineLevel="0" max="9" min="9" style="2" width="4.71"/>
    <col collapsed="false" customWidth="true" hidden="false" outlineLevel="0" max="10" min="10" style="0" width="4.43"/>
    <col collapsed="false" customWidth="true" hidden="false" outlineLevel="0" max="12" min="11" style="0" width="6.57"/>
    <col collapsed="false" customWidth="true" hidden="false" outlineLevel="0" max="13" min="13" style="0" width="4.14"/>
    <col collapsed="false" customWidth="true" hidden="false" outlineLevel="0" max="14" min="14" style="0" width="8.57"/>
    <col collapsed="false" customWidth="true" hidden="false" outlineLevel="0" max="15" min="15" style="0" width="27.42"/>
    <col collapsed="false" customWidth="true" hidden="false" outlineLevel="0" max="1025" min="16" style="0" width="8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2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2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12.75" hidden="false" customHeight="false" outlineLevel="0" collapsed="false">
      <c r="A4" s="3" t="s">
        <v>205</v>
      </c>
      <c r="B4" s="3"/>
      <c r="C4" s="3"/>
      <c r="D4" s="3"/>
      <c r="E4" s="3"/>
      <c r="F4" s="3"/>
      <c r="G4" s="3"/>
      <c r="H4" s="3"/>
      <c r="I4" s="3"/>
    </row>
    <row r="5" customFormat="false" ht="13.5" hidden="false" customHeight="false" outlineLevel="0" collapsed="false"/>
    <row r="6" s="5" customFormat="true" ht="14.25" hidden="false" customHeight="false" outlineLevel="0" collapsed="false">
      <c r="A6" s="36" t="s">
        <v>3</v>
      </c>
      <c r="B6" s="36" t="s">
        <v>4</v>
      </c>
      <c r="C6" s="37" t="s">
        <v>5</v>
      </c>
      <c r="D6" s="38" t="s">
        <v>6</v>
      </c>
      <c r="E6" s="36" t="s">
        <v>7</v>
      </c>
      <c r="F6" s="38" t="s">
        <v>8</v>
      </c>
      <c r="G6" s="38"/>
      <c r="H6" s="38"/>
      <c r="I6" s="36" t="s">
        <v>9</v>
      </c>
    </row>
    <row r="7" customFormat="false" ht="13.5" hidden="false" customHeight="false" outlineLevel="0" collapsed="false">
      <c r="A7" s="39" t="n">
        <v>1</v>
      </c>
      <c r="B7" s="40" t="s">
        <v>10</v>
      </c>
      <c r="C7" s="39" t="s">
        <v>11</v>
      </c>
      <c r="D7" s="135" t="str">
        <f aca="false">VLOOKUP(C7,[1]Sheet1!$C$5:$E$205,2,0)</f>
        <v>PENDIDIKAN AGAMA</v>
      </c>
      <c r="E7" s="39" t="n">
        <f aca="false">VLOOKUP(C7,[1]Sheet1!$C$5:$E$205,3,0)</f>
        <v>2</v>
      </c>
      <c r="F7" s="43" t="s">
        <v>150</v>
      </c>
      <c r="G7" s="44"/>
      <c r="H7" s="45"/>
      <c r="I7" s="171"/>
    </row>
    <row r="8" customFormat="false" ht="12.75" hidden="false" customHeight="false" outlineLevel="0" collapsed="false">
      <c r="A8" s="47" t="n">
        <v>2</v>
      </c>
      <c r="B8" s="40"/>
      <c r="C8" s="47" t="s">
        <v>12</v>
      </c>
      <c r="D8" s="87" t="str">
        <f aca="false">VLOOKUP(C8,[1]Sheet1!$C$5:$E$205,2,0)</f>
        <v>PANCASILA</v>
      </c>
      <c r="E8" s="47" t="n">
        <f aca="false">VLOOKUP(C8,[1]Sheet1!$C$5:$E$205,3,0)</f>
        <v>2</v>
      </c>
      <c r="F8" s="50" t="s">
        <v>150</v>
      </c>
      <c r="G8" s="51"/>
      <c r="H8" s="52"/>
      <c r="I8" s="150"/>
    </row>
    <row r="9" customFormat="false" ht="12.75" hidden="false" customHeight="false" outlineLevel="0" collapsed="false">
      <c r="A9" s="47" t="n">
        <v>3</v>
      </c>
      <c r="B9" s="40"/>
      <c r="C9" s="48" t="s">
        <v>13</v>
      </c>
      <c r="D9" s="49" t="str">
        <f aca="false">VLOOKUP(C9,[1]Sheet1!$C$5:$E$205,2,0)</f>
        <v>BAHASA INDONESIA</v>
      </c>
      <c r="E9" s="47" t="n">
        <f aca="false">VLOOKUP(C9,[1]Sheet1!$C$5:$E$205,3,0)</f>
        <v>2</v>
      </c>
      <c r="F9" s="50" t="s">
        <v>150</v>
      </c>
      <c r="G9" s="51"/>
      <c r="H9" s="52"/>
      <c r="I9" s="150"/>
    </row>
    <row r="10" customFormat="false" ht="12.75" hidden="false" customHeight="false" outlineLevel="0" collapsed="false">
      <c r="A10" s="47" t="n">
        <v>4</v>
      </c>
      <c r="B10" s="40"/>
      <c r="C10" s="47" t="s">
        <v>14</v>
      </c>
      <c r="D10" s="87" t="str">
        <f aca="false">VLOOKUP(C10,[1]Sheet1!$C$5:$E$205,2,0)</f>
        <v>BAHASA INGGRIS I</v>
      </c>
      <c r="E10" s="47" t="n">
        <f aca="false">VLOOKUP(C10,[1]Sheet1!$C$5:$E$205,3,0)</f>
        <v>2</v>
      </c>
      <c r="F10" s="50" t="s">
        <v>150</v>
      </c>
      <c r="G10" s="51"/>
      <c r="H10" s="52"/>
      <c r="I10" s="150"/>
    </row>
    <row r="11" customFormat="false" ht="12.75" hidden="false" customHeight="false" outlineLevel="0" collapsed="false">
      <c r="A11" s="47" t="n">
        <v>5</v>
      </c>
      <c r="B11" s="40"/>
      <c r="C11" s="47" t="s">
        <v>15</v>
      </c>
      <c r="D11" s="87" t="str">
        <f aca="false">VLOOKUP(C11,[1]Sheet1!$C$5:$E$205,2,0)</f>
        <v>MATEMATIKA DASAR</v>
      </c>
      <c r="E11" s="47" t="n">
        <f aca="false">VLOOKUP(C11,[1]Sheet1!$C$5:$E$205,3,0)</f>
        <v>3</v>
      </c>
      <c r="F11" s="50" t="s">
        <v>150</v>
      </c>
      <c r="G11" s="51"/>
      <c r="H11" s="52"/>
      <c r="I11" s="150"/>
    </row>
    <row r="12" customFormat="false" ht="12.75" hidden="false" customHeight="false" outlineLevel="0" collapsed="false">
      <c r="A12" s="47" t="n">
        <v>6</v>
      </c>
      <c r="B12" s="40"/>
      <c r="C12" s="48" t="s">
        <v>16</v>
      </c>
      <c r="D12" s="49" t="str">
        <f aca="false">VLOOKUP(C12,[1]Sheet1!$C$5:$E$205,2,0)</f>
        <v>FISIKA DASAR</v>
      </c>
      <c r="E12" s="48" t="n">
        <f aca="false">VLOOKUP(C12,[1]Sheet1!$C$5:$E$205,3,0)</f>
        <v>3</v>
      </c>
      <c r="F12" s="50" t="s">
        <v>150</v>
      </c>
      <c r="G12" s="51"/>
      <c r="H12" s="52"/>
      <c r="I12" s="150"/>
    </row>
    <row r="13" customFormat="false" ht="12.75" hidden="false" customHeight="false" outlineLevel="0" collapsed="false">
      <c r="A13" s="47" t="n">
        <v>7</v>
      </c>
      <c r="B13" s="40"/>
      <c r="C13" s="47" t="s">
        <v>17</v>
      </c>
      <c r="D13" s="87" t="str">
        <f aca="false">VLOOKUP(C13,[1]Sheet1!$C$5:$E$205,2,0)</f>
        <v>KIMIA DASAR</v>
      </c>
      <c r="E13" s="47" t="n">
        <f aca="false">VLOOKUP(C13,[1]Sheet1!$C$5:$E$205,3,0)</f>
        <v>3</v>
      </c>
      <c r="F13" s="50" t="s">
        <v>150</v>
      </c>
      <c r="G13" s="51"/>
      <c r="H13" s="52"/>
      <c r="I13" s="150"/>
    </row>
    <row r="14" s="5" customFormat="true" ht="12.75" hidden="false" customHeight="false" outlineLevel="0" collapsed="false">
      <c r="A14" s="47" t="n">
        <v>8</v>
      </c>
      <c r="B14" s="40"/>
      <c r="C14" s="47" t="s">
        <v>18</v>
      </c>
      <c r="D14" s="87" t="str">
        <f aca="false">VLOOKUP(C14,[1]Sheet1!$C$5:$E$205,2,0)</f>
        <v>BIOLOGI UMUM</v>
      </c>
      <c r="E14" s="47" t="n">
        <f aca="false">VLOOKUP(C14,[1]Sheet1!$C$5:$E$205,3,0)</f>
        <v>3</v>
      </c>
      <c r="F14" s="50" t="s">
        <v>150</v>
      </c>
      <c r="G14" s="51"/>
      <c r="H14" s="54"/>
      <c r="I14" s="118"/>
    </row>
    <row r="15" s="5" customFormat="true" ht="13.5" hidden="false" customHeight="false" outlineLevel="0" collapsed="false">
      <c r="A15" s="56"/>
      <c r="B15" s="40"/>
      <c r="C15" s="56"/>
      <c r="D15" s="56"/>
      <c r="E15" s="56"/>
      <c r="F15" s="57"/>
      <c r="G15" s="58"/>
      <c r="H15" s="59"/>
      <c r="I15" s="172"/>
    </row>
    <row r="16" s="13" customFormat="true" ht="14.25" hidden="false" customHeight="false" outlineLevel="0" collapsed="false">
      <c r="A16" s="61"/>
      <c r="B16" s="61"/>
      <c r="C16" s="61"/>
      <c r="D16" s="61"/>
      <c r="E16" s="62" t="n">
        <f aca="false">SUM(E7:E15)</f>
        <v>20</v>
      </c>
      <c r="F16" s="63"/>
      <c r="G16" s="64"/>
      <c r="H16" s="65"/>
      <c r="I16" s="143"/>
    </row>
    <row r="17" customFormat="false" ht="13.5" hidden="false" customHeight="false" outlineLevel="0" collapsed="false">
      <c r="A17" s="67"/>
      <c r="B17" s="67"/>
      <c r="C17" s="67"/>
      <c r="D17" s="67"/>
      <c r="E17" s="67"/>
      <c r="F17" s="68"/>
      <c r="G17" s="69"/>
      <c r="H17" s="70"/>
      <c r="I17" s="146"/>
    </row>
    <row r="18" s="5" customFormat="true" ht="12.75" hidden="false" customHeight="false" outlineLevel="0" collapsed="false">
      <c r="A18" s="47" t="n">
        <v>1</v>
      </c>
      <c r="B18" s="72" t="s">
        <v>19</v>
      </c>
      <c r="C18" s="47" t="s">
        <v>20</v>
      </c>
      <c r="D18" s="115" t="str">
        <f aca="false">VLOOKUP(C18,[1]Sheet1!$C$5:$E$205,2,0)</f>
        <v>KEWARGANEGARAAN</v>
      </c>
      <c r="E18" s="47" t="n">
        <f aca="false">VLOOKUP(C18,[1]Sheet1!$C$5:$E$205,3,0)</f>
        <v>2</v>
      </c>
      <c r="F18" s="50" t="s">
        <v>12</v>
      </c>
      <c r="G18" s="51"/>
      <c r="H18" s="54"/>
      <c r="I18" s="118"/>
    </row>
    <row r="19" customFormat="false" ht="12.75" hidden="false" customHeight="false" outlineLevel="0" collapsed="false">
      <c r="A19" s="47" t="n">
        <f aca="false">A18+1</f>
        <v>2</v>
      </c>
      <c r="B19" s="72"/>
      <c r="C19" s="47" t="s">
        <v>21</v>
      </c>
      <c r="D19" s="173" t="str">
        <f aca="false">VLOOKUP(C19,[1]Sheet1!$C$5:$E$205,2,0)</f>
        <v>BAHASA INGGRIS II</v>
      </c>
      <c r="E19" s="47" t="n">
        <f aca="false">VLOOKUP(C19,[1]Sheet1!$C$5:$E$205,3,0)</f>
        <v>2</v>
      </c>
      <c r="F19" s="50" t="s">
        <v>14</v>
      </c>
      <c r="G19" s="51"/>
      <c r="H19" s="52"/>
      <c r="I19" s="150"/>
    </row>
    <row r="20" s="5" customFormat="true" ht="12.75" hidden="false" customHeight="false" outlineLevel="0" collapsed="false">
      <c r="A20" s="47" t="n">
        <f aca="false">A19+1</f>
        <v>3</v>
      </c>
      <c r="B20" s="72"/>
      <c r="C20" s="47" t="s">
        <v>22</v>
      </c>
      <c r="D20" s="173" t="str">
        <f aca="false">VLOOKUP(C20,[1]Sheet1!$C$5:$E$205,2,0)</f>
        <v>KEWIRAUSAHAAN</v>
      </c>
      <c r="E20" s="47" t="n">
        <f aca="false">VLOOKUP(C20,[1]Sheet1!$C$5:$E$205,3,0)</f>
        <v>2</v>
      </c>
      <c r="F20" s="50" t="s">
        <v>150</v>
      </c>
      <c r="G20" s="51"/>
      <c r="H20" s="54"/>
      <c r="I20" s="118"/>
    </row>
    <row r="21" customFormat="false" ht="12.75" hidden="false" customHeight="false" outlineLevel="0" collapsed="false">
      <c r="A21" s="47" t="n">
        <f aca="false">A20+1</f>
        <v>4</v>
      </c>
      <c r="B21" s="72"/>
      <c r="C21" s="47" t="s">
        <v>23</v>
      </c>
      <c r="D21" s="115" t="str">
        <f aca="false">VLOOKUP(C21,[1]Sheet1!$C$5:$E$205,2,0)</f>
        <v>ILMU SOSIAL DAN BUDAYA DASAR</v>
      </c>
      <c r="E21" s="47" t="n">
        <f aca="false">VLOOKUP(C21,[1]Sheet1!$C$5:$E$205,3,0)</f>
        <v>2</v>
      </c>
      <c r="F21" s="50" t="s">
        <v>150</v>
      </c>
      <c r="G21" s="51"/>
      <c r="H21" s="52"/>
      <c r="I21" s="150"/>
    </row>
    <row r="22" s="5" customFormat="true" ht="12.75" hidden="false" customHeight="false" outlineLevel="0" collapsed="false">
      <c r="A22" s="47" t="n">
        <f aca="false">A21+1</f>
        <v>5</v>
      </c>
      <c r="B22" s="72"/>
      <c r="C22" s="48" t="s">
        <v>24</v>
      </c>
      <c r="D22" s="49" t="str">
        <f aca="false">VLOOKUP(C22,[1]Sheet1!$C$5:$E$205,2,0)</f>
        <v>RANGKAIAN LOGIKA</v>
      </c>
      <c r="E22" s="47" t="n">
        <f aca="false">VLOOKUP(C22,[1]Sheet1!$C$5:$E$205,3,0)</f>
        <v>2</v>
      </c>
      <c r="F22" s="50" t="s">
        <v>150</v>
      </c>
      <c r="G22" s="51"/>
      <c r="H22" s="54"/>
      <c r="I22" s="118"/>
    </row>
    <row r="23" customFormat="false" ht="12.75" hidden="false" customHeight="false" outlineLevel="0" collapsed="false">
      <c r="A23" s="47" t="n">
        <f aca="false">A22+1</f>
        <v>6</v>
      </c>
      <c r="B23" s="72"/>
      <c r="C23" s="48" t="s">
        <v>25</v>
      </c>
      <c r="D23" s="49" t="str">
        <f aca="false">VLOOKUP(C23,[1]Sheet1!$C$5:$E$205,2,0)</f>
        <v>KONSEP SAINS DAN TEKNOLOGI</v>
      </c>
      <c r="E23" s="47" t="n">
        <f aca="false">VLOOKUP(C23,[1]Sheet1!$C$5:$E$205,3,0)</f>
        <v>2</v>
      </c>
      <c r="F23" s="50" t="s">
        <v>150</v>
      </c>
      <c r="G23" s="51"/>
      <c r="H23" s="52"/>
      <c r="I23" s="150"/>
      <c r="N23" s="5"/>
    </row>
    <row r="24" s="5" customFormat="true" ht="12.75" hidden="false" customHeight="false" outlineLevel="0" collapsed="false">
      <c r="A24" s="47" t="n">
        <f aca="false">A23+1</f>
        <v>7</v>
      </c>
      <c r="B24" s="72"/>
      <c r="C24" s="48" t="s">
        <v>26</v>
      </c>
      <c r="D24" s="49" t="str">
        <f aca="false">VLOOKUP(C24,[1]Sheet1!$C$5:$E$205,2,0)</f>
        <v>DASAR TELEKOMUNIKASI</v>
      </c>
      <c r="E24" s="47" t="n">
        <f aca="false">VLOOKUP(C24,[1]Sheet1!$C$5:$E$205,3,0)</f>
        <v>3</v>
      </c>
      <c r="F24" s="50" t="s">
        <v>150</v>
      </c>
      <c r="G24" s="51"/>
      <c r="H24" s="54"/>
      <c r="I24" s="118"/>
      <c r="N24" s="16"/>
    </row>
    <row r="25" s="5" customFormat="true" ht="12.75" hidden="false" customHeight="false" outlineLevel="0" collapsed="false">
      <c r="A25" s="47" t="n">
        <f aca="false">A24+1</f>
        <v>8</v>
      </c>
      <c r="B25" s="72"/>
      <c r="C25" s="48" t="s">
        <v>27</v>
      </c>
      <c r="D25" s="49" t="str">
        <f aca="false">VLOOKUP(C25,[1]Sheet1!$C$5:$E$205,2,0)</f>
        <v>FISIKA II / FISIKA LANJUT</v>
      </c>
      <c r="E25" s="47" t="n">
        <f aca="false">VLOOKUP(C25,[1]Sheet1!$C$5:$E$205,3,0)</f>
        <v>3</v>
      </c>
      <c r="F25" s="50" t="s">
        <v>16</v>
      </c>
      <c r="G25" s="51"/>
      <c r="H25" s="54"/>
      <c r="I25" s="118"/>
      <c r="N25" s="16"/>
    </row>
    <row r="26" customFormat="false" ht="12.75" hidden="false" customHeight="false" outlineLevel="0" collapsed="false">
      <c r="A26" s="47" t="n">
        <f aca="false">A25+1</f>
        <v>9</v>
      </c>
      <c r="B26" s="72"/>
      <c r="C26" s="48" t="s">
        <v>28</v>
      </c>
      <c r="D26" s="49" t="str">
        <f aca="false">VLOOKUP(C26,[1]Sheet1!$C$5:$E$205,2,0)</f>
        <v>KALKULUS II / MATEMATIKA LANJUT</v>
      </c>
      <c r="E26" s="47" t="n">
        <f aca="false">VLOOKUP(C26,[1]Sheet1!$C$5:$E$205,3,0)</f>
        <v>2</v>
      </c>
      <c r="F26" s="50" t="s">
        <v>15</v>
      </c>
      <c r="G26" s="51"/>
      <c r="H26" s="52"/>
      <c r="I26" s="150"/>
      <c r="N26" s="16"/>
    </row>
    <row r="27" customFormat="false" ht="13.5" hidden="false" customHeight="false" outlineLevel="0" collapsed="false">
      <c r="A27" s="56" t="n">
        <f aca="false">A26+1</f>
        <v>10</v>
      </c>
      <c r="B27" s="72"/>
      <c r="C27" s="73" t="s">
        <v>29</v>
      </c>
      <c r="D27" s="74" t="str">
        <f aca="false">VLOOKUP(C27,[1]Sheet1!$C$5:$E$205,2,0)</f>
        <v>PRAKTIKUM DASAR TELEKOMUNIKASI</v>
      </c>
      <c r="E27" s="56" t="n">
        <f aca="false">VLOOKUP(C27,[1]Sheet1!$C$5:$E$205,3,0)</f>
        <v>1</v>
      </c>
      <c r="F27" s="57" t="s">
        <v>151</v>
      </c>
      <c r="G27" s="58" t="s">
        <v>26</v>
      </c>
      <c r="H27" s="75"/>
      <c r="I27" s="139"/>
      <c r="N27" s="16"/>
    </row>
    <row r="28" s="5" customFormat="true" ht="14.25" hidden="false" customHeight="false" outlineLevel="0" collapsed="false">
      <c r="A28" s="77"/>
      <c r="B28" s="77"/>
      <c r="C28" s="77"/>
      <c r="D28" s="61"/>
      <c r="E28" s="77" t="n">
        <f aca="false">SUM(E18:E27)</f>
        <v>21</v>
      </c>
      <c r="F28" s="78"/>
      <c r="G28" s="79"/>
      <c r="H28" s="80"/>
      <c r="I28" s="174"/>
      <c r="N28" s="16"/>
    </row>
    <row r="29" customFormat="false" ht="13.5" hidden="false" customHeight="false" outlineLevel="0" collapsed="false">
      <c r="A29" s="67"/>
      <c r="B29" s="40" t="s">
        <v>30</v>
      </c>
      <c r="C29" s="67"/>
      <c r="D29" s="67"/>
      <c r="E29" s="67"/>
      <c r="F29" s="82"/>
      <c r="G29" s="83"/>
      <c r="H29" s="84"/>
      <c r="I29" s="175"/>
      <c r="N29" s="16"/>
    </row>
    <row r="30" customFormat="false" ht="12.75" hidden="false" customHeight="false" outlineLevel="0" collapsed="false">
      <c r="A30" s="47" t="n">
        <v>1</v>
      </c>
      <c r="B30" s="40"/>
      <c r="C30" s="48" t="s">
        <v>31</v>
      </c>
      <c r="D30" s="49" t="str">
        <f aca="false">VLOOKUP(C30,[1]Sheet1!$C$5:$E$205,2,0)</f>
        <v>MATEMATIKA TEKNIK I</v>
      </c>
      <c r="E30" s="47" t="n">
        <f aca="false">VLOOKUP(C30,[1]Sheet1!$C$5:$E$205,3,0)</f>
        <v>3</v>
      </c>
      <c r="F30" s="50" t="s">
        <v>28</v>
      </c>
      <c r="G30" s="51"/>
      <c r="H30" s="52"/>
      <c r="I30" s="150"/>
      <c r="N30" s="16"/>
    </row>
    <row r="31" customFormat="false" ht="12.75" hidden="false" customHeight="false" outlineLevel="0" collapsed="false">
      <c r="A31" s="47" t="n">
        <f aca="false">A30+1</f>
        <v>2</v>
      </c>
      <c r="B31" s="40"/>
      <c r="C31" s="48" t="s">
        <v>32</v>
      </c>
      <c r="D31" s="49" t="str">
        <f aca="false">VLOOKUP(C31,[1]Sheet1!$C$5:$E$205,2,0)</f>
        <v>DASAR TEKNOLOGI INFORMASI</v>
      </c>
      <c r="E31" s="47" t="n">
        <f aca="false">VLOOKUP(C31,[1]Sheet1!$C$5:$E$205,3,0)</f>
        <v>3</v>
      </c>
      <c r="F31" s="50" t="s">
        <v>150</v>
      </c>
      <c r="G31" s="51"/>
      <c r="H31" s="52"/>
      <c r="I31" s="150"/>
      <c r="N31" s="16"/>
    </row>
    <row r="32" customFormat="false" ht="12.75" hidden="false" customHeight="false" outlineLevel="0" collapsed="false">
      <c r="A32" s="47" t="n">
        <f aca="false">A31+1</f>
        <v>3</v>
      </c>
      <c r="B32" s="40"/>
      <c r="C32" s="48" t="s">
        <v>33</v>
      </c>
      <c r="D32" s="49" t="str">
        <f aca="false">VLOOKUP(C32,[1]Sheet1!$C$5:$E$205,2,0)</f>
        <v>RANGKAIAN LISTRIK I</v>
      </c>
      <c r="E32" s="47" t="n">
        <f aca="false">VLOOKUP(C32,[1]Sheet1!$C$5:$E$205,3,0)</f>
        <v>3</v>
      </c>
      <c r="F32" s="50" t="s">
        <v>27</v>
      </c>
      <c r="G32" s="51"/>
      <c r="H32" s="52"/>
      <c r="I32" s="150"/>
      <c r="N32" s="16"/>
    </row>
    <row r="33" customFormat="false" ht="12.75" hidden="false" customHeight="false" outlineLevel="0" collapsed="false">
      <c r="A33" s="47" t="n">
        <f aca="false">A32+1</f>
        <v>4</v>
      </c>
      <c r="B33" s="40"/>
      <c r="C33" s="48" t="s">
        <v>34</v>
      </c>
      <c r="D33" s="49" t="str">
        <f aca="false">VLOOKUP(C33,[1]Sheet1!$C$5:$E$205,2,0)</f>
        <v>PENGUKURAN BESARAN LISTRIK</v>
      </c>
      <c r="E33" s="47" t="n">
        <f aca="false">VLOOKUP(C33,[1]Sheet1!$C$5:$E$205,3,0)</f>
        <v>2</v>
      </c>
      <c r="F33" s="50" t="s">
        <v>27</v>
      </c>
      <c r="G33" s="51"/>
      <c r="H33" s="52"/>
      <c r="I33" s="150"/>
    </row>
    <row r="34" customFormat="false" ht="12.75" hidden="false" customHeight="false" outlineLevel="0" collapsed="false">
      <c r="A34" s="47" t="n">
        <f aca="false">A33+1</f>
        <v>5</v>
      </c>
      <c r="B34" s="40"/>
      <c r="C34" s="48" t="s">
        <v>35</v>
      </c>
      <c r="D34" s="49" t="str">
        <f aca="false">VLOOKUP(C34,[1]Sheet1!$C$5:$E$205,2,0)</f>
        <v>PRAKTIKUM PENGUKURAN BESARAN LISTRIK</v>
      </c>
      <c r="E34" s="47" t="n">
        <f aca="false">VLOOKUP(C34,[1]Sheet1!$C$5:$E$205,3,0)</f>
        <v>1</v>
      </c>
      <c r="F34" s="50" t="s">
        <v>151</v>
      </c>
      <c r="G34" s="51" t="s">
        <v>34</v>
      </c>
      <c r="H34" s="52"/>
      <c r="I34" s="150"/>
    </row>
    <row r="35" customFormat="false" ht="12.75" hidden="false" customHeight="false" outlineLevel="0" collapsed="false">
      <c r="A35" s="47" t="n">
        <f aca="false">A34+1</f>
        <v>6</v>
      </c>
      <c r="B35" s="40"/>
      <c r="C35" s="48" t="s">
        <v>36</v>
      </c>
      <c r="D35" s="49" t="str">
        <f aca="false">VLOOKUP(C35,[1]Sheet1!$C$5:$E$205,2,0)</f>
        <v>DASAR ELEKTRONIKA</v>
      </c>
      <c r="E35" s="47" t="n">
        <f aca="false">VLOOKUP(C35,[1]Sheet1!$C$5:$E$205,3,0)</f>
        <v>3</v>
      </c>
      <c r="F35" s="50" t="s">
        <v>33</v>
      </c>
      <c r="G35" s="51"/>
      <c r="H35" s="52"/>
      <c r="I35" s="150"/>
      <c r="N35" s="5"/>
    </row>
    <row r="36" customFormat="false" ht="12.75" hidden="false" customHeight="false" outlineLevel="0" collapsed="false">
      <c r="A36" s="47" t="n">
        <f aca="false">A35+1</f>
        <v>7</v>
      </c>
      <c r="B36" s="40"/>
      <c r="C36" s="48" t="s">
        <v>37</v>
      </c>
      <c r="D36" s="49" t="str">
        <f aca="false">VLOOKUP(C36,[1]Sheet1!$C$5:$E$205,2,0)</f>
        <v>DASAR TENAGA LISTRIK</v>
      </c>
      <c r="E36" s="47" t="n">
        <f aca="false">VLOOKUP(C36,[1]Sheet1!$C$5:$E$205,3,0)</f>
        <v>3</v>
      </c>
      <c r="F36" s="50" t="s">
        <v>33</v>
      </c>
      <c r="G36" s="51"/>
      <c r="H36" s="52"/>
      <c r="I36" s="150"/>
      <c r="N36" s="16"/>
    </row>
    <row r="37" s="16" customFormat="true" ht="12.75" hidden="false" customHeight="false" outlineLevel="0" collapsed="false">
      <c r="A37" s="47" t="n">
        <f aca="false">A36+1</f>
        <v>8</v>
      </c>
      <c r="B37" s="40"/>
      <c r="C37" s="48" t="s">
        <v>38</v>
      </c>
      <c r="D37" s="49" t="str">
        <f aca="false">VLOOKUP(C37,[1]Sheet1!$C$5:$E$205,2,0)</f>
        <v>ALGORITMA DAN PEMROGRAMAN</v>
      </c>
      <c r="E37" s="47" t="n">
        <f aca="false">VLOOKUP(C37,[1]Sheet1!$C$5:$E$205,3,0)</f>
        <v>2</v>
      </c>
      <c r="F37" s="50" t="s">
        <v>24</v>
      </c>
      <c r="G37" s="51"/>
      <c r="H37" s="86"/>
      <c r="I37" s="47"/>
    </row>
    <row r="38" s="5" customFormat="true" ht="12.75" hidden="false" customHeight="false" outlineLevel="0" collapsed="false">
      <c r="A38" s="47" t="n">
        <f aca="false">A37+1</f>
        <v>9</v>
      </c>
      <c r="B38" s="40"/>
      <c r="C38" s="48" t="s">
        <v>39</v>
      </c>
      <c r="D38" s="49" t="str">
        <f aca="false">VLOOKUP(C38,[1]Sheet1!$C$5:$E$205,2,0)</f>
        <v>PRAKTIKUM RANGKAIAN LOGIKA</v>
      </c>
      <c r="E38" s="47" t="n">
        <f aca="false">VLOOKUP(C38,[1]Sheet1!$C$5:$E$205,3,0)</f>
        <v>1</v>
      </c>
      <c r="F38" s="50" t="s">
        <v>24</v>
      </c>
      <c r="G38" s="51"/>
      <c r="H38" s="54"/>
      <c r="I38" s="118"/>
    </row>
    <row r="39" customFormat="false" ht="13.5" hidden="false" customHeight="false" outlineLevel="0" collapsed="false">
      <c r="A39" s="56"/>
      <c r="B39" s="40"/>
      <c r="C39" s="56"/>
      <c r="D39" s="56"/>
      <c r="E39" s="56"/>
      <c r="F39" s="57"/>
      <c r="G39" s="58"/>
      <c r="H39" s="75"/>
      <c r="I39" s="139"/>
    </row>
    <row r="40" s="5" customFormat="true" ht="14.25" hidden="false" customHeight="false" outlineLevel="0" collapsed="false">
      <c r="A40" s="62"/>
      <c r="B40" s="62"/>
      <c r="C40" s="62"/>
      <c r="D40" s="61"/>
      <c r="E40" s="62" t="n">
        <f aca="false">SUM(E30:E39)</f>
        <v>21</v>
      </c>
      <c r="F40" s="63"/>
      <c r="G40" s="64"/>
      <c r="H40" s="65"/>
      <c r="I40" s="143"/>
    </row>
    <row r="41" customFormat="false" ht="13.5" hidden="false" customHeight="false" outlineLevel="0" collapsed="false">
      <c r="A41" s="88"/>
      <c r="B41" s="88"/>
      <c r="C41" s="88"/>
      <c r="D41" s="88"/>
      <c r="E41" s="88"/>
      <c r="F41" s="68"/>
      <c r="G41" s="69"/>
      <c r="H41" s="70"/>
      <c r="I41" s="146"/>
    </row>
    <row r="42" s="16" customFormat="true" ht="12.75" hidden="false" customHeight="false" outlineLevel="0" collapsed="false">
      <c r="A42" s="47" t="n">
        <v>1</v>
      </c>
      <c r="B42" s="72" t="s">
        <v>40</v>
      </c>
      <c r="C42" s="48" t="s">
        <v>41</v>
      </c>
      <c r="D42" s="49" t="str">
        <f aca="false">VLOOKUP(C42,[1]Sheet1!$C$5:$E$205,2,0)</f>
        <v>PRAKTKUM ALGORITMA DAN PEMROGRAMAN</v>
      </c>
      <c r="E42" s="47" t="n">
        <f aca="false">VLOOKUP(C42,[1]Sheet1!$C$5:$E$205,3,0)</f>
        <v>1</v>
      </c>
      <c r="F42" s="50" t="s">
        <v>38</v>
      </c>
      <c r="G42" s="51"/>
      <c r="H42" s="86"/>
      <c r="I42" s="47"/>
    </row>
    <row r="43" s="16" customFormat="true" ht="12.75" hidden="false" customHeight="false" outlineLevel="0" collapsed="false">
      <c r="A43" s="47" t="n">
        <f aca="false">A42+1</f>
        <v>2</v>
      </c>
      <c r="B43" s="72"/>
      <c r="C43" s="48" t="s">
        <v>42</v>
      </c>
      <c r="D43" s="49" t="str">
        <f aca="false">VLOOKUP(C43,[1]Sheet1!$C$5:$E$205,2,0)</f>
        <v>MATEMATIKA TEKNIK II</v>
      </c>
      <c r="E43" s="47" t="n">
        <f aca="false">VLOOKUP(C43,[1]Sheet1!$C$5:$E$205,3,0)</f>
        <v>3</v>
      </c>
      <c r="F43" s="50" t="s">
        <v>31</v>
      </c>
      <c r="G43" s="51"/>
      <c r="H43" s="86"/>
      <c r="I43" s="47"/>
    </row>
    <row r="44" s="16" customFormat="true" ht="12.75" hidden="false" customHeight="false" outlineLevel="0" collapsed="false">
      <c r="A44" s="47" t="n">
        <f aca="false">A43+1</f>
        <v>3</v>
      </c>
      <c r="B44" s="72"/>
      <c r="C44" s="48" t="s">
        <v>43</v>
      </c>
      <c r="D44" s="49" t="str">
        <f aca="false">VLOOKUP(C44,[1]Sheet1!$C$5:$E$205,2,0)</f>
        <v>SINYAL DAN SISTEM</v>
      </c>
      <c r="E44" s="47" t="n">
        <f aca="false">VLOOKUP(C44,[1]Sheet1!$C$5:$E$205,3,0)</f>
        <v>3</v>
      </c>
      <c r="F44" s="50" t="s">
        <v>42</v>
      </c>
      <c r="G44" s="51"/>
      <c r="H44" s="86"/>
      <c r="I44" s="47"/>
    </row>
    <row r="45" s="16" customFormat="true" ht="12.75" hidden="false" customHeight="false" outlineLevel="0" collapsed="false">
      <c r="A45" s="47" t="n">
        <f aca="false">A44+1</f>
        <v>4</v>
      </c>
      <c r="B45" s="72"/>
      <c r="C45" s="48" t="s">
        <v>44</v>
      </c>
      <c r="D45" s="49" t="str">
        <f aca="false">VLOOKUP(C45,[1]Sheet1!$C$5:$E$205,2,0)</f>
        <v>BAHAN LISTRIK</v>
      </c>
      <c r="E45" s="47" t="n">
        <f aca="false">VLOOKUP(C45,[1]Sheet1!$C$5:$E$205,3,0)</f>
        <v>2</v>
      </c>
      <c r="F45" s="50" t="s">
        <v>16</v>
      </c>
      <c r="G45" s="51"/>
      <c r="H45" s="86"/>
      <c r="I45" s="47"/>
    </row>
    <row r="46" s="16" customFormat="true" ht="12.75" hidden="false" customHeight="false" outlineLevel="0" collapsed="false">
      <c r="A46" s="47" t="n">
        <f aca="false">A45+1</f>
        <v>5</v>
      </c>
      <c r="B46" s="72"/>
      <c r="C46" s="48" t="s">
        <v>45</v>
      </c>
      <c r="D46" s="49" t="str">
        <f aca="false">VLOOKUP(C46,[1]Sheet1!$C$5:$E$205,2,0)</f>
        <v>PROBABILITAS DAN STATISTIK</v>
      </c>
      <c r="E46" s="47" t="n">
        <f aca="false">VLOOKUP(C46,[1]Sheet1!$C$5:$E$205,3,0)</f>
        <v>2</v>
      </c>
      <c r="F46" s="50" t="s">
        <v>31</v>
      </c>
      <c r="G46" s="51"/>
      <c r="H46" s="86"/>
      <c r="I46" s="47"/>
    </row>
    <row r="47" s="16" customFormat="true" ht="12.75" hidden="false" customHeight="false" outlineLevel="0" collapsed="false">
      <c r="A47" s="47" t="n">
        <f aca="false">A46+1</f>
        <v>6</v>
      </c>
      <c r="B47" s="72"/>
      <c r="C47" s="48" t="s">
        <v>46</v>
      </c>
      <c r="D47" s="49" t="str">
        <f aca="false">VLOOKUP(C47,[1]Sheet1!$C$5:$E$205,2,0)</f>
        <v>METODE NUMERIK</v>
      </c>
      <c r="E47" s="47" t="n">
        <f aca="false">VLOOKUP(C47,[1]Sheet1!$C$5:$E$205,3,0)</f>
        <v>2</v>
      </c>
      <c r="F47" s="50" t="s">
        <v>31</v>
      </c>
      <c r="G47" s="51"/>
      <c r="H47" s="86"/>
      <c r="I47" s="47"/>
    </row>
    <row r="48" s="16" customFormat="true" ht="12.75" hidden="false" customHeight="false" outlineLevel="0" collapsed="false">
      <c r="A48" s="47" t="n">
        <f aca="false">A47+1</f>
        <v>7</v>
      </c>
      <c r="B48" s="72"/>
      <c r="C48" s="48" t="s">
        <v>47</v>
      </c>
      <c r="D48" s="49" t="str">
        <f aca="false">VLOOKUP(C48,[1]Sheet1!$C$5:$E$205,2,0)</f>
        <v>RANGKAIAN LISTRIK II</v>
      </c>
      <c r="E48" s="47" t="n">
        <f aca="false">VLOOKUP(C48,[1]Sheet1!$C$5:$E$205,3,0)</f>
        <v>3</v>
      </c>
      <c r="F48" s="50" t="s">
        <v>33</v>
      </c>
      <c r="G48" s="51"/>
      <c r="H48" s="86"/>
      <c r="I48" s="47"/>
    </row>
    <row r="49" s="16" customFormat="true" ht="12.75" hidden="false" customHeight="false" outlineLevel="0" collapsed="false">
      <c r="A49" s="47" t="n">
        <f aca="false">A48+1</f>
        <v>8</v>
      </c>
      <c r="B49" s="72"/>
      <c r="C49" s="48" t="s">
        <v>48</v>
      </c>
      <c r="D49" s="49" t="str">
        <f aca="false">VLOOKUP(C49,[1]Sheet1!$C$5:$E$205,2,0)</f>
        <v>ELEKTROMAGNETIK</v>
      </c>
      <c r="E49" s="47" t="n">
        <f aca="false">VLOOKUP(C49,[1]Sheet1!$C$5:$E$205,3,0)</f>
        <v>3</v>
      </c>
      <c r="F49" s="50" t="s">
        <v>27</v>
      </c>
      <c r="G49" s="51" t="s">
        <v>28</v>
      </c>
      <c r="H49" s="86"/>
      <c r="I49" s="47"/>
    </row>
    <row r="50" s="16" customFormat="true" ht="12.75" hidden="false" customHeight="false" outlineLevel="0" collapsed="false">
      <c r="A50" s="47" t="n">
        <f aca="false">A49+1</f>
        <v>9</v>
      </c>
      <c r="B50" s="72"/>
      <c r="C50" s="48" t="s">
        <v>49</v>
      </c>
      <c r="D50" s="49" t="str">
        <f aca="false">VLOOKUP(C50,[1]Sheet1!$C$5:$E$205,2,0)</f>
        <v>PRAKTIKUM DASAR ELEKTRONIKA</v>
      </c>
      <c r="E50" s="47" t="n">
        <f aca="false">VLOOKUP(C50,[1]Sheet1!$C$5:$E$205,3,0)</f>
        <v>1</v>
      </c>
      <c r="F50" s="50" t="s">
        <v>36</v>
      </c>
      <c r="G50" s="51"/>
      <c r="H50" s="86"/>
      <c r="I50" s="47"/>
    </row>
    <row r="51" s="16" customFormat="true" ht="12.75" hidden="false" customHeight="false" outlineLevel="0" collapsed="false">
      <c r="A51" s="47" t="n">
        <f aca="false">A50+1</f>
        <v>10</v>
      </c>
      <c r="B51" s="72"/>
      <c r="C51" s="48" t="s">
        <v>50</v>
      </c>
      <c r="D51" s="49" t="str">
        <f aca="false">VLOOKUP(C51,[1]Sheet1!$C$5:$E$205,2,0)</f>
        <v>PRAKTIKUM DASAR TENAGA LISTRIK</v>
      </c>
      <c r="E51" s="47" t="n">
        <f aca="false">VLOOKUP(C51,[1]Sheet1!$C$5:$E$205,3,0)</f>
        <v>1</v>
      </c>
      <c r="F51" s="50" t="s">
        <v>37</v>
      </c>
      <c r="G51" s="51"/>
      <c r="H51" s="86"/>
      <c r="I51" s="47"/>
    </row>
    <row r="52" customFormat="false" ht="13.5" hidden="false" customHeight="false" outlineLevel="0" collapsed="false">
      <c r="A52" s="56"/>
      <c r="B52" s="72"/>
      <c r="C52" s="56"/>
      <c r="D52" s="56"/>
      <c r="E52" s="56"/>
      <c r="F52" s="57"/>
      <c r="G52" s="58"/>
      <c r="H52" s="75"/>
      <c r="I52" s="139"/>
    </row>
    <row r="53" s="5" customFormat="true" ht="14.25" hidden="false" customHeight="false" outlineLevel="0" collapsed="false">
      <c r="A53" s="62"/>
      <c r="B53" s="62"/>
      <c r="C53" s="62"/>
      <c r="D53" s="61"/>
      <c r="E53" s="62" t="n">
        <f aca="false">SUM(E42:E52)</f>
        <v>21</v>
      </c>
      <c r="F53" s="63"/>
      <c r="G53" s="64"/>
      <c r="H53" s="65"/>
      <c r="I53" s="143"/>
    </row>
    <row r="54" customFormat="false" ht="13.5" hidden="false" customHeight="false" outlineLevel="0" collapsed="false">
      <c r="A54" s="88"/>
      <c r="B54" s="88"/>
      <c r="C54" s="88"/>
      <c r="D54" s="88"/>
      <c r="E54" s="88"/>
      <c r="F54" s="68"/>
      <c r="G54" s="69"/>
      <c r="H54" s="70"/>
      <c r="I54" s="146"/>
    </row>
    <row r="55" s="5" customFormat="true" ht="12.75" hidden="false" customHeight="false" outlineLevel="0" collapsed="false">
      <c r="A55" s="47" t="n">
        <v>1</v>
      </c>
      <c r="B55" s="89" t="s">
        <v>51</v>
      </c>
      <c r="C55" s="90" t="s">
        <v>52</v>
      </c>
      <c r="D55" s="91" t="str">
        <f aca="false">VLOOKUP(C55,[1]Sheet1!$C$5:$E$205,2,0)</f>
        <v>SISTEM MIKROPROSESOR</v>
      </c>
      <c r="E55" s="90" t="n">
        <f aca="false">VLOOKUP(C55,[1]Sheet1!$C$5:$E$205,3,0)</f>
        <v>3</v>
      </c>
      <c r="F55" s="50" t="s">
        <v>24</v>
      </c>
      <c r="G55" s="51"/>
      <c r="H55" s="54"/>
      <c r="I55" s="118"/>
    </row>
    <row r="56" customFormat="false" ht="12.75" hidden="false" customHeight="false" outlineLevel="0" collapsed="false">
      <c r="A56" s="47" t="n">
        <f aca="false">A55+1</f>
        <v>2</v>
      </c>
      <c r="B56" s="89"/>
      <c r="C56" s="90" t="s">
        <v>53</v>
      </c>
      <c r="D56" s="91" t="str">
        <f aca="false">VLOOKUP(C56,[1]Sheet1!$C$5:$E$205,2,0)</f>
        <v>SISTEM KENDALI</v>
      </c>
      <c r="E56" s="90" t="n">
        <f aca="false">VLOOKUP(C56,[1]Sheet1!$C$5:$E$205,3,0)</f>
        <v>3</v>
      </c>
      <c r="F56" s="50" t="s">
        <v>31</v>
      </c>
      <c r="G56" s="51"/>
      <c r="H56" s="52"/>
      <c r="I56" s="150"/>
    </row>
    <row r="57" customFormat="false" ht="12.75" hidden="false" customHeight="false" outlineLevel="0" collapsed="false">
      <c r="A57" s="47" t="n">
        <f aca="false">A56+1</f>
        <v>3</v>
      </c>
      <c r="B57" s="89"/>
      <c r="C57" s="90" t="s">
        <v>54</v>
      </c>
      <c r="D57" s="91" t="str">
        <f aca="false">VLOOKUP(C57,[1]Sheet1!$C$5:$E$205,2,0)</f>
        <v>PRAKTIKUM SISTEM KENDALI</v>
      </c>
      <c r="E57" s="47" t="n">
        <f aca="false">VLOOKUP(C57,[1]Sheet1!$C$5:$E$205,3,0)</f>
        <v>1</v>
      </c>
      <c r="F57" s="50" t="s">
        <v>151</v>
      </c>
      <c r="G57" s="51" t="s">
        <v>53</v>
      </c>
      <c r="H57" s="52"/>
      <c r="I57" s="150"/>
    </row>
    <row r="58" customFormat="false" ht="12.75" hidden="false" customHeight="false" outlineLevel="0" collapsed="false">
      <c r="A58" s="47" t="n">
        <f aca="false">A57+1</f>
        <v>4</v>
      </c>
      <c r="B58" s="89"/>
      <c r="C58" s="90" t="s">
        <v>55</v>
      </c>
      <c r="D58" s="91" t="str">
        <f aca="false">VLOOKUP(C58,[1]Sheet1!$C$5:$E$205,2,0)</f>
        <v>PRAKTIKUM RANGKAIAN LISTRIK</v>
      </c>
      <c r="E58" s="47" t="n">
        <f aca="false">VLOOKUP(C58,[1]Sheet1!$C$5:$E$205,3,0)</f>
        <v>1</v>
      </c>
      <c r="F58" s="50" t="s">
        <v>33</v>
      </c>
      <c r="G58" s="51" t="s">
        <v>47</v>
      </c>
      <c r="H58" s="52"/>
      <c r="I58" s="150"/>
    </row>
    <row r="59" customFormat="false" ht="12.75" hidden="false" customHeight="false" outlineLevel="0" collapsed="false">
      <c r="A59" s="47" t="n">
        <f aca="false">A58+1</f>
        <v>5</v>
      </c>
      <c r="B59" s="89"/>
      <c r="C59" s="48" t="s">
        <v>56</v>
      </c>
      <c r="D59" s="49" t="str">
        <f aca="false">VLOOKUP(C59,[1]Sheet1!$C$5:$E$205,2,0)</f>
        <v>EKONOMI TEKNIK</v>
      </c>
      <c r="E59" s="47" t="n">
        <f aca="false">VLOOKUP(C59,[1]Sheet1!$C$5:$E$205,3,0)</f>
        <v>2</v>
      </c>
      <c r="F59" s="50" t="s">
        <v>150</v>
      </c>
      <c r="G59" s="51"/>
      <c r="H59" s="52"/>
      <c r="I59" s="150"/>
    </row>
    <row r="60" s="5" customFormat="true" ht="12.75" hidden="false" customHeight="false" outlineLevel="0" collapsed="false">
      <c r="A60" s="47" t="n">
        <v>6</v>
      </c>
      <c r="B60" s="89"/>
      <c r="C60" s="47" t="s">
        <v>69</v>
      </c>
      <c r="D60" s="87" t="str">
        <f aca="false">VLOOKUP(C60,[1]Sheet1!$C$5:$E$205,2,0)</f>
        <v>ELEKTROMAGNETIK LANJUT</v>
      </c>
      <c r="E60" s="47" t="n">
        <f aca="false">VLOOKUP(C60,[1]Sheet1!$C$5:$E$205,3,0)</f>
        <v>2</v>
      </c>
      <c r="F60" s="50" t="s">
        <v>48</v>
      </c>
      <c r="G60" s="51"/>
      <c r="H60" s="54"/>
      <c r="I60" s="118"/>
    </row>
    <row r="61" customFormat="false" ht="12.8" hidden="false" customHeight="false" outlineLevel="0" collapsed="false">
      <c r="A61" s="47" t="n">
        <f aca="false">A60+1</f>
        <v>7</v>
      </c>
      <c r="B61" s="89"/>
      <c r="C61" s="92" t="s">
        <v>70</v>
      </c>
      <c r="D61" s="93" t="str">
        <f aca="false">VLOOKUP(C61,[1]Sheet1!$C$5:$E$205,2,0)</f>
        <v>SISTEM TELEKOMUNIKASI</v>
      </c>
      <c r="E61" s="92" t="n">
        <f aca="false">VLOOKUP(C61,[1]Sheet1!$C$5:$E$205,3,0)</f>
        <v>3</v>
      </c>
      <c r="F61" s="50" t="s">
        <v>26</v>
      </c>
      <c r="G61" s="51"/>
      <c r="H61" s="52"/>
      <c r="I61" s="150"/>
    </row>
    <row r="62" customFormat="false" ht="12.75" hidden="false" customHeight="false" outlineLevel="0" collapsed="false">
      <c r="A62" s="47" t="n">
        <f aca="false">A61+1</f>
        <v>8</v>
      </c>
      <c r="B62" s="89"/>
      <c r="C62" s="48" t="s">
        <v>71</v>
      </c>
      <c r="D62" s="49" t="str">
        <f aca="false">VLOOKUP(C62,[1]Sheet1!$C$5:$E$205,2,0)</f>
        <v>JARINGAN TELEKOMUNIKASI</v>
      </c>
      <c r="E62" s="48" t="n">
        <f aca="false">VLOOKUP(C62,[1]Sheet1!$C$5:$E$205,3,0)</f>
        <v>3</v>
      </c>
      <c r="F62" s="50" t="s">
        <v>151</v>
      </c>
      <c r="G62" s="51" t="s">
        <v>70</v>
      </c>
      <c r="H62" s="52"/>
      <c r="I62" s="150"/>
    </row>
    <row r="63" customFormat="false" ht="12.75" hidden="false" customHeight="false" outlineLevel="0" collapsed="false">
      <c r="A63" s="47" t="n">
        <f aca="false">A62+1</f>
        <v>9</v>
      </c>
      <c r="B63" s="89"/>
      <c r="C63" s="90" t="s">
        <v>72</v>
      </c>
      <c r="D63" s="91" t="str">
        <f aca="false">VLOOKUP(C63,[1]Sheet1!$C$5:$E$205,2,0)</f>
        <v>REKAYASA TRAFIK</v>
      </c>
      <c r="E63" s="90" t="n">
        <f aca="false">VLOOKUP(C63,[1]Sheet1!$C$5:$E$205,3,0)</f>
        <v>2</v>
      </c>
      <c r="F63" s="50"/>
      <c r="G63" s="51"/>
      <c r="H63" s="52"/>
      <c r="I63" s="150"/>
    </row>
    <row r="64" s="5" customFormat="true" ht="13.5" hidden="false" customHeight="false" outlineLevel="0" collapsed="false">
      <c r="A64" s="94"/>
      <c r="B64" s="94"/>
      <c r="C64" s="94"/>
      <c r="D64" s="94"/>
      <c r="E64" s="94" t="n">
        <f aca="false">SUM(E60:E63)+SUM(E55:E59)</f>
        <v>20</v>
      </c>
      <c r="F64" s="95"/>
      <c r="G64" s="96"/>
      <c r="H64" s="97"/>
      <c r="I64" s="124"/>
    </row>
    <row r="65" s="5" customFormat="true" ht="13.5" hidden="false" customHeight="false" outlineLevel="0" collapsed="false">
      <c r="A65" s="47"/>
      <c r="B65" s="89" t="s">
        <v>78</v>
      </c>
      <c r="C65" s="47"/>
      <c r="D65" s="47"/>
      <c r="E65" s="47"/>
      <c r="F65" s="50"/>
      <c r="G65" s="51"/>
      <c r="H65" s="54"/>
      <c r="I65" s="118"/>
    </row>
    <row r="66" s="5" customFormat="true" ht="12.75" hidden="false" customHeight="false" outlineLevel="0" collapsed="false">
      <c r="A66" s="47" t="n">
        <v>1</v>
      </c>
      <c r="B66" s="89"/>
      <c r="C66" s="47" t="s">
        <v>79</v>
      </c>
      <c r="D66" s="49" t="str">
        <f aca="false">VLOOKUP(C66,[1]Sheet1!$C$5:$E$205,2,0)</f>
        <v>PRAKTIKUM SISTEM MIKROPROSESOR</v>
      </c>
      <c r="E66" s="47" t="n">
        <f aca="false">VLOOKUP(C66,[1]Sheet1!$C$5:$E$205,3,0)</f>
        <v>1</v>
      </c>
      <c r="F66" s="50" t="s">
        <v>52</v>
      </c>
      <c r="G66" s="51"/>
      <c r="H66" s="52"/>
      <c r="I66" s="150"/>
    </row>
    <row r="67" customFormat="false" ht="12.75" hidden="false" customHeight="false" outlineLevel="0" collapsed="false">
      <c r="A67" s="47" t="n">
        <v>2</v>
      </c>
      <c r="B67" s="89"/>
      <c r="C67" s="47" t="s">
        <v>96</v>
      </c>
      <c r="D67" s="115" t="str">
        <f aca="false">VLOOKUP(C67,[1]Sheet1!$C$5:$E$205,2,0)</f>
        <v>TRANSMISI GELOMBANG ELEKTROMANETIK I</v>
      </c>
      <c r="E67" s="47" t="n">
        <f aca="false">VLOOKUP(C67,[1]Sheet1!$C$5:$E$205,3,0)</f>
        <v>3</v>
      </c>
      <c r="F67" s="50" t="s">
        <v>48</v>
      </c>
      <c r="G67" s="51"/>
      <c r="H67" s="52"/>
      <c r="I67" s="150"/>
    </row>
    <row r="68" customFormat="false" ht="12.75" hidden="false" customHeight="false" outlineLevel="0" collapsed="false">
      <c r="A68" s="47" t="n">
        <f aca="false">A67+1</f>
        <v>3</v>
      </c>
      <c r="B68" s="89"/>
      <c r="C68" s="47" t="s">
        <v>97</v>
      </c>
      <c r="D68" s="115" t="str">
        <f aca="false">VLOOKUP(C68,[1]Sheet1!$C$5:$E$205,2,0)</f>
        <v>PENGOLAHAN SINYAL DIGITAL</v>
      </c>
      <c r="E68" s="47" t="n">
        <f aca="false">VLOOKUP(C68,[1]Sheet1!$C$5:$E$205,3,0)</f>
        <v>3</v>
      </c>
      <c r="F68" s="50" t="s">
        <v>24</v>
      </c>
      <c r="G68" s="51" t="s">
        <v>43</v>
      </c>
      <c r="H68" s="52"/>
      <c r="I68" s="150"/>
    </row>
    <row r="69" customFormat="false" ht="12.75" hidden="false" customHeight="false" outlineLevel="0" collapsed="false">
      <c r="A69" s="47" t="n">
        <f aca="false">A68+1</f>
        <v>4</v>
      </c>
      <c r="B69" s="89"/>
      <c r="C69" s="47" t="s">
        <v>98</v>
      </c>
      <c r="D69" s="115" t="str">
        <f aca="false">VLOOKUP(C69,[1]Sheet1!$C$5:$E$205,2,0)</f>
        <v>KOMUNIKASI DIGITAL</v>
      </c>
      <c r="E69" s="47" t="n">
        <f aca="false">VLOOKUP(C69,[1]Sheet1!$C$5:$E$205,3,0)</f>
        <v>2</v>
      </c>
      <c r="F69" s="50" t="s">
        <v>70</v>
      </c>
      <c r="G69" s="51"/>
      <c r="H69" s="52"/>
      <c r="I69" s="150"/>
    </row>
    <row r="70" customFormat="false" ht="12.75" hidden="false" customHeight="false" outlineLevel="0" collapsed="false">
      <c r="A70" s="47" t="n">
        <f aca="false">A69+1</f>
        <v>5</v>
      </c>
      <c r="B70" s="89"/>
      <c r="C70" s="47" t="s">
        <v>99</v>
      </c>
      <c r="D70" s="115" t="str">
        <f aca="false">VLOOKUP(C70,[1]Sheet1!$C$5:$E$205,2,0)</f>
        <v>ELEKTRONIKA TELEKOMUNIKASI</v>
      </c>
      <c r="E70" s="47" t="n">
        <f aca="false">VLOOKUP(C70,[1]Sheet1!$C$5:$E$205,3,0)</f>
        <v>3</v>
      </c>
      <c r="F70" s="50" t="s">
        <v>26</v>
      </c>
      <c r="G70" s="51" t="s">
        <v>36</v>
      </c>
      <c r="H70" s="52"/>
      <c r="I70" s="150"/>
    </row>
    <row r="71" customFormat="false" ht="12.75" hidden="false" customHeight="false" outlineLevel="0" collapsed="false">
      <c r="A71" s="47" t="n">
        <f aca="false">A70+1</f>
        <v>6</v>
      </c>
      <c r="B71" s="89"/>
      <c r="C71" s="47" t="s">
        <v>100</v>
      </c>
      <c r="D71" s="115" t="str">
        <f aca="false">VLOOKUP(C71,[1]Sheet1!$C$5:$E$205,2,0)</f>
        <v>PRAKTIKUM JARINGAN TELEKOMUNIKASI</v>
      </c>
      <c r="E71" s="47" t="n">
        <f aca="false">VLOOKUP(C71,[1]Sheet1!$C$5:$E$205,3,0)</f>
        <v>1</v>
      </c>
      <c r="F71" s="50" t="s">
        <v>71</v>
      </c>
      <c r="G71" s="51"/>
      <c r="H71" s="52"/>
      <c r="I71" s="150"/>
    </row>
    <row r="72" customFormat="false" ht="12.75" hidden="false" customHeight="false" outlineLevel="0" collapsed="false">
      <c r="A72" s="47" t="n">
        <f aca="false">A71+1</f>
        <v>7</v>
      </c>
      <c r="B72" s="89"/>
      <c r="C72" s="47" t="s">
        <v>101</v>
      </c>
      <c r="D72" s="115" t="str">
        <f aca="false">VLOOKUP(C72,[1]Sheet1!$C$5:$E$205,2,0)</f>
        <v>KOMUNIKASI DATA DAN JARINGAN KOMPUTER</v>
      </c>
      <c r="E72" s="47" t="n">
        <f aca="false">VLOOKUP(C72,[1]Sheet1!$C$5:$E$205,3,0)</f>
        <v>3</v>
      </c>
      <c r="F72" s="50" t="s">
        <v>26</v>
      </c>
      <c r="G72" s="51" t="s">
        <v>32</v>
      </c>
      <c r="H72" s="52"/>
      <c r="I72" s="150"/>
    </row>
    <row r="73" customFormat="false" ht="12.75" hidden="false" customHeight="false" outlineLevel="0" collapsed="false">
      <c r="A73" s="47" t="n">
        <f aca="false">A72+1</f>
        <v>8</v>
      </c>
      <c r="B73" s="89"/>
      <c r="C73" s="47" t="s">
        <v>102</v>
      </c>
      <c r="D73" s="87" t="str">
        <f aca="false">VLOOKUP(C73,[1]Sheet1!$C$5:$E$205,2,0)</f>
        <v>MK PILIHAN I</v>
      </c>
      <c r="E73" s="47" t="n">
        <f aca="false">VLOOKUP(C73,[1]Sheet1!$C$5:$E$205,3,0)</f>
        <v>2</v>
      </c>
      <c r="F73" s="50"/>
      <c r="G73" s="51"/>
      <c r="H73" s="52"/>
      <c r="I73" s="150"/>
    </row>
    <row r="74" customFormat="false" ht="12.75" hidden="false" customHeight="false" outlineLevel="0" collapsed="false">
      <c r="A74" s="47"/>
      <c r="B74" s="89"/>
      <c r="C74" s="47"/>
      <c r="D74" s="47"/>
      <c r="E74" s="47"/>
      <c r="F74" s="50"/>
      <c r="G74" s="51"/>
      <c r="H74" s="52"/>
      <c r="I74" s="150"/>
    </row>
    <row r="75" s="5" customFormat="true" ht="13.5" hidden="false" customHeight="false" outlineLevel="0" collapsed="false">
      <c r="A75" s="94"/>
      <c r="B75" s="94"/>
      <c r="C75" s="94"/>
      <c r="D75" s="94"/>
      <c r="E75" s="94" t="n">
        <f aca="false">SUM(E67:E73)+SUM(E66)</f>
        <v>18</v>
      </c>
      <c r="F75" s="95"/>
      <c r="G75" s="96"/>
      <c r="H75" s="97"/>
      <c r="I75" s="124"/>
    </row>
    <row r="76" s="5" customFormat="true" ht="13.5" hidden="false" customHeight="false" outlineLevel="0" collapsed="false">
      <c r="A76" s="39"/>
      <c r="B76" s="39"/>
      <c r="C76" s="39"/>
      <c r="D76" s="39"/>
      <c r="E76" s="39"/>
      <c r="F76" s="43"/>
      <c r="G76" s="44"/>
      <c r="H76" s="101"/>
      <c r="I76" s="155"/>
    </row>
    <row r="77" customFormat="false" ht="12.75" hidden="false" customHeight="false" outlineLevel="0" collapsed="false">
      <c r="A77" s="103" t="n">
        <v>1</v>
      </c>
      <c r="B77" s="89" t="s">
        <v>111</v>
      </c>
      <c r="C77" s="47" t="s">
        <v>112</v>
      </c>
      <c r="D77" s="49" t="str">
        <f aca="false">VLOOKUP(C77,[1]Sheet1!$C$5:$E$205,2,0)</f>
        <v>PROSES STOKASTIK</v>
      </c>
      <c r="E77" s="47" t="n">
        <f aca="false">VLOOKUP(C77,[1]Sheet1!$C$5:$E$205,3,0)</f>
        <v>2</v>
      </c>
      <c r="F77" s="50" t="s">
        <v>45</v>
      </c>
      <c r="G77" s="51"/>
      <c r="H77" s="52"/>
      <c r="I77" s="150"/>
    </row>
    <row r="78" customFormat="false" ht="12.75" hidden="false" customHeight="false" outlineLevel="0" collapsed="false">
      <c r="A78" s="47" t="n">
        <f aca="false">A77+1</f>
        <v>2</v>
      </c>
      <c r="B78" s="89"/>
      <c r="C78" s="47" t="s">
        <v>113</v>
      </c>
      <c r="D78" s="49" t="str">
        <f aca="false">VLOOKUP(C78,[1]Sheet1!$C$5:$E$205,2,0)</f>
        <v>PRAKTEK KERJA LAPANGAN</v>
      </c>
      <c r="E78" s="47" t="n">
        <f aca="false">VLOOKUP(C78,[1]Sheet1!$C$5:$E$205,3,0)</f>
        <v>2</v>
      </c>
      <c r="F78" s="50" t="s">
        <v>152</v>
      </c>
      <c r="G78" s="51"/>
      <c r="H78" s="52"/>
      <c r="I78" s="150"/>
    </row>
    <row r="79" customFormat="false" ht="12.75" hidden="false" customHeight="false" outlineLevel="0" collapsed="false">
      <c r="A79" s="47" t="n">
        <f aca="false">A78+1</f>
        <v>3</v>
      </c>
      <c r="B79" s="89"/>
      <c r="C79" s="47" t="s">
        <v>114</v>
      </c>
      <c r="D79" s="49" t="str">
        <f aca="false">VLOOKUP(C79,[1]Sheet1!$C$5:$E$205,2,0)</f>
        <v>PRA TUGAS AKHIR</v>
      </c>
      <c r="E79" s="47" t="n">
        <f aca="false">VLOOKUP(C79,[1]Sheet1!$C$5:$E$205,3,0)</f>
        <v>2</v>
      </c>
      <c r="F79" s="50" t="s">
        <v>152</v>
      </c>
      <c r="G79" s="51"/>
      <c r="H79" s="52"/>
      <c r="I79" s="150"/>
    </row>
    <row r="80" s="16" customFormat="true" ht="12.75" hidden="false" customHeight="false" outlineLevel="0" collapsed="false">
      <c r="A80" s="47" t="n">
        <v>4</v>
      </c>
      <c r="B80" s="89"/>
      <c r="C80" s="92" t="s">
        <v>128</v>
      </c>
      <c r="D80" s="93" t="str">
        <f aca="false">VLOOKUP(C80,[1]Sheet1!$C$5:$E$205,2,0)</f>
        <v>TRANSMISI GELOMBANG ELEKTROMANETIK II</v>
      </c>
      <c r="E80" s="47" t="n">
        <f aca="false">VLOOKUP(C80,[1]Sheet1!$C$5:$E$205,3,0)</f>
        <v>2</v>
      </c>
      <c r="F80" s="50" t="s">
        <v>96</v>
      </c>
      <c r="G80" s="51"/>
      <c r="H80" s="86"/>
      <c r="I80" s="47"/>
    </row>
    <row r="81" s="5" customFormat="true" ht="12.75" hidden="false" customHeight="false" outlineLevel="0" collapsed="false">
      <c r="A81" s="47" t="n">
        <f aca="false">A80+1</f>
        <v>5</v>
      </c>
      <c r="B81" s="89"/>
      <c r="C81" s="48" t="s">
        <v>129</v>
      </c>
      <c r="D81" s="49" t="str">
        <f aca="false">VLOOKUP(C81,[1]Sheet1!$C$5:$E$205,2,0)</f>
        <v>ANTENA DAN PROPAGASI</v>
      </c>
      <c r="E81" s="48" t="n">
        <f aca="false">VLOOKUP(C81,[1]Sheet1!$C$5:$E$205,3,0)</f>
        <v>2</v>
      </c>
      <c r="F81" s="50" t="s">
        <v>96</v>
      </c>
      <c r="G81" s="51"/>
      <c r="H81" s="54"/>
      <c r="I81" s="118"/>
    </row>
    <row r="82" s="16" customFormat="true" ht="12.75" hidden="false" customHeight="false" outlineLevel="0" collapsed="false">
      <c r="A82" s="47" t="n">
        <f aca="false">A81+1</f>
        <v>6</v>
      </c>
      <c r="B82" s="89"/>
      <c r="C82" s="90" t="s">
        <v>130</v>
      </c>
      <c r="D82" s="91" t="str">
        <f aca="false">VLOOKUP(C82,[1]Sheet1!$C$5:$E$205,2,0)</f>
        <v>PENGUKURAN SISTEM TELEKOMUNIKASI</v>
      </c>
      <c r="E82" s="47" t="n">
        <f aca="false">VLOOKUP(C82,[1]Sheet1!$C$5:$E$205,3,0)</f>
        <v>2</v>
      </c>
      <c r="F82" s="50" t="s">
        <v>96</v>
      </c>
      <c r="G82" s="51" t="s">
        <v>70</v>
      </c>
      <c r="H82" s="86" t="s">
        <v>99</v>
      </c>
      <c r="I82" s="47"/>
    </row>
    <row r="83" s="16" customFormat="true" ht="12.75" hidden="false" customHeight="false" outlineLevel="0" collapsed="false">
      <c r="A83" s="47" t="n">
        <f aca="false">A82+1</f>
        <v>7</v>
      </c>
      <c r="B83" s="89"/>
      <c r="C83" s="90" t="s">
        <v>131</v>
      </c>
      <c r="D83" s="91" t="str">
        <f aca="false">VLOOKUP(C83,[1]Sheet1!$C$5:$E$205,2,0)</f>
        <v>PRAKTIKUM SISTEM TELEKOMUNIKASI</v>
      </c>
      <c r="E83" s="47" t="n">
        <f aca="false">VLOOKUP(C83,[1]Sheet1!$C$5:$E$205,3,0)</f>
        <v>1</v>
      </c>
      <c r="F83" s="50" t="s">
        <v>70</v>
      </c>
      <c r="G83" s="51"/>
      <c r="H83" s="86"/>
      <c r="I83" s="47"/>
    </row>
    <row r="84" s="16" customFormat="true" ht="12.75" hidden="false" customHeight="false" outlineLevel="0" collapsed="false">
      <c r="A84" s="47" t="n">
        <f aca="false">A83+1</f>
        <v>8</v>
      </c>
      <c r="B84" s="89"/>
      <c r="C84" s="47" t="s">
        <v>132</v>
      </c>
      <c r="D84" s="87" t="str">
        <f aca="false">VLOOKUP(C84,[1]Sheet1!$C$5:$E$205,2,0)</f>
        <v>MK PILIHAN II</v>
      </c>
      <c r="E84" s="47" t="n">
        <f aca="false">VLOOKUP(C84,[1]Sheet1!$C$5:$E$205,3,0)</f>
        <v>2</v>
      </c>
      <c r="F84" s="50"/>
      <c r="G84" s="51"/>
      <c r="H84" s="86"/>
      <c r="I84" s="47"/>
    </row>
    <row r="85" s="16" customFormat="true" ht="12.75" hidden="false" customHeight="false" outlineLevel="0" collapsed="false">
      <c r="A85" s="47" t="n">
        <f aca="false">A84+1</f>
        <v>9</v>
      </c>
      <c r="B85" s="89"/>
      <c r="C85" s="47" t="s">
        <v>133</v>
      </c>
      <c r="D85" s="87" t="str">
        <f aca="false">VLOOKUP(C85,[1]Sheet1!$C$5:$E$205,2,0)</f>
        <v>MK PILIHAN III</v>
      </c>
      <c r="E85" s="47" t="n">
        <f aca="false">VLOOKUP(C85,[1]Sheet1!$C$5:$E$205,3,0)</f>
        <v>2</v>
      </c>
      <c r="F85" s="50"/>
      <c r="G85" s="51"/>
      <c r="H85" s="86"/>
      <c r="I85" s="47"/>
    </row>
    <row r="86" s="16" customFormat="true" ht="12.75" hidden="false" customHeight="false" outlineLevel="0" collapsed="false">
      <c r="A86" s="104"/>
      <c r="B86" s="89"/>
      <c r="C86" s="104"/>
      <c r="D86" s="104"/>
      <c r="E86" s="104"/>
      <c r="F86" s="105"/>
      <c r="G86" s="106"/>
      <c r="H86" s="176"/>
      <c r="I86" s="104"/>
    </row>
    <row r="87" s="5" customFormat="true" ht="13.5" hidden="false" customHeight="false" outlineLevel="0" collapsed="false">
      <c r="A87" s="94"/>
      <c r="B87" s="94"/>
      <c r="C87" s="94"/>
      <c r="D87" s="94"/>
      <c r="E87" s="94" t="n">
        <f aca="false">SUM(E80:E85)+SUM(E77:E79)</f>
        <v>17</v>
      </c>
      <c r="F87" s="95"/>
      <c r="G87" s="96"/>
      <c r="H87" s="97"/>
      <c r="I87" s="124"/>
    </row>
    <row r="88" s="5" customFormat="true" ht="13.5" hidden="false" customHeight="false" outlineLevel="0" collapsed="false">
      <c r="A88" s="109"/>
      <c r="B88" s="110" t="s">
        <v>140</v>
      </c>
      <c r="C88" s="109"/>
      <c r="D88" s="109"/>
      <c r="E88" s="109"/>
      <c r="F88" s="111"/>
      <c r="G88" s="112"/>
      <c r="H88" s="113"/>
      <c r="I88" s="166"/>
    </row>
    <row r="89" customFormat="false" ht="12.75" hidden="false" customHeight="false" outlineLevel="0" collapsed="false">
      <c r="A89" s="47" t="n">
        <v>1</v>
      </c>
      <c r="B89" s="110"/>
      <c r="C89" s="47" t="s">
        <v>141</v>
      </c>
      <c r="D89" s="87" t="str">
        <f aca="false">VLOOKUP(C89,[1]Sheet1!$C$5:$E$205,2,0)</f>
        <v>KULIAH KERJA NYATA (KKN)</v>
      </c>
      <c r="E89" s="47" t="n">
        <f aca="false">VLOOKUP(C89,[1]Sheet1!$C$5:$E$205,3,0)</f>
        <v>4</v>
      </c>
      <c r="F89" s="50" t="s">
        <v>153</v>
      </c>
      <c r="G89" s="51"/>
      <c r="H89" s="52"/>
      <c r="I89" s="150"/>
    </row>
    <row r="90" s="5" customFormat="true" ht="12.75" hidden="false" customHeight="false" outlineLevel="0" collapsed="false">
      <c r="A90" s="47" t="n">
        <f aca="false">A89+1</f>
        <v>2</v>
      </c>
      <c r="B90" s="110"/>
      <c r="C90" s="47" t="s">
        <v>142</v>
      </c>
      <c r="D90" s="87" t="str">
        <f aca="false">VLOOKUP(C90,[1]Sheet1!$C$5:$E$205,2,0)</f>
        <v>LINGKUNGAN DAN ETIKA REKAYASA</v>
      </c>
      <c r="E90" s="47" t="n">
        <f aca="false">VLOOKUP(C90,[1]Sheet1!$C$5:$E$205,3,0)</f>
        <v>2</v>
      </c>
      <c r="F90" s="50" t="s">
        <v>25</v>
      </c>
      <c r="G90" s="51"/>
      <c r="H90" s="54"/>
      <c r="I90" s="118"/>
    </row>
    <row r="91" s="5" customFormat="true" ht="12.75" hidden="false" customHeight="false" outlineLevel="0" collapsed="false">
      <c r="A91" s="47" t="n">
        <f aca="false">A90+1</f>
        <v>3</v>
      </c>
      <c r="B91" s="110"/>
      <c r="C91" s="47" t="s">
        <v>143</v>
      </c>
      <c r="D91" s="87" t="str">
        <f aca="false">VLOOKUP(C91,[1]Sheet1!$C$5:$E$205,2,0)</f>
        <v>TUGAS AKHIR</v>
      </c>
      <c r="E91" s="47" t="n">
        <f aca="false">VLOOKUP(C91,[1]Sheet1!$C$5:$E$205,3,0)</f>
        <v>4</v>
      </c>
      <c r="F91" s="50" t="s">
        <v>154</v>
      </c>
      <c r="G91" s="51"/>
      <c r="H91" s="54"/>
      <c r="I91" s="118"/>
    </row>
    <row r="92" s="5" customFormat="true" ht="12.75" hidden="false" customHeight="false" outlineLevel="0" collapsed="false">
      <c r="A92" s="116"/>
      <c r="B92" s="110"/>
      <c r="C92" s="117"/>
      <c r="D92" s="117"/>
      <c r="E92" s="118"/>
      <c r="F92" s="119"/>
      <c r="G92" s="120"/>
      <c r="H92" s="54"/>
      <c r="I92" s="118"/>
    </row>
    <row r="93" s="5" customFormat="true" ht="13.5" hidden="false" customHeight="false" outlineLevel="0" collapsed="false">
      <c r="A93" s="94"/>
      <c r="B93" s="94"/>
      <c r="C93" s="94"/>
      <c r="D93" s="94"/>
      <c r="E93" s="94" t="n">
        <f aca="false">SUM(E89:E92)</f>
        <v>10</v>
      </c>
      <c r="F93" s="121"/>
      <c r="G93" s="122"/>
      <c r="H93" s="123"/>
      <c r="I93" s="124"/>
    </row>
    <row r="94" customFormat="false" ht="13.5" hidden="false" customHeight="false" outlineLevel="0" collapsed="false">
      <c r="A94" s="125"/>
      <c r="B94" s="125"/>
      <c r="C94" s="125"/>
      <c r="D94" s="125"/>
      <c r="E94" s="125"/>
      <c r="F94" s="125"/>
      <c r="G94" s="125"/>
      <c r="H94" s="126"/>
      <c r="I94" s="126"/>
    </row>
    <row r="95" customFormat="false" ht="12.75" hidden="false" customHeight="false" outlineLevel="0" collapsed="false">
      <c r="A95" s="25"/>
      <c r="B95" s="25"/>
      <c r="C95" s="25"/>
      <c r="D95" s="25"/>
      <c r="E95" s="25"/>
      <c r="F95" s="25"/>
      <c r="G95" s="25"/>
      <c r="H95" s="26"/>
      <c r="I95" s="26"/>
    </row>
    <row r="96" customFormat="false" ht="12.75" hidden="false" customHeight="false" outlineLevel="0" collapsed="false">
      <c r="A96" s="25"/>
      <c r="B96" s="25"/>
      <c r="C96" s="25"/>
      <c r="D96" s="27" t="s">
        <v>144</v>
      </c>
      <c r="E96" s="27"/>
      <c r="F96" s="25"/>
      <c r="G96" s="25"/>
      <c r="H96" s="26"/>
      <c r="I96" s="26"/>
    </row>
    <row r="97" customFormat="false" ht="12.75" hidden="true" customHeight="false" outlineLevel="0" collapsed="false">
      <c r="A97" s="25"/>
      <c r="B97" s="25"/>
      <c r="C97" s="25"/>
      <c r="D97" s="28" t="s">
        <v>145</v>
      </c>
      <c r="E97" s="29" t="e">
        <f aca="false">E16+E28+E40+E53+#REF!+#REF!+#REF!+E93</f>
        <v>#REF!</v>
      </c>
      <c r="F97" s="25"/>
      <c r="G97" s="25"/>
      <c r="H97" s="26"/>
      <c r="I97" s="26"/>
    </row>
    <row r="98" customFormat="false" ht="12.75" hidden="true" customHeight="false" outlineLevel="0" collapsed="false">
      <c r="A98" s="25"/>
      <c r="B98" s="25"/>
      <c r="C98" s="25"/>
      <c r="D98" s="30" t="s">
        <v>146</v>
      </c>
      <c r="E98" s="31" t="e">
        <f aca="false">E93+#REF!+#REF!+#REF!+E53+E40+E28+E16</f>
        <v>#REF!</v>
      </c>
      <c r="F98" s="25"/>
      <c r="G98" s="25"/>
    </row>
    <row r="99" customFormat="false" ht="12.75" hidden="false" customHeight="false" outlineLevel="0" collapsed="false">
      <c r="A99" s="25"/>
      <c r="B99" s="25"/>
      <c r="C99" s="25"/>
      <c r="D99" s="32" t="s">
        <v>147</v>
      </c>
      <c r="E99" s="33" t="n">
        <f aca="false">E93+E87+E75+E64+E53+E40+E28+E16</f>
        <v>148</v>
      </c>
      <c r="F99" s="25"/>
      <c r="G99" s="25"/>
      <c r="H99" s="26"/>
      <c r="I99" s="26"/>
    </row>
    <row r="100" customFormat="false" ht="12.75" hidden="true" customHeight="false" outlineLevel="0" collapsed="false">
      <c r="A100" s="25"/>
      <c r="B100" s="25"/>
      <c r="C100" s="25"/>
      <c r="D100" s="34" t="s">
        <v>148</v>
      </c>
      <c r="E100" s="35" t="e">
        <f aca="false">E93+#REF!+#REF!+#REF!+E53+E40+E28+E16</f>
        <v>#REF!</v>
      </c>
      <c r="F100" s="129"/>
      <c r="G100" s="129"/>
      <c r="H100" s="26"/>
      <c r="I100" s="26"/>
    </row>
    <row r="104" customFormat="false" ht="12.75" hidden="false" customHeight="false" outlineLevel="0" collapsed="false">
      <c r="B104" s="130" t="s">
        <v>206</v>
      </c>
      <c r="C104" s="130"/>
      <c r="D104" s="130"/>
      <c r="E104" s="130"/>
    </row>
    <row r="105" customFormat="false" ht="12.75" hidden="false" customHeight="false" outlineLevel="0" collapsed="false">
      <c r="B105" s="10" t="s">
        <v>156</v>
      </c>
      <c r="C105" s="10" t="s">
        <v>5</v>
      </c>
      <c r="D105" s="10" t="s">
        <v>6</v>
      </c>
      <c r="E105" s="10" t="s">
        <v>7</v>
      </c>
    </row>
    <row r="106" customFormat="false" ht="12.75" hidden="false" customHeight="false" outlineLevel="0" collapsed="false">
      <c r="B106" s="6" t="n">
        <v>1</v>
      </c>
      <c r="C106" s="6" t="s">
        <v>207</v>
      </c>
      <c r="D106" s="169" t="s">
        <v>208</v>
      </c>
      <c r="E106" s="6" t="n">
        <v>2</v>
      </c>
    </row>
    <row r="107" customFormat="false" ht="12.75" hidden="false" customHeight="false" outlineLevel="0" collapsed="false">
      <c r="B107" s="6" t="n">
        <f aca="false">B106+1</f>
        <v>2</v>
      </c>
      <c r="C107" s="6" t="s">
        <v>209</v>
      </c>
      <c r="D107" s="169" t="s">
        <v>210</v>
      </c>
      <c r="E107" s="6" t="n">
        <v>2</v>
      </c>
      <c r="F107" s="1" t="s">
        <v>187</v>
      </c>
    </row>
    <row r="108" customFormat="false" ht="12.75" hidden="false" customHeight="false" outlineLevel="0" collapsed="false">
      <c r="B108" s="6" t="n">
        <f aca="false">B107+1</f>
        <v>3</v>
      </c>
      <c r="C108" s="6" t="s">
        <v>211</v>
      </c>
      <c r="D108" s="169" t="s">
        <v>212</v>
      </c>
      <c r="E108" s="6" t="n">
        <v>2</v>
      </c>
    </row>
    <row r="109" customFormat="false" ht="12.75" hidden="false" customHeight="false" outlineLevel="0" collapsed="false">
      <c r="B109" s="6" t="n">
        <f aca="false">B108+1</f>
        <v>4</v>
      </c>
      <c r="C109" s="6" t="s">
        <v>213</v>
      </c>
      <c r="D109" s="169" t="s">
        <v>214</v>
      </c>
      <c r="E109" s="6" t="n">
        <v>2</v>
      </c>
      <c r="F109" s="1" t="s">
        <v>187</v>
      </c>
    </row>
    <row r="110" customFormat="false" ht="12.75" hidden="false" customHeight="false" outlineLevel="0" collapsed="false">
      <c r="B110" s="6" t="n">
        <f aca="false">B109+1</f>
        <v>5</v>
      </c>
      <c r="C110" s="6" t="s">
        <v>215</v>
      </c>
      <c r="D110" s="169" t="s">
        <v>216</v>
      </c>
      <c r="E110" s="6" t="n">
        <v>2</v>
      </c>
    </row>
    <row r="111" customFormat="false" ht="12.75" hidden="false" customHeight="false" outlineLevel="0" collapsed="false">
      <c r="B111" s="6" t="n">
        <f aca="false">B110+1</f>
        <v>6</v>
      </c>
      <c r="C111" s="6" t="s">
        <v>217</v>
      </c>
      <c r="D111" s="169" t="s">
        <v>199</v>
      </c>
      <c r="E111" s="6" t="n">
        <v>2</v>
      </c>
    </row>
    <row r="112" customFormat="false" ht="12.75" hidden="false" customHeight="false" outlineLevel="0" collapsed="false">
      <c r="B112" s="6" t="n">
        <f aca="false">B111+1</f>
        <v>7</v>
      </c>
      <c r="C112" s="6" t="s">
        <v>218</v>
      </c>
      <c r="D112" s="169" t="s">
        <v>172</v>
      </c>
      <c r="E112" s="6" t="n">
        <v>2</v>
      </c>
      <c r="F112" s="1" t="s">
        <v>187</v>
      </c>
    </row>
    <row r="113" customFormat="false" ht="12.75" hidden="false" customHeight="false" outlineLevel="0" collapsed="false">
      <c r="B113" s="6" t="n">
        <f aca="false">B112+1</f>
        <v>8</v>
      </c>
      <c r="C113" s="6" t="s">
        <v>219</v>
      </c>
      <c r="D113" s="169" t="s">
        <v>220</v>
      </c>
      <c r="E113" s="6" t="n">
        <v>2</v>
      </c>
      <c r="F113" s="1" t="s">
        <v>187</v>
      </c>
    </row>
    <row r="114" customFormat="false" ht="12.75" hidden="false" customHeight="false" outlineLevel="0" collapsed="false">
      <c r="B114" s="6" t="n">
        <f aca="false">B113+1</f>
        <v>9</v>
      </c>
      <c r="C114" s="6" t="s">
        <v>221</v>
      </c>
      <c r="D114" s="169" t="s">
        <v>222</v>
      </c>
      <c r="E114" s="6" t="n">
        <v>2</v>
      </c>
    </row>
    <row r="115" s="2" customFormat="true" ht="12.75" hidden="false" customHeight="false" outlineLevel="0" collapsed="false">
      <c r="A115" s="1"/>
      <c r="B115" s="6" t="n">
        <f aca="false">B114+1</f>
        <v>10</v>
      </c>
      <c r="C115" s="6" t="s">
        <v>223</v>
      </c>
      <c r="D115" s="169" t="s">
        <v>224</v>
      </c>
      <c r="E115" s="6" t="n">
        <v>2</v>
      </c>
      <c r="F115" s="1" t="s">
        <v>187</v>
      </c>
      <c r="G115" s="1"/>
    </row>
    <row r="116" s="2" customFormat="true" ht="12.75" hidden="false" customHeight="false" outlineLevel="0" collapsed="false">
      <c r="A116" s="1"/>
      <c r="B116" s="6" t="n">
        <f aca="false">B115+1</f>
        <v>11</v>
      </c>
      <c r="C116" s="6" t="s">
        <v>225</v>
      </c>
      <c r="D116" s="169" t="s">
        <v>226</v>
      </c>
      <c r="E116" s="6" t="n">
        <v>2</v>
      </c>
      <c r="F116" s="1"/>
      <c r="G116" s="1"/>
    </row>
    <row r="117" s="2" customFormat="true" ht="12.75" hidden="false" customHeight="false" outlineLevel="0" collapsed="false">
      <c r="A117" s="1"/>
      <c r="B117" s="6" t="n">
        <f aca="false">B116+1</f>
        <v>12</v>
      </c>
      <c r="C117" s="134" t="s">
        <v>227</v>
      </c>
      <c r="D117" s="169" t="s">
        <v>228</v>
      </c>
      <c r="E117" s="134" t="n">
        <v>2</v>
      </c>
      <c r="F117" s="1"/>
      <c r="G117" s="1"/>
    </row>
    <row r="118" s="2" customFormat="true" ht="12.75" hidden="false" customHeight="false" outlineLevel="0" collapsed="false">
      <c r="A118" s="1"/>
      <c r="B118" s="6" t="n">
        <f aca="false">B117+1</f>
        <v>13</v>
      </c>
      <c r="C118" s="6" t="s">
        <v>229</v>
      </c>
      <c r="D118" s="169" t="s">
        <v>230</v>
      </c>
      <c r="E118" s="6" t="n">
        <v>2</v>
      </c>
      <c r="F118" s="1"/>
      <c r="G118" s="1"/>
    </row>
  </sheetData>
  <mergeCells count="15">
    <mergeCell ref="A1:I1"/>
    <mergeCell ref="A2:I2"/>
    <mergeCell ref="A3:I3"/>
    <mergeCell ref="A4:I4"/>
    <mergeCell ref="F6:H6"/>
    <mergeCell ref="B7:B15"/>
    <mergeCell ref="B18:B27"/>
    <mergeCell ref="B29:B39"/>
    <mergeCell ref="B42:B52"/>
    <mergeCell ref="B55:B63"/>
    <mergeCell ref="B65:B74"/>
    <mergeCell ref="B77:B86"/>
    <mergeCell ref="B88:B92"/>
    <mergeCell ref="D96:E96"/>
    <mergeCell ref="B104:E104"/>
  </mergeCells>
  <printOptions headings="false" gridLines="false" gridLinesSet="true" horizontalCentered="true" verticalCentered="false"/>
  <pageMargins left="0.409722222222222" right="0.279861111111111" top="0.590277777777778" bottom="0.559722222222222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N121"/>
  <sheetViews>
    <sheetView showFormulas="false" showGridLines="true" showRowColHeaders="true" showZeros="true" rightToLeft="false" tabSelected="false" showOutlineSymbols="true" defaultGridColor="true" view="normal" topLeftCell="C97" colorId="64" zoomScale="90" zoomScaleNormal="90" zoomScalePageLayoutView="100" workbookViewId="0">
      <selection pane="topLeft" activeCell="D112" activeCellId="0" sqref="D110:D118"/>
    </sheetView>
  </sheetViews>
  <sheetFormatPr defaultRowHeight="12.7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4.86"/>
    <col collapsed="false" customWidth="true" hidden="false" outlineLevel="0" max="3" min="3" style="1" width="11.42"/>
    <col collapsed="false" customWidth="true" hidden="false" outlineLevel="0" max="4" min="4" style="1" width="45.42"/>
    <col collapsed="false" customWidth="true" hidden="false" outlineLevel="0" max="5" min="5" style="1" width="5.01"/>
    <col collapsed="false" customWidth="true" hidden="false" outlineLevel="0" max="6" min="6" style="1" width="7.71"/>
    <col collapsed="false" customWidth="true" hidden="false" outlineLevel="0" max="7" min="7" style="1" width="7.57"/>
    <col collapsed="false" customWidth="true" hidden="false" outlineLevel="0" max="8" min="8" style="2" width="9.85"/>
    <col collapsed="false" customWidth="true" hidden="false" outlineLevel="0" max="9" min="9" style="2" width="4.71"/>
    <col collapsed="false" customWidth="true" hidden="false" outlineLevel="0" max="10" min="10" style="0" width="4.43"/>
    <col collapsed="false" customWidth="true" hidden="false" outlineLevel="0" max="12" min="11" style="0" width="6.57"/>
    <col collapsed="false" customWidth="true" hidden="false" outlineLevel="0" max="13" min="13" style="0" width="4.14"/>
    <col collapsed="false" customWidth="true" hidden="false" outlineLevel="0" max="14" min="14" style="0" width="8.57"/>
    <col collapsed="false" customWidth="true" hidden="false" outlineLevel="0" max="15" min="15" style="0" width="32.42"/>
    <col collapsed="false" customWidth="true" hidden="false" outlineLevel="0" max="16" min="16" style="0" width="5.14"/>
    <col collapsed="false" customWidth="true" hidden="false" outlineLevel="0" max="1025" min="17" style="0" width="8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2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2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12.75" hidden="false" customHeight="false" outlineLevel="0" collapsed="false">
      <c r="A4" s="3" t="s">
        <v>231</v>
      </c>
      <c r="B4" s="3"/>
      <c r="C4" s="3"/>
      <c r="D4" s="3"/>
      <c r="E4" s="3"/>
      <c r="F4" s="3"/>
      <c r="G4" s="3"/>
      <c r="H4" s="3"/>
      <c r="I4" s="3"/>
    </row>
    <row r="5" customFormat="false" ht="13.5" hidden="false" customHeight="false" outlineLevel="0" collapsed="false"/>
    <row r="6" s="5" customFormat="true" ht="14.25" hidden="false" customHeight="false" outlineLevel="0" collapsed="false">
      <c r="A6" s="36" t="s">
        <v>3</v>
      </c>
      <c r="B6" s="36" t="s">
        <v>4</v>
      </c>
      <c r="C6" s="37" t="s">
        <v>5</v>
      </c>
      <c r="D6" s="38" t="s">
        <v>6</v>
      </c>
      <c r="E6" s="36" t="s">
        <v>7</v>
      </c>
      <c r="F6" s="38" t="s">
        <v>8</v>
      </c>
      <c r="G6" s="38"/>
      <c r="H6" s="38"/>
      <c r="I6" s="36" t="s">
        <v>9</v>
      </c>
    </row>
    <row r="7" customFormat="false" ht="13.5" hidden="false" customHeight="false" outlineLevel="0" collapsed="false">
      <c r="A7" s="39" t="n">
        <v>1</v>
      </c>
      <c r="B7" s="40" t="s">
        <v>10</v>
      </c>
      <c r="C7" s="39" t="s">
        <v>11</v>
      </c>
      <c r="D7" s="135" t="str">
        <f aca="false">VLOOKUP(C7,[1]Sheet1!$C$5:$E$205,2,0)</f>
        <v>PENDIDIKAN AGAMA</v>
      </c>
      <c r="E7" s="39" t="n">
        <f aca="false">VLOOKUP(C7,[1]Sheet1!$C$5:$E$205,3,0)</f>
        <v>2</v>
      </c>
      <c r="F7" s="43" t="s">
        <v>150</v>
      </c>
      <c r="G7" s="44"/>
      <c r="H7" s="45"/>
      <c r="I7" s="171"/>
    </row>
    <row r="8" customFormat="false" ht="12.75" hidden="false" customHeight="false" outlineLevel="0" collapsed="false">
      <c r="A8" s="47" t="n">
        <v>2</v>
      </c>
      <c r="B8" s="40"/>
      <c r="C8" s="47" t="s">
        <v>12</v>
      </c>
      <c r="D8" s="87" t="str">
        <f aca="false">VLOOKUP(C8,[1]Sheet1!$C$5:$E$205,2,0)</f>
        <v>PANCASILA</v>
      </c>
      <c r="E8" s="47" t="n">
        <f aca="false">VLOOKUP(C8,[1]Sheet1!$C$5:$E$205,3,0)</f>
        <v>2</v>
      </c>
      <c r="F8" s="50" t="s">
        <v>150</v>
      </c>
      <c r="G8" s="51"/>
      <c r="H8" s="52"/>
      <c r="I8" s="150"/>
    </row>
    <row r="9" customFormat="false" ht="12.75" hidden="false" customHeight="false" outlineLevel="0" collapsed="false">
      <c r="A9" s="47" t="n">
        <v>3</v>
      </c>
      <c r="B9" s="40"/>
      <c r="C9" s="48" t="s">
        <v>13</v>
      </c>
      <c r="D9" s="49" t="str">
        <f aca="false">VLOOKUP(C9,[1]Sheet1!$C$5:$E$205,2,0)</f>
        <v>BAHASA INDONESIA</v>
      </c>
      <c r="E9" s="47" t="n">
        <f aca="false">VLOOKUP(C9,[1]Sheet1!$C$5:$E$205,3,0)</f>
        <v>2</v>
      </c>
      <c r="F9" s="50" t="s">
        <v>150</v>
      </c>
      <c r="G9" s="51"/>
      <c r="H9" s="52"/>
      <c r="I9" s="150"/>
    </row>
    <row r="10" customFormat="false" ht="12.75" hidden="false" customHeight="false" outlineLevel="0" collapsed="false">
      <c r="A10" s="47" t="n">
        <v>4</v>
      </c>
      <c r="B10" s="40"/>
      <c r="C10" s="47" t="s">
        <v>14</v>
      </c>
      <c r="D10" s="87" t="str">
        <f aca="false">VLOOKUP(C10,[1]Sheet1!$C$5:$E$205,2,0)</f>
        <v>BAHASA INGGRIS I</v>
      </c>
      <c r="E10" s="47" t="n">
        <f aca="false">VLOOKUP(C10,[1]Sheet1!$C$5:$E$205,3,0)</f>
        <v>2</v>
      </c>
      <c r="F10" s="50" t="s">
        <v>150</v>
      </c>
      <c r="G10" s="51"/>
      <c r="H10" s="52"/>
      <c r="I10" s="150"/>
    </row>
    <row r="11" customFormat="false" ht="12.75" hidden="false" customHeight="false" outlineLevel="0" collapsed="false">
      <c r="A11" s="47" t="n">
        <v>5</v>
      </c>
      <c r="B11" s="40"/>
      <c r="C11" s="47" t="s">
        <v>15</v>
      </c>
      <c r="D11" s="87" t="str">
        <f aca="false">VLOOKUP(C11,[1]Sheet1!$C$5:$E$205,2,0)</f>
        <v>MATEMATIKA DASAR</v>
      </c>
      <c r="E11" s="47" t="n">
        <f aca="false">VLOOKUP(C11,[1]Sheet1!$C$5:$E$205,3,0)</f>
        <v>3</v>
      </c>
      <c r="F11" s="50" t="s">
        <v>150</v>
      </c>
      <c r="G11" s="51"/>
      <c r="H11" s="52"/>
      <c r="I11" s="150"/>
    </row>
    <row r="12" customFormat="false" ht="12.75" hidden="false" customHeight="false" outlineLevel="0" collapsed="false">
      <c r="A12" s="47" t="n">
        <v>6</v>
      </c>
      <c r="B12" s="40"/>
      <c r="C12" s="48" t="s">
        <v>16</v>
      </c>
      <c r="D12" s="49" t="str">
        <f aca="false">VLOOKUP(C12,[1]Sheet1!$C$5:$E$205,2,0)</f>
        <v>FISIKA DASAR</v>
      </c>
      <c r="E12" s="48" t="n">
        <f aca="false">VLOOKUP(C12,[1]Sheet1!$C$5:$E$205,3,0)</f>
        <v>3</v>
      </c>
      <c r="F12" s="50" t="s">
        <v>150</v>
      </c>
      <c r="G12" s="51"/>
      <c r="H12" s="52"/>
      <c r="I12" s="150"/>
    </row>
    <row r="13" customFormat="false" ht="12.75" hidden="false" customHeight="false" outlineLevel="0" collapsed="false">
      <c r="A13" s="47" t="n">
        <v>7</v>
      </c>
      <c r="B13" s="40"/>
      <c r="C13" s="47" t="s">
        <v>17</v>
      </c>
      <c r="D13" s="87" t="str">
        <f aca="false">VLOOKUP(C13,[1]Sheet1!$C$5:$E$205,2,0)</f>
        <v>KIMIA DASAR</v>
      </c>
      <c r="E13" s="47" t="n">
        <f aca="false">VLOOKUP(C13,[1]Sheet1!$C$5:$E$205,3,0)</f>
        <v>3</v>
      </c>
      <c r="F13" s="50" t="s">
        <v>150</v>
      </c>
      <c r="G13" s="51"/>
      <c r="H13" s="52"/>
      <c r="I13" s="150"/>
    </row>
    <row r="14" s="5" customFormat="true" ht="12.75" hidden="false" customHeight="false" outlineLevel="0" collapsed="false">
      <c r="A14" s="47" t="n">
        <v>8</v>
      </c>
      <c r="B14" s="40"/>
      <c r="C14" s="47" t="s">
        <v>18</v>
      </c>
      <c r="D14" s="87" t="str">
        <f aca="false">VLOOKUP(C14,[1]Sheet1!$C$5:$E$205,2,0)</f>
        <v>BIOLOGI UMUM</v>
      </c>
      <c r="E14" s="47" t="n">
        <f aca="false">VLOOKUP(C14,[1]Sheet1!$C$5:$E$205,3,0)</f>
        <v>3</v>
      </c>
      <c r="F14" s="50" t="s">
        <v>150</v>
      </c>
      <c r="G14" s="51"/>
      <c r="H14" s="54"/>
      <c r="I14" s="118"/>
    </row>
    <row r="15" s="5" customFormat="true" ht="13.5" hidden="false" customHeight="false" outlineLevel="0" collapsed="false">
      <c r="A15" s="56"/>
      <c r="B15" s="40"/>
      <c r="C15" s="56"/>
      <c r="D15" s="56"/>
      <c r="E15" s="56"/>
      <c r="F15" s="57"/>
      <c r="G15" s="58"/>
      <c r="H15" s="59"/>
      <c r="I15" s="172"/>
    </row>
    <row r="16" s="13" customFormat="true" ht="14.25" hidden="false" customHeight="false" outlineLevel="0" collapsed="false">
      <c r="A16" s="61"/>
      <c r="B16" s="61"/>
      <c r="C16" s="61"/>
      <c r="D16" s="61"/>
      <c r="E16" s="62" t="n">
        <f aca="false">SUM(E7:E15)</f>
        <v>20</v>
      </c>
      <c r="F16" s="63"/>
      <c r="G16" s="64"/>
      <c r="H16" s="65"/>
      <c r="I16" s="143"/>
    </row>
    <row r="17" customFormat="false" ht="13.5" hidden="false" customHeight="false" outlineLevel="0" collapsed="false">
      <c r="A17" s="67"/>
      <c r="B17" s="67"/>
      <c r="C17" s="67"/>
      <c r="D17" s="67"/>
      <c r="E17" s="67"/>
      <c r="F17" s="68"/>
      <c r="G17" s="69"/>
      <c r="H17" s="70"/>
      <c r="I17" s="146"/>
    </row>
    <row r="18" s="5" customFormat="true" ht="12.75" hidden="false" customHeight="false" outlineLevel="0" collapsed="false">
      <c r="A18" s="47" t="n">
        <v>1</v>
      </c>
      <c r="B18" s="72" t="s">
        <v>19</v>
      </c>
      <c r="C18" s="47" t="s">
        <v>20</v>
      </c>
      <c r="D18" s="87" t="str">
        <f aca="false">VLOOKUP(C18,[1]Sheet1!$C$5:$E$205,2,0)</f>
        <v>KEWARGANEGARAAN</v>
      </c>
      <c r="E18" s="47" t="n">
        <f aca="false">VLOOKUP(C18,[1]Sheet1!$C$5:$E$205,3,0)</f>
        <v>2</v>
      </c>
      <c r="F18" s="50" t="s">
        <v>12</v>
      </c>
      <c r="G18" s="51"/>
      <c r="H18" s="54"/>
      <c r="I18" s="118"/>
    </row>
    <row r="19" customFormat="false" ht="12.75" hidden="false" customHeight="false" outlineLevel="0" collapsed="false">
      <c r="A19" s="47" t="n">
        <f aca="false">A18+1</f>
        <v>2</v>
      </c>
      <c r="B19" s="72"/>
      <c r="C19" s="47" t="s">
        <v>21</v>
      </c>
      <c r="D19" s="87" t="str">
        <f aca="false">VLOOKUP(C19,[1]Sheet1!$C$5:$E$205,2,0)</f>
        <v>BAHASA INGGRIS II</v>
      </c>
      <c r="E19" s="47" t="n">
        <f aca="false">VLOOKUP(C19,[1]Sheet1!$C$5:$E$205,3,0)</f>
        <v>2</v>
      </c>
      <c r="F19" s="50" t="s">
        <v>14</v>
      </c>
      <c r="G19" s="51"/>
      <c r="H19" s="52"/>
      <c r="I19" s="150"/>
    </row>
    <row r="20" s="5" customFormat="true" ht="12.75" hidden="false" customHeight="false" outlineLevel="0" collapsed="false">
      <c r="A20" s="47" t="n">
        <f aca="false">A19+1</f>
        <v>3</v>
      </c>
      <c r="B20" s="72"/>
      <c r="C20" s="47" t="s">
        <v>22</v>
      </c>
      <c r="D20" s="87" t="str">
        <f aca="false">VLOOKUP(C20,[1]Sheet1!$C$5:$E$205,2,0)</f>
        <v>KEWIRAUSAHAAN</v>
      </c>
      <c r="E20" s="47" t="n">
        <f aca="false">VLOOKUP(C20,[1]Sheet1!$C$5:$E$205,3,0)</f>
        <v>2</v>
      </c>
      <c r="F20" s="50" t="s">
        <v>150</v>
      </c>
      <c r="G20" s="51"/>
      <c r="H20" s="54"/>
      <c r="I20" s="118"/>
    </row>
    <row r="21" customFormat="false" ht="12.75" hidden="false" customHeight="false" outlineLevel="0" collapsed="false">
      <c r="A21" s="47" t="n">
        <f aca="false">A20+1</f>
        <v>4</v>
      </c>
      <c r="B21" s="72"/>
      <c r="C21" s="47" t="s">
        <v>23</v>
      </c>
      <c r="D21" s="87" t="str">
        <f aca="false">VLOOKUP(C21,[1]Sheet1!$C$5:$E$205,2,0)</f>
        <v>ILMU SOSIAL DAN BUDAYA DASAR</v>
      </c>
      <c r="E21" s="47" t="n">
        <f aca="false">VLOOKUP(C21,[1]Sheet1!$C$5:$E$205,3,0)</f>
        <v>2</v>
      </c>
      <c r="F21" s="50" t="s">
        <v>150</v>
      </c>
      <c r="G21" s="51"/>
      <c r="H21" s="52"/>
      <c r="I21" s="150"/>
    </row>
    <row r="22" s="5" customFormat="true" ht="12.75" hidden="false" customHeight="false" outlineLevel="0" collapsed="false">
      <c r="A22" s="47" t="n">
        <f aca="false">A21+1</f>
        <v>5</v>
      </c>
      <c r="B22" s="72"/>
      <c r="C22" s="48" t="s">
        <v>24</v>
      </c>
      <c r="D22" s="49" t="str">
        <f aca="false">VLOOKUP(C22,[1]Sheet1!$C$5:$E$205,2,0)</f>
        <v>RANGKAIAN LOGIKA</v>
      </c>
      <c r="E22" s="47" t="n">
        <f aca="false">VLOOKUP(C22,[1]Sheet1!$C$5:$E$205,3,0)</f>
        <v>2</v>
      </c>
      <c r="F22" s="50" t="s">
        <v>150</v>
      </c>
      <c r="G22" s="51"/>
      <c r="H22" s="54"/>
      <c r="I22" s="118"/>
    </row>
    <row r="23" customFormat="false" ht="12.75" hidden="false" customHeight="false" outlineLevel="0" collapsed="false">
      <c r="A23" s="47" t="n">
        <f aca="false">A22+1</f>
        <v>6</v>
      </c>
      <c r="B23" s="72"/>
      <c r="C23" s="48" t="s">
        <v>25</v>
      </c>
      <c r="D23" s="49" t="str">
        <f aca="false">VLOOKUP(C23,[1]Sheet1!$C$5:$E$205,2,0)</f>
        <v>KONSEP SAINS DAN TEKNOLOGI</v>
      </c>
      <c r="E23" s="47" t="n">
        <f aca="false">VLOOKUP(C23,[1]Sheet1!$C$5:$E$205,3,0)</f>
        <v>2</v>
      </c>
      <c r="F23" s="50" t="s">
        <v>150</v>
      </c>
      <c r="G23" s="51"/>
      <c r="H23" s="52"/>
      <c r="I23" s="150"/>
    </row>
    <row r="24" s="5" customFormat="true" ht="12.75" hidden="false" customHeight="false" outlineLevel="0" collapsed="false">
      <c r="A24" s="47" t="n">
        <f aca="false">A23+1</f>
        <v>7</v>
      </c>
      <c r="B24" s="72"/>
      <c r="C24" s="48" t="s">
        <v>26</v>
      </c>
      <c r="D24" s="49" t="str">
        <f aca="false">VLOOKUP(C24,[1]Sheet1!$C$5:$E$205,2,0)</f>
        <v>DASAR TELEKOMUNIKASI</v>
      </c>
      <c r="E24" s="47" t="n">
        <f aca="false">VLOOKUP(C24,[1]Sheet1!$C$5:$E$205,3,0)</f>
        <v>3</v>
      </c>
      <c r="F24" s="50" t="s">
        <v>150</v>
      </c>
      <c r="G24" s="51"/>
      <c r="H24" s="54"/>
      <c r="I24" s="118"/>
    </row>
    <row r="25" s="5" customFormat="true" ht="12.75" hidden="false" customHeight="false" outlineLevel="0" collapsed="false">
      <c r="A25" s="47" t="n">
        <f aca="false">A24+1</f>
        <v>8</v>
      </c>
      <c r="B25" s="72"/>
      <c r="C25" s="48" t="s">
        <v>27</v>
      </c>
      <c r="D25" s="49" t="str">
        <f aca="false">VLOOKUP(C25,[1]Sheet1!$C$5:$E$205,2,0)</f>
        <v>FISIKA II / FISIKA LANJUT</v>
      </c>
      <c r="E25" s="47" t="n">
        <f aca="false">VLOOKUP(C25,[1]Sheet1!$C$5:$E$205,3,0)</f>
        <v>3</v>
      </c>
      <c r="F25" s="50" t="s">
        <v>16</v>
      </c>
      <c r="G25" s="51"/>
      <c r="H25" s="54"/>
      <c r="I25" s="118"/>
    </row>
    <row r="26" customFormat="false" ht="12.75" hidden="false" customHeight="false" outlineLevel="0" collapsed="false">
      <c r="A26" s="47" t="n">
        <f aca="false">A25+1</f>
        <v>9</v>
      </c>
      <c r="B26" s="72"/>
      <c r="C26" s="48" t="s">
        <v>28</v>
      </c>
      <c r="D26" s="49" t="str">
        <f aca="false">VLOOKUP(C26,[1]Sheet1!$C$5:$E$205,2,0)</f>
        <v>KALKULUS II / MATEMATIKA LANJUT</v>
      </c>
      <c r="E26" s="47" t="n">
        <f aca="false">VLOOKUP(C26,[1]Sheet1!$C$5:$E$205,3,0)</f>
        <v>2</v>
      </c>
      <c r="F26" s="50" t="s">
        <v>15</v>
      </c>
      <c r="G26" s="51"/>
      <c r="H26" s="52"/>
      <c r="I26" s="150"/>
      <c r="N26" s="16"/>
    </row>
    <row r="27" customFormat="false" ht="13.5" hidden="false" customHeight="false" outlineLevel="0" collapsed="false">
      <c r="A27" s="56" t="n">
        <f aca="false">A26+1</f>
        <v>10</v>
      </c>
      <c r="B27" s="72"/>
      <c r="C27" s="73" t="s">
        <v>29</v>
      </c>
      <c r="D27" s="74" t="str">
        <f aca="false">VLOOKUP(C27,[1]Sheet1!$C$5:$E$205,2,0)</f>
        <v>PRAKTIKUM DASAR TELEKOMUNIKASI</v>
      </c>
      <c r="E27" s="56" t="n">
        <f aca="false">VLOOKUP(C27,[1]Sheet1!$C$5:$E$205,3,0)</f>
        <v>1</v>
      </c>
      <c r="F27" s="57" t="s">
        <v>151</v>
      </c>
      <c r="G27" s="58" t="s">
        <v>26</v>
      </c>
      <c r="H27" s="75"/>
      <c r="I27" s="139"/>
      <c r="N27" s="16"/>
    </row>
    <row r="28" s="5" customFormat="true" ht="14.25" hidden="false" customHeight="false" outlineLevel="0" collapsed="false">
      <c r="A28" s="77"/>
      <c r="B28" s="77"/>
      <c r="C28" s="77"/>
      <c r="D28" s="61"/>
      <c r="E28" s="77" t="n">
        <f aca="false">SUM(E18:E27)</f>
        <v>21</v>
      </c>
      <c r="F28" s="78"/>
      <c r="G28" s="79"/>
      <c r="H28" s="80"/>
      <c r="I28" s="174"/>
      <c r="N28" s="16"/>
    </row>
    <row r="29" customFormat="false" ht="13.5" hidden="false" customHeight="false" outlineLevel="0" collapsed="false">
      <c r="A29" s="67"/>
      <c r="B29" s="40" t="s">
        <v>30</v>
      </c>
      <c r="C29" s="67"/>
      <c r="D29" s="67"/>
      <c r="E29" s="67"/>
      <c r="F29" s="82"/>
      <c r="G29" s="83"/>
      <c r="H29" s="84"/>
      <c r="I29" s="175"/>
      <c r="N29" s="16"/>
    </row>
    <row r="30" customFormat="false" ht="12.75" hidden="false" customHeight="false" outlineLevel="0" collapsed="false">
      <c r="A30" s="47" t="n">
        <v>1</v>
      </c>
      <c r="B30" s="40"/>
      <c r="C30" s="48" t="s">
        <v>31</v>
      </c>
      <c r="D30" s="49" t="str">
        <f aca="false">VLOOKUP(C30,[1]Sheet1!$C$5:$E$205,2,0)</f>
        <v>MATEMATIKA TEKNIK I</v>
      </c>
      <c r="E30" s="47" t="n">
        <f aca="false">VLOOKUP(C30,[1]Sheet1!$C$5:$E$205,3,0)</f>
        <v>3</v>
      </c>
      <c r="F30" s="50" t="str">
        <f aca="false">C26</f>
        <v>ES1211</v>
      </c>
      <c r="G30" s="51"/>
      <c r="H30" s="52"/>
      <c r="I30" s="150"/>
      <c r="N30" s="16"/>
    </row>
    <row r="31" customFormat="false" ht="12.75" hidden="false" customHeight="false" outlineLevel="0" collapsed="false">
      <c r="A31" s="47" t="n">
        <f aca="false">A30+1</f>
        <v>2</v>
      </c>
      <c r="B31" s="40"/>
      <c r="C31" s="48" t="s">
        <v>32</v>
      </c>
      <c r="D31" s="49" t="str">
        <f aca="false">VLOOKUP(C31,[1]Sheet1!$C$5:$E$205,2,0)</f>
        <v>DASAR TEKNOLOGI INFORMASI</v>
      </c>
      <c r="E31" s="47" t="n">
        <f aca="false">VLOOKUP(C31,[1]Sheet1!$C$5:$E$205,3,0)</f>
        <v>3</v>
      </c>
      <c r="F31" s="50" t="s">
        <v>150</v>
      </c>
      <c r="G31" s="51"/>
      <c r="H31" s="52"/>
      <c r="I31" s="150"/>
      <c r="N31" s="16"/>
    </row>
    <row r="32" customFormat="false" ht="12.75" hidden="false" customHeight="false" outlineLevel="0" collapsed="false">
      <c r="A32" s="47" t="n">
        <f aca="false">A31+1</f>
        <v>3</v>
      </c>
      <c r="B32" s="40"/>
      <c r="C32" s="48" t="s">
        <v>33</v>
      </c>
      <c r="D32" s="49" t="str">
        <f aca="false">VLOOKUP(C32,[1]Sheet1!$C$5:$E$205,2,0)</f>
        <v>RANGKAIAN LISTRIK I</v>
      </c>
      <c r="E32" s="47" t="n">
        <f aca="false">VLOOKUP(C32,[1]Sheet1!$C$5:$E$205,3,0)</f>
        <v>3</v>
      </c>
      <c r="F32" s="50" t="str">
        <f aca="false">C25</f>
        <v>ES1210</v>
      </c>
      <c r="G32" s="51"/>
      <c r="H32" s="52"/>
      <c r="I32" s="150"/>
      <c r="N32" s="16"/>
    </row>
    <row r="33" customFormat="false" ht="12.75" hidden="false" customHeight="false" outlineLevel="0" collapsed="false">
      <c r="A33" s="47" t="n">
        <f aca="false">A32+1</f>
        <v>4</v>
      </c>
      <c r="B33" s="40"/>
      <c r="C33" s="48" t="s">
        <v>34</v>
      </c>
      <c r="D33" s="49" t="str">
        <f aca="false">VLOOKUP(C33,[1]Sheet1!$C$5:$E$205,2,0)</f>
        <v>PENGUKURAN BESARAN LISTRIK</v>
      </c>
      <c r="E33" s="47" t="n">
        <f aca="false">VLOOKUP(C33,[1]Sheet1!$C$5:$E$205,3,0)</f>
        <v>2</v>
      </c>
      <c r="F33" s="50" t="s">
        <v>27</v>
      </c>
      <c r="G33" s="51"/>
      <c r="H33" s="52"/>
      <c r="I33" s="150"/>
      <c r="N33" s="16"/>
    </row>
    <row r="34" customFormat="false" ht="12.75" hidden="false" customHeight="false" outlineLevel="0" collapsed="false">
      <c r="A34" s="47" t="n">
        <f aca="false">A33+1</f>
        <v>5</v>
      </c>
      <c r="B34" s="40"/>
      <c r="C34" s="48" t="s">
        <v>35</v>
      </c>
      <c r="D34" s="49" t="str">
        <f aca="false">VLOOKUP(C34,[1]Sheet1!$C$5:$E$205,2,0)</f>
        <v>PRAKTIKUM PENGUKURAN BESARAN LISTRIK</v>
      </c>
      <c r="E34" s="47" t="n">
        <f aca="false">VLOOKUP(C34,[1]Sheet1!$C$5:$E$205,3,0)</f>
        <v>1</v>
      </c>
      <c r="F34" s="50" t="s">
        <v>151</v>
      </c>
      <c r="G34" s="51" t="str">
        <f aca="false">C33</f>
        <v>ES2122</v>
      </c>
      <c r="H34" s="52"/>
      <c r="I34" s="150"/>
      <c r="N34" s="16"/>
    </row>
    <row r="35" customFormat="false" ht="12.75" hidden="false" customHeight="false" outlineLevel="0" collapsed="false">
      <c r="A35" s="47" t="n">
        <f aca="false">A34+1</f>
        <v>6</v>
      </c>
      <c r="B35" s="40"/>
      <c r="C35" s="48" t="s">
        <v>36</v>
      </c>
      <c r="D35" s="49" t="str">
        <f aca="false">VLOOKUP(C35,[1]Sheet1!$C$5:$E$205,2,0)</f>
        <v>DASAR ELEKTRONIKA</v>
      </c>
      <c r="E35" s="47" t="n">
        <f aca="false">VLOOKUP(C35,[1]Sheet1!$C$5:$E$205,3,0)</f>
        <v>3</v>
      </c>
      <c r="F35" s="50" t="s">
        <v>33</v>
      </c>
      <c r="G35" s="51"/>
      <c r="H35" s="52"/>
      <c r="I35" s="150"/>
    </row>
    <row r="36" customFormat="false" ht="12.75" hidden="false" customHeight="false" outlineLevel="0" collapsed="false">
      <c r="A36" s="47" t="n">
        <f aca="false">A35+1</f>
        <v>7</v>
      </c>
      <c r="B36" s="40"/>
      <c r="C36" s="48" t="s">
        <v>37</v>
      </c>
      <c r="D36" s="49" t="str">
        <f aca="false">VLOOKUP(C36,[1]Sheet1!$C$5:$E$205,2,0)</f>
        <v>DASAR TENAGA LISTRIK</v>
      </c>
      <c r="E36" s="47" t="n">
        <f aca="false">VLOOKUP(C36,[1]Sheet1!$C$5:$E$205,3,0)</f>
        <v>3</v>
      </c>
      <c r="F36" s="50" t="s">
        <v>33</v>
      </c>
      <c r="G36" s="51"/>
      <c r="H36" s="52"/>
      <c r="I36" s="150"/>
    </row>
    <row r="37" s="16" customFormat="true" ht="12.75" hidden="false" customHeight="false" outlineLevel="0" collapsed="false">
      <c r="A37" s="47" t="n">
        <f aca="false">A36+1</f>
        <v>8</v>
      </c>
      <c r="B37" s="40"/>
      <c r="C37" s="48" t="s">
        <v>38</v>
      </c>
      <c r="D37" s="49" t="str">
        <f aca="false">VLOOKUP(C37,[1]Sheet1!$C$5:$E$205,2,0)</f>
        <v>ALGORITMA DAN PEMROGRAMAN</v>
      </c>
      <c r="E37" s="47" t="n">
        <f aca="false">VLOOKUP(C37,[1]Sheet1!$C$5:$E$205,3,0)</f>
        <v>2</v>
      </c>
      <c r="F37" s="50" t="str">
        <f aca="false">C22</f>
        <v>ES1213</v>
      </c>
      <c r="G37" s="51"/>
      <c r="H37" s="86"/>
      <c r="I37" s="47"/>
      <c r="N37" s="5"/>
    </row>
    <row r="38" s="5" customFormat="true" ht="12.75" hidden="false" customHeight="false" outlineLevel="0" collapsed="false">
      <c r="A38" s="47" t="n">
        <f aca="false">A37+1</f>
        <v>9</v>
      </c>
      <c r="B38" s="40"/>
      <c r="C38" s="48" t="s">
        <v>39</v>
      </c>
      <c r="D38" s="49" t="str">
        <f aca="false">VLOOKUP(C38,[1]Sheet1!$C$5:$E$205,2,0)</f>
        <v>PRAKTIKUM RANGKAIAN LOGIKA</v>
      </c>
      <c r="E38" s="47" t="n">
        <f aca="false">VLOOKUP(C38,[1]Sheet1!$C$5:$E$205,3,0)</f>
        <v>1</v>
      </c>
      <c r="F38" s="50" t="s">
        <v>24</v>
      </c>
      <c r="G38" s="51"/>
      <c r="H38" s="54"/>
      <c r="I38" s="118"/>
      <c r="N38" s="16"/>
    </row>
    <row r="39" customFormat="false" ht="13.5" hidden="false" customHeight="false" outlineLevel="0" collapsed="false">
      <c r="A39" s="56"/>
      <c r="B39" s="40"/>
      <c r="C39" s="56"/>
      <c r="D39" s="56"/>
      <c r="E39" s="56"/>
      <c r="F39" s="57"/>
      <c r="G39" s="58"/>
      <c r="H39" s="75"/>
      <c r="I39" s="139"/>
      <c r="N39" s="16"/>
    </row>
    <row r="40" s="5" customFormat="true" ht="14.25" hidden="false" customHeight="false" outlineLevel="0" collapsed="false">
      <c r="A40" s="62"/>
      <c r="B40" s="62"/>
      <c r="C40" s="62"/>
      <c r="D40" s="61"/>
      <c r="E40" s="62" t="n">
        <f aca="false">SUM(E30:E39)</f>
        <v>21</v>
      </c>
      <c r="F40" s="63"/>
      <c r="G40" s="64"/>
      <c r="H40" s="65"/>
      <c r="I40" s="143"/>
    </row>
    <row r="41" customFormat="false" ht="13.5" hidden="false" customHeight="false" outlineLevel="0" collapsed="false">
      <c r="A41" s="88"/>
      <c r="B41" s="88"/>
      <c r="C41" s="88"/>
      <c r="D41" s="88"/>
      <c r="E41" s="88"/>
      <c r="F41" s="68"/>
      <c r="G41" s="69"/>
      <c r="H41" s="70"/>
      <c r="I41" s="146"/>
    </row>
    <row r="42" s="16" customFormat="true" ht="12.75" hidden="false" customHeight="false" outlineLevel="0" collapsed="false">
      <c r="A42" s="47" t="n">
        <v>1</v>
      </c>
      <c r="B42" s="72" t="s">
        <v>40</v>
      </c>
      <c r="C42" s="48" t="s">
        <v>41</v>
      </c>
      <c r="D42" s="49" t="str">
        <f aca="false">VLOOKUP(C42,[1]Sheet1!$C$5:$E$205,2,0)</f>
        <v>PRAKTKUM ALGORITMA DAN PEMROGRAMAN</v>
      </c>
      <c r="E42" s="47" t="n">
        <f aca="false">VLOOKUP(C42,[1]Sheet1!$C$5:$E$205,3,0)</f>
        <v>1</v>
      </c>
      <c r="F42" s="50" t="s">
        <v>38</v>
      </c>
      <c r="G42" s="51"/>
      <c r="H42" s="86"/>
      <c r="I42" s="47"/>
    </row>
    <row r="43" s="16" customFormat="true" ht="12.75" hidden="false" customHeight="false" outlineLevel="0" collapsed="false">
      <c r="A43" s="47" t="n">
        <f aca="false">A42+1</f>
        <v>2</v>
      </c>
      <c r="B43" s="72"/>
      <c r="C43" s="48" t="s">
        <v>42</v>
      </c>
      <c r="D43" s="49" t="str">
        <f aca="false">VLOOKUP(C43,[1]Sheet1!$C$5:$E$205,2,0)</f>
        <v>MATEMATIKA TEKNIK II</v>
      </c>
      <c r="E43" s="47" t="n">
        <f aca="false">VLOOKUP(C43,[1]Sheet1!$C$5:$E$205,3,0)</f>
        <v>3</v>
      </c>
      <c r="F43" s="50" t="s">
        <v>31</v>
      </c>
      <c r="G43" s="51"/>
      <c r="H43" s="86"/>
      <c r="I43" s="47"/>
    </row>
    <row r="44" s="16" customFormat="true" ht="12.75" hidden="false" customHeight="false" outlineLevel="0" collapsed="false">
      <c r="A44" s="47" t="n">
        <f aca="false">A43+1</f>
        <v>3</v>
      </c>
      <c r="B44" s="72"/>
      <c r="C44" s="48" t="s">
        <v>43</v>
      </c>
      <c r="D44" s="49" t="str">
        <f aca="false">VLOOKUP(C44,[1]Sheet1!$C$5:$E$205,2,0)</f>
        <v>SINYAL DAN SISTEM</v>
      </c>
      <c r="E44" s="47" t="n">
        <f aca="false">VLOOKUP(C44,[1]Sheet1!$C$5:$E$205,3,0)</f>
        <v>3</v>
      </c>
      <c r="F44" s="50" t="s">
        <v>42</v>
      </c>
      <c r="G44" s="51"/>
      <c r="H44" s="86"/>
      <c r="I44" s="47"/>
    </row>
    <row r="45" s="16" customFormat="true" ht="12.75" hidden="false" customHeight="false" outlineLevel="0" collapsed="false">
      <c r="A45" s="47" t="n">
        <f aca="false">A44+1</f>
        <v>4</v>
      </c>
      <c r="B45" s="72"/>
      <c r="C45" s="48" t="s">
        <v>44</v>
      </c>
      <c r="D45" s="49" t="str">
        <f aca="false">VLOOKUP(C45,[1]Sheet1!$C$5:$E$205,2,0)</f>
        <v>BAHAN LISTRIK</v>
      </c>
      <c r="E45" s="47" t="n">
        <f aca="false">VLOOKUP(C45,[1]Sheet1!$C$5:$E$205,3,0)</f>
        <v>2</v>
      </c>
      <c r="F45" s="50" t="s">
        <v>16</v>
      </c>
      <c r="G45" s="51"/>
      <c r="H45" s="86"/>
      <c r="I45" s="47"/>
    </row>
    <row r="46" s="16" customFormat="true" ht="12.75" hidden="false" customHeight="false" outlineLevel="0" collapsed="false">
      <c r="A46" s="47" t="n">
        <f aca="false">A45+1</f>
        <v>5</v>
      </c>
      <c r="B46" s="72"/>
      <c r="C46" s="48" t="s">
        <v>45</v>
      </c>
      <c r="D46" s="49" t="str">
        <f aca="false">VLOOKUP(C46,[1]Sheet1!$C$5:$E$205,2,0)</f>
        <v>PROBABILITAS DAN STATISTIK</v>
      </c>
      <c r="E46" s="47" t="n">
        <f aca="false">VLOOKUP(C46,[1]Sheet1!$C$5:$E$205,3,0)</f>
        <v>2</v>
      </c>
      <c r="F46" s="50" t="s">
        <v>31</v>
      </c>
      <c r="G46" s="51"/>
      <c r="H46" s="86"/>
      <c r="I46" s="47"/>
    </row>
    <row r="47" s="16" customFormat="true" ht="12.75" hidden="false" customHeight="false" outlineLevel="0" collapsed="false">
      <c r="A47" s="47" t="n">
        <f aca="false">A46+1</f>
        <v>6</v>
      </c>
      <c r="B47" s="72"/>
      <c r="C47" s="48" t="s">
        <v>46</v>
      </c>
      <c r="D47" s="49" t="str">
        <f aca="false">VLOOKUP(C47,[1]Sheet1!$C$5:$E$205,2,0)</f>
        <v>METODE NUMERIK</v>
      </c>
      <c r="E47" s="47" t="n">
        <f aca="false">VLOOKUP(C47,[1]Sheet1!$C$5:$E$205,3,0)</f>
        <v>2</v>
      </c>
      <c r="F47" s="50" t="s">
        <v>31</v>
      </c>
      <c r="G47" s="51"/>
      <c r="H47" s="86"/>
      <c r="I47" s="47"/>
    </row>
    <row r="48" s="16" customFormat="true" ht="12.75" hidden="false" customHeight="false" outlineLevel="0" collapsed="false">
      <c r="A48" s="47" t="n">
        <f aca="false">A47+1</f>
        <v>7</v>
      </c>
      <c r="B48" s="72"/>
      <c r="C48" s="48" t="s">
        <v>47</v>
      </c>
      <c r="D48" s="49" t="str">
        <f aca="false">VLOOKUP(C48,[1]Sheet1!$C$5:$E$205,2,0)</f>
        <v>RANGKAIAN LISTRIK II</v>
      </c>
      <c r="E48" s="47" t="n">
        <f aca="false">VLOOKUP(C48,[1]Sheet1!$C$5:$E$205,3,0)</f>
        <v>3</v>
      </c>
      <c r="F48" s="50" t="s">
        <v>33</v>
      </c>
      <c r="G48" s="51"/>
      <c r="H48" s="86"/>
      <c r="I48" s="47"/>
    </row>
    <row r="49" s="16" customFormat="true" ht="12.75" hidden="false" customHeight="false" outlineLevel="0" collapsed="false">
      <c r="A49" s="47" t="n">
        <f aca="false">A48+1</f>
        <v>8</v>
      </c>
      <c r="B49" s="72"/>
      <c r="C49" s="48" t="s">
        <v>48</v>
      </c>
      <c r="D49" s="49" t="str">
        <f aca="false">VLOOKUP(C49,[1]Sheet1!$C$5:$E$205,2,0)</f>
        <v>ELEKTROMAGNETIK</v>
      </c>
      <c r="E49" s="47" t="n">
        <f aca="false">VLOOKUP(C49,[1]Sheet1!$C$5:$E$205,3,0)</f>
        <v>3</v>
      </c>
      <c r="F49" s="50" t="s">
        <v>27</v>
      </c>
      <c r="G49" s="51" t="s">
        <v>28</v>
      </c>
      <c r="H49" s="86"/>
      <c r="I49" s="47"/>
    </row>
    <row r="50" s="16" customFormat="true" ht="12.75" hidden="false" customHeight="false" outlineLevel="0" collapsed="false">
      <c r="A50" s="47" t="n">
        <f aca="false">A49+1</f>
        <v>9</v>
      </c>
      <c r="B50" s="72"/>
      <c r="C50" s="48" t="s">
        <v>49</v>
      </c>
      <c r="D50" s="49" t="str">
        <f aca="false">VLOOKUP(C50,[1]Sheet1!$C$5:$E$205,2,0)</f>
        <v>PRAKTIKUM DASAR ELEKTRONIKA</v>
      </c>
      <c r="E50" s="47" t="n">
        <f aca="false">VLOOKUP(C50,[1]Sheet1!$C$5:$E$205,3,0)</f>
        <v>1</v>
      </c>
      <c r="F50" s="50" t="s">
        <v>36</v>
      </c>
      <c r="G50" s="51"/>
      <c r="H50" s="86"/>
      <c r="I50" s="47"/>
    </row>
    <row r="51" s="16" customFormat="true" ht="12.75" hidden="false" customHeight="false" outlineLevel="0" collapsed="false">
      <c r="A51" s="47" t="n">
        <f aca="false">A50+1</f>
        <v>10</v>
      </c>
      <c r="B51" s="72"/>
      <c r="C51" s="48" t="s">
        <v>50</v>
      </c>
      <c r="D51" s="49" t="str">
        <f aca="false">VLOOKUP(C51,[1]Sheet1!$C$5:$E$205,2,0)</f>
        <v>PRAKTIKUM DASAR TENAGA LISTRIK</v>
      </c>
      <c r="E51" s="47" t="n">
        <f aca="false">VLOOKUP(C51,[1]Sheet1!$C$5:$E$205,3,0)</f>
        <v>1</v>
      </c>
      <c r="F51" s="50" t="s">
        <v>37</v>
      </c>
      <c r="G51" s="51"/>
      <c r="H51" s="86"/>
      <c r="I51" s="47"/>
    </row>
    <row r="52" customFormat="false" ht="13.5" hidden="false" customHeight="false" outlineLevel="0" collapsed="false">
      <c r="A52" s="56"/>
      <c r="B52" s="72"/>
      <c r="C52" s="56"/>
      <c r="D52" s="56"/>
      <c r="E52" s="56"/>
      <c r="F52" s="57"/>
      <c r="G52" s="58"/>
      <c r="H52" s="75"/>
      <c r="I52" s="139"/>
    </row>
    <row r="53" s="5" customFormat="true" ht="14.25" hidden="false" customHeight="false" outlineLevel="0" collapsed="false">
      <c r="A53" s="62"/>
      <c r="B53" s="62"/>
      <c r="C53" s="62"/>
      <c r="D53" s="61"/>
      <c r="E53" s="62" t="n">
        <f aca="false">SUM(E42:E52)</f>
        <v>21</v>
      </c>
      <c r="F53" s="63"/>
      <c r="G53" s="64"/>
      <c r="H53" s="65"/>
      <c r="I53" s="143"/>
    </row>
    <row r="54" customFormat="false" ht="13.5" hidden="false" customHeight="false" outlineLevel="0" collapsed="false">
      <c r="A54" s="88"/>
      <c r="B54" s="88"/>
      <c r="C54" s="88"/>
      <c r="D54" s="88"/>
      <c r="E54" s="88"/>
      <c r="F54" s="68"/>
      <c r="G54" s="69"/>
      <c r="H54" s="70"/>
      <c r="I54" s="146"/>
    </row>
    <row r="55" s="5" customFormat="true" ht="12.75" hidden="false" customHeight="false" outlineLevel="0" collapsed="false">
      <c r="A55" s="47" t="n">
        <v>1</v>
      </c>
      <c r="B55" s="89" t="s">
        <v>51</v>
      </c>
      <c r="C55" s="90" t="s">
        <v>52</v>
      </c>
      <c r="D55" s="91" t="str">
        <f aca="false">VLOOKUP(C55,[1]Sheet1!$C$5:$E$205,2,0)</f>
        <v>SISTEM MIKROPROSESOR</v>
      </c>
      <c r="E55" s="47" t="n">
        <f aca="false">VLOOKUP(C55,[1]Sheet1!$C$5:$E$205,3,0)</f>
        <v>3</v>
      </c>
      <c r="F55" s="50" t="s">
        <v>24</v>
      </c>
      <c r="G55" s="51"/>
      <c r="H55" s="54"/>
      <c r="I55" s="118"/>
    </row>
    <row r="56" customFormat="false" ht="12.75" hidden="false" customHeight="false" outlineLevel="0" collapsed="false">
      <c r="A56" s="47" t="n">
        <f aca="false">A55+1</f>
        <v>2</v>
      </c>
      <c r="B56" s="89"/>
      <c r="C56" s="90" t="s">
        <v>53</v>
      </c>
      <c r="D56" s="91" t="str">
        <f aca="false">VLOOKUP(C56,[1]Sheet1!$C$5:$E$205,2,0)</f>
        <v>SISTEM KENDALI</v>
      </c>
      <c r="E56" s="90" t="n">
        <f aca="false">VLOOKUP(C56,[1]Sheet1!$C$5:$E$205,3,0)</f>
        <v>3</v>
      </c>
      <c r="F56" s="50" t="s">
        <v>31</v>
      </c>
      <c r="G56" s="51"/>
      <c r="H56" s="52"/>
      <c r="I56" s="150"/>
    </row>
    <row r="57" customFormat="false" ht="12.75" hidden="false" customHeight="false" outlineLevel="0" collapsed="false">
      <c r="A57" s="47" t="n">
        <f aca="false">A56+1</f>
        <v>3</v>
      </c>
      <c r="B57" s="89"/>
      <c r="C57" s="90" t="s">
        <v>54</v>
      </c>
      <c r="D57" s="91" t="str">
        <f aca="false">VLOOKUP(C57,[1]Sheet1!$C$5:$E$205,2,0)</f>
        <v>PRAKTIKUM SISTEM KENDALI</v>
      </c>
      <c r="E57" s="47" t="n">
        <f aca="false">VLOOKUP(C57,[1]Sheet1!$C$5:$E$205,3,0)</f>
        <v>1</v>
      </c>
      <c r="F57" s="50" t="s">
        <v>151</v>
      </c>
      <c r="G57" s="51" t="s">
        <v>53</v>
      </c>
      <c r="H57" s="52"/>
      <c r="I57" s="150"/>
    </row>
    <row r="58" customFormat="false" ht="12.75" hidden="false" customHeight="false" outlineLevel="0" collapsed="false">
      <c r="A58" s="47" t="n">
        <f aca="false">A57+1</f>
        <v>4</v>
      </c>
      <c r="B58" s="89"/>
      <c r="C58" s="90" t="s">
        <v>55</v>
      </c>
      <c r="D58" s="91" t="str">
        <f aca="false">VLOOKUP(C58,[1]Sheet1!$C$5:$E$205,2,0)</f>
        <v>PRAKTIKUM RANGKAIAN LISTRIK</v>
      </c>
      <c r="E58" s="47" t="n">
        <f aca="false">VLOOKUP(C58,[1]Sheet1!$C$5:$E$205,3,0)</f>
        <v>1</v>
      </c>
      <c r="F58" s="50" t="s">
        <v>33</v>
      </c>
      <c r="G58" s="51" t="s">
        <v>47</v>
      </c>
      <c r="H58" s="52"/>
      <c r="I58" s="150"/>
    </row>
    <row r="59" customFormat="false" ht="12.75" hidden="false" customHeight="false" outlineLevel="0" collapsed="false">
      <c r="A59" s="47" t="n">
        <f aca="false">A58+1</f>
        <v>5</v>
      </c>
      <c r="B59" s="89"/>
      <c r="C59" s="48" t="s">
        <v>56</v>
      </c>
      <c r="D59" s="49" t="str">
        <f aca="false">VLOOKUP(C59,[1]Sheet1!$C$5:$E$205,2,0)</f>
        <v>EKONOMI TEKNIK</v>
      </c>
      <c r="E59" s="47" t="n">
        <f aca="false">VLOOKUP(C59,[1]Sheet1!$C$5:$E$205,3,0)</f>
        <v>2</v>
      </c>
      <c r="F59" s="50" t="s">
        <v>150</v>
      </c>
      <c r="G59" s="51"/>
      <c r="H59" s="52"/>
      <c r="I59" s="150"/>
    </row>
    <row r="60" customFormat="false" ht="12.75" hidden="false" customHeight="false" outlineLevel="0" collapsed="false">
      <c r="A60" s="47" t="n">
        <v>6</v>
      </c>
      <c r="B60" s="89"/>
      <c r="C60" s="47" t="s">
        <v>74</v>
      </c>
      <c r="D60" s="49" t="str">
        <f aca="false">VLOOKUP(C60,[1]Sheet1!$C$5:$E$205,2,0)</f>
        <v>MATEMATIKA DISKRIT</v>
      </c>
      <c r="E60" s="47" t="n">
        <f aca="false">VLOOKUP(C60,[1]Sheet1!$C$5:$E$205,3,0)</f>
        <v>3</v>
      </c>
      <c r="F60" s="50" t="s">
        <v>28</v>
      </c>
      <c r="G60" s="51"/>
      <c r="H60" s="52"/>
      <c r="I60" s="150"/>
    </row>
    <row r="61" customFormat="false" ht="12.75" hidden="false" customHeight="false" outlineLevel="0" collapsed="false">
      <c r="A61" s="47" t="n">
        <f aca="false">A60+1</f>
        <v>7</v>
      </c>
      <c r="B61" s="89"/>
      <c r="C61" s="47" t="s">
        <v>75</v>
      </c>
      <c r="D61" s="49" t="str">
        <f aca="false">VLOOKUP(C61,[1]Sheet1!$C$5:$E$205,2,0)</f>
        <v>BASIS DATA</v>
      </c>
      <c r="E61" s="47" t="n">
        <f aca="false">VLOOKUP(C61,[1]Sheet1!$C$5:$E$205,3,0)</f>
        <v>3</v>
      </c>
      <c r="F61" s="50" t="s">
        <v>38</v>
      </c>
      <c r="G61" s="51"/>
      <c r="H61" s="52"/>
      <c r="I61" s="150"/>
    </row>
    <row r="62" s="5" customFormat="true" ht="12.75" hidden="false" customHeight="false" outlineLevel="0" collapsed="false">
      <c r="A62" s="47" t="n">
        <f aca="false">A61+1</f>
        <v>8</v>
      </c>
      <c r="B62" s="89"/>
      <c r="C62" s="47" t="s">
        <v>76</v>
      </c>
      <c r="D62" s="49" t="str">
        <f aca="false">VLOOKUP(C62,[1]Sheet1!$C$5:$E$205,2,0)</f>
        <v>REKAYASA PERANGKAT LUNAK</v>
      </c>
      <c r="E62" s="47" t="n">
        <f aca="false">VLOOKUP(C62,[1]Sheet1!$C$5:$E$205,3,0)</f>
        <v>2</v>
      </c>
      <c r="F62" s="50" t="s">
        <v>38</v>
      </c>
      <c r="G62" s="51"/>
      <c r="H62" s="54"/>
      <c r="I62" s="118"/>
    </row>
    <row r="63" customFormat="false" ht="12.75" hidden="false" customHeight="false" outlineLevel="0" collapsed="false">
      <c r="A63" s="47" t="n">
        <f aca="false">A62+1</f>
        <v>9</v>
      </c>
      <c r="B63" s="89"/>
      <c r="C63" s="90" t="s">
        <v>77</v>
      </c>
      <c r="D63" s="91" t="str">
        <f aca="false">VLOOKUP(C63,[1]Sheet1!$C$5:$E$205,2,0)</f>
        <v>PEMROGRAMAN BERORIENTASI OBYEK</v>
      </c>
      <c r="E63" s="90" t="n">
        <f aca="false">VLOOKUP(C63,[1]Sheet1!$C$5:$E$205,3,0)</f>
        <v>2</v>
      </c>
      <c r="F63" s="50" t="s">
        <v>151</v>
      </c>
      <c r="G63" s="51" t="s">
        <v>74</v>
      </c>
      <c r="H63" s="52"/>
      <c r="I63" s="150"/>
    </row>
    <row r="64" s="5" customFormat="true" ht="13.5" hidden="false" customHeight="false" outlineLevel="0" collapsed="false">
      <c r="A64" s="94"/>
      <c r="B64" s="94"/>
      <c r="C64" s="94"/>
      <c r="D64" s="94"/>
      <c r="E64" s="94" t="n">
        <f aca="false">SUM(E60:E63)+SUM(E55:E59)</f>
        <v>20</v>
      </c>
      <c r="F64" s="95"/>
      <c r="G64" s="96"/>
      <c r="H64" s="97"/>
      <c r="I64" s="124"/>
    </row>
    <row r="65" s="5" customFormat="true" ht="13.5" hidden="false" customHeight="false" outlineLevel="0" collapsed="false">
      <c r="A65" s="47"/>
      <c r="B65" s="156" t="s">
        <v>78</v>
      </c>
      <c r="C65" s="47"/>
      <c r="D65" s="47"/>
      <c r="E65" s="47"/>
      <c r="F65" s="50"/>
      <c r="G65" s="51"/>
      <c r="H65" s="54"/>
      <c r="I65" s="118"/>
    </row>
    <row r="66" s="5" customFormat="true" ht="12.75" hidden="false" customHeight="false" outlineLevel="0" collapsed="false">
      <c r="A66" s="47" t="n">
        <v>1</v>
      </c>
      <c r="B66" s="156"/>
      <c r="C66" s="47" t="s">
        <v>79</v>
      </c>
      <c r="D66" s="173" t="str">
        <f aca="false">VLOOKUP(C66,[1]Sheet1!$C$5:$E$205,2,0)</f>
        <v>PRAKTIKUM SISTEM MIKROPROSESOR</v>
      </c>
      <c r="E66" s="47" t="n">
        <f aca="false">VLOOKUP(C66,[1]Sheet1!$C$5:$E$205,3,0)</f>
        <v>1</v>
      </c>
      <c r="F66" s="50" t="s">
        <v>52</v>
      </c>
      <c r="G66" s="51"/>
      <c r="H66" s="52"/>
      <c r="I66" s="150"/>
    </row>
    <row r="67" s="16" customFormat="true" ht="12.75" hidden="false" customHeight="false" outlineLevel="0" collapsed="false">
      <c r="A67" s="47" t="n">
        <v>2</v>
      </c>
      <c r="B67" s="156"/>
      <c r="C67" s="47" t="s">
        <v>103</v>
      </c>
      <c r="D67" s="87" t="str">
        <f aca="false">VLOOKUP(C67,[1]Sheet1!$C$5:$E$205,2,0)</f>
        <v>PENGOLAHAN SINYAL DIGITAL</v>
      </c>
      <c r="E67" s="47" t="n">
        <f aca="false">VLOOKUP(C67,[1]Sheet1!$C$5:$E$205,3,0)</f>
        <v>3</v>
      </c>
      <c r="F67" s="50" t="s">
        <v>24</v>
      </c>
      <c r="G67" s="51" t="s">
        <v>43</v>
      </c>
      <c r="H67" s="86"/>
      <c r="I67" s="47"/>
    </row>
    <row r="68" s="5" customFormat="true" ht="12.75" hidden="false" customHeight="false" outlineLevel="0" collapsed="false">
      <c r="A68" s="47" t="n">
        <f aca="false">A67+1</f>
        <v>3</v>
      </c>
      <c r="B68" s="156"/>
      <c r="C68" s="47" t="s">
        <v>104</v>
      </c>
      <c r="D68" s="87" t="str">
        <f aca="false">VLOOKUP(C68,[1]Sheet1!$C$5:$E$205,2,0)</f>
        <v>ARSITEKTUR SISTEM KOMPUTER</v>
      </c>
      <c r="E68" s="47" t="n">
        <f aca="false">VLOOKUP(C68,[1]Sheet1!$C$5:$E$205,3,0)</f>
        <v>2</v>
      </c>
      <c r="F68" s="50" t="s">
        <v>52</v>
      </c>
      <c r="G68" s="51"/>
      <c r="H68" s="54"/>
      <c r="I68" s="118"/>
    </row>
    <row r="69" s="5" customFormat="true" ht="12.75" hidden="false" customHeight="false" outlineLevel="0" collapsed="false">
      <c r="A69" s="47" t="n">
        <f aca="false">A68+1</f>
        <v>4</v>
      </c>
      <c r="B69" s="156"/>
      <c r="C69" s="47" t="s">
        <v>105</v>
      </c>
      <c r="D69" s="87" t="str">
        <f aca="false">VLOOKUP(C69,[1]Sheet1!$C$5:$E$205,2,0)</f>
        <v>KOMUNIKASI DATA DAN JARINGAN KOMPUTER</v>
      </c>
      <c r="E69" s="47" t="n">
        <f aca="false">VLOOKUP(C69,[1]Sheet1!$C$5:$E$205,3,0)</f>
        <v>3</v>
      </c>
      <c r="F69" s="50" t="s">
        <v>26</v>
      </c>
      <c r="G69" s="51" t="s">
        <v>32</v>
      </c>
      <c r="H69" s="54"/>
      <c r="I69" s="118"/>
    </row>
    <row r="70" customFormat="false" ht="12.75" hidden="false" customHeight="false" outlineLevel="0" collapsed="false">
      <c r="A70" s="47" t="n">
        <f aca="false">A69+1</f>
        <v>5</v>
      </c>
      <c r="B70" s="156"/>
      <c r="C70" s="47" t="s">
        <v>106</v>
      </c>
      <c r="D70" s="87" t="str">
        <f aca="false">VLOOKUP(C70,[1]Sheet1!$C$5:$E$205,2,0)</f>
        <v>ALGORITMA DAN STRUKTUR DATA</v>
      </c>
      <c r="E70" s="47" t="n">
        <f aca="false">VLOOKUP(C70,[1]Sheet1!$C$5:$E$205,3,0)</f>
        <v>2</v>
      </c>
      <c r="F70" s="50" t="s">
        <v>77</v>
      </c>
      <c r="G70" s="51"/>
      <c r="H70" s="52"/>
      <c r="I70" s="150"/>
    </row>
    <row r="71" customFormat="false" ht="12.75" hidden="false" customHeight="false" outlineLevel="0" collapsed="false">
      <c r="A71" s="47" t="n">
        <f aca="false">A70+1</f>
        <v>6</v>
      </c>
      <c r="B71" s="156"/>
      <c r="C71" s="47" t="s">
        <v>107</v>
      </c>
      <c r="D71" s="87" t="str">
        <f aca="false">VLOOKUP(C71,[1]Sheet1!$C$5:$E$205,2,0)</f>
        <v>PRAKTIKUM PEMROGRAMAN BERBASIS OBYEK</v>
      </c>
      <c r="E71" s="47" t="n">
        <f aca="false">VLOOKUP(C71,[1]Sheet1!$C$5:$E$205,3,0)</f>
        <v>1</v>
      </c>
      <c r="F71" s="50" t="s">
        <v>77</v>
      </c>
      <c r="G71" s="51"/>
      <c r="H71" s="52"/>
      <c r="I71" s="150"/>
    </row>
    <row r="72" customFormat="false" ht="12.75" hidden="false" customHeight="false" outlineLevel="0" collapsed="false">
      <c r="A72" s="47" t="n">
        <f aca="false">A71+1</f>
        <v>7</v>
      </c>
      <c r="B72" s="156"/>
      <c r="C72" s="47" t="s">
        <v>108</v>
      </c>
      <c r="D72" s="87" t="str">
        <f aca="false">VLOOKUP(C72,[1]Sheet1!$C$5:$E$205,2,0)</f>
        <v>KECERDASAN BUATAN</v>
      </c>
      <c r="E72" s="47" t="n">
        <f aca="false">VLOOKUP(C72,[1]Sheet1!$C$5:$E$205,3,0)</f>
        <v>2</v>
      </c>
      <c r="F72" s="50" t="s">
        <v>38</v>
      </c>
      <c r="G72" s="51"/>
      <c r="H72" s="52"/>
      <c r="I72" s="150"/>
    </row>
    <row r="73" customFormat="false" ht="12.75" hidden="false" customHeight="false" outlineLevel="0" collapsed="false">
      <c r="A73" s="47" t="n">
        <f aca="false">A72+1</f>
        <v>8</v>
      </c>
      <c r="B73" s="156"/>
      <c r="C73" s="47" t="s">
        <v>109</v>
      </c>
      <c r="D73" s="87" t="str">
        <f aca="false">VLOOKUP(C73,[1]Sheet1!$C$5:$E$205,2,0)</f>
        <v>MK PILIHAN I</v>
      </c>
      <c r="E73" s="47" t="n">
        <f aca="false">VLOOKUP(C73,[1]Sheet1!$C$5:$E$205,3,0)</f>
        <v>2</v>
      </c>
      <c r="F73" s="50"/>
      <c r="G73" s="51"/>
      <c r="H73" s="52"/>
      <c r="I73" s="150"/>
    </row>
    <row r="74" customFormat="false" ht="12.75" hidden="false" customHeight="false" outlineLevel="0" collapsed="false">
      <c r="A74" s="47" t="n">
        <f aca="false">A73+1</f>
        <v>9</v>
      </c>
      <c r="B74" s="156"/>
      <c r="C74" s="47" t="s">
        <v>110</v>
      </c>
      <c r="D74" s="87" t="str">
        <f aca="false">VLOOKUP(C74,[1]Sheet1!$C$5:$E$205,2,0)</f>
        <v>MK PILIHAN II</v>
      </c>
      <c r="E74" s="47" t="n">
        <f aca="false">VLOOKUP(C74,[1]Sheet1!$C$5:$E$205,3,0)</f>
        <v>2</v>
      </c>
      <c r="F74" s="50"/>
      <c r="G74" s="51"/>
      <c r="H74" s="52"/>
      <c r="I74" s="150"/>
    </row>
    <row r="75" s="5" customFormat="true" ht="12.75" hidden="false" customHeight="false" outlineLevel="0" collapsed="false">
      <c r="A75" s="47"/>
      <c r="B75" s="156"/>
      <c r="C75" s="47"/>
      <c r="D75" s="47"/>
      <c r="E75" s="47"/>
      <c r="F75" s="50"/>
      <c r="G75" s="51"/>
      <c r="H75" s="54"/>
      <c r="I75" s="118"/>
    </row>
    <row r="76" s="5" customFormat="true" ht="13.5" hidden="false" customHeight="false" outlineLevel="0" collapsed="false">
      <c r="A76" s="94"/>
      <c r="B76" s="94"/>
      <c r="C76" s="94"/>
      <c r="D76" s="94"/>
      <c r="E76" s="94" t="n">
        <f aca="false">SUM(E67:E74)+SUM(E66)</f>
        <v>18</v>
      </c>
      <c r="F76" s="95"/>
      <c r="G76" s="96"/>
      <c r="H76" s="97"/>
      <c r="I76" s="124"/>
    </row>
    <row r="77" s="5" customFormat="true" ht="13.5" hidden="false" customHeight="false" outlineLevel="0" collapsed="false">
      <c r="A77" s="39"/>
      <c r="B77" s="39"/>
      <c r="C77" s="39"/>
      <c r="D77" s="39"/>
      <c r="E77" s="39"/>
      <c r="F77" s="43"/>
      <c r="G77" s="44"/>
      <c r="H77" s="101"/>
      <c r="I77" s="155"/>
    </row>
    <row r="78" customFormat="false" ht="12.75" hidden="false" customHeight="false" outlineLevel="0" collapsed="false">
      <c r="A78" s="103" t="n">
        <v>1</v>
      </c>
      <c r="B78" s="72" t="s">
        <v>111</v>
      </c>
      <c r="C78" s="90" t="s">
        <v>112</v>
      </c>
      <c r="D78" s="91" t="str">
        <f aca="false">VLOOKUP(C78,[1]Sheet1!$C$5:$E$205,2,0)</f>
        <v>PROSES STOKASTIK</v>
      </c>
      <c r="E78" s="90" t="n">
        <f aca="false">VLOOKUP(C78,[1]Sheet1!$C$5:$E$205,3,0)</f>
        <v>2</v>
      </c>
      <c r="F78" s="50" t="s">
        <v>45</v>
      </c>
      <c r="G78" s="51"/>
      <c r="H78" s="52"/>
      <c r="I78" s="150"/>
    </row>
    <row r="79" customFormat="false" ht="12.75" hidden="false" customHeight="false" outlineLevel="0" collapsed="false">
      <c r="A79" s="47" t="n">
        <f aca="false">A78+1</f>
        <v>2</v>
      </c>
      <c r="B79" s="72"/>
      <c r="C79" s="47" t="s">
        <v>113</v>
      </c>
      <c r="D79" s="87" t="str">
        <f aca="false">VLOOKUP(C79,[1]Sheet1!$C$5:$E$205,2,0)</f>
        <v>PRAKTEK KERJA LAPANGAN</v>
      </c>
      <c r="E79" s="47" t="n">
        <f aca="false">VLOOKUP(C79,[1]Sheet1!$C$5:$E$205,3,0)</f>
        <v>2</v>
      </c>
      <c r="F79" s="50" t="s">
        <v>152</v>
      </c>
      <c r="G79" s="51"/>
      <c r="H79" s="52"/>
      <c r="I79" s="150"/>
    </row>
    <row r="80" customFormat="false" ht="12.75" hidden="false" customHeight="false" outlineLevel="0" collapsed="false">
      <c r="A80" s="47" t="n">
        <f aca="false">A79+1</f>
        <v>3</v>
      </c>
      <c r="B80" s="72"/>
      <c r="C80" s="47" t="s">
        <v>114</v>
      </c>
      <c r="D80" s="87" t="str">
        <f aca="false">VLOOKUP(C80,[1]Sheet1!$C$5:$E$205,2,0)</f>
        <v>PRA TUGAS AKHIR</v>
      </c>
      <c r="E80" s="47" t="n">
        <f aca="false">VLOOKUP(C80,[1]Sheet1!$C$5:$E$205,3,0)</f>
        <v>2</v>
      </c>
      <c r="F80" s="50" t="s">
        <v>152</v>
      </c>
      <c r="G80" s="51"/>
      <c r="H80" s="52"/>
      <c r="I80" s="150"/>
    </row>
    <row r="81" customFormat="false" ht="12.75" hidden="false" customHeight="false" outlineLevel="0" collapsed="false">
      <c r="A81" s="47" t="n">
        <v>4</v>
      </c>
      <c r="B81" s="72"/>
      <c r="C81" s="47" t="s">
        <v>134</v>
      </c>
      <c r="D81" s="87" t="str">
        <f aca="false">VLOOKUP(C81,[1]Sheet1!$C$5:$E$205,2,0)</f>
        <v>TEKNIK INTERFACING DAN SISTEM EMBEDDED</v>
      </c>
      <c r="E81" s="47" t="n">
        <f aca="false">VLOOKUP(C81,[1]Sheet1!$C$5:$E$205,3,0)</f>
        <v>3</v>
      </c>
      <c r="F81" s="50" t="s">
        <v>38</v>
      </c>
      <c r="G81" s="51" t="s">
        <v>104</v>
      </c>
      <c r="H81" s="52"/>
      <c r="I81" s="150"/>
    </row>
    <row r="82" customFormat="false" ht="12.75" hidden="false" customHeight="false" outlineLevel="0" collapsed="false">
      <c r="A82" s="47" t="n">
        <f aca="false">A81+1</f>
        <v>5</v>
      </c>
      <c r="B82" s="72"/>
      <c r="C82" s="90" t="s">
        <v>135</v>
      </c>
      <c r="D82" s="91" t="str">
        <f aca="false">VLOOKUP(C82,[1]Sheet1!$C$5:$E$205,2,0)</f>
        <v>SISTEM INFORMASI MANAJEMEN</v>
      </c>
      <c r="E82" s="90" t="n">
        <f aca="false">VLOOKUP(C82,[1]Sheet1!$C$5:$E$205,3,0)</f>
        <v>2</v>
      </c>
      <c r="F82" s="50" t="s">
        <v>75</v>
      </c>
      <c r="G82" s="51" t="s">
        <v>76</v>
      </c>
      <c r="H82" s="52"/>
      <c r="I82" s="150"/>
    </row>
    <row r="83" customFormat="false" ht="12.75" hidden="false" customHeight="false" outlineLevel="0" collapsed="false">
      <c r="A83" s="47" t="n">
        <f aca="false">A82+1</f>
        <v>6</v>
      </c>
      <c r="B83" s="72"/>
      <c r="C83" s="90" t="s">
        <v>136</v>
      </c>
      <c r="D83" s="91" t="str">
        <f aca="false">VLOOKUP(C83,[1]Sheet1!$C$5:$E$205,2,0)</f>
        <v>PRAKTIKUM ALGORITMA DAN STRUKTUR DATA</v>
      </c>
      <c r="E83" s="90" t="n">
        <f aca="false">VLOOKUP(C83,[1]Sheet1!$C$5:$E$205,3,0)</f>
        <v>1</v>
      </c>
      <c r="F83" s="177" t="s">
        <v>106</v>
      </c>
      <c r="G83" s="51"/>
      <c r="H83" s="52"/>
      <c r="I83" s="150"/>
    </row>
    <row r="84" customFormat="false" ht="12.75" hidden="false" customHeight="false" outlineLevel="0" collapsed="false">
      <c r="A84" s="47" t="n">
        <f aca="false">A83+1</f>
        <v>7</v>
      </c>
      <c r="B84" s="72"/>
      <c r="C84" s="90" t="s">
        <v>137</v>
      </c>
      <c r="D84" s="91" t="str">
        <f aca="false">VLOOKUP(C84,[1]Sheet1!$C$5:$E$205,2,0)</f>
        <v>PRAKTIKUM BASIS DATA</v>
      </c>
      <c r="E84" s="90" t="n">
        <f aca="false">VLOOKUP(C84,[1]Sheet1!$C$5:$E$205,3,0)</f>
        <v>1</v>
      </c>
      <c r="F84" s="177" t="s">
        <v>75</v>
      </c>
      <c r="G84" s="51"/>
      <c r="H84" s="52"/>
      <c r="I84" s="150"/>
    </row>
    <row r="85" customFormat="false" ht="12.75" hidden="false" customHeight="false" outlineLevel="0" collapsed="false">
      <c r="A85" s="47" t="n">
        <f aca="false">A84+1</f>
        <v>8</v>
      </c>
      <c r="B85" s="72"/>
      <c r="C85" s="90" t="s">
        <v>138</v>
      </c>
      <c r="D85" s="91" t="str">
        <f aca="false">VLOOKUP(C85,[1]Sheet1!$C$5:$E$205,2,0)</f>
        <v>PRAKTIKUM JARINGAN KOMPUTER</v>
      </c>
      <c r="E85" s="90" t="n">
        <f aca="false">VLOOKUP(C85,[1]Sheet1!$C$5:$E$205,3,0)</f>
        <v>1</v>
      </c>
      <c r="F85" s="177" t="s">
        <v>105</v>
      </c>
      <c r="G85" s="51"/>
      <c r="H85" s="52"/>
      <c r="I85" s="150"/>
    </row>
    <row r="86" customFormat="false" ht="12.75" hidden="false" customHeight="false" outlineLevel="0" collapsed="false">
      <c r="A86" s="47" t="n">
        <f aca="false">A85+1</f>
        <v>9</v>
      </c>
      <c r="B86" s="72"/>
      <c r="C86" s="47" t="s">
        <v>139</v>
      </c>
      <c r="D86" s="87" t="str">
        <f aca="false">VLOOKUP(C86,[1]Sheet1!$C$5:$E$205,2,0)</f>
        <v>MK PILIHAN III</v>
      </c>
      <c r="E86" s="47" t="n">
        <f aca="false">VLOOKUP(C86,[1]Sheet1!$C$5:$E$205,3,0)</f>
        <v>2</v>
      </c>
      <c r="F86" s="50"/>
      <c r="G86" s="51"/>
      <c r="H86" s="52"/>
      <c r="I86" s="150"/>
    </row>
    <row r="87" customFormat="false" ht="13.5" hidden="false" customHeight="false" outlineLevel="0" collapsed="false">
      <c r="A87" s="56"/>
      <c r="B87" s="72"/>
      <c r="C87" s="56"/>
      <c r="D87" s="56"/>
      <c r="E87" s="56"/>
      <c r="F87" s="57"/>
      <c r="G87" s="58"/>
      <c r="H87" s="75"/>
      <c r="I87" s="139"/>
    </row>
    <row r="88" s="5" customFormat="true" ht="14.25" hidden="false" customHeight="false" outlineLevel="0" collapsed="false">
      <c r="A88" s="178"/>
      <c r="B88" s="178"/>
      <c r="C88" s="178"/>
      <c r="D88" s="179"/>
      <c r="E88" s="180" t="n">
        <f aca="false">SUM(E81:E86)+SUM(E78:E80)</f>
        <v>16</v>
      </c>
      <c r="F88" s="181"/>
      <c r="G88" s="182"/>
      <c r="H88" s="183"/>
      <c r="I88" s="180"/>
    </row>
    <row r="89" s="5" customFormat="true" ht="13.5" hidden="false" customHeight="false" outlineLevel="0" collapsed="false">
      <c r="A89" s="109"/>
      <c r="B89" s="110" t="s">
        <v>140</v>
      </c>
      <c r="C89" s="109"/>
      <c r="D89" s="109"/>
      <c r="E89" s="109"/>
      <c r="F89" s="111"/>
      <c r="G89" s="112"/>
      <c r="H89" s="113"/>
      <c r="I89" s="166"/>
    </row>
    <row r="90" customFormat="false" ht="12.75" hidden="false" customHeight="false" outlineLevel="0" collapsed="false">
      <c r="A90" s="47" t="n">
        <v>1</v>
      </c>
      <c r="B90" s="110"/>
      <c r="C90" s="47" t="s">
        <v>141</v>
      </c>
      <c r="D90" s="87" t="str">
        <f aca="false">VLOOKUP(C90,[1]Sheet1!$C$5:$E$205,2,0)</f>
        <v>KULIAH KERJA NYATA (KKN)</v>
      </c>
      <c r="E90" s="47" t="n">
        <f aca="false">VLOOKUP(C90,[1]Sheet1!$C$5:$E$205,3,0)</f>
        <v>4</v>
      </c>
      <c r="F90" s="50" t="s">
        <v>153</v>
      </c>
      <c r="G90" s="51"/>
      <c r="H90" s="52"/>
      <c r="I90" s="150"/>
    </row>
    <row r="91" s="5" customFormat="true" ht="12.75" hidden="false" customHeight="false" outlineLevel="0" collapsed="false">
      <c r="A91" s="47" t="n">
        <f aca="false">A90+1</f>
        <v>2</v>
      </c>
      <c r="B91" s="110"/>
      <c r="C91" s="47" t="s">
        <v>142</v>
      </c>
      <c r="D91" s="87" t="str">
        <f aca="false">VLOOKUP(C91,[1]Sheet1!$C$5:$E$205,2,0)</f>
        <v>LINGKUNGAN DAN ETIKA REKAYASA</v>
      </c>
      <c r="E91" s="47" t="n">
        <f aca="false">VLOOKUP(C91,[1]Sheet1!$C$5:$E$205,3,0)</f>
        <v>2</v>
      </c>
      <c r="F91" s="50" t="s">
        <v>25</v>
      </c>
      <c r="G91" s="51"/>
      <c r="H91" s="54"/>
      <c r="I91" s="118"/>
    </row>
    <row r="92" s="5" customFormat="true" ht="12.75" hidden="false" customHeight="false" outlineLevel="0" collapsed="false">
      <c r="A92" s="47" t="n">
        <f aca="false">A91+1</f>
        <v>3</v>
      </c>
      <c r="B92" s="110"/>
      <c r="C92" s="47" t="s">
        <v>143</v>
      </c>
      <c r="D92" s="87" t="str">
        <f aca="false">VLOOKUP(C92,[1]Sheet1!$C$5:$E$205,2,0)</f>
        <v>TUGAS AKHIR</v>
      </c>
      <c r="E92" s="47" t="n">
        <f aca="false">VLOOKUP(C92,[1]Sheet1!$C$5:$E$205,3,0)</f>
        <v>4</v>
      </c>
      <c r="F92" s="50" t="s">
        <v>154</v>
      </c>
      <c r="G92" s="51"/>
      <c r="H92" s="54"/>
      <c r="I92" s="118"/>
    </row>
    <row r="93" s="5" customFormat="true" ht="12.75" hidden="false" customHeight="false" outlineLevel="0" collapsed="false">
      <c r="A93" s="116"/>
      <c r="B93" s="110"/>
      <c r="C93" s="117"/>
      <c r="D93" s="117"/>
      <c r="E93" s="118"/>
      <c r="F93" s="119"/>
      <c r="G93" s="120"/>
      <c r="H93" s="54"/>
      <c r="I93" s="118"/>
    </row>
    <row r="94" s="5" customFormat="true" ht="13.5" hidden="false" customHeight="false" outlineLevel="0" collapsed="false">
      <c r="A94" s="94"/>
      <c r="B94" s="94"/>
      <c r="C94" s="94"/>
      <c r="D94" s="94"/>
      <c r="E94" s="94" t="n">
        <f aca="false">SUM(E90:E93)</f>
        <v>10</v>
      </c>
      <c r="F94" s="95"/>
      <c r="G94" s="96"/>
      <c r="H94" s="97"/>
      <c r="I94" s="124"/>
    </row>
    <row r="95" customFormat="false" ht="13.5" hidden="false" customHeight="false" outlineLevel="0" collapsed="false">
      <c r="A95" s="125"/>
      <c r="B95" s="125"/>
      <c r="C95" s="125"/>
      <c r="D95" s="125"/>
      <c r="E95" s="125"/>
      <c r="F95" s="125"/>
      <c r="G95" s="125"/>
      <c r="H95" s="126"/>
      <c r="I95" s="126"/>
    </row>
    <row r="96" customFormat="false" ht="12.75" hidden="false" customHeight="false" outlineLevel="0" collapsed="false">
      <c r="A96" s="25"/>
      <c r="B96" s="25"/>
      <c r="C96" s="25"/>
      <c r="D96" s="25"/>
      <c r="E96" s="25"/>
      <c r="F96" s="25"/>
      <c r="G96" s="25"/>
      <c r="H96" s="26"/>
      <c r="I96" s="26"/>
    </row>
    <row r="97" customFormat="false" ht="12.75" hidden="false" customHeight="false" outlineLevel="0" collapsed="false">
      <c r="A97" s="25"/>
      <c r="B97" s="25"/>
      <c r="C97" s="25"/>
      <c r="D97" s="27" t="s">
        <v>144</v>
      </c>
      <c r="E97" s="27"/>
      <c r="F97" s="25"/>
      <c r="G97" s="25"/>
      <c r="H97" s="26"/>
      <c r="I97" s="26"/>
    </row>
    <row r="98" customFormat="false" ht="12.75" hidden="true" customHeight="false" outlineLevel="0" collapsed="false">
      <c r="A98" s="25"/>
      <c r="B98" s="25"/>
      <c r="C98" s="25"/>
      <c r="D98" s="28" t="s">
        <v>145</v>
      </c>
      <c r="E98" s="29" t="e">
        <f aca="false">E16+E28+E40+E53+#REF!+#REF!+#REF!+E94</f>
        <v>#REF!</v>
      </c>
      <c r="F98" s="25"/>
      <c r="G98" s="25"/>
      <c r="H98" s="26"/>
      <c r="I98" s="26"/>
    </row>
    <row r="99" customFormat="false" ht="12.75" hidden="true" customHeight="false" outlineLevel="0" collapsed="false">
      <c r="A99" s="25"/>
      <c r="B99" s="25"/>
      <c r="C99" s="25"/>
      <c r="D99" s="30" t="s">
        <v>146</v>
      </c>
      <c r="E99" s="31" t="e">
        <f aca="false">E94+#REF!+#REF!+#REF!+E53+E40+E28+E16</f>
        <v>#REF!</v>
      </c>
      <c r="F99" s="25"/>
      <c r="G99" s="25"/>
    </row>
    <row r="100" customFormat="false" ht="12.75" hidden="true" customHeight="false" outlineLevel="0" collapsed="false">
      <c r="A100" s="25"/>
      <c r="B100" s="25"/>
      <c r="C100" s="25"/>
      <c r="D100" s="32" t="s">
        <v>147</v>
      </c>
      <c r="E100" s="33" t="e">
        <f aca="false">E94+#REF!+#REF!+#REF!+E53+E40+E28+E16</f>
        <v>#REF!</v>
      </c>
      <c r="F100" s="25"/>
      <c r="G100" s="25"/>
      <c r="H100" s="26"/>
      <c r="I100" s="26"/>
    </row>
    <row r="101" customFormat="false" ht="12.75" hidden="false" customHeight="false" outlineLevel="0" collapsed="false">
      <c r="A101" s="25"/>
      <c r="B101" s="25"/>
      <c r="C101" s="25"/>
      <c r="D101" s="34" t="s">
        <v>148</v>
      </c>
      <c r="E101" s="35" t="n">
        <f aca="false">E94+E88+E76+E64+E53+E40+E28+E16</f>
        <v>147</v>
      </c>
      <c r="F101" s="25"/>
      <c r="G101" s="25"/>
      <c r="H101" s="26"/>
      <c r="I101" s="26"/>
    </row>
    <row r="105" customFormat="false" ht="12.75" hidden="false" customHeight="false" outlineLevel="0" collapsed="false">
      <c r="B105" s="130" t="s">
        <v>232</v>
      </c>
      <c r="C105" s="130"/>
      <c r="D105" s="130"/>
      <c r="E105" s="130"/>
    </row>
    <row r="106" customFormat="false" ht="12.75" hidden="false" customHeight="false" outlineLevel="0" collapsed="false">
      <c r="B106" s="10" t="s">
        <v>156</v>
      </c>
      <c r="C106" s="10" t="s">
        <v>5</v>
      </c>
      <c r="D106" s="10" t="s">
        <v>6</v>
      </c>
      <c r="E106" s="10" t="s">
        <v>7</v>
      </c>
    </row>
    <row r="107" customFormat="false" ht="12.75" hidden="false" customHeight="false" outlineLevel="0" collapsed="false">
      <c r="B107" s="6" t="n">
        <v>1</v>
      </c>
      <c r="C107" s="6" t="s">
        <v>233</v>
      </c>
      <c r="D107" s="132" t="s">
        <v>234</v>
      </c>
      <c r="E107" s="6" t="n">
        <v>2</v>
      </c>
      <c r="F107" s="1" t="s">
        <v>235</v>
      </c>
    </row>
    <row r="108" customFormat="false" ht="12.75" hidden="false" customHeight="false" outlineLevel="0" collapsed="false">
      <c r="B108" s="6" t="n">
        <f aca="false">B107+1</f>
        <v>2</v>
      </c>
      <c r="C108" s="6" t="s">
        <v>236</v>
      </c>
      <c r="D108" s="132" t="s">
        <v>237</v>
      </c>
      <c r="E108" s="6" t="n">
        <v>2</v>
      </c>
      <c r="F108" s="1" t="s">
        <v>187</v>
      </c>
    </row>
    <row r="109" customFormat="false" ht="12.8" hidden="false" customHeight="false" outlineLevel="0" collapsed="false">
      <c r="B109" s="6" t="n">
        <f aca="false">B108+1</f>
        <v>3</v>
      </c>
      <c r="C109" s="6" t="s">
        <v>238</v>
      </c>
      <c r="D109" s="132" t="s">
        <v>239</v>
      </c>
      <c r="E109" s="6" t="n">
        <v>2</v>
      </c>
      <c r="F109" s="1" t="s">
        <v>235</v>
      </c>
    </row>
    <row r="110" customFormat="false" ht="12.75" hidden="false" customHeight="false" outlineLevel="0" collapsed="false">
      <c r="B110" s="6" t="n">
        <f aca="false">B109+1</f>
        <v>4</v>
      </c>
      <c r="C110" s="6" t="s">
        <v>240</v>
      </c>
      <c r="D110" s="132" t="s">
        <v>241</v>
      </c>
      <c r="E110" s="6" t="n">
        <v>2</v>
      </c>
      <c r="F110" s="1" t="s">
        <v>187</v>
      </c>
    </row>
    <row r="111" customFormat="false" ht="12.75" hidden="false" customHeight="false" outlineLevel="0" collapsed="false">
      <c r="B111" s="6" t="n">
        <f aca="false">B110+1</f>
        <v>5</v>
      </c>
      <c r="C111" s="6" t="s">
        <v>242</v>
      </c>
      <c r="D111" s="132" t="s">
        <v>243</v>
      </c>
      <c r="E111" s="6" t="n">
        <v>2</v>
      </c>
      <c r="F111" s="1" t="s">
        <v>187</v>
      </c>
    </row>
    <row r="112" customFormat="false" ht="12.8" hidden="false" customHeight="false" outlineLevel="0" collapsed="false">
      <c r="B112" s="6" t="n">
        <f aca="false">B111+1</f>
        <v>6</v>
      </c>
      <c r="C112" s="6" t="s">
        <v>244</v>
      </c>
      <c r="D112" s="132" t="s">
        <v>245</v>
      </c>
      <c r="E112" s="6" t="n">
        <v>2</v>
      </c>
      <c r="F112" s="1" t="s">
        <v>235</v>
      </c>
    </row>
    <row r="113" customFormat="false" ht="12.75" hidden="false" customHeight="false" outlineLevel="0" collapsed="false">
      <c r="B113" s="6" t="n">
        <f aca="false">B112+1</f>
        <v>7</v>
      </c>
      <c r="C113" s="6" t="s">
        <v>246</v>
      </c>
      <c r="D113" s="132" t="s">
        <v>247</v>
      </c>
      <c r="E113" s="6" t="n">
        <v>2</v>
      </c>
      <c r="F113" s="1" t="s">
        <v>187</v>
      </c>
    </row>
    <row r="114" customFormat="false" ht="12.8" hidden="false" customHeight="false" outlineLevel="0" collapsed="false">
      <c r="B114" s="6" t="n">
        <f aca="false">B113+1</f>
        <v>8</v>
      </c>
      <c r="C114" s="184" t="s">
        <v>248</v>
      </c>
      <c r="D114" s="132" t="s">
        <v>199</v>
      </c>
      <c r="E114" s="184" t="n">
        <v>2</v>
      </c>
      <c r="F114" s="1" t="s">
        <v>235</v>
      </c>
    </row>
    <row r="115" customFormat="false" ht="12.75" hidden="false" customHeight="false" outlineLevel="0" collapsed="false">
      <c r="B115" s="6" t="n">
        <f aca="false">B114+1</f>
        <v>9</v>
      </c>
      <c r="C115" s="6" t="s">
        <v>249</v>
      </c>
      <c r="D115" s="132" t="s">
        <v>172</v>
      </c>
      <c r="E115" s="6" t="n">
        <v>2</v>
      </c>
      <c r="F115" s="1" t="s">
        <v>187</v>
      </c>
    </row>
    <row r="116" s="2" customFormat="true" ht="12.8" hidden="false" customHeight="false" outlineLevel="0" collapsed="false">
      <c r="A116" s="1"/>
      <c r="B116" s="6" t="n">
        <f aca="false">B115+1</f>
        <v>10</v>
      </c>
      <c r="C116" s="184" t="s">
        <v>250</v>
      </c>
      <c r="D116" s="132" t="s">
        <v>251</v>
      </c>
      <c r="E116" s="184" t="n">
        <v>2</v>
      </c>
      <c r="F116" s="1" t="s">
        <v>235</v>
      </c>
      <c r="G116" s="1"/>
    </row>
    <row r="117" s="2" customFormat="true" ht="12.8" hidden="false" customHeight="false" outlineLevel="0" collapsed="false">
      <c r="A117" s="1"/>
      <c r="B117" s="6" t="n">
        <f aca="false">B116+1</f>
        <v>11</v>
      </c>
      <c r="C117" s="6" t="s">
        <v>252</v>
      </c>
      <c r="D117" s="132" t="s">
        <v>253</v>
      </c>
      <c r="E117" s="6" t="n">
        <v>2</v>
      </c>
      <c r="F117" s="1" t="s">
        <v>235</v>
      </c>
      <c r="G117" s="1"/>
    </row>
    <row r="118" s="2" customFormat="true" ht="12.75" hidden="false" customHeight="false" outlineLevel="0" collapsed="false">
      <c r="A118" s="1"/>
      <c r="B118" s="6" t="n">
        <f aca="false">B117+1</f>
        <v>12</v>
      </c>
      <c r="C118" s="6" t="s">
        <v>254</v>
      </c>
      <c r="D118" s="132" t="s">
        <v>255</v>
      </c>
      <c r="E118" s="6" t="n">
        <v>2</v>
      </c>
      <c r="F118" s="1" t="s">
        <v>187</v>
      </c>
      <c r="G118" s="1"/>
    </row>
    <row r="119" s="2" customFormat="true" ht="12.8" hidden="false" customHeight="false" outlineLevel="0" collapsed="false">
      <c r="A119" s="1"/>
      <c r="B119" s="6" t="n">
        <f aca="false">B118+1</f>
        <v>13</v>
      </c>
      <c r="C119" s="134" t="s">
        <v>256</v>
      </c>
      <c r="D119" s="132" t="s">
        <v>257</v>
      </c>
      <c r="E119" s="134" t="n">
        <v>2</v>
      </c>
      <c r="F119" s="1" t="s">
        <v>235</v>
      </c>
      <c r="G119" s="1"/>
    </row>
    <row r="120" s="2" customFormat="true" ht="12.8" hidden="false" customHeight="false" outlineLevel="0" collapsed="false">
      <c r="A120" s="1"/>
      <c r="B120" s="6" t="n">
        <f aca="false">B119+1</f>
        <v>14</v>
      </c>
      <c r="C120" s="6" t="s">
        <v>258</v>
      </c>
      <c r="D120" s="132" t="s">
        <v>259</v>
      </c>
      <c r="E120" s="6" t="n">
        <v>2</v>
      </c>
      <c r="F120" s="1" t="s">
        <v>235</v>
      </c>
      <c r="G120" s="1"/>
    </row>
    <row r="121" s="2" customFormat="true" ht="12.8" hidden="false" customHeight="false" outlineLevel="0" collapsed="false">
      <c r="A121" s="1"/>
      <c r="B121" s="6" t="n">
        <f aca="false">B120+1</f>
        <v>15</v>
      </c>
      <c r="C121" s="9" t="s">
        <v>260</v>
      </c>
      <c r="D121" s="132" t="s">
        <v>261</v>
      </c>
      <c r="E121" s="9" t="n">
        <v>2</v>
      </c>
      <c r="F121" s="1" t="s">
        <v>235</v>
      </c>
      <c r="G121" s="1"/>
    </row>
  </sheetData>
  <mergeCells count="15">
    <mergeCell ref="A1:I1"/>
    <mergeCell ref="A2:I2"/>
    <mergeCell ref="A3:I3"/>
    <mergeCell ref="A4:I4"/>
    <mergeCell ref="F6:H6"/>
    <mergeCell ref="B7:B15"/>
    <mergeCell ref="B18:B27"/>
    <mergeCell ref="B29:B39"/>
    <mergeCell ref="B42:B52"/>
    <mergeCell ref="B55:B63"/>
    <mergeCell ref="B65:B75"/>
    <mergeCell ref="B78:B87"/>
    <mergeCell ref="B89:B93"/>
    <mergeCell ref="D97:E97"/>
    <mergeCell ref="B105:E105"/>
  </mergeCells>
  <printOptions headings="false" gridLines="false" gridLinesSet="true" horizontalCentered="true" verticalCentered="false"/>
  <pageMargins left="0.409722222222222" right="0.279861111111111" top="0.590277777777778" bottom="0.559722222222222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A1:N283"/>
  <sheetViews>
    <sheetView showFormulas="false" showGridLines="true" showRowColHeaders="true" showZeros="true" rightToLeft="false" tabSelected="false" showOutlineSymbols="true" defaultGridColor="true" view="normal" topLeftCell="A114" colorId="64" zoomScale="90" zoomScaleNormal="90" zoomScalePageLayoutView="100" workbookViewId="0">
      <selection pane="topLeft" activeCell="C121" activeCellId="1" sqref="D110:D118 C121"/>
    </sheetView>
  </sheetViews>
  <sheetFormatPr defaultRowHeight="12.7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4.86"/>
    <col collapsed="false" customWidth="true" hidden="false" outlineLevel="0" max="3" min="3" style="1" width="11.42"/>
    <col collapsed="false" customWidth="true" hidden="false" outlineLevel="0" max="4" min="4" style="1" width="45.42"/>
    <col collapsed="false" customWidth="true" hidden="false" outlineLevel="0" max="5" min="5" style="1" width="5.01"/>
    <col collapsed="false" customWidth="true" hidden="false" outlineLevel="0" max="6" min="6" style="1" width="7.71"/>
    <col collapsed="false" customWidth="true" hidden="false" outlineLevel="0" max="7" min="7" style="1" width="7.57"/>
    <col collapsed="false" customWidth="true" hidden="false" outlineLevel="0" max="8" min="8" style="2" width="9.85"/>
    <col collapsed="false" customWidth="true" hidden="false" outlineLevel="0" max="9" min="9" style="2" width="4.71"/>
    <col collapsed="false" customWidth="true" hidden="false" outlineLevel="0" max="10" min="10" style="0" width="4.43"/>
    <col collapsed="false" customWidth="true" hidden="false" outlineLevel="0" max="12" min="11" style="0" width="6.57"/>
    <col collapsed="false" customWidth="true" hidden="false" outlineLevel="0" max="13" min="13" style="0" width="4.14"/>
    <col collapsed="false" customWidth="true" hidden="false" outlineLevel="0" max="14" min="14" style="0" width="8.57"/>
    <col collapsed="false" customWidth="true" hidden="false" outlineLevel="0" max="15" min="15" style="0" width="32.42"/>
    <col collapsed="false" customWidth="true" hidden="false" outlineLevel="0" max="16" min="16" style="0" width="5.14"/>
    <col collapsed="false" customWidth="true" hidden="false" outlineLevel="0" max="1025" min="17" style="0" width="8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2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2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12.75" hidden="false" customHeight="false" outlineLevel="0" collapsed="false">
      <c r="A4" s="3" t="s">
        <v>262</v>
      </c>
      <c r="B4" s="3"/>
      <c r="C4" s="3"/>
      <c r="D4" s="3"/>
      <c r="E4" s="3"/>
      <c r="F4" s="3"/>
      <c r="G4" s="3"/>
      <c r="H4" s="3"/>
      <c r="I4" s="3"/>
    </row>
    <row r="5" customFormat="false" ht="13.5" hidden="false" customHeight="false" outlineLevel="0" collapsed="false"/>
    <row r="6" s="5" customFormat="true" ht="14.25" hidden="false" customHeight="false" outlineLevel="0" collapsed="false">
      <c r="A6" s="36" t="s">
        <v>3</v>
      </c>
      <c r="B6" s="36" t="s">
        <v>4</v>
      </c>
      <c r="C6" s="37" t="s">
        <v>5</v>
      </c>
      <c r="D6" s="38" t="s">
        <v>6</v>
      </c>
      <c r="E6" s="36" t="s">
        <v>7</v>
      </c>
      <c r="F6" s="38" t="s">
        <v>8</v>
      </c>
      <c r="G6" s="38"/>
      <c r="H6" s="38"/>
      <c r="I6" s="36" t="s">
        <v>9</v>
      </c>
    </row>
    <row r="7" customFormat="false" ht="13.5" hidden="false" customHeight="false" outlineLevel="0" collapsed="false">
      <c r="A7" s="39" t="n">
        <v>1</v>
      </c>
      <c r="B7" s="185" t="s">
        <v>10</v>
      </c>
      <c r="C7" s="39" t="s">
        <v>11</v>
      </c>
      <c r="D7" s="135" t="str">
        <f aca="false">VLOOKUP(C7,[1]Sheet1!$C$5:$E$205,2,0)</f>
        <v>PENDIDIKAN AGAMA</v>
      </c>
      <c r="E7" s="39" t="n">
        <f aca="false">VLOOKUP(C7,[1]Sheet1!$C$5:$E$205,3,0)</f>
        <v>2</v>
      </c>
      <c r="F7" s="43" t="s">
        <v>150</v>
      </c>
      <c r="G7" s="44"/>
      <c r="H7" s="45"/>
      <c r="I7" s="171"/>
    </row>
    <row r="8" customFormat="false" ht="12.75" hidden="false" customHeight="false" outlineLevel="0" collapsed="false">
      <c r="A8" s="47" t="n">
        <v>2</v>
      </c>
      <c r="B8" s="185"/>
      <c r="C8" s="47" t="s">
        <v>12</v>
      </c>
      <c r="D8" s="87" t="str">
        <f aca="false">VLOOKUP(C8,[1]Sheet1!$C$5:$E$205,2,0)</f>
        <v>PANCASILA</v>
      </c>
      <c r="E8" s="47" t="n">
        <f aca="false">VLOOKUP(C8,[1]Sheet1!$C$5:$E$205,3,0)</f>
        <v>2</v>
      </c>
      <c r="F8" s="50" t="s">
        <v>150</v>
      </c>
      <c r="G8" s="51"/>
      <c r="H8" s="52"/>
      <c r="I8" s="150"/>
    </row>
    <row r="9" customFormat="false" ht="12.75" hidden="false" customHeight="false" outlineLevel="0" collapsed="false">
      <c r="A9" s="47" t="n">
        <v>3</v>
      </c>
      <c r="B9" s="185"/>
      <c r="C9" s="47" t="s">
        <v>13</v>
      </c>
      <c r="D9" s="87" t="str">
        <f aca="false">VLOOKUP(C9,[1]Sheet1!$C$5:$E$205,2,0)</f>
        <v>BAHASA INDONESIA</v>
      </c>
      <c r="E9" s="47" t="n">
        <f aca="false">VLOOKUP(C9,[1]Sheet1!$C$5:$E$205,3,0)</f>
        <v>2</v>
      </c>
      <c r="F9" s="50" t="s">
        <v>150</v>
      </c>
      <c r="G9" s="51"/>
      <c r="H9" s="52"/>
      <c r="I9" s="150"/>
    </row>
    <row r="10" customFormat="false" ht="12.75" hidden="false" customHeight="false" outlineLevel="0" collapsed="false">
      <c r="A10" s="47" t="n">
        <v>4</v>
      </c>
      <c r="B10" s="185"/>
      <c r="C10" s="47" t="s">
        <v>14</v>
      </c>
      <c r="D10" s="87" t="str">
        <f aca="false">VLOOKUP(C10,[1]Sheet1!$C$5:$E$205,2,0)</f>
        <v>BAHASA INGGRIS I</v>
      </c>
      <c r="E10" s="47" t="n">
        <f aca="false">VLOOKUP(C10,[1]Sheet1!$C$5:$E$205,3,0)</f>
        <v>2</v>
      </c>
      <c r="F10" s="50" t="s">
        <v>150</v>
      </c>
      <c r="G10" s="51"/>
      <c r="H10" s="52"/>
      <c r="I10" s="150"/>
    </row>
    <row r="11" customFormat="false" ht="12.75" hidden="false" customHeight="false" outlineLevel="0" collapsed="false">
      <c r="A11" s="47" t="n">
        <v>5</v>
      </c>
      <c r="B11" s="185"/>
      <c r="C11" s="47" t="s">
        <v>15</v>
      </c>
      <c r="D11" s="87" t="str">
        <f aca="false">VLOOKUP(C11,[1]Sheet1!$C$5:$E$205,2,0)</f>
        <v>MATEMATIKA DASAR</v>
      </c>
      <c r="E11" s="47" t="n">
        <f aca="false">VLOOKUP(C11,[1]Sheet1!$C$5:$E$205,3,0)</f>
        <v>3</v>
      </c>
      <c r="F11" s="50" t="s">
        <v>150</v>
      </c>
      <c r="G11" s="51"/>
      <c r="H11" s="52"/>
      <c r="I11" s="150"/>
    </row>
    <row r="12" customFormat="false" ht="12.75" hidden="false" customHeight="false" outlineLevel="0" collapsed="false">
      <c r="A12" s="47" t="n">
        <v>6</v>
      </c>
      <c r="B12" s="185"/>
      <c r="C12" s="47" t="s">
        <v>16</v>
      </c>
      <c r="D12" s="87" t="str">
        <f aca="false">VLOOKUP(C12,[1]Sheet1!$C$5:$E$205,2,0)</f>
        <v>FISIKA DASAR</v>
      </c>
      <c r="E12" s="47" t="n">
        <f aca="false">VLOOKUP(C12,[1]Sheet1!$C$5:$E$205,3,0)</f>
        <v>3</v>
      </c>
      <c r="F12" s="50" t="s">
        <v>150</v>
      </c>
      <c r="G12" s="51"/>
      <c r="H12" s="52"/>
      <c r="I12" s="150"/>
    </row>
    <row r="13" customFormat="false" ht="12.75" hidden="false" customHeight="false" outlineLevel="0" collapsed="false">
      <c r="A13" s="47" t="n">
        <v>7</v>
      </c>
      <c r="B13" s="185"/>
      <c r="C13" s="47" t="s">
        <v>17</v>
      </c>
      <c r="D13" s="87" t="str">
        <f aca="false">VLOOKUP(C13,[1]Sheet1!$C$5:$E$205,2,0)</f>
        <v>KIMIA DASAR</v>
      </c>
      <c r="E13" s="47" t="n">
        <f aca="false">VLOOKUP(C13,[1]Sheet1!$C$5:$E$205,3,0)</f>
        <v>3</v>
      </c>
      <c r="F13" s="50" t="s">
        <v>150</v>
      </c>
      <c r="G13" s="51"/>
      <c r="H13" s="52"/>
      <c r="I13" s="150"/>
    </row>
    <row r="14" s="5" customFormat="true" ht="12.75" hidden="false" customHeight="false" outlineLevel="0" collapsed="false">
      <c r="A14" s="186" t="n">
        <v>8</v>
      </c>
      <c r="B14" s="185"/>
      <c r="C14" s="186" t="s">
        <v>18</v>
      </c>
      <c r="D14" s="187" t="str">
        <f aca="false">VLOOKUP(C14,[1]Sheet1!$C$5:$E$205,2,0)</f>
        <v>BIOLOGI UMUM</v>
      </c>
      <c r="E14" s="186" t="n">
        <f aca="false">VLOOKUP(C14,[1]Sheet1!$C$5:$E$205,3,0)</f>
        <v>3</v>
      </c>
      <c r="F14" s="188" t="s">
        <v>150</v>
      </c>
      <c r="G14" s="189"/>
      <c r="H14" s="190"/>
      <c r="I14" s="191"/>
    </row>
    <row r="15" s="13" customFormat="true" ht="13.5" hidden="false" customHeight="false" outlineLevel="0" collapsed="false">
      <c r="A15" s="192"/>
      <c r="B15" s="192"/>
      <c r="C15" s="192"/>
      <c r="D15" s="192"/>
      <c r="E15" s="193" t="n">
        <f aca="false">SUM(E7:E14)</f>
        <v>20</v>
      </c>
      <c r="F15" s="194"/>
      <c r="G15" s="195"/>
      <c r="H15" s="196"/>
      <c r="I15" s="197"/>
    </row>
    <row r="16" s="5" customFormat="true" ht="13.5" hidden="false" customHeight="false" outlineLevel="0" collapsed="false">
      <c r="A16" s="47" t="n">
        <v>1</v>
      </c>
      <c r="B16" s="89" t="s">
        <v>19</v>
      </c>
      <c r="C16" s="47" t="s">
        <v>20</v>
      </c>
      <c r="D16" s="87" t="str">
        <f aca="false">VLOOKUP(C16,[1]Sheet1!$C$5:$E$205,2,0)</f>
        <v>KEWARGANEGARAAN</v>
      </c>
      <c r="E16" s="47" t="n">
        <f aca="false">VLOOKUP(C16,[1]Sheet1!$C$5:$E$205,3,0)</f>
        <v>2</v>
      </c>
      <c r="F16" s="50" t="s">
        <v>12</v>
      </c>
      <c r="G16" s="51"/>
      <c r="H16" s="54"/>
      <c r="I16" s="118"/>
    </row>
    <row r="17" customFormat="false" ht="12.75" hidden="false" customHeight="false" outlineLevel="0" collapsed="false">
      <c r="A17" s="47" t="n">
        <f aca="false">A16+1</f>
        <v>2</v>
      </c>
      <c r="B17" s="89"/>
      <c r="C17" s="47" t="s">
        <v>21</v>
      </c>
      <c r="D17" s="87" t="str">
        <f aca="false">VLOOKUP(C17,[1]Sheet1!$C$5:$E$205,2,0)</f>
        <v>BAHASA INGGRIS II</v>
      </c>
      <c r="E17" s="47" t="n">
        <f aca="false">VLOOKUP(C17,[1]Sheet1!$C$5:$E$205,3,0)</f>
        <v>2</v>
      </c>
      <c r="F17" s="50" t="s">
        <v>14</v>
      </c>
      <c r="G17" s="51"/>
      <c r="H17" s="52"/>
      <c r="I17" s="150"/>
    </row>
    <row r="18" s="5" customFormat="true" ht="12.75" hidden="false" customHeight="false" outlineLevel="0" collapsed="false">
      <c r="A18" s="47" t="n">
        <f aca="false">A17+1</f>
        <v>3</v>
      </c>
      <c r="B18" s="89"/>
      <c r="C18" s="47" t="s">
        <v>22</v>
      </c>
      <c r="D18" s="87" t="str">
        <f aca="false">VLOOKUP(C18,[1]Sheet1!$C$5:$E$205,2,0)</f>
        <v>KEWIRAUSAHAAN</v>
      </c>
      <c r="E18" s="47" t="n">
        <f aca="false">VLOOKUP(C18,[1]Sheet1!$C$5:$E$205,3,0)</f>
        <v>2</v>
      </c>
      <c r="F18" s="50" t="s">
        <v>150</v>
      </c>
      <c r="G18" s="51"/>
      <c r="H18" s="54"/>
      <c r="I18" s="118"/>
    </row>
    <row r="19" customFormat="false" ht="12.75" hidden="false" customHeight="false" outlineLevel="0" collapsed="false">
      <c r="A19" s="47" t="n">
        <f aca="false">A18+1</f>
        <v>4</v>
      </c>
      <c r="B19" s="89"/>
      <c r="C19" s="47" t="s">
        <v>23</v>
      </c>
      <c r="D19" s="87" t="str">
        <f aca="false">VLOOKUP(C19,[1]Sheet1!$C$5:$E$205,2,0)</f>
        <v>ILMU SOSIAL DAN BUDAYA DASAR</v>
      </c>
      <c r="E19" s="47" t="n">
        <f aca="false">VLOOKUP(C19,[1]Sheet1!$C$5:$E$205,3,0)</f>
        <v>2</v>
      </c>
      <c r="F19" s="50" t="s">
        <v>150</v>
      </c>
      <c r="G19" s="51"/>
      <c r="H19" s="52"/>
      <c r="I19" s="150"/>
    </row>
    <row r="20" s="5" customFormat="true" ht="12.75" hidden="false" customHeight="false" outlineLevel="0" collapsed="false">
      <c r="A20" s="47" t="n">
        <f aca="false">A19+1</f>
        <v>5</v>
      </c>
      <c r="B20" s="89"/>
      <c r="C20" s="47" t="s">
        <v>24</v>
      </c>
      <c r="D20" s="87" t="str">
        <f aca="false">VLOOKUP(C20,[1]Sheet1!$C$5:$E$205,2,0)</f>
        <v>RANGKAIAN LOGIKA</v>
      </c>
      <c r="E20" s="47" t="n">
        <f aca="false">VLOOKUP(C20,[1]Sheet1!$C$5:$E$205,3,0)</f>
        <v>2</v>
      </c>
      <c r="F20" s="50" t="s">
        <v>150</v>
      </c>
      <c r="G20" s="51"/>
      <c r="H20" s="54"/>
      <c r="I20" s="118"/>
    </row>
    <row r="21" customFormat="false" ht="12.75" hidden="false" customHeight="false" outlineLevel="0" collapsed="false">
      <c r="A21" s="47" t="n">
        <f aca="false">A20+1</f>
        <v>6</v>
      </c>
      <c r="B21" s="89"/>
      <c r="C21" s="47" t="s">
        <v>25</v>
      </c>
      <c r="D21" s="87" t="str">
        <f aca="false">VLOOKUP(C21,[1]Sheet1!$C$5:$E$205,2,0)</f>
        <v>KONSEP SAINS DAN TEKNOLOGI</v>
      </c>
      <c r="E21" s="47" t="n">
        <f aca="false">VLOOKUP(C21,[1]Sheet1!$C$5:$E$205,3,0)</f>
        <v>2</v>
      </c>
      <c r="F21" s="50" t="s">
        <v>150</v>
      </c>
      <c r="G21" s="51"/>
      <c r="H21" s="52"/>
      <c r="I21" s="150"/>
    </row>
    <row r="22" s="5" customFormat="true" ht="12.75" hidden="false" customHeight="false" outlineLevel="0" collapsed="false">
      <c r="A22" s="47" t="n">
        <f aca="false">A21+1</f>
        <v>7</v>
      </c>
      <c r="B22" s="89"/>
      <c r="C22" s="47" t="s">
        <v>26</v>
      </c>
      <c r="D22" s="87" t="str">
        <f aca="false">VLOOKUP(C22,[1]Sheet1!$C$5:$E$205,2,0)</f>
        <v>DASAR TELEKOMUNIKASI</v>
      </c>
      <c r="E22" s="47" t="n">
        <f aca="false">VLOOKUP(C22,[1]Sheet1!$C$5:$E$205,3,0)</f>
        <v>3</v>
      </c>
      <c r="F22" s="50" t="s">
        <v>150</v>
      </c>
      <c r="G22" s="51"/>
      <c r="H22" s="54"/>
      <c r="I22" s="118"/>
    </row>
    <row r="23" s="5" customFormat="true" ht="12.75" hidden="false" customHeight="false" outlineLevel="0" collapsed="false">
      <c r="A23" s="47" t="n">
        <f aca="false">A22+1</f>
        <v>8</v>
      </c>
      <c r="B23" s="89"/>
      <c r="C23" s="47" t="s">
        <v>27</v>
      </c>
      <c r="D23" s="87" t="str">
        <f aca="false">VLOOKUP(C23,[1]Sheet1!$C$5:$E$205,2,0)</f>
        <v>FISIKA II / FISIKA LANJUT</v>
      </c>
      <c r="E23" s="47" t="n">
        <f aca="false">VLOOKUP(C23,[1]Sheet1!$C$5:$E$205,3,0)</f>
        <v>3</v>
      </c>
      <c r="F23" s="50" t="s">
        <v>16</v>
      </c>
      <c r="G23" s="51"/>
      <c r="H23" s="54"/>
      <c r="I23" s="118"/>
    </row>
    <row r="24" customFormat="false" ht="12.75" hidden="false" customHeight="false" outlineLevel="0" collapsed="false">
      <c r="A24" s="47" t="n">
        <f aca="false">A23+1</f>
        <v>9</v>
      </c>
      <c r="B24" s="89"/>
      <c r="C24" s="47" t="s">
        <v>28</v>
      </c>
      <c r="D24" s="87" t="str">
        <f aca="false">VLOOKUP(C24,[1]Sheet1!$C$5:$E$205,2,0)</f>
        <v>KALKULUS II / MATEMATIKA LANJUT</v>
      </c>
      <c r="E24" s="47" t="n">
        <f aca="false">VLOOKUP(C24,[1]Sheet1!$C$5:$E$205,3,0)</f>
        <v>2</v>
      </c>
      <c r="F24" s="50" t="s">
        <v>15</v>
      </c>
      <c r="G24" s="51"/>
      <c r="H24" s="52"/>
      <c r="I24" s="150"/>
      <c r="N24" s="16"/>
    </row>
    <row r="25" customFormat="false" ht="12.75" hidden="false" customHeight="false" outlineLevel="0" collapsed="false">
      <c r="A25" s="186" t="n">
        <f aca="false">A24+1</f>
        <v>10</v>
      </c>
      <c r="B25" s="89"/>
      <c r="C25" s="186" t="s">
        <v>29</v>
      </c>
      <c r="D25" s="187" t="str">
        <f aca="false">VLOOKUP(C25,[1]Sheet1!$C$5:$E$205,2,0)</f>
        <v>PRAKTIKUM DASAR TELEKOMUNIKASI</v>
      </c>
      <c r="E25" s="186" t="n">
        <f aca="false">VLOOKUP(C25,[1]Sheet1!$C$5:$E$205,3,0)</f>
        <v>1</v>
      </c>
      <c r="F25" s="188" t="s">
        <v>151</v>
      </c>
      <c r="G25" s="189" t="s">
        <v>26</v>
      </c>
      <c r="H25" s="198"/>
      <c r="I25" s="199"/>
      <c r="N25" s="16"/>
    </row>
    <row r="26" s="5" customFormat="true" ht="13.5" hidden="false" customHeight="false" outlineLevel="0" collapsed="false">
      <c r="A26" s="193"/>
      <c r="B26" s="193"/>
      <c r="C26" s="193"/>
      <c r="D26" s="192"/>
      <c r="E26" s="193" t="n">
        <f aca="false">SUM(E16:E25)</f>
        <v>21</v>
      </c>
      <c r="F26" s="194"/>
      <c r="G26" s="195"/>
      <c r="H26" s="196"/>
      <c r="I26" s="197"/>
      <c r="N26" s="16"/>
    </row>
    <row r="27" customFormat="false" ht="13.5" hidden="false" customHeight="false" outlineLevel="0" collapsed="false">
      <c r="A27" s="109" t="n">
        <v>1</v>
      </c>
      <c r="B27" s="200" t="s">
        <v>30</v>
      </c>
      <c r="C27" s="109" t="s">
        <v>31</v>
      </c>
      <c r="D27" s="201" t="str">
        <f aca="false">VLOOKUP(C27,[1]Sheet1!$C$5:$E$205,2,0)</f>
        <v>MATEMATIKA TEKNIK I</v>
      </c>
      <c r="E27" s="109" t="n">
        <f aca="false">VLOOKUP(C27,[1]Sheet1!$C$5:$E$205,3,0)</f>
        <v>3</v>
      </c>
      <c r="F27" s="111" t="str">
        <f aca="false">C24</f>
        <v>ES1211</v>
      </c>
      <c r="G27" s="112"/>
      <c r="H27" s="202"/>
      <c r="I27" s="203"/>
      <c r="N27" s="16"/>
    </row>
    <row r="28" customFormat="false" ht="12.75" hidden="false" customHeight="false" outlineLevel="0" collapsed="false">
      <c r="A28" s="47" t="n">
        <f aca="false">A27+1</f>
        <v>2</v>
      </c>
      <c r="B28" s="200"/>
      <c r="C28" s="47" t="s">
        <v>32</v>
      </c>
      <c r="D28" s="87" t="str">
        <f aca="false">VLOOKUP(C28,[1]Sheet1!$C$5:$E$205,2,0)</f>
        <v>DASAR TEKNOLOGI INFORMASI</v>
      </c>
      <c r="E28" s="47" t="n">
        <f aca="false">VLOOKUP(C28,[1]Sheet1!$C$5:$E$205,3,0)</f>
        <v>3</v>
      </c>
      <c r="F28" s="50" t="s">
        <v>150</v>
      </c>
      <c r="G28" s="51"/>
      <c r="H28" s="52"/>
      <c r="I28" s="150"/>
      <c r="N28" s="16"/>
    </row>
    <row r="29" customFormat="false" ht="12.75" hidden="false" customHeight="false" outlineLevel="0" collapsed="false">
      <c r="A29" s="47" t="n">
        <f aca="false">A28+1</f>
        <v>3</v>
      </c>
      <c r="B29" s="200"/>
      <c r="C29" s="47" t="s">
        <v>33</v>
      </c>
      <c r="D29" s="87" t="str">
        <f aca="false">VLOOKUP(C29,[1]Sheet1!$C$5:$E$205,2,0)</f>
        <v>RANGKAIAN LISTRIK I</v>
      </c>
      <c r="E29" s="47" t="n">
        <f aca="false">VLOOKUP(C29,[1]Sheet1!$C$5:$E$205,3,0)</f>
        <v>3</v>
      </c>
      <c r="F29" s="50" t="str">
        <f aca="false">C23</f>
        <v>ES1210</v>
      </c>
      <c r="G29" s="51"/>
      <c r="H29" s="52"/>
      <c r="I29" s="150"/>
      <c r="N29" s="16"/>
    </row>
    <row r="30" customFormat="false" ht="12.75" hidden="false" customHeight="false" outlineLevel="0" collapsed="false">
      <c r="A30" s="47" t="n">
        <f aca="false">A29+1</f>
        <v>4</v>
      </c>
      <c r="B30" s="200"/>
      <c r="C30" s="47" t="s">
        <v>34</v>
      </c>
      <c r="D30" s="87" t="str">
        <f aca="false">VLOOKUP(C30,[1]Sheet1!$C$5:$E$205,2,0)</f>
        <v>PENGUKURAN BESARAN LISTRIK</v>
      </c>
      <c r="E30" s="47" t="n">
        <f aca="false">VLOOKUP(C30,[1]Sheet1!$C$5:$E$205,3,0)</f>
        <v>2</v>
      </c>
      <c r="F30" s="50" t="s">
        <v>27</v>
      </c>
      <c r="G30" s="51"/>
      <c r="H30" s="52"/>
      <c r="I30" s="150"/>
      <c r="N30" s="16"/>
    </row>
    <row r="31" customFormat="false" ht="12.75" hidden="false" customHeight="false" outlineLevel="0" collapsed="false">
      <c r="A31" s="47" t="n">
        <f aca="false">A30+1</f>
        <v>5</v>
      </c>
      <c r="B31" s="200"/>
      <c r="C31" s="47" t="s">
        <v>35</v>
      </c>
      <c r="D31" s="87" t="str">
        <f aca="false">VLOOKUP(C31,[1]Sheet1!$C$5:$E$205,2,0)</f>
        <v>PRAKTIKUM PENGUKURAN BESARAN LISTRIK</v>
      </c>
      <c r="E31" s="47" t="n">
        <f aca="false">VLOOKUP(C31,[1]Sheet1!$C$5:$E$205,3,0)</f>
        <v>1</v>
      </c>
      <c r="F31" s="50" t="s">
        <v>151</v>
      </c>
      <c r="G31" s="51" t="str">
        <f aca="false">C30</f>
        <v>ES2122</v>
      </c>
      <c r="H31" s="52"/>
      <c r="I31" s="150"/>
      <c r="N31" s="16"/>
    </row>
    <row r="32" customFormat="false" ht="12.75" hidden="false" customHeight="false" outlineLevel="0" collapsed="false">
      <c r="A32" s="47" t="n">
        <f aca="false">A31+1</f>
        <v>6</v>
      </c>
      <c r="B32" s="200"/>
      <c r="C32" s="47" t="s">
        <v>36</v>
      </c>
      <c r="D32" s="87" t="str">
        <f aca="false">VLOOKUP(C32,[1]Sheet1!$C$5:$E$205,2,0)</f>
        <v>DASAR ELEKTRONIKA</v>
      </c>
      <c r="E32" s="47" t="n">
        <f aca="false">VLOOKUP(C32,[1]Sheet1!$C$5:$E$205,3,0)</f>
        <v>3</v>
      </c>
      <c r="F32" s="50" t="s">
        <v>33</v>
      </c>
      <c r="G32" s="51"/>
      <c r="H32" s="52"/>
      <c r="I32" s="150"/>
    </row>
    <row r="33" customFormat="false" ht="12.75" hidden="false" customHeight="false" outlineLevel="0" collapsed="false">
      <c r="A33" s="47" t="n">
        <f aca="false">A32+1</f>
        <v>7</v>
      </c>
      <c r="B33" s="200"/>
      <c r="C33" s="47" t="s">
        <v>37</v>
      </c>
      <c r="D33" s="87" t="str">
        <f aca="false">VLOOKUP(C33,[1]Sheet1!$C$5:$E$205,2,0)</f>
        <v>DASAR TENAGA LISTRIK</v>
      </c>
      <c r="E33" s="47" t="n">
        <f aca="false">VLOOKUP(C33,[1]Sheet1!$C$5:$E$205,3,0)</f>
        <v>3</v>
      </c>
      <c r="F33" s="50" t="s">
        <v>33</v>
      </c>
      <c r="G33" s="51"/>
      <c r="H33" s="52"/>
      <c r="I33" s="150"/>
    </row>
    <row r="34" s="16" customFormat="true" ht="12.75" hidden="false" customHeight="false" outlineLevel="0" collapsed="false">
      <c r="A34" s="47" t="n">
        <f aca="false">A33+1</f>
        <v>8</v>
      </c>
      <c r="B34" s="200"/>
      <c r="C34" s="47" t="s">
        <v>38</v>
      </c>
      <c r="D34" s="87" t="str">
        <f aca="false">VLOOKUP(C34,[1]Sheet1!$C$5:$E$205,2,0)</f>
        <v>ALGORITMA DAN PEMROGRAMAN</v>
      </c>
      <c r="E34" s="47" t="n">
        <f aca="false">VLOOKUP(C34,[1]Sheet1!$C$5:$E$205,3,0)</f>
        <v>2</v>
      </c>
      <c r="F34" s="50" t="str">
        <f aca="false">C20</f>
        <v>ES1213</v>
      </c>
      <c r="G34" s="51"/>
      <c r="H34" s="86"/>
      <c r="I34" s="47"/>
      <c r="N34" s="5"/>
    </row>
    <row r="35" s="5" customFormat="true" ht="12.75" hidden="false" customHeight="false" outlineLevel="0" collapsed="false">
      <c r="A35" s="186" t="n">
        <f aca="false">A34+1</f>
        <v>9</v>
      </c>
      <c r="B35" s="200"/>
      <c r="C35" s="186" t="s">
        <v>39</v>
      </c>
      <c r="D35" s="187" t="str">
        <f aca="false">VLOOKUP(C35,[1]Sheet1!$C$5:$E$205,2,0)</f>
        <v>PRAKTIKUM RANGKAIAN LOGIKA</v>
      </c>
      <c r="E35" s="186" t="n">
        <f aca="false">VLOOKUP(C35,[1]Sheet1!$C$5:$E$205,3,0)</f>
        <v>1</v>
      </c>
      <c r="F35" s="188" t="s">
        <v>24</v>
      </c>
      <c r="G35" s="189"/>
      <c r="H35" s="190"/>
      <c r="I35" s="191"/>
      <c r="N35" s="16"/>
    </row>
    <row r="36" s="5" customFormat="true" ht="13.5" hidden="false" customHeight="false" outlineLevel="0" collapsed="false">
      <c r="A36" s="193"/>
      <c r="B36" s="193"/>
      <c r="C36" s="193"/>
      <c r="D36" s="192"/>
      <c r="E36" s="193" t="n">
        <f aca="false">SUM(E27:E35)</f>
        <v>21</v>
      </c>
      <c r="F36" s="194"/>
      <c r="G36" s="195"/>
      <c r="H36" s="196"/>
      <c r="I36" s="197"/>
    </row>
    <row r="37" s="16" customFormat="true" ht="13.5" hidden="false" customHeight="false" outlineLevel="0" collapsed="false">
      <c r="A37" s="47" t="n">
        <v>1</v>
      </c>
      <c r="B37" s="89" t="s">
        <v>40</v>
      </c>
      <c r="C37" s="47" t="s">
        <v>41</v>
      </c>
      <c r="D37" s="87" t="str">
        <f aca="false">VLOOKUP(C37,[1]Sheet1!$C$5:$E$205,2,0)</f>
        <v>PRAKTKUM ALGORITMA DAN PEMROGRAMAN</v>
      </c>
      <c r="E37" s="47" t="n">
        <f aca="false">VLOOKUP(C37,[1]Sheet1!$C$5:$E$205,3,0)</f>
        <v>1</v>
      </c>
      <c r="F37" s="50" t="s">
        <v>38</v>
      </c>
      <c r="G37" s="51"/>
      <c r="H37" s="86"/>
      <c r="I37" s="47"/>
    </row>
    <row r="38" s="16" customFormat="true" ht="12.75" hidden="false" customHeight="false" outlineLevel="0" collapsed="false">
      <c r="A38" s="47" t="n">
        <f aca="false">A37+1</f>
        <v>2</v>
      </c>
      <c r="B38" s="89"/>
      <c r="C38" s="47" t="s">
        <v>42</v>
      </c>
      <c r="D38" s="87" t="str">
        <f aca="false">VLOOKUP(C38,[1]Sheet1!$C$5:$E$205,2,0)</f>
        <v>MATEMATIKA TEKNIK II</v>
      </c>
      <c r="E38" s="47" t="n">
        <f aca="false">VLOOKUP(C38,[1]Sheet1!$C$5:$E$205,3,0)</f>
        <v>3</v>
      </c>
      <c r="F38" s="50" t="s">
        <v>31</v>
      </c>
      <c r="G38" s="51"/>
      <c r="H38" s="86"/>
      <c r="I38" s="47"/>
    </row>
    <row r="39" s="16" customFormat="true" ht="12.75" hidden="false" customHeight="false" outlineLevel="0" collapsed="false">
      <c r="A39" s="47" t="n">
        <f aca="false">A38+1</f>
        <v>3</v>
      </c>
      <c r="B39" s="89"/>
      <c r="C39" s="47" t="s">
        <v>43</v>
      </c>
      <c r="D39" s="87" t="str">
        <f aca="false">VLOOKUP(C39,[1]Sheet1!$C$5:$E$205,2,0)</f>
        <v>SINYAL DAN SISTEM</v>
      </c>
      <c r="E39" s="47" t="n">
        <f aca="false">VLOOKUP(C39,[1]Sheet1!$C$5:$E$205,3,0)</f>
        <v>3</v>
      </c>
      <c r="F39" s="50" t="s">
        <v>42</v>
      </c>
      <c r="G39" s="51"/>
      <c r="H39" s="86"/>
      <c r="I39" s="47"/>
    </row>
    <row r="40" s="16" customFormat="true" ht="12.75" hidden="false" customHeight="false" outlineLevel="0" collapsed="false">
      <c r="A40" s="47" t="n">
        <f aca="false">A39+1</f>
        <v>4</v>
      </c>
      <c r="B40" s="89"/>
      <c r="C40" s="47" t="s">
        <v>44</v>
      </c>
      <c r="D40" s="87" t="str">
        <f aca="false">VLOOKUP(C40,[1]Sheet1!$C$5:$E$205,2,0)</f>
        <v>BAHAN LISTRIK</v>
      </c>
      <c r="E40" s="47" t="n">
        <f aca="false">VLOOKUP(C40,[1]Sheet1!$C$5:$E$205,3,0)</f>
        <v>2</v>
      </c>
      <c r="F40" s="50" t="s">
        <v>16</v>
      </c>
      <c r="G40" s="51"/>
      <c r="H40" s="86"/>
      <c r="I40" s="47"/>
    </row>
    <row r="41" s="16" customFormat="true" ht="12.75" hidden="false" customHeight="false" outlineLevel="0" collapsed="false">
      <c r="A41" s="47" t="n">
        <f aca="false">A40+1</f>
        <v>5</v>
      </c>
      <c r="B41" s="89"/>
      <c r="C41" s="47" t="s">
        <v>45</v>
      </c>
      <c r="D41" s="87" t="str">
        <f aca="false">VLOOKUP(C41,[1]Sheet1!$C$5:$E$205,2,0)</f>
        <v>PROBABILITAS DAN STATISTIK</v>
      </c>
      <c r="E41" s="47" t="n">
        <f aca="false">VLOOKUP(C41,[1]Sheet1!$C$5:$E$205,3,0)</f>
        <v>2</v>
      </c>
      <c r="F41" s="50" t="s">
        <v>31</v>
      </c>
      <c r="G41" s="51"/>
      <c r="H41" s="86"/>
      <c r="I41" s="47"/>
    </row>
    <row r="42" s="16" customFormat="true" ht="12.75" hidden="false" customHeight="false" outlineLevel="0" collapsed="false">
      <c r="A42" s="47" t="n">
        <f aca="false">A41+1</f>
        <v>6</v>
      </c>
      <c r="B42" s="89"/>
      <c r="C42" s="47" t="s">
        <v>46</v>
      </c>
      <c r="D42" s="87" t="str">
        <f aca="false">VLOOKUP(C42,[1]Sheet1!$C$5:$E$205,2,0)</f>
        <v>METODE NUMERIK</v>
      </c>
      <c r="E42" s="47" t="n">
        <f aca="false">VLOOKUP(C42,[1]Sheet1!$C$5:$E$205,3,0)</f>
        <v>2</v>
      </c>
      <c r="F42" s="50" t="s">
        <v>31</v>
      </c>
      <c r="G42" s="51"/>
      <c r="H42" s="86"/>
      <c r="I42" s="47"/>
    </row>
    <row r="43" s="16" customFormat="true" ht="12.75" hidden="false" customHeight="false" outlineLevel="0" collapsed="false">
      <c r="A43" s="47" t="n">
        <f aca="false">A42+1</f>
        <v>7</v>
      </c>
      <c r="B43" s="89"/>
      <c r="C43" s="47" t="s">
        <v>47</v>
      </c>
      <c r="D43" s="87" t="str">
        <f aca="false">VLOOKUP(C43,[1]Sheet1!$C$5:$E$205,2,0)</f>
        <v>RANGKAIAN LISTRIK II</v>
      </c>
      <c r="E43" s="47" t="n">
        <f aca="false">VLOOKUP(C43,[1]Sheet1!$C$5:$E$205,3,0)</f>
        <v>3</v>
      </c>
      <c r="F43" s="50" t="s">
        <v>33</v>
      </c>
      <c r="G43" s="51"/>
      <c r="H43" s="86"/>
      <c r="I43" s="47"/>
    </row>
    <row r="44" s="16" customFormat="true" ht="12.75" hidden="false" customHeight="false" outlineLevel="0" collapsed="false">
      <c r="A44" s="47" t="n">
        <f aca="false">A43+1</f>
        <v>8</v>
      </c>
      <c r="B44" s="89"/>
      <c r="C44" s="47" t="s">
        <v>48</v>
      </c>
      <c r="D44" s="87" t="str">
        <f aca="false">VLOOKUP(C44,[1]Sheet1!$C$5:$E$205,2,0)</f>
        <v>ELEKTROMAGNETIK</v>
      </c>
      <c r="E44" s="47" t="n">
        <f aca="false">VLOOKUP(C44,[1]Sheet1!$C$5:$E$205,3,0)</f>
        <v>3</v>
      </c>
      <c r="F44" s="50" t="s">
        <v>27</v>
      </c>
      <c r="G44" s="51" t="s">
        <v>28</v>
      </c>
      <c r="H44" s="86"/>
      <c r="I44" s="47"/>
    </row>
    <row r="45" s="16" customFormat="true" ht="12.75" hidden="false" customHeight="false" outlineLevel="0" collapsed="false">
      <c r="A45" s="47" t="n">
        <f aca="false">A44+1</f>
        <v>9</v>
      </c>
      <c r="B45" s="89"/>
      <c r="C45" s="47" t="s">
        <v>49</v>
      </c>
      <c r="D45" s="87" t="str">
        <f aca="false">VLOOKUP(C45,[1]Sheet1!$C$5:$E$205,2,0)</f>
        <v>PRAKTIKUM DASAR ELEKTRONIKA</v>
      </c>
      <c r="E45" s="47" t="n">
        <f aca="false">VLOOKUP(C45,[1]Sheet1!$C$5:$E$205,3,0)</f>
        <v>1</v>
      </c>
      <c r="F45" s="50" t="s">
        <v>36</v>
      </c>
      <c r="G45" s="51"/>
      <c r="H45" s="86"/>
      <c r="I45" s="47"/>
    </row>
    <row r="46" s="16" customFormat="true" ht="12.75" hidden="false" customHeight="false" outlineLevel="0" collapsed="false">
      <c r="A46" s="186" t="n">
        <f aca="false">A45+1</f>
        <v>10</v>
      </c>
      <c r="B46" s="89"/>
      <c r="C46" s="186" t="s">
        <v>50</v>
      </c>
      <c r="D46" s="187" t="str">
        <f aca="false">VLOOKUP(C46,[1]Sheet1!$C$5:$E$205,2,0)</f>
        <v>PRAKTIKUM DASAR TENAGA LISTRIK</v>
      </c>
      <c r="E46" s="186" t="n">
        <f aca="false">VLOOKUP(C46,[1]Sheet1!$C$5:$E$205,3,0)</f>
        <v>1</v>
      </c>
      <c r="F46" s="188" t="s">
        <v>37</v>
      </c>
      <c r="G46" s="189"/>
      <c r="H46" s="204"/>
      <c r="I46" s="186"/>
    </row>
    <row r="47" s="5" customFormat="true" ht="13.5" hidden="false" customHeight="false" outlineLevel="0" collapsed="false">
      <c r="A47" s="193"/>
      <c r="B47" s="193"/>
      <c r="C47" s="193"/>
      <c r="D47" s="192"/>
      <c r="E47" s="193" t="n">
        <f aca="false">SUM(E37:E46)</f>
        <v>21</v>
      </c>
      <c r="F47" s="194"/>
      <c r="G47" s="195"/>
      <c r="H47" s="196"/>
      <c r="I47" s="197"/>
    </row>
    <row r="48" s="5" customFormat="true" ht="13.5" hidden="false" customHeight="false" outlineLevel="0" collapsed="false">
      <c r="A48" s="125"/>
      <c r="B48" s="125"/>
      <c r="C48" s="125"/>
      <c r="D48" s="205"/>
      <c r="E48" s="125"/>
      <c r="F48" s="83"/>
      <c r="G48" s="83"/>
      <c r="H48" s="206"/>
      <c r="I48" s="207"/>
    </row>
    <row r="49" s="5" customFormat="true" ht="12.75" hidden="false" customHeight="false" outlineLevel="0" collapsed="false">
      <c r="A49" s="25"/>
      <c r="B49" s="25"/>
      <c r="C49" s="25"/>
      <c r="D49" s="208"/>
      <c r="E49" s="25"/>
      <c r="F49" s="69"/>
      <c r="G49" s="69"/>
      <c r="H49" s="209"/>
      <c r="I49" s="3"/>
    </row>
    <row r="50" s="5" customFormat="true" ht="12.75" hidden="false" customHeight="false" outlineLevel="0" collapsed="false">
      <c r="A50" s="3" t="s">
        <v>0</v>
      </c>
      <c r="B50" s="3"/>
      <c r="C50" s="3"/>
      <c r="D50" s="3"/>
      <c r="E50" s="3"/>
      <c r="F50" s="3"/>
      <c r="G50" s="3"/>
      <c r="H50" s="3"/>
      <c r="I50" s="3"/>
    </row>
    <row r="51" s="5" customFormat="true" ht="12.75" hidden="false" customHeight="false" outlineLevel="0" collapsed="false">
      <c r="A51" s="3" t="s">
        <v>263</v>
      </c>
      <c r="B51" s="3"/>
      <c r="C51" s="3"/>
      <c r="D51" s="3"/>
      <c r="E51" s="3"/>
      <c r="F51" s="3"/>
      <c r="G51" s="3"/>
      <c r="H51" s="3"/>
      <c r="I51" s="3"/>
    </row>
    <row r="52" s="5" customFormat="true" ht="12.75" hidden="false" customHeight="false" outlineLevel="0" collapsed="false">
      <c r="A52" s="3" t="s">
        <v>264</v>
      </c>
      <c r="B52" s="3"/>
      <c r="C52" s="3"/>
      <c r="D52" s="3"/>
      <c r="E52" s="3"/>
      <c r="F52" s="3"/>
      <c r="G52" s="3"/>
      <c r="H52" s="3"/>
      <c r="I52" s="3"/>
    </row>
    <row r="53" s="5" customFormat="true" ht="13.5" hidden="false" customHeight="false" outlineLevel="0" collapsed="false">
      <c r="A53" s="25"/>
      <c r="B53" s="25"/>
      <c r="C53" s="25"/>
      <c r="D53" s="208"/>
      <c r="E53" s="25"/>
      <c r="F53" s="69"/>
      <c r="G53" s="69"/>
      <c r="H53" s="209"/>
      <c r="I53" s="3"/>
    </row>
    <row r="54" s="5" customFormat="true" ht="14.25" hidden="false" customHeight="false" outlineLevel="0" collapsed="false">
      <c r="A54" s="38" t="s">
        <v>3</v>
      </c>
      <c r="B54" s="38" t="s">
        <v>4</v>
      </c>
      <c r="C54" s="210" t="s">
        <v>5</v>
      </c>
      <c r="D54" s="38" t="s">
        <v>6</v>
      </c>
      <c r="E54" s="38" t="s">
        <v>7</v>
      </c>
      <c r="F54" s="38" t="s">
        <v>8</v>
      </c>
      <c r="G54" s="38"/>
      <c r="H54" s="38"/>
      <c r="I54" s="38" t="s">
        <v>9</v>
      </c>
    </row>
    <row r="55" customFormat="false" ht="13.5" hidden="false" customHeight="false" outlineLevel="0" collapsed="false">
      <c r="A55" s="109" t="n">
        <v>1</v>
      </c>
      <c r="B55" s="200" t="s">
        <v>51</v>
      </c>
      <c r="C55" s="109" t="s">
        <v>52</v>
      </c>
      <c r="D55" s="201" t="str">
        <f aca="false">VLOOKUP(C55,[1]Sheet1!$C$5:$E$205,2,0)</f>
        <v>SISTEM MIKROPROSESOR</v>
      </c>
      <c r="E55" s="109" t="n">
        <f aca="false">VLOOKUP(C55,[1]Sheet1!$C$5:$E$205,3,0)</f>
        <v>3</v>
      </c>
      <c r="F55" s="111" t="s">
        <v>24</v>
      </c>
      <c r="G55" s="112"/>
      <c r="H55" s="113"/>
      <c r="I55" s="114"/>
    </row>
    <row r="56" customFormat="false" ht="12.75" hidden="false" customHeight="false" outlineLevel="0" collapsed="false">
      <c r="A56" s="47" t="n">
        <f aca="false">A55+1</f>
        <v>2</v>
      </c>
      <c r="B56" s="200"/>
      <c r="C56" s="47" t="s">
        <v>53</v>
      </c>
      <c r="D56" s="87" t="str">
        <f aca="false">VLOOKUP(C56,[1]Sheet1!$C$5:$E$205,2,0)</f>
        <v>SISTEM KENDALI</v>
      </c>
      <c r="E56" s="47" t="n">
        <f aca="false">VLOOKUP(C56,[1]Sheet1!$C$5:$E$205,3,0)</f>
        <v>3</v>
      </c>
      <c r="F56" s="50" t="s">
        <v>31</v>
      </c>
      <c r="G56" s="51"/>
      <c r="H56" s="52"/>
      <c r="I56" s="53"/>
    </row>
    <row r="57" customFormat="false" ht="12.75" hidden="false" customHeight="false" outlineLevel="0" collapsed="false">
      <c r="A57" s="47" t="n">
        <f aca="false">A56+1</f>
        <v>3</v>
      </c>
      <c r="B57" s="200"/>
      <c r="C57" s="47" t="s">
        <v>54</v>
      </c>
      <c r="D57" s="87" t="str">
        <f aca="false">VLOOKUP(C57,[1]Sheet1!$C$5:$E$205,2,0)</f>
        <v>PRAKTIKUM SISTEM KENDALI</v>
      </c>
      <c r="E57" s="47" t="n">
        <f aca="false">VLOOKUP(C57,[1]Sheet1!$C$5:$E$205,3,0)</f>
        <v>1</v>
      </c>
      <c r="F57" s="50" t="s">
        <v>151</v>
      </c>
      <c r="G57" s="51" t="s">
        <v>53</v>
      </c>
      <c r="H57" s="52"/>
      <c r="I57" s="53"/>
    </row>
    <row r="58" customFormat="false" ht="12.75" hidden="false" customHeight="false" outlineLevel="0" collapsed="false">
      <c r="A58" s="47" t="n">
        <f aca="false">A57+1</f>
        <v>4</v>
      </c>
      <c r="B58" s="200"/>
      <c r="C58" s="47" t="s">
        <v>55</v>
      </c>
      <c r="D58" s="87" t="str">
        <f aca="false">VLOOKUP(C58,[1]Sheet1!$C$5:$E$205,2,0)</f>
        <v>PRAKTIKUM RANGKAIAN LISTRIK</v>
      </c>
      <c r="E58" s="47" t="n">
        <f aca="false">VLOOKUP(C58,[1]Sheet1!$C$5:$E$205,3,0)</f>
        <v>1</v>
      </c>
      <c r="F58" s="50" t="s">
        <v>33</v>
      </c>
      <c r="G58" s="51" t="s">
        <v>47</v>
      </c>
      <c r="H58" s="52"/>
      <c r="I58" s="53"/>
    </row>
    <row r="59" customFormat="false" ht="12.75" hidden="false" customHeight="false" outlineLevel="0" collapsed="false">
      <c r="A59" s="47" t="n">
        <f aca="false">A58+1</f>
        <v>5</v>
      </c>
      <c r="B59" s="200"/>
      <c r="C59" s="47" t="s">
        <v>56</v>
      </c>
      <c r="D59" s="87" t="str">
        <f aca="false">VLOOKUP(C59,[1]Sheet1!$C$5:$E$205,2,0)</f>
        <v>EKONOMI TEKNIK</v>
      </c>
      <c r="E59" s="47" t="n">
        <f aca="false">VLOOKUP(C59,[1]Sheet1!$C$5:$E$205,3,0)</f>
        <v>2</v>
      </c>
      <c r="F59" s="50" t="s">
        <v>150</v>
      </c>
      <c r="G59" s="51"/>
      <c r="H59" s="52"/>
      <c r="I59" s="53"/>
    </row>
    <row r="60" customFormat="false" ht="12.75" hidden="false" customHeight="false" outlineLevel="0" collapsed="false">
      <c r="A60" s="47" t="n">
        <v>6</v>
      </c>
      <c r="B60" s="200"/>
      <c r="C60" s="47" t="s">
        <v>58</v>
      </c>
      <c r="D60" s="87" t="str">
        <f aca="false">VLOOKUP(C60,[1]Sheet1!$C$5:$E$205,2,0)</f>
        <v>ANALISA SISTEM TENAGA I</v>
      </c>
      <c r="E60" s="47" t="n">
        <f aca="false">VLOOKUP(C60,[1]Sheet1!$C$5:$E$205,3,0)</f>
        <v>3</v>
      </c>
      <c r="F60" s="50" t="s">
        <v>37</v>
      </c>
      <c r="G60" s="51" t="s">
        <v>47</v>
      </c>
      <c r="H60" s="52"/>
      <c r="I60" s="53"/>
    </row>
    <row r="61" s="5" customFormat="true" ht="12.75" hidden="false" customHeight="false" outlineLevel="0" collapsed="false">
      <c r="A61" s="47" t="n">
        <f aca="false">A60+1</f>
        <v>7</v>
      </c>
      <c r="B61" s="200"/>
      <c r="C61" s="47" t="s">
        <v>59</v>
      </c>
      <c r="D61" s="87" t="str">
        <f aca="false">VLOOKUP(C61,[1]Sheet1!$C$5:$E$205,2,0)</f>
        <v>MESIN LISTRIK I</v>
      </c>
      <c r="E61" s="47" t="n">
        <f aca="false">VLOOKUP(C61,[1]Sheet1!$C$5:$E$205,3,0)</f>
        <v>3</v>
      </c>
      <c r="F61" s="50" t="s">
        <v>37</v>
      </c>
      <c r="G61" s="51" t="s">
        <v>48</v>
      </c>
      <c r="H61" s="52"/>
      <c r="I61" s="53"/>
    </row>
    <row r="62" customFormat="false" ht="12.75" hidden="false" customHeight="false" outlineLevel="0" collapsed="false">
      <c r="A62" s="47" t="n">
        <f aca="false">A61+1</f>
        <v>8</v>
      </c>
      <c r="B62" s="200"/>
      <c r="C62" s="47" t="s">
        <v>60</v>
      </c>
      <c r="D62" s="87" t="str">
        <f aca="false">VLOOKUP(C62,[1]Sheet1!$C$5:$E$205,2,0)</f>
        <v>PEMBANGKIT TENAGA LISTRIK</v>
      </c>
      <c r="E62" s="47" t="n">
        <f aca="false">VLOOKUP(C62,[1]Sheet1!$C$5:$E$205,3,0)</f>
        <v>2</v>
      </c>
      <c r="F62" s="50" t="s">
        <v>37</v>
      </c>
      <c r="G62" s="51"/>
      <c r="H62" s="52"/>
      <c r="I62" s="53"/>
    </row>
    <row r="63" s="5" customFormat="true" ht="12.75" hidden="false" customHeight="false" outlineLevel="0" collapsed="false">
      <c r="A63" s="186" t="n">
        <f aca="false">A62+1</f>
        <v>9</v>
      </c>
      <c r="B63" s="200"/>
      <c r="C63" s="186" t="s">
        <v>61</v>
      </c>
      <c r="D63" s="187" t="str">
        <f aca="false">VLOOKUP(C63,[1]Sheet1!$C$5:$E$205,2,0)</f>
        <v>TRANSMISI TENAGA LISTRIK</v>
      </c>
      <c r="E63" s="186" t="n">
        <f aca="false">VLOOKUP(C63,[1]Sheet1!$C$5:$E$205,3,0)</f>
        <v>2</v>
      </c>
      <c r="F63" s="188" t="s">
        <v>37</v>
      </c>
      <c r="G63" s="189" t="s">
        <v>47</v>
      </c>
      <c r="H63" s="198"/>
      <c r="I63" s="53"/>
    </row>
    <row r="64" s="5" customFormat="true" ht="13.5" hidden="false" customHeight="false" outlineLevel="0" collapsed="false">
      <c r="A64" s="193"/>
      <c r="B64" s="193"/>
      <c r="C64" s="193"/>
      <c r="D64" s="193"/>
      <c r="E64" s="193" t="n">
        <f aca="false">SUM(E60:E63)+SUM(E55:E59)</f>
        <v>20</v>
      </c>
      <c r="F64" s="194"/>
      <c r="G64" s="195"/>
      <c r="H64" s="196"/>
      <c r="I64" s="98"/>
    </row>
    <row r="65" s="5" customFormat="true" ht="13.5" hidden="false" customHeight="false" outlineLevel="0" collapsed="false">
      <c r="A65" s="47" t="n">
        <v>1</v>
      </c>
      <c r="B65" s="200" t="s">
        <v>78</v>
      </c>
      <c r="C65" s="47" t="s">
        <v>79</v>
      </c>
      <c r="D65" s="87" t="str">
        <f aca="false">VLOOKUP(C65,[1]Sheet1!$C$5:$E$205,2,0)</f>
        <v>PRAKTIKUM SISTEM MIKROPROSESOR</v>
      </c>
      <c r="E65" s="47" t="n">
        <f aca="false">VLOOKUP(C65,[1]Sheet1!$C$5:$E$205,3,0)</f>
        <v>1</v>
      </c>
      <c r="F65" s="50" t="s">
        <v>52</v>
      </c>
      <c r="G65" s="51"/>
      <c r="H65" s="52"/>
      <c r="I65" s="53"/>
    </row>
    <row r="66" s="5" customFormat="true" ht="12.75" hidden="false" customHeight="false" outlineLevel="0" collapsed="false">
      <c r="A66" s="47" t="n">
        <f aca="false">A65+1</f>
        <v>2</v>
      </c>
      <c r="B66" s="200"/>
      <c r="C66" s="47" t="s">
        <v>80</v>
      </c>
      <c r="D66" s="87" t="str">
        <f aca="false">VLOOKUP(C66,[1]Sheet1!$C$5:$E$205,2,0)</f>
        <v>ANALISA SISTEM TENAGA II</v>
      </c>
      <c r="E66" s="47" t="n">
        <f aca="false">VLOOKUP(C66,[1]Sheet1!$C$5:$E$205,3,0)</f>
        <v>2</v>
      </c>
      <c r="F66" s="50" t="s">
        <v>58</v>
      </c>
      <c r="G66" s="51"/>
      <c r="H66" s="52"/>
      <c r="I66" s="53"/>
    </row>
    <row r="67" customFormat="false" ht="12.75" hidden="false" customHeight="false" outlineLevel="0" collapsed="false">
      <c r="A67" s="47" t="n">
        <f aca="false">A66+1</f>
        <v>3</v>
      </c>
      <c r="B67" s="200"/>
      <c r="C67" s="47" t="s">
        <v>81</v>
      </c>
      <c r="D67" s="87" t="str">
        <f aca="false">VLOOKUP(C67,[1]Sheet1!$C$5:$E$205,2,0)</f>
        <v>PRAKTIKUM ANALISA SISTEM TENAGA</v>
      </c>
      <c r="E67" s="47" t="n">
        <f aca="false">VLOOKUP(C67,[1]Sheet1!$C$5:$E$205,3,0)</f>
        <v>1</v>
      </c>
      <c r="F67" s="50" t="s">
        <v>151</v>
      </c>
      <c r="G67" s="51" t="s">
        <v>80</v>
      </c>
      <c r="H67" s="52"/>
      <c r="I67" s="53"/>
    </row>
    <row r="68" customFormat="false" ht="12.75" hidden="false" customHeight="false" outlineLevel="0" collapsed="false">
      <c r="A68" s="47" t="n">
        <f aca="false">A67+1</f>
        <v>4</v>
      </c>
      <c r="B68" s="200"/>
      <c r="C68" s="47" t="s">
        <v>82</v>
      </c>
      <c r="D68" s="87" t="str">
        <f aca="false">VLOOKUP(C68,[1]Sheet1!$C$5:$E$205,2,0)</f>
        <v>MESIN LISTRIK II</v>
      </c>
      <c r="E68" s="47" t="n">
        <f aca="false">VLOOKUP(C68,[1]Sheet1!$C$5:$E$205,3,0)</f>
        <v>2</v>
      </c>
      <c r="F68" s="50" t="s">
        <v>59</v>
      </c>
      <c r="G68" s="51"/>
      <c r="H68" s="52"/>
      <c r="I68" s="53"/>
    </row>
    <row r="69" customFormat="false" ht="12.75" hidden="false" customHeight="false" outlineLevel="0" collapsed="false">
      <c r="A69" s="47" t="n">
        <f aca="false">A68+1</f>
        <v>5</v>
      </c>
      <c r="B69" s="200"/>
      <c r="C69" s="47" t="s">
        <v>83</v>
      </c>
      <c r="D69" s="87" t="str">
        <f aca="false">VLOOKUP(C69,[1]Sheet1!$C$5:$E$205,2,0)</f>
        <v>PRAKTIKUM MESIN LISTRIK</v>
      </c>
      <c r="E69" s="47" t="n">
        <f aca="false">VLOOKUP(C69,[1]Sheet1!$C$5:$E$205,3,0)</f>
        <v>1</v>
      </c>
      <c r="F69" s="50" t="s">
        <v>151</v>
      </c>
      <c r="G69" s="51" t="s">
        <v>82</v>
      </c>
      <c r="H69" s="52"/>
      <c r="I69" s="53"/>
    </row>
    <row r="70" customFormat="false" ht="12.75" hidden="false" customHeight="false" outlineLevel="0" collapsed="false">
      <c r="A70" s="47" t="n">
        <f aca="false">A69+1</f>
        <v>6</v>
      </c>
      <c r="B70" s="200"/>
      <c r="C70" s="47" t="s">
        <v>84</v>
      </c>
      <c r="D70" s="87" t="str">
        <f aca="false">VLOOKUP(C70,[1]Sheet1!$C$5:$E$205,2,0)</f>
        <v>SISTEM DISTRIBUSI TENAGA LISTRIK</v>
      </c>
      <c r="E70" s="47" t="n">
        <f aca="false">VLOOKUP(C70,[1]Sheet1!$C$5:$E$205,3,0)</f>
        <v>3</v>
      </c>
      <c r="F70" s="50" t="s">
        <v>58</v>
      </c>
      <c r="G70" s="51" t="s">
        <v>151</v>
      </c>
      <c r="H70" s="52" t="s">
        <v>80</v>
      </c>
      <c r="I70" s="53"/>
    </row>
    <row r="71" customFormat="false" ht="12.75" hidden="false" customHeight="false" outlineLevel="0" collapsed="false">
      <c r="A71" s="47" t="n">
        <f aca="false">A70+1</f>
        <v>7</v>
      </c>
      <c r="B71" s="200"/>
      <c r="C71" s="47" t="s">
        <v>85</v>
      </c>
      <c r="D71" s="87" t="str">
        <f aca="false">VLOOKUP(C71,[1]Sheet1!$C$5:$E$205,2,0)</f>
        <v>PERENCANAAN INSTALASI TENAGA LISTRIK</v>
      </c>
      <c r="E71" s="47" t="n">
        <f aca="false">VLOOKUP(C71,[1]Sheet1!$C$5:$E$205,3,0)</f>
        <v>3</v>
      </c>
      <c r="F71" s="50" t="s">
        <v>44</v>
      </c>
      <c r="G71" s="51" t="s">
        <v>47</v>
      </c>
      <c r="H71" s="52"/>
      <c r="I71" s="53"/>
    </row>
    <row r="72" s="5" customFormat="true" ht="12.75" hidden="false" customHeight="false" outlineLevel="0" collapsed="false">
      <c r="A72" s="47" t="n">
        <f aca="false">A71+1</f>
        <v>8</v>
      </c>
      <c r="B72" s="200"/>
      <c r="C72" s="47" t="s">
        <v>86</v>
      </c>
      <c r="D72" s="87" t="str">
        <f aca="false">VLOOKUP(C72,[1]Sheet1!$C$5:$E$205,2,0)</f>
        <v>TEKNIK TEGANGAN TINGGI</v>
      </c>
      <c r="E72" s="47" t="n">
        <f aca="false">VLOOKUP(C72,[1]Sheet1!$C$5:$E$205,3,0)</f>
        <v>2</v>
      </c>
      <c r="F72" s="50" t="s">
        <v>44</v>
      </c>
      <c r="G72" s="51" t="s">
        <v>42</v>
      </c>
      <c r="H72" s="52"/>
      <c r="I72" s="53"/>
    </row>
    <row r="73" s="5" customFormat="true" ht="12.75" hidden="false" customHeight="false" outlineLevel="0" collapsed="false">
      <c r="A73" s="47" t="n">
        <f aca="false">A72+1</f>
        <v>9</v>
      </c>
      <c r="B73" s="200"/>
      <c r="C73" s="47" t="s">
        <v>87</v>
      </c>
      <c r="D73" s="87" t="str">
        <f aca="false">VLOOKUP(C73,[1]Sheet1!$C$5:$E$205,2,0)</f>
        <v>MK PILIHAN I</v>
      </c>
      <c r="E73" s="47" t="n">
        <f aca="false">VLOOKUP(C73,[1]Sheet1!$C$5:$E$205,3,0)</f>
        <v>2</v>
      </c>
      <c r="F73" s="50"/>
      <c r="G73" s="51"/>
      <c r="H73" s="52"/>
      <c r="I73" s="53"/>
    </row>
    <row r="74" s="5" customFormat="true" ht="12.75" hidden="false" customHeight="false" outlineLevel="0" collapsed="false">
      <c r="A74" s="186" t="n">
        <f aca="false">A73+1</f>
        <v>10</v>
      </c>
      <c r="B74" s="200"/>
      <c r="C74" s="186" t="s">
        <v>88</v>
      </c>
      <c r="D74" s="187" t="str">
        <f aca="false">VLOOKUP(C74,[1]Sheet1!$C$5:$E$205,2,0)</f>
        <v>MK PILIHAN II</v>
      </c>
      <c r="E74" s="186" t="n">
        <f aca="false">VLOOKUP(C74,[1]Sheet1!$C$5:$E$205,3,0)</f>
        <v>2</v>
      </c>
      <c r="F74" s="188"/>
      <c r="G74" s="189"/>
      <c r="H74" s="198"/>
      <c r="I74" s="53"/>
    </row>
    <row r="75" customFormat="false" ht="13.5" hidden="false" customHeight="false" outlineLevel="0" collapsed="false">
      <c r="A75" s="193"/>
      <c r="B75" s="193"/>
      <c r="C75" s="193"/>
      <c r="D75" s="193"/>
      <c r="E75" s="193" t="n">
        <f aca="false">SUM(E66:E74)+SUM(E65)</f>
        <v>19</v>
      </c>
      <c r="F75" s="194"/>
      <c r="G75" s="195"/>
      <c r="H75" s="196"/>
      <c r="I75" s="98"/>
    </row>
    <row r="76" customFormat="false" ht="13.5" hidden="false" customHeight="false" outlineLevel="0" collapsed="false">
      <c r="A76" s="103" t="n">
        <v>1</v>
      </c>
      <c r="B76" s="89" t="s">
        <v>111</v>
      </c>
      <c r="C76" s="47" t="s">
        <v>112</v>
      </c>
      <c r="D76" s="87" t="str">
        <f aca="false">VLOOKUP(C76,[1]Sheet1!$C$5:$E$205,2,0)</f>
        <v>PROSES STOKASTIK</v>
      </c>
      <c r="E76" s="47" t="n">
        <f aca="false">VLOOKUP(C76,[1]Sheet1!$C$5:$E$205,3,0)</f>
        <v>2</v>
      </c>
      <c r="F76" s="50" t="s">
        <v>45</v>
      </c>
      <c r="G76" s="51"/>
      <c r="H76" s="52"/>
      <c r="I76" s="53"/>
    </row>
    <row r="77" customFormat="false" ht="12.75" hidden="false" customHeight="false" outlineLevel="0" collapsed="false">
      <c r="A77" s="47" t="n">
        <f aca="false">A76+1</f>
        <v>2</v>
      </c>
      <c r="B77" s="89"/>
      <c r="C77" s="47" t="s">
        <v>113</v>
      </c>
      <c r="D77" s="87" t="str">
        <f aca="false">VLOOKUP(C77,[1]Sheet1!$C$5:$E$205,2,0)</f>
        <v>PRAKTEK KERJA LAPANGAN</v>
      </c>
      <c r="E77" s="47" t="n">
        <f aca="false">VLOOKUP(C77,[1]Sheet1!$C$5:$E$205,3,0)</f>
        <v>2</v>
      </c>
      <c r="F77" s="50" t="s">
        <v>152</v>
      </c>
      <c r="G77" s="51"/>
      <c r="H77" s="52"/>
      <c r="I77" s="53"/>
    </row>
    <row r="78" customFormat="false" ht="12.75" hidden="false" customHeight="false" outlineLevel="0" collapsed="false">
      <c r="A78" s="47" t="n">
        <f aca="false">A77+1</f>
        <v>3</v>
      </c>
      <c r="B78" s="89"/>
      <c r="C78" s="47" t="s">
        <v>114</v>
      </c>
      <c r="D78" s="87" t="str">
        <f aca="false">VLOOKUP(C78,[1]Sheet1!$C$5:$E$205,2,0)</f>
        <v>PRA TUGAS AKHIR</v>
      </c>
      <c r="E78" s="47" t="n">
        <f aca="false">VLOOKUP(C78,[1]Sheet1!$C$5:$E$205,3,0)</f>
        <v>2</v>
      </c>
      <c r="F78" s="50" t="s">
        <v>152</v>
      </c>
      <c r="G78" s="51"/>
      <c r="H78" s="52"/>
      <c r="I78" s="53"/>
    </row>
    <row r="79" customFormat="false" ht="12.75" hidden="false" customHeight="false" outlineLevel="0" collapsed="false">
      <c r="A79" s="47" t="n">
        <f aca="false">A78+1</f>
        <v>4</v>
      </c>
      <c r="B79" s="89"/>
      <c r="C79" s="47" t="s">
        <v>115</v>
      </c>
      <c r="D79" s="87" t="str">
        <f aca="false">VLOOKUP(C79,[1]Sheet1!$C$5:$E$205,2,0)</f>
        <v>MANAJEMEN OPERASI SISTEM TENAGA</v>
      </c>
      <c r="E79" s="47" t="n">
        <f aca="false">VLOOKUP(C79,[1]Sheet1!$C$5:$E$205,3,0)</f>
        <v>2</v>
      </c>
      <c r="F79" s="50" t="s">
        <v>60</v>
      </c>
      <c r="G79" s="51" t="s">
        <v>80</v>
      </c>
      <c r="H79" s="52" t="s">
        <v>53</v>
      </c>
      <c r="I79" s="53"/>
    </row>
    <row r="80" customFormat="false" ht="12.75" hidden="false" customHeight="false" outlineLevel="0" collapsed="false">
      <c r="A80" s="47" t="n">
        <f aca="false">A79+1</f>
        <v>5</v>
      </c>
      <c r="B80" s="89"/>
      <c r="C80" s="47" t="s">
        <v>116</v>
      </c>
      <c r="D80" s="87" t="str">
        <f aca="false">VLOOKUP(C80,[1]Sheet1!$C$5:$E$205,2,0)</f>
        <v>PROTEKSI SISTEM TENAGA</v>
      </c>
      <c r="E80" s="47" t="n">
        <f aca="false">VLOOKUP(C80,[1]Sheet1!$C$5:$E$205,3,0)</f>
        <v>2</v>
      </c>
      <c r="F80" s="50" t="s">
        <v>80</v>
      </c>
      <c r="G80" s="51"/>
      <c r="H80" s="52"/>
      <c r="I80" s="53"/>
    </row>
    <row r="81" customFormat="false" ht="12.75" hidden="false" customHeight="false" outlineLevel="0" collapsed="false">
      <c r="A81" s="47" t="n">
        <f aca="false">A80+1</f>
        <v>6</v>
      </c>
      <c r="B81" s="89"/>
      <c r="C81" s="47" t="s">
        <v>117</v>
      </c>
      <c r="D81" s="87" t="str">
        <f aca="false">VLOOKUP(C81,[1]Sheet1!$C$5:$E$205,2,0)</f>
        <v>PRAKTIKUM PROTEKSI SISTEM TENAGA</v>
      </c>
      <c r="E81" s="47" t="n">
        <f aca="false">VLOOKUP(C81,[1]Sheet1!$C$5:$E$205,3,0)</f>
        <v>1</v>
      </c>
      <c r="F81" s="50" t="s">
        <v>151</v>
      </c>
      <c r="G81" s="51" t="s">
        <v>116</v>
      </c>
      <c r="H81" s="52"/>
      <c r="I81" s="53"/>
    </row>
    <row r="82" customFormat="false" ht="12.75" hidden="false" customHeight="false" outlineLevel="0" collapsed="false">
      <c r="A82" s="47" t="n">
        <f aca="false">A81+1</f>
        <v>7</v>
      </c>
      <c r="B82" s="89"/>
      <c r="C82" s="47" t="s">
        <v>118</v>
      </c>
      <c r="D82" s="87" t="str">
        <f aca="false">VLOOKUP(C82,[1]Sheet1!$C$5:$E$205,2,0)</f>
        <v>ELEKTRONIKA DAYA</v>
      </c>
      <c r="E82" s="47" t="n">
        <f aca="false">VLOOKUP(C82,[1]Sheet1!$C$5:$E$205,3,0)</f>
        <v>2</v>
      </c>
      <c r="F82" s="50" t="s">
        <v>36</v>
      </c>
      <c r="G82" s="51"/>
      <c r="H82" s="52"/>
      <c r="I82" s="53"/>
    </row>
    <row r="83" s="5" customFormat="true" ht="12.75" hidden="false" customHeight="false" outlineLevel="0" collapsed="false">
      <c r="A83" s="47" t="n">
        <f aca="false">A82+1</f>
        <v>8</v>
      </c>
      <c r="B83" s="89"/>
      <c r="C83" s="47" t="s">
        <v>119</v>
      </c>
      <c r="D83" s="87" t="str">
        <f aca="false">VLOOKUP(C83,[1]Sheet1!$C$5:$E$205,2,0)</f>
        <v>PRAKTIKUM ELEKTRONIKA DAYA</v>
      </c>
      <c r="E83" s="47" t="n">
        <f aca="false">VLOOKUP(C83,[1]Sheet1!$C$5:$E$205,3,0)</f>
        <v>1</v>
      </c>
      <c r="F83" s="50" t="s">
        <v>151</v>
      </c>
      <c r="G83" s="51" t="s">
        <v>118</v>
      </c>
      <c r="H83" s="52"/>
      <c r="I83" s="53"/>
    </row>
    <row r="84" s="5" customFormat="true" ht="12.75" hidden="false" customHeight="false" outlineLevel="0" collapsed="false">
      <c r="A84" s="47" t="n">
        <f aca="false">A83+1</f>
        <v>9</v>
      </c>
      <c r="B84" s="89"/>
      <c r="C84" s="47" t="s">
        <v>120</v>
      </c>
      <c r="D84" s="87" t="str">
        <f aca="false">VLOOKUP(C84,[1]Sheet1!$C$5:$E$205,2,0)</f>
        <v>PRAKTIKUM TRANSMISI DAN DISTRIBUSI</v>
      </c>
      <c r="E84" s="47" t="n">
        <f aca="false">VLOOKUP(C84,[1]Sheet1!$C$5:$E$205,3,0)</f>
        <v>1</v>
      </c>
      <c r="F84" s="50" t="s">
        <v>61</v>
      </c>
      <c r="G84" s="51" t="s">
        <v>84</v>
      </c>
      <c r="H84" s="52"/>
      <c r="I84" s="53"/>
    </row>
    <row r="85" customFormat="false" ht="12.75" hidden="false" customHeight="false" outlineLevel="0" collapsed="false">
      <c r="A85" s="186" t="n">
        <f aca="false">A84+1</f>
        <v>10</v>
      </c>
      <c r="B85" s="89"/>
      <c r="C85" s="186" t="s">
        <v>121</v>
      </c>
      <c r="D85" s="187" t="str">
        <f aca="false">VLOOKUP(C85,[1]Sheet1!$C$5:$E$205,2,0)</f>
        <v>MK PILIHAN III</v>
      </c>
      <c r="E85" s="186" t="n">
        <f aca="false">VLOOKUP(C85,[1]Sheet1!$C$5:$E$205,3,0)</f>
        <v>2</v>
      </c>
      <c r="F85" s="188"/>
      <c r="G85" s="189"/>
      <c r="H85" s="198"/>
      <c r="I85" s="211"/>
    </row>
    <row r="86" s="5" customFormat="true" ht="13.5" hidden="false" customHeight="false" outlineLevel="0" collapsed="false">
      <c r="A86" s="193"/>
      <c r="B86" s="193"/>
      <c r="C86" s="193"/>
      <c r="D86" s="193"/>
      <c r="E86" s="193" t="n">
        <f aca="false">SUM(E79:E85)+SUM(E76:E78)</f>
        <v>17</v>
      </c>
      <c r="F86" s="194"/>
      <c r="G86" s="195"/>
      <c r="H86" s="196"/>
      <c r="I86" s="212"/>
    </row>
    <row r="87" s="5" customFormat="true" ht="13.5" hidden="false" customHeight="false" outlineLevel="0" collapsed="false">
      <c r="A87" s="47" t="n">
        <v>1</v>
      </c>
      <c r="B87" s="89" t="s">
        <v>140</v>
      </c>
      <c r="C87" s="47" t="s">
        <v>141</v>
      </c>
      <c r="D87" s="87" t="str">
        <f aca="false">VLOOKUP(C87,[1]Sheet1!$C$5:$E$205,2,0)</f>
        <v>KULIAH KERJA NYATA (KKN)</v>
      </c>
      <c r="E87" s="47" t="n">
        <f aca="false">VLOOKUP(C87,[1]Sheet1!$C$5:$E$205,3,0)</f>
        <v>4</v>
      </c>
      <c r="F87" s="50" t="s">
        <v>153</v>
      </c>
      <c r="G87" s="51"/>
      <c r="H87" s="52"/>
      <c r="I87" s="53"/>
    </row>
    <row r="88" customFormat="false" ht="12.75" hidden="false" customHeight="false" outlineLevel="0" collapsed="false">
      <c r="A88" s="47" t="n">
        <f aca="false">A87+1</f>
        <v>2</v>
      </c>
      <c r="B88" s="89"/>
      <c r="C88" s="47" t="s">
        <v>142</v>
      </c>
      <c r="D88" s="87" t="str">
        <f aca="false">VLOOKUP(C88,[1]Sheet1!$C$5:$E$205,2,0)</f>
        <v>LINGKUNGAN DAN ETIKA REKAYASA</v>
      </c>
      <c r="E88" s="47" t="n">
        <f aca="false">VLOOKUP(C88,[1]Sheet1!$C$5:$E$205,3,0)</f>
        <v>2</v>
      </c>
      <c r="F88" s="50" t="s">
        <v>25</v>
      </c>
      <c r="G88" s="51"/>
      <c r="H88" s="54"/>
      <c r="I88" s="55"/>
    </row>
    <row r="89" customFormat="false" ht="12.75" hidden="false" customHeight="false" outlineLevel="0" collapsed="false">
      <c r="A89" s="186" t="n">
        <f aca="false">A88+1</f>
        <v>3</v>
      </c>
      <c r="B89" s="89"/>
      <c r="C89" s="186" t="s">
        <v>143</v>
      </c>
      <c r="D89" s="187" t="str">
        <f aca="false">VLOOKUP(C89,[1]Sheet1!$C$5:$E$205,2,0)</f>
        <v>TUGAS AKHIR</v>
      </c>
      <c r="E89" s="186" t="n">
        <f aca="false">VLOOKUP(C89,[1]Sheet1!$C$5:$E$205,3,0)</f>
        <v>4</v>
      </c>
      <c r="F89" s="188" t="s">
        <v>154</v>
      </c>
      <c r="G89" s="189"/>
      <c r="H89" s="190"/>
      <c r="I89" s="213"/>
    </row>
    <row r="90" customFormat="false" ht="12.75" hidden="false" customHeight="true" outlineLevel="0" collapsed="false">
      <c r="A90" s="193"/>
      <c r="B90" s="193"/>
      <c r="C90" s="193"/>
      <c r="D90" s="193"/>
      <c r="E90" s="193" t="n">
        <f aca="false">SUM(E87:E89)</f>
        <v>10</v>
      </c>
      <c r="F90" s="214"/>
      <c r="G90" s="215"/>
      <c r="H90" s="216"/>
      <c r="I90" s="197"/>
    </row>
    <row r="91" customFormat="false" ht="13.5" hidden="false" customHeight="false" outlineLevel="0" collapsed="false"/>
    <row r="93" customFormat="false" ht="12.75" hidden="false" customHeight="false" outlineLevel="0" collapsed="false">
      <c r="A93" s="3" t="s">
        <v>0</v>
      </c>
      <c r="B93" s="3"/>
      <c r="C93" s="3"/>
      <c r="D93" s="3"/>
      <c r="E93" s="3"/>
      <c r="F93" s="3"/>
      <c r="G93" s="3"/>
      <c r="H93" s="3"/>
      <c r="I93" s="3"/>
    </row>
    <row r="94" customFormat="false" ht="12.75" hidden="false" customHeight="false" outlineLevel="0" collapsed="false">
      <c r="A94" s="3" t="s">
        <v>263</v>
      </c>
      <c r="B94" s="3"/>
      <c r="C94" s="3"/>
      <c r="D94" s="3"/>
      <c r="E94" s="3"/>
      <c r="F94" s="3"/>
      <c r="G94" s="3"/>
      <c r="H94" s="3"/>
      <c r="I94" s="3"/>
    </row>
    <row r="95" customFormat="false" ht="12.75" hidden="false" customHeight="false" outlineLevel="0" collapsed="false">
      <c r="A95" s="3" t="s">
        <v>265</v>
      </c>
      <c r="B95" s="3"/>
      <c r="C95" s="3"/>
      <c r="D95" s="3"/>
      <c r="E95" s="3"/>
      <c r="F95" s="3"/>
      <c r="G95" s="3"/>
      <c r="H95" s="3"/>
      <c r="I95" s="3"/>
    </row>
    <row r="96" customFormat="false" ht="13.5" hidden="false" customHeight="false" outlineLevel="0" collapsed="false">
      <c r="A96" s="217"/>
      <c r="B96" s="217"/>
      <c r="C96" s="217"/>
      <c r="D96" s="217"/>
      <c r="E96" s="217"/>
      <c r="F96" s="217"/>
      <c r="G96" s="217"/>
      <c r="H96" s="217"/>
      <c r="I96" s="217"/>
    </row>
    <row r="97" customFormat="false" ht="14.25" hidden="false" customHeight="false" outlineLevel="0" collapsed="false">
      <c r="A97" s="38" t="s">
        <v>3</v>
      </c>
      <c r="B97" s="38" t="s">
        <v>4</v>
      </c>
      <c r="C97" s="210" t="s">
        <v>5</v>
      </c>
      <c r="D97" s="38" t="s">
        <v>6</v>
      </c>
      <c r="E97" s="38" t="s">
        <v>7</v>
      </c>
      <c r="F97" s="38" t="s">
        <v>8</v>
      </c>
      <c r="G97" s="38"/>
      <c r="H97" s="38"/>
      <c r="I97" s="38" t="s">
        <v>9</v>
      </c>
    </row>
    <row r="98" customFormat="false" ht="13.5" hidden="false" customHeight="false" outlineLevel="0" collapsed="false">
      <c r="A98" s="47" t="n">
        <v>1</v>
      </c>
      <c r="B98" s="89" t="s">
        <v>51</v>
      </c>
      <c r="C98" s="47" t="s">
        <v>52</v>
      </c>
      <c r="D98" s="87" t="str">
        <f aca="false">VLOOKUP(C98,[1]Sheet1!$C$5:$E$205,2,0)</f>
        <v>SISTEM MIKROPROSESOR</v>
      </c>
      <c r="E98" s="47" t="n">
        <f aca="false">VLOOKUP(C98,[1]Sheet1!$C$5:$E$205,3,0)</f>
        <v>3</v>
      </c>
      <c r="F98" s="147" t="s">
        <v>24</v>
      </c>
      <c r="G98" s="103"/>
      <c r="H98" s="148"/>
      <c r="I98" s="118"/>
    </row>
    <row r="99" customFormat="false" ht="12.75" hidden="false" customHeight="false" outlineLevel="0" collapsed="false">
      <c r="A99" s="47" t="n">
        <f aca="false">A98+1</f>
        <v>2</v>
      </c>
      <c r="B99" s="89"/>
      <c r="C99" s="47" t="s">
        <v>53</v>
      </c>
      <c r="D99" s="87" t="str">
        <f aca="false">VLOOKUP(C99,[1]Sheet1!$C$5:$E$205,2,0)</f>
        <v>SISTEM KENDALI</v>
      </c>
      <c r="E99" s="47" t="n">
        <f aca="false">VLOOKUP(C99,[1]Sheet1!$C$5:$E$205,3,0)</f>
        <v>3</v>
      </c>
      <c r="F99" s="147" t="s">
        <v>31</v>
      </c>
      <c r="G99" s="103"/>
      <c r="H99" s="149"/>
      <c r="I99" s="150"/>
    </row>
    <row r="100" customFormat="false" ht="12.75" hidden="false" customHeight="false" outlineLevel="0" collapsed="false">
      <c r="A100" s="47" t="n">
        <f aca="false">A99+1</f>
        <v>3</v>
      </c>
      <c r="B100" s="89"/>
      <c r="C100" s="47" t="s">
        <v>54</v>
      </c>
      <c r="D100" s="87" t="str">
        <f aca="false">VLOOKUP(C100,[1]Sheet1!$C$5:$E$205,2,0)</f>
        <v>PRAKTIKUM SISTEM KENDALI</v>
      </c>
      <c r="E100" s="47" t="n">
        <f aca="false">VLOOKUP(C100,[1]Sheet1!$C$5:$E$205,3,0)</f>
        <v>1</v>
      </c>
      <c r="F100" s="147" t="s">
        <v>151</v>
      </c>
      <c r="G100" s="103" t="s">
        <v>53</v>
      </c>
      <c r="H100" s="149"/>
      <c r="I100" s="150"/>
    </row>
    <row r="101" customFormat="false" ht="12.75" hidden="false" customHeight="false" outlineLevel="0" collapsed="false">
      <c r="A101" s="47" t="n">
        <f aca="false">A100+1</f>
        <v>4</v>
      </c>
      <c r="B101" s="89"/>
      <c r="C101" s="47" t="s">
        <v>55</v>
      </c>
      <c r="D101" s="87" t="str">
        <f aca="false">VLOOKUP(C101,[1]Sheet1!$C$5:$E$205,2,0)</f>
        <v>PRAKTIKUM RANGKAIAN LISTRIK</v>
      </c>
      <c r="E101" s="47" t="n">
        <f aca="false">VLOOKUP(C101,[1]Sheet1!$C$5:$E$205,3,0)</f>
        <v>1</v>
      </c>
      <c r="F101" s="147" t="s">
        <v>33</v>
      </c>
      <c r="G101" s="103" t="s">
        <v>47</v>
      </c>
      <c r="H101" s="149"/>
      <c r="I101" s="150"/>
    </row>
    <row r="102" customFormat="false" ht="12.75" hidden="false" customHeight="false" outlineLevel="0" collapsed="false">
      <c r="A102" s="47" t="n">
        <f aca="false">A101+1</f>
        <v>5</v>
      </c>
      <c r="B102" s="89"/>
      <c r="C102" s="47" t="s">
        <v>56</v>
      </c>
      <c r="D102" s="87" t="str">
        <f aca="false">VLOOKUP(C102,[1]Sheet1!$C$5:$E$205,2,0)</f>
        <v>EKONOMI TEKNIK</v>
      </c>
      <c r="E102" s="47" t="n">
        <f aca="false">VLOOKUP(C102,[1]Sheet1!$C$5:$E$205,3,0)</f>
        <v>2</v>
      </c>
      <c r="F102" s="147" t="s">
        <v>150</v>
      </c>
      <c r="G102" s="103"/>
      <c r="H102" s="149"/>
      <c r="I102" s="150"/>
    </row>
    <row r="103" customFormat="false" ht="12.75" hidden="false" customHeight="false" outlineLevel="0" collapsed="false">
      <c r="A103" s="47" t="n">
        <v>6</v>
      </c>
      <c r="B103" s="89"/>
      <c r="C103" s="47" t="s">
        <v>63</v>
      </c>
      <c r="D103" s="87" t="str">
        <f aca="false">VLOOKUP(C103,[1]Sheet1!$C$5:$E$205,2,0)</f>
        <v>RANGKAIAN ELEKTRONIKA</v>
      </c>
      <c r="E103" s="47" t="n">
        <f aca="false">VLOOKUP(C103,[1]Sheet1!$C$5:$E$205,3,0)</f>
        <v>3</v>
      </c>
      <c r="F103" s="147" t="s">
        <v>36</v>
      </c>
      <c r="G103" s="103" t="s">
        <v>47</v>
      </c>
      <c r="H103" s="148"/>
      <c r="I103" s="118"/>
    </row>
    <row r="104" customFormat="false" ht="12.75" hidden="false" customHeight="false" outlineLevel="0" collapsed="false">
      <c r="A104" s="47" t="n">
        <f aca="false">A103+1</f>
        <v>7</v>
      </c>
      <c r="B104" s="89"/>
      <c r="C104" s="47" t="s">
        <v>64</v>
      </c>
      <c r="D104" s="87" t="str">
        <f aca="false">VLOOKUP(C104,[1]Sheet1!$C$5:$E$205,2,0)</f>
        <v>PRAKTIKUM RANGKAIAN ELEKTRONIKA</v>
      </c>
      <c r="E104" s="47" t="n">
        <f aca="false">VLOOKUP(C104,[1]Sheet1!$C$5:$E$205,3,0)</f>
        <v>1</v>
      </c>
      <c r="F104" s="147" t="s">
        <v>151</v>
      </c>
      <c r="G104" s="103" t="s">
        <v>63</v>
      </c>
      <c r="H104" s="148"/>
      <c r="I104" s="118"/>
    </row>
    <row r="105" customFormat="false" ht="12.75" hidden="false" customHeight="false" outlineLevel="0" collapsed="false">
      <c r="A105" s="47" t="n">
        <f aca="false">A104+1</f>
        <v>8</v>
      </c>
      <c r="B105" s="89"/>
      <c r="C105" s="47" t="s">
        <v>65</v>
      </c>
      <c r="D105" s="87" t="str">
        <f aca="false">VLOOKUP(C105,[1]Sheet1!$C$5:$E$205,2,0)</f>
        <v>ELEKTRONIKA DIGITAL</v>
      </c>
      <c r="E105" s="47" t="n">
        <f aca="false">VLOOKUP(C105,[1]Sheet1!$C$5:$E$205,3,0)</f>
        <v>2</v>
      </c>
      <c r="F105" s="147" t="s">
        <v>24</v>
      </c>
      <c r="G105" s="103"/>
      <c r="H105" s="149"/>
      <c r="I105" s="150"/>
    </row>
    <row r="106" customFormat="false" ht="12.75" hidden="false" customHeight="false" outlineLevel="0" collapsed="false">
      <c r="A106" s="47" t="n">
        <f aca="false">A105+1</f>
        <v>9</v>
      </c>
      <c r="B106" s="89"/>
      <c r="C106" s="47" t="s">
        <v>66</v>
      </c>
      <c r="D106" s="87" t="str">
        <f aca="false">VLOOKUP(C106,[1]Sheet1!$C$5:$E$205,2,0)</f>
        <v>PRAKTIKUM ELEKTRONIKA DIGITAL</v>
      </c>
      <c r="E106" s="47" t="n">
        <f aca="false">VLOOKUP(C106,[1]Sheet1!$C$5:$E$205,3,0)</f>
        <v>1</v>
      </c>
      <c r="F106" s="147" t="s">
        <v>151</v>
      </c>
      <c r="G106" s="103" t="s">
        <v>65</v>
      </c>
      <c r="H106" s="149"/>
      <c r="I106" s="150"/>
    </row>
    <row r="107" customFormat="false" ht="12.75" hidden="false" customHeight="false" outlineLevel="0" collapsed="false">
      <c r="A107" s="186" t="n">
        <f aca="false">A106+1</f>
        <v>10</v>
      </c>
      <c r="B107" s="89"/>
      <c r="C107" s="186" t="s">
        <v>67</v>
      </c>
      <c r="D107" s="187" t="str">
        <f aca="false">VLOOKUP(C107,[1]Sheet1!$C$5:$E$205,2,0)</f>
        <v>ELEKTRONIKA ANALOG</v>
      </c>
      <c r="E107" s="186" t="n">
        <f aca="false">VLOOKUP(C107,[1]Sheet1!$C$5:$E$205,3,0)</f>
        <v>2</v>
      </c>
      <c r="F107" s="218" t="s">
        <v>151</v>
      </c>
      <c r="G107" s="219" t="s">
        <v>63</v>
      </c>
      <c r="H107" s="220"/>
      <c r="I107" s="199"/>
    </row>
    <row r="108" customFormat="false" ht="13.5" hidden="false" customHeight="false" outlineLevel="0" collapsed="false">
      <c r="A108" s="193"/>
      <c r="B108" s="193"/>
      <c r="C108" s="193"/>
      <c r="D108" s="193"/>
      <c r="E108" s="193" t="n">
        <f aca="false">SUM(E103:E107)+SUM(E98:E102)</f>
        <v>19</v>
      </c>
      <c r="F108" s="214"/>
      <c r="G108" s="215"/>
      <c r="H108" s="216"/>
      <c r="I108" s="197"/>
    </row>
    <row r="109" s="2" customFormat="true" ht="13.5" hidden="false" customHeight="false" outlineLevel="0" collapsed="false">
      <c r="A109" s="47" t="n">
        <v>1</v>
      </c>
      <c r="B109" s="200" t="s">
        <v>78</v>
      </c>
      <c r="C109" s="47" t="s">
        <v>79</v>
      </c>
      <c r="D109" s="87" t="str">
        <f aca="false">VLOOKUP(C109,[1]Sheet1!$C$5:$E$205,2,0)</f>
        <v>PRAKTIKUM SISTEM MIKROPROSESOR</v>
      </c>
      <c r="E109" s="47" t="n">
        <f aca="false">VLOOKUP(C109,[1]Sheet1!$C$5:$E$205,3,0)</f>
        <v>1</v>
      </c>
      <c r="F109" s="50" t="s">
        <v>52</v>
      </c>
      <c r="G109" s="103"/>
      <c r="H109" s="149"/>
      <c r="I109" s="150"/>
    </row>
    <row r="110" s="2" customFormat="true" ht="12.75" hidden="false" customHeight="false" outlineLevel="0" collapsed="false">
      <c r="A110" s="47" t="n">
        <v>2</v>
      </c>
      <c r="B110" s="200"/>
      <c r="C110" s="47" t="s">
        <v>89</v>
      </c>
      <c r="D110" s="87" t="str">
        <f aca="false">VLOOKUP(C110,[1]Sheet1!$C$5:$E$205,2,0)</f>
        <v>MEKATRONIKA</v>
      </c>
      <c r="E110" s="47" t="n">
        <f aca="false">VLOOKUP(C110,[1]Sheet1!$C$5:$E$205,3,0)</f>
        <v>2</v>
      </c>
      <c r="F110" s="147" t="s">
        <v>36</v>
      </c>
      <c r="G110" s="103" t="s">
        <v>37</v>
      </c>
      <c r="H110" s="149"/>
      <c r="I110" s="150"/>
    </row>
    <row r="111" s="2" customFormat="true" ht="12.75" hidden="false" customHeight="false" outlineLevel="0" collapsed="false">
      <c r="A111" s="47" t="n">
        <f aca="false">A110+1</f>
        <v>3</v>
      </c>
      <c r="B111" s="200"/>
      <c r="C111" s="47" t="s">
        <v>90</v>
      </c>
      <c r="D111" s="87" t="str">
        <f aca="false">VLOOKUP(C111,[1]Sheet1!$C$5:$E$205,2,0)</f>
        <v>PRAKTIKUM ELEKTRONIKA LANJUT</v>
      </c>
      <c r="E111" s="47" t="n">
        <f aca="false">VLOOKUP(C111,[1]Sheet1!$C$5:$E$205,3,0)</f>
        <v>1</v>
      </c>
      <c r="F111" s="147" t="s">
        <v>63</v>
      </c>
      <c r="G111" s="103"/>
      <c r="H111" s="149"/>
      <c r="I111" s="150"/>
    </row>
    <row r="112" s="2" customFormat="true" ht="12.75" hidden="false" customHeight="false" outlineLevel="0" collapsed="false">
      <c r="A112" s="47" t="n">
        <f aca="false">A111+1</f>
        <v>4</v>
      </c>
      <c r="B112" s="200"/>
      <c r="C112" s="47" t="s">
        <v>91</v>
      </c>
      <c r="D112" s="87" t="str">
        <f aca="false">VLOOKUP(C112,[1]Sheet1!$C$5:$E$205,2,0)</f>
        <v>PENGOLAHAN SINYAL DIGITAL</v>
      </c>
      <c r="E112" s="47" t="n">
        <f aca="false">VLOOKUP(C112,[1]Sheet1!$C$5:$E$205,3,0)</f>
        <v>3</v>
      </c>
      <c r="F112" s="147" t="s">
        <v>24</v>
      </c>
      <c r="G112" s="103" t="s">
        <v>43</v>
      </c>
      <c r="H112" s="149"/>
      <c r="I112" s="150"/>
    </row>
    <row r="113" s="2" customFormat="true" ht="12.75" hidden="false" customHeight="false" outlineLevel="0" collapsed="false">
      <c r="A113" s="47" t="n">
        <f aca="false">A112+1</f>
        <v>5</v>
      </c>
      <c r="B113" s="200"/>
      <c r="C113" s="47" t="s">
        <v>92</v>
      </c>
      <c r="D113" s="87" t="str">
        <f aca="false">VLOOKUP(C113,[1]Sheet1!$C$5:$E$205,2,0)</f>
        <v>SISTEM INSTRUMENTASI ELEKTRONIKA</v>
      </c>
      <c r="E113" s="47" t="n">
        <f aca="false">VLOOKUP(C113,[1]Sheet1!$C$5:$E$205,3,0)</f>
        <v>3</v>
      </c>
      <c r="F113" s="147" t="s">
        <v>34</v>
      </c>
      <c r="G113" s="103" t="s">
        <v>65</v>
      </c>
      <c r="H113" s="148"/>
      <c r="I113" s="118"/>
    </row>
    <row r="114" customFormat="false" ht="12.75" hidden="false" customHeight="false" outlineLevel="0" collapsed="false">
      <c r="A114" s="47" t="n">
        <f aca="false">A113+1</f>
        <v>6</v>
      </c>
      <c r="B114" s="200"/>
      <c r="C114" s="47" t="s">
        <v>93</v>
      </c>
      <c r="D114" s="87" t="str">
        <f aca="false">VLOOKUP(C114,[1]Sheet1!$C$5:$E$205,2,0)</f>
        <v>ELEKTRONIKA INDUSTRI</v>
      </c>
      <c r="E114" s="47" t="n">
        <f aca="false">VLOOKUP(C114,[1]Sheet1!$C$5:$E$205,3,0)</f>
        <v>3</v>
      </c>
      <c r="F114" s="147" t="s">
        <v>37</v>
      </c>
      <c r="G114" s="103" t="s">
        <v>53</v>
      </c>
      <c r="H114" s="149"/>
      <c r="I114" s="150"/>
    </row>
    <row r="115" customFormat="false" ht="12.75" hidden="false" customHeight="false" outlineLevel="0" collapsed="false">
      <c r="A115" s="47" t="n">
        <f aca="false">A114+1</f>
        <v>7</v>
      </c>
      <c r="B115" s="200"/>
      <c r="C115" s="47" t="s">
        <v>94</v>
      </c>
      <c r="D115" s="87" t="str">
        <f aca="false">VLOOKUP(C115,[1]Sheet1!$C$5:$E$205,2,0)</f>
        <v>MK PILIHAN I</v>
      </c>
      <c r="E115" s="47" t="n">
        <f aca="false">VLOOKUP(C115,[1]Sheet1!$C$5:$E$205,3,0)</f>
        <v>2</v>
      </c>
      <c r="F115" s="147"/>
      <c r="G115" s="103"/>
      <c r="H115" s="149"/>
      <c r="I115" s="150"/>
    </row>
    <row r="116" customFormat="false" ht="12.75" hidden="false" customHeight="false" outlineLevel="0" collapsed="false">
      <c r="A116" s="186" t="n">
        <f aca="false">A115+1</f>
        <v>8</v>
      </c>
      <c r="B116" s="200"/>
      <c r="C116" s="186" t="s">
        <v>95</v>
      </c>
      <c r="D116" s="187" t="str">
        <f aca="false">VLOOKUP(C116,[1]Sheet1!$C$5:$E$205,2,0)</f>
        <v>MK PILIHAN II</v>
      </c>
      <c r="E116" s="186" t="n">
        <f aca="false">VLOOKUP(C116,[1]Sheet1!$C$5:$E$205,3,0)</f>
        <v>2</v>
      </c>
      <c r="F116" s="218"/>
      <c r="G116" s="219"/>
      <c r="H116" s="220"/>
      <c r="I116" s="199"/>
    </row>
    <row r="117" customFormat="false" ht="13.5" hidden="false" customHeight="false" outlineLevel="0" collapsed="false">
      <c r="A117" s="193"/>
      <c r="B117" s="193"/>
      <c r="C117" s="193"/>
      <c r="D117" s="193"/>
      <c r="E117" s="193" t="n">
        <f aca="false">SUM(E110:E116)+SUM(E109)</f>
        <v>17</v>
      </c>
      <c r="F117" s="214"/>
      <c r="G117" s="215"/>
      <c r="H117" s="216"/>
      <c r="I117" s="197"/>
    </row>
    <row r="118" customFormat="false" ht="13.5" hidden="false" customHeight="false" outlineLevel="0" collapsed="false">
      <c r="A118" s="103" t="n">
        <v>1</v>
      </c>
      <c r="B118" s="89" t="s">
        <v>111</v>
      </c>
      <c r="C118" s="47" t="s">
        <v>112</v>
      </c>
      <c r="D118" s="87" t="str">
        <f aca="false">VLOOKUP(C118,[1]Sheet1!$C$5:$E$205,2,0)</f>
        <v>PROSES STOKASTIK</v>
      </c>
      <c r="E118" s="47" t="n">
        <f aca="false">VLOOKUP(C118,[1]Sheet1!$C$5:$E$205,3,0)</f>
        <v>2</v>
      </c>
      <c r="F118" s="50" t="s">
        <v>45</v>
      </c>
      <c r="G118" s="51"/>
      <c r="H118" s="52"/>
      <c r="I118" s="150"/>
    </row>
    <row r="119" customFormat="false" ht="12.75" hidden="false" customHeight="false" outlineLevel="0" collapsed="false">
      <c r="A119" s="47" t="n">
        <f aca="false">A118+1</f>
        <v>2</v>
      </c>
      <c r="B119" s="89"/>
      <c r="C119" s="47" t="s">
        <v>113</v>
      </c>
      <c r="D119" s="87" t="str">
        <f aca="false">VLOOKUP(C119,[1]Sheet1!$C$5:$E$205,2,0)</f>
        <v>PRAKTEK KERJA LAPANGAN</v>
      </c>
      <c r="E119" s="47" t="n">
        <f aca="false">VLOOKUP(C119,[1]Sheet1!$C$5:$E$205,3,0)</f>
        <v>2</v>
      </c>
      <c r="F119" s="50" t="s">
        <v>152</v>
      </c>
      <c r="G119" s="51"/>
      <c r="H119" s="52"/>
      <c r="I119" s="150"/>
    </row>
    <row r="120" customFormat="false" ht="12.75" hidden="false" customHeight="false" outlineLevel="0" collapsed="false">
      <c r="A120" s="47" t="n">
        <f aca="false">A119+1</f>
        <v>3</v>
      </c>
      <c r="B120" s="89"/>
      <c r="C120" s="47" t="s">
        <v>114</v>
      </c>
      <c r="D120" s="87" t="str">
        <f aca="false">VLOOKUP(C120,[1]Sheet1!$C$5:$E$205,2,0)</f>
        <v>PRA TUGAS AKHIR</v>
      </c>
      <c r="E120" s="47" t="n">
        <f aca="false">VLOOKUP(C120,[1]Sheet1!$C$5:$E$205,3,0)</f>
        <v>2</v>
      </c>
      <c r="F120" s="50" t="s">
        <v>152</v>
      </c>
      <c r="G120" s="51"/>
      <c r="H120" s="52"/>
      <c r="I120" s="150"/>
    </row>
    <row r="121" customFormat="false" ht="12.75" hidden="false" customHeight="false" outlineLevel="0" collapsed="false">
      <c r="A121" s="47" t="n">
        <v>4</v>
      </c>
      <c r="B121" s="89"/>
      <c r="C121" s="92" t="s">
        <v>122</v>
      </c>
      <c r="D121" s="93" t="str">
        <f aca="false">VLOOKUP(C121,[1]Sheet1!$C$5:$E$205,2,0)</f>
        <v>TEKNIK INTERFACING DAN SISTEM EMBEDDED</v>
      </c>
      <c r="E121" s="92" t="n">
        <f aca="false">VLOOKUP(C121,[1]Sheet1!$C$5:$E$205,3,0)</f>
        <v>3</v>
      </c>
      <c r="F121" s="147" t="s">
        <v>38</v>
      </c>
      <c r="G121" s="103" t="s">
        <v>52</v>
      </c>
      <c r="H121" s="157"/>
      <c r="I121" s="47"/>
    </row>
    <row r="122" customFormat="false" ht="12.75" hidden="false" customHeight="false" outlineLevel="0" collapsed="false">
      <c r="A122" s="47" t="n">
        <f aca="false">A121+1</f>
        <v>5</v>
      </c>
      <c r="B122" s="89"/>
      <c r="C122" s="47" t="s">
        <v>123</v>
      </c>
      <c r="D122" s="87" t="str">
        <f aca="false">VLOOKUP(C122,[1]Sheet1!$C$5:$E$205,2,0)</f>
        <v>PERANCANGAN SISTEM ELEKTRONIKA</v>
      </c>
      <c r="E122" s="47" t="n">
        <f aca="false">VLOOKUP(C122,[1]Sheet1!$C$5:$E$205,3,0)</f>
        <v>2</v>
      </c>
      <c r="F122" s="147" t="s">
        <v>67</v>
      </c>
      <c r="G122" s="103"/>
      <c r="H122" s="157"/>
      <c r="I122" s="47"/>
    </row>
    <row r="123" customFormat="false" ht="12.75" hidden="false" customHeight="false" outlineLevel="0" collapsed="false">
      <c r="A123" s="47" t="n">
        <f aca="false">A122+1</f>
        <v>6</v>
      </c>
      <c r="B123" s="89"/>
      <c r="C123" s="47" t="s">
        <v>124</v>
      </c>
      <c r="D123" s="87" t="str">
        <f aca="false">VLOOKUP(C123,[1]Sheet1!$C$5:$E$205,2,0)</f>
        <v>PRAKTIKUM PENGOLAHAN SINYAL DIGITAL</v>
      </c>
      <c r="E123" s="47" t="n">
        <f aca="false">VLOOKUP(C123,[1]Sheet1!$C$5:$E$205,3,0)</f>
        <v>1</v>
      </c>
      <c r="F123" s="147" t="s">
        <v>91</v>
      </c>
      <c r="G123" s="103"/>
      <c r="H123" s="157"/>
      <c r="I123" s="47"/>
    </row>
    <row r="124" customFormat="false" ht="12.75" hidden="false" customHeight="false" outlineLevel="0" collapsed="false">
      <c r="A124" s="47" t="n">
        <f aca="false">A123+1</f>
        <v>7</v>
      </c>
      <c r="B124" s="89"/>
      <c r="C124" s="47" t="s">
        <v>125</v>
      </c>
      <c r="D124" s="87" t="str">
        <f aca="false">VLOOKUP(C124,[1]Sheet1!$C$5:$E$205,2,0)</f>
        <v>PIRANTI MIKROELEKTRONIKA</v>
      </c>
      <c r="E124" s="47" t="n">
        <f aca="false">VLOOKUP(C124,[1]Sheet1!$C$5:$E$205,3,0)</f>
        <v>2</v>
      </c>
      <c r="F124" s="147" t="s">
        <v>63</v>
      </c>
      <c r="G124" s="103"/>
      <c r="H124" s="157"/>
      <c r="I124" s="47"/>
    </row>
    <row r="125" customFormat="false" ht="12.75" hidden="false" customHeight="false" outlineLevel="0" collapsed="false">
      <c r="A125" s="47" t="n">
        <f aca="false">A124+1</f>
        <v>8</v>
      </c>
      <c r="B125" s="89"/>
      <c r="C125" s="47" t="s">
        <v>126</v>
      </c>
      <c r="D125" s="87" t="str">
        <f aca="false">VLOOKUP(C125,[1]Sheet1!$C$5:$E$205,2,0)</f>
        <v>TEKNIK KENDALI DIGITAL</v>
      </c>
      <c r="E125" s="47" t="n">
        <f aca="false">VLOOKUP(C125,[1]Sheet1!$C$5:$E$205,3,0)</f>
        <v>2</v>
      </c>
      <c r="F125" s="147" t="s">
        <v>53</v>
      </c>
      <c r="G125" s="103"/>
      <c r="H125" s="157"/>
      <c r="I125" s="47"/>
    </row>
    <row r="126" customFormat="false" ht="12.75" hidden="false" customHeight="false" outlineLevel="0" collapsed="false">
      <c r="A126" s="186" t="n">
        <f aca="false">A125+1</f>
        <v>9</v>
      </c>
      <c r="B126" s="89"/>
      <c r="C126" s="186" t="s">
        <v>127</v>
      </c>
      <c r="D126" s="187" t="str">
        <f aca="false">VLOOKUP(C126,[1]Sheet1!$C$5:$E$205,2,0)</f>
        <v>MK PILIHAN III</v>
      </c>
      <c r="E126" s="186" t="n">
        <f aca="false">VLOOKUP(C126,[1]Sheet1!$C$5:$E$205,3,0)</f>
        <v>2</v>
      </c>
      <c r="F126" s="218"/>
      <c r="G126" s="219"/>
      <c r="H126" s="221"/>
      <c r="I126" s="186"/>
    </row>
    <row r="127" customFormat="false" ht="13.5" hidden="false" customHeight="false" outlineLevel="0" collapsed="false">
      <c r="A127" s="193"/>
      <c r="B127" s="193"/>
      <c r="C127" s="193"/>
      <c r="D127" s="193"/>
      <c r="E127" s="193" t="n">
        <f aca="false">SUM(E121:E126)+SUM(E118:E120)</f>
        <v>18</v>
      </c>
      <c r="F127" s="214"/>
      <c r="G127" s="215"/>
      <c r="H127" s="216"/>
      <c r="I127" s="197"/>
    </row>
    <row r="128" customFormat="false" ht="13.5" hidden="false" customHeight="false" outlineLevel="0" collapsed="false">
      <c r="A128" s="47" t="n">
        <v>1</v>
      </c>
      <c r="B128" s="89" t="s">
        <v>140</v>
      </c>
      <c r="C128" s="47" t="s">
        <v>141</v>
      </c>
      <c r="D128" s="87" t="str">
        <f aca="false">VLOOKUP(C128,[1]Sheet1!$C$5:$E$205,2,0)</f>
        <v>KULIAH KERJA NYATA (KKN)</v>
      </c>
      <c r="E128" s="47" t="n">
        <f aca="false">VLOOKUP(C128,[1]Sheet1!$C$5:$E$205,3,0)</f>
        <v>4</v>
      </c>
      <c r="F128" s="50" t="s">
        <v>153</v>
      </c>
      <c r="G128" s="51"/>
      <c r="H128" s="52"/>
      <c r="I128" s="150"/>
    </row>
    <row r="129" customFormat="false" ht="12.75" hidden="false" customHeight="false" outlineLevel="0" collapsed="false">
      <c r="A129" s="47" t="n">
        <f aca="false">A128+1</f>
        <v>2</v>
      </c>
      <c r="B129" s="89"/>
      <c r="C129" s="47" t="s">
        <v>142</v>
      </c>
      <c r="D129" s="87" t="str">
        <f aca="false">VLOOKUP(C129,[1]Sheet1!$C$5:$E$205,2,0)</f>
        <v>LINGKUNGAN DAN ETIKA REKAYASA</v>
      </c>
      <c r="E129" s="47" t="n">
        <f aca="false">VLOOKUP(C129,[1]Sheet1!$C$5:$E$205,3,0)</f>
        <v>2</v>
      </c>
      <c r="F129" s="50" t="s">
        <v>25</v>
      </c>
      <c r="G129" s="51"/>
      <c r="H129" s="54"/>
      <c r="I129" s="118"/>
    </row>
    <row r="130" customFormat="false" ht="12.75" hidden="false" customHeight="false" outlineLevel="0" collapsed="false">
      <c r="A130" s="186" t="n">
        <f aca="false">A129+1</f>
        <v>3</v>
      </c>
      <c r="B130" s="89"/>
      <c r="C130" s="186" t="s">
        <v>143</v>
      </c>
      <c r="D130" s="187" t="str">
        <f aca="false">VLOOKUP(C130,[1]Sheet1!$C$5:$E$205,2,0)</f>
        <v>TUGAS AKHIR</v>
      </c>
      <c r="E130" s="186" t="n">
        <f aca="false">VLOOKUP(C130,[1]Sheet1!$C$5:$E$205,3,0)</f>
        <v>4</v>
      </c>
      <c r="F130" s="188" t="s">
        <v>154</v>
      </c>
      <c r="G130" s="189"/>
      <c r="H130" s="190"/>
      <c r="I130" s="191"/>
    </row>
    <row r="131" customFormat="false" ht="13.5" hidden="false" customHeight="false" outlineLevel="0" collapsed="false">
      <c r="A131" s="193"/>
      <c r="B131" s="193"/>
      <c r="C131" s="193"/>
      <c r="D131" s="193"/>
      <c r="E131" s="193" t="n">
        <f aca="false">SUM(E128:E130)</f>
        <v>10</v>
      </c>
      <c r="F131" s="214"/>
      <c r="G131" s="215"/>
      <c r="H131" s="216"/>
      <c r="I131" s="197"/>
    </row>
    <row r="132" customFormat="false" ht="13.5" hidden="false" customHeight="false" outlineLevel="0" collapsed="false">
      <c r="A132" s="125"/>
      <c r="B132" s="125"/>
      <c r="C132" s="125"/>
      <c r="D132" s="125"/>
      <c r="E132" s="125"/>
      <c r="F132" s="125"/>
      <c r="G132" s="125"/>
      <c r="H132" s="126"/>
      <c r="I132" s="126"/>
    </row>
    <row r="134" customFormat="false" ht="12.75" hidden="false" customHeight="false" outlineLevel="0" collapsed="false">
      <c r="A134" s="3" t="s">
        <v>0</v>
      </c>
      <c r="B134" s="3"/>
      <c r="C134" s="3"/>
      <c r="D134" s="3"/>
      <c r="E134" s="3"/>
      <c r="F134" s="3"/>
      <c r="G134" s="3"/>
      <c r="H134" s="3"/>
      <c r="I134" s="3"/>
    </row>
    <row r="135" customFormat="false" ht="12.75" hidden="false" customHeight="false" outlineLevel="0" collapsed="false">
      <c r="A135" s="3" t="s">
        <v>263</v>
      </c>
      <c r="B135" s="3"/>
      <c r="C135" s="3"/>
      <c r="D135" s="3"/>
      <c r="E135" s="3"/>
      <c r="F135" s="3"/>
      <c r="G135" s="3"/>
      <c r="H135" s="3"/>
      <c r="I135" s="3"/>
    </row>
    <row r="136" customFormat="false" ht="12.75" hidden="false" customHeight="false" outlineLevel="0" collapsed="false">
      <c r="A136" s="3" t="s">
        <v>266</v>
      </c>
      <c r="B136" s="3"/>
      <c r="C136" s="3"/>
      <c r="D136" s="3"/>
      <c r="E136" s="3"/>
      <c r="F136" s="3"/>
      <c r="G136" s="3"/>
      <c r="H136" s="3"/>
      <c r="I136" s="3"/>
    </row>
    <row r="137" customFormat="false" ht="13.5" hidden="false" customHeight="false" outlineLevel="0" collapsed="false">
      <c r="A137" s="217"/>
      <c r="B137" s="217"/>
      <c r="C137" s="217"/>
      <c r="D137" s="217"/>
      <c r="E137" s="217"/>
      <c r="F137" s="217"/>
      <c r="G137" s="217"/>
      <c r="H137" s="217"/>
      <c r="I137" s="217"/>
    </row>
    <row r="138" customFormat="false" ht="14.25" hidden="false" customHeight="false" outlineLevel="0" collapsed="false">
      <c r="A138" s="38" t="s">
        <v>3</v>
      </c>
      <c r="B138" s="38" t="s">
        <v>4</v>
      </c>
      <c r="C138" s="210" t="s">
        <v>5</v>
      </c>
      <c r="D138" s="38" t="s">
        <v>6</v>
      </c>
      <c r="E138" s="38" t="s">
        <v>7</v>
      </c>
      <c r="F138" s="38" t="s">
        <v>8</v>
      </c>
      <c r="G138" s="38"/>
      <c r="H138" s="38"/>
      <c r="I138" s="38" t="s">
        <v>9</v>
      </c>
    </row>
    <row r="139" customFormat="false" ht="13.5" hidden="false" customHeight="false" outlineLevel="0" collapsed="false">
      <c r="A139" s="47" t="n">
        <v>1</v>
      </c>
      <c r="B139" s="89" t="s">
        <v>51</v>
      </c>
      <c r="C139" s="47" t="s">
        <v>52</v>
      </c>
      <c r="D139" s="87" t="str">
        <f aca="false">VLOOKUP(C139,[1]Sheet1!$C$5:$E$205,2,0)</f>
        <v>SISTEM MIKROPROSESOR</v>
      </c>
      <c r="E139" s="47" t="n">
        <f aca="false">VLOOKUP(C139,[1]Sheet1!$C$5:$E$205,3,0)</f>
        <v>3</v>
      </c>
      <c r="F139" s="50" t="s">
        <v>24</v>
      </c>
      <c r="G139" s="51"/>
      <c r="H139" s="54"/>
      <c r="I139" s="118"/>
    </row>
    <row r="140" customFormat="false" ht="12.75" hidden="false" customHeight="false" outlineLevel="0" collapsed="false">
      <c r="A140" s="47" t="n">
        <f aca="false">A139+1</f>
        <v>2</v>
      </c>
      <c r="B140" s="89"/>
      <c r="C140" s="47" t="s">
        <v>53</v>
      </c>
      <c r="D140" s="87" t="str">
        <f aca="false">VLOOKUP(C140,[1]Sheet1!$C$5:$E$205,2,0)</f>
        <v>SISTEM KENDALI</v>
      </c>
      <c r="E140" s="47" t="n">
        <f aca="false">VLOOKUP(C140,[1]Sheet1!$C$5:$E$205,3,0)</f>
        <v>3</v>
      </c>
      <c r="F140" s="50" t="s">
        <v>31</v>
      </c>
      <c r="G140" s="51"/>
      <c r="H140" s="52"/>
      <c r="I140" s="150"/>
    </row>
    <row r="141" customFormat="false" ht="12.75" hidden="false" customHeight="false" outlineLevel="0" collapsed="false">
      <c r="A141" s="47" t="n">
        <f aca="false">A140+1</f>
        <v>3</v>
      </c>
      <c r="B141" s="89"/>
      <c r="C141" s="47" t="s">
        <v>54</v>
      </c>
      <c r="D141" s="87" t="str">
        <f aca="false">VLOOKUP(C141,[1]Sheet1!$C$5:$E$205,2,0)</f>
        <v>PRAKTIKUM SISTEM KENDALI</v>
      </c>
      <c r="E141" s="47" t="n">
        <f aca="false">VLOOKUP(C141,[1]Sheet1!$C$5:$E$205,3,0)</f>
        <v>1</v>
      </c>
      <c r="F141" s="50" t="s">
        <v>151</v>
      </c>
      <c r="G141" s="51" t="s">
        <v>53</v>
      </c>
      <c r="H141" s="52"/>
      <c r="I141" s="150"/>
    </row>
    <row r="142" customFormat="false" ht="12.75" hidden="false" customHeight="false" outlineLevel="0" collapsed="false">
      <c r="A142" s="47" t="n">
        <f aca="false">A141+1</f>
        <v>4</v>
      </c>
      <c r="B142" s="89"/>
      <c r="C142" s="47" t="s">
        <v>55</v>
      </c>
      <c r="D142" s="87" t="str">
        <f aca="false">VLOOKUP(C142,[1]Sheet1!$C$5:$E$205,2,0)</f>
        <v>PRAKTIKUM RANGKAIAN LISTRIK</v>
      </c>
      <c r="E142" s="47" t="n">
        <f aca="false">VLOOKUP(C142,[1]Sheet1!$C$5:$E$205,3,0)</f>
        <v>1</v>
      </c>
      <c r="F142" s="50" t="s">
        <v>33</v>
      </c>
      <c r="G142" s="51" t="s">
        <v>47</v>
      </c>
      <c r="H142" s="52"/>
      <c r="I142" s="150"/>
    </row>
    <row r="143" customFormat="false" ht="12.75" hidden="false" customHeight="false" outlineLevel="0" collapsed="false">
      <c r="A143" s="47" t="n">
        <f aca="false">A142+1</f>
        <v>5</v>
      </c>
      <c r="B143" s="89"/>
      <c r="C143" s="47" t="s">
        <v>56</v>
      </c>
      <c r="D143" s="87" t="str">
        <f aca="false">VLOOKUP(C143,[1]Sheet1!$C$5:$E$205,2,0)</f>
        <v>EKONOMI TEKNIK</v>
      </c>
      <c r="E143" s="47" t="n">
        <f aca="false">VLOOKUP(C143,[1]Sheet1!$C$5:$E$205,3,0)</f>
        <v>2</v>
      </c>
      <c r="F143" s="50" t="s">
        <v>150</v>
      </c>
      <c r="G143" s="51"/>
      <c r="H143" s="52"/>
      <c r="I143" s="150"/>
    </row>
    <row r="144" customFormat="false" ht="12.75" hidden="false" customHeight="false" outlineLevel="0" collapsed="false">
      <c r="A144" s="47" t="n">
        <v>6</v>
      </c>
      <c r="B144" s="89"/>
      <c r="C144" s="47" t="s">
        <v>69</v>
      </c>
      <c r="D144" s="87" t="str">
        <f aca="false">VLOOKUP(C144,[1]Sheet1!$C$5:$E$205,2,0)</f>
        <v>ELEKTROMAGNETIK LANJUT</v>
      </c>
      <c r="E144" s="47" t="n">
        <f aca="false">VLOOKUP(C144,[1]Sheet1!$C$5:$E$205,3,0)</f>
        <v>2</v>
      </c>
      <c r="F144" s="50" t="s">
        <v>48</v>
      </c>
      <c r="G144" s="51"/>
      <c r="H144" s="54"/>
      <c r="I144" s="118"/>
    </row>
    <row r="145" customFormat="false" ht="12.75" hidden="false" customHeight="false" outlineLevel="0" collapsed="false">
      <c r="A145" s="47" t="n">
        <f aca="false">A144+1</f>
        <v>7</v>
      </c>
      <c r="B145" s="89"/>
      <c r="C145" s="47" t="s">
        <v>70</v>
      </c>
      <c r="D145" s="87" t="str">
        <f aca="false">VLOOKUP(C145,[1]Sheet1!$C$5:$E$205,2,0)</f>
        <v>SISTEM TELEKOMUNIKASI</v>
      </c>
      <c r="E145" s="47" t="n">
        <f aca="false">VLOOKUP(C145,[1]Sheet1!$C$5:$E$205,3,0)</f>
        <v>3</v>
      </c>
      <c r="F145" s="50" t="s">
        <v>26</v>
      </c>
      <c r="G145" s="51"/>
      <c r="H145" s="52"/>
      <c r="I145" s="150"/>
    </row>
    <row r="146" customFormat="false" ht="12.75" hidden="false" customHeight="false" outlineLevel="0" collapsed="false">
      <c r="A146" s="47" t="n">
        <f aca="false">A145+1</f>
        <v>8</v>
      </c>
      <c r="B146" s="89"/>
      <c r="C146" s="47" t="s">
        <v>71</v>
      </c>
      <c r="D146" s="87" t="str">
        <f aca="false">VLOOKUP(C146,[1]Sheet1!$C$5:$E$205,2,0)</f>
        <v>JARINGAN TELEKOMUNIKASI</v>
      </c>
      <c r="E146" s="47" t="n">
        <f aca="false">VLOOKUP(C146,[1]Sheet1!$C$5:$E$205,3,0)</f>
        <v>3</v>
      </c>
      <c r="F146" s="50" t="s">
        <v>151</v>
      </c>
      <c r="G146" s="51" t="s">
        <v>70</v>
      </c>
      <c r="H146" s="52"/>
      <c r="I146" s="150"/>
    </row>
    <row r="147" customFormat="false" ht="12.75" hidden="false" customHeight="false" outlineLevel="0" collapsed="false">
      <c r="A147" s="186" t="n">
        <f aca="false">A146+1</f>
        <v>9</v>
      </c>
      <c r="B147" s="89"/>
      <c r="C147" s="186" t="s">
        <v>72</v>
      </c>
      <c r="D147" s="187" t="str">
        <f aca="false">VLOOKUP(C147,[1]Sheet1!$C$5:$E$205,2,0)</f>
        <v>REKAYASA TRAFIK</v>
      </c>
      <c r="E147" s="186" t="n">
        <f aca="false">VLOOKUP(C147,[1]Sheet1!$C$5:$E$205,3,0)</f>
        <v>2</v>
      </c>
      <c r="F147" s="188"/>
      <c r="G147" s="189"/>
      <c r="H147" s="198"/>
      <c r="I147" s="199"/>
    </row>
    <row r="148" customFormat="false" ht="13.5" hidden="false" customHeight="false" outlineLevel="0" collapsed="false">
      <c r="A148" s="193"/>
      <c r="B148" s="193"/>
      <c r="C148" s="193"/>
      <c r="D148" s="193"/>
      <c r="E148" s="193" t="n">
        <f aca="false">SUM(E144:E147)+SUM(E139:E143)</f>
        <v>20</v>
      </c>
      <c r="F148" s="194"/>
      <c r="G148" s="195"/>
      <c r="H148" s="196"/>
      <c r="I148" s="197"/>
    </row>
    <row r="149" customFormat="false" ht="13.5" hidden="false" customHeight="false" outlineLevel="0" collapsed="false">
      <c r="A149" s="47" t="n">
        <v>1</v>
      </c>
      <c r="B149" s="200" t="s">
        <v>78</v>
      </c>
      <c r="C149" s="47" t="s">
        <v>79</v>
      </c>
      <c r="D149" s="87" t="str">
        <f aca="false">VLOOKUP(C149,[1]Sheet1!$C$5:$E$205,2,0)</f>
        <v>PRAKTIKUM SISTEM MIKROPROSESOR</v>
      </c>
      <c r="E149" s="47" t="n">
        <f aca="false">VLOOKUP(C149,[1]Sheet1!$C$5:$E$205,3,0)</f>
        <v>1</v>
      </c>
      <c r="F149" s="50" t="s">
        <v>52</v>
      </c>
      <c r="G149" s="51"/>
      <c r="H149" s="52"/>
      <c r="I149" s="150"/>
    </row>
    <row r="150" customFormat="false" ht="12.75" hidden="false" customHeight="false" outlineLevel="0" collapsed="false">
      <c r="A150" s="47" t="n">
        <v>2</v>
      </c>
      <c r="B150" s="200"/>
      <c r="C150" s="47" t="s">
        <v>96</v>
      </c>
      <c r="D150" s="87" t="str">
        <f aca="false">VLOOKUP(C150,[1]Sheet1!$C$5:$E$205,2,0)</f>
        <v>TRANSMISI GELOMBANG ELEKTROMANETIK I</v>
      </c>
      <c r="E150" s="47" t="n">
        <f aca="false">VLOOKUP(C150,[1]Sheet1!$C$5:$E$205,3,0)</f>
        <v>3</v>
      </c>
      <c r="F150" s="50" t="s">
        <v>48</v>
      </c>
      <c r="G150" s="51"/>
      <c r="H150" s="52"/>
      <c r="I150" s="150"/>
    </row>
    <row r="151" customFormat="false" ht="12.75" hidden="false" customHeight="false" outlineLevel="0" collapsed="false">
      <c r="A151" s="47" t="n">
        <f aca="false">A150+1</f>
        <v>3</v>
      </c>
      <c r="B151" s="200"/>
      <c r="C151" s="47" t="s">
        <v>97</v>
      </c>
      <c r="D151" s="87" t="str">
        <f aca="false">VLOOKUP(C151,[1]Sheet1!$C$5:$E$205,2,0)</f>
        <v>PENGOLAHAN SINYAL DIGITAL</v>
      </c>
      <c r="E151" s="47" t="n">
        <f aca="false">VLOOKUP(C151,[1]Sheet1!$C$5:$E$205,3,0)</f>
        <v>3</v>
      </c>
      <c r="F151" s="50" t="s">
        <v>24</v>
      </c>
      <c r="G151" s="51" t="s">
        <v>43</v>
      </c>
      <c r="H151" s="52"/>
      <c r="I151" s="150"/>
    </row>
    <row r="152" customFormat="false" ht="12.75" hidden="false" customHeight="false" outlineLevel="0" collapsed="false">
      <c r="A152" s="47" t="n">
        <f aca="false">A151+1</f>
        <v>4</v>
      </c>
      <c r="B152" s="200"/>
      <c r="C152" s="47" t="s">
        <v>98</v>
      </c>
      <c r="D152" s="87" t="str">
        <f aca="false">VLOOKUP(C152,[1]Sheet1!$C$5:$E$205,2,0)</f>
        <v>KOMUNIKASI DIGITAL</v>
      </c>
      <c r="E152" s="47" t="n">
        <f aca="false">VLOOKUP(C152,[1]Sheet1!$C$5:$E$205,3,0)</f>
        <v>2</v>
      </c>
      <c r="F152" s="50" t="s">
        <v>70</v>
      </c>
      <c r="G152" s="51"/>
      <c r="H152" s="52"/>
      <c r="I152" s="150"/>
    </row>
    <row r="153" customFormat="false" ht="12.75" hidden="false" customHeight="false" outlineLevel="0" collapsed="false">
      <c r="A153" s="47" t="n">
        <f aca="false">A152+1</f>
        <v>5</v>
      </c>
      <c r="B153" s="200"/>
      <c r="C153" s="47" t="s">
        <v>99</v>
      </c>
      <c r="D153" s="87" t="str">
        <f aca="false">VLOOKUP(C153,[1]Sheet1!$C$5:$E$205,2,0)</f>
        <v>ELEKTRONIKA TELEKOMUNIKASI</v>
      </c>
      <c r="E153" s="47" t="n">
        <f aca="false">VLOOKUP(C153,[1]Sheet1!$C$5:$E$205,3,0)</f>
        <v>3</v>
      </c>
      <c r="F153" s="50" t="s">
        <v>26</v>
      </c>
      <c r="G153" s="51" t="s">
        <v>36</v>
      </c>
      <c r="H153" s="52"/>
      <c r="I153" s="150"/>
    </row>
    <row r="154" customFormat="false" ht="12.75" hidden="false" customHeight="false" outlineLevel="0" collapsed="false">
      <c r="A154" s="47" t="n">
        <f aca="false">A153+1</f>
        <v>6</v>
      </c>
      <c r="B154" s="200"/>
      <c r="C154" s="47" t="s">
        <v>100</v>
      </c>
      <c r="D154" s="87" t="str">
        <f aca="false">VLOOKUP(C154,[1]Sheet1!$C$5:$E$205,2,0)</f>
        <v>PRAKTIKUM JARINGAN TELEKOMUNIKASI</v>
      </c>
      <c r="E154" s="47" t="n">
        <f aca="false">VLOOKUP(C154,[1]Sheet1!$C$5:$E$205,3,0)</f>
        <v>1</v>
      </c>
      <c r="F154" s="50" t="s">
        <v>71</v>
      </c>
      <c r="G154" s="51"/>
      <c r="H154" s="52"/>
      <c r="I154" s="150"/>
    </row>
    <row r="155" customFormat="false" ht="12.75" hidden="false" customHeight="false" outlineLevel="0" collapsed="false">
      <c r="A155" s="47" t="n">
        <f aca="false">A154+1</f>
        <v>7</v>
      </c>
      <c r="B155" s="200"/>
      <c r="C155" s="47" t="s">
        <v>101</v>
      </c>
      <c r="D155" s="87" t="str">
        <f aca="false">VLOOKUP(C155,[1]Sheet1!$C$5:$E$205,2,0)</f>
        <v>KOMUNIKASI DATA DAN JARINGAN KOMPUTER</v>
      </c>
      <c r="E155" s="47" t="n">
        <f aca="false">VLOOKUP(C155,[1]Sheet1!$C$5:$E$205,3,0)</f>
        <v>3</v>
      </c>
      <c r="F155" s="50" t="s">
        <v>26</v>
      </c>
      <c r="G155" s="51" t="s">
        <v>32</v>
      </c>
      <c r="H155" s="52"/>
      <c r="I155" s="150"/>
    </row>
    <row r="156" customFormat="false" ht="12.75" hidden="false" customHeight="false" outlineLevel="0" collapsed="false">
      <c r="A156" s="186" t="n">
        <f aca="false">A155+1</f>
        <v>8</v>
      </c>
      <c r="B156" s="200"/>
      <c r="C156" s="186" t="s">
        <v>102</v>
      </c>
      <c r="D156" s="187" t="str">
        <f aca="false">VLOOKUP(C156,[1]Sheet1!$C$5:$E$205,2,0)</f>
        <v>MK PILIHAN I</v>
      </c>
      <c r="E156" s="186" t="n">
        <f aca="false">VLOOKUP(C156,[1]Sheet1!$C$5:$E$205,3,0)</f>
        <v>2</v>
      </c>
      <c r="F156" s="188"/>
      <c r="G156" s="189"/>
      <c r="H156" s="198"/>
      <c r="I156" s="199"/>
    </row>
    <row r="157" customFormat="false" ht="13.5" hidden="false" customHeight="false" outlineLevel="0" collapsed="false">
      <c r="A157" s="193"/>
      <c r="B157" s="193"/>
      <c r="C157" s="193"/>
      <c r="D157" s="193"/>
      <c r="E157" s="193" t="n">
        <f aca="false">SUM(E150:E156)+SUM(E149)</f>
        <v>18</v>
      </c>
      <c r="F157" s="194"/>
      <c r="G157" s="195"/>
      <c r="H157" s="196"/>
      <c r="I157" s="197"/>
    </row>
    <row r="158" customFormat="false" ht="13.5" hidden="false" customHeight="false" outlineLevel="0" collapsed="false">
      <c r="A158" s="103" t="n">
        <v>1</v>
      </c>
      <c r="B158" s="89" t="s">
        <v>111</v>
      </c>
      <c r="C158" s="47" t="s">
        <v>112</v>
      </c>
      <c r="D158" s="87" t="str">
        <f aca="false">VLOOKUP(C158,[1]Sheet1!$C$5:$E$205,2,0)</f>
        <v>PROSES STOKASTIK</v>
      </c>
      <c r="E158" s="47" t="n">
        <f aca="false">VLOOKUP(C158,[1]Sheet1!$C$5:$E$205,3,0)</f>
        <v>2</v>
      </c>
      <c r="F158" s="50" t="s">
        <v>45</v>
      </c>
      <c r="G158" s="51"/>
      <c r="H158" s="52"/>
      <c r="I158" s="150"/>
    </row>
    <row r="159" customFormat="false" ht="12.75" hidden="false" customHeight="false" outlineLevel="0" collapsed="false">
      <c r="A159" s="47" t="n">
        <f aca="false">A158+1</f>
        <v>2</v>
      </c>
      <c r="B159" s="89"/>
      <c r="C159" s="47" t="s">
        <v>113</v>
      </c>
      <c r="D159" s="87" t="str">
        <f aca="false">VLOOKUP(C159,[1]Sheet1!$C$5:$E$205,2,0)</f>
        <v>PRAKTEK KERJA LAPANGAN</v>
      </c>
      <c r="E159" s="47" t="n">
        <f aca="false">VLOOKUP(C159,[1]Sheet1!$C$5:$E$205,3,0)</f>
        <v>2</v>
      </c>
      <c r="F159" s="50" t="s">
        <v>152</v>
      </c>
      <c r="G159" s="51"/>
      <c r="H159" s="52"/>
      <c r="I159" s="150"/>
    </row>
    <row r="160" customFormat="false" ht="12.75" hidden="false" customHeight="false" outlineLevel="0" collapsed="false">
      <c r="A160" s="47" t="n">
        <f aca="false">A159+1</f>
        <v>3</v>
      </c>
      <c r="B160" s="89"/>
      <c r="C160" s="47" t="s">
        <v>114</v>
      </c>
      <c r="D160" s="87" t="str">
        <f aca="false">VLOOKUP(C160,[1]Sheet1!$C$5:$E$205,2,0)</f>
        <v>PRA TUGAS AKHIR</v>
      </c>
      <c r="E160" s="47" t="n">
        <f aca="false">VLOOKUP(C160,[1]Sheet1!$C$5:$E$205,3,0)</f>
        <v>2</v>
      </c>
      <c r="F160" s="50" t="s">
        <v>152</v>
      </c>
      <c r="G160" s="51"/>
      <c r="H160" s="52"/>
      <c r="I160" s="150"/>
    </row>
    <row r="161" customFormat="false" ht="12.75" hidden="false" customHeight="false" outlineLevel="0" collapsed="false">
      <c r="A161" s="47" t="n">
        <v>4</v>
      </c>
      <c r="B161" s="89"/>
      <c r="C161" s="47" t="s">
        <v>128</v>
      </c>
      <c r="D161" s="87" t="str">
        <f aca="false">VLOOKUP(C161,[1]Sheet1!$C$5:$E$205,2,0)</f>
        <v>TRANSMISI GELOMBANG ELEKTROMANETIK II</v>
      </c>
      <c r="E161" s="47" t="n">
        <f aca="false">VLOOKUP(C161,[1]Sheet1!$C$5:$E$205,3,0)</f>
        <v>2</v>
      </c>
      <c r="F161" s="50" t="s">
        <v>96</v>
      </c>
      <c r="G161" s="51"/>
      <c r="H161" s="86"/>
      <c r="I161" s="47"/>
    </row>
    <row r="162" customFormat="false" ht="12.75" hidden="false" customHeight="false" outlineLevel="0" collapsed="false">
      <c r="A162" s="47" t="n">
        <f aca="false">A161+1</f>
        <v>5</v>
      </c>
      <c r="B162" s="89"/>
      <c r="C162" s="47" t="s">
        <v>129</v>
      </c>
      <c r="D162" s="87" t="str">
        <f aca="false">VLOOKUP(C162,[1]Sheet1!$C$5:$E$205,2,0)</f>
        <v>ANTENA DAN PROPAGASI</v>
      </c>
      <c r="E162" s="47" t="n">
        <f aca="false">VLOOKUP(C162,[1]Sheet1!$C$5:$E$205,3,0)</f>
        <v>2</v>
      </c>
      <c r="F162" s="50" t="s">
        <v>96</v>
      </c>
      <c r="G162" s="51"/>
      <c r="H162" s="54"/>
      <c r="I162" s="118"/>
    </row>
    <row r="163" customFormat="false" ht="12.75" hidden="false" customHeight="false" outlineLevel="0" collapsed="false">
      <c r="A163" s="47" t="n">
        <f aca="false">A162+1</f>
        <v>6</v>
      </c>
      <c r="B163" s="89"/>
      <c r="C163" s="47" t="s">
        <v>130</v>
      </c>
      <c r="D163" s="87" t="str">
        <f aca="false">VLOOKUP(C163,[1]Sheet1!$C$5:$E$205,2,0)</f>
        <v>PENGUKURAN SISTEM TELEKOMUNIKASI</v>
      </c>
      <c r="E163" s="47" t="n">
        <f aca="false">VLOOKUP(C163,[1]Sheet1!$C$5:$E$205,3,0)</f>
        <v>2</v>
      </c>
      <c r="F163" s="50" t="s">
        <v>96</v>
      </c>
      <c r="G163" s="51" t="s">
        <v>70</v>
      </c>
      <c r="H163" s="86" t="s">
        <v>99</v>
      </c>
      <c r="I163" s="47"/>
    </row>
    <row r="164" customFormat="false" ht="12.75" hidden="false" customHeight="false" outlineLevel="0" collapsed="false">
      <c r="A164" s="47" t="n">
        <f aca="false">A163+1</f>
        <v>7</v>
      </c>
      <c r="B164" s="89"/>
      <c r="C164" s="47" t="s">
        <v>131</v>
      </c>
      <c r="D164" s="87" t="str">
        <f aca="false">VLOOKUP(C164,[1]Sheet1!$C$5:$E$205,2,0)</f>
        <v>PRAKTIKUM SISTEM TELEKOMUNIKASI</v>
      </c>
      <c r="E164" s="47" t="n">
        <f aca="false">VLOOKUP(C164,[1]Sheet1!$C$5:$E$205,3,0)</f>
        <v>1</v>
      </c>
      <c r="F164" s="50" t="s">
        <v>70</v>
      </c>
      <c r="G164" s="51"/>
      <c r="H164" s="86"/>
      <c r="I164" s="47"/>
    </row>
    <row r="165" customFormat="false" ht="12.75" hidden="false" customHeight="false" outlineLevel="0" collapsed="false">
      <c r="A165" s="47" t="n">
        <f aca="false">A164+1</f>
        <v>8</v>
      </c>
      <c r="B165" s="89"/>
      <c r="C165" s="47" t="s">
        <v>132</v>
      </c>
      <c r="D165" s="87" t="str">
        <f aca="false">VLOOKUP(C165,[1]Sheet1!$C$5:$E$205,2,0)</f>
        <v>MK PILIHAN II</v>
      </c>
      <c r="E165" s="47" t="n">
        <f aca="false">VLOOKUP(C165,[1]Sheet1!$C$5:$E$205,3,0)</f>
        <v>2</v>
      </c>
      <c r="F165" s="50"/>
      <c r="G165" s="51"/>
      <c r="H165" s="86"/>
      <c r="I165" s="47"/>
    </row>
    <row r="166" customFormat="false" ht="12.75" hidden="false" customHeight="false" outlineLevel="0" collapsed="false">
      <c r="A166" s="47" t="n">
        <f aca="false">A165+1</f>
        <v>9</v>
      </c>
      <c r="B166" s="89"/>
      <c r="C166" s="47" t="s">
        <v>133</v>
      </c>
      <c r="D166" s="87" t="str">
        <f aca="false">VLOOKUP(C166,[1]Sheet1!$C$5:$E$205,2,0)</f>
        <v>MK PILIHAN III</v>
      </c>
      <c r="E166" s="47" t="n">
        <f aca="false">VLOOKUP(C166,[1]Sheet1!$C$5:$E$205,3,0)</f>
        <v>2</v>
      </c>
      <c r="F166" s="50"/>
      <c r="G166" s="51"/>
      <c r="H166" s="86"/>
      <c r="I166" s="47"/>
    </row>
    <row r="167" customFormat="false" ht="12.75" hidden="false" customHeight="false" outlineLevel="0" collapsed="false">
      <c r="A167" s="186"/>
      <c r="B167" s="89"/>
      <c r="C167" s="186"/>
      <c r="D167" s="186"/>
      <c r="E167" s="186"/>
      <c r="F167" s="188"/>
      <c r="G167" s="189"/>
      <c r="H167" s="204"/>
      <c r="I167" s="186"/>
    </row>
    <row r="168" customFormat="false" ht="13.5" hidden="false" customHeight="false" outlineLevel="0" collapsed="false">
      <c r="A168" s="193"/>
      <c r="B168" s="193"/>
      <c r="C168" s="193"/>
      <c r="D168" s="193"/>
      <c r="E168" s="193" t="n">
        <f aca="false">SUM(E161:E166)+SUM(E158:E160)</f>
        <v>17</v>
      </c>
      <c r="F168" s="194"/>
      <c r="G168" s="195"/>
      <c r="H168" s="196"/>
      <c r="I168" s="197"/>
    </row>
    <row r="169" customFormat="false" ht="13.5" hidden="false" customHeight="false" outlineLevel="0" collapsed="false">
      <c r="A169" s="47" t="n">
        <v>1</v>
      </c>
      <c r="B169" s="89" t="s">
        <v>140</v>
      </c>
      <c r="C169" s="47" t="s">
        <v>141</v>
      </c>
      <c r="D169" s="87" t="str">
        <f aca="false">VLOOKUP(C169,[1]Sheet1!$C$5:$E$205,2,0)</f>
        <v>KULIAH KERJA NYATA (KKN)</v>
      </c>
      <c r="E169" s="47" t="n">
        <f aca="false">VLOOKUP(C169,[1]Sheet1!$C$5:$E$205,3,0)</f>
        <v>4</v>
      </c>
      <c r="F169" s="50" t="s">
        <v>153</v>
      </c>
      <c r="G169" s="51"/>
      <c r="H169" s="52"/>
      <c r="I169" s="150"/>
    </row>
    <row r="170" customFormat="false" ht="12.75" hidden="false" customHeight="false" outlineLevel="0" collapsed="false">
      <c r="A170" s="47" t="n">
        <f aca="false">A169+1</f>
        <v>2</v>
      </c>
      <c r="B170" s="89"/>
      <c r="C170" s="47" t="s">
        <v>142</v>
      </c>
      <c r="D170" s="87" t="str">
        <f aca="false">VLOOKUP(C170,[1]Sheet1!$C$5:$E$205,2,0)</f>
        <v>LINGKUNGAN DAN ETIKA REKAYASA</v>
      </c>
      <c r="E170" s="47" t="n">
        <f aca="false">VLOOKUP(C170,[1]Sheet1!$C$5:$E$205,3,0)</f>
        <v>2</v>
      </c>
      <c r="F170" s="50" t="s">
        <v>25</v>
      </c>
      <c r="G170" s="51"/>
      <c r="H170" s="54"/>
      <c r="I170" s="118"/>
    </row>
    <row r="171" customFormat="false" ht="12.75" hidden="false" customHeight="false" outlineLevel="0" collapsed="false">
      <c r="A171" s="186" t="n">
        <f aca="false">A170+1</f>
        <v>3</v>
      </c>
      <c r="B171" s="89"/>
      <c r="C171" s="186" t="s">
        <v>143</v>
      </c>
      <c r="D171" s="187" t="str">
        <f aca="false">VLOOKUP(C171,[1]Sheet1!$C$5:$E$205,2,0)</f>
        <v>TUGAS AKHIR</v>
      </c>
      <c r="E171" s="186" t="n">
        <f aca="false">VLOOKUP(C171,[1]Sheet1!$C$5:$E$205,3,0)</f>
        <v>4</v>
      </c>
      <c r="F171" s="188" t="s">
        <v>154</v>
      </c>
      <c r="G171" s="189"/>
      <c r="H171" s="190"/>
      <c r="I171" s="191"/>
    </row>
    <row r="172" customFormat="false" ht="13.5" hidden="false" customHeight="false" outlineLevel="0" collapsed="false">
      <c r="A172" s="193"/>
      <c r="B172" s="193"/>
      <c r="C172" s="193"/>
      <c r="D172" s="193"/>
      <c r="E172" s="193" t="n">
        <f aca="false">SUM(E169:E171)</f>
        <v>10</v>
      </c>
      <c r="F172" s="214"/>
      <c r="G172" s="215"/>
      <c r="H172" s="216"/>
      <c r="I172" s="197"/>
    </row>
    <row r="173" customFormat="false" ht="13.5" hidden="false" customHeight="false" outlineLevel="0" collapsed="false">
      <c r="A173" s="125"/>
      <c r="B173" s="125"/>
      <c r="C173" s="125"/>
      <c r="D173" s="125"/>
      <c r="E173" s="125"/>
      <c r="F173" s="125"/>
      <c r="G173" s="125"/>
      <c r="H173" s="126"/>
      <c r="I173" s="126"/>
    </row>
    <row r="174" customFormat="false" ht="12.75" hidden="false" customHeight="false" outlineLevel="0" collapsed="false">
      <c r="A174" s="3" t="s">
        <v>0</v>
      </c>
      <c r="B174" s="3"/>
      <c r="C174" s="3"/>
      <c r="D174" s="3"/>
      <c r="E174" s="3"/>
      <c r="F174" s="3"/>
      <c r="G174" s="3"/>
      <c r="H174" s="3"/>
      <c r="I174" s="3"/>
    </row>
    <row r="175" customFormat="false" ht="12.75" hidden="false" customHeight="false" outlineLevel="0" collapsed="false">
      <c r="A175" s="3" t="s">
        <v>263</v>
      </c>
      <c r="B175" s="3"/>
      <c r="C175" s="3"/>
      <c r="D175" s="3"/>
      <c r="E175" s="3"/>
      <c r="F175" s="3"/>
      <c r="G175" s="3"/>
      <c r="H175" s="3"/>
      <c r="I175" s="3"/>
    </row>
    <row r="176" customFormat="false" ht="12.75" hidden="false" customHeight="false" outlineLevel="0" collapsed="false">
      <c r="A176" s="3" t="s">
        <v>267</v>
      </c>
      <c r="B176" s="3"/>
      <c r="C176" s="3"/>
      <c r="D176" s="3"/>
      <c r="E176" s="3"/>
      <c r="F176" s="3"/>
      <c r="G176" s="3"/>
      <c r="H176" s="3"/>
      <c r="I176" s="3"/>
    </row>
    <row r="177" customFormat="false" ht="13.5" hidden="false" customHeight="false" outlineLevel="0" collapsed="false"/>
    <row r="178" customFormat="false" ht="14.25" hidden="false" customHeight="false" outlineLevel="0" collapsed="false">
      <c r="A178" s="38" t="s">
        <v>3</v>
      </c>
      <c r="B178" s="38" t="s">
        <v>4</v>
      </c>
      <c r="C178" s="210" t="s">
        <v>5</v>
      </c>
      <c r="D178" s="38" t="s">
        <v>6</v>
      </c>
      <c r="E178" s="38" t="s">
        <v>7</v>
      </c>
      <c r="F178" s="38" t="s">
        <v>8</v>
      </c>
      <c r="G178" s="38"/>
      <c r="H178" s="38"/>
      <c r="I178" s="38" t="s">
        <v>9</v>
      </c>
    </row>
    <row r="179" customFormat="false" ht="13.5" hidden="false" customHeight="false" outlineLevel="0" collapsed="false">
      <c r="A179" s="47" t="n">
        <v>1</v>
      </c>
      <c r="B179" s="89" t="s">
        <v>51</v>
      </c>
      <c r="C179" s="47" t="s">
        <v>52</v>
      </c>
      <c r="D179" s="87" t="str">
        <f aca="false">VLOOKUP(C179,[1]Sheet1!$C$5:$E$205,2,0)</f>
        <v>SISTEM MIKROPROSESOR</v>
      </c>
      <c r="E179" s="47" t="n">
        <f aca="false">VLOOKUP(C179,[1]Sheet1!$C$5:$E$205,3,0)</f>
        <v>3</v>
      </c>
      <c r="F179" s="50" t="s">
        <v>24</v>
      </c>
      <c r="G179" s="51"/>
      <c r="H179" s="54"/>
      <c r="I179" s="118"/>
    </row>
    <row r="180" customFormat="false" ht="12.75" hidden="false" customHeight="false" outlineLevel="0" collapsed="false">
      <c r="A180" s="47" t="n">
        <f aca="false">A179+1</f>
        <v>2</v>
      </c>
      <c r="B180" s="89"/>
      <c r="C180" s="47" t="s">
        <v>53</v>
      </c>
      <c r="D180" s="87" t="str">
        <f aca="false">VLOOKUP(C180,[1]Sheet1!$C$5:$E$205,2,0)</f>
        <v>SISTEM KENDALI</v>
      </c>
      <c r="E180" s="47" t="n">
        <f aca="false">VLOOKUP(C180,[1]Sheet1!$C$5:$E$205,3,0)</f>
        <v>3</v>
      </c>
      <c r="F180" s="50" t="s">
        <v>31</v>
      </c>
      <c r="G180" s="51"/>
      <c r="H180" s="52"/>
      <c r="I180" s="150"/>
    </row>
    <row r="181" customFormat="false" ht="12.75" hidden="false" customHeight="false" outlineLevel="0" collapsed="false">
      <c r="A181" s="47" t="n">
        <f aca="false">A180+1</f>
        <v>3</v>
      </c>
      <c r="B181" s="89"/>
      <c r="C181" s="47" t="s">
        <v>54</v>
      </c>
      <c r="D181" s="87" t="str">
        <f aca="false">VLOOKUP(C181,[1]Sheet1!$C$5:$E$205,2,0)</f>
        <v>PRAKTIKUM SISTEM KENDALI</v>
      </c>
      <c r="E181" s="47" t="n">
        <f aca="false">VLOOKUP(C181,[1]Sheet1!$C$5:$E$205,3,0)</f>
        <v>1</v>
      </c>
      <c r="F181" s="50" t="s">
        <v>151</v>
      </c>
      <c r="G181" s="51" t="s">
        <v>53</v>
      </c>
      <c r="H181" s="52"/>
      <c r="I181" s="150"/>
    </row>
    <row r="182" customFormat="false" ht="12.75" hidden="false" customHeight="false" outlineLevel="0" collapsed="false">
      <c r="A182" s="47" t="n">
        <f aca="false">A181+1</f>
        <v>4</v>
      </c>
      <c r="B182" s="89"/>
      <c r="C182" s="47" t="s">
        <v>55</v>
      </c>
      <c r="D182" s="87" t="str">
        <f aca="false">VLOOKUP(C182,[1]Sheet1!$C$5:$E$205,2,0)</f>
        <v>PRAKTIKUM RANGKAIAN LISTRIK</v>
      </c>
      <c r="E182" s="47" t="n">
        <f aca="false">VLOOKUP(C182,[1]Sheet1!$C$5:$E$205,3,0)</f>
        <v>1</v>
      </c>
      <c r="F182" s="50" t="s">
        <v>33</v>
      </c>
      <c r="G182" s="51" t="s">
        <v>47</v>
      </c>
      <c r="H182" s="52"/>
      <c r="I182" s="150"/>
    </row>
    <row r="183" customFormat="false" ht="12.75" hidden="false" customHeight="false" outlineLevel="0" collapsed="false">
      <c r="A183" s="47" t="n">
        <f aca="false">A182+1</f>
        <v>5</v>
      </c>
      <c r="B183" s="89"/>
      <c r="C183" s="47" t="s">
        <v>56</v>
      </c>
      <c r="D183" s="87" t="str">
        <f aca="false">VLOOKUP(C183,[1]Sheet1!$C$5:$E$205,2,0)</f>
        <v>EKONOMI TEKNIK</v>
      </c>
      <c r="E183" s="47" t="n">
        <f aca="false">VLOOKUP(C183,[1]Sheet1!$C$5:$E$205,3,0)</f>
        <v>2</v>
      </c>
      <c r="F183" s="50" t="s">
        <v>150</v>
      </c>
      <c r="G183" s="51"/>
      <c r="H183" s="52"/>
      <c r="I183" s="150"/>
    </row>
    <row r="184" customFormat="false" ht="12.75" hidden="false" customHeight="false" outlineLevel="0" collapsed="false">
      <c r="A184" s="47" t="n">
        <v>6</v>
      </c>
      <c r="B184" s="89"/>
      <c r="C184" s="47" t="s">
        <v>74</v>
      </c>
      <c r="D184" s="87" t="str">
        <f aca="false">VLOOKUP(C184,[1]Sheet1!$C$5:$E$205,2,0)</f>
        <v>MATEMATIKA DISKRIT</v>
      </c>
      <c r="E184" s="47" t="n">
        <f aca="false">VLOOKUP(C184,[1]Sheet1!$C$5:$E$205,3,0)</f>
        <v>3</v>
      </c>
      <c r="F184" s="50" t="s">
        <v>28</v>
      </c>
      <c r="G184" s="51"/>
      <c r="H184" s="52"/>
      <c r="I184" s="150"/>
    </row>
    <row r="185" customFormat="false" ht="12.75" hidden="false" customHeight="false" outlineLevel="0" collapsed="false">
      <c r="A185" s="47" t="n">
        <f aca="false">A184+1</f>
        <v>7</v>
      </c>
      <c r="B185" s="89"/>
      <c r="C185" s="47" t="s">
        <v>75</v>
      </c>
      <c r="D185" s="87" t="str">
        <f aca="false">VLOOKUP(C185,[1]Sheet1!$C$5:$E$205,2,0)</f>
        <v>BASIS DATA</v>
      </c>
      <c r="E185" s="47" t="n">
        <f aca="false">VLOOKUP(C185,[1]Sheet1!$C$5:$E$205,3,0)</f>
        <v>3</v>
      </c>
      <c r="F185" s="50" t="s">
        <v>38</v>
      </c>
      <c r="G185" s="51"/>
      <c r="H185" s="52"/>
      <c r="I185" s="150"/>
    </row>
    <row r="186" customFormat="false" ht="12.75" hidden="false" customHeight="false" outlineLevel="0" collapsed="false">
      <c r="A186" s="47" t="n">
        <f aca="false">A185+1</f>
        <v>8</v>
      </c>
      <c r="B186" s="89"/>
      <c r="C186" s="47" t="s">
        <v>76</v>
      </c>
      <c r="D186" s="87" t="str">
        <f aca="false">VLOOKUP(C186,[1]Sheet1!$C$5:$E$205,2,0)</f>
        <v>REKAYASA PERANGKAT LUNAK</v>
      </c>
      <c r="E186" s="47" t="n">
        <f aca="false">VLOOKUP(C186,[1]Sheet1!$C$5:$E$205,3,0)</f>
        <v>2</v>
      </c>
      <c r="F186" s="50" t="s">
        <v>38</v>
      </c>
      <c r="G186" s="51"/>
      <c r="H186" s="54"/>
      <c r="I186" s="118"/>
    </row>
    <row r="187" customFormat="false" ht="12.75" hidden="false" customHeight="false" outlineLevel="0" collapsed="false">
      <c r="A187" s="186" t="n">
        <f aca="false">A186+1</f>
        <v>9</v>
      </c>
      <c r="B187" s="89"/>
      <c r="C187" s="186" t="s">
        <v>77</v>
      </c>
      <c r="D187" s="187" t="str">
        <f aca="false">VLOOKUP(C187,[1]Sheet1!$C$5:$E$205,2,0)</f>
        <v>PEMROGRAMAN BERORIENTASI OBYEK</v>
      </c>
      <c r="E187" s="186" t="n">
        <f aca="false">VLOOKUP(C187,[1]Sheet1!$C$5:$E$205,3,0)</f>
        <v>2</v>
      </c>
      <c r="F187" s="188" t="s">
        <v>151</v>
      </c>
      <c r="G187" s="189" t="s">
        <v>74</v>
      </c>
      <c r="H187" s="198"/>
      <c r="I187" s="199"/>
    </row>
    <row r="188" customFormat="false" ht="13.5" hidden="false" customHeight="false" outlineLevel="0" collapsed="false">
      <c r="A188" s="193"/>
      <c r="B188" s="193"/>
      <c r="C188" s="193"/>
      <c r="D188" s="193"/>
      <c r="E188" s="193" t="n">
        <f aca="false">SUM(E184:E187)+SUM(E179:E183)</f>
        <v>20</v>
      </c>
      <c r="F188" s="194"/>
      <c r="G188" s="195"/>
      <c r="H188" s="196"/>
      <c r="I188" s="197"/>
    </row>
    <row r="189" customFormat="false" ht="13.5" hidden="false" customHeight="false" outlineLevel="0" collapsed="false">
      <c r="A189" s="47" t="n">
        <v>1</v>
      </c>
      <c r="B189" s="89" t="s">
        <v>78</v>
      </c>
      <c r="C189" s="47" t="s">
        <v>79</v>
      </c>
      <c r="D189" s="87" t="str">
        <f aca="false">VLOOKUP(C189,[1]Sheet1!$C$5:$E$205,2,0)</f>
        <v>PRAKTIKUM SISTEM MIKROPROSESOR</v>
      </c>
      <c r="E189" s="47" t="n">
        <f aca="false">VLOOKUP(C189,[1]Sheet1!$C$5:$E$205,3,0)</f>
        <v>1</v>
      </c>
      <c r="F189" s="50" t="s">
        <v>52</v>
      </c>
      <c r="G189" s="51"/>
      <c r="H189" s="52"/>
      <c r="I189" s="150"/>
    </row>
    <row r="190" customFormat="false" ht="12.75" hidden="false" customHeight="false" outlineLevel="0" collapsed="false">
      <c r="A190" s="47" t="n">
        <v>2</v>
      </c>
      <c r="B190" s="89"/>
      <c r="C190" s="47" t="s">
        <v>103</v>
      </c>
      <c r="D190" s="87" t="str">
        <f aca="false">VLOOKUP(C190,[1]Sheet1!$C$5:$E$205,2,0)</f>
        <v>PENGOLAHAN SINYAL DIGITAL</v>
      </c>
      <c r="E190" s="47" t="n">
        <f aca="false">VLOOKUP(C190,[1]Sheet1!$C$5:$E$205,3,0)</f>
        <v>3</v>
      </c>
      <c r="F190" s="50" t="s">
        <v>24</v>
      </c>
      <c r="G190" s="51" t="s">
        <v>43</v>
      </c>
      <c r="H190" s="86"/>
      <c r="I190" s="47"/>
    </row>
    <row r="191" customFormat="false" ht="12.75" hidden="false" customHeight="false" outlineLevel="0" collapsed="false">
      <c r="A191" s="47" t="n">
        <f aca="false">A190+1</f>
        <v>3</v>
      </c>
      <c r="B191" s="89"/>
      <c r="C191" s="47" t="s">
        <v>104</v>
      </c>
      <c r="D191" s="87" t="str">
        <f aca="false">VLOOKUP(C191,[1]Sheet1!$C$5:$E$205,2,0)</f>
        <v>ARSITEKTUR SISTEM KOMPUTER</v>
      </c>
      <c r="E191" s="47" t="n">
        <f aca="false">VLOOKUP(C191,[1]Sheet1!$C$5:$E$205,3,0)</f>
        <v>2</v>
      </c>
      <c r="F191" s="50" t="s">
        <v>52</v>
      </c>
      <c r="G191" s="51"/>
      <c r="H191" s="54"/>
      <c r="I191" s="118"/>
    </row>
    <row r="192" customFormat="false" ht="12.75" hidden="false" customHeight="false" outlineLevel="0" collapsed="false">
      <c r="A192" s="47" t="n">
        <f aca="false">A191+1</f>
        <v>4</v>
      </c>
      <c r="B192" s="89"/>
      <c r="C192" s="47" t="s">
        <v>105</v>
      </c>
      <c r="D192" s="87" t="str">
        <f aca="false">VLOOKUP(C192,[1]Sheet1!$C$5:$E$205,2,0)</f>
        <v>KOMUNIKASI DATA DAN JARINGAN KOMPUTER</v>
      </c>
      <c r="E192" s="47" t="n">
        <f aca="false">VLOOKUP(C192,[1]Sheet1!$C$5:$E$205,3,0)</f>
        <v>3</v>
      </c>
      <c r="F192" s="50" t="s">
        <v>26</v>
      </c>
      <c r="G192" s="51" t="s">
        <v>32</v>
      </c>
      <c r="H192" s="54"/>
      <c r="I192" s="118"/>
    </row>
    <row r="193" customFormat="false" ht="12.75" hidden="false" customHeight="false" outlineLevel="0" collapsed="false">
      <c r="A193" s="47" t="n">
        <f aca="false">A192+1</f>
        <v>5</v>
      </c>
      <c r="B193" s="89"/>
      <c r="C193" s="47" t="s">
        <v>106</v>
      </c>
      <c r="D193" s="87" t="str">
        <f aca="false">VLOOKUP(C193,[1]Sheet1!$C$5:$E$205,2,0)</f>
        <v>ALGORITMA DAN STRUKTUR DATA</v>
      </c>
      <c r="E193" s="47" t="n">
        <f aca="false">VLOOKUP(C193,[1]Sheet1!$C$5:$E$205,3,0)</f>
        <v>2</v>
      </c>
      <c r="F193" s="50" t="s">
        <v>77</v>
      </c>
      <c r="G193" s="51"/>
      <c r="H193" s="52"/>
      <c r="I193" s="150"/>
    </row>
    <row r="194" customFormat="false" ht="12.75" hidden="false" customHeight="false" outlineLevel="0" collapsed="false">
      <c r="A194" s="47" t="n">
        <f aca="false">A193+1</f>
        <v>6</v>
      </c>
      <c r="B194" s="89"/>
      <c r="C194" s="47" t="s">
        <v>107</v>
      </c>
      <c r="D194" s="87" t="str">
        <f aca="false">VLOOKUP(C194,[1]Sheet1!$C$5:$E$205,2,0)</f>
        <v>PRAKTIKUM PEMROGRAMAN BERBASIS OBYEK</v>
      </c>
      <c r="E194" s="47" t="n">
        <f aca="false">VLOOKUP(C194,[1]Sheet1!$C$5:$E$205,3,0)</f>
        <v>1</v>
      </c>
      <c r="F194" s="50" t="s">
        <v>77</v>
      </c>
      <c r="G194" s="51"/>
      <c r="H194" s="52"/>
      <c r="I194" s="150"/>
    </row>
    <row r="195" customFormat="false" ht="12.75" hidden="false" customHeight="false" outlineLevel="0" collapsed="false">
      <c r="A195" s="47" t="n">
        <f aca="false">A194+1</f>
        <v>7</v>
      </c>
      <c r="B195" s="89"/>
      <c r="C195" s="47" t="s">
        <v>108</v>
      </c>
      <c r="D195" s="87" t="str">
        <f aca="false">VLOOKUP(C195,[1]Sheet1!$C$5:$E$205,2,0)</f>
        <v>KECERDASAN BUATAN</v>
      </c>
      <c r="E195" s="47" t="n">
        <f aca="false">VLOOKUP(C195,[1]Sheet1!$C$5:$E$205,3,0)</f>
        <v>2</v>
      </c>
      <c r="F195" s="50" t="s">
        <v>38</v>
      </c>
      <c r="G195" s="51"/>
      <c r="H195" s="52"/>
      <c r="I195" s="150"/>
    </row>
    <row r="196" customFormat="false" ht="12.75" hidden="false" customHeight="false" outlineLevel="0" collapsed="false">
      <c r="A196" s="47" t="n">
        <f aca="false">A195+1</f>
        <v>8</v>
      </c>
      <c r="B196" s="89"/>
      <c r="C196" s="47" t="s">
        <v>109</v>
      </c>
      <c r="D196" s="87" t="str">
        <f aca="false">VLOOKUP(C196,[1]Sheet1!$C$5:$E$205,2,0)</f>
        <v>MK PILIHAN I</v>
      </c>
      <c r="E196" s="47" t="n">
        <f aca="false">VLOOKUP(C196,[1]Sheet1!$C$5:$E$205,3,0)</f>
        <v>2</v>
      </c>
      <c r="F196" s="50"/>
      <c r="G196" s="51"/>
      <c r="H196" s="52"/>
      <c r="I196" s="150"/>
    </row>
    <row r="197" customFormat="false" ht="12.75" hidden="false" customHeight="false" outlineLevel="0" collapsed="false">
      <c r="A197" s="186" t="n">
        <f aca="false">A196+1</f>
        <v>9</v>
      </c>
      <c r="B197" s="89"/>
      <c r="C197" s="186" t="s">
        <v>110</v>
      </c>
      <c r="D197" s="187" t="str">
        <f aca="false">VLOOKUP(C197,[1]Sheet1!$C$5:$E$205,2,0)</f>
        <v>MK PILIHAN II</v>
      </c>
      <c r="E197" s="186" t="n">
        <f aca="false">VLOOKUP(C197,[1]Sheet1!$C$5:$E$205,3,0)</f>
        <v>2</v>
      </c>
      <c r="F197" s="188"/>
      <c r="G197" s="189"/>
      <c r="H197" s="198"/>
      <c r="I197" s="199"/>
    </row>
    <row r="198" customFormat="false" ht="13.5" hidden="false" customHeight="false" outlineLevel="0" collapsed="false">
      <c r="A198" s="193"/>
      <c r="B198" s="193"/>
      <c r="C198" s="193"/>
      <c r="D198" s="193"/>
      <c r="E198" s="193" t="n">
        <f aca="false">SUM(E190:E197)+SUM(E189)</f>
        <v>18</v>
      </c>
      <c r="F198" s="194"/>
      <c r="G198" s="195"/>
      <c r="H198" s="196"/>
      <c r="I198" s="197"/>
    </row>
    <row r="199" customFormat="false" ht="13.5" hidden="false" customHeight="false" outlineLevel="0" collapsed="false">
      <c r="A199" s="103" t="n">
        <v>1</v>
      </c>
      <c r="B199" s="89" t="s">
        <v>111</v>
      </c>
      <c r="C199" s="47" t="s">
        <v>112</v>
      </c>
      <c r="D199" s="87" t="str">
        <f aca="false">VLOOKUP(C199,[1]Sheet1!$C$5:$E$205,2,0)</f>
        <v>PROSES STOKASTIK</v>
      </c>
      <c r="E199" s="47" t="n">
        <f aca="false">VLOOKUP(C199,[1]Sheet1!$C$5:$E$205,3,0)</f>
        <v>2</v>
      </c>
      <c r="F199" s="50" t="s">
        <v>45</v>
      </c>
      <c r="G199" s="51"/>
      <c r="H199" s="52"/>
      <c r="I199" s="150"/>
    </row>
    <row r="200" customFormat="false" ht="12.75" hidden="false" customHeight="false" outlineLevel="0" collapsed="false">
      <c r="A200" s="47" t="n">
        <f aca="false">A199+1</f>
        <v>2</v>
      </c>
      <c r="B200" s="89"/>
      <c r="C200" s="47" t="s">
        <v>113</v>
      </c>
      <c r="D200" s="87" t="str">
        <f aca="false">VLOOKUP(C200,[1]Sheet1!$C$5:$E$205,2,0)</f>
        <v>PRAKTEK KERJA LAPANGAN</v>
      </c>
      <c r="E200" s="47" t="n">
        <f aca="false">VLOOKUP(C200,[1]Sheet1!$C$5:$E$205,3,0)</f>
        <v>2</v>
      </c>
      <c r="F200" s="50" t="s">
        <v>152</v>
      </c>
      <c r="G200" s="51"/>
      <c r="H200" s="52"/>
      <c r="I200" s="150"/>
    </row>
    <row r="201" customFormat="false" ht="12.75" hidden="false" customHeight="false" outlineLevel="0" collapsed="false">
      <c r="A201" s="47" t="n">
        <f aca="false">A200+1</f>
        <v>3</v>
      </c>
      <c r="B201" s="89"/>
      <c r="C201" s="47" t="s">
        <v>114</v>
      </c>
      <c r="D201" s="87" t="str">
        <f aca="false">VLOOKUP(C201,[1]Sheet1!$C$5:$E$205,2,0)</f>
        <v>PRA TUGAS AKHIR</v>
      </c>
      <c r="E201" s="47" t="n">
        <f aca="false">VLOOKUP(C201,[1]Sheet1!$C$5:$E$205,3,0)</f>
        <v>2</v>
      </c>
      <c r="F201" s="50" t="s">
        <v>152</v>
      </c>
      <c r="G201" s="51"/>
      <c r="H201" s="52"/>
      <c r="I201" s="150"/>
    </row>
    <row r="202" customFormat="false" ht="12.75" hidden="false" customHeight="false" outlineLevel="0" collapsed="false">
      <c r="A202" s="47" t="n">
        <v>4</v>
      </c>
      <c r="B202" s="89"/>
      <c r="C202" s="47" t="s">
        <v>134</v>
      </c>
      <c r="D202" s="87" t="str">
        <f aca="false">VLOOKUP(C202,[1]Sheet1!$C$5:$E$205,2,0)</f>
        <v>TEKNIK INTERFACING DAN SISTEM EMBEDDED</v>
      </c>
      <c r="E202" s="47" t="n">
        <f aca="false">VLOOKUP(C202,[1]Sheet1!$C$5:$E$205,3,0)</f>
        <v>3</v>
      </c>
      <c r="F202" s="50" t="s">
        <v>38</v>
      </c>
      <c r="G202" s="51" t="s">
        <v>104</v>
      </c>
      <c r="H202" s="52"/>
      <c r="I202" s="150"/>
    </row>
    <row r="203" customFormat="false" ht="12.75" hidden="false" customHeight="false" outlineLevel="0" collapsed="false">
      <c r="A203" s="47" t="n">
        <f aca="false">A202+1</f>
        <v>5</v>
      </c>
      <c r="B203" s="89"/>
      <c r="C203" s="47" t="s">
        <v>135</v>
      </c>
      <c r="D203" s="87" t="str">
        <f aca="false">VLOOKUP(C203,[1]Sheet1!$C$5:$E$205,2,0)</f>
        <v>SISTEM INFORMASI MANAJEMEN</v>
      </c>
      <c r="E203" s="47" t="n">
        <f aca="false">VLOOKUP(C203,[1]Sheet1!$C$5:$E$205,3,0)</f>
        <v>2</v>
      </c>
      <c r="F203" s="50" t="s">
        <v>75</v>
      </c>
      <c r="G203" s="51" t="s">
        <v>76</v>
      </c>
      <c r="H203" s="52"/>
      <c r="I203" s="150"/>
    </row>
    <row r="204" customFormat="false" ht="12.75" hidden="false" customHeight="false" outlineLevel="0" collapsed="false">
      <c r="A204" s="47" t="n">
        <f aca="false">A203+1</f>
        <v>6</v>
      </c>
      <c r="B204" s="89"/>
      <c r="C204" s="47" t="s">
        <v>136</v>
      </c>
      <c r="D204" s="87" t="str">
        <f aca="false">VLOOKUP(C204,[1]Sheet1!$C$5:$E$205,2,0)</f>
        <v>PRAKTIKUM ALGORITMA DAN STRUKTUR DATA</v>
      </c>
      <c r="E204" s="47" t="n">
        <f aca="false">VLOOKUP(C204,[1]Sheet1!$C$5:$E$205,3,0)</f>
        <v>1</v>
      </c>
      <c r="F204" s="50" t="s">
        <v>106</v>
      </c>
      <c r="G204" s="51"/>
      <c r="H204" s="52"/>
      <c r="I204" s="150"/>
    </row>
    <row r="205" customFormat="false" ht="12.75" hidden="false" customHeight="false" outlineLevel="0" collapsed="false">
      <c r="A205" s="47" t="n">
        <f aca="false">A204+1</f>
        <v>7</v>
      </c>
      <c r="B205" s="89"/>
      <c r="C205" s="47" t="s">
        <v>137</v>
      </c>
      <c r="D205" s="87" t="str">
        <f aca="false">VLOOKUP(C205,[1]Sheet1!$C$5:$E$205,2,0)</f>
        <v>PRAKTIKUM BASIS DATA</v>
      </c>
      <c r="E205" s="47" t="n">
        <f aca="false">VLOOKUP(C205,[1]Sheet1!$C$5:$E$205,3,0)</f>
        <v>1</v>
      </c>
      <c r="F205" s="50" t="s">
        <v>75</v>
      </c>
      <c r="G205" s="51"/>
      <c r="H205" s="52"/>
      <c r="I205" s="150"/>
    </row>
    <row r="206" customFormat="false" ht="12.75" hidden="false" customHeight="false" outlineLevel="0" collapsed="false">
      <c r="A206" s="47" t="n">
        <f aca="false">A205+1</f>
        <v>8</v>
      </c>
      <c r="B206" s="89"/>
      <c r="C206" s="47" t="s">
        <v>138</v>
      </c>
      <c r="D206" s="87" t="str">
        <f aca="false">VLOOKUP(C206,[1]Sheet1!$C$5:$E$205,2,0)</f>
        <v>PRAKTIKUM JARINGAN KOMPUTER</v>
      </c>
      <c r="E206" s="47" t="n">
        <f aca="false">VLOOKUP(C206,[1]Sheet1!$C$5:$E$205,3,0)</f>
        <v>1</v>
      </c>
      <c r="F206" s="50" t="s">
        <v>105</v>
      </c>
      <c r="G206" s="51"/>
      <c r="H206" s="52"/>
      <c r="I206" s="150"/>
    </row>
    <row r="207" customFormat="false" ht="12.75" hidden="false" customHeight="false" outlineLevel="0" collapsed="false">
      <c r="A207" s="186" t="n">
        <f aca="false">A206+1</f>
        <v>9</v>
      </c>
      <c r="B207" s="89"/>
      <c r="C207" s="186" t="s">
        <v>139</v>
      </c>
      <c r="D207" s="187" t="str">
        <f aca="false">VLOOKUP(C207,[1]Sheet1!$C$5:$E$205,2,0)</f>
        <v>MK PILIHAN III</v>
      </c>
      <c r="E207" s="186" t="n">
        <f aca="false">VLOOKUP(C207,[1]Sheet1!$C$5:$E$205,3,0)</f>
        <v>2</v>
      </c>
      <c r="F207" s="188"/>
      <c r="G207" s="189"/>
      <c r="H207" s="198"/>
      <c r="I207" s="199"/>
    </row>
    <row r="208" customFormat="false" ht="13.5" hidden="false" customHeight="false" outlineLevel="0" collapsed="false">
      <c r="A208" s="193"/>
      <c r="B208" s="193"/>
      <c r="C208" s="193"/>
      <c r="D208" s="222"/>
      <c r="E208" s="197" t="n">
        <f aca="false">SUM(E202:E207)+SUM(E199:E201)</f>
        <v>16</v>
      </c>
      <c r="F208" s="223"/>
      <c r="G208" s="224"/>
      <c r="H208" s="196"/>
      <c r="I208" s="197"/>
    </row>
    <row r="209" customFormat="false" ht="13.5" hidden="false" customHeight="false" outlineLevel="0" collapsed="false">
      <c r="A209" s="47" t="n">
        <v>1</v>
      </c>
      <c r="B209" s="89" t="s">
        <v>140</v>
      </c>
      <c r="C209" s="47" t="s">
        <v>141</v>
      </c>
      <c r="D209" s="87" t="str">
        <f aca="false">VLOOKUP(C209,[1]Sheet1!$C$5:$E$205,2,0)</f>
        <v>KULIAH KERJA NYATA (KKN)</v>
      </c>
      <c r="E209" s="47" t="n">
        <f aca="false">VLOOKUP(C209,[1]Sheet1!$C$5:$E$205,3,0)</f>
        <v>4</v>
      </c>
      <c r="F209" s="50" t="s">
        <v>153</v>
      </c>
      <c r="G209" s="51"/>
      <c r="H209" s="52"/>
      <c r="I209" s="150"/>
    </row>
    <row r="210" customFormat="false" ht="12.75" hidden="false" customHeight="false" outlineLevel="0" collapsed="false">
      <c r="A210" s="47" t="n">
        <f aca="false">A209+1</f>
        <v>2</v>
      </c>
      <c r="B210" s="89"/>
      <c r="C210" s="47" t="s">
        <v>142</v>
      </c>
      <c r="D210" s="87" t="str">
        <f aca="false">VLOOKUP(C210,[1]Sheet1!$C$5:$E$205,2,0)</f>
        <v>LINGKUNGAN DAN ETIKA REKAYASA</v>
      </c>
      <c r="E210" s="47" t="n">
        <f aca="false">VLOOKUP(C210,[1]Sheet1!$C$5:$E$205,3,0)</f>
        <v>2</v>
      </c>
      <c r="F210" s="50" t="s">
        <v>25</v>
      </c>
      <c r="G210" s="51"/>
      <c r="H210" s="54"/>
      <c r="I210" s="118"/>
    </row>
    <row r="211" customFormat="false" ht="12.75" hidden="false" customHeight="false" outlineLevel="0" collapsed="false">
      <c r="A211" s="186" t="n">
        <f aca="false">A210+1</f>
        <v>3</v>
      </c>
      <c r="B211" s="89"/>
      <c r="C211" s="186" t="s">
        <v>143</v>
      </c>
      <c r="D211" s="187" t="str">
        <f aca="false">VLOOKUP(C211,[1]Sheet1!$C$5:$E$205,2,0)</f>
        <v>TUGAS AKHIR</v>
      </c>
      <c r="E211" s="186" t="n">
        <f aca="false">VLOOKUP(C211,[1]Sheet1!$C$5:$E$205,3,0)</f>
        <v>4</v>
      </c>
      <c r="F211" s="188" t="s">
        <v>154</v>
      </c>
      <c r="G211" s="189"/>
      <c r="H211" s="190"/>
      <c r="I211" s="191"/>
    </row>
    <row r="212" customFormat="false" ht="13.5" hidden="false" customHeight="false" outlineLevel="0" collapsed="false">
      <c r="A212" s="193"/>
      <c r="B212" s="193"/>
      <c r="C212" s="193"/>
      <c r="D212" s="193"/>
      <c r="E212" s="193" t="n">
        <f aca="false">SUM(E209:E211)</f>
        <v>10</v>
      </c>
      <c r="F212" s="194"/>
      <c r="G212" s="195"/>
      <c r="H212" s="196"/>
      <c r="I212" s="197"/>
    </row>
    <row r="213" customFormat="false" ht="13.5" hidden="false" customHeight="false" outlineLevel="0" collapsed="false">
      <c r="A213" s="125"/>
      <c r="B213" s="125"/>
      <c r="C213" s="125"/>
      <c r="D213" s="125"/>
      <c r="E213" s="125"/>
      <c r="F213" s="125"/>
      <c r="G213" s="125"/>
      <c r="H213" s="126"/>
      <c r="I213" s="126"/>
    </row>
    <row r="215" customFormat="false" ht="12.75" hidden="false" customHeight="false" outlineLevel="0" collapsed="false">
      <c r="D215" s="27" t="s">
        <v>144</v>
      </c>
      <c r="E215" s="27"/>
    </row>
    <row r="216" customFormat="false" ht="12.75" hidden="false" customHeight="false" outlineLevel="0" collapsed="false">
      <c r="D216" s="28" t="s">
        <v>145</v>
      </c>
      <c r="E216" s="29" t="n">
        <v>149</v>
      </c>
    </row>
    <row r="217" customFormat="false" ht="12.75" hidden="false" customHeight="false" outlineLevel="0" collapsed="false">
      <c r="D217" s="30" t="s">
        <v>146</v>
      </c>
      <c r="E217" s="31" t="n">
        <v>147</v>
      </c>
    </row>
    <row r="218" customFormat="false" ht="12.75" hidden="false" customHeight="false" outlineLevel="0" collapsed="false">
      <c r="D218" s="32" t="s">
        <v>147</v>
      </c>
      <c r="E218" s="33" t="n">
        <v>148</v>
      </c>
    </row>
    <row r="219" customFormat="false" ht="12.75" hidden="false" customHeight="false" outlineLevel="0" collapsed="false">
      <c r="D219" s="34" t="s">
        <v>148</v>
      </c>
      <c r="E219" s="35" t="n">
        <v>147</v>
      </c>
    </row>
    <row r="222" customFormat="false" ht="12.75" hidden="false" customHeight="false" outlineLevel="0" collapsed="false">
      <c r="B222" s="130" t="s">
        <v>155</v>
      </c>
      <c r="C222" s="130"/>
      <c r="D222" s="130"/>
      <c r="E222" s="130"/>
    </row>
    <row r="223" customFormat="false" ht="12.75" hidden="false" customHeight="false" outlineLevel="0" collapsed="false">
      <c r="B223" s="10" t="s">
        <v>156</v>
      </c>
      <c r="C223" s="10" t="s">
        <v>5</v>
      </c>
      <c r="D223" s="10" t="s">
        <v>6</v>
      </c>
      <c r="E223" s="10" t="s">
        <v>7</v>
      </c>
    </row>
    <row r="224" customFormat="false" ht="12.75" hidden="false" customHeight="false" outlineLevel="0" collapsed="false">
      <c r="B224" s="6" t="n">
        <v>1</v>
      </c>
      <c r="C224" s="6" t="s">
        <v>157</v>
      </c>
      <c r="D224" s="170" t="s">
        <v>158</v>
      </c>
      <c r="E224" s="6" t="n">
        <v>2</v>
      </c>
    </row>
    <row r="225" customFormat="false" ht="12.75" hidden="false" customHeight="false" outlineLevel="0" collapsed="false">
      <c r="B225" s="6" t="n">
        <f aca="false">B224+1</f>
        <v>2</v>
      </c>
      <c r="C225" s="6" t="s">
        <v>159</v>
      </c>
      <c r="D225" s="170" t="s">
        <v>160</v>
      </c>
      <c r="E225" s="6" t="n">
        <v>2</v>
      </c>
    </row>
    <row r="226" customFormat="false" ht="12.75" hidden="false" customHeight="false" outlineLevel="0" collapsed="false">
      <c r="B226" s="6" t="n">
        <f aca="false">B225+1</f>
        <v>3</v>
      </c>
      <c r="C226" s="6" t="s">
        <v>161</v>
      </c>
      <c r="D226" s="170" t="s">
        <v>162</v>
      </c>
      <c r="E226" s="6" t="n">
        <v>2</v>
      </c>
    </row>
    <row r="227" customFormat="false" ht="12.75" hidden="false" customHeight="false" outlineLevel="0" collapsed="false">
      <c r="B227" s="6" t="n">
        <f aca="false">B226+1</f>
        <v>4</v>
      </c>
      <c r="C227" s="6" t="s">
        <v>163</v>
      </c>
      <c r="D227" s="170" t="s">
        <v>164</v>
      </c>
      <c r="E227" s="6" t="n">
        <v>2</v>
      </c>
    </row>
    <row r="228" customFormat="false" ht="12.75" hidden="false" customHeight="false" outlineLevel="0" collapsed="false">
      <c r="B228" s="6" t="n">
        <f aca="false">B227+1</f>
        <v>5</v>
      </c>
      <c r="C228" s="6" t="s">
        <v>165</v>
      </c>
      <c r="D228" s="170" t="s">
        <v>166</v>
      </c>
      <c r="E228" s="6" t="n">
        <v>2</v>
      </c>
    </row>
    <row r="229" customFormat="false" ht="12.75" hidden="false" customHeight="false" outlineLevel="0" collapsed="false">
      <c r="B229" s="6" t="n">
        <f aca="false">B228+1</f>
        <v>6</v>
      </c>
      <c r="C229" s="6" t="s">
        <v>167</v>
      </c>
      <c r="D229" s="170" t="s">
        <v>168</v>
      </c>
      <c r="E229" s="6" t="n">
        <v>2</v>
      </c>
    </row>
    <row r="230" customFormat="false" ht="12.75" hidden="false" customHeight="false" outlineLevel="0" collapsed="false">
      <c r="B230" s="6" t="n">
        <f aca="false">B229+1</f>
        <v>7</v>
      </c>
      <c r="C230" s="6" t="s">
        <v>169</v>
      </c>
      <c r="D230" s="170" t="s">
        <v>170</v>
      </c>
      <c r="E230" s="6" t="n">
        <v>2</v>
      </c>
    </row>
    <row r="231" customFormat="false" ht="12.75" hidden="false" customHeight="false" outlineLevel="0" collapsed="false">
      <c r="B231" s="6" t="n">
        <f aca="false">B230+1</f>
        <v>8</v>
      </c>
      <c r="C231" s="6" t="s">
        <v>171</v>
      </c>
      <c r="D231" s="170" t="s">
        <v>172</v>
      </c>
      <c r="E231" s="6" t="n">
        <v>2</v>
      </c>
    </row>
    <row r="232" customFormat="false" ht="12.75" hidden="false" customHeight="false" outlineLevel="0" collapsed="false">
      <c r="B232" s="6" t="n">
        <f aca="false">B231+1</f>
        <v>9</v>
      </c>
      <c r="C232" s="6" t="s">
        <v>173</v>
      </c>
      <c r="D232" s="170" t="s">
        <v>174</v>
      </c>
      <c r="E232" s="6" t="n">
        <v>2</v>
      </c>
    </row>
    <row r="233" customFormat="false" ht="12.75" hidden="false" customHeight="false" outlineLevel="0" collapsed="false">
      <c r="B233" s="6" t="n">
        <f aca="false">B232+1</f>
        <v>10</v>
      </c>
      <c r="C233" s="6" t="s">
        <v>175</v>
      </c>
      <c r="D233" s="170" t="s">
        <v>176</v>
      </c>
      <c r="E233" s="6" t="n">
        <v>2</v>
      </c>
    </row>
    <row r="234" customFormat="false" ht="12.75" hidden="false" customHeight="false" outlineLevel="0" collapsed="false">
      <c r="B234" s="6" t="n">
        <f aca="false">B233+1</f>
        <v>11</v>
      </c>
      <c r="C234" s="6" t="s">
        <v>177</v>
      </c>
      <c r="D234" s="170" t="s">
        <v>178</v>
      </c>
      <c r="E234" s="6" t="n">
        <v>2</v>
      </c>
    </row>
    <row r="235" customFormat="false" ht="12.75" hidden="false" customHeight="false" outlineLevel="0" collapsed="false">
      <c r="B235" s="6" t="n">
        <f aca="false">B234+1</f>
        <v>12</v>
      </c>
      <c r="C235" s="6" t="s">
        <v>179</v>
      </c>
      <c r="D235" s="170" t="s">
        <v>268</v>
      </c>
      <c r="E235" s="6" t="n">
        <v>2</v>
      </c>
    </row>
    <row r="236" customFormat="false" ht="12.75" hidden="false" customHeight="false" outlineLevel="0" collapsed="false">
      <c r="B236" s="6" t="n">
        <f aca="false">B235+1</f>
        <v>13</v>
      </c>
      <c r="C236" s="6" t="s">
        <v>181</v>
      </c>
      <c r="D236" s="170" t="s">
        <v>182</v>
      </c>
      <c r="E236" s="6" t="n">
        <v>2</v>
      </c>
    </row>
    <row r="238" customFormat="false" ht="12.75" hidden="false" customHeight="false" outlineLevel="0" collapsed="false">
      <c r="B238" s="130" t="s">
        <v>184</v>
      </c>
      <c r="C238" s="130"/>
      <c r="D238" s="130"/>
      <c r="E238" s="130"/>
    </row>
    <row r="239" customFormat="false" ht="12.75" hidden="false" customHeight="false" outlineLevel="0" collapsed="false">
      <c r="B239" s="10" t="s">
        <v>156</v>
      </c>
      <c r="C239" s="10" t="s">
        <v>5</v>
      </c>
      <c r="D239" s="10" t="s">
        <v>6</v>
      </c>
      <c r="E239" s="10" t="s">
        <v>7</v>
      </c>
    </row>
    <row r="240" customFormat="false" ht="12.75" hidden="false" customHeight="false" outlineLevel="0" collapsed="false">
      <c r="B240" s="6" t="n">
        <v>1</v>
      </c>
      <c r="C240" s="6" t="s">
        <v>185</v>
      </c>
      <c r="D240" s="170" t="s">
        <v>186</v>
      </c>
      <c r="E240" s="6" t="n">
        <v>2</v>
      </c>
    </row>
    <row r="241" customFormat="false" ht="12.75" hidden="false" customHeight="false" outlineLevel="0" collapsed="false">
      <c r="B241" s="6" t="n">
        <f aca="false">B240+1</f>
        <v>2</v>
      </c>
      <c r="C241" s="6" t="s">
        <v>188</v>
      </c>
      <c r="D241" s="170" t="s">
        <v>189</v>
      </c>
      <c r="E241" s="6" t="n">
        <v>2</v>
      </c>
    </row>
    <row r="242" customFormat="false" ht="12.75" hidden="false" customHeight="false" outlineLevel="0" collapsed="false">
      <c r="B242" s="6" t="n">
        <f aca="false">B241+1</f>
        <v>3</v>
      </c>
      <c r="C242" s="6" t="s">
        <v>190</v>
      </c>
      <c r="D242" s="170" t="s">
        <v>191</v>
      </c>
      <c r="E242" s="6" t="n">
        <v>2</v>
      </c>
    </row>
    <row r="243" customFormat="false" ht="12.75" hidden="false" customHeight="false" outlineLevel="0" collapsed="false">
      <c r="B243" s="6" t="n">
        <f aca="false">B242+1</f>
        <v>4</v>
      </c>
      <c r="C243" s="6" t="s">
        <v>192</v>
      </c>
      <c r="D243" s="170" t="s">
        <v>193</v>
      </c>
      <c r="E243" s="6" t="n">
        <v>2</v>
      </c>
    </row>
    <row r="244" customFormat="false" ht="12.75" hidden="false" customHeight="false" outlineLevel="0" collapsed="false">
      <c r="B244" s="6" t="n">
        <f aca="false">B243+1</f>
        <v>5</v>
      </c>
      <c r="C244" s="6" t="s">
        <v>194</v>
      </c>
      <c r="D244" s="170" t="s">
        <v>195</v>
      </c>
      <c r="E244" s="6" t="n">
        <v>2</v>
      </c>
    </row>
    <row r="245" customFormat="false" ht="12.75" hidden="false" customHeight="false" outlineLevel="0" collapsed="false">
      <c r="B245" s="6" t="n">
        <f aca="false">B244+1</f>
        <v>6</v>
      </c>
      <c r="C245" s="6" t="s">
        <v>196</v>
      </c>
      <c r="D245" s="170" t="s">
        <v>197</v>
      </c>
      <c r="E245" s="6" t="n">
        <v>2</v>
      </c>
    </row>
    <row r="246" customFormat="false" ht="12.75" hidden="false" customHeight="false" outlineLevel="0" collapsed="false">
      <c r="B246" s="6" t="n">
        <f aca="false">B245+1</f>
        <v>7</v>
      </c>
      <c r="C246" s="6" t="s">
        <v>198</v>
      </c>
      <c r="D246" s="170" t="s">
        <v>199</v>
      </c>
      <c r="E246" s="6" t="n">
        <v>2</v>
      </c>
    </row>
    <row r="247" customFormat="false" ht="12.75" hidden="false" customHeight="false" outlineLevel="0" collapsed="false">
      <c r="B247" s="6" t="n">
        <f aca="false">B246+1</f>
        <v>8</v>
      </c>
      <c r="C247" s="6" t="s">
        <v>200</v>
      </c>
      <c r="D247" s="170" t="s">
        <v>172</v>
      </c>
      <c r="E247" s="6" t="n">
        <v>2</v>
      </c>
    </row>
    <row r="248" customFormat="false" ht="12.75" hidden="false" customHeight="false" outlineLevel="0" collapsed="false">
      <c r="B248" s="6" t="n">
        <f aca="false">B247+1</f>
        <v>9</v>
      </c>
      <c r="C248" s="6" t="s">
        <v>201</v>
      </c>
      <c r="D248" s="170" t="s">
        <v>202</v>
      </c>
      <c r="E248" s="6" t="n">
        <v>2</v>
      </c>
    </row>
    <row r="249" customFormat="false" ht="12.75" hidden="false" customHeight="false" outlineLevel="0" collapsed="false">
      <c r="B249" s="6" t="n">
        <f aca="false">B248+1</f>
        <v>10</v>
      </c>
      <c r="C249" s="6" t="s">
        <v>203</v>
      </c>
      <c r="D249" s="170" t="s">
        <v>204</v>
      </c>
      <c r="E249" s="6" t="n">
        <v>2</v>
      </c>
    </row>
    <row r="251" customFormat="false" ht="12.75" hidden="false" customHeight="false" outlineLevel="0" collapsed="false">
      <c r="B251" s="130" t="s">
        <v>206</v>
      </c>
      <c r="C251" s="130"/>
      <c r="D251" s="130"/>
      <c r="E251" s="130"/>
    </row>
    <row r="252" customFormat="false" ht="12.75" hidden="false" customHeight="false" outlineLevel="0" collapsed="false">
      <c r="B252" s="10" t="s">
        <v>156</v>
      </c>
      <c r="C252" s="10" t="s">
        <v>5</v>
      </c>
      <c r="D252" s="10" t="s">
        <v>6</v>
      </c>
      <c r="E252" s="10" t="s">
        <v>7</v>
      </c>
    </row>
    <row r="253" customFormat="false" ht="12.75" hidden="false" customHeight="false" outlineLevel="0" collapsed="false">
      <c r="B253" s="6" t="n">
        <v>1</v>
      </c>
      <c r="C253" s="6" t="s">
        <v>207</v>
      </c>
      <c r="D253" s="170" t="s">
        <v>208</v>
      </c>
      <c r="E253" s="6" t="n">
        <v>2</v>
      </c>
    </row>
    <row r="254" customFormat="false" ht="12.75" hidden="false" customHeight="false" outlineLevel="0" collapsed="false">
      <c r="B254" s="6" t="n">
        <f aca="false">B253+1</f>
        <v>2</v>
      </c>
      <c r="C254" s="6" t="s">
        <v>209</v>
      </c>
      <c r="D254" s="170" t="s">
        <v>210</v>
      </c>
      <c r="E254" s="6" t="n">
        <v>2</v>
      </c>
    </row>
    <row r="255" customFormat="false" ht="12.75" hidden="false" customHeight="false" outlineLevel="0" collapsed="false">
      <c r="B255" s="6" t="n">
        <f aca="false">B254+1</f>
        <v>3</v>
      </c>
      <c r="C255" s="6" t="s">
        <v>211</v>
      </c>
      <c r="D255" s="170" t="s">
        <v>212</v>
      </c>
      <c r="E255" s="6" t="n">
        <v>2</v>
      </c>
    </row>
    <row r="256" customFormat="false" ht="12.75" hidden="false" customHeight="false" outlineLevel="0" collapsed="false">
      <c r="B256" s="6" t="n">
        <f aca="false">B255+1</f>
        <v>4</v>
      </c>
      <c r="C256" s="6" t="s">
        <v>213</v>
      </c>
      <c r="D256" s="170" t="s">
        <v>214</v>
      </c>
      <c r="E256" s="6" t="n">
        <v>2</v>
      </c>
    </row>
    <row r="257" customFormat="false" ht="12.75" hidden="false" customHeight="false" outlineLevel="0" collapsed="false">
      <c r="B257" s="6" t="n">
        <f aca="false">B256+1</f>
        <v>5</v>
      </c>
      <c r="C257" s="6" t="s">
        <v>215</v>
      </c>
      <c r="D257" s="170" t="s">
        <v>216</v>
      </c>
      <c r="E257" s="6" t="n">
        <v>2</v>
      </c>
    </row>
    <row r="258" customFormat="false" ht="12.75" hidden="false" customHeight="false" outlineLevel="0" collapsed="false">
      <c r="B258" s="6" t="n">
        <f aca="false">B257+1</f>
        <v>6</v>
      </c>
      <c r="C258" s="6" t="s">
        <v>217</v>
      </c>
      <c r="D258" s="170" t="s">
        <v>199</v>
      </c>
      <c r="E258" s="6" t="n">
        <v>2</v>
      </c>
    </row>
    <row r="259" customFormat="false" ht="12.75" hidden="false" customHeight="false" outlineLevel="0" collapsed="false">
      <c r="B259" s="6" t="n">
        <f aca="false">B258+1</f>
        <v>7</v>
      </c>
      <c r="C259" s="6" t="s">
        <v>218</v>
      </c>
      <c r="D259" s="170" t="s">
        <v>172</v>
      </c>
      <c r="E259" s="6" t="n">
        <v>2</v>
      </c>
    </row>
    <row r="260" customFormat="false" ht="12.75" hidden="false" customHeight="false" outlineLevel="0" collapsed="false">
      <c r="B260" s="6" t="n">
        <f aca="false">B259+1</f>
        <v>8</v>
      </c>
      <c r="C260" s="6" t="s">
        <v>219</v>
      </c>
      <c r="D260" s="170" t="s">
        <v>220</v>
      </c>
      <c r="E260" s="6" t="n">
        <v>2</v>
      </c>
    </row>
    <row r="261" customFormat="false" ht="12.75" hidden="false" customHeight="false" outlineLevel="0" collapsed="false">
      <c r="B261" s="6" t="n">
        <f aca="false">B260+1</f>
        <v>9</v>
      </c>
      <c r="C261" s="6" t="s">
        <v>221</v>
      </c>
      <c r="D261" s="170" t="s">
        <v>222</v>
      </c>
      <c r="E261" s="6" t="n">
        <v>2</v>
      </c>
    </row>
    <row r="262" customFormat="false" ht="12.75" hidden="false" customHeight="false" outlineLevel="0" collapsed="false">
      <c r="B262" s="6" t="n">
        <f aca="false">B261+1</f>
        <v>10</v>
      </c>
      <c r="C262" s="6" t="s">
        <v>223</v>
      </c>
      <c r="D262" s="170" t="s">
        <v>224</v>
      </c>
      <c r="E262" s="6" t="n">
        <v>2</v>
      </c>
    </row>
    <row r="263" customFormat="false" ht="12.75" hidden="false" customHeight="false" outlineLevel="0" collapsed="false">
      <c r="B263" s="6" t="n">
        <f aca="false">B262+1</f>
        <v>11</v>
      </c>
      <c r="C263" s="6" t="s">
        <v>225</v>
      </c>
      <c r="D263" s="170" t="s">
        <v>226</v>
      </c>
      <c r="E263" s="6" t="n">
        <v>2</v>
      </c>
    </row>
    <row r="264" customFormat="false" ht="12.75" hidden="false" customHeight="false" outlineLevel="0" collapsed="false">
      <c r="B264" s="6" t="n">
        <f aca="false">B263+1</f>
        <v>12</v>
      </c>
      <c r="C264" s="6" t="s">
        <v>227</v>
      </c>
      <c r="D264" s="170" t="s">
        <v>228</v>
      </c>
      <c r="E264" s="6" t="n">
        <v>2</v>
      </c>
    </row>
    <row r="265" customFormat="false" ht="12.75" hidden="false" customHeight="false" outlineLevel="0" collapsed="false">
      <c r="B265" s="6" t="n">
        <f aca="false">B264+1</f>
        <v>13</v>
      </c>
      <c r="C265" s="6" t="s">
        <v>229</v>
      </c>
      <c r="D265" s="170" t="s">
        <v>230</v>
      </c>
      <c r="E265" s="6" t="n">
        <v>2</v>
      </c>
    </row>
    <row r="267" customFormat="false" ht="12.75" hidden="false" customHeight="false" outlineLevel="0" collapsed="false">
      <c r="B267" s="130" t="s">
        <v>232</v>
      </c>
      <c r="C267" s="130"/>
      <c r="D267" s="130"/>
      <c r="E267" s="130"/>
    </row>
    <row r="268" customFormat="false" ht="12.75" hidden="false" customHeight="false" outlineLevel="0" collapsed="false">
      <c r="B268" s="10" t="s">
        <v>156</v>
      </c>
      <c r="C268" s="10" t="s">
        <v>5</v>
      </c>
      <c r="D268" s="10" t="s">
        <v>6</v>
      </c>
      <c r="E268" s="10" t="s">
        <v>7</v>
      </c>
    </row>
    <row r="269" customFormat="false" ht="12.75" hidden="false" customHeight="false" outlineLevel="0" collapsed="false">
      <c r="B269" s="6" t="n">
        <v>1</v>
      </c>
      <c r="C269" s="6" t="s">
        <v>233</v>
      </c>
      <c r="D269" s="170" t="s">
        <v>234</v>
      </c>
      <c r="E269" s="6" t="n">
        <v>2</v>
      </c>
    </row>
    <row r="270" customFormat="false" ht="12.75" hidden="false" customHeight="false" outlineLevel="0" collapsed="false">
      <c r="B270" s="6" t="n">
        <f aca="false">B269+1</f>
        <v>2</v>
      </c>
      <c r="C270" s="6" t="s">
        <v>236</v>
      </c>
      <c r="D270" s="170" t="s">
        <v>237</v>
      </c>
      <c r="E270" s="6" t="n">
        <v>2</v>
      </c>
    </row>
    <row r="271" customFormat="false" ht="12.75" hidden="false" customHeight="false" outlineLevel="0" collapsed="false">
      <c r="B271" s="6" t="n">
        <f aca="false">B270+1</f>
        <v>3</v>
      </c>
      <c r="C271" s="6" t="s">
        <v>238</v>
      </c>
      <c r="D271" s="170" t="s">
        <v>239</v>
      </c>
      <c r="E271" s="6" t="n">
        <v>2</v>
      </c>
    </row>
    <row r="272" customFormat="false" ht="12.75" hidden="false" customHeight="false" outlineLevel="0" collapsed="false">
      <c r="B272" s="6" t="n">
        <f aca="false">B271+1</f>
        <v>4</v>
      </c>
      <c r="C272" s="6" t="s">
        <v>240</v>
      </c>
      <c r="D272" s="170" t="s">
        <v>241</v>
      </c>
      <c r="E272" s="6" t="n">
        <v>2</v>
      </c>
    </row>
    <row r="273" customFormat="false" ht="12.75" hidden="false" customHeight="false" outlineLevel="0" collapsed="false">
      <c r="B273" s="6" t="n">
        <f aca="false">B272+1</f>
        <v>5</v>
      </c>
      <c r="C273" s="6" t="s">
        <v>242</v>
      </c>
      <c r="D273" s="170" t="s">
        <v>243</v>
      </c>
      <c r="E273" s="6" t="n">
        <v>2</v>
      </c>
    </row>
    <row r="274" customFormat="false" ht="12.75" hidden="false" customHeight="false" outlineLevel="0" collapsed="false">
      <c r="B274" s="6" t="n">
        <f aca="false">B273+1</f>
        <v>6</v>
      </c>
      <c r="C274" s="6" t="s">
        <v>244</v>
      </c>
      <c r="D274" s="170" t="s">
        <v>245</v>
      </c>
      <c r="E274" s="6" t="n">
        <v>2</v>
      </c>
    </row>
    <row r="275" customFormat="false" ht="12.75" hidden="false" customHeight="false" outlineLevel="0" collapsed="false">
      <c r="B275" s="6" t="n">
        <f aca="false">B274+1</f>
        <v>7</v>
      </c>
      <c r="C275" s="6" t="s">
        <v>246</v>
      </c>
      <c r="D275" s="170" t="s">
        <v>247</v>
      </c>
      <c r="E275" s="6" t="n">
        <v>2</v>
      </c>
    </row>
    <row r="276" customFormat="false" ht="12.75" hidden="false" customHeight="false" outlineLevel="0" collapsed="false">
      <c r="B276" s="6" t="n">
        <f aca="false">B275+1</f>
        <v>8</v>
      </c>
      <c r="C276" s="6" t="s">
        <v>248</v>
      </c>
      <c r="D276" s="170" t="s">
        <v>199</v>
      </c>
      <c r="E276" s="6" t="n">
        <v>2</v>
      </c>
    </row>
    <row r="277" customFormat="false" ht="12.75" hidden="false" customHeight="false" outlineLevel="0" collapsed="false">
      <c r="B277" s="6" t="n">
        <f aca="false">B276+1</f>
        <v>9</v>
      </c>
      <c r="C277" s="6" t="s">
        <v>249</v>
      </c>
      <c r="D277" s="170" t="s">
        <v>172</v>
      </c>
      <c r="E277" s="6" t="n">
        <v>2</v>
      </c>
    </row>
    <row r="278" customFormat="false" ht="12.75" hidden="false" customHeight="false" outlineLevel="0" collapsed="false">
      <c r="B278" s="6" t="n">
        <f aca="false">B277+1</f>
        <v>10</v>
      </c>
      <c r="C278" s="6" t="s">
        <v>250</v>
      </c>
      <c r="D278" s="170" t="s">
        <v>251</v>
      </c>
      <c r="E278" s="6" t="n">
        <v>2</v>
      </c>
    </row>
    <row r="279" customFormat="false" ht="12.75" hidden="false" customHeight="false" outlineLevel="0" collapsed="false">
      <c r="B279" s="6" t="n">
        <f aca="false">B278+1</f>
        <v>11</v>
      </c>
      <c r="C279" s="6" t="s">
        <v>252</v>
      </c>
      <c r="D279" s="170" t="s">
        <v>253</v>
      </c>
      <c r="E279" s="6" t="n">
        <v>2</v>
      </c>
    </row>
    <row r="280" customFormat="false" ht="12.75" hidden="false" customHeight="false" outlineLevel="0" collapsed="false">
      <c r="B280" s="6" t="n">
        <f aca="false">B279+1</f>
        <v>12</v>
      </c>
      <c r="C280" s="6" t="s">
        <v>254</v>
      </c>
      <c r="D280" s="170" t="s">
        <v>255</v>
      </c>
      <c r="E280" s="6" t="n">
        <v>2</v>
      </c>
    </row>
    <row r="281" customFormat="false" ht="12.75" hidden="false" customHeight="false" outlineLevel="0" collapsed="false">
      <c r="B281" s="6" t="n">
        <f aca="false">B280+1</f>
        <v>13</v>
      </c>
      <c r="C281" s="6" t="s">
        <v>256</v>
      </c>
      <c r="D281" s="170" t="s">
        <v>257</v>
      </c>
      <c r="E281" s="6" t="n">
        <v>2</v>
      </c>
    </row>
    <row r="282" customFormat="false" ht="12.75" hidden="false" customHeight="false" outlineLevel="0" collapsed="false">
      <c r="B282" s="6" t="n">
        <f aca="false">B281+1</f>
        <v>14</v>
      </c>
      <c r="C282" s="6" t="s">
        <v>258</v>
      </c>
      <c r="D282" s="170" t="s">
        <v>259</v>
      </c>
      <c r="E282" s="6" t="n">
        <v>2</v>
      </c>
    </row>
    <row r="283" customFormat="false" ht="12.75" hidden="false" customHeight="false" outlineLevel="0" collapsed="false">
      <c r="B283" s="6" t="n">
        <f aca="false">B282+1</f>
        <v>15</v>
      </c>
      <c r="C283" s="9" t="s">
        <v>260</v>
      </c>
      <c r="D283" s="170" t="s">
        <v>261</v>
      </c>
      <c r="E283" s="9" t="n">
        <v>2</v>
      </c>
    </row>
  </sheetData>
  <mergeCells count="46">
    <mergeCell ref="A1:I1"/>
    <mergeCell ref="A2:I2"/>
    <mergeCell ref="A3:I3"/>
    <mergeCell ref="A4:I4"/>
    <mergeCell ref="F6:H6"/>
    <mergeCell ref="B7:B14"/>
    <mergeCell ref="B16:B25"/>
    <mergeCell ref="B27:B35"/>
    <mergeCell ref="B37:B46"/>
    <mergeCell ref="A50:I50"/>
    <mergeCell ref="A51:I51"/>
    <mergeCell ref="A52:I52"/>
    <mergeCell ref="F54:H54"/>
    <mergeCell ref="B55:B63"/>
    <mergeCell ref="B65:B74"/>
    <mergeCell ref="B76:B85"/>
    <mergeCell ref="B87:B89"/>
    <mergeCell ref="A93:I93"/>
    <mergeCell ref="A94:I94"/>
    <mergeCell ref="A95:I95"/>
    <mergeCell ref="F97:H97"/>
    <mergeCell ref="B98:B107"/>
    <mergeCell ref="B109:B116"/>
    <mergeCell ref="B118:B126"/>
    <mergeCell ref="B128:B130"/>
    <mergeCell ref="A134:I134"/>
    <mergeCell ref="A135:I135"/>
    <mergeCell ref="A136:I136"/>
    <mergeCell ref="F138:H138"/>
    <mergeCell ref="B139:B147"/>
    <mergeCell ref="B149:B156"/>
    <mergeCell ref="B158:B167"/>
    <mergeCell ref="B169:B171"/>
    <mergeCell ref="A174:I174"/>
    <mergeCell ref="A175:I175"/>
    <mergeCell ref="A176:I176"/>
    <mergeCell ref="F178:H178"/>
    <mergeCell ref="B179:B187"/>
    <mergeCell ref="B189:B197"/>
    <mergeCell ref="B199:B207"/>
    <mergeCell ref="B209:B211"/>
    <mergeCell ref="D215:E215"/>
    <mergeCell ref="B222:E222"/>
    <mergeCell ref="B238:E238"/>
    <mergeCell ref="B251:E251"/>
    <mergeCell ref="B267:E267"/>
  </mergeCells>
  <printOptions headings="false" gridLines="false" gridLinesSet="true" horizontalCentered="true" verticalCentered="false"/>
  <pageMargins left="0.190277777777778" right="0.170138888888889" top="0.590277777777778" bottom="0.559722222222222" header="0.511805555555555" footer="0.3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C1:AN165"/>
  <sheetViews>
    <sheetView showFormulas="false" showGridLines="true" showRowColHeaders="true" showZeros="true" rightToLeft="false" tabSelected="false" showOutlineSymbols="true" defaultGridColor="true" view="normal" topLeftCell="V1" colorId="64" zoomScale="90" zoomScaleNormal="90" zoomScalePageLayoutView="100" workbookViewId="0">
      <selection pane="topLeft" activeCell="AA170" activeCellId="1" sqref="D110:D118 AA170"/>
    </sheetView>
  </sheetViews>
  <sheetFormatPr defaultRowHeight="12.75" zeroHeight="false" outlineLevelRow="0" outlineLevelCol="0"/>
  <cols>
    <col collapsed="false" customWidth="true" hidden="false" outlineLevel="0" max="2" min="1" style="0" width="8.57"/>
    <col collapsed="false" customWidth="true" hidden="false" outlineLevel="0" max="3" min="3" style="0" width="40.15"/>
    <col collapsed="false" customWidth="true" hidden="false" outlineLevel="0" max="4" min="4" style="0" width="45.57"/>
    <col collapsed="false" customWidth="true" hidden="false" outlineLevel="0" max="5" min="5" style="0" width="4.86"/>
    <col collapsed="false" customWidth="true" hidden="false" outlineLevel="0" max="6" min="6" style="0" width="9"/>
    <col collapsed="false" customWidth="true" hidden="false" outlineLevel="0" max="7" min="7" style="0" width="8.57"/>
    <col collapsed="false" customWidth="true" hidden="false" outlineLevel="0" max="8" min="8" style="0" width="2"/>
    <col collapsed="false" customWidth="true" hidden="false" outlineLevel="0" max="10" min="9" style="0" width="8.57"/>
    <col collapsed="false" customWidth="true" hidden="false" outlineLevel="0" max="11" min="11" style="0" width="13.86"/>
    <col collapsed="false" customWidth="true" hidden="false" outlineLevel="0" max="12" min="12" style="0" width="54.86"/>
    <col collapsed="false" customWidth="true" hidden="false" outlineLevel="0" max="22" min="13" style="0" width="9.13"/>
    <col collapsed="false" customWidth="true" hidden="false" outlineLevel="0" max="23" min="23" style="2" width="10.99"/>
    <col collapsed="false" customWidth="true" hidden="false" outlineLevel="0" max="24" min="24" style="2" width="12.42"/>
    <col collapsed="false" customWidth="true" hidden="false" outlineLevel="0" max="25" min="25" style="0" width="8.57"/>
    <col collapsed="false" customWidth="true" hidden="false" outlineLevel="0" max="26" min="26" style="2" width="15.29"/>
    <col collapsed="false" customWidth="true" hidden="false" outlineLevel="0" max="27" min="27" style="0" width="61.58"/>
    <col collapsed="false" customWidth="true" hidden="false" outlineLevel="0" max="28" min="28" style="0" width="8"/>
    <col collapsed="false" customWidth="true" hidden="false" outlineLevel="0" max="29" min="29" style="2" width="11.14"/>
    <col collapsed="false" customWidth="true" hidden="true" outlineLevel="0" max="30" min="30" style="0" width="9.13"/>
    <col collapsed="false" customWidth="true" hidden="false" outlineLevel="0" max="31" min="31" style="0" width="15.88"/>
    <col collapsed="false" customWidth="true" hidden="false" outlineLevel="0" max="33" min="32" style="0" width="8.57"/>
    <col collapsed="false" customWidth="true" hidden="false" outlineLevel="0" max="34" min="34" style="0" width="5.01"/>
    <col collapsed="false" customWidth="true" hidden="false" outlineLevel="0" max="35" min="35" style="0" width="12.29"/>
    <col collapsed="false" customWidth="true" hidden="false" outlineLevel="0" max="36" min="36" style="0" width="35.85"/>
    <col collapsed="false" customWidth="true" hidden="false" outlineLevel="0" max="37" min="37" style="0" width="5.43"/>
    <col collapsed="false" customWidth="true" hidden="false" outlineLevel="0" max="38" min="38" style="0" width="7.29"/>
    <col collapsed="false" customWidth="true" hidden="true" outlineLevel="0" max="39" min="39" style="0" width="7.29"/>
    <col collapsed="false" customWidth="true" hidden="false" outlineLevel="0" max="40" min="40" style="0" width="14.15"/>
    <col collapsed="false" customWidth="true" hidden="false" outlineLevel="0" max="1025" min="41" style="0" width="8.57"/>
  </cols>
  <sheetData>
    <row r="1" customFormat="false" ht="15.75" hidden="false" customHeight="false" outlineLevel="0" collapsed="false">
      <c r="Z1" s="225" t="s">
        <v>269</v>
      </c>
      <c r="AA1" s="225"/>
      <c r="AB1" s="225"/>
      <c r="AC1" s="225"/>
      <c r="AD1" s="225"/>
      <c r="AE1" s="225"/>
    </row>
    <row r="2" customFormat="false" ht="15" hidden="false" customHeight="false" outlineLevel="0" collapsed="false">
      <c r="AH2" s="226" t="s">
        <v>270</v>
      </c>
      <c r="AI2" s="227"/>
      <c r="AJ2" s="227"/>
    </row>
    <row r="3" customFormat="false" ht="15.75" hidden="false" customHeight="false" outlineLevel="0" collapsed="false">
      <c r="C3" s="0" t="s">
        <v>5</v>
      </c>
      <c r="D3" s="0" t="s">
        <v>6</v>
      </c>
      <c r="E3" s="0" t="s">
        <v>7</v>
      </c>
      <c r="F3" s="0" t="s">
        <v>8</v>
      </c>
      <c r="G3" s="0" t="s">
        <v>9</v>
      </c>
      <c r="K3" s="228" t="s">
        <v>271</v>
      </c>
      <c r="L3" s="228" t="s">
        <v>272</v>
      </c>
      <c r="M3" s="228" t="s">
        <v>273</v>
      </c>
      <c r="N3" s="228" t="s">
        <v>274</v>
      </c>
      <c r="O3" s="228" t="s">
        <v>275</v>
      </c>
      <c r="P3" s="228" t="s">
        <v>276</v>
      </c>
      <c r="Q3" s="228" t="s">
        <v>277</v>
      </c>
      <c r="R3" s="228" t="s">
        <v>278</v>
      </c>
      <c r="S3" s="228" t="s">
        <v>279</v>
      </c>
      <c r="T3" s="228" t="s">
        <v>280</v>
      </c>
      <c r="U3" s="228" t="s">
        <v>281</v>
      </c>
      <c r="V3" s="228" t="s">
        <v>282</v>
      </c>
      <c r="W3" s="229" t="s">
        <v>283</v>
      </c>
      <c r="X3" s="229" t="s">
        <v>284</v>
      </c>
      <c r="Z3" s="229" t="s">
        <v>271</v>
      </c>
      <c r="AA3" s="229" t="s">
        <v>272</v>
      </c>
      <c r="AB3" s="229" t="s">
        <v>7</v>
      </c>
      <c r="AC3" s="229" t="s">
        <v>285</v>
      </c>
      <c r="AD3" s="230" t="s">
        <v>284</v>
      </c>
      <c r="AE3" s="229" t="s">
        <v>9</v>
      </c>
      <c r="AH3" s="231" t="s">
        <v>156</v>
      </c>
      <c r="AI3" s="231" t="s">
        <v>271</v>
      </c>
      <c r="AJ3" s="231" t="s">
        <v>272</v>
      </c>
      <c r="AK3" s="231" t="s">
        <v>7</v>
      </c>
      <c r="AL3" s="231" t="s">
        <v>285</v>
      </c>
      <c r="AM3" s="231" t="s">
        <v>284</v>
      </c>
      <c r="AN3" s="231" t="s">
        <v>9</v>
      </c>
    </row>
    <row r="4" customFormat="false" ht="15" hidden="true" customHeight="false" outlineLevel="0" collapsed="false">
      <c r="K4" s="232" t="s">
        <v>58</v>
      </c>
      <c r="L4" s="232" t="s">
        <v>286</v>
      </c>
      <c r="M4" s="232" t="n">
        <v>30</v>
      </c>
      <c r="N4" s="232" t="s">
        <v>287</v>
      </c>
      <c r="O4" s="232" t="n">
        <v>3</v>
      </c>
      <c r="P4" s="232" t="n">
        <v>0</v>
      </c>
      <c r="Q4" s="232" t="n">
        <v>0</v>
      </c>
      <c r="R4" s="232" t="n">
        <v>0</v>
      </c>
      <c r="S4" s="232" t="s">
        <v>288</v>
      </c>
      <c r="T4" s="232" t="s">
        <v>288</v>
      </c>
      <c r="U4" s="232" t="s">
        <v>288</v>
      </c>
      <c r="V4" s="232" t="n">
        <v>0</v>
      </c>
      <c r="W4" s="233" t="n">
        <v>5</v>
      </c>
      <c r="X4" s="233" t="str">
        <f aca="false">LEFT(K4,2)</f>
        <v>EA</v>
      </c>
      <c r="Y4" s="0" t="str">
        <f aca="false">IF(K4=Z4,"OK","CEEK")</f>
        <v>CEEK</v>
      </c>
      <c r="Z4" s="234" t="s">
        <v>15</v>
      </c>
      <c r="AA4" s="235" t="s">
        <v>289</v>
      </c>
      <c r="AB4" s="235" t="n">
        <v>3</v>
      </c>
      <c r="AC4" s="234" t="n">
        <v>1</v>
      </c>
      <c r="AD4" s="233" t="str">
        <f aca="false">LEFT(Z4,2)</f>
        <v>TP</v>
      </c>
      <c r="AE4" s="236" t="s">
        <v>290</v>
      </c>
      <c r="AF4" s="0" t="n">
        <v>0</v>
      </c>
      <c r="AH4" s="237" t="n">
        <v>1</v>
      </c>
      <c r="AI4" s="237" t="s">
        <v>13</v>
      </c>
      <c r="AJ4" s="238" t="s">
        <v>291</v>
      </c>
      <c r="AK4" s="237" t="n">
        <v>2</v>
      </c>
      <c r="AL4" s="237" t="n">
        <v>1</v>
      </c>
      <c r="AM4" s="238" t="s">
        <v>292</v>
      </c>
      <c r="AN4" s="238" t="s">
        <v>293</v>
      </c>
    </row>
    <row r="5" customFormat="false" ht="15" hidden="true" customHeight="false" outlineLevel="0" collapsed="false">
      <c r="C5" s="16" t="s">
        <v>58</v>
      </c>
      <c r="D5" s="16" t="s">
        <v>286</v>
      </c>
      <c r="E5" s="0" t="n">
        <v>3</v>
      </c>
      <c r="H5" s="0" t="n">
        <v>5</v>
      </c>
      <c r="K5" s="232" t="s">
        <v>59</v>
      </c>
      <c r="L5" s="232" t="s">
        <v>294</v>
      </c>
      <c r="M5" s="232" t="n">
        <v>30</v>
      </c>
      <c r="N5" s="232" t="s">
        <v>287</v>
      </c>
      <c r="O5" s="232" t="n">
        <v>3</v>
      </c>
      <c r="P5" s="232" t="n">
        <v>0</v>
      </c>
      <c r="Q5" s="232" t="n">
        <v>0</v>
      </c>
      <c r="R5" s="232" t="n">
        <v>0</v>
      </c>
      <c r="S5" s="232" t="s">
        <v>288</v>
      </c>
      <c r="T5" s="232" t="s">
        <v>288</v>
      </c>
      <c r="U5" s="232" t="s">
        <v>288</v>
      </c>
      <c r="V5" s="232" t="n">
        <v>0</v>
      </c>
      <c r="W5" s="233" t="n">
        <v>5</v>
      </c>
      <c r="X5" s="233" t="str">
        <f aca="false">LEFT(K5,2)</f>
        <v>EA</v>
      </c>
      <c r="Y5" s="0" t="str">
        <f aca="false">IF(K5=Z5,"OK","CEEK")</f>
        <v>CEEK</v>
      </c>
      <c r="Z5" s="239" t="s">
        <v>16</v>
      </c>
      <c r="AA5" s="240" t="s">
        <v>295</v>
      </c>
      <c r="AB5" s="240" t="n">
        <v>3</v>
      </c>
      <c r="AC5" s="239" t="n">
        <v>1</v>
      </c>
      <c r="AD5" s="233" t="str">
        <f aca="false">LEFT(Z5,2)</f>
        <v>TP</v>
      </c>
      <c r="AE5" s="236" t="s">
        <v>290</v>
      </c>
      <c r="AF5" s="0" t="n">
        <v>0</v>
      </c>
      <c r="AH5" s="237" t="n">
        <v>2</v>
      </c>
      <c r="AI5" s="237" t="s">
        <v>12</v>
      </c>
      <c r="AJ5" s="238" t="s">
        <v>296</v>
      </c>
      <c r="AK5" s="237" t="n">
        <v>2</v>
      </c>
      <c r="AL5" s="237" t="n">
        <v>1</v>
      </c>
      <c r="AM5" s="238" t="s">
        <v>292</v>
      </c>
      <c r="AN5" s="238" t="s">
        <v>293</v>
      </c>
    </row>
    <row r="6" customFormat="false" ht="15" hidden="true" customHeight="false" outlineLevel="0" collapsed="false">
      <c r="C6" s="16" t="s">
        <v>59</v>
      </c>
      <c r="D6" s="16" t="s">
        <v>294</v>
      </c>
      <c r="E6" s="0" t="n">
        <v>3</v>
      </c>
      <c r="H6" s="0" t="n">
        <v>5</v>
      </c>
      <c r="K6" s="232" t="s">
        <v>60</v>
      </c>
      <c r="L6" s="232" t="s">
        <v>297</v>
      </c>
      <c r="M6" s="232" t="n">
        <v>30</v>
      </c>
      <c r="N6" s="232" t="s">
        <v>287</v>
      </c>
      <c r="O6" s="232" t="n">
        <v>2</v>
      </c>
      <c r="P6" s="232" t="n">
        <v>0</v>
      </c>
      <c r="Q6" s="232" t="n">
        <v>0</v>
      </c>
      <c r="R6" s="232" t="n">
        <v>0</v>
      </c>
      <c r="S6" s="232" t="s">
        <v>288</v>
      </c>
      <c r="T6" s="232" t="s">
        <v>288</v>
      </c>
      <c r="U6" s="232" t="s">
        <v>288</v>
      </c>
      <c r="V6" s="232" t="n">
        <v>0</v>
      </c>
      <c r="W6" s="233" t="n">
        <v>5</v>
      </c>
      <c r="X6" s="233" t="str">
        <f aca="false">LEFT(K6,2)</f>
        <v>EA</v>
      </c>
      <c r="Y6" s="0" t="str">
        <f aca="false">IF(K6=Z6,"OK","CEEK")</f>
        <v>CEEK</v>
      </c>
      <c r="Z6" s="239" t="s">
        <v>17</v>
      </c>
      <c r="AA6" s="240" t="s">
        <v>298</v>
      </c>
      <c r="AB6" s="240" t="n">
        <v>3</v>
      </c>
      <c r="AC6" s="239" t="n">
        <v>1</v>
      </c>
      <c r="AD6" s="233" t="str">
        <f aca="false">LEFT(Z6,2)</f>
        <v>TP</v>
      </c>
      <c r="AE6" s="236" t="s">
        <v>290</v>
      </c>
      <c r="AF6" s="0" t="n">
        <v>0</v>
      </c>
      <c r="AH6" s="237" t="n">
        <v>3</v>
      </c>
      <c r="AI6" s="237" t="s">
        <v>23</v>
      </c>
      <c r="AJ6" s="238" t="s">
        <v>299</v>
      </c>
      <c r="AK6" s="237" t="n">
        <v>2</v>
      </c>
      <c r="AL6" s="237" t="n">
        <v>2</v>
      </c>
      <c r="AM6" s="238" t="s">
        <v>292</v>
      </c>
      <c r="AN6" s="238" t="s">
        <v>293</v>
      </c>
    </row>
    <row r="7" customFormat="false" ht="15" hidden="true" customHeight="false" outlineLevel="0" collapsed="false">
      <c r="C7" s="16" t="s">
        <v>60</v>
      </c>
      <c r="D7" s="16" t="s">
        <v>297</v>
      </c>
      <c r="E7" s="0" t="n">
        <v>2</v>
      </c>
      <c r="H7" s="0" t="n">
        <v>5</v>
      </c>
      <c r="K7" s="232" t="s">
        <v>61</v>
      </c>
      <c r="L7" s="232" t="s">
        <v>300</v>
      </c>
      <c r="M7" s="232" t="n">
        <v>30</v>
      </c>
      <c r="N7" s="232" t="s">
        <v>287</v>
      </c>
      <c r="O7" s="232" t="n">
        <v>2</v>
      </c>
      <c r="P7" s="232" t="n">
        <v>0</v>
      </c>
      <c r="Q7" s="232" t="n">
        <v>0</v>
      </c>
      <c r="R7" s="232" t="n">
        <v>0</v>
      </c>
      <c r="S7" s="232" t="s">
        <v>288</v>
      </c>
      <c r="T7" s="232" t="s">
        <v>288</v>
      </c>
      <c r="U7" s="232" t="s">
        <v>288</v>
      </c>
      <c r="V7" s="232" t="n">
        <v>0</v>
      </c>
      <c r="W7" s="233" t="n">
        <v>5</v>
      </c>
      <c r="X7" s="233" t="str">
        <f aca="false">LEFT(K7,2)</f>
        <v>EA</v>
      </c>
      <c r="Y7" s="0" t="str">
        <f aca="false">IF(K7=Z7,"OK","CEEK")</f>
        <v>CEEK</v>
      </c>
      <c r="Z7" s="239" t="s">
        <v>18</v>
      </c>
      <c r="AA7" s="240" t="s">
        <v>301</v>
      </c>
      <c r="AB7" s="240" t="n">
        <v>3</v>
      </c>
      <c r="AC7" s="239" t="n">
        <v>1</v>
      </c>
      <c r="AD7" s="233" t="str">
        <f aca="false">LEFT(Z7,2)</f>
        <v>TP</v>
      </c>
      <c r="AE7" s="236" t="s">
        <v>290</v>
      </c>
      <c r="AF7" s="0" t="n">
        <v>0</v>
      </c>
      <c r="AH7" s="237" t="n">
        <v>4</v>
      </c>
      <c r="AI7" s="237" t="s">
        <v>55</v>
      </c>
      <c r="AJ7" s="238" t="s">
        <v>302</v>
      </c>
      <c r="AK7" s="237" t="n">
        <v>1</v>
      </c>
      <c r="AL7" s="237" t="n">
        <v>5</v>
      </c>
      <c r="AM7" s="238"/>
      <c r="AN7" s="238"/>
    </row>
    <row r="8" customFormat="false" ht="15" hidden="true" customHeight="false" outlineLevel="0" collapsed="false">
      <c r="C8" s="16" t="s">
        <v>61</v>
      </c>
      <c r="D8" s="16" t="s">
        <v>300</v>
      </c>
      <c r="E8" s="0" t="n">
        <v>2</v>
      </c>
      <c r="H8" s="0" t="n">
        <v>5</v>
      </c>
      <c r="K8" s="232" t="s">
        <v>80</v>
      </c>
      <c r="L8" s="232" t="s">
        <v>303</v>
      </c>
      <c r="M8" s="232" t="n">
        <v>30</v>
      </c>
      <c r="N8" s="232" t="s">
        <v>287</v>
      </c>
      <c r="O8" s="232" t="n">
        <v>2</v>
      </c>
      <c r="P8" s="232" t="n">
        <v>0</v>
      </c>
      <c r="Q8" s="232" t="n">
        <v>0</v>
      </c>
      <c r="R8" s="232" t="n">
        <v>0</v>
      </c>
      <c r="S8" s="232" t="s">
        <v>288</v>
      </c>
      <c r="T8" s="232" t="s">
        <v>288</v>
      </c>
      <c r="U8" s="232" t="s">
        <v>288</v>
      </c>
      <c r="V8" s="232" t="n">
        <v>0</v>
      </c>
      <c r="W8" s="233" t="n">
        <v>6</v>
      </c>
      <c r="X8" s="233" t="str">
        <f aca="false">LEFT(K8,2)</f>
        <v>EA</v>
      </c>
      <c r="Y8" s="0" t="str">
        <f aca="false">IF(K8=Z8,"OK","CEEK")</f>
        <v>CEEK</v>
      </c>
      <c r="Z8" s="239" t="s">
        <v>11</v>
      </c>
      <c r="AA8" s="240" t="s">
        <v>304</v>
      </c>
      <c r="AB8" s="240" t="n">
        <v>2</v>
      </c>
      <c r="AC8" s="239" t="n">
        <v>1</v>
      </c>
      <c r="AD8" s="233" t="str">
        <f aca="false">LEFT(Z8,2)</f>
        <v>TP</v>
      </c>
      <c r="AE8" s="236" t="s">
        <v>290</v>
      </c>
      <c r="AF8" s="0" t="n">
        <v>0</v>
      </c>
      <c r="AH8" s="227"/>
      <c r="AI8" s="227"/>
      <c r="AJ8" s="227"/>
    </row>
    <row r="9" customFormat="false" ht="15" hidden="true" customHeight="false" outlineLevel="0" collapsed="false">
      <c r="C9" s="16" t="s">
        <v>80</v>
      </c>
      <c r="D9" s="16" t="s">
        <v>303</v>
      </c>
      <c r="E9" s="0" t="n">
        <v>2</v>
      </c>
      <c r="H9" s="0" t="n">
        <v>6</v>
      </c>
      <c r="K9" s="232" t="s">
        <v>81</v>
      </c>
      <c r="L9" s="232" t="s">
        <v>305</v>
      </c>
      <c r="M9" s="232" t="n">
        <v>30</v>
      </c>
      <c r="N9" s="232" t="s">
        <v>287</v>
      </c>
      <c r="O9" s="232" t="n">
        <v>0</v>
      </c>
      <c r="P9" s="232" t="n">
        <v>1</v>
      </c>
      <c r="Q9" s="232" t="n">
        <v>0</v>
      </c>
      <c r="R9" s="232" t="n">
        <v>0</v>
      </c>
      <c r="S9" s="232" t="s">
        <v>288</v>
      </c>
      <c r="T9" s="232" t="s">
        <v>288</v>
      </c>
      <c r="U9" s="232" t="s">
        <v>288</v>
      </c>
      <c r="V9" s="232" t="n">
        <v>0</v>
      </c>
      <c r="W9" s="233" t="n">
        <v>6</v>
      </c>
      <c r="X9" s="233" t="str">
        <f aca="false">LEFT(K9,2)</f>
        <v>EA</v>
      </c>
      <c r="Y9" s="0" t="str">
        <f aca="false">IF(K9=Z9,"OK","CEEK")</f>
        <v>CEEK</v>
      </c>
      <c r="Z9" s="239" t="s">
        <v>12</v>
      </c>
      <c r="AA9" s="240" t="s">
        <v>296</v>
      </c>
      <c r="AB9" s="240" t="n">
        <v>2</v>
      </c>
      <c r="AC9" s="239" t="n">
        <v>1</v>
      </c>
      <c r="AD9" s="233" t="str">
        <f aca="false">LEFT(Z9,2)</f>
        <v>TP</v>
      </c>
      <c r="AE9" s="236" t="s">
        <v>290</v>
      </c>
      <c r="AF9" s="0" t="n">
        <v>0</v>
      </c>
      <c r="AH9" s="227" t="s">
        <v>306</v>
      </c>
      <c r="AI9" s="227"/>
      <c r="AJ9" s="227"/>
    </row>
    <row r="10" customFormat="false" ht="15" hidden="true" customHeight="false" outlineLevel="0" collapsed="false">
      <c r="C10" s="16" t="s">
        <v>81</v>
      </c>
      <c r="D10" s="16" t="s">
        <v>305</v>
      </c>
      <c r="E10" s="0" t="n">
        <v>1</v>
      </c>
      <c r="H10" s="0" t="n">
        <v>6</v>
      </c>
      <c r="K10" s="232" t="s">
        <v>82</v>
      </c>
      <c r="L10" s="232" t="s">
        <v>307</v>
      </c>
      <c r="M10" s="232" t="n">
        <v>30</v>
      </c>
      <c r="N10" s="232" t="s">
        <v>287</v>
      </c>
      <c r="O10" s="232" t="n">
        <v>2</v>
      </c>
      <c r="P10" s="232" t="n">
        <v>0</v>
      </c>
      <c r="Q10" s="232" t="n">
        <v>0</v>
      </c>
      <c r="R10" s="232" t="n">
        <v>0</v>
      </c>
      <c r="S10" s="232" t="s">
        <v>288</v>
      </c>
      <c r="T10" s="232" t="s">
        <v>288</v>
      </c>
      <c r="U10" s="232" t="s">
        <v>288</v>
      </c>
      <c r="V10" s="232" t="n">
        <v>0</v>
      </c>
      <c r="W10" s="233" t="n">
        <v>6</v>
      </c>
      <c r="X10" s="233" t="str">
        <f aca="false">LEFT(K10,2)</f>
        <v>EA</v>
      </c>
      <c r="Y10" s="0" t="str">
        <f aca="false">IF(K10=Z10,"OK","CEEK")</f>
        <v>CEEK</v>
      </c>
      <c r="Z10" s="239" t="s">
        <v>13</v>
      </c>
      <c r="AA10" s="240" t="s">
        <v>291</v>
      </c>
      <c r="AB10" s="240" t="n">
        <v>2</v>
      </c>
      <c r="AC10" s="239" t="n">
        <v>1</v>
      </c>
      <c r="AD10" s="233" t="str">
        <f aca="false">LEFT(Z10,2)</f>
        <v>TP</v>
      </c>
      <c r="AE10" s="236" t="s">
        <v>290</v>
      </c>
      <c r="AF10" s="0" t="n">
        <v>0</v>
      </c>
      <c r="AH10" s="227" t="s">
        <v>308</v>
      </c>
      <c r="AI10" s="227"/>
      <c r="AJ10" s="227"/>
    </row>
    <row r="11" customFormat="false" ht="15" hidden="true" customHeight="false" outlineLevel="0" collapsed="false">
      <c r="C11" s="16" t="s">
        <v>82</v>
      </c>
      <c r="D11" s="16" t="s">
        <v>307</v>
      </c>
      <c r="E11" s="0" t="n">
        <v>2</v>
      </c>
      <c r="H11" s="0" t="n">
        <v>6</v>
      </c>
      <c r="K11" s="232" t="s">
        <v>83</v>
      </c>
      <c r="L11" s="232" t="s">
        <v>309</v>
      </c>
      <c r="M11" s="232" t="n">
        <v>30</v>
      </c>
      <c r="N11" s="232" t="s">
        <v>287</v>
      </c>
      <c r="O11" s="232" t="n">
        <v>0</v>
      </c>
      <c r="P11" s="232" t="n">
        <v>1</v>
      </c>
      <c r="Q11" s="232" t="n">
        <v>0</v>
      </c>
      <c r="R11" s="232" t="n">
        <v>0</v>
      </c>
      <c r="S11" s="232" t="s">
        <v>288</v>
      </c>
      <c r="T11" s="232" t="s">
        <v>288</v>
      </c>
      <c r="U11" s="232" t="s">
        <v>288</v>
      </c>
      <c r="V11" s="232" t="n">
        <v>0</v>
      </c>
      <c r="W11" s="233" t="n">
        <v>6</v>
      </c>
      <c r="X11" s="233" t="str">
        <f aca="false">LEFT(K11,2)</f>
        <v>EA</v>
      </c>
      <c r="Y11" s="0" t="str">
        <f aca="false">IF(K11=Z11,"OK","CEEK")</f>
        <v>CEEK</v>
      </c>
      <c r="Z11" s="241" t="s">
        <v>14</v>
      </c>
      <c r="AA11" s="242" t="s">
        <v>310</v>
      </c>
      <c r="AB11" s="242" t="n">
        <v>2</v>
      </c>
      <c r="AC11" s="241" t="n">
        <v>1</v>
      </c>
      <c r="AD11" s="233" t="str">
        <f aca="false">LEFT(Z11,2)</f>
        <v>TP</v>
      </c>
      <c r="AE11" s="236" t="s">
        <v>290</v>
      </c>
      <c r="AF11" s="0" t="n">
        <v>0</v>
      </c>
      <c r="AH11" s="227" t="s">
        <v>311</v>
      </c>
      <c r="AI11" s="227"/>
      <c r="AJ11" s="227"/>
    </row>
    <row r="12" customFormat="false" ht="15" hidden="false" customHeight="false" outlineLevel="0" collapsed="false">
      <c r="C12" s="16" t="s">
        <v>83</v>
      </c>
      <c r="D12" s="16" t="s">
        <v>309</v>
      </c>
      <c r="E12" s="0" t="n">
        <v>1</v>
      </c>
      <c r="H12" s="0" t="n">
        <v>6</v>
      </c>
      <c r="K12" s="232" t="s">
        <v>84</v>
      </c>
      <c r="L12" s="232" t="s">
        <v>312</v>
      </c>
      <c r="M12" s="232" t="n">
        <v>30</v>
      </c>
      <c r="N12" s="232" t="s">
        <v>287</v>
      </c>
      <c r="O12" s="232" t="n">
        <v>3</v>
      </c>
      <c r="P12" s="232" t="n">
        <v>0</v>
      </c>
      <c r="Q12" s="232" t="n">
        <v>0</v>
      </c>
      <c r="R12" s="232" t="n">
        <v>0</v>
      </c>
      <c r="S12" s="232" t="s">
        <v>288</v>
      </c>
      <c r="T12" s="232" t="s">
        <v>288</v>
      </c>
      <c r="U12" s="232" t="s">
        <v>288</v>
      </c>
      <c r="V12" s="232" t="n">
        <v>0</v>
      </c>
      <c r="W12" s="233" t="n">
        <v>6</v>
      </c>
      <c r="X12" s="233" t="str">
        <f aca="false">LEFT(K12,2)</f>
        <v>EA</v>
      </c>
      <c r="Y12" s="0" t="str">
        <f aca="false">IF(K12=Z12,"OK","CEEK")</f>
        <v>CEEK</v>
      </c>
      <c r="Z12" s="239" t="s">
        <v>25</v>
      </c>
      <c r="AA12" s="240" t="s">
        <v>313</v>
      </c>
      <c r="AB12" s="240" t="n">
        <v>2</v>
      </c>
      <c r="AC12" s="239" t="n">
        <v>2</v>
      </c>
      <c r="AD12" s="243" t="str">
        <f aca="false">LEFT(Z12,2)</f>
        <v>ES</v>
      </c>
      <c r="AE12" s="233" t="str">
        <f aca="false">IF(AD12="TP","Khusus MABA",IF(AD12="ES","Wajib Semua",IF(AD12="EA","KBK STL",IF(AD12="EB","KBK Elka",IF(AD12="EC","KBK Telkom",IF(AD12="ED","KBK TIK"))))))</f>
        <v>Wajib Semua</v>
      </c>
      <c r="AF12" s="0" t="n">
        <v>1</v>
      </c>
      <c r="AH12" s="227" t="s">
        <v>314</v>
      </c>
      <c r="AI12" s="227"/>
      <c r="AJ12" s="227"/>
    </row>
    <row r="13" customFormat="false" ht="15" hidden="false" customHeight="false" outlineLevel="0" collapsed="false">
      <c r="C13" s="16" t="s">
        <v>84</v>
      </c>
      <c r="D13" s="16" t="s">
        <v>312</v>
      </c>
      <c r="E13" s="0" t="n">
        <v>3</v>
      </c>
      <c r="H13" s="0" t="n">
        <v>6</v>
      </c>
      <c r="K13" s="232" t="s">
        <v>85</v>
      </c>
      <c r="L13" s="232" t="s">
        <v>315</v>
      </c>
      <c r="M13" s="232" t="n">
        <v>30</v>
      </c>
      <c r="N13" s="232" t="s">
        <v>287</v>
      </c>
      <c r="O13" s="232" t="n">
        <v>3</v>
      </c>
      <c r="P13" s="232" t="n">
        <v>0</v>
      </c>
      <c r="Q13" s="232" t="n">
        <v>0</v>
      </c>
      <c r="R13" s="232" t="n">
        <v>0</v>
      </c>
      <c r="S13" s="232" t="s">
        <v>288</v>
      </c>
      <c r="T13" s="232" t="s">
        <v>288</v>
      </c>
      <c r="U13" s="232" t="s">
        <v>288</v>
      </c>
      <c r="V13" s="232" t="n">
        <v>0</v>
      </c>
      <c r="W13" s="233" t="n">
        <v>6</v>
      </c>
      <c r="X13" s="233" t="str">
        <f aca="false">LEFT(K13,2)</f>
        <v>EA</v>
      </c>
      <c r="Y13" s="0" t="str">
        <f aca="false">IF(K13=Z13,"OK","CEEK")</f>
        <v>CEEK</v>
      </c>
      <c r="Z13" s="239" t="s">
        <v>27</v>
      </c>
      <c r="AA13" s="240" t="s">
        <v>316</v>
      </c>
      <c r="AB13" s="240" t="n">
        <v>3</v>
      </c>
      <c r="AC13" s="239" t="n">
        <v>2</v>
      </c>
      <c r="AD13" s="243" t="str">
        <f aca="false">LEFT(Z13,2)</f>
        <v>ES</v>
      </c>
      <c r="AE13" s="233" t="str">
        <f aca="false">IF(AD13="TP","Khusus MABA",IF(AD13="ES","Wajib Semua",IF(AD13="EA","KBK STL",IF(AD13="EB","KBK Elka",IF(AD13="EC","KBK Telkom",IF(AD13="ED","KBK TIK"))))))</f>
        <v>Wajib Semua</v>
      </c>
      <c r="AF13" s="0" t="n">
        <v>1</v>
      </c>
    </row>
    <row r="14" customFormat="false" ht="15" hidden="false" customHeight="false" outlineLevel="0" collapsed="false">
      <c r="C14" s="16" t="s">
        <v>85</v>
      </c>
      <c r="D14" s="16" t="s">
        <v>315</v>
      </c>
      <c r="E14" s="0" t="n">
        <v>3</v>
      </c>
      <c r="H14" s="0" t="n">
        <v>6</v>
      </c>
      <c r="K14" s="232" t="s">
        <v>86</v>
      </c>
      <c r="L14" s="232" t="s">
        <v>317</v>
      </c>
      <c r="M14" s="232" t="n">
        <v>30</v>
      </c>
      <c r="N14" s="232" t="s">
        <v>287</v>
      </c>
      <c r="O14" s="232" t="n">
        <v>2</v>
      </c>
      <c r="P14" s="232" t="n">
        <v>0</v>
      </c>
      <c r="Q14" s="232" t="n">
        <v>0</v>
      </c>
      <c r="R14" s="232" t="n">
        <v>0</v>
      </c>
      <c r="S14" s="232" t="s">
        <v>288</v>
      </c>
      <c r="T14" s="232" t="s">
        <v>288</v>
      </c>
      <c r="U14" s="232" t="s">
        <v>288</v>
      </c>
      <c r="V14" s="232" t="n">
        <v>0</v>
      </c>
      <c r="W14" s="233" t="n">
        <v>6</v>
      </c>
      <c r="X14" s="233" t="str">
        <f aca="false">LEFT(K14,2)</f>
        <v>EA</v>
      </c>
      <c r="Y14" s="0" t="str">
        <f aca="false">IF(K14=Z14,"OK","CEEK")</f>
        <v>CEEK</v>
      </c>
      <c r="Z14" s="239" t="s">
        <v>28</v>
      </c>
      <c r="AA14" s="240" t="s">
        <v>318</v>
      </c>
      <c r="AB14" s="240" t="n">
        <v>2</v>
      </c>
      <c r="AC14" s="239" t="n">
        <v>2</v>
      </c>
      <c r="AD14" s="243" t="str">
        <f aca="false">LEFT(Z14,2)</f>
        <v>ES</v>
      </c>
      <c r="AE14" s="233" t="str">
        <f aca="false">IF(AD14="TP","Khusus MABA",IF(AD14="ES","Wajib Semua",IF(AD14="EA","KBK STL",IF(AD14="EB","KBK Elka",IF(AD14="EC","KBK Telkom",IF(AD14="ED","KBK TIK"))))))</f>
        <v>Wajib Semua</v>
      </c>
      <c r="AF14" s="0" t="n">
        <v>1</v>
      </c>
    </row>
    <row r="15" customFormat="false" ht="15" hidden="false" customHeight="false" outlineLevel="0" collapsed="false">
      <c r="C15" s="16" t="s">
        <v>86</v>
      </c>
      <c r="D15" s="16" t="s">
        <v>317</v>
      </c>
      <c r="E15" s="0" t="n">
        <v>2</v>
      </c>
      <c r="H15" s="0" t="n">
        <v>6</v>
      </c>
      <c r="K15" s="232" t="s">
        <v>157</v>
      </c>
      <c r="L15" s="232" t="s">
        <v>319</v>
      </c>
      <c r="M15" s="232" t="n">
        <v>30</v>
      </c>
      <c r="N15" s="232" t="s">
        <v>320</v>
      </c>
      <c r="O15" s="232" t="n">
        <v>2</v>
      </c>
      <c r="P15" s="232" t="n">
        <v>0</v>
      </c>
      <c r="Q15" s="232" t="n">
        <v>0</v>
      </c>
      <c r="R15" s="232" t="n">
        <v>0</v>
      </c>
      <c r="S15" s="232" t="s">
        <v>288</v>
      </c>
      <c r="T15" s="232" t="s">
        <v>288</v>
      </c>
      <c r="U15" s="232" t="s">
        <v>288</v>
      </c>
      <c r="V15" s="232" t="n">
        <v>0</v>
      </c>
      <c r="W15" s="233" t="n">
        <v>6</v>
      </c>
      <c r="X15" s="233" t="str">
        <f aca="false">LEFT(K15,2)</f>
        <v>EA</v>
      </c>
      <c r="Y15" s="0" t="str">
        <f aca="false">IF(K15=Z15,"OK","CEEK")</f>
        <v>CEEK</v>
      </c>
      <c r="Z15" s="239" t="s">
        <v>24</v>
      </c>
      <c r="AA15" s="240" t="s">
        <v>321</v>
      </c>
      <c r="AB15" s="240" t="n">
        <v>2</v>
      </c>
      <c r="AC15" s="239" t="n">
        <v>2</v>
      </c>
      <c r="AD15" s="243" t="str">
        <f aca="false">LEFT(Z15,2)</f>
        <v>ES</v>
      </c>
      <c r="AE15" s="233" t="str">
        <f aca="false">IF(AD15="TP","Khusus MABA",IF(AD15="ES","Wajib Semua",IF(AD15="EA","KBK STL",IF(AD15="EB","KBK Elka",IF(AD15="EC","KBK Telkom",IF(AD15="ED","KBK TIK"))))))</f>
        <v>Wajib Semua</v>
      </c>
      <c r="AF15" s="0" t="n">
        <v>1</v>
      </c>
    </row>
    <row r="16" customFormat="false" ht="15" hidden="false" customHeight="false" outlineLevel="0" collapsed="false">
      <c r="C16" s="16" t="s">
        <v>115</v>
      </c>
      <c r="D16" s="16" t="s">
        <v>322</v>
      </c>
      <c r="E16" s="0" t="n">
        <v>2</v>
      </c>
      <c r="H16" s="0" t="n">
        <v>7</v>
      </c>
      <c r="K16" s="232" t="s">
        <v>159</v>
      </c>
      <c r="L16" s="232" t="s">
        <v>323</v>
      </c>
      <c r="M16" s="232" t="n">
        <v>30</v>
      </c>
      <c r="N16" s="232" t="s">
        <v>320</v>
      </c>
      <c r="O16" s="232" t="n">
        <v>2</v>
      </c>
      <c r="P16" s="232" t="n">
        <v>0</v>
      </c>
      <c r="Q16" s="232" t="n">
        <v>0</v>
      </c>
      <c r="R16" s="232" t="n">
        <v>0</v>
      </c>
      <c r="S16" s="232" t="s">
        <v>288</v>
      </c>
      <c r="T16" s="232" t="s">
        <v>288</v>
      </c>
      <c r="U16" s="232" t="s">
        <v>288</v>
      </c>
      <c r="V16" s="232" t="n">
        <v>0</v>
      </c>
      <c r="W16" s="233" t="n">
        <v>7</v>
      </c>
      <c r="X16" s="233" t="str">
        <f aca="false">LEFT(K16,2)</f>
        <v>EA</v>
      </c>
      <c r="Y16" s="0" t="str">
        <f aca="false">IF(K16=Z16,"OK","CEEK")</f>
        <v>CEEK</v>
      </c>
      <c r="Z16" s="239" t="s">
        <v>26</v>
      </c>
      <c r="AA16" s="240" t="s">
        <v>324</v>
      </c>
      <c r="AB16" s="240" t="n">
        <v>3</v>
      </c>
      <c r="AC16" s="239" t="n">
        <v>2</v>
      </c>
      <c r="AD16" s="243" t="str">
        <f aca="false">LEFT(Z16,2)</f>
        <v>ES</v>
      </c>
      <c r="AE16" s="233" t="str">
        <f aca="false">IF(AD16="TP","Khusus MABA",IF(AD16="ES","Wajib Semua",IF(AD16="EA","KBK STL",IF(AD16="EB","KBK Elka",IF(AD16="EC","KBK Telkom",IF(AD16="ED","KBK TIK"))))))</f>
        <v>Wajib Semua</v>
      </c>
      <c r="AF16" s="0" t="n">
        <v>1</v>
      </c>
    </row>
    <row r="17" customFormat="false" ht="15" hidden="false" customHeight="false" outlineLevel="0" collapsed="false">
      <c r="C17" s="16" t="s">
        <v>116</v>
      </c>
      <c r="D17" s="16" t="s">
        <v>325</v>
      </c>
      <c r="E17" s="0" t="n">
        <v>2</v>
      </c>
      <c r="H17" s="0" t="n">
        <v>7</v>
      </c>
      <c r="K17" s="232" t="s">
        <v>161</v>
      </c>
      <c r="L17" s="232" t="s">
        <v>326</v>
      </c>
      <c r="M17" s="232" t="n">
        <v>30</v>
      </c>
      <c r="N17" s="232" t="s">
        <v>320</v>
      </c>
      <c r="O17" s="232" t="n">
        <v>2</v>
      </c>
      <c r="P17" s="232" t="n">
        <v>0</v>
      </c>
      <c r="Q17" s="232" t="n">
        <v>0</v>
      </c>
      <c r="R17" s="232" t="n">
        <v>0</v>
      </c>
      <c r="S17" s="232" t="s">
        <v>288</v>
      </c>
      <c r="T17" s="232" t="s">
        <v>288</v>
      </c>
      <c r="U17" s="232" t="s">
        <v>288</v>
      </c>
      <c r="V17" s="232" t="n">
        <v>0</v>
      </c>
      <c r="W17" s="233" t="n">
        <v>7</v>
      </c>
      <c r="X17" s="233" t="str">
        <f aca="false">LEFT(K17,2)</f>
        <v>EA</v>
      </c>
      <c r="Y17" s="0" t="str">
        <f aca="false">IF(K17=Z17,"OK","CEEK")</f>
        <v>CEEK</v>
      </c>
      <c r="Z17" s="239" t="s">
        <v>29</v>
      </c>
      <c r="AA17" s="244" t="s">
        <v>327</v>
      </c>
      <c r="AB17" s="240" t="n">
        <v>1</v>
      </c>
      <c r="AC17" s="239" t="n">
        <v>2</v>
      </c>
      <c r="AD17" s="243" t="str">
        <f aca="false">LEFT(Z17,2)</f>
        <v>ES</v>
      </c>
      <c r="AE17" s="233" t="str">
        <f aca="false">IF(AD17="TP","Khusus MABA",IF(AD17="ES","Wajib Semua",IF(AD17="EA","KBK STL",IF(AD17="EB","KBK Elka",IF(AD17="EC","KBK Telkom",IF(AD17="ED","KBK TIK"))))))</f>
        <v>Wajib Semua</v>
      </c>
      <c r="AF17" s="0" t="n">
        <v>1</v>
      </c>
    </row>
    <row r="18" customFormat="false" ht="15" hidden="false" customHeight="false" outlineLevel="0" collapsed="false">
      <c r="C18" s="16" t="s">
        <v>117</v>
      </c>
      <c r="D18" s="16" t="s">
        <v>328</v>
      </c>
      <c r="E18" s="0" t="n">
        <v>1</v>
      </c>
      <c r="H18" s="0" t="n">
        <v>7</v>
      </c>
      <c r="K18" s="232" t="s">
        <v>163</v>
      </c>
      <c r="L18" s="232" t="s">
        <v>329</v>
      </c>
      <c r="M18" s="232" t="n">
        <v>30</v>
      </c>
      <c r="N18" s="232" t="s">
        <v>320</v>
      </c>
      <c r="O18" s="232" t="n">
        <v>2</v>
      </c>
      <c r="P18" s="232" t="n">
        <v>0</v>
      </c>
      <c r="Q18" s="232" t="n">
        <v>0</v>
      </c>
      <c r="R18" s="232" t="n">
        <v>0</v>
      </c>
      <c r="S18" s="232" t="s">
        <v>288</v>
      </c>
      <c r="T18" s="232" t="s">
        <v>288</v>
      </c>
      <c r="U18" s="232" t="s">
        <v>288</v>
      </c>
      <c r="V18" s="232" t="n">
        <v>0</v>
      </c>
      <c r="W18" s="233" t="n">
        <v>7</v>
      </c>
      <c r="X18" s="233" t="str">
        <f aca="false">LEFT(K18,2)</f>
        <v>EA</v>
      </c>
      <c r="Y18" s="0" t="str">
        <f aca="false">IF(K18=Z18,"OK","CEEK")</f>
        <v>CEEK</v>
      </c>
      <c r="Z18" s="239" t="s">
        <v>20</v>
      </c>
      <c r="AA18" s="240" t="s">
        <v>330</v>
      </c>
      <c r="AB18" s="240" t="n">
        <v>2</v>
      </c>
      <c r="AC18" s="239" t="n">
        <v>2</v>
      </c>
      <c r="AD18" s="243" t="str">
        <f aca="false">LEFT(Z18,2)</f>
        <v>TP</v>
      </c>
      <c r="AE18" s="233" t="s">
        <v>290</v>
      </c>
      <c r="AF18" s="0" t="n">
        <v>1</v>
      </c>
    </row>
    <row r="19" customFormat="false" ht="15" hidden="false" customHeight="false" outlineLevel="0" collapsed="false">
      <c r="C19" s="16" t="s">
        <v>118</v>
      </c>
      <c r="D19" s="16" t="s">
        <v>331</v>
      </c>
      <c r="E19" s="0" t="n">
        <v>2</v>
      </c>
      <c r="H19" s="0" t="n">
        <v>7</v>
      </c>
      <c r="K19" s="232" t="s">
        <v>165</v>
      </c>
      <c r="L19" s="232" t="s">
        <v>332</v>
      </c>
      <c r="M19" s="232" t="n">
        <v>30</v>
      </c>
      <c r="N19" s="232" t="s">
        <v>320</v>
      </c>
      <c r="O19" s="232" t="n">
        <v>2</v>
      </c>
      <c r="P19" s="232" t="n">
        <v>0</v>
      </c>
      <c r="Q19" s="232" t="n">
        <v>0</v>
      </c>
      <c r="R19" s="232" t="n">
        <v>0</v>
      </c>
      <c r="S19" s="232" t="s">
        <v>288</v>
      </c>
      <c r="T19" s="232" t="s">
        <v>288</v>
      </c>
      <c r="U19" s="232" t="s">
        <v>288</v>
      </c>
      <c r="V19" s="232" t="n">
        <v>0</v>
      </c>
      <c r="W19" s="233" t="n">
        <v>7</v>
      </c>
      <c r="X19" s="233" t="str">
        <f aca="false">LEFT(K19,2)</f>
        <v>EA</v>
      </c>
      <c r="Y19" s="0" t="str">
        <f aca="false">IF(K19=Z19,"OK","CEEK")</f>
        <v>CEEK</v>
      </c>
      <c r="Z19" s="239" t="s">
        <v>21</v>
      </c>
      <c r="AA19" s="240" t="s">
        <v>333</v>
      </c>
      <c r="AB19" s="240" t="n">
        <v>2</v>
      </c>
      <c r="AC19" s="239" t="n">
        <v>2</v>
      </c>
      <c r="AD19" s="243" t="str">
        <f aca="false">LEFT(Z19,2)</f>
        <v>TP</v>
      </c>
      <c r="AE19" s="233" t="s">
        <v>290</v>
      </c>
      <c r="AF19" s="0" t="n">
        <v>1</v>
      </c>
    </row>
    <row r="20" customFormat="false" ht="15" hidden="false" customHeight="false" outlineLevel="0" collapsed="false">
      <c r="C20" s="16" t="s">
        <v>119</v>
      </c>
      <c r="D20" s="16" t="s">
        <v>334</v>
      </c>
      <c r="E20" s="0" t="n">
        <v>1</v>
      </c>
      <c r="H20" s="0" t="n">
        <v>7</v>
      </c>
      <c r="K20" s="232" t="s">
        <v>167</v>
      </c>
      <c r="L20" s="232" t="s">
        <v>335</v>
      </c>
      <c r="M20" s="232" t="n">
        <v>30</v>
      </c>
      <c r="N20" s="232" t="s">
        <v>320</v>
      </c>
      <c r="O20" s="232" t="n">
        <v>2</v>
      </c>
      <c r="P20" s="232" t="n">
        <v>0</v>
      </c>
      <c r="Q20" s="232" t="n">
        <v>0</v>
      </c>
      <c r="R20" s="232" t="n">
        <v>0</v>
      </c>
      <c r="S20" s="232" t="s">
        <v>288</v>
      </c>
      <c r="T20" s="232" t="s">
        <v>288</v>
      </c>
      <c r="U20" s="232" t="s">
        <v>288</v>
      </c>
      <c r="V20" s="232" t="n">
        <v>0</v>
      </c>
      <c r="W20" s="233" t="n">
        <v>6</v>
      </c>
      <c r="X20" s="233" t="str">
        <f aca="false">LEFT(K20,2)</f>
        <v>EA</v>
      </c>
      <c r="Y20" s="0" t="str">
        <f aca="false">IF(K20=Z20,"OK","CEEK")</f>
        <v>CEEK</v>
      </c>
      <c r="Z20" s="239" t="s">
        <v>22</v>
      </c>
      <c r="AA20" s="240" t="s">
        <v>336</v>
      </c>
      <c r="AB20" s="240" t="n">
        <v>2</v>
      </c>
      <c r="AC20" s="239" t="n">
        <v>2</v>
      </c>
      <c r="AD20" s="243" t="str">
        <f aca="false">LEFT(Z20,2)</f>
        <v>TP</v>
      </c>
      <c r="AE20" s="233" t="s">
        <v>290</v>
      </c>
      <c r="AF20" s="0" t="n">
        <v>1</v>
      </c>
    </row>
    <row r="21" customFormat="false" ht="15" hidden="false" customHeight="false" outlineLevel="0" collapsed="false">
      <c r="C21" s="16" t="s">
        <v>120</v>
      </c>
      <c r="D21" s="16" t="s">
        <v>337</v>
      </c>
      <c r="E21" s="0" t="n">
        <v>1</v>
      </c>
      <c r="H21" s="0" t="n">
        <v>7</v>
      </c>
      <c r="K21" s="232" t="s">
        <v>169</v>
      </c>
      <c r="L21" s="232" t="s">
        <v>338</v>
      </c>
      <c r="M21" s="232" t="n">
        <v>30</v>
      </c>
      <c r="N21" s="232" t="s">
        <v>320</v>
      </c>
      <c r="O21" s="232" t="n">
        <v>2</v>
      </c>
      <c r="P21" s="232" t="n">
        <v>0</v>
      </c>
      <c r="Q21" s="232" t="n">
        <v>0</v>
      </c>
      <c r="R21" s="232" t="n">
        <v>0</v>
      </c>
      <c r="S21" s="232" t="s">
        <v>288</v>
      </c>
      <c r="T21" s="232" t="s">
        <v>288</v>
      </c>
      <c r="U21" s="232" t="s">
        <v>288</v>
      </c>
      <c r="V21" s="232" t="n">
        <v>0</v>
      </c>
      <c r="W21" s="233" t="n">
        <v>7</v>
      </c>
      <c r="X21" s="233" t="str">
        <f aca="false">LEFT(K21,2)</f>
        <v>EA</v>
      </c>
      <c r="Y21" s="0" t="str">
        <f aca="false">IF(K21=Z21,"OK","CEEK")</f>
        <v>CEEK</v>
      </c>
      <c r="Z21" s="239" t="s">
        <v>23</v>
      </c>
      <c r="AA21" s="240" t="s">
        <v>299</v>
      </c>
      <c r="AB21" s="240" t="n">
        <v>2</v>
      </c>
      <c r="AC21" s="239" t="n">
        <v>2</v>
      </c>
      <c r="AD21" s="243" t="str">
        <f aca="false">LEFT(Z21,2)</f>
        <v>TP</v>
      </c>
      <c r="AE21" s="233" t="s">
        <v>290</v>
      </c>
      <c r="AF21" s="0" t="n">
        <v>1</v>
      </c>
    </row>
    <row r="22" customFormat="false" ht="15" hidden="true" customHeight="false" outlineLevel="0" collapsed="false">
      <c r="C22" s="16" t="s">
        <v>63</v>
      </c>
      <c r="D22" s="16" t="s">
        <v>339</v>
      </c>
      <c r="E22" s="0" t="n">
        <v>3</v>
      </c>
      <c r="H22" s="0" t="n">
        <v>5</v>
      </c>
      <c r="K22" s="232" t="s">
        <v>171</v>
      </c>
      <c r="L22" s="232" t="s">
        <v>172</v>
      </c>
      <c r="M22" s="232" t="n">
        <v>30</v>
      </c>
      <c r="N22" s="232" t="s">
        <v>320</v>
      </c>
      <c r="O22" s="232" t="n">
        <v>2</v>
      </c>
      <c r="P22" s="232" t="n">
        <v>0</v>
      </c>
      <c r="Q22" s="232" t="n">
        <v>0</v>
      </c>
      <c r="R22" s="232" t="n">
        <v>0</v>
      </c>
      <c r="S22" s="232" t="s">
        <v>288</v>
      </c>
      <c r="T22" s="232" t="s">
        <v>288</v>
      </c>
      <c r="U22" s="232" t="s">
        <v>288</v>
      </c>
      <c r="V22" s="232" t="n">
        <v>0</v>
      </c>
      <c r="W22" s="233" t="n">
        <v>6</v>
      </c>
      <c r="X22" s="233" t="str">
        <f aca="false">LEFT(K22,2)</f>
        <v>EA</v>
      </c>
      <c r="Y22" s="0" t="str">
        <f aca="false">IF(K22=Z22,"OK","CEEK")</f>
        <v>CEEK</v>
      </c>
      <c r="Z22" s="234" t="s">
        <v>32</v>
      </c>
      <c r="AA22" s="235" t="s">
        <v>340</v>
      </c>
      <c r="AB22" s="235" t="n">
        <v>3</v>
      </c>
      <c r="AC22" s="234" t="n">
        <v>3</v>
      </c>
      <c r="AD22" s="233" t="str">
        <f aca="false">LEFT(Z22,2)</f>
        <v>ES</v>
      </c>
      <c r="AE22" s="236" t="str">
        <f aca="false">IF(AD22="TP","Khusus MABA",IF(AD22="ES","Wajib Semua",IF(AD22="EA","KBK STL",IF(AD22="EB","KBK Elka",IF(AD22="EC","KBK Telkom",IF(AD22="ED","KBK TIK"))))))</f>
        <v>Wajib Semua</v>
      </c>
      <c r="AF22" s="0" t="n">
        <v>0</v>
      </c>
    </row>
    <row r="23" customFormat="false" ht="15" hidden="true" customHeight="false" outlineLevel="0" collapsed="false">
      <c r="C23" s="16" t="s">
        <v>64</v>
      </c>
      <c r="D23" s="16" t="s">
        <v>341</v>
      </c>
      <c r="E23" s="0" t="n">
        <v>1</v>
      </c>
      <c r="H23" s="0" t="n">
        <v>5</v>
      </c>
      <c r="K23" s="232" t="s">
        <v>173</v>
      </c>
      <c r="L23" s="232" t="s">
        <v>174</v>
      </c>
      <c r="M23" s="232" t="n">
        <v>30</v>
      </c>
      <c r="N23" s="232" t="s">
        <v>320</v>
      </c>
      <c r="O23" s="232" t="n">
        <v>2</v>
      </c>
      <c r="P23" s="232" t="n">
        <v>0</v>
      </c>
      <c r="Q23" s="232" t="n">
        <v>0</v>
      </c>
      <c r="R23" s="232" t="n">
        <v>0</v>
      </c>
      <c r="S23" s="232" t="s">
        <v>288</v>
      </c>
      <c r="T23" s="232" t="s">
        <v>288</v>
      </c>
      <c r="U23" s="232" t="s">
        <v>288</v>
      </c>
      <c r="V23" s="232" t="n">
        <v>0</v>
      </c>
      <c r="W23" s="233" t="n">
        <v>6</v>
      </c>
      <c r="X23" s="233" t="str">
        <f aca="false">LEFT(K23,2)</f>
        <v>EA</v>
      </c>
      <c r="Y23" s="0" t="str">
        <f aca="false">IF(K23=Z23,"OK","CEEK")</f>
        <v>CEEK</v>
      </c>
      <c r="Z23" s="239" t="s">
        <v>33</v>
      </c>
      <c r="AA23" s="240" t="s">
        <v>342</v>
      </c>
      <c r="AB23" s="240" t="n">
        <v>3</v>
      </c>
      <c r="AC23" s="239" t="n">
        <v>3</v>
      </c>
      <c r="AD23" s="233" t="str">
        <f aca="false">LEFT(Z23,2)</f>
        <v>ES</v>
      </c>
      <c r="AE23" s="236" t="str">
        <f aca="false">IF(AD23="TP","Khusus MABA",IF(AD23="ES","Wajib Semua",IF(AD23="EA","KBK STL",IF(AD23="EB","KBK Elka",IF(AD23="EC","KBK Telkom",IF(AD23="ED","KBK TIK"))))))</f>
        <v>Wajib Semua</v>
      </c>
      <c r="AF23" s="0" t="n">
        <v>0</v>
      </c>
    </row>
    <row r="24" customFormat="false" ht="15" hidden="true" customHeight="false" outlineLevel="0" collapsed="false">
      <c r="C24" s="16" t="s">
        <v>65</v>
      </c>
      <c r="D24" s="16" t="s">
        <v>343</v>
      </c>
      <c r="E24" s="0" t="n">
        <v>2</v>
      </c>
      <c r="H24" s="0" t="n">
        <v>5</v>
      </c>
      <c r="K24" s="232" t="s">
        <v>175</v>
      </c>
      <c r="L24" s="232" t="s">
        <v>344</v>
      </c>
      <c r="M24" s="232" t="n">
        <v>30</v>
      </c>
      <c r="N24" s="232" t="s">
        <v>320</v>
      </c>
      <c r="O24" s="232" t="n">
        <v>2</v>
      </c>
      <c r="P24" s="232" t="n">
        <v>0</v>
      </c>
      <c r="Q24" s="232" t="n">
        <v>0</v>
      </c>
      <c r="R24" s="232" t="n">
        <v>0</v>
      </c>
      <c r="S24" s="232" t="s">
        <v>288</v>
      </c>
      <c r="T24" s="232" t="s">
        <v>288</v>
      </c>
      <c r="U24" s="232" t="s">
        <v>288</v>
      </c>
      <c r="V24" s="232" t="n">
        <v>0</v>
      </c>
      <c r="W24" s="233" t="n">
        <v>7</v>
      </c>
      <c r="X24" s="233" t="str">
        <f aca="false">LEFT(K24,2)</f>
        <v>EA</v>
      </c>
      <c r="Y24" s="0" t="str">
        <f aca="false">IF(K24=Z24,"OK","CEEK")</f>
        <v>CEEK</v>
      </c>
      <c r="Z24" s="239" t="s">
        <v>39</v>
      </c>
      <c r="AA24" s="240" t="s">
        <v>345</v>
      </c>
      <c r="AB24" s="240" t="n">
        <v>1</v>
      </c>
      <c r="AC24" s="239" t="n">
        <v>3</v>
      </c>
      <c r="AD24" s="233" t="str">
        <f aca="false">LEFT(Z24,2)</f>
        <v>ES</v>
      </c>
      <c r="AE24" s="236" t="str">
        <f aca="false">IF(AD24="TP","Khusus MABA",IF(AD24="ES","Wajib Semua",IF(AD24="EA","KBK STL",IF(AD24="EB","KBK Elka",IF(AD24="EC","KBK Telkom",IF(AD24="ED","KBK TIK"))))))</f>
        <v>Wajib Semua</v>
      </c>
      <c r="AF24" s="0" t="n">
        <v>0</v>
      </c>
    </row>
    <row r="25" customFormat="false" ht="15" hidden="true" customHeight="false" outlineLevel="0" collapsed="false">
      <c r="C25" s="16" t="s">
        <v>66</v>
      </c>
      <c r="D25" s="16" t="s">
        <v>346</v>
      </c>
      <c r="E25" s="0" t="n">
        <v>1</v>
      </c>
      <c r="H25" s="0" t="n">
        <v>5</v>
      </c>
      <c r="K25" s="232" t="s">
        <v>177</v>
      </c>
      <c r="L25" s="232" t="s">
        <v>347</v>
      </c>
      <c r="M25" s="232" t="n">
        <v>30</v>
      </c>
      <c r="N25" s="232" t="s">
        <v>320</v>
      </c>
      <c r="O25" s="232" t="n">
        <v>2</v>
      </c>
      <c r="P25" s="232" t="n">
        <v>0</v>
      </c>
      <c r="Q25" s="232" t="n">
        <v>0</v>
      </c>
      <c r="R25" s="232" t="n">
        <v>0</v>
      </c>
      <c r="S25" s="232" t="s">
        <v>288</v>
      </c>
      <c r="T25" s="232" t="s">
        <v>288</v>
      </c>
      <c r="U25" s="232" t="s">
        <v>288</v>
      </c>
      <c r="V25" s="232" t="n">
        <v>0</v>
      </c>
      <c r="W25" s="233" t="n">
        <v>6</v>
      </c>
      <c r="X25" s="233" t="str">
        <f aca="false">LEFT(K25,2)</f>
        <v>EA</v>
      </c>
      <c r="Y25" s="0" t="str">
        <f aca="false">IF(K25=Z25,"OK","CEEK")</f>
        <v>CEEK</v>
      </c>
      <c r="Z25" s="239" t="s">
        <v>38</v>
      </c>
      <c r="AA25" s="240" t="s">
        <v>348</v>
      </c>
      <c r="AB25" s="240" t="n">
        <v>2</v>
      </c>
      <c r="AC25" s="239" t="n">
        <v>3</v>
      </c>
      <c r="AD25" s="233" t="str">
        <f aca="false">LEFT(Z25,2)</f>
        <v>ES</v>
      </c>
      <c r="AE25" s="236" t="str">
        <f aca="false">IF(AD25="TP","Khusus MABA",IF(AD25="ES","Wajib Semua",IF(AD25="EA","KBK STL",IF(AD25="EB","KBK Elka",IF(AD25="EC","KBK Telkom",IF(AD25="ED","KBK TIK"))))))</f>
        <v>Wajib Semua</v>
      </c>
      <c r="AF25" s="0" t="n">
        <v>0</v>
      </c>
    </row>
    <row r="26" customFormat="false" ht="15" hidden="true" customHeight="false" outlineLevel="0" collapsed="false">
      <c r="C26" s="16" t="s">
        <v>67</v>
      </c>
      <c r="D26" s="16" t="s">
        <v>349</v>
      </c>
      <c r="E26" s="0" t="n">
        <v>2</v>
      </c>
      <c r="H26" s="0" t="n">
        <v>5</v>
      </c>
      <c r="K26" s="232" t="s">
        <v>179</v>
      </c>
      <c r="L26" s="232" t="s">
        <v>350</v>
      </c>
      <c r="M26" s="232" t="n">
        <v>30</v>
      </c>
      <c r="N26" s="232" t="s">
        <v>320</v>
      </c>
      <c r="O26" s="232" t="n">
        <v>2</v>
      </c>
      <c r="P26" s="232" t="n">
        <v>0</v>
      </c>
      <c r="Q26" s="232" t="n">
        <v>0</v>
      </c>
      <c r="R26" s="232" t="n">
        <v>0</v>
      </c>
      <c r="S26" s="232" t="s">
        <v>288</v>
      </c>
      <c r="T26" s="232" t="s">
        <v>288</v>
      </c>
      <c r="U26" s="232" t="s">
        <v>288</v>
      </c>
      <c r="V26" s="232" t="n">
        <v>0</v>
      </c>
      <c r="W26" s="233" t="n">
        <v>6</v>
      </c>
      <c r="X26" s="233" t="str">
        <f aca="false">LEFT(K26,2)</f>
        <v>EA</v>
      </c>
      <c r="Y26" s="0" t="str">
        <f aca="false">IF(K26=Z26,"OK","CEEK")</f>
        <v>CEEK</v>
      </c>
      <c r="Z26" s="239" t="s">
        <v>31</v>
      </c>
      <c r="AA26" s="240" t="s">
        <v>351</v>
      </c>
      <c r="AB26" s="240" t="n">
        <v>3</v>
      </c>
      <c r="AC26" s="239" t="n">
        <v>3</v>
      </c>
      <c r="AD26" s="233" t="str">
        <f aca="false">LEFT(Z26,2)</f>
        <v>ES</v>
      </c>
      <c r="AE26" s="236" t="str">
        <f aca="false">IF(AD26="TP","Khusus MABA",IF(AD26="ES","Wajib Semua",IF(AD26="EA","KBK STL",IF(AD26="EB","KBK Elka",IF(AD26="EC","KBK Telkom",IF(AD26="ED","KBK TIK"))))))</f>
        <v>Wajib Semua</v>
      </c>
      <c r="AF26" s="0" t="n">
        <v>0</v>
      </c>
    </row>
    <row r="27" customFormat="false" ht="15" hidden="true" customHeight="false" outlineLevel="0" collapsed="false">
      <c r="C27" s="16" t="s">
        <v>89</v>
      </c>
      <c r="D27" s="16" t="s">
        <v>352</v>
      </c>
      <c r="E27" s="0" t="n">
        <v>2</v>
      </c>
      <c r="H27" s="0" t="n">
        <v>6</v>
      </c>
      <c r="K27" s="232" t="s">
        <v>181</v>
      </c>
      <c r="L27" s="232" t="s">
        <v>353</v>
      </c>
      <c r="M27" s="232" t="n">
        <v>30</v>
      </c>
      <c r="N27" s="232" t="s">
        <v>320</v>
      </c>
      <c r="O27" s="232" t="n">
        <v>2</v>
      </c>
      <c r="P27" s="232" t="n">
        <v>0</v>
      </c>
      <c r="Q27" s="232" t="n">
        <v>0</v>
      </c>
      <c r="R27" s="232" t="n">
        <v>0</v>
      </c>
      <c r="S27" s="232" t="s">
        <v>288</v>
      </c>
      <c r="T27" s="232" t="s">
        <v>288</v>
      </c>
      <c r="U27" s="232" t="s">
        <v>288</v>
      </c>
      <c r="V27" s="232" t="n">
        <v>0</v>
      </c>
      <c r="W27" s="233" t="n">
        <v>6</v>
      </c>
      <c r="X27" s="233" t="str">
        <f aca="false">LEFT(K27,2)</f>
        <v>EA</v>
      </c>
      <c r="Y27" s="0" t="str">
        <f aca="false">IF(K27=Z27,"OK","CEEK")</f>
        <v>CEEK</v>
      </c>
      <c r="Z27" s="239" t="s">
        <v>34</v>
      </c>
      <c r="AA27" s="240" t="s">
        <v>354</v>
      </c>
      <c r="AB27" s="240" t="n">
        <v>2</v>
      </c>
      <c r="AC27" s="239" t="n">
        <v>3</v>
      </c>
      <c r="AD27" s="233" t="str">
        <f aca="false">LEFT(Z27,2)</f>
        <v>ES</v>
      </c>
      <c r="AE27" s="236" t="str">
        <f aca="false">IF(AD27="TP","Khusus MABA",IF(AD27="ES","Wajib Semua",IF(AD27="EA","KBK STL",IF(AD27="EB","KBK Elka",IF(AD27="EC","KBK Telkom",IF(AD27="ED","KBK TIK"))))))</f>
        <v>Wajib Semua</v>
      </c>
      <c r="AF27" s="0" t="n">
        <v>0</v>
      </c>
    </row>
    <row r="28" customFormat="false" ht="15" hidden="true" customHeight="false" outlineLevel="0" collapsed="false">
      <c r="C28" s="16" t="s">
        <v>90</v>
      </c>
      <c r="D28" s="16" t="s">
        <v>355</v>
      </c>
      <c r="E28" s="0" t="n">
        <v>1</v>
      </c>
      <c r="H28" s="0" t="n">
        <v>6</v>
      </c>
      <c r="K28" s="232" t="s">
        <v>115</v>
      </c>
      <c r="L28" s="232" t="s">
        <v>322</v>
      </c>
      <c r="M28" s="232" t="n">
        <v>30</v>
      </c>
      <c r="N28" s="232" t="s">
        <v>287</v>
      </c>
      <c r="O28" s="232" t="n">
        <v>2</v>
      </c>
      <c r="P28" s="232" t="n">
        <v>0</v>
      </c>
      <c r="Q28" s="232" t="n">
        <v>0</v>
      </c>
      <c r="R28" s="232" t="n">
        <v>0</v>
      </c>
      <c r="S28" s="232" t="s">
        <v>288</v>
      </c>
      <c r="T28" s="232" t="s">
        <v>288</v>
      </c>
      <c r="U28" s="232" t="s">
        <v>288</v>
      </c>
      <c r="V28" s="232" t="n">
        <v>0</v>
      </c>
      <c r="W28" s="233" t="n">
        <v>7</v>
      </c>
      <c r="X28" s="233" t="str">
        <f aca="false">LEFT(K28,2)</f>
        <v>EA</v>
      </c>
      <c r="Y28" s="0" t="str">
        <f aca="false">IF(K28=Z28,"OK","CEEK")</f>
        <v>CEEK</v>
      </c>
      <c r="Z28" s="239" t="s">
        <v>35</v>
      </c>
      <c r="AA28" s="240" t="s">
        <v>356</v>
      </c>
      <c r="AB28" s="240" t="n">
        <v>1</v>
      </c>
      <c r="AC28" s="239" t="n">
        <v>3</v>
      </c>
      <c r="AD28" s="233" t="str">
        <f aca="false">LEFT(Z28,2)</f>
        <v>ES</v>
      </c>
      <c r="AE28" s="236" t="str">
        <f aca="false">IF(AD28="TP","Khusus MABA",IF(AD28="ES","Wajib Semua",IF(AD28="EA","KBK STL",IF(AD28="EB","KBK Elka",IF(AD28="EC","KBK Telkom",IF(AD28="ED","KBK TIK"))))))</f>
        <v>Wajib Semua</v>
      </c>
      <c r="AF28" s="0" t="n">
        <v>0</v>
      </c>
    </row>
    <row r="29" customFormat="false" ht="15" hidden="true" customHeight="false" outlineLevel="0" collapsed="false">
      <c r="C29" s="16" t="s">
        <v>91</v>
      </c>
      <c r="D29" s="16" t="s">
        <v>357</v>
      </c>
      <c r="E29" s="0" t="n">
        <v>3</v>
      </c>
      <c r="H29" s="0" t="n">
        <v>6</v>
      </c>
      <c r="K29" s="232" t="s">
        <v>116</v>
      </c>
      <c r="L29" s="232" t="s">
        <v>325</v>
      </c>
      <c r="M29" s="232" t="n">
        <v>30</v>
      </c>
      <c r="N29" s="232" t="s">
        <v>287</v>
      </c>
      <c r="O29" s="232" t="n">
        <v>2</v>
      </c>
      <c r="P29" s="232" t="n">
        <v>0</v>
      </c>
      <c r="Q29" s="232" t="n">
        <v>0</v>
      </c>
      <c r="R29" s="232" t="n">
        <v>0</v>
      </c>
      <c r="S29" s="232" t="s">
        <v>288</v>
      </c>
      <c r="T29" s="232" t="s">
        <v>288</v>
      </c>
      <c r="U29" s="232" t="s">
        <v>288</v>
      </c>
      <c r="V29" s="232" t="n">
        <v>0</v>
      </c>
      <c r="W29" s="233" t="n">
        <v>7</v>
      </c>
      <c r="X29" s="233" t="str">
        <f aca="false">LEFT(K29,2)</f>
        <v>EA</v>
      </c>
      <c r="Y29" s="0" t="str">
        <f aca="false">IF(K29=Z29,"OK","CEEK")</f>
        <v>CEEK</v>
      </c>
      <c r="Z29" s="239" t="s">
        <v>36</v>
      </c>
      <c r="AA29" s="240" t="s">
        <v>358</v>
      </c>
      <c r="AB29" s="240" t="n">
        <v>3</v>
      </c>
      <c r="AC29" s="239" t="n">
        <v>3</v>
      </c>
      <c r="AD29" s="233" t="str">
        <f aca="false">LEFT(Z29,2)</f>
        <v>ES</v>
      </c>
      <c r="AE29" s="236" t="str">
        <f aca="false">IF(AD29="TP","Khusus MABA",IF(AD29="ES","Wajib Semua",IF(AD29="EA","KBK STL",IF(AD29="EB","KBK Elka",IF(AD29="EC","KBK Telkom",IF(AD29="ED","KBK TIK"))))))</f>
        <v>Wajib Semua</v>
      </c>
      <c r="AF29" s="0" t="n">
        <v>0</v>
      </c>
    </row>
    <row r="30" customFormat="false" ht="15" hidden="true" customHeight="false" outlineLevel="0" collapsed="false">
      <c r="C30" s="16" t="s">
        <v>92</v>
      </c>
      <c r="D30" s="16" t="s">
        <v>359</v>
      </c>
      <c r="E30" s="0" t="n">
        <v>3</v>
      </c>
      <c r="H30" s="0" t="n">
        <v>6</v>
      </c>
      <c r="K30" s="232" t="s">
        <v>117</v>
      </c>
      <c r="L30" s="232" t="s">
        <v>328</v>
      </c>
      <c r="M30" s="232" t="n">
        <v>30</v>
      </c>
      <c r="N30" s="232" t="s">
        <v>287</v>
      </c>
      <c r="O30" s="232" t="n">
        <v>0</v>
      </c>
      <c r="P30" s="232" t="n">
        <v>1</v>
      </c>
      <c r="Q30" s="232" t="n">
        <v>0</v>
      </c>
      <c r="R30" s="232" t="n">
        <v>0</v>
      </c>
      <c r="S30" s="232" t="s">
        <v>288</v>
      </c>
      <c r="T30" s="232" t="s">
        <v>288</v>
      </c>
      <c r="U30" s="232" t="s">
        <v>288</v>
      </c>
      <c r="V30" s="232" t="n">
        <v>0</v>
      </c>
      <c r="W30" s="233" t="n">
        <v>7</v>
      </c>
      <c r="X30" s="233" t="str">
        <f aca="false">LEFT(K30,2)</f>
        <v>EA</v>
      </c>
      <c r="Y30" s="0" t="str">
        <f aca="false">IF(K30=Z30,"OK","CEEK")</f>
        <v>CEEK</v>
      </c>
      <c r="Z30" s="241" t="s">
        <v>37</v>
      </c>
      <c r="AA30" s="242" t="s">
        <v>360</v>
      </c>
      <c r="AB30" s="242" t="n">
        <v>3</v>
      </c>
      <c r="AC30" s="241" t="n">
        <v>3</v>
      </c>
      <c r="AD30" s="233" t="str">
        <f aca="false">LEFT(Z30,2)</f>
        <v>ES</v>
      </c>
      <c r="AE30" s="236" t="str">
        <f aca="false">IF(AD30="TP","Khusus MABA",IF(AD30="ES","Wajib Semua",IF(AD30="EA","KBK STL",IF(AD30="EB","KBK Elka",IF(AD30="EC","KBK Telkom",IF(AD30="ED","KBK TIK"))))))</f>
        <v>Wajib Semua</v>
      </c>
      <c r="AF30" s="0" t="n">
        <v>0</v>
      </c>
    </row>
    <row r="31" customFormat="false" ht="15" hidden="false" customHeight="false" outlineLevel="0" collapsed="false">
      <c r="C31" s="16" t="s">
        <v>93</v>
      </c>
      <c r="D31" s="16" t="s">
        <v>361</v>
      </c>
      <c r="E31" s="0" t="n">
        <v>3</v>
      </c>
      <c r="H31" s="0" t="n">
        <v>6</v>
      </c>
      <c r="K31" s="232" t="s">
        <v>118</v>
      </c>
      <c r="L31" s="232" t="s">
        <v>331</v>
      </c>
      <c r="M31" s="232" t="n">
        <v>30</v>
      </c>
      <c r="N31" s="232" t="s">
        <v>287</v>
      </c>
      <c r="O31" s="232" t="n">
        <v>2</v>
      </c>
      <c r="P31" s="232" t="n">
        <v>0</v>
      </c>
      <c r="Q31" s="232" t="n">
        <v>0</v>
      </c>
      <c r="R31" s="232" t="n">
        <v>0</v>
      </c>
      <c r="S31" s="232" t="s">
        <v>288</v>
      </c>
      <c r="T31" s="232" t="s">
        <v>288</v>
      </c>
      <c r="U31" s="232" t="s">
        <v>288</v>
      </c>
      <c r="V31" s="232" t="n">
        <v>0</v>
      </c>
      <c r="W31" s="233" t="n">
        <v>7</v>
      </c>
      <c r="X31" s="233" t="str">
        <f aca="false">LEFT(K31,2)</f>
        <v>EA</v>
      </c>
      <c r="Y31" s="0" t="str">
        <f aca="false">IF(K31=Z31,"OK","CEEK")</f>
        <v>CEEK</v>
      </c>
      <c r="Z31" s="239" t="s">
        <v>44</v>
      </c>
      <c r="AA31" s="240" t="s">
        <v>362</v>
      </c>
      <c r="AB31" s="240" t="n">
        <v>2</v>
      </c>
      <c r="AC31" s="239" t="n">
        <v>4</v>
      </c>
      <c r="AD31" s="243" t="str">
        <f aca="false">LEFT(Z31,2)</f>
        <v>ES</v>
      </c>
      <c r="AE31" s="233" t="str">
        <f aca="false">IF(AD31="TP","Khusus MABA",IF(AD31="ES","Wajib Semua",IF(AD31="EA","KBK STL",IF(AD31="EB","KBK Elka",IF(AD31="EC","KBK Telkom",IF(AD31="ED","KBK TIK"))))))</f>
        <v>Wajib Semua</v>
      </c>
      <c r="AF31" s="0" t="n">
        <v>1</v>
      </c>
    </row>
    <row r="32" customFormat="false" ht="15" hidden="false" customHeight="false" outlineLevel="0" collapsed="false">
      <c r="C32" s="16" t="s">
        <v>122</v>
      </c>
      <c r="D32" s="16" t="s">
        <v>363</v>
      </c>
      <c r="E32" s="0" t="n">
        <v>3</v>
      </c>
      <c r="H32" s="0" t="n">
        <v>7</v>
      </c>
      <c r="K32" s="232" t="s">
        <v>119</v>
      </c>
      <c r="L32" s="232" t="s">
        <v>334</v>
      </c>
      <c r="M32" s="232" t="n">
        <v>30</v>
      </c>
      <c r="N32" s="232" t="s">
        <v>287</v>
      </c>
      <c r="O32" s="232" t="n">
        <v>0</v>
      </c>
      <c r="P32" s="232" t="n">
        <v>1</v>
      </c>
      <c r="Q32" s="232" t="n">
        <v>0</v>
      </c>
      <c r="R32" s="232" t="n">
        <v>0</v>
      </c>
      <c r="S32" s="232" t="s">
        <v>288</v>
      </c>
      <c r="T32" s="232" t="s">
        <v>288</v>
      </c>
      <c r="U32" s="232" t="s">
        <v>288</v>
      </c>
      <c r="V32" s="232" t="n">
        <v>0</v>
      </c>
      <c r="W32" s="233" t="n">
        <v>7</v>
      </c>
      <c r="X32" s="233" t="str">
        <f aca="false">LEFT(K32,2)</f>
        <v>EA</v>
      </c>
      <c r="Y32" s="0" t="str">
        <f aca="false">IF(K32=Z32,"OK","CEEK")</f>
        <v>CEEK</v>
      </c>
      <c r="Z32" s="239" t="s">
        <v>41</v>
      </c>
      <c r="AA32" s="240" t="s">
        <v>364</v>
      </c>
      <c r="AB32" s="240" t="n">
        <v>1</v>
      </c>
      <c r="AC32" s="239" t="n">
        <v>4</v>
      </c>
      <c r="AD32" s="243" t="str">
        <f aca="false">LEFT(Z32,2)</f>
        <v>ES</v>
      </c>
      <c r="AE32" s="233" t="str">
        <f aca="false">IF(AD32="TP","Khusus MABA",IF(AD32="ES","Wajib Semua",IF(AD32="EA","KBK STL",IF(AD32="EB","KBK Elka",IF(AD32="EC","KBK Telkom",IF(AD32="ED","KBK TIK"))))))</f>
        <v>Wajib Semua</v>
      </c>
      <c r="AF32" s="0" t="n">
        <v>1</v>
      </c>
    </row>
    <row r="33" customFormat="false" ht="15" hidden="false" customHeight="false" outlineLevel="0" collapsed="false">
      <c r="C33" s="16" t="s">
        <v>123</v>
      </c>
      <c r="D33" s="16" t="s">
        <v>365</v>
      </c>
      <c r="E33" s="0" t="n">
        <v>2</v>
      </c>
      <c r="H33" s="0" t="n">
        <v>7</v>
      </c>
      <c r="K33" s="232" t="s">
        <v>120</v>
      </c>
      <c r="L33" s="232" t="s">
        <v>337</v>
      </c>
      <c r="M33" s="232" t="n">
        <v>30</v>
      </c>
      <c r="N33" s="232" t="s">
        <v>287</v>
      </c>
      <c r="O33" s="232" t="n">
        <v>0</v>
      </c>
      <c r="P33" s="232" t="n">
        <v>1</v>
      </c>
      <c r="Q33" s="232" t="n">
        <v>0</v>
      </c>
      <c r="R33" s="232" t="n">
        <v>0</v>
      </c>
      <c r="S33" s="232" t="s">
        <v>288</v>
      </c>
      <c r="T33" s="232" t="s">
        <v>288</v>
      </c>
      <c r="U33" s="232" t="s">
        <v>288</v>
      </c>
      <c r="V33" s="232" t="n">
        <v>0</v>
      </c>
      <c r="W33" s="233" t="n">
        <v>7</v>
      </c>
      <c r="X33" s="233" t="str">
        <f aca="false">LEFT(K33,2)</f>
        <v>EA</v>
      </c>
      <c r="Y33" s="0" t="str">
        <f aca="false">IF(K33=Z33,"OK","CEEK")</f>
        <v>CEEK</v>
      </c>
      <c r="Z33" s="239" t="s">
        <v>45</v>
      </c>
      <c r="AA33" s="240" t="s">
        <v>366</v>
      </c>
      <c r="AB33" s="240" t="n">
        <v>2</v>
      </c>
      <c r="AC33" s="239" t="n">
        <v>4</v>
      </c>
      <c r="AD33" s="243" t="str">
        <f aca="false">LEFT(Z33,2)</f>
        <v>ES</v>
      </c>
      <c r="AE33" s="233" t="str">
        <f aca="false">IF(AD33="TP","Khusus MABA",IF(AD33="ES","Wajib Semua",IF(AD33="EA","KBK STL",IF(AD33="EB","KBK Elka",IF(AD33="EC","KBK Telkom",IF(AD33="ED","KBK TIK"))))))</f>
        <v>Wajib Semua</v>
      </c>
      <c r="AF33" s="0" t="n">
        <v>1</v>
      </c>
    </row>
    <row r="34" customFormat="false" ht="15" hidden="false" customHeight="false" outlineLevel="0" collapsed="false">
      <c r="C34" s="16" t="s">
        <v>124</v>
      </c>
      <c r="D34" s="16" t="s">
        <v>367</v>
      </c>
      <c r="E34" s="0" t="n">
        <v>1</v>
      </c>
      <c r="H34" s="0" t="n">
        <v>7</v>
      </c>
      <c r="K34" s="232" t="s">
        <v>63</v>
      </c>
      <c r="L34" s="232" t="s">
        <v>339</v>
      </c>
      <c r="M34" s="232" t="n">
        <v>30</v>
      </c>
      <c r="N34" s="232" t="s">
        <v>287</v>
      </c>
      <c r="O34" s="232" t="n">
        <v>3</v>
      </c>
      <c r="P34" s="232" t="n">
        <v>0</v>
      </c>
      <c r="Q34" s="232" t="n">
        <v>0</v>
      </c>
      <c r="R34" s="232" t="n">
        <v>0</v>
      </c>
      <c r="S34" s="232" t="s">
        <v>288</v>
      </c>
      <c r="T34" s="232" t="s">
        <v>288</v>
      </c>
      <c r="U34" s="232" t="s">
        <v>288</v>
      </c>
      <c r="V34" s="232" t="n">
        <v>0</v>
      </c>
      <c r="W34" s="233" t="n">
        <v>5</v>
      </c>
      <c r="X34" s="233" t="str">
        <f aca="false">LEFT(K34,2)</f>
        <v>EB</v>
      </c>
      <c r="Y34" s="0" t="str">
        <f aca="false">IF(K34=Z34,"OK","CEEK")</f>
        <v>CEEK</v>
      </c>
      <c r="Z34" s="239" t="s">
        <v>47</v>
      </c>
      <c r="AA34" s="240" t="s">
        <v>368</v>
      </c>
      <c r="AB34" s="240" t="n">
        <v>3</v>
      </c>
      <c r="AC34" s="239" t="n">
        <v>4</v>
      </c>
      <c r="AD34" s="243" t="str">
        <f aca="false">LEFT(Z34,2)</f>
        <v>ES</v>
      </c>
      <c r="AE34" s="233" t="str">
        <f aca="false">IF(AD34="TP","Khusus MABA",IF(AD34="ES","Wajib Semua",IF(AD34="EA","KBK STL",IF(AD34="EB","KBK Elka",IF(AD34="EC","KBK Telkom",IF(AD34="ED","KBK TIK"))))))</f>
        <v>Wajib Semua</v>
      </c>
      <c r="AF34" s="0" t="n">
        <v>1</v>
      </c>
    </row>
    <row r="35" customFormat="false" ht="15" hidden="false" customHeight="false" outlineLevel="0" collapsed="false">
      <c r="C35" s="16" t="s">
        <v>125</v>
      </c>
      <c r="D35" s="16" t="s">
        <v>369</v>
      </c>
      <c r="E35" s="0" t="n">
        <v>2</v>
      </c>
      <c r="H35" s="0" t="n">
        <v>7</v>
      </c>
      <c r="K35" s="232" t="s">
        <v>64</v>
      </c>
      <c r="L35" s="232" t="s">
        <v>341</v>
      </c>
      <c r="M35" s="232" t="n">
        <v>30</v>
      </c>
      <c r="N35" s="232" t="s">
        <v>287</v>
      </c>
      <c r="O35" s="232" t="n">
        <v>0</v>
      </c>
      <c r="P35" s="232" t="n">
        <v>1</v>
      </c>
      <c r="Q35" s="232" t="n">
        <v>0</v>
      </c>
      <c r="R35" s="232" t="n">
        <v>0</v>
      </c>
      <c r="S35" s="232" t="s">
        <v>288</v>
      </c>
      <c r="T35" s="232" t="s">
        <v>288</v>
      </c>
      <c r="U35" s="232" t="s">
        <v>288</v>
      </c>
      <c r="V35" s="232" t="n">
        <v>0</v>
      </c>
      <c r="W35" s="233" t="n">
        <v>5</v>
      </c>
      <c r="X35" s="233" t="str">
        <f aca="false">LEFT(K35,2)</f>
        <v>EB</v>
      </c>
      <c r="Y35" s="0" t="str">
        <f aca="false">IF(K35=Z35,"OK","CEEK")</f>
        <v>CEEK</v>
      </c>
      <c r="Z35" s="239" t="s">
        <v>42</v>
      </c>
      <c r="AA35" s="240" t="s">
        <v>370</v>
      </c>
      <c r="AB35" s="240" t="n">
        <v>3</v>
      </c>
      <c r="AC35" s="239" t="n">
        <v>4</v>
      </c>
      <c r="AD35" s="243" t="str">
        <f aca="false">LEFT(Z35,2)</f>
        <v>ES</v>
      </c>
      <c r="AE35" s="233" t="str">
        <f aca="false">IF(AD35="TP","Khusus MABA",IF(AD35="ES","Wajib Semua",IF(AD35="EA","KBK STL",IF(AD35="EB","KBK Elka",IF(AD35="EC","KBK Telkom",IF(AD35="ED","KBK TIK"))))))</f>
        <v>Wajib Semua</v>
      </c>
      <c r="AF35" s="0" t="n">
        <v>1</v>
      </c>
    </row>
    <row r="36" customFormat="false" ht="15" hidden="false" customHeight="false" outlineLevel="0" collapsed="false">
      <c r="C36" s="16" t="s">
        <v>126</v>
      </c>
      <c r="D36" s="16" t="s">
        <v>371</v>
      </c>
      <c r="E36" s="0" t="n">
        <v>2</v>
      </c>
      <c r="H36" s="0" t="n">
        <v>7</v>
      </c>
      <c r="K36" s="232" t="s">
        <v>65</v>
      </c>
      <c r="L36" s="232" t="s">
        <v>343</v>
      </c>
      <c r="M36" s="232" t="n">
        <v>30</v>
      </c>
      <c r="N36" s="232" t="s">
        <v>287</v>
      </c>
      <c r="O36" s="232" t="n">
        <v>2</v>
      </c>
      <c r="P36" s="232" t="n">
        <v>0</v>
      </c>
      <c r="Q36" s="232" t="n">
        <v>0</v>
      </c>
      <c r="R36" s="232" t="n">
        <v>0</v>
      </c>
      <c r="S36" s="232" t="s">
        <v>288</v>
      </c>
      <c r="T36" s="232" t="s">
        <v>288</v>
      </c>
      <c r="U36" s="232" t="s">
        <v>288</v>
      </c>
      <c r="V36" s="232" t="n">
        <v>0</v>
      </c>
      <c r="W36" s="233" t="n">
        <v>5</v>
      </c>
      <c r="X36" s="233" t="str">
        <f aca="false">LEFT(K36,2)</f>
        <v>EB</v>
      </c>
      <c r="Y36" s="0" t="str">
        <f aca="false">IF(K36=Z36,"OK","CEEK")</f>
        <v>CEEK</v>
      </c>
      <c r="Z36" s="239" t="s">
        <v>43</v>
      </c>
      <c r="AA36" s="240" t="s">
        <v>372</v>
      </c>
      <c r="AB36" s="240" t="n">
        <v>3</v>
      </c>
      <c r="AC36" s="239" t="n">
        <v>4</v>
      </c>
      <c r="AD36" s="243" t="str">
        <f aca="false">LEFT(Z36,2)</f>
        <v>ES</v>
      </c>
      <c r="AE36" s="233" t="str">
        <f aca="false">IF(AD36="TP","Khusus MABA",IF(AD36="ES","Wajib Semua",IF(AD36="EA","KBK STL",IF(AD36="EB","KBK Elka",IF(AD36="EC","KBK Telkom",IF(AD36="ED","KBK TIK"))))))</f>
        <v>Wajib Semua</v>
      </c>
      <c r="AF36" s="0" t="n">
        <v>1</v>
      </c>
    </row>
    <row r="37" customFormat="false" ht="15" hidden="false" customHeight="false" outlineLevel="0" collapsed="false">
      <c r="C37" s="16" t="s">
        <v>69</v>
      </c>
      <c r="D37" s="16" t="s">
        <v>373</v>
      </c>
      <c r="E37" s="0" t="n">
        <v>2</v>
      </c>
      <c r="H37" s="0" t="n">
        <v>5</v>
      </c>
      <c r="K37" s="232" t="s">
        <v>66</v>
      </c>
      <c r="L37" s="232" t="s">
        <v>346</v>
      </c>
      <c r="M37" s="232" t="n">
        <v>30</v>
      </c>
      <c r="N37" s="232" t="s">
        <v>287</v>
      </c>
      <c r="O37" s="232" t="n">
        <v>0</v>
      </c>
      <c r="P37" s="232" t="n">
        <v>1</v>
      </c>
      <c r="Q37" s="232" t="n">
        <v>0</v>
      </c>
      <c r="R37" s="232" t="n">
        <v>0</v>
      </c>
      <c r="S37" s="232" t="s">
        <v>288</v>
      </c>
      <c r="T37" s="232" t="s">
        <v>288</v>
      </c>
      <c r="U37" s="232" t="s">
        <v>288</v>
      </c>
      <c r="V37" s="232" t="n">
        <v>0</v>
      </c>
      <c r="W37" s="233" t="n">
        <v>5</v>
      </c>
      <c r="X37" s="233" t="str">
        <f aca="false">LEFT(K37,2)</f>
        <v>EB</v>
      </c>
      <c r="Y37" s="0" t="str">
        <f aca="false">IF(K37=Z37,"OK","CEEK")</f>
        <v>CEEK</v>
      </c>
      <c r="Z37" s="239" t="s">
        <v>46</v>
      </c>
      <c r="AA37" s="240" t="s">
        <v>374</v>
      </c>
      <c r="AB37" s="240" t="n">
        <v>2</v>
      </c>
      <c r="AC37" s="239" t="n">
        <v>4</v>
      </c>
      <c r="AD37" s="243" t="str">
        <f aca="false">LEFT(Z37,2)</f>
        <v>ES</v>
      </c>
      <c r="AE37" s="233" t="str">
        <f aca="false">IF(AD37="TP","Khusus MABA",IF(AD37="ES","Wajib Semua",IF(AD37="EA","KBK STL",IF(AD37="EB","KBK Elka",IF(AD37="EC","KBK Telkom",IF(AD37="ED","KBK TIK"))))))</f>
        <v>Wajib Semua</v>
      </c>
      <c r="AF37" s="0" t="n">
        <v>1</v>
      </c>
    </row>
    <row r="38" customFormat="false" ht="15" hidden="false" customHeight="false" outlineLevel="0" collapsed="false">
      <c r="C38" s="16" t="s">
        <v>70</v>
      </c>
      <c r="D38" s="16" t="s">
        <v>375</v>
      </c>
      <c r="E38" s="0" t="n">
        <v>3</v>
      </c>
      <c r="H38" s="0" t="n">
        <v>5</v>
      </c>
      <c r="K38" s="232" t="s">
        <v>67</v>
      </c>
      <c r="L38" s="232" t="s">
        <v>349</v>
      </c>
      <c r="M38" s="232" t="n">
        <v>30</v>
      </c>
      <c r="N38" s="232" t="s">
        <v>287</v>
      </c>
      <c r="O38" s="232" t="n">
        <v>2</v>
      </c>
      <c r="P38" s="232" t="n">
        <v>0</v>
      </c>
      <c r="Q38" s="232" t="n">
        <v>0</v>
      </c>
      <c r="R38" s="232" t="n">
        <v>0</v>
      </c>
      <c r="S38" s="232" t="s">
        <v>288</v>
      </c>
      <c r="T38" s="232" t="s">
        <v>288</v>
      </c>
      <c r="U38" s="232" t="s">
        <v>288</v>
      </c>
      <c r="V38" s="232" t="n">
        <v>0</v>
      </c>
      <c r="W38" s="233" t="n">
        <v>5</v>
      </c>
      <c r="X38" s="233" t="str">
        <f aca="false">LEFT(K38,2)</f>
        <v>EB</v>
      </c>
      <c r="Y38" s="0" t="str">
        <f aca="false">IF(K38=Z38,"OK","CEEK")</f>
        <v>CEEK</v>
      </c>
      <c r="Z38" s="239" t="s">
        <v>48</v>
      </c>
      <c r="AA38" s="240" t="s">
        <v>376</v>
      </c>
      <c r="AB38" s="240" t="n">
        <v>3</v>
      </c>
      <c r="AC38" s="239" t="n">
        <v>4</v>
      </c>
      <c r="AD38" s="243" t="str">
        <f aca="false">LEFT(Z38,2)</f>
        <v>ES</v>
      </c>
      <c r="AE38" s="233" t="str">
        <f aca="false">IF(AD38="TP","Khusus MABA",IF(AD38="ES","Wajib Semua",IF(AD38="EA","KBK STL",IF(AD38="EB","KBK Elka",IF(AD38="EC","KBK Telkom",IF(AD38="ED","KBK TIK"))))))</f>
        <v>Wajib Semua</v>
      </c>
      <c r="AF38" s="0" t="n">
        <v>1</v>
      </c>
    </row>
    <row r="39" customFormat="false" ht="15" hidden="false" customHeight="false" outlineLevel="0" collapsed="false">
      <c r="C39" s="16" t="s">
        <v>71</v>
      </c>
      <c r="D39" s="16" t="s">
        <v>377</v>
      </c>
      <c r="E39" s="0" t="n">
        <v>3</v>
      </c>
      <c r="H39" s="0" t="n">
        <v>5</v>
      </c>
      <c r="K39" s="232" t="s">
        <v>89</v>
      </c>
      <c r="L39" s="232" t="s">
        <v>352</v>
      </c>
      <c r="M39" s="232" t="n">
        <v>30</v>
      </c>
      <c r="N39" s="232" t="s">
        <v>287</v>
      </c>
      <c r="O39" s="232" t="n">
        <v>2</v>
      </c>
      <c r="P39" s="232" t="n">
        <v>0</v>
      </c>
      <c r="Q39" s="232" t="n">
        <v>0</v>
      </c>
      <c r="R39" s="232" t="n">
        <v>0</v>
      </c>
      <c r="S39" s="232" t="s">
        <v>288</v>
      </c>
      <c r="T39" s="232" t="s">
        <v>288</v>
      </c>
      <c r="U39" s="232" t="s">
        <v>288</v>
      </c>
      <c r="V39" s="232" t="n">
        <v>0</v>
      </c>
      <c r="W39" s="233" t="n">
        <v>6</v>
      </c>
      <c r="X39" s="233" t="str">
        <f aca="false">LEFT(K39,2)</f>
        <v>EB</v>
      </c>
      <c r="Y39" s="0" t="str">
        <f aca="false">IF(K39=Z39,"OK","CEEK")</f>
        <v>CEEK</v>
      </c>
      <c r="Z39" s="239" t="s">
        <v>49</v>
      </c>
      <c r="AA39" s="240" t="s">
        <v>378</v>
      </c>
      <c r="AB39" s="240" t="n">
        <v>1</v>
      </c>
      <c r="AC39" s="239" t="n">
        <v>4</v>
      </c>
      <c r="AD39" s="243" t="str">
        <f aca="false">LEFT(Z39,2)</f>
        <v>ES</v>
      </c>
      <c r="AE39" s="233" t="str">
        <f aca="false">IF(AD39="TP","Khusus MABA",IF(AD39="ES","Wajib Semua",IF(AD39="EA","KBK STL",IF(AD39="EB","KBK Elka",IF(AD39="EC","KBK Telkom",IF(AD39="ED","KBK TIK"))))))</f>
        <v>Wajib Semua</v>
      </c>
      <c r="AF39" s="0" t="n">
        <v>1</v>
      </c>
    </row>
    <row r="40" customFormat="false" ht="15" hidden="false" customHeight="false" outlineLevel="0" collapsed="false">
      <c r="C40" s="16" t="s">
        <v>72</v>
      </c>
      <c r="D40" s="16" t="s">
        <v>379</v>
      </c>
      <c r="E40" s="0" t="n">
        <v>2</v>
      </c>
      <c r="H40" s="0" t="n">
        <v>5</v>
      </c>
      <c r="K40" s="232" t="s">
        <v>90</v>
      </c>
      <c r="L40" s="232" t="s">
        <v>355</v>
      </c>
      <c r="M40" s="232" t="n">
        <v>30</v>
      </c>
      <c r="N40" s="232" t="s">
        <v>287</v>
      </c>
      <c r="O40" s="232" t="n">
        <v>0</v>
      </c>
      <c r="P40" s="232" t="n">
        <v>1</v>
      </c>
      <c r="Q40" s="232" t="n">
        <v>0</v>
      </c>
      <c r="R40" s="232" t="n">
        <v>0</v>
      </c>
      <c r="S40" s="232" t="s">
        <v>288</v>
      </c>
      <c r="T40" s="232" t="s">
        <v>288</v>
      </c>
      <c r="U40" s="232" t="s">
        <v>288</v>
      </c>
      <c r="V40" s="232" t="n">
        <v>0</v>
      </c>
      <c r="W40" s="233" t="n">
        <v>6</v>
      </c>
      <c r="X40" s="233" t="str">
        <f aca="false">LEFT(K40,2)</f>
        <v>EB</v>
      </c>
      <c r="Y40" s="0" t="str">
        <f aca="false">IF(K40=Z40,"OK","CEEK")</f>
        <v>CEEK</v>
      </c>
      <c r="Z40" s="239" t="s">
        <v>50</v>
      </c>
      <c r="AA40" s="240" t="s">
        <v>380</v>
      </c>
      <c r="AB40" s="240" t="n">
        <v>1</v>
      </c>
      <c r="AC40" s="239" t="n">
        <v>4</v>
      </c>
      <c r="AD40" s="243" t="str">
        <f aca="false">LEFT(Z40,2)</f>
        <v>ES</v>
      </c>
      <c r="AE40" s="233" t="str">
        <f aca="false">IF(AD40="TP","Khusus MABA",IF(AD40="ES","Wajib Semua",IF(AD40="EA","KBK STL",IF(AD40="EB","KBK Elka",IF(AD40="EC","KBK Telkom",IF(AD40="ED","KBK TIK"))))))</f>
        <v>Wajib Semua</v>
      </c>
      <c r="AF40" s="0" t="n">
        <v>1</v>
      </c>
    </row>
    <row r="41" customFormat="false" ht="15" hidden="true" customHeight="false" outlineLevel="0" collapsed="false">
      <c r="C41" s="16" t="s">
        <v>96</v>
      </c>
      <c r="D41" s="16" t="s">
        <v>381</v>
      </c>
      <c r="E41" s="0" t="n">
        <v>3</v>
      </c>
      <c r="H41" s="0" t="n">
        <v>6</v>
      </c>
      <c r="K41" s="232" t="s">
        <v>91</v>
      </c>
      <c r="L41" s="232" t="s">
        <v>357</v>
      </c>
      <c r="M41" s="232" t="n">
        <v>30</v>
      </c>
      <c r="N41" s="232" t="s">
        <v>287</v>
      </c>
      <c r="O41" s="232" t="n">
        <v>3</v>
      </c>
      <c r="P41" s="232" t="n">
        <v>0</v>
      </c>
      <c r="Q41" s="232" t="n">
        <v>0</v>
      </c>
      <c r="R41" s="232" t="n">
        <v>0</v>
      </c>
      <c r="S41" s="232" t="s">
        <v>288</v>
      </c>
      <c r="T41" s="232" t="s">
        <v>288</v>
      </c>
      <c r="U41" s="232" t="s">
        <v>288</v>
      </c>
      <c r="V41" s="232" t="n">
        <v>0</v>
      </c>
      <c r="W41" s="233" t="n">
        <v>6</v>
      </c>
      <c r="X41" s="233" t="str">
        <f aca="false">LEFT(K41,2)</f>
        <v>EB</v>
      </c>
      <c r="Y41" s="0" t="str">
        <f aca="false">IF(K41=Z41,"OK","CEEK")</f>
        <v>CEEK</v>
      </c>
      <c r="Z41" s="234" t="s">
        <v>58</v>
      </c>
      <c r="AA41" s="235" t="s">
        <v>286</v>
      </c>
      <c r="AB41" s="235" t="n">
        <v>3</v>
      </c>
      <c r="AC41" s="234" t="n">
        <v>5</v>
      </c>
      <c r="AD41" s="233" t="str">
        <f aca="false">LEFT(Z41,2)</f>
        <v>EA</v>
      </c>
      <c r="AE41" s="236" t="str">
        <f aca="false">IF(AD41="TP","Khusus MABA",IF(AD41="ES","Wajib Semua",IF(AD41="EA","KBK STL",IF(AD41="EB","KBK Elka",IF(AD41="EC","KBK Telkom",IF(AD41="ED","KBK TIK"))))))</f>
        <v>KBK STL</v>
      </c>
      <c r="AF41" s="0" t="n">
        <v>0</v>
      </c>
    </row>
    <row r="42" customFormat="false" ht="15" hidden="true" customHeight="false" outlineLevel="0" collapsed="false">
      <c r="C42" s="16" t="s">
        <v>97</v>
      </c>
      <c r="D42" s="16" t="s">
        <v>357</v>
      </c>
      <c r="E42" s="0" t="n">
        <v>3</v>
      </c>
      <c r="H42" s="0" t="n">
        <v>6</v>
      </c>
      <c r="K42" s="232" t="s">
        <v>92</v>
      </c>
      <c r="L42" s="232" t="s">
        <v>359</v>
      </c>
      <c r="M42" s="232" t="n">
        <v>30</v>
      </c>
      <c r="N42" s="232" t="s">
        <v>287</v>
      </c>
      <c r="O42" s="232" t="n">
        <v>3</v>
      </c>
      <c r="P42" s="232" t="n">
        <v>0</v>
      </c>
      <c r="Q42" s="232" t="n">
        <v>0</v>
      </c>
      <c r="R42" s="232" t="n">
        <v>0</v>
      </c>
      <c r="S42" s="232" t="s">
        <v>288</v>
      </c>
      <c r="T42" s="232" t="s">
        <v>288</v>
      </c>
      <c r="U42" s="232" t="s">
        <v>288</v>
      </c>
      <c r="V42" s="232" t="n">
        <v>0</v>
      </c>
      <c r="W42" s="233" t="n">
        <v>6</v>
      </c>
      <c r="X42" s="233" t="str">
        <f aca="false">LEFT(K42,2)</f>
        <v>EB</v>
      </c>
      <c r="Y42" s="0" t="str">
        <f aca="false">IF(K42=Z42,"OK","CEEK")</f>
        <v>CEEK</v>
      </c>
      <c r="Z42" s="239" t="s">
        <v>59</v>
      </c>
      <c r="AA42" s="240" t="s">
        <v>294</v>
      </c>
      <c r="AB42" s="240" t="n">
        <v>3</v>
      </c>
      <c r="AC42" s="239" t="n">
        <v>5</v>
      </c>
      <c r="AD42" s="233" t="str">
        <f aca="false">LEFT(Z42,2)</f>
        <v>EA</v>
      </c>
      <c r="AE42" s="236" t="str">
        <f aca="false">IF(AD42="TP","Khusus MABA",IF(AD42="ES","Wajib Semua",IF(AD42="EA","KBK STL",IF(AD42="EB","KBK Elka",IF(AD42="EC","KBK Telkom",IF(AD42="ED","KBK TIK"))))))</f>
        <v>KBK STL</v>
      </c>
      <c r="AF42" s="0" t="n">
        <v>0</v>
      </c>
    </row>
    <row r="43" customFormat="false" ht="15" hidden="true" customHeight="false" outlineLevel="0" collapsed="false">
      <c r="C43" s="16" t="s">
        <v>98</v>
      </c>
      <c r="D43" s="16" t="s">
        <v>382</v>
      </c>
      <c r="E43" s="0" t="n">
        <v>2</v>
      </c>
      <c r="H43" s="0" t="n">
        <v>6</v>
      </c>
      <c r="K43" s="232" t="s">
        <v>93</v>
      </c>
      <c r="L43" s="232" t="s">
        <v>361</v>
      </c>
      <c r="M43" s="232" t="n">
        <v>30</v>
      </c>
      <c r="N43" s="232" t="s">
        <v>287</v>
      </c>
      <c r="O43" s="232" t="n">
        <v>3</v>
      </c>
      <c r="P43" s="232" t="n">
        <v>0</v>
      </c>
      <c r="Q43" s="232" t="n">
        <v>0</v>
      </c>
      <c r="R43" s="232" t="n">
        <v>0</v>
      </c>
      <c r="S43" s="232" t="s">
        <v>288</v>
      </c>
      <c r="T43" s="232" t="s">
        <v>288</v>
      </c>
      <c r="U43" s="232" t="s">
        <v>288</v>
      </c>
      <c r="V43" s="232" t="n">
        <v>0</v>
      </c>
      <c r="W43" s="233" t="n">
        <v>6</v>
      </c>
      <c r="X43" s="233" t="str">
        <f aca="false">LEFT(K43,2)</f>
        <v>EB</v>
      </c>
      <c r="Y43" s="0" t="str">
        <f aca="false">IF(K43=Z43,"OK","CEEK")</f>
        <v>CEEK</v>
      </c>
      <c r="Z43" s="239" t="s">
        <v>60</v>
      </c>
      <c r="AA43" s="240" t="s">
        <v>297</v>
      </c>
      <c r="AB43" s="240" t="n">
        <v>2</v>
      </c>
      <c r="AC43" s="239" t="n">
        <v>5</v>
      </c>
      <c r="AD43" s="233" t="str">
        <f aca="false">LEFT(Z43,2)</f>
        <v>EA</v>
      </c>
      <c r="AE43" s="236" t="str">
        <f aca="false">IF(AD43="TP","Khusus MABA",IF(AD43="ES","Wajib Semua",IF(AD43="EA","KBK STL",IF(AD43="EB","KBK Elka",IF(AD43="EC","KBK Telkom",IF(AD43="ED","KBK TIK"))))))</f>
        <v>KBK STL</v>
      </c>
      <c r="AF43" s="0" t="n">
        <v>0</v>
      </c>
    </row>
    <row r="44" customFormat="false" ht="15" hidden="true" customHeight="false" outlineLevel="0" collapsed="false">
      <c r="C44" s="16" t="s">
        <v>99</v>
      </c>
      <c r="D44" s="16" t="s">
        <v>383</v>
      </c>
      <c r="E44" s="0" t="n">
        <v>3</v>
      </c>
      <c r="H44" s="0" t="n">
        <v>6</v>
      </c>
      <c r="K44" s="232" t="s">
        <v>185</v>
      </c>
      <c r="L44" s="232" t="s">
        <v>384</v>
      </c>
      <c r="M44" s="232" t="n">
        <v>30</v>
      </c>
      <c r="N44" s="232" t="s">
        <v>320</v>
      </c>
      <c r="O44" s="232" t="n">
        <v>2</v>
      </c>
      <c r="P44" s="232" t="n">
        <v>0</v>
      </c>
      <c r="Q44" s="232" t="n">
        <v>0</v>
      </c>
      <c r="R44" s="232" t="n">
        <v>0</v>
      </c>
      <c r="S44" s="232" t="s">
        <v>288</v>
      </c>
      <c r="T44" s="232" t="s">
        <v>288</v>
      </c>
      <c r="U44" s="232" t="s">
        <v>288</v>
      </c>
      <c r="V44" s="232" t="n">
        <v>0</v>
      </c>
      <c r="W44" s="233" t="n">
        <v>6</v>
      </c>
      <c r="X44" s="233" t="str">
        <f aca="false">LEFT(K44,2)</f>
        <v>EB</v>
      </c>
      <c r="Y44" s="0" t="str">
        <f aca="false">IF(K44=Z44,"OK","CEEK")</f>
        <v>CEEK</v>
      </c>
      <c r="Z44" s="239" t="s">
        <v>61</v>
      </c>
      <c r="AA44" s="240" t="s">
        <v>300</v>
      </c>
      <c r="AB44" s="240" t="n">
        <v>2</v>
      </c>
      <c r="AC44" s="239" t="n">
        <v>5</v>
      </c>
      <c r="AD44" s="233" t="str">
        <f aca="false">LEFT(Z44,2)</f>
        <v>EA</v>
      </c>
      <c r="AE44" s="236" t="str">
        <f aca="false">IF(AD44="TP","Khusus MABA",IF(AD44="ES","Wajib Semua",IF(AD44="EA","KBK STL",IF(AD44="EB","KBK Elka",IF(AD44="EC","KBK Telkom",IF(AD44="ED","KBK TIK"))))))</f>
        <v>KBK STL</v>
      </c>
      <c r="AF44" s="0" t="n">
        <v>0</v>
      </c>
    </row>
    <row r="45" customFormat="false" ht="15" hidden="true" customHeight="false" outlineLevel="0" collapsed="false">
      <c r="C45" s="16" t="s">
        <v>100</v>
      </c>
      <c r="D45" s="16" t="s">
        <v>385</v>
      </c>
      <c r="E45" s="0" t="n">
        <v>1</v>
      </c>
      <c r="H45" s="0" t="n">
        <v>6</v>
      </c>
      <c r="K45" s="232" t="s">
        <v>188</v>
      </c>
      <c r="L45" s="232" t="s">
        <v>386</v>
      </c>
      <c r="M45" s="232" t="n">
        <v>30</v>
      </c>
      <c r="N45" s="232" t="s">
        <v>320</v>
      </c>
      <c r="O45" s="232" t="n">
        <v>2</v>
      </c>
      <c r="P45" s="232" t="n">
        <v>0</v>
      </c>
      <c r="Q45" s="232" t="n">
        <v>0</v>
      </c>
      <c r="R45" s="232" t="n">
        <v>0</v>
      </c>
      <c r="S45" s="232" t="s">
        <v>288</v>
      </c>
      <c r="T45" s="232" t="s">
        <v>288</v>
      </c>
      <c r="U45" s="232" t="s">
        <v>288</v>
      </c>
      <c r="V45" s="232" t="n">
        <v>0</v>
      </c>
      <c r="W45" s="233" t="n">
        <v>7</v>
      </c>
      <c r="X45" s="233" t="str">
        <f aca="false">LEFT(K45,2)</f>
        <v>EB</v>
      </c>
      <c r="Y45" s="0" t="str">
        <f aca="false">IF(K45=Z45,"OK","CEEK")</f>
        <v>CEEK</v>
      </c>
      <c r="Z45" s="239" t="s">
        <v>63</v>
      </c>
      <c r="AA45" s="240" t="s">
        <v>339</v>
      </c>
      <c r="AB45" s="240" t="n">
        <v>3</v>
      </c>
      <c r="AC45" s="239" t="n">
        <v>5</v>
      </c>
      <c r="AD45" s="233" t="str">
        <f aca="false">LEFT(Z45,2)</f>
        <v>EB</v>
      </c>
      <c r="AE45" s="236" t="str">
        <f aca="false">IF(AD45="TP","Khusus MABA",IF(AD45="ES","Wajib Semua",IF(AD45="EA","KBK STL",IF(AD45="EB","KBK Elka",IF(AD45="EC","KBK Telkom",IF(AD45="ED","KBK TIK"))))))</f>
        <v>KBK Elka</v>
      </c>
      <c r="AF45" s="0" t="n">
        <v>0</v>
      </c>
    </row>
    <row r="46" customFormat="false" ht="15" hidden="true" customHeight="false" outlineLevel="0" collapsed="false">
      <c r="C46" s="16" t="s">
        <v>101</v>
      </c>
      <c r="D46" s="16" t="s">
        <v>387</v>
      </c>
      <c r="E46" s="0" t="n">
        <v>3</v>
      </c>
      <c r="H46" s="0" t="n">
        <v>6</v>
      </c>
      <c r="K46" s="232" t="s">
        <v>190</v>
      </c>
      <c r="L46" s="232" t="s">
        <v>388</v>
      </c>
      <c r="M46" s="232" t="n">
        <v>30</v>
      </c>
      <c r="N46" s="232" t="s">
        <v>320</v>
      </c>
      <c r="O46" s="232" t="n">
        <v>2</v>
      </c>
      <c r="P46" s="232" t="n">
        <v>0</v>
      </c>
      <c r="Q46" s="232" t="n">
        <v>0</v>
      </c>
      <c r="R46" s="232" t="n">
        <v>0</v>
      </c>
      <c r="S46" s="232" t="s">
        <v>288</v>
      </c>
      <c r="T46" s="232" t="s">
        <v>288</v>
      </c>
      <c r="U46" s="232" t="s">
        <v>288</v>
      </c>
      <c r="V46" s="232" t="n">
        <v>0</v>
      </c>
      <c r="W46" s="233" t="n">
        <v>7</v>
      </c>
      <c r="X46" s="233" t="str">
        <f aca="false">LEFT(K46,2)</f>
        <v>EB</v>
      </c>
      <c r="Y46" s="0" t="str">
        <f aca="false">IF(K46=Z46,"OK","CEEK")</f>
        <v>CEEK</v>
      </c>
      <c r="Z46" s="239" t="s">
        <v>64</v>
      </c>
      <c r="AA46" s="240" t="s">
        <v>341</v>
      </c>
      <c r="AB46" s="240" t="n">
        <v>1</v>
      </c>
      <c r="AC46" s="239" t="n">
        <v>5</v>
      </c>
      <c r="AD46" s="233" t="str">
        <f aca="false">LEFT(Z46,2)</f>
        <v>EB</v>
      </c>
      <c r="AE46" s="236" t="str">
        <f aca="false">IF(AD46="TP","Khusus MABA",IF(AD46="ES","Wajib Semua",IF(AD46="EA","KBK STL",IF(AD46="EB","KBK Elka",IF(AD46="EC","KBK Telkom",IF(AD46="ED","KBK TIK"))))))</f>
        <v>KBK Elka</v>
      </c>
      <c r="AF46" s="0" t="n">
        <v>0</v>
      </c>
    </row>
    <row r="47" customFormat="false" ht="15" hidden="true" customHeight="false" outlineLevel="0" collapsed="false">
      <c r="C47" s="16" t="s">
        <v>128</v>
      </c>
      <c r="D47" s="16" t="s">
        <v>389</v>
      </c>
      <c r="E47" s="0" t="n">
        <v>2</v>
      </c>
      <c r="H47" s="0" t="n">
        <v>7</v>
      </c>
      <c r="K47" s="232" t="s">
        <v>192</v>
      </c>
      <c r="L47" s="232" t="s">
        <v>390</v>
      </c>
      <c r="M47" s="232" t="n">
        <v>30</v>
      </c>
      <c r="N47" s="232" t="s">
        <v>320</v>
      </c>
      <c r="O47" s="232" t="n">
        <v>2</v>
      </c>
      <c r="P47" s="232" t="n">
        <v>0</v>
      </c>
      <c r="Q47" s="232" t="n">
        <v>0</v>
      </c>
      <c r="R47" s="232" t="n">
        <v>0</v>
      </c>
      <c r="S47" s="232" t="s">
        <v>288</v>
      </c>
      <c r="T47" s="232" t="s">
        <v>288</v>
      </c>
      <c r="U47" s="232" t="s">
        <v>288</v>
      </c>
      <c r="V47" s="232" t="n">
        <v>0</v>
      </c>
      <c r="W47" s="233" t="n">
        <v>7</v>
      </c>
      <c r="X47" s="233" t="str">
        <f aca="false">LEFT(K47,2)</f>
        <v>EB</v>
      </c>
      <c r="Y47" s="0" t="str">
        <f aca="false">IF(K47=Z47,"OK","CEEK")</f>
        <v>CEEK</v>
      </c>
      <c r="Z47" s="239" t="s">
        <v>65</v>
      </c>
      <c r="AA47" s="240" t="s">
        <v>343</v>
      </c>
      <c r="AB47" s="240" t="n">
        <v>2</v>
      </c>
      <c r="AC47" s="239" t="n">
        <v>5</v>
      </c>
      <c r="AD47" s="233" t="str">
        <f aca="false">LEFT(Z47,2)</f>
        <v>EB</v>
      </c>
      <c r="AE47" s="236" t="str">
        <f aca="false">IF(AD47="TP","Khusus MABA",IF(AD47="ES","Wajib Semua",IF(AD47="EA","KBK STL",IF(AD47="EB","KBK Elka",IF(AD47="EC","KBK Telkom",IF(AD47="ED","KBK TIK"))))))</f>
        <v>KBK Elka</v>
      </c>
      <c r="AF47" s="0" t="n">
        <v>0</v>
      </c>
    </row>
    <row r="48" customFormat="false" ht="15" hidden="true" customHeight="false" outlineLevel="0" collapsed="false">
      <c r="C48" s="16" t="s">
        <v>129</v>
      </c>
      <c r="D48" s="16" t="s">
        <v>391</v>
      </c>
      <c r="E48" s="0" t="n">
        <v>2</v>
      </c>
      <c r="H48" s="0" t="n">
        <v>7</v>
      </c>
      <c r="K48" s="232" t="s">
        <v>194</v>
      </c>
      <c r="L48" s="232" t="s">
        <v>392</v>
      </c>
      <c r="M48" s="232" t="n">
        <v>30</v>
      </c>
      <c r="N48" s="232" t="s">
        <v>320</v>
      </c>
      <c r="O48" s="232" t="n">
        <v>2</v>
      </c>
      <c r="P48" s="232" t="n">
        <v>0</v>
      </c>
      <c r="Q48" s="232" t="n">
        <v>0</v>
      </c>
      <c r="R48" s="232" t="n">
        <v>0</v>
      </c>
      <c r="S48" s="232" t="s">
        <v>288</v>
      </c>
      <c r="T48" s="232" t="s">
        <v>288</v>
      </c>
      <c r="U48" s="232" t="s">
        <v>288</v>
      </c>
      <c r="V48" s="232" t="n">
        <v>0</v>
      </c>
      <c r="W48" s="233" t="n">
        <v>7</v>
      </c>
      <c r="X48" s="233" t="str">
        <f aca="false">LEFT(K48,2)</f>
        <v>EB</v>
      </c>
      <c r="Y48" s="0" t="str">
        <f aca="false">IF(K48=Z48,"OK","CEEK")</f>
        <v>CEEK</v>
      </c>
      <c r="Z48" s="239" t="s">
        <v>66</v>
      </c>
      <c r="AA48" s="240" t="s">
        <v>346</v>
      </c>
      <c r="AB48" s="240" t="n">
        <v>1</v>
      </c>
      <c r="AC48" s="239" t="n">
        <v>5</v>
      </c>
      <c r="AD48" s="233" t="str">
        <f aca="false">LEFT(Z48,2)</f>
        <v>EB</v>
      </c>
      <c r="AE48" s="236" t="str">
        <f aca="false">IF(AD48="TP","Khusus MABA",IF(AD48="ES","Wajib Semua",IF(AD48="EA","KBK STL",IF(AD48="EB","KBK Elka",IF(AD48="EC","KBK Telkom",IF(AD48="ED","KBK TIK"))))))</f>
        <v>KBK Elka</v>
      </c>
      <c r="AF48" s="0" t="n">
        <v>0</v>
      </c>
    </row>
    <row r="49" customFormat="false" ht="15" hidden="true" customHeight="false" outlineLevel="0" collapsed="false">
      <c r="C49" s="16" t="s">
        <v>130</v>
      </c>
      <c r="D49" s="16" t="s">
        <v>393</v>
      </c>
      <c r="E49" s="0" t="n">
        <v>2</v>
      </c>
      <c r="H49" s="0" t="n">
        <v>7</v>
      </c>
      <c r="K49" s="232" t="s">
        <v>196</v>
      </c>
      <c r="L49" s="232" t="s">
        <v>394</v>
      </c>
      <c r="M49" s="232" t="n">
        <v>30</v>
      </c>
      <c r="N49" s="232" t="s">
        <v>320</v>
      </c>
      <c r="O49" s="232" t="n">
        <v>2</v>
      </c>
      <c r="P49" s="232" t="n">
        <v>0</v>
      </c>
      <c r="Q49" s="232" t="n">
        <v>0</v>
      </c>
      <c r="R49" s="232" t="n">
        <v>0</v>
      </c>
      <c r="S49" s="232" t="s">
        <v>288</v>
      </c>
      <c r="T49" s="232" t="s">
        <v>288</v>
      </c>
      <c r="U49" s="232" t="s">
        <v>288</v>
      </c>
      <c r="V49" s="232" t="n">
        <v>0</v>
      </c>
      <c r="W49" s="233" t="n">
        <v>6</v>
      </c>
      <c r="X49" s="233" t="str">
        <f aca="false">LEFT(K49,2)</f>
        <v>EB</v>
      </c>
      <c r="Y49" s="0" t="str">
        <f aca="false">IF(K49=Z49,"OK","CEEK")</f>
        <v>CEEK</v>
      </c>
      <c r="Z49" s="239" t="s">
        <v>67</v>
      </c>
      <c r="AA49" s="240" t="s">
        <v>349</v>
      </c>
      <c r="AB49" s="240" t="n">
        <v>2</v>
      </c>
      <c r="AC49" s="239" t="n">
        <v>5</v>
      </c>
      <c r="AD49" s="233" t="str">
        <f aca="false">LEFT(Z49,2)</f>
        <v>EB</v>
      </c>
      <c r="AE49" s="236" t="str">
        <f aca="false">IF(AD49="TP","Khusus MABA",IF(AD49="ES","Wajib Semua",IF(AD49="EA","KBK STL",IF(AD49="EB","KBK Elka",IF(AD49="EC","KBK Telkom",IF(AD49="ED","KBK TIK"))))))</f>
        <v>KBK Elka</v>
      </c>
      <c r="AF49" s="0" t="n">
        <v>0</v>
      </c>
    </row>
    <row r="50" customFormat="false" ht="15" hidden="true" customHeight="false" outlineLevel="0" collapsed="false">
      <c r="C50" s="16" t="s">
        <v>131</v>
      </c>
      <c r="D50" s="16" t="s">
        <v>395</v>
      </c>
      <c r="E50" s="0" t="n">
        <v>1</v>
      </c>
      <c r="H50" s="0" t="n">
        <v>7</v>
      </c>
      <c r="K50" s="232" t="s">
        <v>198</v>
      </c>
      <c r="L50" s="232" t="s">
        <v>396</v>
      </c>
      <c r="M50" s="232" t="n">
        <v>30</v>
      </c>
      <c r="N50" s="232" t="s">
        <v>320</v>
      </c>
      <c r="O50" s="232" t="n">
        <v>2</v>
      </c>
      <c r="P50" s="232" t="n">
        <v>0</v>
      </c>
      <c r="Q50" s="232" t="n">
        <v>0</v>
      </c>
      <c r="R50" s="232" t="n">
        <v>0</v>
      </c>
      <c r="S50" s="232" t="s">
        <v>288</v>
      </c>
      <c r="T50" s="232" t="s">
        <v>288</v>
      </c>
      <c r="U50" s="232" t="s">
        <v>288</v>
      </c>
      <c r="V50" s="232" t="n">
        <v>0</v>
      </c>
      <c r="W50" s="233" t="n">
        <v>7</v>
      </c>
      <c r="X50" s="233" t="str">
        <f aca="false">LEFT(K50,2)</f>
        <v>EB</v>
      </c>
      <c r="Y50" s="0" t="str">
        <f aca="false">IF(K50=Z50,"OK","CEEK")</f>
        <v>CEEK</v>
      </c>
      <c r="Z50" s="239" t="s">
        <v>69</v>
      </c>
      <c r="AA50" s="240" t="s">
        <v>373</v>
      </c>
      <c r="AB50" s="240" t="n">
        <v>2</v>
      </c>
      <c r="AC50" s="239" t="n">
        <v>5</v>
      </c>
      <c r="AD50" s="233" t="str">
        <f aca="false">LEFT(Z50,2)</f>
        <v>EC</v>
      </c>
      <c r="AE50" s="236" t="str">
        <f aca="false">IF(AD50="TP","Khusus MABA",IF(AD50="ES","Wajib Semua",IF(AD50="EA","KBK STL",IF(AD50="EB","KBK Elka",IF(AD50="EC","KBK Telkom",IF(AD50="ED","KBK TIK"))))))</f>
        <v>KBK Telkom</v>
      </c>
      <c r="AF50" s="0" t="n">
        <v>0</v>
      </c>
    </row>
    <row r="51" customFormat="false" ht="15" hidden="true" customHeight="false" outlineLevel="0" collapsed="false">
      <c r="C51" s="16" t="s">
        <v>74</v>
      </c>
      <c r="D51" s="16" t="s">
        <v>397</v>
      </c>
      <c r="E51" s="0" t="n">
        <v>3</v>
      </c>
      <c r="H51" s="0" t="n">
        <v>5</v>
      </c>
      <c r="K51" s="232" t="s">
        <v>200</v>
      </c>
      <c r="L51" s="232" t="s">
        <v>172</v>
      </c>
      <c r="M51" s="232" t="n">
        <v>30</v>
      </c>
      <c r="N51" s="232" t="s">
        <v>320</v>
      </c>
      <c r="O51" s="232" t="n">
        <v>2</v>
      </c>
      <c r="P51" s="232" t="n">
        <v>0</v>
      </c>
      <c r="Q51" s="232" t="n">
        <v>0</v>
      </c>
      <c r="R51" s="232" t="n">
        <v>0</v>
      </c>
      <c r="S51" s="232" t="s">
        <v>288</v>
      </c>
      <c r="T51" s="232" t="s">
        <v>288</v>
      </c>
      <c r="U51" s="232" t="s">
        <v>288</v>
      </c>
      <c r="V51" s="232" t="n">
        <v>0</v>
      </c>
      <c r="W51" s="233" t="n">
        <v>6</v>
      </c>
      <c r="X51" s="233" t="str">
        <f aca="false">LEFT(K51,2)</f>
        <v>EB</v>
      </c>
      <c r="Y51" s="0" t="str">
        <f aca="false">IF(K51=Z51,"OK","CEEK")</f>
        <v>CEEK</v>
      </c>
      <c r="Z51" s="239" t="s">
        <v>70</v>
      </c>
      <c r="AA51" s="240" t="s">
        <v>375</v>
      </c>
      <c r="AB51" s="240" t="n">
        <v>3</v>
      </c>
      <c r="AC51" s="239" t="n">
        <v>5</v>
      </c>
      <c r="AD51" s="233" t="str">
        <f aca="false">LEFT(Z51,2)</f>
        <v>EC</v>
      </c>
      <c r="AE51" s="236" t="str">
        <f aca="false">IF(AD51="TP","Khusus MABA",IF(AD51="ES","Wajib Semua",IF(AD51="EA","KBK STL",IF(AD51="EB","KBK Elka",IF(AD51="EC","KBK Telkom",IF(AD51="ED","KBK TIK"))))))</f>
        <v>KBK Telkom</v>
      </c>
      <c r="AF51" s="0" t="n">
        <v>0</v>
      </c>
    </row>
    <row r="52" customFormat="false" ht="15" hidden="true" customHeight="false" outlineLevel="0" collapsed="false">
      <c r="C52" s="16" t="s">
        <v>75</v>
      </c>
      <c r="D52" s="16" t="s">
        <v>398</v>
      </c>
      <c r="E52" s="0" t="n">
        <v>3</v>
      </c>
      <c r="H52" s="0" t="n">
        <v>5</v>
      </c>
      <c r="K52" s="232" t="s">
        <v>201</v>
      </c>
      <c r="L52" s="232" t="s">
        <v>399</v>
      </c>
      <c r="M52" s="232" t="n">
        <v>30</v>
      </c>
      <c r="N52" s="232" t="s">
        <v>320</v>
      </c>
      <c r="O52" s="232" t="n">
        <v>2</v>
      </c>
      <c r="P52" s="232" t="n">
        <v>0</v>
      </c>
      <c r="Q52" s="232" t="n">
        <v>0</v>
      </c>
      <c r="R52" s="232" t="n">
        <v>0</v>
      </c>
      <c r="S52" s="232" t="s">
        <v>288</v>
      </c>
      <c r="T52" s="232" t="s">
        <v>288</v>
      </c>
      <c r="U52" s="232" t="s">
        <v>288</v>
      </c>
      <c r="V52" s="232" t="n">
        <v>0</v>
      </c>
      <c r="W52" s="233" t="n">
        <v>6</v>
      </c>
      <c r="X52" s="233" t="str">
        <f aca="false">LEFT(K52,2)</f>
        <v>EB</v>
      </c>
      <c r="Y52" s="0" t="str">
        <f aca="false">IF(K52=Z52,"OK","CEEK")</f>
        <v>CEEK</v>
      </c>
      <c r="Z52" s="239" t="s">
        <v>71</v>
      </c>
      <c r="AA52" s="240" t="s">
        <v>377</v>
      </c>
      <c r="AB52" s="240" t="n">
        <v>3</v>
      </c>
      <c r="AC52" s="239" t="n">
        <v>5</v>
      </c>
      <c r="AD52" s="233" t="str">
        <f aca="false">LEFT(Z52,2)</f>
        <v>EC</v>
      </c>
      <c r="AE52" s="236" t="str">
        <f aca="false">IF(AD52="TP","Khusus MABA",IF(AD52="ES","Wajib Semua",IF(AD52="EA","KBK STL",IF(AD52="EB","KBK Elka",IF(AD52="EC","KBK Telkom",IF(AD52="ED","KBK TIK"))))))</f>
        <v>KBK Telkom</v>
      </c>
      <c r="AF52" s="0" t="n">
        <v>0</v>
      </c>
    </row>
    <row r="53" customFormat="false" ht="15" hidden="true" customHeight="false" outlineLevel="0" collapsed="false">
      <c r="C53" s="16" t="s">
        <v>76</v>
      </c>
      <c r="D53" s="16" t="s">
        <v>400</v>
      </c>
      <c r="E53" s="0" t="n">
        <v>2</v>
      </c>
      <c r="H53" s="0" t="n">
        <v>5</v>
      </c>
      <c r="K53" s="232" t="s">
        <v>203</v>
      </c>
      <c r="L53" s="232" t="s">
        <v>401</v>
      </c>
      <c r="M53" s="232" t="n">
        <v>30</v>
      </c>
      <c r="N53" s="232" t="s">
        <v>320</v>
      </c>
      <c r="O53" s="232" t="n">
        <v>2</v>
      </c>
      <c r="P53" s="232" t="n">
        <v>0</v>
      </c>
      <c r="Q53" s="232" t="n">
        <v>0</v>
      </c>
      <c r="R53" s="232" t="n">
        <v>0</v>
      </c>
      <c r="S53" s="232" t="s">
        <v>288</v>
      </c>
      <c r="T53" s="232" t="s">
        <v>288</v>
      </c>
      <c r="U53" s="232" t="s">
        <v>288</v>
      </c>
      <c r="V53" s="232" t="n">
        <v>0</v>
      </c>
      <c r="W53" s="233" t="n">
        <v>6</v>
      </c>
      <c r="X53" s="233" t="str">
        <f aca="false">LEFT(K53,2)</f>
        <v>EB</v>
      </c>
      <c r="Y53" s="0" t="str">
        <f aca="false">IF(K53=Z53,"OK","CEEK")</f>
        <v>CEEK</v>
      </c>
      <c r="Z53" s="239" t="s">
        <v>72</v>
      </c>
      <c r="AA53" s="240" t="s">
        <v>379</v>
      </c>
      <c r="AB53" s="240" t="n">
        <v>2</v>
      </c>
      <c r="AC53" s="239" t="n">
        <v>5</v>
      </c>
      <c r="AD53" s="233" t="str">
        <f aca="false">LEFT(Z53,2)</f>
        <v>EC</v>
      </c>
      <c r="AE53" s="236" t="str">
        <f aca="false">IF(AD53="TP","Khusus MABA",IF(AD53="ES","Wajib Semua",IF(AD53="EA","KBK STL",IF(AD53="EB","KBK Elka",IF(AD53="EC","KBK Telkom",IF(AD53="ED","KBK TIK"))))))</f>
        <v>KBK Telkom</v>
      </c>
      <c r="AF53" s="0" t="n">
        <v>0</v>
      </c>
    </row>
    <row r="54" customFormat="false" ht="15" hidden="true" customHeight="false" outlineLevel="0" collapsed="false">
      <c r="C54" s="16" t="s">
        <v>77</v>
      </c>
      <c r="D54" s="16" t="s">
        <v>402</v>
      </c>
      <c r="E54" s="0" t="n">
        <v>2</v>
      </c>
      <c r="H54" s="0" t="n">
        <v>5</v>
      </c>
      <c r="K54" s="232" t="s">
        <v>122</v>
      </c>
      <c r="L54" s="232" t="s">
        <v>363</v>
      </c>
      <c r="M54" s="232" t="n">
        <v>30</v>
      </c>
      <c r="N54" s="232" t="s">
        <v>287</v>
      </c>
      <c r="O54" s="232" t="n">
        <v>3</v>
      </c>
      <c r="P54" s="232" t="n">
        <v>0</v>
      </c>
      <c r="Q54" s="232" t="n">
        <v>0</v>
      </c>
      <c r="R54" s="232" t="n">
        <v>0</v>
      </c>
      <c r="S54" s="232" t="s">
        <v>288</v>
      </c>
      <c r="T54" s="232" t="s">
        <v>288</v>
      </c>
      <c r="U54" s="232" t="s">
        <v>288</v>
      </c>
      <c r="V54" s="232" t="n">
        <v>0</v>
      </c>
      <c r="W54" s="233" t="n">
        <v>7</v>
      </c>
      <c r="X54" s="233" t="str">
        <f aca="false">LEFT(K54,2)</f>
        <v>EB</v>
      </c>
      <c r="Y54" s="0" t="str">
        <f aca="false">IF(K54=Z54,"OK","CEEK")</f>
        <v>CEEK</v>
      </c>
      <c r="Z54" s="239" t="s">
        <v>74</v>
      </c>
      <c r="AA54" s="240" t="s">
        <v>397</v>
      </c>
      <c r="AB54" s="240" t="n">
        <v>3</v>
      </c>
      <c r="AC54" s="239" t="n">
        <v>5</v>
      </c>
      <c r="AD54" s="233" t="str">
        <f aca="false">LEFT(Z54,2)</f>
        <v>ED</v>
      </c>
      <c r="AE54" s="236" t="str">
        <f aca="false">IF(AD54="TP","Khusus MABA",IF(AD54="ES","Wajib Semua",IF(AD54="EA","KBK STL",IF(AD54="EB","KBK Elka",IF(AD54="EC","KBK Telkom",IF(AD54="ED","KBK TIK"))))))</f>
        <v>KBK TIK</v>
      </c>
      <c r="AF54" s="0" t="n">
        <v>0</v>
      </c>
    </row>
    <row r="55" customFormat="false" ht="15" hidden="true" customHeight="false" outlineLevel="0" collapsed="false">
      <c r="C55" s="16" t="s">
        <v>104</v>
      </c>
      <c r="D55" s="16" t="s">
        <v>403</v>
      </c>
      <c r="E55" s="0" t="n">
        <v>2</v>
      </c>
      <c r="H55" s="0" t="n">
        <v>6</v>
      </c>
      <c r="K55" s="232" t="s">
        <v>123</v>
      </c>
      <c r="L55" s="232" t="s">
        <v>365</v>
      </c>
      <c r="M55" s="232" t="n">
        <v>30</v>
      </c>
      <c r="N55" s="232" t="s">
        <v>287</v>
      </c>
      <c r="O55" s="232" t="n">
        <v>2</v>
      </c>
      <c r="P55" s="232" t="n">
        <v>0</v>
      </c>
      <c r="Q55" s="232" t="n">
        <v>0</v>
      </c>
      <c r="R55" s="232" t="n">
        <v>0</v>
      </c>
      <c r="S55" s="232" t="s">
        <v>288</v>
      </c>
      <c r="T55" s="232" t="s">
        <v>288</v>
      </c>
      <c r="U55" s="232" t="s">
        <v>288</v>
      </c>
      <c r="V55" s="232" t="n">
        <v>0</v>
      </c>
      <c r="W55" s="233" t="n">
        <v>7</v>
      </c>
      <c r="X55" s="233" t="str">
        <f aca="false">LEFT(K55,2)</f>
        <v>EB</v>
      </c>
      <c r="Y55" s="0" t="str">
        <f aca="false">IF(K55=Z55,"OK","CEEK")</f>
        <v>CEEK</v>
      </c>
      <c r="Z55" s="239" t="s">
        <v>75</v>
      </c>
      <c r="AA55" s="240" t="s">
        <v>398</v>
      </c>
      <c r="AB55" s="240" t="n">
        <v>3</v>
      </c>
      <c r="AC55" s="239" t="n">
        <v>5</v>
      </c>
      <c r="AD55" s="233" t="str">
        <f aca="false">LEFT(Z55,2)</f>
        <v>ED</v>
      </c>
      <c r="AE55" s="236" t="str">
        <f aca="false">IF(AD55="TP","Khusus MABA",IF(AD55="ES","Wajib Semua",IF(AD55="EA","KBK STL",IF(AD55="EB","KBK Elka",IF(AD55="EC","KBK Telkom",IF(AD55="ED","KBK TIK"))))))</f>
        <v>KBK TIK</v>
      </c>
      <c r="AF55" s="0" t="n">
        <v>0</v>
      </c>
    </row>
    <row r="56" customFormat="false" ht="15" hidden="true" customHeight="false" outlineLevel="0" collapsed="false">
      <c r="C56" s="16" t="s">
        <v>105</v>
      </c>
      <c r="D56" s="16" t="s">
        <v>387</v>
      </c>
      <c r="E56" s="0" t="n">
        <v>3</v>
      </c>
      <c r="H56" s="0" t="n">
        <v>6</v>
      </c>
      <c r="K56" s="232" t="s">
        <v>124</v>
      </c>
      <c r="L56" s="232" t="s">
        <v>367</v>
      </c>
      <c r="M56" s="232" t="n">
        <v>30</v>
      </c>
      <c r="N56" s="232" t="s">
        <v>287</v>
      </c>
      <c r="O56" s="232" t="n">
        <v>0</v>
      </c>
      <c r="P56" s="232" t="n">
        <v>1</v>
      </c>
      <c r="Q56" s="232" t="n">
        <v>0</v>
      </c>
      <c r="R56" s="232" t="n">
        <v>0</v>
      </c>
      <c r="S56" s="232" t="s">
        <v>288</v>
      </c>
      <c r="T56" s="232" t="s">
        <v>288</v>
      </c>
      <c r="U56" s="232" t="s">
        <v>288</v>
      </c>
      <c r="V56" s="232" t="n">
        <v>0</v>
      </c>
      <c r="W56" s="233" t="n">
        <v>7</v>
      </c>
      <c r="X56" s="233" t="str">
        <f aca="false">LEFT(K56,2)</f>
        <v>EB</v>
      </c>
      <c r="Y56" s="0" t="str">
        <f aca="false">IF(K56=Z56,"OK","CEEK")</f>
        <v>CEEK</v>
      </c>
      <c r="Z56" s="239" t="s">
        <v>76</v>
      </c>
      <c r="AA56" s="240" t="s">
        <v>400</v>
      </c>
      <c r="AB56" s="240" t="n">
        <v>2</v>
      </c>
      <c r="AC56" s="239" t="n">
        <v>5</v>
      </c>
      <c r="AD56" s="233" t="str">
        <f aca="false">LEFT(Z56,2)</f>
        <v>ED</v>
      </c>
      <c r="AE56" s="236" t="str">
        <f aca="false">IF(AD56="TP","Khusus MABA",IF(AD56="ES","Wajib Semua",IF(AD56="EA","KBK STL",IF(AD56="EB","KBK Elka",IF(AD56="EC","KBK Telkom",IF(AD56="ED","KBK TIK"))))))</f>
        <v>KBK TIK</v>
      </c>
      <c r="AF56" s="0" t="n">
        <v>0</v>
      </c>
    </row>
    <row r="57" customFormat="false" ht="15" hidden="true" customHeight="false" outlineLevel="0" collapsed="false">
      <c r="C57" s="16" t="s">
        <v>106</v>
      </c>
      <c r="D57" s="16" t="s">
        <v>384</v>
      </c>
      <c r="E57" s="0" t="n">
        <v>2</v>
      </c>
      <c r="H57" s="0" t="n">
        <v>6</v>
      </c>
      <c r="K57" s="232" t="s">
        <v>125</v>
      </c>
      <c r="L57" s="232" t="s">
        <v>369</v>
      </c>
      <c r="M57" s="232" t="n">
        <v>30</v>
      </c>
      <c r="N57" s="232" t="s">
        <v>287</v>
      </c>
      <c r="O57" s="232" t="n">
        <v>2</v>
      </c>
      <c r="P57" s="232" t="n">
        <v>0</v>
      </c>
      <c r="Q57" s="232" t="n">
        <v>0</v>
      </c>
      <c r="R57" s="232" t="n">
        <v>0</v>
      </c>
      <c r="S57" s="232" t="s">
        <v>288</v>
      </c>
      <c r="T57" s="232" t="s">
        <v>288</v>
      </c>
      <c r="U57" s="232" t="s">
        <v>288</v>
      </c>
      <c r="V57" s="232" t="n">
        <v>0</v>
      </c>
      <c r="W57" s="233" t="n">
        <v>7</v>
      </c>
      <c r="X57" s="233" t="str">
        <f aca="false">LEFT(K57,2)</f>
        <v>EB</v>
      </c>
      <c r="Y57" s="0" t="str">
        <f aca="false">IF(K57=Z57,"OK","CEEK")</f>
        <v>CEEK</v>
      </c>
      <c r="Z57" s="239" t="s">
        <v>77</v>
      </c>
      <c r="AA57" s="240" t="s">
        <v>402</v>
      </c>
      <c r="AB57" s="240" t="n">
        <v>2</v>
      </c>
      <c r="AC57" s="239" t="n">
        <v>5</v>
      </c>
      <c r="AD57" s="233" t="str">
        <f aca="false">LEFT(Z57,2)</f>
        <v>ED</v>
      </c>
      <c r="AE57" s="236" t="str">
        <f aca="false">IF(AD57="TP","Khusus MABA",IF(AD57="ES","Wajib Semua",IF(AD57="EA","KBK STL",IF(AD57="EB","KBK Elka",IF(AD57="EC","KBK Telkom",IF(AD57="ED","KBK TIK"))))))</f>
        <v>KBK TIK</v>
      </c>
      <c r="AF57" s="0" t="n">
        <v>0</v>
      </c>
    </row>
    <row r="58" customFormat="false" ht="15" hidden="true" customHeight="false" outlineLevel="0" collapsed="false">
      <c r="C58" s="16" t="s">
        <v>107</v>
      </c>
      <c r="D58" s="16" t="s">
        <v>404</v>
      </c>
      <c r="E58" s="0" t="n">
        <v>1</v>
      </c>
      <c r="H58" s="0" t="n">
        <v>6</v>
      </c>
      <c r="K58" s="232" t="s">
        <v>126</v>
      </c>
      <c r="L58" s="232" t="s">
        <v>371</v>
      </c>
      <c r="M58" s="232" t="n">
        <v>30</v>
      </c>
      <c r="N58" s="232" t="s">
        <v>287</v>
      </c>
      <c r="O58" s="232" t="n">
        <v>2</v>
      </c>
      <c r="P58" s="232" t="n">
        <v>0</v>
      </c>
      <c r="Q58" s="232" t="n">
        <v>0</v>
      </c>
      <c r="R58" s="232" t="n">
        <v>0</v>
      </c>
      <c r="S58" s="232" t="s">
        <v>288</v>
      </c>
      <c r="T58" s="232" t="s">
        <v>288</v>
      </c>
      <c r="U58" s="232" t="s">
        <v>288</v>
      </c>
      <c r="V58" s="232" t="n">
        <v>0</v>
      </c>
      <c r="W58" s="233" t="n">
        <v>7</v>
      </c>
      <c r="X58" s="233" t="str">
        <f aca="false">LEFT(K58,2)</f>
        <v>EB</v>
      </c>
      <c r="Y58" s="0" t="str">
        <f aca="false">IF(K58=Z58,"OK","CEEK")</f>
        <v>CEEK</v>
      </c>
      <c r="Z58" s="239" t="s">
        <v>55</v>
      </c>
      <c r="AA58" s="240" t="s">
        <v>302</v>
      </c>
      <c r="AB58" s="240" t="n">
        <v>1</v>
      </c>
      <c r="AC58" s="239" t="n">
        <v>5</v>
      </c>
      <c r="AD58" s="233" t="str">
        <f aca="false">LEFT(Z58,2)</f>
        <v>ES</v>
      </c>
      <c r="AE58" s="236" t="str">
        <f aca="false">IF(AD58="TP","Khusus MABA",IF(AD58="ES","Wajib Semua",IF(AD58="EA","KBK STL",IF(AD58="EB","KBK Elka",IF(AD58="EC","KBK Telkom",IF(AD58="ED","KBK TIK"))))))</f>
        <v>Wajib Semua</v>
      </c>
      <c r="AF58" s="0" t="n">
        <v>0</v>
      </c>
    </row>
    <row r="59" customFormat="false" ht="15" hidden="true" customHeight="false" outlineLevel="0" collapsed="false">
      <c r="C59" s="16" t="s">
        <v>108</v>
      </c>
      <c r="D59" s="16" t="s">
        <v>405</v>
      </c>
      <c r="E59" s="0" t="n">
        <v>2</v>
      </c>
      <c r="H59" s="0" t="n">
        <v>6</v>
      </c>
      <c r="K59" s="232" t="s">
        <v>69</v>
      </c>
      <c r="L59" s="232" t="s">
        <v>373</v>
      </c>
      <c r="M59" s="232" t="n">
        <v>30</v>
      </c>
      <c r="N59" s="232" t="s">
        <v>287</v>
      </c>
      <c r="O59" s="232" t="n">
        <v>2</v>
      </c>
      <c r="P59" s="232" t="n">
        <v>0</v>
      </c>
      <c r="Q59" s="232" t="n">
        <v>0</v>
      </c>
      <c r="R59" s="232" t="n">
        <v>0</v>
      </c>
      <c r="S59" s="232" t="s">
        <v>288</v>
      </c>
      <c r="T59" s="232" t="s">
        <v>288</v>
      </c>
      <c r="U59" s="232" t="s">
        <v>288</v>
      </c>
      <c r="V59" s="232" t="n">
        <v>0</v>
      </c>
      <c r="W59" s="233" t="n">
        <v>5</v>
      </c>
      <c r="X59" s="233" t="str">
        <f aca="false">LEFT(K59,2)</f>
        <v>EC</v>
      </c>
      <c r="Y59" s="0" t="str">
        <f aca="false">IF(K59=Z59,"OK","CEEK")</f>
        <v>CEEK</v>
      </c>
      <c r="Z59" s="239" t="s">
        <v>56</v>
      </c>
      <c r="AA59" s="240" t="s">
        <v>406</v>
      </c>
      <c r="AB59" s="240" t="n">
        <v>2</v>
      </c>
      <c r="AC59" s="239" t="n">
        <v>5</v>
      </c>
      <c r="AD59" s="233" t="str">
        <f aca="false">LEFT(Z59,2)</f>
        <v>ES</v>
      </c>
      <c r="AE59" s="236" t="str">
        <f aca="false">IF(AD59="TP","Khusus MABA",IF(AD59="ES","Wajib Semua",IF(AD59="EA","KBK STL",IF(AD59="EB","KBK Elka",IF(AD59="EC","KBK Telkom",IF(AD59="ED","KBK TIK"))))))</f>
        <v>Wajib Semua</v>
      </c>
      <c r="AF59" s="0" t="n">
        <v>0</v>
      </c>
    </row>
    <row r="60" customFormat="false" ht="15" hidden="true" customHeight="false" outlineLevel="0" collapsed="false">
      <c r="C60" s="16" t="s">
        <v>103</v>
      </c>
      <c r="D60" s="16" t="s">
        <v>357</v>
      </c>
      <c r="E60" s="0" t="n">
        <v>3</v>
      </c>
      <c r="H60" s="0" t="n">
        <v>6</v>
      </c>
      <c r="K60" s="232" t="s">
        <v>70</v>
      </c>
      <c r="L60" s="232" t="s">
        <v>375</v>
      </c>
      <c r="M60" s="232" t="n">
        <v>30</v>
      </c>
      <c r="N60" s="232" t="s">
        <v>287</v>
      </c>
      <c r="O60" s="232" t="n">
        <v>3</v>
      </c>
      <c r="P60" s="232" t="n">
        <v>0</v>
      </c>
      <c r="Q60" s="232" t="n">
        <v>0</v>
      </c>
      <c r="R60" s="232" t="n">
        <v>0</v>
      </c>
      <c r="S60" s="232" t="s">
        <v>288</v>
      </c>
      <c r="T60" s="232" t="s">
        <v>288</v>
      </c>
      <c r="U60" s="232" t="s">
        <v>288</v>
      </c>
      <c r="V60" s="232" t="n">
        <v>0</v>
      </c>
      <c r="W60" s="233" t="n">
        <v>5</v>
      </c>
      <c r="X60" s="233" t="str">
        <f aca="false">LEFT(K60,2)</f>
        <v>EC</v>
      </c>
      <c r="Y60" s="0" t="str">
        <f aca="false">IF(K60=Z60,"OK","CEEK")</f>
        <v>CEEK</v>
      </c>
      <c r="Z60" s="239" t="s">
        <v>52</v>
      </c>
      <c r="AA60" s="240" t="s">
        <v>407</v>
      </c>
      <c r="AB60" s="240" t="n">
        <v>3</v>
      </c>
      <c r="AC60" s="239" t="n">
        <v>5</v>
      </c>
      <c r="AD60" s="233" t="str">
        <f aca="false">LEFT(Z60,2)</f>
        <v>ES</v>
      </c>
      <c r="AE60" s="236" t="str">
        <f aca="false">IF(AD60="TP","Khusus MABA",IF(AD60="ES","Wajib Semua",IF(AD60="EA","KBK STL",IF(AD60="EB","KBK Elka",IF(AD60="EC","KBK Telkom",IF(AD60="ED","KBK TIK"))))))</f>
        <v>Wajib Semua</v>
      </c>
      <c r="AF60" s="0" t="n">
        <v>0</v>
      </c>
    </row>
    <row r="61" customFormat="false" ht="15" hidden="true" customHeight="false" outlineLevel="0" collapsed="false">
      <c r="C61" s="16" t="s">
        <v>134</v>
      </c>
      <c r="D61" s="16" t="s">
        <v>363</v>
      </c>
      <c r="E61" s="0" t="n">
        <v>3</v>
      </c>
      <c r="H61" s="0" t="n">
        <v>7</v>
      </c>
      <c r="K61" s="232" t="s">
        <v>71</v>
      </c>
      <c r="L61" s="232" t="s">
        <v>377</v>
      </c>
      <c r="M61" s="232" t="n">
        <v>30</v>
      </c>
      <c r="N61" s="232" t="s">
        <v>287</v>
      </c>
      <c r="O61" s="232" t="n">
        <v>3</v>
      </c>
      <c r="P61" s="232" t="n">
        <v>0</v>
      </c>
      <c r="Q61" s="232" t="n">
        <v>0</v>
      </c>
      <c r="R61" s="232" t="n">
        <v>0</v>
      </c>
      <c r="S61" s="232" t="s">
        <v>288</v>
      </c>
      <c r="T61" s="232" t="s">
        <v>288</v>
      </c>
      <c r="U61" s="232" t="s">
        <v>288</v>
      </c>
      <c r="V61" s="232" t="n">
        <v>0</v>
      </c>
      <c r="W61" s="233" t="n">
        <v>5</v>
      </c>
      <c r="X61" s="233" t="str">
        <f aca="false">LEFT(K61,2)</f>
        <v>EC</v>
      </c>
      <c r="Y61" s="0" t="str">
        <f aca="false">IF(K61=Z61,"OK","CEEK")</f>
        <v>CEEK</v>
      </c>
      <c r="Z61" s="239" t="s">
        <v>53</v>
      </c>
      <c r="AA61" s="240" t="s">
        <v>408</v>
      </c>
      <c r="AB61" s="240" t="n">
        <v>3</v>
      </c>
      <c r="AC61" s="239" t="n">
        <v>5</v>
      </c>
      <c r="AD61" s="233" t="str">
        <f aca="false">LEFT(Z61,2)</f>
        <v>ES</v>
      </c>
      <c r="AE61" s="236" t="str">
        <f aca="false">IF(AD61="TP","Khusus MABA",IF(AD61="ES","Wajib Semua",IF(AD61="EA","KBK STL",IF(AD61="EB","KBK Elka",IF(AD61="EC","KBK Telkom",IF(AD61="ED","KBK TIK"))))))</f>
        <v>Wajib Semua</v>
      </c>
      <c r="AF61" s="0" t="n">
        <v>0</v>
      </c>
    </row>
    <row r="62" customFormat="false" ht="15" hidden="true" customHeight="false" outlineLevel="0" collapsed="false">
      <c r="C62" s="16" t="s">
        <v>135</v>
      </c>
      <c r="D62" s="16" t="s">
        <v>409</v>
      </c>
      <c r="E62" s="0" t="n">
        <v>2</v>
      </c>
      <c r="H62" s="0" t="n">
        <v>7</v>
      </c>
      <c r="K62" s="232" t="s">
        <v>72</v>
      </c>
      <c r="L62" s="232" t="s">
        <v>379</v>
      </c>
      <c r="M62" s="232" t="n">
        <v>30</v>
      </c>
      <c r="N62" s="232" t="s">
        <v>287</v>
      </c>
      <c r="O62" s="232" t="n">
        <v>2</v>
      </c>
      <c r="P62" s="232" t="n">
        <v>0</v>
      </c>
      <c r="Q62" s="232" t="n">
        <v>0</v>
      </c>
      <c r="R62" s="232" t="n">
        <v>0</v>
      </c>
      <c r="S62" s="232" t="s">
        <v>288</v>
      </c>
      <c r="T62" s="232" t="s">
        <v>288</v>
      </c>
      <c r="U62" s="232" t="s">
        <v>288</v>
      </c>
      <c r="V62" s="232" t="n">
        <v>0</v>
      </c>
      <c r="W62" s="233" t="n">
        <v>5</v>
      </c>
      <c r="X62" s="233" t="str">
        <f aca="false">LEFT(K62,2)</f>
        <v>EC</v>
      </c>
      <c r="Y62" s="0" t="str">
        <f aca="false">IF(K62=Z62,"OK","CEEK")</f>
        <v>CEEK</v>
      </c>
      <c r="Z62" s="241" t="s">
        <v>54</v>
      </c>
      <c r="AA62" s="242" t="s">
        <v>410</v>
      </c>
      <c r="AB62" s="242" t="n">
        <v>1</v>
      </c>
      <c r="AC62" s="241" t="n">
        <v>5</v>
      </c>
      <c r="AD62" s="233" t="str">
        <f aca="false">LEFT(Z62,2)</f>
        <v>ES</v>
      </c>
      <c r="AE62" s="236" t="str">
        <f aca="false">IF(AD62="TP","Khusus MABA",IF(AD62="ES","Wajib Semua",IF(AD62="EA","KBK STL",IF(AD62="EB","KBK Elka",IF(AD62="EC","KBK Telkom",IF(AD62="ED","KBK TIK"))))))</f>
        <v>Wajib Semua</v>
      </c>
      <c r="AF62" s="0" t="n">
        <v>0</v>
      </c>
    </row>
    <row r="63" customFormat="false" ht="15" hidden="false" customHeight="false" outlineLevel="0" collapsed="false">
      <c r="C63" s="16" t="s">
        <v>136</v>
      </c>
      <c r="D63" s="16" t="s">
        <v>411</v>
      </c>
      <c r="E63" s="0" t="n">
        <v>1</v>
      </c>
      <c r="H63" s="0" t="n">
        <v>7</v>
      </c>
      <c r="K63" s="232" t="s">
        <v>96</v>
      </c>
      <c r="L63" s="232" t="s">
        <v>381</v>
      </c>
      <c r="M63" s="232" t="n">
        <v>30</v>
      </c>
      <c r="N63" s="232" t="s">
        <v>287</v>
      </c>
      <c r="O63" s="232" t="n">
        <v>3</v>
      </c>
      <c r="P63" s="232" t="n">
        <v>0</v>
      </c>
      <c r="Q63" s="232" t="n">
        <v>0</v>
      </c>
      <c r="R63" s="232" t="n">
        <v>0</v>
      </c>
      <c r="S63" s="232" t="s">
        <v>288</v>
      </c>
      <c r="T63" s="232" t="s">
        <v>288</v>
      </c>
      <c r="U63" s="232" t="s">
        <v>288</v>
      </c>
      <c r="V63" s="232" t="n">
        <v>0</v>
      </c>
      <c r="W63" s="233" t="n">
        <v>6</v>
      </c>
      <c r="X63" s="233" t="str">
        <f aca="false">LEFT(K63,2)</f>
        <v>EC</v>
      </c>
      <c r="Y63" s="0" t="str">
        <f aca="false">IF(K63=Z63,"OK","CEEK")</f>
        <v>CEEK</v>
      </c>
      <c r="Z63" s="239" t="s">
        <v>80</v>
      </c>
      <c r="AA63" s="240" t="s">
        <v>303</v>
      </c>
      <c r="AB63" s="240" t="n">
        <v>2</v>
      </c>
      <c r="AC63" s="239" t="n">
        <v>6</v>
      </c>
      <c r="AD63" s="243" t="str">
        <f aca="false">LEFT(Z63,2)</f>
        <v>EA</v>
      </c>
      <c r="AE63" s="233" t="str">
        <f aca="false">IF(AD63="TP","Khusus MABA",IF(AD63="ES","Wajib Semua",IF(AD63="EA","KBK STL",IF(AD63="EB","KBK Elka",IF(AD63="EC","KBK Telkom",IF(AD63="ED","KBK TIK"))))))</f>
        <v>KBK STL</v>
      </c>
      <c r="AF63" s="0" t="n">
        <v>1</v>
      </c>
    </row>
    <row r="64" customFormat="false" ht="15" hidden="false" customHeight="false" outlineLevel="0" collapsed="false">
      <c r="C64" s="16" t="s">
        <v>137</v>
      </c>
      <c r="D64" s="16" t="s">
        <v>412</v>
      </c>
      <c r="E64" s="0" t="n">
        <v>1</v>
      </c>
      <c r="H64" s="0" t="n">
        <v>7</v>
      </c>
      <c r="K64" s="232" t="s">
        <v>97</v>
      </c>
      <c r="L64" s="232" t="s">
        <v>357</v>
      </c>
      <c r="M64" s="232" t="n">
        <v>30</v>
      </c>
      <c r="N64" s="232" t="s">
        <v>287</v>
      </c>
      <c r="O64" s="232" t="n">
        <v>3</v>
      </c>
      <c r="P64" s="232" t="n">
        <v>0</v>
      </c>
      <c r="Q64" s="232" t="n">
        <v>0</v>
      </c>
      <c r="R64" s="232" t="n">
        <v>0</v>
      </c>
      <c r="S64" s="232" t="s">
        <v>288</v>
      </c>
      <c r="T64" s="232" t="s">
        <v>288</v>
      </c>
      <c r="U64" s="232" t="s">
        <v>288</v>
      </c>
      <c r="V64" s="232" t="n">
        <v>0</v>
      </c>
      <c r="W64" s="233" t="n">
        <v>6</v>
      </c>
      <c r="X64" s="233" t="str">
        <f aca="false">LEFT(K64,2)</f>
        <v>EC</v>
      </c>
      <c r="Y64" s="0" t="str">
        <f aca="false">IF(K64=Z64,"OK","CEEK")</f>
        <v>CEEK</v>
      </c>
      <c r="Z64" s="239" t="s">
        <v>81</v>
      </c>
      <c r="AA64" s="240" t="s">
        <v>305</v>
      </c>
      <c r="AB64" s="240" t="n">
        <v>1</v>
      </c>
      <c r="AC64" s="239" t="n">
        <v>6</v>
      </c>
      <c r="AD64" s="243" t="str">
        <f aca="false">LEFT(Z64,2)</f>
        <v>EA</v>
      </c>
      <c r="AE64" s="233" t="str">
        <f aca="false">IF(AD64="TP","Khusus MABA",IF(AD64="ES","Wajib Semua",IF(AD64="EA","KBK STL",IF(AD64="EB","KBK Elka",IF(AD64="EC","KBK Telkom",IF(AD64="ED","KBK TIK"))))))</f>
        <v>KBK STL</v>
      </c>
      <c r="AF64" s="0" t="n">
        <v>1</v>
      </c>
    </row>
    <row r="65" customFormat="false" ht="15" hidden="false" customHeight="false" outlineLevel="0" collapsed="false">
      <c r="C65" s="16" t="s">
        <v>138</v>
      </c>
      <c r="D65" s="16" t="s">
        <v>413</v>
      </c>
      <c r="E65" s="0" t="n">
        <v>1</v>
      </c>
      <c r="H65" s="0" t="n">
        <v>7</v>
      </c>
      <c r="K65" s="232" t="s">
        <v>98</v>
      </c>
      <c r="L65" s="232" t="s">
        <v>382</v>
      </c>
      <c r="M65" s="232" t="n">
        <v>30</v>
      </c>
      <c r="N65" s="232" t="s">
        <v>287</v>
      </c>
      <c r="O65" s="232" t="n">
        <v>2</v>
      </c>
      <c r="P65" s="232" t="n">
        <v>0</v>
      </c>
      <c r="Q65" s="232" t="n">
        <v>0</v>
      </c>
      <c r="R65" s="232" t="n">
        <v>0</v>
      </c>
      <c r="S65" s="232" t="s">
        <v>288</v>
      </c>
      <c r="T65" s="232" t="s">
        <v>288</v>
      </c>
      <c r="U65" s="232" t="s">
        <v>288</v>
      </c>
      <c r="V65" s="232" t="n">
        <v>0</v>
      </c>
      <c r="W65" s="233" t="n">
        <v>6</v>
      </c>
      <c r="X65" s="233" t="str">
        <f aca="false">LEFT(K65,2)</f>
        <v>EC</v>
      </c>
      <c r="Y65" s="0" t="str">
        <f aca="false">IF(K65=Z65,"OK","CEEK")</f>
        <v>CEEK</v>
      </c>
      <c r="Z65" s="239" t="s">
        <v>82</v>
      </c>
      <c r="AA65" s="240" t="s">
        <v>307</v>
      </c>
      <c r="AB65" s="240" t="n">
        <v>2</v>
      </c>
      <c r="AC65" s="239" t="n">
        <v>6</v>
      </c>
      <c r="AD65" s="243" t="str">
        <f aca="false">LEFT(Z65,2)</f>
        <v>EA</v>
      </c>
      <c r="AE65" s="233" t="str">
        <f aca="false">IF(AD65="TP","Khusus MABA",IF(AD65="ES","Wajib Semua",IF(AD65="EA","KBK STL",IF(AD65="EB","KBK Elka",IF(AD65="EC","KBK Telkom",IF(AD65="ED","KBK TIK"))))))</f>
        <v>KBK STL</v>
      </c>
      <c r="AF65" s="0" t="n">
        <v>1</v>
      </c>
    </row>
    <row r="66" customFormat="false" ht="15" hidden="false" customHeight="false" outlineLevel="0" collapsed="false">
      <c r="C66" s="16" t="s">
        <v>44</v>
      </c>
      <c r="D66" s="16" t="s">
        <v>362</v>
      </c>
      <c r="E66" s="0" t="n">
        <v>2</v>
      </c>
      <c r="H66" s="0" t="n">
        <v>4</v>
      </c>
      <c r="K66" s="232" t="s">
        <v>99</v>
      </c>
      <c r="L66" s="232" t="s">
        <v>383</v>
      </c>
      <c r="M66" s="232" t="n">
        <v>30</v>
      </c>
      <c r="N66" s="232" t="s">
        <v>287</v>
      </c>
      <c r="O66" s="232" t="n">
        <v>3</v>
      </c>
      <c r="P66" s="232" t="n">
        <v>0</v>
      </c>
      <c r="Q66" s="232" t="n">
        <v>0</v>
      </c>
      <c r="R66" s="232" t="n">
        <v>0</v>
      </c>
      <c r="S66" s="232" t="s">
        <v>288</v>
      </c>
      <c r="T66" s="232" t="s">
        <v>288</v>
      </c>
      <c r="U66" s="232" t="s">
        <v>288</v>
      </c>
      <c r="V66" s="232" t="n">
        <v>0</v>
      </c>
      <c r="W66" s="233" t="n">
        <v>6</v>
      </c>
      <c r="X66" s="233" t="str">
        <f aca="false">LEFT(K66,2)</f>
        <v>EC</v>
      </c>
      <c r="Y66" s="0" t="str">
        <f aca="false">IF(K66=Z66,"OK","CEEK")</f>
        <v>CEEK</v>
      </c>
      <c r="Z66" s="239" t="s">
        <v>83</v>
      </c>
      <c r="AA66" s="240" t="s">
        <v>309</v>
      </c>
      <c r="AB66" s="240" t="n">
        <v>1</v>
      </c>
      <c r="AC66" s="239" t="n">
        <v>6</v>
      </c>
      <c r="AD66" s="243" t="str">
        <f aca="false">LEFT(Z66,2)</f>
        <v>EA</v>
      </c>
      <c r="AE66" s="233" t="str">
        <f aca="false">IF(AD66="TP","Khusus MABA",IF(AD66="ES","Wajib Semua",IF(AD66="EA","KBK STL",IF(AD66="EB","KBK Elka",IF(AD66="EC","KBK Telkom",IF(AD66="ED","KBK TIK"))))))</f>
        <v>KBK STL</v>
      </c>
      <c r="AF66" s="0" t="n">
        <v>1</v>
      </c>
    </row>
    <row r="67" customFormat="false" ht="15" hidden="false" customHeight="false" outlineLevel="0" collapsed="false">
      <c r="C67" s="16" t="s">
        <v>25</v>
      </c>
      <c r="D67" s="16" t="s">
        <v>313</v>
      </c>
      <c r="E67" s="0" t="n">
        <v>2</v>
      </c>
      <c r="H67" s="0" t="n">
        <v>2</v>
      </c>
      <c r="K67" s="232" t="s">
        <v>100</v>
      </c>
      <c r="L67" s="232" t="s">
        <v>385</v>
      </c>
      <c r="M67" s="232" t="n">
        <v>30</v>
      </c>
      <c r="N67" s="232" t="s">
        <v>287</v>
      </c>
      <c r="O67" s="232" t="n">
        <v>0</v>
      </c>
      <c r="P67" s="232" t="n">
        <v>1</v>
      </c>
      <c r="Q67" s="232" t="n">
        <v>0</v>
      </c>
      <c r="R67" s="232" t="n">
        <v>0</v>
      </c>
      <c r="S67" s="232" t="s">
        <v>288</v>
      </c>
      <c r="T67" s="232" t="s">
        <v>288</v>
      </c>
      <c r="U67" s="232" t="s">
        <v>288</v>
      </c>
      <c r="V67" s="232" t="n">
        <v>0</v>
      </c>
      <c r="W67" s="233" t="n">
        <v>6</v>
      </c>
      <c r="X67" s="233" t="str">
        <f aca="false">LEFT(K67,2)</f>
        <v>EC</v>
      </c>
      <c r="Y67" s="0" t="str">
        <f aca="false">IF(K67=Z67,"OK","CEEK")</f>
        <v>CEEK</v>
      </c>
      <c r="Z67" s="239" t="s">
        <v>84</v>
      </c>
      <c r="AA67" s="240" t="s">
        <v>312</v>
      </c>
      <c r="AB67" s="240" t="n">
        <v>3</v>
      </c>
      <c r="AC67" s="239" t="n">
        <v>6</v>
      </c>
      <c r="AD67" s="243" t="str">
        <f aca="false">LEFT(Z67,2)</f>
        <v>EA</v>
      </c>
      <c r="AE67" s="233" t="str">
        <f aca="false">IF(AD67="TP","Khusus MABA",IF(AD67="ES","Wajib Semua",IF(AD67="EA","KBK STL",IF(AD67="EB","KBK Elka",IF(AD67="EC","KBK Telkom",IF(AD67="ED","KBK TIK"))))))</f>
        <v>KBK STL</v>
      </c>
      <c r="AF67" s="0" t="n">
        <v>1</v>
      </c>
    </row>
    <row r="68" customFormat="false" ht="15" hidden="false" customHeight="false" outlineLevel="0" collapsed="false">
      <c r="C68" s="16" t="s">
        <v>32</v>
      </c>
      <c r="D68" s="16" t="s">
        <v>340</v>
      </c>
      <c r="E68" s="0" t="n">
        <v>3</v>
      </c>
      <c r="H68" s="0" t="n">
        <v>3</v>
      </c>
      <c r="K68" s="232" t="s">
        <v>101</v>
      </c>
      <c r="L68" s="232" t="s">
        <v>387</v>
      </c>
      <c r="M68" s="232" t="n">
        <v>30</v>
      </c>
      <c r="N68" s="232" t="s">
        <v>287</v>
      </c>
      <c r="O68" s="232" t="n">
        <v>3</v>
      </c>
      <c r="P68" s="232" t="n">
        <v>0</v>
      </c>
      <c r="Q68" s="232" t="n">
        <v>0</v>
      </c>
      <c r="R68" s="232" t="n">
        <v>0</v>
      </c>
      <c r="S68" s="232" t="s">
        <v>288</v>
      </c>
      <c r="T68" s="232" t="s">
        <v>288</v>
      </c>
      <c r="U68" s="232" t="s">
        <v>288</v>
      </c>
      <c r="V68" s="232" t="n">
        <v>0</v>
      </c>
      <c r="W68" s="233" t="n">
        <v>6</v>
      </c>
      <c r="X68" s="233" t="str">
        <f aca="false">LEFT(K68,2)</f>
        <v>EC</v>
      </c>
      <c r="Y68" s="0" t="str">
        <f aca="false">IF(K68=Z68,"OK","CEEK")</f>
        <v>CEEK</v>
      </c>
      <c r="Z68" s="239" t="s">
        <v>85</v>
      </c>
      <c r="AA68" s="240" t="s">
        <v>315</v>
      </c>
      <c r="AB68" s="240" t="n">
        <v>3</v>
      </c>
      <c r="AC68" s="239" t="n">
        <v>6</v>
      </c>
      <c r="AD68" s="243" t="str">
        <f aca="false">LEFT(Z68,2)</f>
        <v>EA</v>
      </c>
      <c r="AE68" s="233" t="str">
        <f aca="false">IF(AD68="TP","Khusus MABA",IF(AD68="ES","Wajib Semua",IF(AD68="EA","KBK STL",IF(AD68="EB","KBK Elka",IF(AD68="EC","KBK Telkom",IF(AD68="ED","KBK TIK"))))))</f>
        <v>KBK STL</v>
      </c>
      <c r="AF68" s="0" t="n">
        <v>1</v>
      </c>
    </row>
    <row r="69" customFormat="false" ht="15" hidden="false" customHeight="false" outlineLevel="0" collapsed="false">
      <c r="C69" s="16" t="s">
        <v>27</v>
      </c>
      <c r="D69" s="16" t="s">
        <v>316</v>
      </c>
      <c r="E69" s="0" t="n">
        <v>3</v>
      </c>
      <c r="H69" s="0" t="n">
        <v>2</v>
      </c>
      <c r="K69" s="232" t="s">
        <v>207</v>
      </c>
      <c r="L69" s="232" t="s">
        <v>388</v>
      </c>
      <c r="M69" s="232" t="n">
        <v>30</v>
      </c>
      <c r="N69" s="232" t="s">
        <v>320</v>
      </c>
      <c r="O69" s="232" t="n">
        <v>2</v>
      </c>
      <c r="P69" s="232" t="n">
        <v>0</v>
      </c>
      <c r="Q69" s="232" t="n">
        <v>0</v>
      </c>
      <c r="R69" s="232" t="n">
        <v>0</v>
      </c>
      <c r="S69" s="232" t="s">
        <v>288</v>
      </c>
      <c r="T69" s="232" t="s">
        <v>288</v>
      </c>
      <c r="U69" s="232" t="s">
        <v>288</v>
      </c>
      <c r="V69" s="232" t="n">
        <v>0</v>
      </c>
      <c r="W69" s="233" t="n">
        <v>7</v>
      </c>
      <c r="X69" s="233" t="str">
        <f aca="false">LEFT(K69,2)</f>
        <v>EC</v>
      </c>
      <c r="Y69" s="0" t="str">
        <f aca="false">IF(K69=Z69,"OK","CEEK")</f>
        <v>CEEK</v>
      </c>
      <c r="Z69" s="239" t="s">
        <v>86</v>
      </c>
      <c r="AA69" s="240" t="s">
        <v>317</v>
      </c>
      <c r="AB69" s="240" t="n">
        <v>2</v>
      </c>
      <c r="AC69" s="239" t="n">
        <v>6</v>
      </c>
      <c r="AD69" s="243" t="str">
        <f aca="false">LEFT(Z69,2)</f>
        <v>EA</v>
      </c>
      <c r="AE69" s="233" t="str">
        <f aca="false">IF(AD69="TP","Khusus MABA",IF(AD69="ES","Wajib Semua",IF(AD69="EA","KBK STL",IF(AD69="EB","KBK Elka",IF(AD69="EC","KBK Telkom",IF(AD69="ED","KBK TIK"))))))</f>
        <v>KBK STL</v>
      </c>
      <c r="AF69" s="0" t="n">
        <v>1</v>
      </c>
    </row>
    <row r="70" customFormat="false" ht="15" hidden="false" customHeight="false" outlineLevel="0" collapsed="false">
      <c r="C70" s="16" t="s">
        <v>28</v>
      </c>
      <c r="D70" s="16" t="s">
        <v>318</v>
      </c>
      <c r="E70" s="0" t="n">
        <v>2</v>
      </c>
      <c r="H70" s="0" t="n">
        <v>2</v>
      </c>
      <c r="K70" s="232" t="s">
        <v>209</v>
      </c>
      <c r="L70" s="232" t="s">
        <v>414</v>
      </c>
      <c r="M70" s="232" t="n">
        <v>30</v>
      </c>
      <c r="N70" s="232" t="s">
        <v>320</v>
      </c>
      <c r="O70" s="232" t="n">
        <v>2</v>
      </c>
      <c r="P70" s="232" t="n">
        <v>0</v>
      </c>
      <c r="Q70" s="232" t="n">
        <v>0</v>
      </c>
      <c r="R70" s="232" t="n">
        <v>0</v>
      </c>
      <c r="S70" s="232" t="s">
        <v>288</v>
      </c>
      <c r="T70" s="232" t="s">
        <v>288</v>
      </c>
      <c r="U70" s="232" t="s">
        <v>288</v>
      </c>
      <c r="V70" s="232" t="n">
        <v>0</v>
      </c>
      <c r="W70" s="233" t="n">
        <v>6</v>
      </c>
      <c r="X70" s="233" t="str">
        <f aca="false">LEFT(K70,2)</f>
        <v>EC</v>
      </c>
      <c r="Y70" s="0" t="str">
        <f aca="false">IF(K70=Z70,"OK","CEEK")</f>
        <v>CEEK</v>
      </c>
      <c r="Z70" s="239" t="s">
        <v>157</v>
      </c>
      <c r="AA70" s="240" t="s">
        <v>319</v>
      </c>
      <c r="AB70" s="240" t="n">
        <v>2</v>
      </c>
      <c r="AC70" s="239" t="n">
        <v>6</v>
      </c>
      <c r="AD70" s="243" t="str">
        <f aca="false">LEFT(Z70,2)</f>
        <v>EA</v>
      </c>
      <c r="AE70" s="233" t="str">
        <f aca="false">IF(AD70="TP","Khusus MABA",IF(AD70="ES","Wajib Semua",IF(AD70="EA","KBK STL",IF(AD70="EB","KBK Elka",IF(AD70="EC","KBK Telkom",IF(AD70="ED","KBK TIK"))))))</f>
        <v>KBK STL</v>
      </c>
      <c r="AF70" s="0" t="n">
        <v>1</v>
      </c>
    </row>
    <row r="71" customFormat="false" ht="15" hidden="true" customHeight="false" outlineLevel="0" collapsed="false">
      <c r="C71" s="16" t="s">
        <v>33</v>
      </c>
      <c r="D71" s="16" t="s">
        <v>342</v>
      </c>
      <c r="E71" s="0" t="n">
        <v>3</v>
      </c>
      <c r="H71" s="0" t="n">
        <v>3</v>
      </c>
      <c r="K71" s="232" t="s">
        <v>211</v>
      </c>
      <c r="L71" s="232" t="s">
        <v>415</v>
      </c>
      <c r="M71" s="232" t="n">
        <v>30</v>
      </c>
      <c r="N71" s="232" t="s">
        <v>320</v>
      </c>
      <c r="O71" s="232" t="n">
        <v>2</v>
      </c>
      <c r="P71" s="232" t="n">
        <v>0</v>
      </c>
      <c r="Q71" s="232" t="n">
        <v>0</v>
      </c>
      <c r="R71" s="232" t="n">
        <v>0</v>
      </c>
      <c r="S71" s="232" t="s">
        <v>288</v>
      </c>
      <c r="T71" s="232" t="s">
        <v>288</v>
      </c>
      <c r="U71" s="232" t="s">
        <v>288</v>
      </c>
      <c r="V71" s="232" t="n">
        <v>0</v>
      </c>
      <c r="W71" s="233" t="n">
        <v>7</v>
      </c>
      <c r="X71" s="233" t="str">
        <f aca="false">LEFT(K71,2)</f>
        <v>EC</v>
      </c>
      <c r="Y71" s="0" t="str">
        <f aca="false">IF(K71=Z71,"OK","CEEK")</f>
        <v>CEEK</v>
      </c>
      <c r="Z71" s="239" t="s">
        <v>167</v>
      </c>
      <c r="AA71" s="240" t="s">
        <v>335</v>
      </c>
      <c r="AB71" s="240" t="n">
        <v>2</v>
      </c>
      <c r="AC71" s="239" t="n">
        <v>6</v>
      </c>
      <c r="AD71" s="243" t="str">
        <f aca="false">LEFT(Z71,2)</f>
        <v>EA</v>
      </c>
      <c r="AE71" s="233" t="str">
        <f aca="false">IF(AD71="TP","Khusus MABA",IF(AD71="ES","Wajib Semua",IF(AD71="EA","KBK STL",IF(AD71="EB","KBK Elka",IF(AD71="EC","KBK Telkom",IF(AD71="ED","KBK TIK"))))))</f>
        <v>KBK STL</v>
      </c>
      <c r="AF71" s="0" t="n">
        <v>0</v>
      </c>
    </row>
    <row r="72" customFormat="false" ht="15" hidden="false" customHeight="false" outlineLevel="0" collapsed="false">
      <c r="C72" s="16" t="s">
        <v>24</v>
      </c>
      <c r="D72" s="16" t="s">
        <v>321</v>
      </c>
      <c r="E72" s="0" t="n">
        <v>2</v>
      </c>
      <c r="H72" s="0" t="n">
        <v>2</v>
      </c>
      <c r="K72" s="232" t="s">
        <v>213</v>
      </c>
      <c r="L72" s="232" t="s">
        <v>416</v>
      </c>
      <c r="M72" s="232" t="n">
        <v>30</v>
      </c>
      <c r="N72" s="232" t="s">
        <v>320</v>
      </c>
      <c r="O72" s="232" t="n">
        <v>2</v>
      </c>
      <c r="P72" s="232" t="n">
        <v>0</v>
      </c>
      <c r="Q72" s="232" t="n">
        <v>0</v>
      </c>
      <c r="R72" s="232" t="n">
        <v>0</v>
      </c>
      <c r="S72" s="232" t="s">
        <v>288</v>
      </c>
      <c r="T72" s="232" t="s">
        <v>288</v>
      </c>
      <c r="U72" s="232" t="s">
        <v>288</v>
      </c>
      <c r="V72" s="232" t="n">
        <v>0</v>
      </c>
      <c r="W72" s="233" t="n">
        <v>6</v>
      </c>
      <c r="X72" s="233" t="str">
        <f aca="false">LEFT(K72,2)</f>
        <v>EC</v>
      </c>
      <c r="Y72" s="0" t="str">
        <f aca="false">IF(K72=Z72,"OK","CEEK")</f>
        <v>CEEK</v>
      </c>
      <c r="Z72" s="239" t="s">
        <v>171</v>
      </c>
      <c r="AA72" s="240" t="s">
        <v>172</v>
      </c>
      <c r="AB72" s="240" t="n">
        <v>2</v>
      </c>
      <c r="AC72" s="239" t="n">
        <v>6</v>
      </c>
      <c r="AD72" s="243" t="str">
        <f aca="false">LEFT(Z72,2)</f>
        <v>EA</v>
      </c>
      <c r="AE72" s="233" t="str">
        <f aca="false">IF(AD72="TP","Khusus MABA",IF(AD72="ES","Wajib Semua",IF(AD72="EA","KBK STL",IF(AD72="EB","KBK Elka",IF(AD72="EC","KBK Telkom",IF(AD72="ED","KBK TIK"))))))</f>
        <v>KBK STL</v>
      </c>
      <c r="AF72" s="0" t="n">
        <v>1</v>
      </c>
    </row>
    <row r="73" customFormat="false" ht="15" hidden="false" customHeight="false" outlineLevel="0" collapsed="false">
      <c r="C73" s="16" t="s">
        <v>39</v>
      </c>
      <c r="D73" s="16" t="s">
        <v>345</v>
      </c>
      <c r="E73" s="0" t="n">
        <v>1</v>
      </c>
      <c r="H73" s="0" t="n">
        <v>3</v>
      </c>
      <c r="K73" s="232" t="s">
        <v>215</v>
      </c>
      <c r="L73" s="232" t="s">
        <v>392</v>
      </c>
      <c r="M73" s="232" t="n">
        <v>30</v>
      </c>
      <c r="N73" s="232" t="s">
        <v>320</v>
      </c>
      <c r="O73" s="232" t="n">
        <v>2</v>
      </c>
      <c r="P73" s="232" t="n">
        <v>0</v>
      </c>
      <c r="Q73" s="232" t="n">
        <v>0</v>
      </c>
      <c r="R73" s="232" t="n">
        <v>0</v>
      </c>
      <c r="S73" s="232" t="s">
        <v>288</v>
      </c>
      <c r="T73" s="232" t="s">
        <v>288</v>
      </c>
      <c r="U73" s="232" t="s">
        <v>288</v>
      </c>
      <c r="V73" s="232" t="n">
        <v>0</v>
      </c>
      <c r="W73" s="233" t="n">
        <v>7</v>
      </c>
      <c r="X73" s="233" t="str">
        <f aca="false">LEFT(K73,2)</f>
        <v>EC</v>
      </c>
      <c r="Y73" s="0" t="str">
        <f aca="false">IF(K73=Z73,"OK","CEEK")</f>
        <v>CEEK</v>
      </c>
      <c r="Z73" s="239" t="s">
        <v>173</v>
      </c>
      <c r="AA73" s="240" t="s">
        <v>174</v>
      </c>
      <c r="AB73" s="240" t="n">
        <v>2</v>
      </c>
      <c r="AC73" s="239" t="n">
        <v>6</v>
      </c>
      <c r="AD73" s="243" t="str">
        <f aca="false">LEFT(Z73,2)</f>
        <v>EA</v>
      </c>
      <c r="AE73" s="233" t="str">
        <f aca="false">IF(AD73="TP","Khusus MABA",IF(AD73="ES","Wajib Semua",IF(AD73="EA","KBK STL",IF(AD73="EB","KBK Elka",IF(AD73="EC","KBK Telkom",IF(AD73="ED","KBK TIK"))))))</f>
        <v>KBK STL</v>
      </c>
      <c r="AF73" s="0" t="n">
        <v>1</v>
      </c>
    </row>
    <row r="74" customFormat="false" ht="15" hidden="false" customHeight="false" outlineLevel="0" collapsed="false">
      <c r="C74" s="16" t="s">
        <v>38</v>
      </c>
      <c r="D74" s="16" t="s">
        <v>348</v>
      </c>
      <c r="E74" s="0" t="n">
        <v>2</v>
      </c>
      <c r="H74" s="0" t="n">
        <v>3</v>
      </c>
      <c r="K74" s="232" t="s">
        <v>217</v>
      </c>
      <c r="L74" s="232" t="s">
        <v>396</v>
      </c>
      <c r="M74" s="232" t="n">
        <v>30</v>
      </c>
      <c r="N74" s="232" t="s">
        <v>320</v>
      </c>
      <c r="O74" s="232" t="n">
        <v>2</v>
      </c>
      <c r="P74" s="232" t="n">
        <v>0</v>
      </c>
      <c r="Q74" s="232" t="n">
        <v>0</v>
      </c>
      <c r="R74" s="232" t="n">
        <v>0</v>
      </c>
      <c r="S74" s="232" t="s">
        <v>288</v>
      </c>
      <c r="T74" s="232" t="s">
        <v>288</v>
      </c>
      <c r="U74" s="232" t="s">
        <v>288</v>
      </c>
      <c r="V74" s="232" t="n">
        <v>0</v>
      </c>
      <c r="W74" s="233" t="n">
        <v>7</v>
      </c>
      <c r="X74" s="233" t="str">
        <f aca="false">LEFT(K74,2)</f>
        <v>EC</v>
      </c>
      <c r="Y74" s="0" t="str">
        <f aca="false">IF(K74=Z74,"OK","CEEK")</f>
        <v>CEEK</v>
      </c>
      <c r="Z74" s="239" t="s">
        <v>177</v>
      </c>
      <c r="AA74" s="240" t="s">
        <v>347</v>
      </c>
      <c r="AB74" s="240" t="n">
        <v>2</v>
      </c>
      <c r="AC74" s="239" t="n">
        <v>6</v>
      </c>
      <c r="AD74" s="243" t="str">
        <f aca="false">LEFT(Z74,2)</f>
        <v>EA</v>
      </c>
      <c r="AE74" s="233" t="str">
        <f aca="false">IF(AD74="TP","Khusus MABA",IF(AD74="ES","Wajib Semua",IF(AD74="EA","KBK STL",IF(AD74="EB","KBK Elka",IF(AD74="EC","KBK Telkom",IF(AD74="ED","KBK TIK"))))))</f>
        <v>KBK STL</v>
      </c>
      <c r="AF74" s="0" t="n">
        <v>1</v>
      </c>
    </row>
    <row r="75" customFormat="false" ht="15" hidden="false" customHeight="false" outlineLevel="0" collapsed="false">
      <c r="C75" s="16" t="s">
        <v>41</v>
      </c>
      <c r="D75" s="16" t="s">
        <v>364</v>
      </c>
      <c r="E75" s="0" t="n">
        <v>1</v>
      </c>
      <c r="H75" s="0" t="n">
        <v>4</v>
      </c>
      <c r="K75" s="232" t="s">
        <v>218</v>
      </c>
      <c r="L75" s="232" t="s">
        <v>172</v>
      </c>
      <c r="M75" s="232" t="n">
        <v>30</v>
      </c>
      <c r="N75" s="232" t="s">
        <v>320</v>
      </c>
      <c r="O75" s="232" t="n">
        <v>2</v>
      </c>
      <c r="P75" s="232" t="n">
        <v>0</v>
      </c>
      <c r="Q75" s="232" t="n">
        <v>0</v>
      </c>
      <c r="R75" s="232" t="n">
        <v>0</v>
      </c>
      <c r="S75" s="232" t="s">
        <v>288</v>
      </c>
      <c r="T75" s="232" t="s">
        <v>288</v>
      </c>
      <c r="U75" s="232" t="s">
        <v>288</v>
      </c>
      <c r="V75" s="232" t="n">
        <v>0</v>
      </c>
      <c r="W75" s="233" t="n">
        <v>6</v>
      </c>
      <c r="X75" s="233" t="str">
        <f aca="false">LEFT(K75,2)</f>
        <v>EC</v>
      </c>
      <c r="Y75" s="0" t="str">
        <f aca="false">IF(K75=Z75,"OK","CEEK")</f>
        <v>CEEK</v>
      </c>
      <c r="Z75" s="239" t="s">
        <v>179</v>
      </c>
      <c r="AA75" s="240" t="s">
        <v>350</v>
      </c>
      <c r="AB75" s="240" t="n">
        <v>2</v>
      </c>
      <c r="AC75" s="239" t="n">
        <v>6</v>
      </c>
      <c r="AD75" s="243" t="str">
        <f aca="false">LEFT(Z75,2)</f>
        <v>EA</v>
      </c>
      <c r="AE75" s="233" t="str">
        <f aca="false">IF(AD75="TP","Khusus MABA",IF(AD75="ES","Wajib Semua",IF(AD75="EA","KBK STL",IF(AD75="EB","KBK Elka",IF(AD75="EC","KBK Telkom",IF(AD75="ED","KBK TIK"))))))</f>
        <v>KBK STL</v>
      </c>
      <c r="AF75" s="0" t="n">
        <v>1</v>
      </c>
    </row>
    <row r="76" customFormat="false" ht="15" hidden="false" customHeight="false" outlineLevel="0" collapsed="false">
      <c r="C76" s="16" t="s">
        <v>26</v>
      </c>
      <c r="D76" s="16" t="s">
        <v>324</v>
      </c>
      <c r="E76" s="0" t="n">
        <v>3</v>
      </c>
      <c r="H76" s="0" t="n">
        <v>2</v>
      </c>
      <c r="K76" s="232" t="s">
        <v>219</v>
      </c>
      <c r="L76" s="232" t="s">
        <v>417</v>
      </c>
      <c r="M76" s="232" t="n">
        <v>30</v>
      </c>
      <c r="N76" s="232" t="s">
        <v>320</v>
      </c>
      <c r="O76" s="232" t="n">
        <v>2</v>
      </c>
      <c r="P76" s="232" t="n">
        <v>0</v>
      </c>
      <c r="Q76" s="232" t="n">
        <v>0</v>
      </c>
      <c r="R76" s="232" t="n">
        <v>0</v>
      </c>
      <c r="S76" s="232" t="s">
        <v>288</v>
      </c>
      <c r="T76" s="232" t="s">
        <v>288</v>
      </c>
      <c r="U76" s="232" t="s">
        <v>288</v>
      </c>
      <c r="V76" s="232" t="n">
        <v>0</v>
      </c>
      <c r="W76" s="233" t="n">
        <v>6</v>
      </c>
      <c r="X76" s="233" t="str">
        <f aca="false">LEFT(K76,2)</f>
        <v>EC</v>
      </c>
      <c r="Y76" s="0" t="str">
        <f aca="false">IF(K76=Z76,"OK","CEEK")</f>
        <v>CEEK</v>
      </c>
      <c r="Z76" s="239" t="s">
        <v>181</v>
      </c>
      <c r="AA76" s="240" t="s">
        <v>353</v>
      </c>
      <c r="AB76" s="240" t="n">
        <v>2</v>
      </c>
      <c r="AC76" s="239" t="n">
        <v>6</v>
      </c>
      <c r="AD76" s="243" t="str">
        <f aca="false">LEFT(Z76,2)</f>
        <v>EA</v>
      </c>
      <c r="AE76" s="233" t="str">
        <f aca="false">IF(AD76="TP","Khusus MABA",IF(AD76="ES","Wajib Semua",IF(AD76="EA","KBK STL",IF(AD76="EB","KBK Elka",IF(AD76="EC","KBK Telkom",IF(AD76="ED","KBK TIK"))))))</f>
        <v>KBK STL</v>
      </c>
      <c r="AF76" s="0" t="n">
        <v>1</v>
      </c>
    </row>
    <row r="77" customFormat="false" ht="15" hidden="false" customHeight="false" outlineLevel="0" collapsed="false">
      <c r="C77" s="16" t="s">
        <v>31</v>
      </c>
      <c r="D77" s="16" t="s">
        <v>351</v>
      </c>
      <c r="E77" s="0" t="n">
        <v>3</v>
      </c>
      <c r="H77" s="0" t="n">
        <v>3</v>
      </c>
      <c r="K77" s="232" t="s">
        <v>221</v>
      </c>
      <c r="L77" s="232" t="s">
        <v>418</v>
      </c>
      <c r="M77" s="232" t="n">
        <v>30</v>
      </c>
      <c r="N77" s="232" t="s">
        <v>320</v>
      </c>
      <c r="O77" s="232" t="n">
        <v>2</v>
      </c>
      <c r="P77" s="232" t="n">
        <v>0</v>
      </c>
      <c r="Q77" s="232" t="n">
        <v>0</v>
      </c>
      <c r="R77" s="232" t="n">
        <v>0</v>
      </c>
      <c r="S77" s="232" t="s">
        <v>288</v>
      </c>
      <c r="T77" s="232" t="s">
        <v>288</v>
      </c>
      <c r="U77" s="232" t="s">
        <v>288</v>
      </c>
      <c r="V77" s="232" t="n">
        <v>0</v>
      </c>
      <c r="W77" s="233" t="n">
        <v>7</v>
      </c>
      <c r="X77" s="233" t="str">
        <f aca="false">LEFT(K77,2)</f>
        <v>EC</v>
      </c>
      <c r="Y77" s="0" t="str">
        <f aca="false">IF(K77=Z77,"OK","CEEK")</f>
        <v>CEEK</v>
      </c>
      <c r="Z77" s="239" t="s">
        <v>89</v>
      </c>
      <c r="AA77" s="240" t="s">
        <v>352</v>
      </c>
      <c r="AB77" s="240" t="n">
        <v>2</v>
      </c>
      <c r="AC77" s="239" t="n">
        <v>6</v>
      </c>
      <c r="AD77" s="243" t="str">
        <f aca="false">LEFT(Z77,2)</f>
        <v>EB</v>
      </c>
      <c r="AE77" s="233" t="str">
        <f aca="false">IF(AD77="TP","Khusus MABA",IF(AD77="ES","Wajib Semua",IF(AD77="EA","KBK STL",IF(AD77="EB","KBK Elka",IF(AD77="EC","KBK Telkom",IF(AD77="ED","KBK TIK"))))))</f>
        <v>KBK Elka</v>
      </c>
      <c r="AF77" s="0" t="n">
        <v>1</v>
      </c>
    </row>
    <row r="78" customFormat="false" ht="15" hidden="false" customHeight="false" outlineLevel="0" collapsed="false">
      <c r="C78" s="16" t="s">
        <v>45</v>
      </c>
      <c r="D78" s="16" t="s">
        <v>366</v>
      </c>
      <c r="E78" s="0" t="n">
        <v>2</v>
      </c>
      <c r="H78" s="0" t="n">
        <v>4</v>
      </c>
      <c r="K78" s="232" t="s">
        <v>223</v>
      </c>
      <c r="L78" s="232" t="s">
        <v>419</v>
      </c>
      <c r="M78" s="232" t="n">
        <v>30</v>
      </c>
      <c r="N78" s="232" t="s">
        <v>320</v>
      </c>
      <c r="O78" s="232" t="n">
        <v>2</v>
      </c>
      <c r="P78" s="232" t="n">
        <v>0</v>
      </c>
      <c r="Q78" s="232" t="n">
        <v>0</v>
      </c>
      <c r="R78" s="232" t="n">
        <v>0</v>
      </c>
      <c r="S78" s="232" t="s">
        <v>288</v>
      </c>
      <c r="T78" s="232" t="s">
        <v>288</v>
      </c>
      <c r="U78" s="232" t="s">
        <v>288</v>
      </c>
      <c r="V78" s="232" t="n">
        <v>0</v>
      </c>
      <c r="W78" s="233" t="n">
        <v>7</v>
      </c>
      <c r="X78" s="233" t="str">
        <f aca="false">LEFT(K78,2)</f>
        <v>EC</v>
      </c>
      <c r="Y78" s="0" t="str">
        <f aca="false">IF(K78=Z78,"OK","CEEK")</f>
        <v>CEEK</v>
      </c>
      <c r="Z78" s="239" t="s">
        <v>90</v>
      </c>
      <c r="AA78" s="240" t="s">
        <v>355</v>
      </c>
      <c r="AB78" s="240" t="n">
        <v>1</v>
      </c>
      <c r="AC78" s="239" t="n">
        <v>6</v>
      </c>
      <c r="AD78" s="243" t="str">
        <f aca="false">LEFT(Z78,2)</f>
        <v>EB</v>
      </c>
      <c r="AE78" s="233" t="str">
        <f aca="false">IF(AD78="TP","Khusus MABA",IF(AD78="ES","Wajib Semua",IF(AD78="EA","KBK STL",IF(AD78="EB","KBK Elka",IF(AD78="EC","KBK Telkom",IF(AD78="ED","KBK TIK"))))))</f>
        <v>KBK Elka</v>
      </c>
      <c r="AF78" s="0" t="n">
        <v>1</v>
      </c>
    </row>
    <row r="79" customFormat="false" ht="15" hidden="false" customHeight="false" outlineLevel="0" collapsed="false">
      <c r="C79" s="16" t="s">
        <v>47</v>
      </c>
      <c r="D79" s="16" t="s">
        <v>368</v>
      </c>
      <c r="E79" s="0" t="n">
        <v>3</v>
      </c>
      <c r="H79" s="0" t="n">
        <v>4</v>
      </c>
      <c r="K79" s="232" t="s">
        <v>225</v>
      </c>
      <c r="L79" s="232" t="s">
        <v>420</v>
      </c>
      <c r="M79" s="232" t="n">
        <v>30</v>
      </c>
      <c r="N79" s="232" t="s">
        <v>320</v>
      </c>
      <c r="O79" s="232" t="n">
        <v>2</v>
      </c>
      <c r="P79" s="232" t="n">
        <v>0</v>
      </c>
      <c r="Q79" s="232" t="n">
        <v>0</v>
      </c>
      <c r="R79" s="232" t="n">
        <v>0</v>
      </c>
      <c r="S79" s="232" t="s">
        <v>288</v>
      </c>
      <c r="T79" s="232" t="s">
        <v>288</v>
      </c>
      <c r="U79" s="232" t="s">
        <v>288</v>
      </c>
      <c r="V79" s="232" t="n">
        <v>0</v>
      </c>
      <c r="W79" s="233" t="n">
        <v>6</v>
      </c>
      <c r="X79" s="233" t="str">
        <f aca="false">LEFT(K79,2)</f>
        <v>EC</v>
      </c>
      <c r="Y79" s="0" t="str">
        <f aca="false">IF(K79=Z79,"OK","CEEK")</f>
        <v>CEEK</v>
      </c>
      <c r="Z79" s="234" t="s">
        <v>91</v>
      </c>
      <c r="AA79" s="235" t="s">
        <v>357</v>
      </c>
      <c r="AB79" s="235" t="n">
        <v>3</v>
      </c>
      <c r="AC79" s="234" t="n">
        <v>6</v>
      </c>
      <c r="AD79" s="233" t="str">
        <f aca="false">LEFT(Z79,2)</f>
        <v>EB</v>
      </c>
      <c r="AE79" s="236" t="str">
        <f aca="false">IF(AD79="TP","Khusus MABA",IF(AD79="ES","Wajib Semua",IF(AD79="EA","KBK STL",IF(AD79="EB","KBK Elka",IF(AD79="EC","KBK Telkom",IF(AD79="ED","KBK TIK"))))))</f>
        <v>KBK Elka</v>
      </c>
      <c r="AF79" s="0" t="n">
        <v>1</v>
      </c>
    </row>
    <row r="80" customFormat="false" ht="15" hidden="false" customHeight="false" outlineLevel="0" collapsed="false">
      <c r="C80" s="16" t="s">
        <v>34</v>
      </c>
      <c r="D80" s="16" t="s">
        <v>354</v>
      </c>
      <c r="E80" s="0" t="n">
        <v>2</v>
      </c>
      <c r="H80" s="0" t="n">
        <v>3</v>
      </c>
      <c r="K80" s="232" t="s">
        <v>227</v>
      </c>
      <c r="L80" s="232" t="s">
        <v>421</v>
      </c>
      <c r="M80" s="232" t="n">
        <v>30</v>
      </c>
      <c r="N80" s="232" t="s">
        <v>320</v>
      </c>
      <c r="O80" s="232" t="n">
        <v>2</v>
      </c>
      <c r="P80" s="232" t="n">
        <v>0</v>
      </c>
      <c r="Q80" s="232" t="n">
        <v>0</v>
      </c>
      <c r="R80" s="232" t="n">
        <v>0</v>
      </c>
      <c r="S80" s="232" t="s">
        <v>288</v>
      </c>
      <c r="T80" s="232" t="s">
        <v>288</v>
      </c>
      <c r="U80" s="232" t="s">
        <v>288</v>
      </c>
      <c r="V80" s="232" t="n">
        <v>0</v>
      </c>
      <c r="W80" s="233" t="n">
        <v>6</v>
      </c>
      <c r="X80" s="233" t="str">
        <f aca="false">LEFT(K80,2)</f>
        <v>EC</v>
      </c>
      <c r="Y80" s="0" t="str">
        <f aca="false">IF(K80=Z80,"OK","CEEK")</f>
        <v>CEEK</v>
      </c>
      <c r="Z80" s="239" t="s">
        <v>92</v>
      </c>
      <c r="AA80" s="240" t="s">
        <v>359</v>
      </c>
      <c r="AB80" s="240" t="n">
        <v>3</v>
      </c>
      <c r="AC80" s="239" t="n">
        <v>6</v>
      </c>
      <c r="AD80" s="233" t="str">
        <f aca="false">LEFT(Z80,2)</f>
        <v>EB</v>
      </c>
      <c r="AE80" s="236" t="str">
        <f aca="false">IF(AD80="TP","Khusus MABA",IF(AD80="ES","Wajib Semua",IF(AD80="EA","KBK STL",IF(AD80="EB","KBK Elka",IF(AD80="EC","KBK Telkom",IF(AD80="ED","KBK TIK"))))))</f>
        <v>KBK Elka</v>
      </c>
      <c r="AF80" s="0" t="n">
        <v>1</v>
      </c>
    </row>
    <row r="81" customFormat="false" ht="15" hidden="false" customHeight="false" outlineLevel="0" collapsed="false">
      <c r="C81" s="16" t="s">
        <v>35</v>
      </c>
      <c r="D81" s="16" t="s">
        <v>356</v>
      </c>
      <c r="E81" s="0" t="n">
        <v>1</v>
      </c>
      <c r="H81" s="0" t="n">
        <v>3</v>
      </c>
      <c r="K81" s="232" t="s">
        <v>229</v>
      </c>
      <c r="L81" s="232" t="s">
        <v>422</v>
      </c>
      <c r="M81" s="232" t="n">
        <v>30</v>
      </c>
      <c r="N81" s="232" t="s">
        <v>320</v>
      </c>
      <c r="O81" s="232" t="n">
        <v>2</v>
      </c>
      <c r="P81" s="232" t="n">
        <v>0</v>
      </c>
      <c r="Q81" s="232" t="n">
        <v>0</v>
      </c>
      <c r="R81" s="232" t="n">
        <v>0</v>
      </c>
      <c r="S81" s="232" t="s">
        <v>288</v>
      </c>
      <c r="T81" s="232" t="s">
        <v>288</v>
      </c>
      <c r="U81" s="232" t="s">
        <v>288</v>
      </c>
      <c r="V81" s="232" t="n">
        <v>0</v>
      </c>
      <c r="W81" s="233" t="n">
        <v>6</v>
      </c>
      <c r="X81" s="233" t="str">
        <f aca="false">LEFT(K81,2)</f>
        <v>EC</v>
      </c>
      <c r="Y81" s="0" t="str">
        <f aca="false">IF(K81=Z81,"OK","CEEK")</f>
        <v>CEEK</v>
      </c>
      <c r="Z81" s="241" t="s">
        <v>93</v>
      </c>
      <c r="AA81" s="242" t="s">
        <v>361</v>
      </c>
      <c r="AB81" s="242" t="n">
        <v>3</v>
      </c>
      <c r="AC81" s="241" t="n">
        <v>6</v>
      </c>
      <c r="AD81" s="233" t="str">
        <f aca="false">LEFT(Z81,2)</f>
        <v>EB</v>
      </c>
      <c r="AE81" s="236" t="str">
        <f aca="false">IF(AD81="TP","Khusus MABA",IF(AD81="ES","Wajib Semua",IF(AD81="EA","KBK STL",IF(AD81="EB","KBK Elka",IF(AD81="EC","KBK Telkom",IF(AD81="ED","KBK TIK"))))))</f>
        <v>KBK Elka</v>
      </c>
      <c r="AF81" s="0" t="n">
        <v>1</v>
      </c>
    </row>
    <row r="82" customFormat="false" ht="15" hidden="false" customHeight="false" outlineLevel="0" collapsed="false">
      <c r="C82" s="16" t="s">
        <v>36</v>
      </c>
      <c r="D82" s="16" t="s">
        <v>358</v>
      </c>
      <c r="E82" s="0" t="n">
        <v>3</v>
      </c>
      <c r="H82" s="0" t="n">
        <v>3</v>
      </c>
      <c r="K82" s="232" t="s">
        <v>128</v>
      </c>
      <c r="L82" s="232" t="s">
        <v>389</v>
      </c>
      <c r="M82" s="232" t="n">
        <v>30</v>
      </c>
      <c r="N82" s="232" t="s">
        <v>287</v>
      </c>
      <c r="O82" s="232" t="n">
        <v>2</v>
      </c>
      <c r="P82" s="232" t="n">
        <v>0</v>
      </c>
      <c r="Q82" s="232" t="n">
        <v>0</v>
      </c>
      <c r="R82" s="232" t="n">
        <v>0</v>
      </c>
      <c r="S82" s="232" t="s">
        <v>288</v>
      </c>
      <c r="T82" s="232" t="s">
        <v>288</v>
      </c>
      <c r="U82" s="232" t="s">
        <v>288</v>
      </c>
      <c r="V82" s="232" t="n">
        <v>0</v>
      </c>
      <c r="W82" s="233" t="n">
        <v>7</v>
      </c>
      <c r="X82" s="233" t="str">
        <f aca="false">LEFT(K82,2)</f>
        <v>EC</v>
      </c>
      <c r="Y82" s="0" t="str">
        <f aca="false">IF(K82=Z82,"OK","CEEK")</f>
        <v>CEEK</v>
      </c>
      <c r="Z82" s="239" t="s">
        <v>185</v>
      </c>
      <c r="AA82" s="240" t="s">
        <v>384</v>
      </c>
      <c r="AB82" s="240" t="n">
        <v>2</v>
      </c>
      <c r="AC82" s="239" t="n">
        <v>6</v>
      </c>
      <c r="AD82" s="243" t="str">
        <f aca="false">LEFT(Z82,2)</f>
        <v>EB</v>
      </c>
      <c r="AE82" s="233" t="str">
        <f aca="false">IF(AD82="TP","Khusus MABA",IF(AD82="ES","Wajib Semua",IF(AD82="EA","KBK STL",IF(AD82="EB","KBK Elka",IF(AD82="EC","KBK Telkom",IF(AD82="ED","KBK TIK"))))))</f>
        <v>KBK Elka</v>
      </c>
      <c r="AF82" s="0" t="n">
        <v>1</v>
      </c>
    </row>
    <row r="83" customFormat="false" ht="15" hidden="false" customHeight="false" outlineLevel="0" collapsed="false">
      <c r="C83" s="16" t="s">
        <v>37</v>
      </c>
      <c r="D83" s="16" t="s">
        <v>360</v>
      </c>
      <c r="E83" s="0" t="n">
        <v>3</v>
      </c>
      <c r="H83" s="0" t="n">
        <v>3</v>
      </c>
      <c r="K83" s="232" t="s">
        <v>129</v>
      </c>
      <c r="L83" s="232" t="s">
        <v>391</v>
      </c>
      <c r="M83" s="232" t="n">
        <v>30</v>
      </c>
      <c r="N83" s="232" t="s">
        <v>287</v>
      </c>
      <c r="O83" s="232" t="n">
        <v>2</v>
      </c>
      <c r="P83" s="232" t="n">
        <v>0</v>
      </c>
      <c r="Q83" s="232" t="n">
        <v>0</v>
      </c>
      <c r="R83" s="232" t="n">
        <v>0</v>
      </c>
      <c r="S83" s="232" t="s">
        <v>288</v>
      </c>
      <c r="T83" s="232" t="s">
        <v>288</v>
      </c>
      <c r="U83" s="232" t="s">
        <v>288</v>
      </c>
      <c r="V83" s="232" t="n">
        <v>0</v>
      </c>
      <c r="W83" s="233" t="n">
        <v>7</v>
      </c>
      <c r="X83" s="233" t="str">
        <f aca="false">LEFT(K83,2)</f>
        <v>EC</v>
      </c>
      <c r="Y83" s="0" t="str">
        <f aca="false">IF(K83=Z83,"OK","CEEK")</f>
        <v>CEEK</v>
      </c>
      <c r="Z83" s="239" t="s">
        <v>196</v>
      </c>
      <c r="AA83" s="240" t="s">
        <v>394</v>
      </c>
      <c r="AB83" s="240" t="n">
        <v>2</v>
      </c>
      <c r="AC83" s="239" t="n">
        <v>6</v>
      </c>
      <c r="AD83" s="243" t="str">
        <f aca="false">LEFT(Z83,2)</f>
        <v>EB</v>
      </c>
      <c r="AE83" s="233" t="str">
        <f aca="false">IF(AD83="TP","Khusus MABA",IF(AD83="ES","Wajib Semua",IF(AD83="EA","KBK STL",IF(AD83="EB","KBK Elka",IF(AD83="EC","KBK Telkom",IF(AD83="ED","KBK TIK"))))))</f>
        <v>KBK Elka</v>
      </c>
      <c r="AF83" s="0" t="n">
        <v>1</v>
      </c>
    </row>
    <row r="84" customFormat="false" ht="15" hidden="false" customHeight="false" outlineLevel="0" collapsed="false">
      <c r="C84" s="16" t="s">
        <v>29</v>
      </c>
      <c r="D84" s="16" t="s">
        <v>327</v>
      </c>
      <c r="E84" s="0" t="n">
        <v>1</v>
      </c>
      <c r="H84" s="0" t="n">
        <v>2</v>
      </c>
      <c r="K84" s="232" t="s">
        <v>130</v>
      </c>
      <c r="L84" s="232" t="s">
        <v>393</v>
      </c>
      <c r="M84" s="232" t="n">
        <v>30</v>
      </c>
      <c r="N84" s="232" t="s">
        <v>287</v>
      </c>
      <c r="O84" s="232" t="n">
        <v>2</v>
      </c>
      <c r="P84" s="232" t="n">
        <v>0</v>
      </c>
      <c r="Q84" s="232" t="n">
        <v>0</v>
      </c>
      <c r="R84" s="232" t="n">
        <v>0</v>
      </c>
      <c r="S84" s="232" t="s">
        <v>288</v>
      </c>
      <c r="T84" s="232" t="s">
        <v>288</v>
      </c>
      <c r="U84" s="232" t="s">
        <v>288</v>
      </c>
      <c r="V84" s="232" t="n">
        <v>0</v>
      </c>
      <c r="W84" s="233" t="n">
        <v>7</v>
      </c>
      <c r="X84" s="233" t="str">
        <f aca="false">LEFT(K84,2)</f>
        <v>EC</v>
      </c>
      <c r="Y84" s="0" t="str">
        <f aca="false">IF(K84=Z84,"OK","CEEK")</f>
        <v>CEEK</v>
      </c>
      <c r="Z84" s="239" t="s">
        <v>200</v>
      </c>
      <c r="AA84" s="240" t="s">
        <v>172</v>
      </c>
      <c r="AB84" s="240" t="n">
        <v>2</v>
      </c>
      <c r="AC84" s="239" t="n">
        <v>6</v>
      </c>
      <c r="AD84" s="243" t="str">
        <f aca="false">LEFT(Z84,2)</f>
        <v>EB</v>
      </c>
      <c r="AE84" s="233" t="str">
        <f aca="false">IF(AD84="TP","Khusus MABA",IF(AD84="ES","Wajib Semua",IF(AD84="EA","KBK STL",IF(AD84="EB","KBK Elka",IF(AD84="EC","KBK Telkom",IF(AD84="ED","KBK TIK"))))))</f>
        <v>KBK Elka</v>
      </c>
      <c r="AF84" s="0" t="n">
        <v>1</v>
      </c>
    </row>
    <row r="85" customFormat="false" ht="15" hidden="false" customHeight="false" outlineLevel="0" collapsed="false">
      <c r="C85" s="16" t="s">
        <v>42</v>
      </c>
      <c r="D85" s="16" t="s">
        <v>370</v>
      </c>
      <c r="E85" s="0" t="n">
        <v>3</v>
      </c>
      <c r="H85" s="0" t="n">
        <v>4</v>
      </c>
      <c r="K85" s="232" t="s">
        <v>131</v>
      </c>
      <c r="L85" s="232" t="s">
        <v>395</v>
      </c>
      <c r="M85" s="232" t="n">
        <v>30</v>
      </c>
      <c r="N85" s="232" t="s">
        <v>287</v>
      </c>
      <c r="O85" s="232" t="n">
        <v>0</v>
      </c>
      <c r="P85" s="232" t="n">
        <v>1</v>
      </c>
      <c r="Q85" s="232" t="n">
        <v>0</v>
      </c>
      <c r="R85" s="232" t="n">
        <v>0</v>
      </c>
      <c r="S85" s="232" t="s">
        <v>288</v>
      </c>
      <c r="T85" s="232" t="s">
        <v>288</v>
      </c>
      <c r="U85" s="232" t="s">
        <v>288</v>
      </c>
      <c r="V85" s="232" t="n">
        <v>0</v>
      </c>
      <c r="W85" s="233" t="n">
        <v>7</v>
      </c>
      <c r="X85" s="233" t="str">
        <f aca="false">LEFT(K85,2)</f>
        <v>EC</v>
      </c>
      <c r="Y85" s="0" t="str">
        <f aca="false">IF(K85=Z85,"OK","CEEK")</f>
        <v>CEEK</v>
      </c>
      <c r="Z85" s="239" t="s">
        <v>201</v>
      </c>
      <c r="AA85" s="240" t="s">
        <v>399</v>
      </c>
      <c r="AB85" s="240" t="n">
        <v>2</v>
      </c>
      <c r="AC85" s="239" t="n">
        <v>6</v>
      </c>
      <c r="AD85" s="243" t="str">
        <f aca="false">LEFT(Z85,2)</f>
        <v>EB</v>
      </c>
      <c r="AE85" s="233" t="str">
        <f aca="false">IF(AD85="TP","Khusus MABA",IF(AD85="ES","Wajib Semua",IF(AD85="EA","KBK STL",IF(AD85="EB","KBK Elka",IF(AD85="EC","KBK Telkom",IF(AD85="ED","KBK TIK"))))))</f>
        <v>KBK Elka</v>
      </c>
      <c r="AF85" s="0" t="n">
        <v>1</v>
      </c>
    </row>
    <row r="86" customFormat="false" ht="15" hidden="false" customHeight="false" outlineLevel="0" collapsed="false">
      <c r="C86" s="16" t="s">
        <v>43</v>
      </c>
      <c r="D86" s="16" t="s">
        <v>372</v>
      </c>
      <c r="E86" s="0" t="n">
        <v>3</v>
      </c>
      <c r="H86" s="0" t="n">
        <v>4</v>
      </c>
      <c r="K86" s="232" t="s">
        <v>74</v>
      </c>
      <c r="L86" s="232" t="s">
        <v>397</v>
      </c>
      <c r="M86" s="232" t="n">
        <v>30</v>
      </c>
      <c r="N86" s="232" t="s">
        <v>287</v>
      </c>
      <c r="O86" s="232" t="n">
        <v>3</v>
      </c>
      <c r="P86" s="232" t="n">
        <v>0</v>
      </c>
      <c r="Q86" s="232" t="n">
        <v>0</v>
      </c>
      <c r="R86" s="232" t="n">
        <v>0</v>
      </c>
      <c r="S86" s="232" t="s">
        <v>288</v>
      </c>
      <c r="T86" s="232" t="s">
        <v>288</v>
      </c>
      <c r="U86" s="232" t="s">
        <v>288</v>
      </c>
      <c r="V86" s="232" t="n">
        <v>0</v>
      </c>
      <c r="W86" s="233" t="n">
        <v>5</v>
      </c>
      <c r="X86" s="233" t="str">
        <f aca="false">LEFT(K86,2)</f>
        <v>ED</v>
      </c>
      <c r="Y86" s="0" t="str">
        <f aca="false">IF(K86=Z86,"OK","CEEK")</f>
        <v>CEEK</v>
      </c>
      <c r="Z86" s="239" t="s">
        <v>203</v>
      </c>
      <c r="AA86" s="240" t="s">
        <v>401</v>
      </c>
      <c r="AB86" s="240" t="n">
        <v>2</v>
      </c>
      <c r="AC86" s="239" t="n">
        <v>6</v>
      </c>
      <c r="AD86" s="243" t="str">
        <f aca="false">LEFT(Z86,2)</f>
        <v>EB</v>
      </c>
      <c r="AE86" s="233" t="str">
        <f aca="false">IF(AD86="TP","Khusus MABA",IF(AD86="ES","Wajib Semua",IF(AD86="EA","KBK STL",IF(AD86="EB","KBK Elka",IF(AD86="EC","KBK Telkom",IF(AD86="ED","KBK TIK"))))))</f>
        <v>KBK Elka</v>
      </c>
      <c r="AF86" s="0" t="n">
        <v>1</v>
      </c>
    </row>
    <row r="87" customFormat="false" ht="15" hidden="false" customHeight="false" outlineLevel="0" collapsed="false">
      <c r="C87" s="16" t="s">
        <v>112</v>
      </c>
      <c r="D87" s="16" t="s">
        <v>423</v>
      </c>
      <c r="E87" s="0" t="n">
        <v>2</v>
      </c>
      <c r="H87" s="0" t="n">
        <v>7</v>
      </c>
      <c r="K87" s="232" t="s">
        <v>75</v>
      </c>
      <c r="L87" s="232" t="s">
        <v>398</v>
      </c>
      <c r="M87" s="232" t="n">
        <v>30</v>
      </c>
      <c r="N87" s="232" t="s">
        <v>287</v>
      </c>
      <c r="O87" s="232" t="n">
        <v>3</v>
      </c>
      <c r="P87" s="232" t="n">
        <v>0</v>
      </c>
      <c r="Q87" s="232" t="n">
        <v>0</v>
      </c>
      <c r="R87" s="232" t="n">
        <v>0</v>
      </c>
      <c r="S87" s="232" t="s">
        <v>288</v>
      </c>
      <c r="T87" s="232" t="s">
        <v>288</v>
      </c>
      <c r="U87" s="232" t="s">
        <v>288</v>
      </c>
      <c r="V87" s="232" t="n">
        <v>0</v>
      </c>
      <c r="W87" s="233" t="n">
        <v>5</v>
      </c>
      <c r="X87" s="233" t="str">
        <f aca="false">LEFT(K87,2)</f>
        <v>ED</v>
      </c>
      <c r="Y87" s="0" t="str">
        <f aca="false">IF(K87=Z87,"OK","CEEK")</f>
        <v>CEEK</v>
      </c>
      <c r="Z87" s="239" t="s">
        <v>96</v>
      </c>
      <c r="AA87" s="240" t="s">
        <v>381</v>
      </c>
      <c r="AB87" s="240" t="n">
        <v>3</v>
      </c>
      <c r="AC87" s="239" t="n">
        <v>6</v>
      </c>
      <c r="AD87" s="243" t="str">
        <f aca="false">LEFT(Z87,2)</f>
        <v>EC</v>
      </c>
      <c r="AE87" s="233" t="str">
        <f aca="false">IF(AD87="TP","Khusus MABA",IF(AD87="ES","Wajib Semua",IF(AD87="EA","KBK STL",IF(AD87="EB","KBK Elka",IF(AD87="EC","KBK Telkom",IF(AD87="ED","KBK TIK"))))))</f>
        <v>KBK Telkom</v>
      </c>
      <c r="AF87" s="0" t="n">
        <v>1</v>
      </c>
    </row>
    <row r="88" customFormat="false" ht="15" hidden="false" customHeight="false" outlineLevel="0" collapsed="false">
      <c r="C88" s="16" t="s">
        <v>46</v>
      </c>
      <c r="D88" s="16" t="s">
        <v>374</v>
      </c>
      <c r="E88" s="0" t="n">
        <v>2</v>
      </c>
      <c r="H88" s="0" t="n">
        <v>4</v>
      </c>
      <c r="K88" s="232" t="s">
        <v>76</v>
      </c>
      <c r="L88" s="232" t="s">
        <v>400</v>
      </c>
      <c r="M88" s="232" t="n">
        <v>30</v>
      </c>
      <c r="N88" s="232" t="s">
        <v>287</v>
      </c>
      <c r="O88" s="232" t="n">
        <v>2</v>
      </c>
      <c r="P88" s="232" t="n">
        <v>0</v>
      </c>
      <c r="Q88" s="232" t="n">
        <v>0</v>
      </c>
      <c r="R88" s="232" t="n">
        <v>0</v>
      </c>
      <c r="S88" s="232" t="s">
        <v>288</v>
      </c>
      <c r="T88" s="232" t="s">
        <v>288</v>
      </c>
      <c r="U88" s="232" t="s">
        <v>288</v>
      </c>
      <c r="V88" s="232" t="n">
        <v>0</v>
      </c>
      <c r="W88" s="233" t="n">
        <v>5</v>
      </c>
      <c r="X88" s="233" t="str">
        <f aca="false">LEFT(K88,2)</f>
        <v>ED</v>
      </c>
      <c r="Y88" s="0" t="str">
        <f aca="false">IF(K88=Z88,"OK","CEEK")</f>
        <v>CEEK</v>
      </c>
      <c r="Z88" s="234" t="s">
        <v>97</v>
      </c>
      <c r="AA88" s="235" t="s">
        <v>357</v>
      </c>
      <c r="AB88" s="235" t="n">
        <v>3</v>
      </c>
      <c r="AC88" s="234" t="n">
        <v>6</v>
      </c>
      <c r="AD88" s="233" t="str">
        <f aca="false">LEFT(Z88,2)</f>
        <v>EC</v>
      </c>
      <c r="AE88" s="233" t="str">
        <f aca="false">IF(AD88="TP","Khusus MABA",IF(AD88="ES","Wajib Semua",IF(AD88="EA","KBK STL",IF(AD88="EB","KBK Elka",IF(AD88="EC","KBK Telkom",IF(AD88="ED","KBK TIK"))))))</f>
        <v>KBK Telkom</v>
      </c>
      <c r="AF88" s="0" t="n">
        <v>1</v>
      </c>
    </row>
    <row r="89" customFormat="false" ht="15" hidden="false" customHeight="false" outlineLevel="0" collapsed="false">
      <c r="C89" s="16" t="s">
        <v>55</v>
      </c>
      <c r="D89" s="16" t="s">
        <v>302</v>
      </c>
      <c r="E89" s="0" t="n">
        <v>1</v>
      </c>
      <c r="H89" s="0" t="n">
        <v>5</v>
      </c>
      <c r="K89" s="232" t="s">
        <v>77</v>
      </c>
      <c r="L89" s="232" t="s">
        <v>402</v>
      </c>
      <c r="M89" s="232" t="n">
        <v>30</v>
      </c>
      <c r="N89" s="232" t="s">
        <v>287</v>
      </c>
      <c r="O89" s="232" t="n">
        <v>2</v>
      </c>
      <c r="P89" s="232" t="n">
        <v>0</v>
      </c>
      <c r="Q89" s="232" t="n">
        <v>0</v>
      </c>
      <c r="R89" s="232" t="n">
        <v>0</v>
      </c>
      <c r="S89" s="232" t="s">
        <v>288</v>
      </c>
      <c r="T89" s="232" t="s">
        <v>288</v>
      </c>
      <c r="U89" s="232" t="s">
        <v>288</v>
      </c>
      <c r="V89" s="232" t="n">
        <v>0</v>
      </c>
      <c r="W89" s="233" t="n">
        <v>5</v>
      </c>
      <c r="X89" s="233" t="str">
        <f aca="false">LEFT(K89,2)</f>
        <v>ED</v>
      </c>
      <c r="Y89" s="0" t="str">
        <f aca="false">IF(K89=Z89,"OK","CEEK")</f>
        <v>CEEK</v>
      </c>
      <c r="Z89" s="241" t="s">
        <v>98</v>
      </c>
      <c r="AA89" s="242" t="s">
        <v>382</v>
      </c>
      <c r="AB89" s="242" t="n">
        <v>2</v>
      </c>
      <c r="AC89" s="241" t="n">
        <v>6</v>
      </c>
      <c r="AD89" s="233" t="str">
        <f aca="false">LEFT(Z89,2)</f>
        <v>EC</v>
      </c>
      <c r="AE89" s="233" t="str">
        <f aca="false">IF(AD89="TP","Khusus MABA",IF(AD89="ES","Wajib Semua",IF(AD89="EA","KBK STL",IF(AD89="EB","KBK Elka",IF(AD89="EC","KBK Telkom",IF(AD89="ED","KBK TIK"))))))</f>
        <v>KBK Telkom</v>
      </c>
      <c r="AF89" s="0" t="n">
        <v>1</v>
      </c>
    </row>
    <row r="90" customFormat="false" ht="15" hidden="false" customHeight="false" outlineLevel="0" collapsed="false">
      <c r="C90" s="16" t="s">
        <v>56</v>
      </c>
      <c r="D90" s="16" t="s">
        <v>406</v>
      </c>
      <c r="E90" s="0" t="n">
        <v>2</v>
      </c>
      <c r="H90" s="0" t="n">
        <v>5</v>
      </c>
      <c r="K90" s="232" t="s">
        <v>104</v>
      </c>
      <c r="L90" s="232" t="s">
        <v>403</v>
      </c>
      <c r="M90" s="232" t="n">
        <v>30</v>
      </c>
      <c r="N90" s="232" t="s">
        <v>287</v>
      </c>
      <c r="O90" s="232" t="n">
        <v>2</v>
      </c>
      <c r="P90" s="232" t="n">
        <v>0</v>
      </c>
      <c r="Q90" s="232" t="n">
        <v>0</v>
      </c>
      <c r="R90" s="232" t="n">
        <v>0</v>
      </c>
      <c r="S90" s="232" t="s">
        <v>288</v>
      </c>
      <c r="T90" s="232" t="s">
        <v>288</v>
      </c>
      <c r="U90" s="232" t="s">
        <v>288</v>
      </c>
      <c r="V90" s="232" t="n">
        <v>0</v>
      </c>
      <c r="W90" s="233" t="n">
        <v>6</v>
      </c>
      <c r="X90" s="233" t="str">
        <f aca="false">LEFT(K90,2)</f>
        <v>ED</v>
      </c>
      <c r="Y90" s="0" t="str">
        <f aca="false">IF(K90=Z90,"OK","CEEK")</f>
        <v>CEEK</v>
      </c>
      <c r="Z90" s="239" t="s">
        <v>99</v>
      </c>
      <c r="AA90" s="240" t="s">
        <v>383</v>
      </c>
      <c r="AB90" s="240" t="n">
        <v>3</v>
      </c>
      <c r="AC90" s="239" t="n">
        <v>6</v>
      </c>
      <c r="AD90" s="243" t="str">
        <f aca="false">LEFT(Z90,2)</f>
        <v>EC</v>
      </c>
      <c r="AE90" s="233" t="str">
        <f aca="false">IF(AD90="TP","Khusus MABA",IF(AD90="ES","Wajib Semua",IF(AD90="EA","KBK STL",IF(AD90="EB","KBK Elka",IF(AD90="EC","KBK Telkom",IF(AD90="ED","KBK TIK"))))))</f>
        <v>KBK Telkom</v>
      </c>
      <c r="AF90" s="0" t="n">
        <v>1</v>
      </c>
    </row>
    <row r="91" customFormat="false" ht="15" hidden="false" customHeight="false" outlineLevel="0" collapsed="false">
      <c r="C91" s="16" t="s">
        <v>48</v>
      </c>
      <c r="D91" s="16" t="s">
        <v>376</v>
      </c>
      <c r="E91" s="0" t="n">
        <v>3</v>
      </c>
      <c r="H91" s="0" t="n">
        <v>4</v>
      </c>
      <c r="K91" s="232" t="s">
        <v>105</v>
      </c>
      <c r="L91" s="232" t="s">
        <v>387</v>
      </c>
      <c r="M91" s="232" t="n">
        <v>30</v>
      </c>
      <c r="N91" s="232" t="s">
        <v>287</v>
      </c>
      <c r="O91" s="232" t="n">
        <v>3</v>
      </c>
      <c r="P91" s="232" t="n">
        <v>0</v>
      </c>
      <c r="Q91" s="232" t="n">
        <v>0</v>
      </c>
      <c r="R91" s="232" t="n">
        <v>0</v>
      </c>
      <c r="S91" s="232" t="s">
        <v>288</v>
      </c>
      <c r="T91" s="232" t="s">
        <v>288</v>
      </c>
      <c r="U91" s="232" t="s">
        <v>288</v>
      </c>
      <c r="V91" s="232" t="n">
        <v>0</v>
      </c>
      <c r="W91" s="233" t="n">
        <v>6</v>
      </c>
      <c r="X91" s="233" t="str">
        <f aca="false">LEFT(K91,2)</f>
        <v>ED</v>
      </c>
      <c r="Y91" s="0" t="str">
        <f aca="false">IF(K91=Z91,"OK","CEEK")</f>
        <v>CEEK</v>
      </c>
      <c r="Z91" s="239" t="s">
        <v>100</v>
      </c>
      <c r="AA91" s="240" t="s">
        <v>385</v>
      </c>
      <c r="AB91" s="240" t="n">
        <v>1</v>
      </c>
      <c r="AC91" s="239" t="n">
        <v>6</v>
      </c>
      <c r="AD91" s="243" t="str">
        <f aca="false">LEFT(Z91,2)</f>
        <v>EC</v>
      </c>
      <c r="AE91" s="233" t="str">
        <f aca="false">IF(AD91="TP","Khusus MABA",IF(AD91="ES","Wajib Semua",IF(AD91="EA","KBK STL",IF(AD91="EB","KBK Elka",IF(AD91="EC","KBK Telkom",IF(AD91="ED","KBK TIK"))))))</f>
        <v>KBK Telkom</v>
      </c>
      <c r="AF91" s="0" t="n">
        <v>1</v>
      </c>
    </row>
    <row r="92" customFormat="false" ht="15" hidden="false" customHeight="false" outlineLevel="0" collapsed="false">
      <c r="C92" s="16" t="s">
        <v>49</v>
      </c>
      <c r="D92" s="16" t="s">
        <v>378</v>
      </c>
      <c r="E92" s="0" t="n">
        <v>1</v>
      </c>
      <c r="H92" s="0" t="n">
        <v>4</v>
      </c>
      <c r="K92" s="232" t="s">
        <v>106</v>
      </c>
      <c r="L92" s="232" t="s">
        <v>384</v>
      </c>
      <c r="M92" s="232" t="n">
        <v>30</v>
      </c>
      <c r="N92" s="232" t="s">
        <v>287</v>
      </c>
      <c r="O92" s="232" t="n">
        <v>2</v>
      </c>
      <c r="P92" s="232" t="n">
        <v>0</v>
      </c>
      <c r="Q92" s="232" t="n">
        <v>0</v>
      </c>
      <c r="R92" s="232" t="n">
        <v>0</v>
      </c>
      <c r="S92" s="232" t="s">
        <v>288</v>
      </c>
      <c r="T92" s="232" t="s">
        <v>288</v>
      </c>
      <c r="U92" s="232" t="s">
        <v>288</v>
      </c>
      <c r="V92" s="232" t="n">
        <v>0</v>
      </c>
      <c r="W92" s="233" t="n">
        <v>6</v>
      </c>
      <c r="X92" s="233" t="str">
        <f aca="false">LEFT(K92,2)</f>
        <v>ED</v>
      </c>
      <c r="Y92" s="0" t="str">
        <f aca="false">IF(K92=Z92,"OK","CEEK")</f>
        <v>CEEK</v>
      </c>
      <c r="Z92" s="239" t="s">
        <v>101</v>
      </c>
      <c r="AA92" s="240" t="s">
        <v>387</v>
      </c>
      <c r="AB92" s="240" t="n">
        <v>3</v>
      </c>
      <c r="AC92" s="239" t="n">
        <v>6</v>
      </c>
      <c r="AD92" s="243" t="str">
        <f aca="false">LEFT(Z92,2)</f>
        <v>EC</v>
      </c>
      <c r="AE92" s="233" t="str">
        <f aca="false">IF(AD92="TP","Khusus MABA",IF(AD92="ES","Wajib Semua",IF(AD92="EA","KBK STL",IF(AD92="EB","KBK Elka",IF(AD92="EC","KBK Telkom",IF(AD92="ED","KBK TIK"))))))</f>
        <v>KBK Telkom</v>
      </c>
      <c r="AF92" s="0" t="n">
        <v>1</v>
      </c>
    </row>
    <row r="93" customFormat="false" ht="15" hidden="false" customHeight="false" outlineLevel="0" collapsed="false">
      <c r="C93" s="16" t="s">
        <v>50</v>
      </c>
      <c r="D93" s="16" t="s">
        <v>380</v>
      </c>
      <c r="E93" s="0" t="n">
        <v>1</v>
      </c>
      <c r="H93" s="0" t="n">
        <v>4</v>
      </c>
      <c r="K93" s="232" t="s">
        <v>107</v>
      </c>
      <c r="L93" s="232" t="s">
        <v>404</v>
      </c>
      <c r="M93" s="232" t="n">
        <v>30</v>
      </c>
      <c r="N93" s="232" t="s">
        <v>287</v>
      </c>
      <c r="O93" s="232" t="n">
        <v>0</v>
      </c>
      <c r="P93" s="232" t="n">
        <v>1</v>
      </c>
      <c r="Q93" s="232" t="n">
        <v>0</v>
      </c>
      <c r="R93" s="232" t="n">
        <v>0</v>
      </c>
      <c r="S93" s="232" t="s">
        <v>288</v>
      </c>
      <c r="T93" s="232" t="s">
        <v>288</v>
      </c>
      <c r="U93" s="232" t="s">
        <v>288</v>
      </c>
      <c r="V93" s="232" t="n">
        <v>0</v>
      </c>
      <c r="W93" s="233" t="n">
        <v>6</v>
      </c>
      <c r="X93" s="233" t="str">
        <f aca="false">LEFT(K93,2)</f>
        <v>ED</v>
      </c>
      <c r="Y93" s="0" t="str">
        <f aca="false">IF(K93=Z93,"OK","CEEK")</f>
        <v>CEEK</v>
      </c>
      <c r="Z93" s="239" t="s">
        <v>209</v>
      </c>
      <c r="AA93" s="240" t="s">
        <v>414</v>
      </c>
      <c r="AB93" s="240" t="n">
        <v>2</v>
      </c>
      <c r="AC93" s="239" t="n">
        <v>6</v>
      </c>
      <c r="AD93" s="243" t="str">
        <f aca="false">LEFT(Z93,2)</f>
        <v>EC</v>
      </c>
      <c r="AE93" s="233" t="str">
        <f aca="false">IF(AD93="TP","Khusus MABA",IF(AD93="ES","Wajib Semua",IF(AD93="EA","KBK STL",IF(AD93="EB","KBK Elka",IF(AD93="EC","KBK Telkom",IF(AD93="ED","KBK TIK"))))))</f>
        <v>KBK Telkom</v>
      </c>
      <c r="AF93" s="0" t="n">
        <v>1</v>
      </c>
    </row>
    <row r="94" customFormat="false" ht="15" hidden="false" customHeight="false" outlineLevel="0" collapsed="false">
      <c r="C94" s="16" t="s">
        <v>52</v>
      </c>
      <c r="D94" s="16" t="s">
        <v>407</v>
      </c>
      <c r="E94" s="0" t="n">
        <v>3</v>
      </c>
      <c r="H94" s="0" t="n">
        <v>5</v>
      </c>
      <c r="K94" s="232" t="s">
        <v>108</v>
      </c>
      <c r="L94" s="232" t="s">
        <v>405</v>
      </c>
      <c r="M94" s="232" t="n">
        <v>30</v>
      </c>
      <c r="N94" s="232" t="s">
        <v>287</v>
      </c>
      <c r="O94" s="232" t="n">
        <v>2</v>
      </c>
      <c r="P94" s="232" t="n">
        <v>0</v>
      </c>
      <c r="Q94" s="232" t="n">
        <v>0</v>
      </c>
      <c r="R94" s="232" t="n">
        <v>0</v>
      </c>
      <c r="S94" s="232" t="s">
        <v>288</v>
      </c>
      <c r="T94" s="232" t="s">
        <v>288</v>
      </c>
      <c r="U94" s="232" t="s">
        <v>288</v>
      </c>
      <c r="V94" s="232" t="n">
        <v>0</v>
      </c>
      <c r="W94" s="233" t="n">
        <v>6</v>
      </c>
      <c r="X94" s="233" t="str">
        <f aca="false">LEFT(K94,2)</f>
        <v>ED</v>
      </c>
      <c r="Y94" s="0" t="str">
        <f aca="false">IF(K94=Z94,"OK","CEEK")</f>
        <v>CEEK</v>
      </c>
      <c r="Z94" s="239" t="s">
        <v>213</v>
      </c>
      <c r="AA94" s="240" t="s">
        <v>416</v>
      </c>
      <c r="AB94" s="240" t="n">
        <v>2</v>
      </c>
      <c r="AC94" s="239" t="n">
        <v>6</v>
      </c>
      <c r="AD94" s="243" t="str">
        <f aca="false">LEFT(Z94,2)</f>
        <v>EC</v>
      </c>
      <c r="AE94" s="233" t="str">
        <f aca="false">IF(AD94="TP","Khusus MABA",IF(AD94="ES","Wajib Semua",IF(AD94="EA","KBK STL",IF(AD94="EB","KBK Elka",IF(AD94="EC","KBK Telkom",IF(AD94="ED","KBK TIK"))))))</f>
        <v>KBK Telkom</v>
      </c>
      <c r="AF94" s="0" t="n">
        <v>1</v>
      </c>
    </row>
    <row r="95" customFormat="false" ht="15" hidden="false" customHeight="false" outlineLevel="0" collapsed="false">
      <c r="C95" s="16" t="s">
        <v>53</v>
      </c>
      <c r="D95" s="16" t="s">
        <v>408</v>
      </c>
      <c r="E95" s="0" t="n">
        <v>3</v>
      </c>
      <c r="H95" s="0" t="n">
        <v>5</v>
      </c>
      <c r="K95" s="232" t="s">
        <v>103</v>
      </c>
      <c r="L95" s="232" t="s">
        <v>357</v>
      </c>
      <c r="M95" s="232" t="n">
        <v>30</v>
      </c>
      <c r="N95" s="232" t="s">
        <v>287</v>
      </c>
      <c r="O95" s="232" t="n">
        <v>3</v>
      </c>
      <c r="P95" s="232" t="n">
        <v>0</v>
      </c>
      <c r="Q95" s="232" t="n">
        <v>0</v>
      </c>
      <c r="R95" s="232" t="n">
        <v>0</v>
      </c>
      <c r="S95" s="232" t="s">
        <v>288</v>
      </c>
      <c r="T95" s="232" t="s">
        <v>288</v>
      </c>
      <c r="U95" s="232" t="s">
        <v>288</v>
      </c>
      <c r="V95" s="232" t="n">
        <v>0</v>
      </c>
      <c r="W95" s="233" t="n">
        <v>6</v>
      </c>
      <c r="X95" s="233" t="str">
        <f aca="false">LEFT(K95,2)</f>
        <v>ED</v>
      </c>
      <c r="Y95" s="0" t="str">
        <f aca="false">IF(K95=Z95,"OK","CEEK")</f>
        <v>CEEK</v>
      </c>
      <c r="Z95" s="239" t="s">
        <v>218</v>
      </c>
      <c r="AA95" s="240" t="s">
        <v>172</v>
      </c>
      <c r="AB95" s="240" t="n">
        <v>2</v>
      </c>
      <c r="AC95" s="239" t="n">
        <v>6</v>
      </c>
      <c r="AD95" s="243" t="str">
        <f aca="false">LEFT(Z95,2)</f>
        <v>EC</v>
      </c>
      <c r="AE95" s="233" t="str">
        <f aca="false">IF(AD95="TP","Khusus MABA",IF(AD95="ES","Wajib Semua",IF(AD95="EA","KBK STL",IF(AD95="EB","KBK Elka",IF(AD95="EC","KBK Telkom",IF(AD95="ED","KBK TIK"))))))</f>
        <v>KBK Telkom</v>
      </c>
      <c r="AF95" s="0" t="n">
        <v>1</v>
      </c>
    </row>
    <row r="96" customFormat="false" ht="15" hidden="false" customHeight="false" outlineLevel="0" collapsed="false">
      <c r="C96" s="16" t="s">
        <v>54</v>
      </c>
      <c r="D96" s="16" t="s">
        <v>410</v>
      </c>
      <c r="E96" s="0" t="n">
        <v>1</v>
      </c>
      <c r="H96" s="0" t="n">
        <v>5</v>
      </c>
      <c r="K96" s="232" t="s">
        <v>233</v>
      </c>
      <c r="L96" s="232" t="s">
        <v>424</v>
      </c>
      <c r="M96" s="232" t="n">
        <v>30</v>
      </c>
      <c r="N96" s="232" t="s">
        <v>320</v>
      </c>
      <c r="O96" s="232" t="n">
        <v>2</v>
      </c>
      <c r="P96" s="232" t="n">
        <v>0</v>
      </c>
      <c r="Q96" s="232" t="n">
        <v>0</v>
      </c>
      <c r="R96" s="232" t="n">
        <v>0</v>
      </c>
      <c r="S96" s="232" t="s">
        <v>288</v>
      </c>
      <c r="T96" s="232" t="s">
        <v>288</v>
      </c>
      <c r="U96" s="232" t="s">
        <v>288</v>
      </c>
      <c r="V96" s="232" t="n">
        <v>0</v>
      </c>
      <c r="W96" s="233" t="n">
        <v>7</v>
      </c>
      <c r="X96" s="233" t="str">
        <f aca="false">LEFT(K96,2)</f>
        <v>ED</v>
      </c>
      <c r="Y96" s="0" t="str">
        <f aca="false">IF(K96=Z96,"OK","CEEK")</f>
        <v>CEEK</v>
      </c>
      <c r="Z96" s="239" t="s">
        <v>219</v>
      </c>
      <c r="AA96" s="240" t="s">
        <v>417</v>
      </c>
      <c r="AB96" s="240" t="n">
        <v>2</v>
      </c>
      <c r="AC96" s="239" t="n">
        <v>6</v>
      </c>
      <c r="AD96" s="243" t="str">
        <f aca="false">LEFT(Z96,2)</f>
        <v>EC</v>
      </c>
      <c r="AE96" s="233" t="str">
        <f aca="false">IF(AD96="TP","Khusus MABA",IF(AD96="ES","Wajib Semua",IF(AD96="EA","KBK STL",IF(AD96="EB","KBK Elka",IF(AD96="EC","KBK Telkom",IF(AD96="ED","KBK TIK"))))))</f>
        <v>KBK Telkom</v>
      </c>
      <c r="AF96" s="0" t="n">
        <v>1</v>
      </c>
    </row>
    <row r="97" customFormat="false" ht="15" hidden="true" customHeight="false" outlineLevel="0" collapsed="false">
      <c r="C97" s="16" t="s">
        <v>79</v>
      </c>
      <c r="D97" s="16" t="s">
        <v>425</v>
      </c>
      <c r="E97" s="0" t="n">
        <v>1</v>
      </c>
      <c r="H97" s="0" t="n">
        <v>6</v>
      </c>
      <c r="K97" s="232" t="s">
        <v>236</v>
      </c>
      <c r="L97" s="232" t="s">
        <v>426</v>
      </c>
      <c r="M97" s="232" t="n">
        <v>30</v>
      </c>
      <c r="N97" s="232" t="s">
        <v>320</v>
      </c>
      <c r="O97" s="232" t="n">
        <v>2</v>
      </c>
      <c r="P97" s="232" t="n">
        <v>0</v>
      </c>
      <c r="Q97" s="232" t="n">
        <v>0</v>
      </c>
      <c r="R97" s="232" t="n">
        <v>0</v>
      </c>
      <c r="S97" s="232" t="s">
        <v>288</v>
      </c>
      <c r="T97" s="232" t="s">
        <v>288</v>
      </c>
      <c r="U97" s="232" t="s">
        <v>288</v>
      </c>
      <c r="V97" s="232" t="n">
        <v>0</v>
      </c>
      <c r="W97" s="233" t="n">
        <v>6</v>
      </c>
      <c r="X97" s="233" t="str">
        <f aca="false">LEFT(K97,2)</f>
        <v>ED</v>
      </c>
      <c r="Y97" s="0" t="str">
        <f aca="false">IF(K97=Z97,"OK","CEEK")</f>
        <v>CEEK</v>
      </c>
      <c r="Z97" s="239" t="s">
        <v>225</v>
      </c>
      <c r="AA97" s="240" t="s">
        <v>420</v>
      </c>
      <c r="AB97" s="240" t="n">
        <v>2</v>
      </c>
      <c r="AC97" s="239" t="n">
        <v>6</v>
      </c>
      <c r="AD97" s="243" t="str">
        <f aca="false">LEFT(Z97,2)</f>
        <v>EC</v>
      </c>
      <c r="AE97" s="233" t="str">
        <f aca="false">IF(AD97="TP","Khusus MABA",IF(AD97="ES","Wajib Semua",IF(AD97="EA","KBK STL",IF(AD97="EB","KBK Elka",IF(AD97="EC","KBK Telkom",IF(AD97="ED","KBK TIK"))))))</f>
        <v>KBK Telkom</v>
      </c>
      <c r="AF97" s="0" t="n">
        <v>0</v>
      </c>
    </row>
    <row r="98" customFormat="false" ht="15" hidden="true" customHeight="false" outlineLevel="0" collapsed="false">
      <c r="C98" s="16" t="s">
        <v>113</v>
      </c>
      <c r="D98" s="16" t="s">
        <v>427</v>
      </c>
      <c r="E98" s="0" t="n">
        <v>2</v>
      </c>
      <c r="H98" s="0" t="n">
        <v>7</v>
      </c>
      <c r="K98" s="232" t="s">
        <v>238</v>
      </c>
      <c r="L98" s="232" t="s">
        <v>428</v>
      </c>
      <c r="M98" s="232" t="n">
        <v>30</v>
      </c>
      <c r="N98" s="232" t="s">
        <v>320</v>
      </c>
      <c r="O98" s="232" t="n">
        <v>2</v>
      </c>
      <c r="P98" s="232" t="n">
        <v>0</v>
      </c>
      <c r="Q98" s="232" t="n">
        <v>0</v>
      </c>
      <c r="R98" s="232" t="n">
        <v>0</v>
      </c>
      <c r="S98" s="232" t="s">
        <v>288</v>
      </c>
      <c r="T98" s="232" t="s">
        <v>288</v>
      </c>
      <c r="U98" s="232" t="s">
        <v>288</v>
      </c>
      <c r="V98" s="232" t="n">
        <v>0</v>
      </c>
      <c r="W98" s="233" t="n">
        <v>7</v>
      </c>
      <c r="X98" s="233" t="str">
        <f aca="false">LEFT(K98,2)</f>
        <v>ED</v>
      </c>
      <c r="Y98" s="0" t="str">
        <f aca="false">IF(K98=Z98,"OK","CEEK")</f>
        <v>CEEK</v>
      </c>
      <c r="Z98" s="239" t="s">
        <v>227</v>
      </c>
      <c r="AA98" s="240" t="s">
        <v>421</v>
      </c>
      <c r="AB98" s="240" t="n">
        <v>2</v>
      </c>
      <c r="AC98" s="239" t="n">
        <v>6</v>
      </c>
      <c r="AD98" s="243" t="str">
        <f aca="false">LEFT(Z98,2)</f>
        <v>EC</v>
      </c>
      <c r="AE98" s="233" t="str">
        <f aca="false">IF(AD98="TP","Khusus MABA",IF(AD98="ES","Wajib Semua",IF(AD98="EA","KBK STL",IF(AD98="EB","KBK Elka",IF(AD98="EC","KBK Telkom",IF(AD98="ED","KBK TIK"))))))</f>
        <v>KBK Telkom</v>
      </c>
      <c r="AF98" s="0" t="n">
        <v>0</v>
      </c>
    </row>
    <row r="99" customFormat="false" ht="15" hidden="true" customHeight="false" outlineLevel="0" collapsed="false">
      <c r="C99" s="16" t="s">
        <v>114</v>
      </c>
      <c r="D99" s="16" t="s">
        <v>429</v>
      </c>
      <c r="E99" s="0" t="n">
        <v>2</v>
      </c>
      <c r="H99" s="0" t="n">
        <v>7</v>
      </c>
      <c r="K99" s="232" t="s">
        <v>240</v>
      </c>
      <c r="L99" s="232" t="s">
        <v>430</v>
      </c>
      <c r="M99" s="232" t="n">
        <v>30</v>
      </c>
      <c r="N99" s="232" t="s">
        <v>320</v>
      </c>
      <c r="O99" s="232" t="n">
        <v>2</v>
      </c>
      <c r="P99" s="232" t="n">
        <v>0</v>
      </c>
      <c r="Q99" s="232" t="n">
        <v>0</v>
      </c>
      <c r="R99" s="232" t="n">
        <v>0</v>
      </c>
      <c r="S99" s="232" t="s">
        <v>288</v>
      </c>
      <c r="T99" s="232" t="s">
        <v>288</v>
      </c>
      <c r="U99" s="232" t="s">
        <v>288</v>
      </c>
      <c r="V99" s="232" t="n">
        <v>0</v>
      </c>
      <c r="W99" s="233" t="n">
        <v>6</v>
      </c>
      <c r="X99" s="233" t="str">
        <f aca="false">LEFT(K99,2)</f>
        <v>ED</v>
      </c>
      <c r="Y99" s="0" t="str">
        <f aca="false">IF(K99=Z99,"OK","CEEK")</f>
        <v>CEEK</v>
      </c>
      <c r="Z99" s="239" t="s">
        <v>229</v>
      </c>
      <c r="AA99" s="240" t="s">
        <v>422</v>
      </c>
      <c r="AB99" s="240" t="n">
        <v>2</v>
      </c>
      <c r="AC99" s="239" t="n">
        <v>6</v>
      </c>
      <c r="AD99" s="243" t="str">
        <f aca="false">LEFT(Z99,2)</f>
        <v>EC</v>
      </c>
      <c r="AE99" s="233" t="str">
        <f aca="false">IF(AD99="TP","Khusus MABA",IF(AD99="ES","Wajib Semua",IF(AD99="EA","KBK STL",IF(AD99="EB","KBK Elka",IF(AD99="EC","KBK Telkom",IF(AD99="ED","KBK TIK"))))))</f>
        <v>KBK Telkom</v>
      </c>
      <c r="AF99" s="0" t="n">
        <v>0</v>
      </c>
    </row>
    <row r="100" customFormat="false" ht="15" hidden="false" customHeight="false" outlineLevel="0" collapsed="false">
      <c r="C100" s="16" t="s">
        <v>141</v>
      </c>
      <c r="D100" s="16" t="s">
        <v>431</v>
      </c>
      <c r="E100" s="0" t="n">
        <v>4</v>
      </c>
      <c r="H100" s="0" t="n">
        <v>8</v>
      </c>
      <c r="K100" s="232" t="s">
        <v>242</v>
      </c>
      <c r="L100" s="232" t="s">
        <v>432</v>
      </c>
      <c r="M100" s="232" t="n">
        <v>30</v>
      </c>
      <c r="N100" s="232" t="s">
        <v>320</v>
      </c>
      <c r="O100" s="232" t="n">
        <v>2</v>
      </c>
      <c r="P100" s="232" t="n">
        <v>0</v>
      </c>
      <c r="Q100" s="232" t="n">
        <v>0</v>
      </c>
      <c r="R100" s="232" t="n">
        <v>0</v>
      </c>
      <c r="S100" s="232" t="s">
        <v>288</v>
      </c>
      <c r="T100" s="232" t="s">
        <v>288</v>
      </c>
      <c r="U100" s="232" t="s">
        <v>288</v>
      </c>
      <c r="V100" s="232" t="n">
        <v>0</v>
      </c>
      <c r="W100" s="233" t="n">
        <v>6</v>
      </c>
      <c r="X100" s="233" t="str">
        <f aca="false">LEFT(K100,2)</f>
        <v>ED</v>
      </c>
      <c r="Y100" s="0" t="str">
        <f aca="false">IF(K100=Z100,"OK","CEEK")</f>
        <v>CEEK</v>
      </c>
      <c r="Z100" s="239" t="s">
        <v>104</v>
      </c>
      <c r="AA100" s="240" t="s">
        <v>403</v>
      </c>
      <c r="AB100" s="240" t="n">
        <v>2</v>
      </c>
      <c r="AC100" s="239" t="n">
        <v>6</v>
      </c>
      <c r="AD100" s="243" t="str">
        <f aca="false">LEFT(Z100,2)</f>
        <v>ED</v>
      </c>
      <c r="AE100" s="233" t="str">
        <f aca="false">IF(AD100="TP","Khusus MABA",IF(AD100="ES","Wajib Semua",IF(AD100="EA","KBK STL",IF(AD100="EB","KBK Elka",IF(AD100="EC","KBK Telkom",IF(AD100="ED","KBK TIK"))))))</f>
        <v>KBK TIK</v>
      </c>
      <c r="AF100" s="0" t="n">
        <v>1</v>
      </c>
    </row>
    <row r="101" customFormat="false" ht="15" hidden="false" customHeight="false" outlineLevel="0" collapsed="false">
      <c r="C101" s="16" t="s">
        <v>142</v>
      </c>
      <c r="D101" s="16" t="s">
        <v>433</v>
      </c>
      <c r="E101" s="0" t="n">
        <v>2</v>
      </c>
      <c r="H101" s="0" t="n">
        <v>8</v>
      </c>
      <c r="K101" s="232" t="s">
        <v>244</v>
      </c>
      <c r="L101" s="232" t="s">
        <v>434</v>
      </c>
      <c r="M101" s="232" t="n">
        <v>30</v>
      </c>
      <c r="N101" s="232" t="s">
        <v>320</v>
      </c>
      <c r="O101" s="232" t="n">
        <v>2</v>
      </c>
      <c r="P101" s="232" t="n">
        <v>0</v>
      </c>
      <c r="Q101" s="232" t="n">
        <v>0</v>
      </c>
      <c r="R101" s="232" t="n">
        <v>0</v>
      </c>
      <c r="S101" s="232" t="s">
        <v>288</v>
      </c>
      <c r="T101" s="232" t="s">
        <v>288</v>
      </c>
      <c r="U101" s="232" t="s">
        <v>288</v>
      </c>
      <c r="V101" s="232" t="n">
        <v>0</v>
      </c>
      <c r="W101" s="233" t="n">
        <v>7</v>
      </c>
      <c r="X101" s="233" t="str">
        <f aca="false">LEFT(K101,2)</f>
        <v>ED</v>
      </c>
      <c r="Y101" s="0" t="str">
        <f aca="false">IF(K101=Z101,"OK","CEEK")</f>
        <v>CEEK</v>
      </c>
      <c r="Z101" s="239" t="s">
        <v>105</v>
      </c>
      <c r="AA101" s="240" t="s">
        <v>387</v>
      </c>
      <c r="AB101" s="240" t="n">
        <v>3</v>
      </c>
      <c r="AC101" s="239" t="n">
        <v>6</v>
      </c>
      <c r="AD101" s="243" t="str">
        <f aca="false">LEFT(Z101,2)</f>
        <v>ED</v>
      </c>
      <c r="AE101" s="233" t="str">
        <f aca="false">IF(AD101="TP","Khusus MABA",IF(AD101="ES","Wajib Semua",IF(AD101="EA","KBK STL",IF(AD101="EB","KBK Elka",IF(AD101="EC","KBK Telkom",IF(AD101="ED","KBK TIK"))))))</f>
        <v>KBK TIK</v>
      </c>
      <c r="AF101" s="0" t="n">
        <v>1</v>
      </c>
    </row>
    <row r="102" customFormat="false" ht="15" hidden="false" customHeight="false" outlineLevel="0" collapsed="false">
      <c r="C102" s="16" t="s">
        <v>143</v>
      </c>
      <c r="D102" s="16" t="s">
        <v>435</v>
      </c>
      <c r="E102" s="0" t="n">
        <v>4</v>
      </c>
      <c r="H102" s="0" t="n">
        <v>8</v>
      </c>
      <c r="K102" s="232" t="s">
        <v>246</v>
      </c>
      <c r="L102" s="232" t="s">
        <v>436</v>
      </c>
      <c r="M102" s="232" t="n">
        <v>30</v>
      </c>
      <c r="N102" s="232" t="s">
        <v>320</v>
      </c>
      <c r="O102" s="232" t="n">
        <v>2</v>
      </c>
      <c r="P102" s="232" t="n">
        <v>0</v>
      </c>
      <c r="Q102" s="232" t="n">
        <v>0</v>
      </c>
      <c r="R102" s="232" t="n">
        <v>0</v>
      </c>
      <c r="S102" s="232" t="s">
        <v>288</v>
      </c>
      <c r="T102" s="232" t="s">
        <v>288</v>
      </c>
      <c r="U102" s="232" t="s">
        <v>288</v>
      </c>
      <c r="V102" s="232" t="n">
        <v>0</v>
      </c>
      <c r="W102" s="233" t="n">
        <v>6</v>
      </c>
      <c r="X102" s="233" t="str">
        <f aca="false">LEFT(K102,2)</f>
        <v>ED</v>
      </c>
      <c r="Y102" s="0" t="str">
        <f aca="false">IF(K102=Z102,"OK","CEEK")</f>
        <v>CEEK</v>
      </c>
      <c r="Z102" s="239" t="s">
        <v>106</v>
      </c>
      <c r="AA102" s="240" t="s">
        <v>384</v>
      </c>
      <c r="AB102" s="240" t="n">
        <v>2</v>
      </c>
      <c r="AC102" s="239" t="n">
        <v>6</v>
      </c>
      <c r="AD102" s="243" t="str">
        <f aca="false">LEFT(Z102,2)</f>
        <v>ED</v>
      </c>
      <c r="AE102" s="233" t="str">
        <f aca="false">IF(AD102="TP","Khusus MABA",IF(AD102="ES","Wajib Semua",IF(AD102="EA","KBK STL",IF(AD102="EB","KBK Elka",IF(AD102="EC","KBK Telkom",IF(AD102="ED","KBK TIK"))))))</f>
        <v>KBK TIK</v>
      </c>
      <c r="AF102" s="0" t="n">
        <v>1</v>
      </c>
    </row>
    <row r="103" customFormat="false" ht="15" hidden="false" customHeight="false" outlineLevel="0" collapsed="false">
      <c r="C103" s="16" t="s">
        <v>15</v>
      </c>
      <c r="D103" s="16" t="s">
        <v>289</v>
      </c>
      <c r="E103" s="0" t="n">
        <v>3</v>
      </c>
      <c r="H103" s="0" t="n">
        <v>1</v>
      </c>
      <c r="K103" s="232" t="s">
        <v>248</v>
      </c>
      <c r="L103" s="232" t="s">
        <v>396</v>
      </c>
      <c r="M103" s="232" t="n">
        <v>30</v>
      </c>
      <c r="N103" s="232" t="s">
        <v>320</v>
      </c>
      <c r="O103" s="232" t="n">
        <v>2</v>
      </c>
      <c r="P103" s="232" t="n">
        <v>0</v>
      </c>
      <c r="Q103" s="232" t="n">
        <v>0</v>
      </c>
      <c r="R103" s="232" t="n">
        <v>0</v>
      </c>
      <c r="S103" s="232" t="s">
        <v>288</v>
      </c>
      <c r="T103" s="232" t="s">
        <v>288</v>
      </c>
      <c r="U103" s="232" t="s">
        <v>288</v>
      </c>
      <c r="V103" s="232" t="n">
        <v>0</v>
      </c>
      <c r="W103" s="233" t="n">
        <v>7</v>
      </c>
      <c r="X103" s="233" t="str">
        <f aca="false">LEFT(K103,2)</f>
        <v>ED</v>
      </c>
      <c r="Y103" s="0" t="str">
        <f aca="false">IF(K103=Z103,"OK","CEEK")</f>
        <v>CEEK</v>
      </c>
      <c r="Z103" s="239" t="s">
        <v>107</v>
      </c>
      <c r="AA103" s="240" t="s">
        <v>404</v>
      </c>
      <c r="AB103" s="240" t="n">
        <v>1</v>
      </c>
      <c r="AC103" s="239" t="n">
        <v>6</v>
      </c>
      <c r="AD103" s="243" t="str">
        <f aca="false">LEFT(Z103,2)</f>
        <v>ED</v>
      </c>
      <c r="AE103" s="233" t="str">
        <f aca="false">IF(AD103="TP","Khusus MABA",IF(AD103="ES","Wajib Semua",IF(AD103="EA","KBK STL",IF(AD103="EB","KBK Elka",IF(AD103="EC","KBK Telkom",IF(AD103="ED","KBK TIK"))))))</f>
        <v>KBK TIK</v>
      </c>
      <c r="AF103" s="0" t="n">
        <v>1</v>
      </c>
    </row>
    <row r="104" customFormat="false" ht="15" hidden="false" customHeight="false" outlineLevel="0" collapsed="false">
      <c r="C104" s="16" t="s">
        <v>16</v>
      </c>
      <c r="D104" s="16" t="s">
        <v>295</v>
      </c>
      <c r="E104" s="0" t="n">
        <v>3</v>
      </c>
      <c r="H104" s="0" t="n">
        <v>1</v>
      </c>
      <c r="K104" s="232" t="s">
        <v>249</v>
      </c>
      <c r="L104" s="232" t="s">
        <v>172</v>
      </c>
      <c r="M104" s="232" t="n">
        <v>30</v>
      </c>
      <c r="N104" s="232" t="s">
        <v>320</v>
      </c>
      <c r="O104" s="232" t="n">
        <v>2</v>
      </c>
      <c r="P104" s="232" t="n">
        <v>0</v>
      </c>
      <c r="Q104" s="232" t="n">
        <v>0</v>
      </c>
      <c r="R104" s="232" t="n">
        <v>0</v>
      </c>
      <c r="S104" s="232" t="s">
        <v>288</v>
      </c>
      <c r="T104" s="232" t="s">
        <v>288</v>
      </c>
      <c r="U104" s="232" t="s">
        <v>288</v>
      </c>
      <c r="V104" s="232" t="n">
        <v>0</v>
      </c>
      <c r="W104" s="233" t="n">
        <v>6</v>
      </c>
      <c r="X104" s="233" t="str">
        <f aca="false">LEFT(K104,2)</f>
        <v>ED</v>
      </c>
      <c r="Y104" s="0" t="str">
        <f aca="false">IF(K104=Z104,"OK","CEEK")</f>
        <v>CEEK</v>
      </c>
      <c r="Z104" s="239" t="s">
        <v>108</v>
      </c>
      <c r="AA104" s="240" t="s">
        <v>405</v>
      </c>
      <c r="AB104" s="240" t="n">
        <v>2</v>
      </c>
      <c r="AC104" s="239" t="n">
        <v>6</v>
      </c>
      <c r="AD104" s="243" t="str">
        <f aca="false">LEFT(Z104,2)</f>
        <v>ED</v>
      </c>
      <c r="AE104" s="233" t="str">
        <f aca="false">IF(AD104="TP","Khusus MABA",IF(AD104="ES","Wajib Semua",IF(AD104="EA","KBK STL",IF(AD104="EB","KBK Elka",IF(AD104="EC","KBK Telkom",IF(AD104="ED","KBK TIK"))))))</f>
        <v>KBK TIK</v>
      </c>
      <c r="AF104" s="0" t="n">
        <v>1</v>
      </c>
    </row>
    <row r="105" customFormat="false" ht="15" hidden="false" customHeight="false" outlineLevel="0" collapsed="false">
      <c r="C105" s="16" t="s">
        <v>17</v>
      </c>
      <c r="D105" s="16" t="s">
        <v>298</v>
      </c>
      <c r="E105" s="0" t="n">
        <v>3</v>
      </c>
      <c r="H105" s="0" t="n">
        <v>1</v>
      </c>
      <c r="K105" s="232" t="s">
        <v>250</v>
      </c>
      <c r="L105" s="232" t="s">
        <v>437</v>
      </c>
      <c r="M105" s="232" t="n">
        <v>30</v>
      </c>
      <c r="N105" s="232" t="s">
        <v>320</v>
      </c>
      <c r="O105" s="232" t="n">
        <v>2</v>
      </c>
      <c r="P105" s="232" t="n">
        <v>0</v>
      </c>
      <c r="Q105" s="232" t="n">
        <v>0</v>
      </c>
      <c r="R105" s="232" t="n">
        <v>0</v>
      </c>
      <c r="S105" s="232" t="s">
        <v>288</v>
      </c>
      <c r="T105" s="232" t="s">
        <v>288</v>
      </c>
      <c r="U105" s="232" t="s">
        <v>288</v>
      </c>
      <c r="V105" s="232" t="n">
        <v>0</v>
      </c>
      <c r="W105" s="233" t="n">
        <v>7</v>
      </c>
      <c r="X105" s="233" t="str">
        <f aca="false">LEFT(K105,2)</f>
        <v>ED</v>
      </c>
      <c r="Y105" s="0" t="str">
        <f aca="false">IF(K105=Z105,"OK","CEEK")</f>
        <v>CEEK</v>
      </c>
      <c r="Z105" s="239" t="s">
        <v>103</v>
      </c>
      <c r="AA105" s="240" t="s">
        <v>357</v>
      </c>
      <c r="AB105" s="240" t="n">
        <v>3</v>
      </c>
      <c r="AC105" s="239" t="n">
        <v>6</v>
      </c>
      <c r="AD105" s="243" t="str">
        <f aca="false">LEFT(Z105,2)</f>
        <v>ED</v>
      </c>
      <c r="AE105" s="233" t="str">
        <f aca="false">IF(AD105="TP","Khusus MABA",IF(AD105="ES","Wajib Semua",IF(AD105="EA","KBK STL",IF(AD105="EB","KBK Elka",IF(AD105="EC","KBK Telkom",IF(AD105="ED","KBK TIK"))))))</f>
        <v>KBK TIK</v>
      </c>
      <c r="AF105" s="0" t="n">
        <v>1</v>
      </c>
    </row>
    <row r="106" customFormat="false" ht="15" hidden="false" customHeight="false" outlineLevel="0" collapsed="false">
      <c r="C106" s="16" t="s">
        <v>18</v>
      </c>
      <c r="D106" s="16" t="s">
        <v>301</v>
      </c>
      <c r="E106" s="0" t="n">
        <v>3</v>
      </c>
      <c r="H106" s="0" t="n">
        <v>1</v>
      </c>
      <c r="K106" s="232" t="s">
        <v>252</v>
      </c>
      <c r="L106" s="232" t="s">
        <v>438</v>
      </c>
      <c r="M106" s="232" t="n">
        <v>30</v>
      </c>
      <c r="N106" s="232" t="s">
        <v>320</v>
      </c>
      <c r="O106" s="232" t="n">
        <v>2</v>
      </c>
      <c r="P106" s="232" t="n">
        <v>0</v>
      </c>
      <c r="Q106" s="232" t="n">
        <v>0</v>
      </c>
      <c r="R106" s="232" t="n">
        <v>0</v>
      </c>
      <c r="S106" s="232" t="s">
        <v>288</v>
      </c>
      <c r="T106" s="232" t="s">
        <v>288</v>
      </c>
      <c r="U106" s="232" t="s">
        <v>288</v>
      </c>
      <c r="V106" s="232" t="n">
        <v>0</v>
      </c>
      <c r="W106" s="233" t="n">
        <v>7</v>
      </c>
      <c r="X106" s="233" t="str">
        <f aca="false">LEFT(K106,2)</f>
        <v>ED</v>
      </c>
      <c r="Y106" s="0" t="str">
        <f aca="false">IF(K106=Z106,"OK","CEEK")</f>
        <v>CEEK</v>
      </c>
      <c r="Z106" s="239" t="s">
        <v>236</v>
      </c>
      <c r="AA106" s="240" t="s">
        <v>426</v>
      </c>
      <c r="AB106" s="240" t="n">
        <v>2</v>
      </c>
      <c r="AC106" s="239" t="n">
        <v>6</v>
      </c>
      <c r="AD106" s="243" t="str">
        <f aca="false">LEFT(Z106,2)</f>
        <v>ED</v>
      </c>
      <c r="AE106" s="233" t="str">
        <f aca="false">IF(AD106="TP","Khusus MABA",IF(AD106="ES","Wajib Semua",IF(AD106="EA","KBK STL",IF(AD106="EB","KBK Elka",IF(AD106="EC","KBK Telkom",IF(AD106="ED","KBK TIK"))))))</f>
        <v>KBK TIK</v>
      </c>
      <c r="AF106" s="0" t="n">
        <v>1</v>
      </c>
    </row>
    <row r="107" customFormat="false" ht="15" hidden="false" customHeight="false" outlineLevel="0" collapsed="false">
      <c r="C107" s="16" t="s">
        <v>11</v>
      </c>
      <c r="D107" s="16" t="s">
        <v>304</v>
      </c>
      <c r="E107" s="0" t="n">
        <v>2</v>
      </c>
      <c r="H107" s="0" t="n">
        <v>1</v>
      </c>
      <c r="K107" s="232" t="s">
        <v>254</v>
      </c>
      <c r="L107" s="232" t="s">
        <v>439</v>
      </c>
      <c r="M107" s="232" t="n">
        <v>30</v>
      </c>
      <c r="N107" s="232" t="s">
        <v>320</v>
      </c>
      <c r="O107" s="232" t="n">
        <v>2</v>
      </c>
      <c r="P107" s="232" t="n">
        <v>0</v>
      </c>
      <c r="Q107" s="232" t="n">
        <v>0</v>
      </c>
      <c r="R107" s="232" t="n">
        <v>0</v>
      </c>
      <c r="S107" s="232" t="s">
        <v>288</v>
      </c>
      <c r="T107" s="232" t="s">
        <v>288</v>
      </c>
      <c r="U107" s="232" t="s">
        <v>288</v>
      </c>
      <c r="V107" s="232" t="n">
        <v>0</v>
      </c>
      <c r="W107" s="233" t="n">
        <v>6</v>
      </c>
      <c r="X107" s="233" t="str">
        <f aca="false">LEFT(K107,2)</f>
        <v>ED</v>
      </c>
      <c r="Y107" s="0" t="str">
        <f aca="false">IF(K107=Z107,"OK","CEEK")</f>
        <v>CEEK</v>
      </c>
      <c r="Z107" s="239" t="s">
        <v>240</v>
      </c>
      <c r="AA107" s="240" t="s">
        <v>430</v>
      </c>
      <c r="AB107" s="240" t="n">
        <v>2</v>
      </c>
      <c r="AC107" s="239" t="n">
        <v>6</v>
      </c>
      <c r="AD107" s="243" t="str">
        <f aca="false">LEFT(Z107,2)</f>
        <v>ED</v>
      </c>
      <c r="AE107" s="233" t="str">
        <f aca="false">IF(AD107="TP","Khusus MABA",IF(AD107="ES","Wajib Semua",IF(AD107="EA","KBK STL",IF(AD107="EB","KBK Elka",IF(AD107="EC","KBK Telkom",IF(AD107="ED","KBK TIK"))))))</f>
        <v>KBK TIK</v>
      </c>
      <c r="AF107" s="0" t="n">
        <v>1</v>
      </c>
    </row>
    <row r="108" customFormat="false" ht="15" hidden="false" customHeight="false" outlineLevel="0" collapsed="false">
      <c r="C108" s="16" t="s">
        <v>12</v>
      </c>
      <c r="D108" s="16" t="s">
        <v>296</v>
      </c>
      <c r="E108" s="0" t="n">
        <v>2</v>
      </c>
      <c r="H108" s="0" t="n">
        <v>1</v>
      </c>
      <c r="K108" s="232" t="s">
        <v>256</v>
      </c>
      <c r="L108" s="232" t="s">
        <v>440</v>
      </c>
      <c r="M108" s="232" t="n">
        <v>30</v>
      </c>
      <c r="N108" s="232" t="s">
        <v>320</v>
      </c>
      <c r="O108" s="232" t="n">
        <v>2</v>
      </c>
      <c r="P108" s="232" t="n">
        <v>0</v>
      </c>
      <c r="Q108" s="232" t="n">
        <v>0</v>
      </c>
      <c r="R108" s="232" t="n">
        <v>0</v>
      </c>
      <c r="S108" s="232" t="s">
        <v>288</v>
      </c>
      <c r="T108" s="232" t="s">
        <v>288</v>
      </c>
      <c r="U108" s="232" t="s">
        <v>288</v>
      </c>
      <c r="V108" s="232" t="n">
        <v>0</v>
      </c>
      <c r="W108" s="233" t="n">
        <v>6</v>
      </c>
      <c r="X108" s="233" t="str">
        <f aca="false">LEFT(K108,2)</f>
        <v>ED</v>
      </c>
      <c r="Y108" s="0" t="str">
        <f aca="false">IF(K108=Z108,"OK","CEEK")</f>
        <v>CEEK</v>
      </c>
      <c r="Z108" s="239" t="s">
        <v>242</v>
      </c>
      <c r="AA108" s="240" t="s">
        <v>432</v>
      </c>
      <c r="AB108" s="240" t="n">
        <v>2</v>
      </c>
      <c r="AC108" s="239" t="n">
        <v>6</v>
      </c>
      <c r="AD108" s="243" t="str">
        <f aca="false">LEFT(Z108,2)</f>
        <v>ED</v>
      </c>
      <c r="AE108" s="233" t="str">
        <f aca="false">IF(AD108="TP","Khusus MABA",IF(AD108="ES","Wajib Semua",IF(AD108="EA","KBK STL",IF(AD108="EB","KBK Elka",IF(AD108="EC","KBK Telkom",IF(AD108="ED","KBK TIK"))))))</f>
        <v>KBK TIK</v>
      </c>
      <c r="AF108" s="0" t="n">
        <v>1</v>
      </c>
    </row>
    <row r="109" customFormat="false" ht="15" hidden="false" customHeight="false" outlineLevel="0" collapsed="false">
      <c r="C109" s="16" t="s">
        <v>20</v>
      </c>
      <c r="D109" s="16" t="s">
        <v>330</v>
      </c>
      <c r="E109" s="0" t="n">
        <v>2</v>
      </c>
      <c r="H109" s="0" t="n">
        <v>2</v>
      </c>
      <c r="K109" s="232" t="s">
        <v>258</v>
      </c>
      <c r="L109" s="232" t="s">
        <v>441</v>
      </c>
      <c r="M109" s="232" t="n">
        <v>30</v>
      </c>
      <c r="N109" s="232" t="s">
        <v>320</v>
      </c>
      <c r="O109" s="232" t="n">
        <v>2</v>
      </c>
      <c r="P109" s="232" t="n">
        <v>0</v>
      </c>
      <c r="Q109" s="232" t="n">
        <v>0</v>
      </c>
      <c r="R109" s="232" t="n">
        <v>0</v>
      </c>
      <c r="S109" s="232" t="s">
        <v>288</v>
      </c>
      <c r="T109" s="232" t="s">
        <v>288</v>
      </c>
      <c r="U109" s="232" t="s">
        <v>288</v>
      </c>
      <c r="V109" s="232" t="n">
        <v>0</v>
      </c>
      <c r="W109" s="233" t="n">
        <v>7</v>
      </c>
      <c r="X109" s="233" t="str">
        <f aca="false">LEFT(K109,2)</f>
        <v>ED</v>
      </c>
      <c r="Y109" s="0" t="str">
        <f aca="false">IF(K109=Z109,"OK","CEEK")</f>
        <v>CEEK</v>
      </c>
      <c r="Z109" s="239" t="s">
        <v>246</v>
      </c>
      <c r="AA109" s="240" t="s">
        <v>436</v>
      </c>
      <c r="AB109" s="240" t="n">
        <v>2</v>
      </c>
      <c r="AC109" s="239" t="n">
        <v>6</v>
      </c>
      <c r="AD109" s="243" t="str">
        <f aca="false">LEFT(Z109,2)</f>
        <v>ED</v>
      </c>
      <c r="AE109" s="233" t="str">
        <f aca="false">IF(AD109="TP","Khusus MABA",IF(AD109="ES","Wajib Semua",IF(AD109="EA","KBK STL",IF(AD109="EB","KBK Elka",IF(AD109="EC","KBK Telkom",IF(AD109="ED","KBK TIK"))))))</f>
        <v>KBK TIK</v>
      </c>
      <c r="AF109" s="0" t="n">
        <v>1</v>
      </c>
    </row>
    <row r="110" customFormat="false" ht="15" hidden="false" customHeight="false" outlineLevel="0" collapsed="false">
      <c r="C110" s="16" t="s">
        <v>13</v>
      </c>
      <c r="D110" s="16" t="s">
        <v>291</v>
      </c>
      <c r="E110" s="0" t="n">
        <v>2</v>
      </c>
      <c r="H110" s="0" t="n">
        <v>1</v>
      </c>
      <c r="K110" s="232" t="s">
        <v>260</v>
      </c>
      <c r="L110" s="232" t="s">
        <v>442</v>
      </c>
      <c r="M110" s="232" t="n">
        <v>30</v>
      </c>
      <c r="N110" s="232" t="s">
        <v>320</v>
      </c>
      <c r="O110" s="232" t="n">
        <v>2</v>
      </c>
      <c r="P110" s="232" t="n">
        <v>0</v>
      </c>
      <c r="Q110" s="232" t="n">
        <v>0</v>
      </c>
      <c r="R110" s="232" t="n">
        <v>0</v>
      </c>
      <c r="S110" s="232" t="s">
        <v>288</v>
      </c>
      <c r="T110" s="232" t="s">
        <v>288</v>
      </c>
      <c r="U110" s="232" t="s">
        <v>288</v>
      </c>
      <c r="V110" s="232" t="n">
        <v>0</v>
      </c>
      <c r="W110" s="233" t="n">
        <v>6</v>
      </c>
      <c r="X110" s="233" t="str">
        <f aca="false">LEFT(K110,2)</f>
        <v>ED</v>
      </c>
      <c r="Y110" s="0" t="str">
        <f aca="false">IF(K110=Z110,"OK","CEEK")</f>
        <v>CEEK</v>
      </c>
      <c r="Z110" s="239" t="s">
        <v>249</v>
      </c>
      <c r="AA110" s="240" t="s">
        <v>172</v>
      </c>
      <c r="AB110" s="240" t="n">
        <v>2</v>
      </c>
      <c r="AC110" s="239" t="n">
        <v>6</v>
      </c>
      <c r="AD110" s="243" t="str">
        <f aca="false">LEFT(Z110,2)</f>
        <v>ED</v>
      </c>
      <c r="AE110" s="233" t="str">
        <f aca="false">IF(AD110="TP","Khusus MABA",IF(AD110="ES","Wajib Semua",IF(AD110="EA","KBK STL",IF(AD110="EB","KBK Elka",IF(AD110="EC","KBK Telkom",IF(AD110="ED","KBK TIK"))))))</f>
        <v>KBK TIK</v>
      </c>
      <c r="AF110" s="0" t="n">
        <v>1</v>
      </c>
    </row>
    <row r="111" customFormat="false" ht="15" hidden="false" customHeight="false" outlineLevel="0" collapsed="false">
      <c r="C111" s="16" t="s">
        <v>14</v>
      </c>
      <c r="D111" s="16" t="s">
        <v>310</v>
      </c>
      <c r="E111" s="0" t="n">
        <v>2</v>
      </c>
      <c r="H111" s="0" t="n">
        <v>1</v>
      </c>
      <c r="K111" s="232" t="s">
        <v>134</v>
      </c>
      <c r="L111" s="232" t="s">
        <v>363</v>
      </c>
      <c r="M111" s="232" t="n">
        <v>30</v>
      </c>
      <c r="N111" s="232" t="s">
        <v>287</v>
      </c>
      <c r="O111" s="232" t="n">
        <v>3</v>
      </c>
      <c r="P111" s="232" t="n">
        <v>0</v>
      </c>
      <c r="Q111" s="232" t="n">
        <v>0</v>
      </c>
      <c r="R111" s="232" t="n">
        <v>0</v>
      </c>
      <c r="S111" s="232" t="s">
        <v>288</v>
      </c>
      <c r="T111" s="232" t="s">
        <v>288</v>
      </c>
      <c r="U111" s="232" t="s">
        <v>288</v>
      </c>
      <c r="V111" s="232" t="n">
        <v>0</v>
      </c>
      <c r="W111" s="233" t="n">
        <v>7</v>
      </c>
      <c r="X111" s="233" t="str">
        <f aca="false">LEFT(K111,2)</f>
        <v>ED</v>
      </c>
      <c r="Y111" s="0" t="str">
        <f aca="false">IF(K111=Z111,"OK","CEEK")</f>
        <v>CEEK</v>
      </c>
      <c r="Z111" s="239" t="s">
        <v>254</v>
      </c>
      <c r="AA111" s="240" t="s">
        <v>439</v>
      </c>
      <c r="AB111" s="240" t="n">
        <v>2</v>
      </c>
      <c r="AC111" s="239" t="n">
        <v>6</v>
      </c>
      <c r="AD111" s="243" t="str">
        <f aca="false">LEFT(Z111,2)</f>
        <v>ED</v>
      </c>
      <c r="AE111" s="233" t="str">
        <f aca="false">IF(AD111="TP","Khusus MABA",IF(AD111="ES","Wajib Semua",IF(AD111="EA","KBK STL",IF(AD111="EB","KBK Elka",IF(AD111="EC","KBK Telkom",IF(AD111="ED","KBK TIK"))))))</f>
        <v>KBK TIK</v>
      </c>
      <c r="AF111" s="0" t="n">
        <v>1</v>
      </c>
    </row>
    <row r="112" customFormat="false" ht="15" hidden="true" customHeight="false" outlineLevel="0" collapsed="false">
      <c r="C112" s="16" t="s">
        <v>21</v>
      </c>
      <c r="D112" s="16" t="s">
        <v>333</v>
      </c>
      <c r="E112" s="0" t="n">
        <v>2</v>
      </c>
      <c r="H112" s="0" t="n">
        <v>2</v>
      </c>
      <c r="K112" s="232" t="s">
        <v>135</v>
      </c>
      <c r="L112" s="232" t="s">
        <v>409</v>
      </c>
      <c r="M112" s="232" t="n">
        <v>30</v>
      </c>
      <c r="N112" s="232" t="s">
        <v>287</v>
      </c>
      <c r="O112" s="232" t="n">
        <v>2</v>
      </c>
      <c r="P112" s="232" t="n">
        <v>0</v>
      </c>
      <c r="Q112" s="232" t="n">
        <v>0</v>
      </c>
      <c r="R112" s="232" t="n">
        <v>0</v>
      </c>
      <c r="S112" s="232" t="s">
        <v>288</v>
      </c>
      <c r="T112" s="232" t="s">
        <v>288</v>
      </c>
      <c r="U112" s="232" t="s">
        <v>288</v>
      </c>
      <c r="V112" s="232" t="n">
        <v>0</v>
      </c>
      <c r="W112" s="233" t="n">
        <v>7</v>
      </c>
      <c r="X112" s="233" t="str">
        <f aca="false">LEFT(K112,2)</f>
        <v>ED</v>
      </c>
      <c r="Y112" s="0" t="str">
        <f aca="false">IF(K112=Z112,"OK","CEEK")</f>
        <v>CEEK</v>
      </c>
      <c r="Z112" s="239" t="s">
        <v>256</v>
      </c>
      <c r="AA112" s="240" t="s">
        <v>440</v>
      </c>
      <c r="AB112" s="240" t="n">
        <v>2</v>
      </c>
      <c r="AC112" s="239" t="n">
        <v>6</v>
      </c>
      <c r="AD112" s="243" t="str">
        <f aca="false">LEFT(Z112,2)</f>
        <v>ED</v>
      </c>
      <c r="AE112" s="233" t="str">
        <f aca="false">IF(AD112="TP","Khusus MABA",IF(AD112="ES","Wajib Semua",IF(AD112="EA","KBK STL",IF(AD112="EB","KBK Elka",IF(AD112="EC","KBK Telkom",IF(AD112="ED","KBK TIK"))))))</f>
        <v>KBK TIK</v>
      </c>
      <c r="AF112" s="0" t="n">
        <v>0</v>
      </c>
    </row>
    <row r="113" customFormat="false" ht="15" hidden="true" customHeight="false" outlineLevel="0" collapsed="false">
      <c r="C113" s="16" t="s">
        <v>22</v>
      </c>
      <c r="D113" s="16" t="s">
        <v>336</v>
      </c>
      <c r="E113" s="0" t="n">
        <v>2</v>
      </c>
      <c r="H113" s="0" t="n">
        <v>2</v>
      </c>
      <c r="K113" s="232" t="s">
        <v>136</v>
      </c>
      <c r="L113" s="232" t="s">
        <v>411</v>
      </c>
      <c r="M113" s="232" t="n">
        <v>30</v>
      </c>
      <c r="N113" s="232" t="s">
        <v>287</v>
      </c>
      <c r="O113" s="232" t="n">
        <v>0</v>
      </c>
      <c r="P113" s="232" t="n">
        <v>1</v>
      </c>
      <c r="Q113" s="232" t="n">
        <v>0</v>
      </c>
      <c r="R113" s="232" t="n">
        <v>0</v>
      </c>
      <c r="S113" s="232" t="s">
        <v>288</v>
      </c>
      <c r="T113" s="232" t="s">
        <v>288</v>
      </c>
      <c r="U113" s="232" t="s">
        <v>288</v>
      </c>
      <c r="V113" s="232" t="n">
        <v>0</v>
      </c>
      <c r="W113" s="233" t="n">
        <v>7</v>
      </c>
      <c r="X113" s="233" t="str">
        <f aca="false">LEFT(K113,2)</f>
        <v>ED</v>
      </c>
      <c r="Y113" s="0" t="str">
        <f aca="false">IF(K113=Z113,"OK","CEEK")</f>
        <v>CEEK</v>
      </c>
      <c r="Z113" s="239" t="s">
        <v>260</v>
      </c>
      <c r="AA113" s="240" t="s">
        <v>442</v>
      </c>
      <c r="AB113" s="240" t="n">
        <v>2</v>
      </c>
      <c r="AC113" s="239" t="n">
        <v>6</v>
      </c>
      <c r="AD113" s="243" t="str">
        <f aca="false">LEFT(Z113,2)</f>
        <v>ED</v>
      </c>
      <c r="AE113" s="233" t="str">
        <f aca="false">IF(AD113="TP","Khusus MABA",IF(AD113="ES","Wajib Semua",IF(AD113="EA","KBK STL",IF(AD113="EB","KBK Elka",IF(AD113="EC","KBK Telkom",IF(AD113="ED","KBK TIK"))))))</f>
        <v>KBK TIK</v>
      </c>
      <c r="AF113" s="0" t="n">
        <v>0</v>
      </c>
    </row>
    <row r="114" customFormat="false" ht="15" hidden="false" customHeight="false" outlineLevel="0" collapsed="false">
      <c r="C114" s="16" t="s">
        <v>23</v>
      </c>
      <c r="D114" s="16" t="s">
        <v>299</v>
      </c>
      <c r="E114" s="0" t="n">
        <v>2</v>
      </c>
      <c r="H114" s="0" t="n">
        <v>2</v>
      </c>
      <c r="K114" s="232" t="s">
        <v>137</v>
      </c>
      <c r="L114" s="232" t="s">
        <v>412</v>
      </c>
      <c r="M114" s="232" t="n">
        <v>30</v>
      </c>
      <c r="N114" s="232" t="s">
        <v>287</v>
      </c>
      <c r="O114" s="232" t="n">
        <v>0</v>
      </c>
      <c r="P114" s="232" t="n">
        <v>1</v>
      </c>
      <c r="Q114" s="232" t="n">
        <v>0</v>
      </c>
      <c r="R114" s="232" t="n">
        <v>0</v>
      </c>
      <c r="S114" s="232" t="s">
        <v>288</v>
      </c>
      <c r="T114" s="232" t="s">
        <v>288</v>
      </c>
      <c r="U114" s="232" t="s">
        <v>288</v>
      </c>
      <c r="V114" s="232" t="n">
        <v>0</v>
      </c>
      <c r="W114" s="233" t="n">
        <v>7</v>
      </c>
      <c r="X114" s="233" t="str">
        <f aca="false">LEFT(K114,2)</f>
        <v>ED</v>
      </c>
      <c r="Y114" s="0" t="str">
        <f aca="false">IF(K114=Z114,"OK","CEEK")</f>
        <v>CEEK</v>
      </c>
      <c r="Z114" s="239" t="s">
        <v>79</v>
      </c>
      <c r="AA114" s="240" t="s">
        <v>425</v>
      </c>
      <c r="AB114" s="240" t="n">
        <v>1</v>
      </c>
      <c r="AC114" s="239" t="n">
        <v>6</v>
      </c>
      <c r="AD114" s="243" t="str">
        <f aca="false">LEFT(Z114,2)</f>
        <v>ES</v>
      </c>
      <c r="AE114" s="233" t="str">
        <f aca="false">IF(AD114="TP","Khusus MABA",IF(AD114="ES","Wajib Semua",IF(AD114="EA","KBK STL",IF(AD114="EB","KBK Elka",IF(AD114="EC","KBK Telkom",IF(AD114="ED","KBK TIK"))))))</f>
        <v>Wajib Semua</v>
      </c>
      <c r="AF114" s="0" t="n">
        <v>1</v>
      </c>
    </row>
    <row r="115" customFormat="false" ht="15" hidden="true" customHeight="false" outlineLevel="0" collapsed="false">
      <c r="K115" s="232" t="s">
        <v>138</v>
      </c>
      <c r="L115" s="232" t="s">
        <v>413</v>
      </c>
      <c r="M115" s="232" t="n">
        <v>30</v>
      </c>
      <c r="N115" s="232" t="s">
        <v>287</v>
      </c>
      <c r="O115" s="232" t="n">
        <v>0</v>
      </c>
      <c r="P115" s="232" t="n">
        <v>1</v>
      </c>
      <c r="Q115" s="232" t="n">
        <v>0</v>
      </c>
      <c r="R115" s="232" t="n">
        <v>0</v>
      </c>
      <c r="S115" s="232" t="s">
        <v>288</v>
      </c>
      <c r="T115" s="232" t="s">
        <v>288</v>
      </c>
      <c r="U115" s="232" t="s">
        <v>288</v>
      </c>
      <c r="V115" s="232" t="n">
        <v>0</v>
      </c>
      <c r="W115" s="233" t="n">
        <v>7</v>
      </c>
      <c r="X115" s="233" t="str">
        <f aca="false">LEFT(K115,2)</f>
        <v>ED</v>
      </c>
      <c r="Y115" s="0" t="str">
        <f aca="false">IF(K115=Z115,"OK","CEEK")</f>
        <v>CEEK</v>
      </c>
      <c r="Z115" s="234" t="s">
        <v>159</v>
      </c>
      <c r="AA115" s="235" t="s">
        <v>323</v>
      </c>
      <c r="AB115" s="235" t="n">
        <v>2</v>
      </c>
      <c r="AC115" s="234" t="n">
        <v>7</v>
      </c>
      <c r="AD115" s="233" t="str">
        <f aca="false">LEFT(Z115,2)</f>
        <v>EA</v>
      </c>
      <c r="AE115" s="236" t="str">
        <f aca="false">IF(AD115="TP","Khusus MABA",IF(AD115="ES","Wajib Semua",IF(AD115="EA","KBK STL",IF(AD115="EB","KBK Elka",IF(AD115="EC","KBK Telkom",IF(AD115="ED","KBK TIK"))))))</f>
        <v>KBK STL</v>
      </c>
      <c r="AF115" s="0" t="n">
        <v>0</v>
      </c>
    </row>
    <row r="116" customFormat="false" ht="15" hidden="true" customHeight="false" outlineLevel="0" collapsed="false">
      <c r="K116" s="245" t="s">
        <v>44</v>
      </c>
      <c r="L116" s="245" t="s">
        <v>362</v>
      </c>
      <c r="M116" s="245" t="n">
        <v>30</v>
      </c>
      <c r="N116" s="245" t="s">
        <v>443</v>
      </c>
      <c r="O116" s="245" t="n">
        <v>2</v>
      </c>
      <c r="P116" s="245" t="n">
        <v>0</v>
      </c>
      <c r="Q116" s="245" t="n">
        <v>0</v>
      </c>
      <c r="R116" s="245" t="n">
        <v>0</v>
      </c>
      <c r="S116" s="245" t="s">
        <v>288</v>
      </c>
      <c r="T116" s="245" t="s">
        <v>288</v>
      </c>
      <c r="U116" s="245" t="s">
        <v>288</v>
      </c>
      <c r="V116" s="245" t="n">
        <v>0</v>
      </c>
      <c r="W116" s="246" t="n">
        <v>4</v>
      </c>
      <c r="X116" s="233" t="str">
        <f aca="false">LEFT(K116,2)</f>
        <v>ES</v>
      </c>
      <c r="Y116" s="0" t="str">
        <f aca="false">IF(K116=Z116,"OK","CEEK")</f>
        <v>CEEK</v>
      </c>
      <c r="Z116" s="239" t="s">
        <v>161</v>
      </c>
      <c r="AA116" s="240" t="s">
        <v>326</v>
      </c>
      <c r="AB116" s="240" t="n">
        <v>2</v>
      </c>
      <c r="AC116" s="239" t="n">
        <v>7</v>
      </c>
      <c r="AD116" s="233" t="str">
        <f aca="false">LEFT(Z116,2)</f>
        <v>EA</v>
      </c>
      <c r="AE116" s="236" t="str">
        <f aca="false">IF(AD116="TP","Khusus MABA",IF(AD116="ES","Wajib Semua",IF(AD116="EA","KBK STL",IF(AD116="EB","KBK Elka",IF(AD116="EC","KBK Telkom",IF(AD116="ED","KBK TIK"))))))</f>
        <v>KBK STL</v>
      </c>
      <c r="AF116" s="0" t="n">
        <v>0</v>
      </c>
    </row>
    <row r="117" customFormat="false" ht="15" hidden="true" customHeight="false" outlineLevel="0" collapsed="false">
      <c r="K117" s="245" t="s">
        <v>25</v>
      </c>
      <c r="L117" s="245" t="s">
        <v>313</v>
      </c>
      <c r="M117" s="245" t="n">
        <v>30</v>
      </c>
      <c r="N117" s="245" t="s">
        <v>443</v>
      </c>
      <c r="O117" s="245" t="n">
        <v>2</v>
      </c>
      <c r="P117" s="245" t="n">
        <v>0</v>
      </c>
      <c r="Q117" s="245" t="n">
        <v>0</v>
      </c>
      <c r="R117" s="245" t="n">
        <v>0</v>
      </c>
      <c r="S117" s="245" t="s">
        <v>288</v>
      </c>
      <c r="T117" s="245" t="s">
        <v>288</v>
      </c>
      <c r="U117" s="245" t="s">
        <v>288</v>
      </c>
      <c r="V117" s="245" t="n">
        <v>0</v>
      </c>
      <c r="W117" s="246" t="n">
        <v>2</v>
      </c>
      <c r="X117" s="233" t="str">
        <f aca="false">LEFT(K117,2)</f>
        <v>ES</v>
      </c>
      <c r="Y117" s="0" t="str">
        <f aca="false">IF(K117=Z117,"OK","CEEK")</f>
        <v>CEEK</v>
      </c>
      <c r="Z117" s="239" t="s">
        <v>163</v>
      </c>
      <c r="AA117" s="240" t="s">
        <v>329</v>
      </c>
      <c r="AB117" s="240" t="n">
        <v>2</v>
      </c>
      <c r="AC117" s="239" t="n">
        <v>7</v>
      </c>
      <c r="AD117" s="233" t="str">
        <f aca="false">LEFT(Z117,2)</f>
        <v>EA</v>
      </c>
      <c r="AE117" s="236" t="str">
        <f aca="false">IF(AD117="TP","Khusus MABA",IF(AD117="ES","Wajib Semua",IF(AD117="EA","KBK STL",IF(AD117="EB","KBK Elka",IF(AD117="EC","KBK Telkom",IF(AD117="ED","KBK TIK"))))))</f>
        <v>KBK STL</v>
      </c>
      <c r="AF117" s="0" t="n">
        <v>0</v>
      </c>
    </row>
    <row r="118" customFormat="false" ht="15" hidden="true" customHeight="false" outlineLevel="0" collapsed="false">
      <c r="K118" s="232" t="s">
        <v>32</v>
      </c>
      <c r="L118" s="232" t="s">
        <v>340</v>
      </c>
      <c r="M118" s="232" t="n">
        <v>30</v>
      </c>
      <c r="N118" s="232" t="s">
        <v>443</v>
      </c>
      <c r="O118" s="232" t="n">
        <v>3</v>
      </c>
      <c r="P118" s="232" t="n">
        <v>0</v>
      </c>
      <c r="Q118" s="232" t="n">
        <v>0</v>
      </c>
      <c r="R118" s="232" t="n">
        <v>0</v>
      </c>
      <c r="S118" s="232" t="s">
        <v>288</v>
      </c>
      <c r="T118" s="232" t="s">
        <v>288</v>
      </c>
      <c r="U118" s="232" t="s">
        <v>288</v>
      </c>
      <c r="V118" s="232" t="n">
        <v>0</v>
      </c>
      <c r="W118" s="233" t="n">
        <v>3</v>
      </c>
      <c r="X118" s="233" t="str">
        <f aca="false">LEFT(K118,2)</f>
        <v>ES</v>
      </c>
      <c r="Y118" s="0" t="str">
        <f aca="false">IF(K118=Z118,"OK","CEEK")</f>
        <v>CEEK</v>
      </c>
      <c r="Z118" s="239" t="s">
        <v>165</v>
      </c>
      <c r="AA118" s="240" t="s">
        <v>332</v>
      </c>
      <c r="AB118" s="240" t="n">
        <v>2</v>
      </c>
      <c r="AC118" s="239" t="n">
        <v>7</v>
      </c>
      <c r="AD118" s="233" t="str">
        <f aca="false">LEFT(Z118,2)</f>
        <v>EA</v>
      </c>
      <c r="AE118" s="236" t="str">
        <f aca="false">IF(AD118="TP","Khusus MABA",IF(AD118="ES","Wajib Semua",IF(AD118="EA","KBK STL",IF(AD118="EB","KBK Elka",IF(AD118="EC","KBK Telkom",IF(AD118="ED","KBK TIK"))))))</f>
        <v>KBK STL</v>
      </c>
      <c r="AF118" s="0" t="n">
        <v>0</v>
      </c>
    </row>
    <row r="119" customFormat="false" ht="15" hidden="true" customHeight="false" outlineLevel="0" collapsed="false">
      <c r="K119" s="245" t="s">
        <v>27</v>
      </c>
      <c r="L119" s="245" t="s">
        <v>316</v>
      </c>
      <c r="M119" s="245" t="n">
        <v>30</v>
      </c>
      <c r="N119" s="245" t="s">
        <v>443</v>
      </c>
      <c r="O119" s="245" t="n">
        <v>3</v>
      </c>
      <c r="P119" s="245" t="n">
        <v>0</v>
      </c>
      <c r="Q119" s="245" t="n">
        <v>0</v>
      </c>
      <c r="R119" s="245" t="n">
        <v>0</v>
      </c>
      <c r="S119" s="245" t="s">
        <v>288</v>
      </c>
      <c r="T119" s="245" t="s">
        <v>288</v>
      </c>
      <c r="U119" s="245" t="s">
        <v>288</v>
      </c>
      <c r="V119" s="245" t="n">
        <v>0</v>
      </c>
      <c r="W119" s="246" t="n">
        <v>2</v>
      </c>
      <c r="X119" s="233" t="str">
        <f aca="false">LEFT(K119,2)</f>
        <v>ES</v>
      </c>
      <c r="Y119" s="0" t="str">
        <f aca="false">IF(K119=Z119,"OK","CEEK")</f>
        <v>CEEK</v>
      </c>
      <c r="Z119" s="239" t="s">
        <v>169</v>
      </c>
      <c r="AA119" s="240" t="s">
        <v>338</v>
      </c>
      <c r="AB119" s="240" t="n">
        <v>2</v>
      </c>
      <c r="AC119" s="239" t="n">
        <v>7</v>
      </c>
      <c r="AD119" s="233" t="str">
        <f aca="false">LEFT(Z119,2)</f>
        <v>EA</v>
      </c>
      <c r="AE119" s="236" t="str">
        <f aca="false">IF(AD119="TP","Khusus MABA",IF(AD119="ES","Wajib Semua",IF(AD119="EA","KBK STL",IF(AD119="EB","KBK Elka",IF(AD119="EC","KBK Telkom",IF(AD119="ED","KBK TIK"))))))</f>
        <v>KBK STL</v>
      </c>
      <c r="AF119" s="0" t="n">
        <v>0</v>
      </c>
    </row>
    <row r="120" customFormat="false" ht="15" hidden="true" customHeight="false" outlineLevel="0" collapsed="false">
      <c r="K120" s="245" t="s">
        <v>28</v>
      </c>
      <c r="L120" s="245" t="s">
        <v>318</v>
      </c>
      <c r="M120" s="245" t="n">
        <v>30</v>
      </c>
      <c r="N120" s="245" t="s">
        <v>443</v>
      </c>
      <c r="O120" s="245" t="n">
        <v>2</v>
      </c>
      <c r="P120" s="245" t="n">
        <v>0</v>
      </c>
      <c r="Q120" s="245" t="n">
        <v>0</v>
      </c>
      <c r="R120" s="245" t="n">
        <v>0</v>
      </c>
      <c r="S120" s="245" t="s">
        <v>288</v>
      </c>
      <c r="T120" s="245" t="s">
        <v>288</v>
      </c>
      <c r="U120" s="245" t="s">
        <v>288</v>
      </c>
      <c r="V120" s="245" t="n">
        <v>0</v>
      </c>
      <c r="W120" s="246" t="n">
        <v>2</v>
      </c>
      <c r="X120" s="233" t="str">
        <f aca="false">LEFT(K120,2)</f>
        <v>ES</v>
      </c>
      <c r="Y120" s="0" t="str">
        <f aca="false">IF(K120=Z120,"OK","CEEK")</f>
        <v>CEEK</v>
      </c>
      <c r="Z120" s="239" t="s">
        <v>175</v>
      </c>
      <c r="AA120" s="240" t="s">
        <v>344</v>
      </c>
      <c r="AB120" s="240" t="n">
        <v>2</v>
      </c>
      <c r="AC120" s="239" t="n">
        <v>7</v>
      </c>
      <c r="AD120" s="233" t="str">
        <f aca="false">LEFT(Z120,2)</f>
        <v>EA</v>
      </c>
      <c r="AE120" s="236" t="str">
        <f aca="false">IF(AD120="TP","Khusus MABA",IF(AD120="ES","Wajib Semua",IF(AD120="EA","KBK STL",IF(AD120="EB","KBK Elka",IF(AD120="EC","KBK Telkom",IF(AD120="ED","KBK TIK"))))))</f>
        <v>KBK STL</v>
      </c>
      <c r="AF120" s="0" t="n">
        <v>0</v>
      </c>
    </row>
    <row r="121" customFormat="false" ht="15" hidden="true" customHeight="false" outlineLevel="0" collapsed="false">
      <c r="K121" s="232" t="s">
        <v>33</v>
      </c>
      <c r="L121" s="232" t="s">
        <v>342</v>
      </c>
      <c r="M121" s="232" t="n">
        <v>30</v>
      </c>
      <c r="N121" s="232" t="s">
        <v>443</v>
      </c>
      <c r="O121" s="232" t="n">
        <v>3</v>
      </c>
      <c r="P121" s="232" t="n">
        <v>0</v>
      </c>
      <c r="Q121" s="232" t="n">
        <v>0</v>
      </c>
      <c r="R121" s="232" t="n">
        <v>0</v>
      </c>
      <c r="S121" s="232" t="s">
        <v>288</v>
      </c>
      <c r="T121" s="232" t="s">
        <v>288</v>
      </c>
      <c r="U121" s="232" t="s">
        <v>288</v>
      </c>
      <c r="V121" s="232" t="n">
        <v>0</v>
      </c>
      <c r="W121" s="233" t="n">
        <v>3</v>
      </c>
      <c r="X121" s="233" t="str">
        <f aca="false">LEFT(K121,2)</f>
        <v>ES</v>
      </c>
      <c r="Y121" s="0" t="str">
        <f aca="false">IF(K121=Z121,"OK","CEEK")</f>
        <v>CEEK</v>
      </c>
      <c r="Z121" s="239" t="s">
        <v>115</v>
      </c>
      <c r="AA121" s="240" t="s">
        <v>322</v>
      </c>
      <c r="AB121" s="240" t="n">
        <v>2</v>
      </c>
      <c r="AC121" s="239" t="n">
        <v>7</v>
      </c>
      <c r="AD121" s="233" t="str">
        <f aca="false">LEFT(Z121,2)</f>
        <v>EA</v>
      </c>
      <c r="AE121" s="236" t="str">
        <f aca="false">IF(AD121="TP","Khusus MABA",IF(AD121="ES","Wajib Semua",IF(AD121="EA","KBK STL",IF(AD121="EB","KBK Elka",IF(AD121="EC","KBK Telkom",IF(AD121="ED","KBK TIK"))))))</f>
        <v>KBK STL</v>
      </c>
      <c r="AF121" s="0" t="n">
        <v>0</v>
      </c>
    </row>
    <row r="122" customFormat="false" ht="15" hidden="true" customHeight="false" outlineLevel="0" collapsed="false">
      <c r="K122" s="245" t="s">
        <v>24</v>
      </c>
      <c r="L122" s="245" t="s">
        <v>321</v>
      </c>
      <c r="M122" s="245" t="n">
        <v>30</v>
      </c>
      <c r="N122" s="245" t="s">
        <v>443</v>
      </c>
      <c r="O122" s="245" t="n">
        <v>2</v>
      </c>
      <c r="P122" s="245" t="n">
        <v>0</v>
      </c>
      <c r="Q122" s="245" t="n">
        <v>0</v>
      </c>
      <c r="R122" s="245" t="n">
        <v>0</v>
      </c>
      <c r="S122" s="245" t="s">
        <v>288</v>
      </c>
      <c r="T122" s="245" t="s">
        <v>288</v>
      </c>
      <c r="U122" s="245" t="s">
        <v>288</v>
      </c>
      <c r="V122" s="245" t="n">
        <v>0</v>
      </c>
      <c r="W122" s="246" t="n">
        <v>2</v>
      </c>
      <c r="X122" s="233" t="str">
        <f aca="false">LEFT(K122,2)</f>
        <v>ES</v>
      </c>
      <c r="Y122" s="0" t="str">
        <f aca="false">IF(K122=Z122,"OK","CEEK")</f>
        <v>CEEK</v>
      </c>
      <c r="Z122" s="239" t="s">
        <v>116</v>
      </c>
      <c r="AA122" s="240" t="s">
        <v>325</v>
      </c>
      <c r="AB122" s="240" t="n">
        <v>2</v>
      </c>
      <c r="AC122" s="239" t="n">
        <v>7</v>
      </c>
      <c r="AD122" s="233" t="str">
        <f aca="false">LEFT(Z122,2)</f>
        <v>EA</v>
      </c>
      <c r="AE122" s="236" t="str">
        <f aca="false">IF(AD122="TP","Khusus MABA",IF(AD122="ES","Wajib Semua",IF(AD122="EA","KBK STL",IF(AD122="EB","KBK Elka",IF(AD122="EC","KBK Telkom",IF(AD122="ED","KBK TIK"))))))</f>
        <v>KBK STL</v>
      </c>
      <c r="AF122" s="0" t="n">
        <v>0</v>
      </c>
    </row>
    <row r="123" customFormat="false" ht="15" hidden="true" customHeight="false" outlineLevel="0" collapsed="false">
      <c r="K123" s="232" t="s">
        <v>39</v>
      </c>
      <c r="L123" s="232" t="s">
        <v>345</v>
      </c>
      <c r="M123" s="232" t="n">
        <v>30</v>
      </c>
      <c r="N123" s="232" t="s">
        <v>443</v>
      </c>
      <c r="O123" s="232" t="n">
        <v>0</v>
      </c>
      <c r="P123" s="232" t="n">
        <v>1</v>
      </c>
      <c r="Q123" s="232" t="n">
        <v>0</v>
      </c>
      <c r="R123" s="232" t="n">
        <v>0</v>
      </c>
      <c r="S123" s="232" t="s">
        <v>288</v>
      </c>
      <c r="T123" s="232" t="s">
        <v>288</v>
      </c>
      <c r="U123" s="232" t="s">
        <v>288</v>
      </c>
      <c r="V123" s="232" t="n">
        <v>0</v>
      </c>
      <c r="W123" s="233" t="n">
        <v>3</v>
      </c>
      <c r="X123" s="233" t="str">
        <f aca="false">LEFT(K123,2)</f>
        <v>ES</v>
      </c>
      <c r="Y123" s="0" t="str">
        <f aca="false">IF(K123=Z123,"OK","CEEK")</f>
        <v>CEEK</v>
      </c>
      <c r="Z123" s="239" t="s">
        <v>117</v>
      </c>
      <c r="AA123" s="240" t="s">
        <v>328</v>
      </c>
      <c r="AB123" s="240" t="n">
        <v>1</v>
      </c>
      <c r="AC123" s="239" t="n">
        <v>7</v>
      </c>
      <c r="AD123" s="233" t="str">
        <f aca="false">LEFT(Z123,2)</f>
        <v>EA</v>
      </c>
      <c r="AE123" s="236" t="str">
        <f aca="false">IF(AD123="TP","Khusus MABA",IF(AD123="ES","Wajib Semua",IF(AD123="EA","KBK STL",IF(AD123="EB","KBK Elka",IF(AD123="EC","KBK Telkom",IF(AD123="ED","KBK TIK"))))))</f>
        <v>KBK STL</v>
      </c>
      <c r="AF123" s="0" t="n">
        <v>0</v>
      </c>
    </row>
    <row r="124" customFormat="false" ht="15" hidden="true" customHeight="false" outlineLevel="0" collapsed="false">
      <c r="K124" s="232" t="s">
        <v>38</v>
      </c>
      <c r="L124" s="232" t="s">
        <v>348</v>
      </c>
      <c r="M124" s="232" t="n">
        <v>30</v>
      </c>
      <c r="N124" s="232" t="s">
        <v>443</v>
      </c>
      <c r="O124" s="232" t="n">
        <v>2</v>
      </c>
      <c r="P124" s="232" t="n">
        <v>0</v>
      </c>
      <c r="Q124" s="232" t="n">
        <v>0</v>
      </c>
      <c r="R124" s="232" t="n">
        <v>0</v>
      </c>
      <c r="S124" s="232" t="s">
        <v>288</v>
      </c>
      <c r="T124" s="232" t="s">
        <v>288</v>
      </c>
      <c r="U124" s="232" t="s">
        <v>288</v>
      </c>
      <c r="V124" s="232" t="n">
        <v>0</v>
      </c>
      <c r="W124" s="233" t="n">
        <v>3</v>
      </c>
      <c r="X124" s="233" t="str">
        <f aca="false">LEFT(K124,2)</f>
        <v>ES</v>
      </c>
      <c r="Y124" s="0" t="str">
        <f aca="false">IF(K124=Z124,"OK","CEEK")</f>
        <v>CEEK</v>
      </c>
      <c r="Z124" s="239" t="s">
        <v>118</v>
      </c>
      <c r="AA124" s="240" t="s">
        <v>331</v>
      </c>
      <c r="AB124" s="240" t="n">
        <v>2</v>
      </c>
      <c r="AC124" s="239" t="n">
        <v>7</v>
      </c>
      <c r="AD124" s="233" t="str">
        <f aca="false">LEFT(Z124,2)</f>
        <v>EA</v>
      </c>
      <c r="AE124" s="236" t="str">
        <f aca="false">IF(AD124="TP","Khusus MABA",IF(AD124="ES","Wajib Semua",IF(AD124="EA","KBK STL",IF(AD124="EB","KBK Elka",IF(AD124="EC","KBK Telkom",IF(AD124="ED","KBK TIK"))))))</f>
        <v>KBK STL</v>
      </c>
      <c r="AF124" s="0" t="n">
        <v>0</v>
      </c>
    </row>
    <row r="125" customFormat="false" ht="15" hidden="true" customHeight="false" outlineLevel="0" collapsed="false">
      <c r="K125" s="245" t="s">
        <v>41</v>
      </c>
      <c r="L125" s="245" t="s">
        <v>364</v>
      </c>
      <c r="M125" s="245" t="n">
        <v>30</v>
      </c>
      <c r="N125" s="245" t="s">
        <v>443</v>
      </c>
      <c r="O125" s="245" t="n">
        <v>0</v>
      </c>
      <c r="P125" s="245" t="n">
        <v>1</v>
      </c>
      <c r="Q125" s="245" t="n">
        <v>0</v>
      </c>
      <c r="R125" s="245" t="n">
        <v>0</v>
      </c>
      <c r="S125" s="245" t="s">
        <v>288</v>
      </c>
      <c r="T125" s="245" t="s">
        <v>288</v>
      </c>
      <c r="U125" s="245" t="s">
        <v>288</v>
      </c>
      <c r="V125" s="245" t="n">
        <v>0</v>
      </c>
      <c r="W125" s="246" t="n">
        <v>4</v>
      </c>
      <c r="X125" s="233" t="str">
        <f aca="false">LEFT(K125,2)</f>
        <v>ES</v>
      </c>
      <c r="Y125" s="0" t="str">
        <f aca="false">IF(K125=Z125,"OK","CEEK")</f>
        <v>CEEK</v>
      </c>
      <c r="Z125" s="239" t="s">
        <v>119</v>
      </c>
      <c r="AA125" s="240" t="s">
        <v>334</v>
      </c>
      <c r="AB125" s="240" t="n">
        <v>1</v>
      </c>
      <c r="AC125" s="239" t="n">
        <v>7</v>
      </c>
      <c r="AD125" s="233" t="str">
        <f aca="false">LEFT(Z125,2)</f>
        <v>EA</v>
      </c>
      <c r="AE125" s="236" t="str">
        <f aca="false">IF(AD125="TP","Khusus MABA",IF(AD125="ES","Wajib Semua",IF(AD125="EA","KBK STL",IF(AD125="EB","KBK Elka",IF(AD125="EC","KBK Telkom",IF(AD125="ED","KBK TIK"))))))</f>
        <v>KBK STL</v>
      </c>
      <c r="AF125" s="0" t="n">
        <v>0</v>
      </c>
    </row>
    <row r="126" customFormat="false" ht="15" hidden="true" customHeight="false" outlineLevel="0" collapsed="false">
      <c r="K126" s="245" t="s">
        <v>26</v>
      </c>
      <c r="L126" s="245" t="s">
        <v>324</v>
      </c>
      <c r="M126" s="245" t="n">
        <v>30</v>
      </c>
      <c r="N126" s="245" t="s">
        <v>443</v>
      </c>
      <c r="O126" s="245" t="n">
        <v>3</v>
      </c>
      <c r="P126" s="245" t="n">
        <v>0</v>
      </c>
      <c r="Q126" s="245" t="n">
        <v>0</v>
      </c>
      <c r="R126" s="245" t="n">
        <v>0</v>
      </c>
      <c r="S126" s="245" t="s">
        <v>288</v>
      </c>
      <c r="T126" s="245" t="s">
        <v>288</v>
      </c>
      <c r="U126" s="245" t="s">
        <v>288</v>
      </c>
      <c r="V126" s="245" t="n">
        <v>0</v>
      </c>
      <c r="W126" s="246" t="n">
        <v>2</v>
      </c>
      <c r="X126" s="233" t="str">
        <f aca="false">LEFT(K126,2)</f>
        <v>ES</v>
      </c>
      <c r="Y126" s="0" t="str">
        <f aca="false">IF(K126=Z126,"OK","CEEK")</f>
        <v>CEEK</v>
      </c>
      <c r="Z126" s="239" t="s">
        <v>120</v>
      </c>
      <c r="AA126" s="240" t="s">
        <v>337</v>
      </c>
      <c r="AB126" s="240" t="n">
        <v>1</v>
      </c>
      <c r="AC126" s="239" t="n">
        <v>7</v>
      </c>
      <c r="AD126" s="233" t="str">
        <f aca="false">LEFT(Z126,2)</f>
        <v>EA</v>
      </c>
      <c r="AE126" s="236" t="str">
        <f aca="false">IF(AD126="TP","Khusus MABA",IF(AD126="ES","Wajib Semua",IF(AD126="EA","KBK STL",IF(AD126="EB","KBK Elka",IF(AD126="EC","KBK Telkom",IF(AD126="ED","KBK TIK"))))))</f>
        <v>KBK STL</v>
      </c>
      <c r="AF126" s="0" t="n">
        <v>0</v>
      </c>
    </row>
    <row r="127" customFormat="false" ht="15" hidden="true" customHeight="false" outlineLevel="0" collapsed="false">
      <c r="K127" s="232" t="s">
        <v>31</v>
      </c>
      <c r="L127" s="232" t="s">
        <v>351</v>
      </c>
      <c r="M127" s="232" t="n">
        <v>30</v>
      </c>
      <c r="N127" s="232" t="s">
        <v>443</v>
      </c>
      <c r="O127" s="232" t="n">
        <v>3</v>
      </c>
      <c r="P127" s="232" t="n">
        <v>0</v>
      </c>
      <c r="Q127" s="232" t="n">
        <v>0</v>
      </c>
      <c r="R127" s="232" t="n">
        <v>0</v>
      </c>
      <c r="S127" s="232" t="s">
        <v>288</v>
      </c>
      <c r="T127" s="232" t="s">
        <v>288</v>
      </c>
      <c r="U127" s="232" t="s">
        <v>288</v>
      </c>
      <c r="V127" s="232" t="n">
        <v>0</v>
      </c>
      <c r="W127" s="233" t="n">
        <v>3</v>
      </c>
      <c r="X127" s="233" t="str">
        <f aca="false">LEFT(K127,2)</f>
        <v>ES</v>
      </c>
      <c r="Y127" s="0" t="str">
        <f aca="false">IF(K127=Z127,"OK","CEEK")</f>
        <v>CEEK</v>
      </c>
      <c r="Z127" s="239" t="s">
        <v>188</v>
      </c>
      <c r="AA127" s="240" t="s">
        <v>386</v>
      </c>
      <c r="AB127" s="240" t="n">
        <v>2</v>
      </c>
      <c r="AC127" s="239" t="n">
        <v>7</v>
      </c>
      <c r="AD127" s="233" t="str">
        <f aca="false">LEFT(Z127,2)</f>
        <v>EB</v>
      </c>
      <c r="AE127" s="236" t="str">
        <f aca="false">IF(AD127="TP","Khusus MABA",IF(AD127="ES","Wajib Semua",IF(AD127="EA","KBK STL",IF(AD127="EB","KBK Elka",IF(AD127="EC","KBK Telkom",IF(AD127="ED","KBK TIK"))))))</f>
        <v>KBK Elka</v>
      </c>
      <c r="AF127" s="0" t="n">
        <v>0</v>
      </c>
    </row>
    <row r="128" customFormat="false" ht="15" hidden="true" customHeight="false" outlineLevel="0" collapsed="false">
      <c r="E128" s="0" t="n">
        <v>20</v>
      </c>
      <c r="H128" s="0" t="n">
        <v>0</v>
      </c>
      <c r="K128" s="245" t="s">
        <v>45</v>
      </c>
      <c r="L128" s="245" t="s">
        <v>366</v>
      </c>
      <c r="M128" s="245" t="n">
        <v>30</v>
      </c>
      <c r="N128" s="245" t="s">
        <v>443</v>
      </c>
      <c r="O128" s="245" t="n">
        <v>2</v>
      </c>
      <c r="P128" s="245" t="n">
        <v>0</v>
      </c>
      <c r="Q128" s="245" t="n">
        <v>0</v>
      </c>
      <c r="R128" s="245" t="n">
        <v>0</v>
      </c>
      <c r="S128" s="245" t="s">
        <v>288</v>
      </c>
      <c r="T128" s="245" t="s">
        <v>288</v>
      </c>
      <c r="U128" s="245" t="s">
        <v>288</v>
      </c>
      <c r="V128" s="245" t="n">
        <v>0</v>
      </c>
      <c r="W128" s="246" t="n">
        <v>4</v>
      </c>
      <c r="X128" s="233" t="str">
        <f aca="false">LEFT(K128,2)</f>
        <v>ES</v>
      </c>
      <c r="Y128" s="0" t="str">
        <f aca="false">IF(K128=Z128,"OK","CEEK")</f>
        <v>CEEK</v>
      </c>
      <c r="Z128" s="239" t="s">
        <v>190</v>
      </c>
      <c r="AA128" s="240" t="s">
        <v>388</v>
      </c>
      <c r="AB128" s="240" t="n">
        <v>2</v>
      </c>
      <c r="AC128" s="239" t="n">
        <v>7</v>
      </c>
      <c r="AD128" s="233" t="str">
        <f aca="false">LEFT(Z128,2)</f>
        <v>EB</v>
      </c>
      <c r="AE128" s="236" t="str">
        <f aca="false">IF(AD128="TP","Khusus MABA",IF(AD128="ES","Wajib Semua",IF(AD128="EA","KBK STL",IF(AD128="EB","KBK Elka",IF(AD128="EC","KBK Telkom",IF(AD128="ED","KBK TIK"))))))</f>
        <v>KBK Elka</v>
      </c>
      <c r="AF128" s="0" t="n">
        <v>0</v>
      </c>
    </row>
    <row r="129" customFormat="false" ht="15" hidden="true" customHeight="false" outlineLevel="0" collapsed="false">
      <c r="E129" s="0" t="n">
        <v>21</v>
      </c>
      <c r="H129" s="0" t="n">
        <v>0</v>
      </c>
      <c r="K129" s="245" t="s">
        <v>47</v>
      </c>
      <c r="L129" s="245" t="s">
        <v>368</v>
      </c>
      <c r="M129" s="245" t="n">
        <v>30</v>
      </c>
      <c r="N129" s="245" t="s">
        <v>443</v>
      </c>
      <c r="O129" s="245" t="n">
        <v>3</v>
      </c>
      <c r="P129" s="245" t="n">
        <v>0</v>
      </c>
      <c r="Q129" s="245" t="n">
        <v>0</v>
      </c>
      <c r="R129" s="245" t="n">
        <v>0</v>
      </c>
      <c r="S129" s="245" t="s">
        <v>288</v>
      </c>
      <c r="T129" s="245" t="s">
        <v>288</v>
      </c>
      <c r="U129" s="245" t="s">
        <v>288</v>
      </c>
      <c r="V129" s="245" t="n">
        <v>0</v>
      </c>
      <c r="W129" s="246" t="n">
        <v>4</v>
      </c>
      <c r="X129" s="233" t="str">
        <f aca="false">LEFT(K129,2)</f>
        <v>ES</v>
      </c>
      <c r="Y129" s="0" t="str">
        <f aca="false">IF(K129=Z129,"OK","CEEK")</f>
        <v>CEEK</v>
      </c>
      <c r="Z129" s="239" t="s">
        <v>192</v>
      </c>
      <c r="AA129" s="240" t="s">
        <v>390</v>
      </c>
      <c r="AB129" s="240" t="n">
        <v>2</v>
      </c>
      <c r="AC129" s="239" t="n">
        <v>7</v>
      </c>
      <c r="AD129" s="233" t="str">
        <f aca="false">LEFT(Z129,2)</f>
        <v>EB</v>
      </c>
      <c r="AE129" s="236" t="str">
        <f aca="false">IF(AD129="TP","Khusus MABA",IF(AD129="ES","Wajib Semua",IF(AD129="EA","KBK STL",IF(AD129="EB","KBK Elka",IF(AD129="EC","KBK Telkom",IF(AD129="ED","KBK TIK"))))))</f>
        <v>KBK Elka</v>
      </c>
      <c r="AF129" s="0" t="n">
        <v>0</v>
      </c>
    </row>
    <row r="130" customFormat="false" ht="15" hidden="true" customHeight="false" outlineLevel="0" collapsed="false">
      <c r="E130" s="0" t="n">
        <v>21</v>
      </c>
      <c r="H130" s="0" t="n">
        <v>0</v>
      </c>
      <c r="K130" s="232" t="s">
        <v>34</v>
      </c>
      <c r="L130" s="232" t="s">
        <v>354</v>
      </c>
      <c r="M130" s="232" t="n">
        <v>30</v>
      </c>
      <c r="N130" s="232" t="s">
        <v>443</v>
      </c>
      <c r="O130" s="232" t="n">
        <v>2</v>
      </c>
      <c r="P130" s="232" t="n">
        <v>0</v>
      </c>
      <c r="Q130" s="232" t="n">
        <v>0</v>
      </c>
      <c r="R130" s="232" t="n">
        <v>0</v>
      </c>
      <c r="S130" s="232" t="s">
        <v>288</v>
      </c>
      <c r="T130" s="232" t="s">
        <v>288</v>
      </c>
      <c r="U130" s="232" t="s">
        <v>288</v>
      </c>
      <c r="V130" s="232" t="n">
        <v>0</v>
      </c>
      <c r="W130" s="233" t="n">
        <v>3</v>
      </c>
      <c r="X130" s="233" t="str">
        <f aca="false">LEFT(K130,2)</f>
        <v>ES</v>
      </c>
      <c r="Y130" s="0" t="str">
        <f aca="false">IF(K130=Z130,"OK","CEEK")</f>
        <v>CEEK</v>
      </c>
      <c r="Z130" s="241" t="s">
        <v>194</v>
      </c>
      <c r="AA130" s="242" t="s">
        <v>392</v>
      </c>
      <c r="AB130" s="242" t="n">
        <v>2</v>
      </c>
      <c r="AC130" s="241" t="n">
        <v>7</v>
      </c>
      <c r="AD130" s="233" t="str">
        <f aca="false">LEFT(Z130,2)</f>
        <v>EB</v>
      </c>
      <c r="AE130" s="236" t="str">
        <f aca="false">IF(AD130="TP","Khusus MABA",IF(AD130="ES","Wajib Semua",IF(AD130="EA","KBK STL",IF(AD130="EB","KBK Elka",IF(AD130="EC","KBK Telkom",IF(AD130="ED","KBK TIK"))))))</f>
        <v>KBK Elka</v>
      </c>
      <c r="AF130" s="0" t="n">
        <v>0</v>
      </c>
    </row>
    <row r="131" customFormat="false" ht="15" hidden="true" customHeight="false" outlineLevel="0" collapsed="false">
      <c r="E131" s="0" t="n">
        <v>21</v>
      </c>
      <c r="H131" s="0" t="n">
        <v>0</v>
      </c>
      <c r="K131" s="232" t="s">
        <v>35</v>
      </c>
      <c r="L131" s="232" t="s">
        <v>356</v>
      </c>
      <c r="M131" s="232" t="n">
        <v>30</v>
      </c>
      <c r="N131" s="232" t="s">
        <v>443</v>
      </c>
      <c r="O131" s="232" t="n">
        <v>0</v>
      </c>
      <c r="P131" s="232" t="n">
        <v>1</v>
      </c>
      <c r="Q131" s="232" t="n">
        <v>0</v>
      </c>
      <c r="R131" s="232" t="n">
        <v>0</v>
      </c>
      <c r="S131" s="232" t="s">
        <v>288</v>
      </c>
      <c r="T131" s="232" t="s">
        <v>288</v>
      </c>
      <c r="U131" s="232" t="s">
        <v>288</v>
      </c>
      <c r="V131" s="232" t="n">
        <v>0</v>
      </c>
      <c r="W131" s="233" t="n">
        <v>3</v>
      </c>
      <c r="X131" s="233" t="str">
        <f aca="false">LEFT(K131,2)</f>
        <v>ES</v>
      </c>
      <c r="Y131" s="0" t="str">
        <f aca="false">IF(K131=Z131,"OK","CEEK")</f>
        <v>CEEK</v>
      </c>
      <c r="Z131" s="239" t="s">
        <v>198</v>
      </c>
      <c r="AA131" s="240" t="s">
        <v>396</v>
      </c>
      <c r="AB131" s="240" t="n">
        <v>2</v>
      </c>
      <c r="AC131" s="239" t="n">
        <v>7</v>
      </c>
      <c r="AD131" s="243" t="str">
        <f aca="false">LEFT(Z131,2)</f>
        <v>EB</v>
      </c>
      <c r="AE131" s="233" t="str">
        <f aca="false">IF(AD131="TP","Khusus MABA",IF(AD131="ES","Wajib Semua",IF(AD131="EA","KBK STL",IF(AD131="EB","KBK Elka",IF(AD131="EC","KBK Telkom",IF(AD131="ED","KBK TIK"))))))</f>
        <v>KBK Elka</v>
      </c>
      <c r="AF131" s="0" t="n">
        <v>0</v>
      </c>
    </row>
    <row r="132" customFormat="false" ht="15" hidden="true" customHeight="false" outlineLevel="0" collapsed="false">
      <c r="C132" s="0" t="s">
        <v>57</v>
      </c>
      <c r="H132" s="0" t="n">
        <v>0</v>
      </c>
      <c r="K132" s="232" t="s">
        <v>36</v>
      </c>
      <c r="L132" s="232" t="s">
        <v>358</v>
      </c>
      <c r="M132" s="232" t="n">
        <v>30</v>
      </c>
      <c r="N132" s="232" t="s">
        <v>443</v>
      </c>
      <c r="O132" s="232" t="n">
        <v>3</v>
      </c>
      <c r="P132" s="232" t="n">
        <v>0</v>
      </c>
      <c r="Q132" s="232" t="n">
        <v>0</v>
      </c>
      <c r="R132" s="232" t="n">
        <v>0</v>
      </c>
      <c r="S132" s="232" t="s">
        <v>288</v>
      </c>
      <c r="T132" s="232" t="s">
        <v>288</v>
      </c>
      <c r="U132" s="232" t="s">
        <v>288</v>
      </c>
      <c r="V132" s="232" t="n">
        <v>0</v>
      </c>
      <c r="W132" s="233" t="n">
        <v>3</v>
      </c>
      <c r="X132" s="233" t="str">
        <f aca="false">LEFT(K132,2)</f>
        <v>ES</v>
      </c>
      <c r="Y132" s="0" t="str">
        <f aca="false">IF(K132=Z132,"OK","CEEK")</f>
        <v>CEEK</v>
      </c>
      <c r="Z132" s="234" t="s">
        <v>122</v>
      </c>
      <c r="AA132" s="235" t="s">
        <v>363</v>
      </c>
      <c r="AB132" s="235" t="n">
        <v>3</v>
      </c>
      <c r="AC132" s="234" t="n">
        <v>7</v>
      </c>
      <c r="AD132" s="233" t="str">
        <f aca="false">LEFT(Z132,2)</f>
        <v>EB</v>
      </c>
      <c r="AE132" s="236" t="str">
        <f aca="false">IF(AD132="TP","Khusus MABA",IF(AD132="ES","Wajib Semua",IF(AD132="EA","KBK STL",IF(AD132="EB","KBK Elka",IF(AD132="EC","KBK Telkom",IF(AD132="ED","KBK TIK"))))))</f>
        <v>KBK Elka</v>
      </c>
      <c r="AF132" s="0" t="n">
        <v>0</v>
      </c>
    </row>
    <row r="133" customFormat="false" ht="15" hidden="true" customHeight="false" outlineLevel="0" collapsed="false">
      <c r="E133" s="0" t="n">
        <v>20</v>
      </c>
      <c r="H133" s="0" t="n">
        <v>0</v>
      </c>
      <c r="K133" s="232" t="s">
        <v>37</v>
      </c>
      <c r="L133" s="232" t="s">
        <v>360</v>
      </c>
      <c r="M133" s="232" t="n">
        <v>30</v>
      </c>
      <c r="N133" s="232" t="s">
        <v>443</v>
      </c>
      <c r="O133" s="232" t="n">
        <v>3</v>
      </c>
      <c r="P133" s="232" t="n">
        <v>0</v>
      </c>
      <c r="Q133" s="232" t="n">
        <v>0</v>
      </c>
      <c r="R133" s="232" t="n">
        <v>0</v>
      </c>
      <c r="S133" s="232" t="s">
        <v>288</v>
      </c>
      <c r="T133" s="232" t="s">
        <v>288</v>
      </c>
      <c r="U133" s="232" t="s">
        <v>288</v>
      </c>
      <c r="V133" s="232" t="n">
        <v>0</v>
      </c>
      <c r="W133" s="233" t="n">
        <v>3</v>
      </c>
      <c r="X133" s="233" t="str">
        <f aca="false">LEFT(K133,2)</f>
        <v>ES</v>
      </c>
      <c r="Y133" s="0" t="str">
        <f aca="false">IF(K133=Z133,"OK","CEEK")</f>
        <v>CEEK</v>
      </c>
      <c r="Z133" s="239" t="s">
        <v>123</v>
      </c>
      <c r="AA133" s="240" t="s">
        <v>365</v>
      </c>
      <c r="AB133" s="240" t="n">
        <v>2</v>
      </c>
      <c r="AC133" s="239" t="n">
        <v>7</v>
      </c>
      <c r="AD133" s="233" t="str">
        <f aca="false">LEFT(Z133,2)</f>
        <v>EB</v>
      </c>
      <c r="AE133" s="236" t="str">
        <f aca="false">IF(AD133="TP","Khusus MABA",IF(AD133="ES","Wajib Semua",IF(AD133="EA","KBK STL",IF(AD133="EB","KBK Elka",IF(AD133="EC","KBK Telkom",IF(AD133="ED","KBK TIK"))))))</f>
        <v>KBK Elka</v>
      </c>
      <c r="AF133" s="0" t="n">
        <v>0</v>
      </c>
    </row>
    <row r="134" customFormat="false" ht="15" hidden="true" customHeight="false" outlineLevel="0" collapsed="false">
      <c r="C134" s="0" t="s">
        <v>62</v>
      </c>
      <c r="H134" s="0" t="n">
        <v>0</v>
      </c>
      <c r="K134" s="245" t="s">
        <v>29</v>
      </c>
      <c r="L134" s="245" t="s">
        <v>327</v>
      </c>
      <c r="M134" s="245" t="n">
        <v>30</v>
      </c>
      <c r="N134" s="245" t="s">
        <v>443</v>
      </c>
      <c r="O134" s="245" t="n">
        <v>0</v>
      </c>
      <c r="P134" s="245" t="n">
        <v>1</v>
      </c>
      <c r="Q134" s="245" t="n">
        <v>0</v>
      </c>
      <c r="R134" s="245" t="n">
        <v>0</v>
      </c>
      <c r="S134" s="245" t="s">
        <v>288</v>
      </c>
      <c r="T134" s="245" t="s">
        <v>288</v>
      </c>
      <c r="U134" s="245" t="s">
        <v>288</v>
      </c>
      <c r="V134" s="245" t="n">
        <v>0</v>
      </c>
      <c r="W134" s="246" t="n">
        <v>2</v>
      </c>
      <c r="X134" s="233" t="str">
        <f aca="false">LEFT(K134,2)</f>
        <v>ES</v>
      </c>
      <c r="Y134" s="0" t="str">
        <f aca="false">IF(K134=Z134,"OK","CEEK")</f>
        <v>CEEK</v>
      </c>
      <c r="Z134" s="239" t="s">
        <v>124</v>
      </c>
      <c r="AA134" s="240" t="s">
        <v>367</v>
      </c>
      <c r="AB134" s="240" t="n">
        <v>1</v>
      </c>
      <c r="AC134" s="239" t="n">
        <v>7</v>
      </c>
      <c r="AD134" s="233" t="str">
        <f aca="false">LEFT(Z134,2)</f>
        <v>EB</v>
      </c>
      <c r="AE134" s="236" t="str">
        <f aca="false">IF(AD134="TP","Khusus MABA",IF(AD134="ES","Wajib Semua",IF(AD134="EA","KBK STL",IF(AD134="EB","KBK Elka",IF(AD134="EC","KBK Telkom",IF(AD134="ED","KBK TIK"))))))</f>
        <v>KBK Elka</v>
      </c>
      <c r="AF134" s="0" t="n">
        <v>0</v>
      </c>
    </row>
    <row r="135" customFormat="false" ht="15" hidden="true" customHeight="false" outlineLevel="0" collapsed="false">
      <c r="E135" s="0" t="n">
        <v>19</v>
      </c>
      <c r="H135" s="0" t="n">
        <v>0</v>
      </c>
      <c r="K135" s="245" t="s">
        <v>42</v>
      </c>
      <c r="L135" s="245" t="s">
        <v>370</v>
      </c>
      <c r="M135" s="245" t="n">
        <v>30</v>
      </c>
      <c r="N135" s="245" t="s">
        <v>443</v>
      </c>
      <c r="O135" s="245" t="n">
        <v>3</v>
      </c>
      <c r="P135" s="245" t="n">
        <v>0</v>
      </c>
      <c r="Q135" s="245" t="n">
        <v>0</v>
      </c>
      <c r="R135" s="245" t="n">
        <v>0</v>
      </c>
      <c r="S135" s="245" t="s">
        <v>288</v>
      </c>
      <c r="T135" s="245" t="s">
        <v>288</v>
      </c>
      <c r="U135" s="245" t="s">
        <v>288</v>
      </c>
      <c r="V135" s="245" t="n">
        <v>0</v>
      </c>
      <c r="W135" s="246" t="n">
        <v>4</v>
      </c>
      <c r="X135" s="233" t="str">
        <f aca="false">LEFT(K135,2)</f>
        <v>ES</v>
      </c>
      <c r="Y135" s="0" t="str">
        <f aca="false">IF(K135=Z135,"OK","CEEK")</f>
        <v>CEEK</v>
      </c>
      <c r="Z135" s="239" t="s">
        <v>125</v>
      </c>
      <c r="AA135" s="240" t="s">
        <v>369</v>
      </c>
      <c r="AB135" s="240" t="n">
        <v>2</v>
      </c>
      <c r="AC135" s="239" t="n">
        <v>7</v>
      </c>
      <c r="AD135" s="233" t="str">
        <f aca="false">LEFT(Z135,2)</f>
        <v>EB</v>
      </c>
      <c r="AE135" s="236" t="str">
        <f aca="false">IF(AD135="TP","Khusus MABA",IF(AD135="ES","Wajib Semua",IF(AD135="EA","KBK STL",IF(AD135="EB","KBK Elka",IF(AD135="EC","KBK Telkom",IF(AD135="ED","KBK TIK"))))))</f>
        <v>KBK Elka</v>
      </c>
      <c r="AF135" s="0" t="n">
        <v>0</v>
      </c>
    </row>
    <row r="136" customFormat="false" ht="15" hidden="true" customHeight="false" outlineLevel="0" collapsed="false">
      <c r="C136" s="0" t="s">
        <v>68</v>
      </c>
      <c r="H136" s="0" t="n">
        <v>0</v>
      </c>
      <c r="K136" s="245" t="s">
        <v>43</v>
      </c>
      <c r="L136" s="245" t="s">
        <v>372</v>
      </c>
      <c r="M136" s="245" t="n">
        <v>30</v>
      </c>
      <c r="N136" s="245" t="s">
        <v>443</v>
      </c>
      <c r="O136" s="245" t="n">
        <v>3</v>
      </c>
      <c r="P136" s="245" t="n">
        <v>0</v>
      </c>
      <c r="Q136" s="245" t="n">
        <v>0</v>
      </c>
      <c r="R136" s="245" t="n">
        <v>0</v>
      </c>
      <c r="S136" s="245" t="s">
        <v>288</v>
      </c>
      <c r="T136" s="245" t="s">
        <v>288</v>
      </c>
      <c r="U136" s="245" t="s">
        <v>288</v>
      </c>
      <c r="V136" s="245" t="n">
        <v>0</v>
      </c>
      <c r="W136" s="246" t="n">
        <v>4</v>
      </c>
      <c r="X136" s="233" t="str">
        <f aca="false">LEFT(K136,2)</f>
        <v>ES</v>
      </c>
      <c r="Y136" s="0" t="str">
        <f aca="false">IF(K136=Z136,"OK","CEEK")</f>
        <v>CEEK</v>
      </c>
      <c r="Z136" s="239" t="s">
        <v>126</v>
      </c>
      <c r="AA136" s="240" t="s">
        <v>371</v>
      </c>
      <c r="AB136" s="240" t="n">
        <v>2</v>
      </c>
      <c r="AC136" s="239" t="n">
        <v>7</v>
      </c>
      <c r="AD136" s="233" t="str">
        <f aca="false">LEFT(Z136,2)</f>
        <v>EB</v>
      </c>
      <c r="AE136" s="236" t="str">
        <f aca="false">IF(AD136="TP","Khusus MABA",IF(AD136="ES","Wajib Semua",IF(AD136="EA","KBK STL",IF(AD136="EB","KBK Elka",IF(AD136="EC","KBK Telkom",IF(AD136="ED","KBK TIK"))))))</f>
        <v>KBK Elka</v>
      </c>
      <c r="AF136" s="0" t="n">
        <v>0</v>
      </c>
    </row>
    <row r="137" customFormat="false" ht="15" hidden="true" customHeight="false" outlineLevel="0" collapsed="false">
      <c r="E137" s="0" t="n">
        <v>20</v>
      </c>
      <c r="H137" s="0" t="n">
        <v>0</v>
      </c>
      <c r="K137" s="245" t="s">
        <v>112</v>
      </c>
      <c r="L137" s="245" t="s">
        <v>423</v>
      </c>
      <c r="M137" s="245" t="n">
        <v>30</v>
      </c>
      <c r="N137" s="245" t="s">
        <v>443</v>
      </c>
      <c r="O137" s="245" t="n">
        <v>2</v>
      </c>
      <c r="P137" s="245" t="n">
        <v>0</v>
      </c>
      <c r="Q137" s="245" t="n">
        <v>0</v>
      </c>
      <c r="R137" s="245" t="n">
        <v>0</v>
      </c>
      <c r="S137" s="245" t="s">
        <v>288</v>
      </c>
      <c r="T137" s="245" t="s">
        <v>288</v>
      </c>
      <c r="U137" s="245" t="s">
        <v>288</v>
      </c>
      <c r="V137" s="245" t="n">
        <v>0</v>
      </c>
      <c r="W137" s="246" t="n">
        <v>7</v>
      </c>
      <c r="X137" s="233" t="str">
        <f aca="false">LEFT(K137,2)</f>
        <v>ES</v>
      </c>
      <c r="Y137" s="0" t="str">
        <f aca="false">IF(K137=Z137,"OK","CEEK")</f>
        <v>CEEK</v>
      </c>
      <c r="Z137" s="239" t="s">
        <v>207</v>
      </c>
      <c r="AA137" s="240" t="s">
        <v>388</v>
      </c>
      <c r="AB137" s="240" t="n">
        <v>2</v>
      </c>
      <c r="AC137" s="239" t="n">
        <v>7</v>
      </c>
      <c r="AD137" s="233" t="str">
        <f aca="false">LEFT(Z137,2)</f>
        <v>EC</v>
      </c>
      <c r="AE137" s="236" t="str">
        <f aca="false">IF(AD137="TP","Khusus MABA",IF(AD137="ES","Wajib Semua",IF(AD137="EA","KBK STL",IF(AD137="EB","KBK Elka",IF(AD137="EC","KBK Telkom",IF(AD137="ED","KBK TIK"))))))</f>
        <v>KBK Telkom</v>
      </c>
      <c r="AF137" s="0" t="n">
        <v>0</v>
      </c>
    </row>
    <row r="138" customFormat="false" ht="15" hidden="true" customHeight="false" outlineLevel="0" collapsed="false">
      <c r="C138" s="0" t="s">
        <v>73</v>
      </c>
      <c r="H138" s="0" t="n">
        <v>0</v>
      </c>
      <c r="K138" s="245" t="s">
        <v>46</v>
      </c>
      <c r="L138" s="245" t="s">
        <v>374</v>
      </c>
      <c r="M138" s="245" t="n">
        <v>30</v>
      </c>
      <c r="N138" s="245" t="s">
        <v>443</v>
      </c>
      <c r="O138" s="245" t="n">
        <v>2</v>
      </c>
      <c r="P138" s="245" t="n">
        <v>0</v>
      </c>
      <c r="Q138" s="245" t="n">
        <v>0</v>
      </c>
      <c r="R138" s="245" t="n">
        <v>0</v>
      </c>
      <c r="S138" s="245" t="s">
        <v>288</v>
      </c>
      <c r="T138" s="245" t="s">
        <v>288</v>
      </c>
      <c r="U138" s="245" t="s">
        <v>288</v>
      </c>
      <c r="V138" s="245" t="n">
        <v>0</v>
      </c>
      <c r="W138" s="246" t="n">
        <v>4</v>
      </c>
      <c r="X138" s="233" t="str">
        <f aca="false">LEFT(K138,2)</f>
        <v>ES</v>
      </c>
      <c r="Y138" s="0" t="str">
        <f aca="false">IF(K138=Z138,"OK","CEEK")</f>
        <v>CEEK</v>
      </c>
      <c r="Z138" s="239" t="s">
        <v>211</v>
      </c>
      <c r="AA138" s="240" t="s">
        <v>415</v>
      </c>
      <c r="AB138" s="240" t="n">
        <v>2</v>
      </c>
      <c r="AC138" s="239" t="n">
        <v>7</v>
      </c>
      <c r="AD138" s="233" t="str">
        <f aca="false">LEFT(Z138,2)</f>
        <v>EC</v>
      </c>
      <c r="AE138" s="236" t="str">
        <f aca="false">IF(AD138="TP","Khusus MABA",IF(AD138="ES","Wajib Semua",IF(AD138="EA","KBK STL",IF(AD138="EB","KBK Elka",IF(AD138="EC","KBK Telkom",IF(AD138="ED","KBK TIK"))))))</f>
        <v>KBK Telkom</v>
      </c>
      <c r="AF138" s="0" t="n">
        <v>0</v>
      </c>
    </row>
    <row r="139" customFormat="false" ht="15" hidden="true" customHeight="false" outlineLevel="0" collapsed="false">
      <c r="E139" s="0" t="n">
        <v>20</v>
      </c>
      <c r="H139" s="0" t="n">
        <v>0</v>
      </c>
      <c r="K139" s="245" t="s">
        <v>55</v>
      </c>
      <c r="L139" s="245" t="s">
        <v>302</v>
      </c>
      <c r="M139" s="245" t="n">
        <v>30</v>
      </c>
      <c r="N139" s="245" t="s">
        <v>443</v>
      </c>
      <c r="O139" s="245" t="n">
        <v>0</v>
      </c>
      <c r="P139" s="245" t="n">
        <v>1</v>
      </c>
      <c r="Q139" s="245" t="n">
        <v>0</v>
      </c>
      <c r="R139" s="245" t="n">
        <v>0</v>
      </c>
      <c r="S139" s="245" t="s">
        <v>288</v>
      </c>
      <c r="T139" s="245" t="s">
        <v>288</v>
      </c>
      <c r="U139" s="245" t="s">
        <v>288</v>
      </c>
      <c r="V139" s="245" t="n">
        <v>0</v>
      </c>
      <c r="W139" s="246" t="n">
        <v>5</v>
      </c>
      <c r="X139" s="233" t="str">
        <f aca="false">LEFT(K139,2)</f>
        <v>ES</v>
      </c>
      <c r="Y139" s="0" t="str">
        <f aca="false">IF(K139=Z139,"OK","CEEK")</f>
        <v>CEEK</v>
      </c>
      <c r="Z139" s="239" t="s">
        <v>215</v>
      </c>
      <c r="AA139" s="240" t="s">
        <v>392</v>
      </c>
      <c r="AB139" s="240" t="n">
        <v>2</v>
      </c>
      <c r="AC139" s="239" t="n">
        <v>7</v>
      </c>
      <c r="AD139" s="233" t="str">
        <f aca="false">LEFT(Z139,2)</f>
        <v>EC</v>
      </c>
      <c r="AE139" s="236" t="str">
        <f aca="false">IF(AD139="TP","Khusus MABA",IF(AD139="ES","Wajib Semua",IF(AD139="EA","KBK STL",IF(AD139="EB","KBK Elka",IF(AD139="EC","KBK Telkom",IF(AD139="ED","KBK TIK"))))))</f>
        <v>KBK Telkom</v>
      </c>
      <c r="AF139" s="0" t="n">
        <v>0</v>
      </c>
    </row>
    <row r="140" customFormat="false" ht="15" hidden="true" customHeight="false" outlineLevel="0" collapsed="false">
      <c r="C140" s="0" t="s">
        <v>57</v>
      </c>
      <c r="H140" s="0" t="n">
        <v>0</v>
      </c>
      <c r="K140" s="245" t="s">
        <v>56</v>
      </c>
      <c r="L140" s="245" t="s">
        <v>406</v>
      </c>
      <c r="M140" s="245" t="n">
        <v>30</v>
      </c>
      <c r="N140" s="245" t="s">
        <v>443</v>
      </c>
      <c r="O140" s="245" t="n">
        <v>2</v>
      </c>
      <c r="P140" s="245" t="n">
        <v>0</v>
      </c>
      <c r="Q140" s="245" t="n">
        <v>0</v>
      </c>
      <c r="R140" s="245" t="n">
        <v>0</v>
      </c>
      <c r="S140" s="245" t="s">
        <v>288</v>
      </c>
      <c r="T140" s="245" t="s">
        <v>288</v>
      </c>
      <c r="U140" s="245" t="s">
        <v>288</v>
      </c>
      <c r="V140" s="245" t="n">
        <v>0</v>
      </c>
      <c r="W140" s="246" t="n">
        <v>5</v>
      </c>
      <c r="X140" s="233" t="str">
        <f aca="false">LEFT(K140,2)</f>
        <v>ES</v>
      </c>
      <c r="Y140" s="0" t="str">
        <f aca="false">IF(K140=Z140,"OK","CEEK")</f>
        <v>CEEK</v>
      </c>
      <c r="Z140" s="239" t="s">
        <v>217</v>
      </c>
      <c r="AA140" s="240" t="s">
        <v>396</v>
      </c>
      <c r="AB140" s="240" t="n">
        <v>2</v>
      </c>
      <c r="AC140" s="239" t="n">
        <v>7</v>
      </c>
      <c r="AD140" s="233" t="str">
        <f aca="false">LEFT(Z140,2)</f>
        <v>EC</v>
      </c>
      <c r="AE140" s="236" t="str">
        <f aca="false">IF(AD140="TP","Khusus MABA",IF(AD140="ES","Wajib Semua",IF(AD140="EA","KBK STL",IF(AD140="EB","KBK Elka",IF(AD140="EC","KBK Telkom",IF(AD140="ED","KBK TIK"))))))</f>
        <v>KBK Telkom</v>
      </c>
      <c r="AF140" s="0" t="n">
        <v>0</v>
      </c>
    </row>
    <row r="141" customFormat="false" ht="15" hidden="true" customHeight="false" outlineLevel="0" collapsed="false">
      <c r="E141" s="0" t="n">
        <v>19</v>
      </c>
      <c r="H141" s="0" t="n">
        <v>0</v>
      </c>
      <c r="K141" s="245" t="s">
        <v>48</v>
      </c>
      <c r="L141" s="245" t="s">
        <v>376</v>
      </c>
      <c r="M141" s="245" t="n">
        <v>30</v>
      </c>
      <c r="N141" s="245" t="s">
        <v>443</v>
      </c>
      <c r="O141" s="245" t="n">
        <v>3</v>
      </c>
      <c r="P141" s="245" t="n">
        <v>0</v>
      </c>
      <c r="Q141" s="245" t="n">
        <v>0</v>
      </c>
      <c r="R141" s="245" t="n">
        <v>0</v>
      </c>
      <c r="S141" s="245" t="s">
        <v>288</v>
      </c>
      <c r="T141" s="245" t="s">
        <v>288</v>
      </c>
      <c r="U141" s="245" t="s">
        <v>288</v>
      </c>
      <c r="V141" s="245" t="n">
        <v>0</v>
      </c>
      <c r="W141" s="246" t="n">
        <v>4</v>
      </c>
      <c r="X141" s="233" t="str">
        <f aca="false">LEFT(K141,2)</f>
        <v>ES</v>
      </c>
      <c r="Y141" s="0" t="str">
        <f aca="false">IF(K141=Z141,"OK","CEEK")</f>
        <v>CEEK</v>
      </c>
      <c r="Z141" s="239" t="s">
        <v>221</v>
      </c>
      <c r="AA141" s="240" t="s">
        <v>418</v>
      </c>
      <c r="AB141" s="240" t="n">
        <v>2</v>
      </c>
      <c r="AC141" s="239" t="n">
        <v>7</v>
      </c>
      <c r="AD141" s="233" t="str">
        <f aca="false">LEFT(Z141,2)</f>
        <v>EC</v>
      </c>
      <c r="AE141" s="236" t="str">
        <f aca="false">IF(AD141="TP","Khusus MABA",IF(AD141="ES","Wajib Semua",IF(AD141="EA","KBK STL",IF(AD141="EB","KBK Elka",IF(AD141="EC","KBK Telkom",IF(AD141="ED","KBK TIK"))))))</f>
        <v>KBK Telkom</v>
      </c>
      <c r="AF141" s="0" t="n">
        <v>0</v>
      </c>
    </row>
    <row r="142" customFormat="false" ht="15" hidden="false" customHeight="false" outlineLevel="0" collapsed="false">
      <c r="C142" s="0" t="s">
        <v>62</v>
      </c>
      <c r="H142" s="0" t="n">
        <v>0</v>
      </c>
      <c r="K142" s="245" t="s">
        <v>49</v>
      </c>
      <c r="L142" s="245" t="s">
        <v>378</v>
      </c>
      <c r="M142" s="245" t="n">
        <v>30</v>
      </c>
      <c r="N142" s="245" t="s">
        <v>443</v>
      </c>
      <c r="O142" s="245" t="n">
        <v>0</v>
      </c>
      <c r="P142" s="245" t="n">
        <v>1</v>
      </c>
      <c r="Q142" s="245" t="n">
        <v>0</v>
      </c>
      <c r="R142" s="245" t="n">
        <v>0</v>
      </c>
      <c r="S142" s="245" t="s">
        <v>288</v>
      </c>
      <c r="T142" s="245" t="s">
        <v>288</v>
      </c>
      <c r="U142" s="245" t="s">
        <v>288</v>
      </c>
      <c r="V142" s="245" t="n">
        <v>0</v>
      </c>
      <c r="W142" s="246" t="n">
        <v>4</v>
      </c>
      <c r="X142" s="233" t="str">
        <f aca="false">LEFT(K142,2)</f>
        <v>ES</v>
      </c>
      <c r="Y142" s="0" t="str">
        <f aca="false">IF(K142=Z142,"OK","CEEK")</f>
        <v>CEEK</v>
      </c>
      <c r="Z142" s="239" t="s">
        <v>223</v>
      </c>
      <c r="AA142" s="240" t="s">
        <v>419</v>
      </c>
      <c r="AB142" s="240" t="n">
        <v>2</v>
      </c>
      <c r="AC142" s="239" t="n">
        <v>7</v>
      </c>
      <c r="AD142" s="233" t="str">
        <f aca="false">LEFT(Z142,2)</f>
        <v>EC</v>
      </c>
      <c r="AE142" s="236" t="str">
        <f aca="false">IF(AD142="TP","Khusus MABA",IF(AD142="ES","Wajib Semua",IF(AD142="EA","KBK STL",IF(AD142="EB","KBK Elka",IF(AD142="EC","KBK Telkom",IF(AD142="ED","KBK TIK"))))))</f>
        <v>KBK Telkom</v>
      </c>
      <c r="AF142" s="0" t="n">
        <v>1</v>
      </c>
    </row>
    <row r="143" customFormat="false" ht="15" hidden="true" customHeight="false" outlineLevel="0" collapsed="false">
      <c r="E143" s="0" t="n">
        <v>17</v>
      </c>
      <c r="H143" s="0" t="n">
        <v>0</v>
      </c>
      <c r="K143" s="245" t="s">
        <v>50</v>
      </c>
      <c r="L143" s="245" t="s">
        <v>380</v>
      </c>
      <c r="M143" s="245" t="n">
        <v>30</v>
      </c>
      <c r="N143" s="245" t="s">
        <v>443</v>
      </c>
      <c r="O143" s="245" t="n">
        <v>0</v>
      </c>
      <c r="P143" s="245" t="n">
        <v>1</v>
      </c>
      <c r="Q143" s="245" t="n">
        <v>0</v>
      </c>
      <c r="R143" s="245" t="n">
        <v>0</v>
      </c>
      <c r="S143" s="245" t="s">
        <v>288</v>
      </c>
      <c r="T143" s="245" t="s">
        <v>288</v>
      </c>
      <c r="U143" s="245" t="s">
        <v>288</v>
      </c>
      <c r="V143" s="245" t="n">
        <v>0</v>
      </c>
      <c r="W143" s="246" t="n">
        <v>4</v>
      </c>
      <c r="X143" s="233" t="str">
        <f aca="false">LEFT(K143,2)</f>
        <v>ES</v>
      </c>
      <c r="Y143" s="0" t="str">
        <f aca="false">IF(K143=Z143,"OK","CEEK")</f>
        <v>CEEK</v>
      </c>
      <c r="Z143" s="239" t="s">
        <v>128</v>
      </c>
      <c r="AA143" s="240" t="s">
        <v>389</v>
      </c>
      <c r="AB143" s="240" t="n">
        <v>2</v>
      </c>
      <c r="AC143" s="239" t="n">
        <v>7</v>
      </c>
      <c r="AD143" s="233" t="str">
        <f aca="false">LEFT(Z143,2)</f>
        <v>EC</v>
      </c>
      <c r="AE143" s="236" t="str">
        <f aca="false">IF(AD143="TP","Khusus MABA",IF(AD143="ES","Wajib Semua",IF(AD143="EA","KBK STL",IF(AD143="EB","KBK Elka",IF(AD143="EC","KBK Telkom",IF(AD143="ED","KBK TIK"))))))</f>
        <v>KBK Telkom</v>
      </c>
      <c r="AF143" s="0" t="n">
        <v>0</v>
      </c>
    </row>
    <row r="144" customFormat="false" ht="15" hidden="true" customHeight="false" outlineLevel="0" collapsed="false">
      <c r="C144" s="0" t="s">
        <v>68</v>
      </c>
      <c r="H144" s="0" t="n">
        <v>0</v>
      </c>
      <c r="K144" s="245" t="s">
        <v>52</v>
      </c>
      <c r="L144" s="245" t="s">
        <v>407</v>
      </c>
      <c r="M144" s="245" t="n">
        <v>30</v>
      </c>
      <c r="N144" s="245" t="s">
        <v>443</v>
      </c>
      <c r="O144" s="245" t="n">
        <v>3</v>
      </c>
      <c r="P144" s="245" t="n">
        <v>0</v>
      </c>
      <c r="Q144" s="245" t="n">
        <v>0</v>
      </c>
      <c r="R144" s="245" t="n">
        <v>0</v>
      </c>
      <c r="S144" s="245" t="s">
        <v>288</v>
      </c>
      <c r="T144" s="245" t="s">
        <v>288</v>
      </c>
      <c r="U144" s="245" t="s">
        <v>288</v>
      </c>
      <c r="V144" s="245" t="n">
        <v>0</v>
      </c>
      <c r="W144" s="246" t="n">
        <v>5</v>
      </c>
      <c r="X144" s="233" t="str">
        <f aca="false">LEFT(K144,2)</f>
        <v>ES</v>
      </c>
      <c r="Y144" s="0" t="str">
        <f aca="false">IF(K144=Z144,"OK","CEEK")</f>
        <v>CEEK</v>
      </c>
      <c r="Z144" s="239" t="s">
        <v>129</v>
      </c>
      <c r="AA144" s="240" t="s">
        <v>391</v>
      </c>
      <c r="AB144" s="240" t="n">
        <v>2</v>
      </c>
      <c r="AC144" s="239" t="n">
        <v>7</v>
      </c>
      <c r="AD144" s="233" t="str">
        <f aca="false">LEFT(Z144,2)</f>
        <v>EC</v>
      </c>
      <c r="AE144" s="236" t="str">
        <f aca="false">IF(AD144="TP","Khusus MABA",IF(AD144="ES","Wajib Semua",IF(AD144="EA","KBK STL",IF(AD144="EB","KBK Elka",IF(AD144="EC","KBK Telkom",IF(AD144="ED","KBK TIK"))))))</f>
        <v>KBK Telkom</v>
      </c>
      <c r="AF144" s="0" t="n">
        <v>0</v>
      </c>
    </row>
    <row r="145" customFormat="false" ht="15" hidden="true" customHeight="false" outlineLevel="0" collapsed="false">
      <c r="E145" s="0" t="n">
        <v>18</v>
      </c>
      <c r="H145" s="0" t="n">
        <v>0</v>
      </c>
      <c r="K145" s="245" t="s">
        <v>53</v>
      </c>
      <c r="L145" s="245" t="s">
        <v>408</v>
      </c>
      <c r="M145" s="245" t="n">
        <v>30</v>
      </c>
      <c r="N145" s="245" t="s">
        <v>443</v>
      </c>
      <c r="O145" s="245" t="n">
        <v>3</v>
      </c>
      <c r="P145" s="245" t="n">
        <v>0</v>
      </c>
      <c r="Q145" s="245" t="n">
        <v>0</v>
      </c>
      <c r="R145" s="245" t="n">
        <v>0</v>
      </c>
      <c r="S145" s="245" t="s">
        <v>288</v>
      </c>
      <c r="T145" s="245" t="s">
        <v>288</v>
      </c>
      <c r="U145" s="245" t="s">
        <v>288</v>
      </c>
      <c r="V145" s="245" t="n">
        <v>0</v>
      </c>
      <c r="W145" s="246" t="n">
        <v>5</v>
      </c>
      <c r="X145" s="233" t="str">
        <f aca="false">LEFT(K145,2)</f>
        <v>ES</v>
      </c>
      <c r="Y145" s="0" t="str">
        <f aca="false">IF(K145=Z145,"OK","CEEK")</f>
        <v>CEEK</v>
      </c>
      <c r="Z145" s="239" t="s">
        <v>130</v>
      </c>
      <c r="AA145" s="240" t="s">
        <v>393</v>
      </c>
      <c r="AB145" s="240" t="n">
        <v>2</v>
      </c>
      <c r="AC145" s="239" t="n">
        <v>7</v>
      </c>
      <c r="AD145" s="233" t="str">
        <f aca="false">LEFT(Z145,2)</f>
        <v>EC</v>
      </c>
      <c r="AE145" s="236" t="str">
        <f aca="false">IF(AD145="TP","Khusus MABA",IF(AD145="ES","Wajib Semua",IF(AD145="EA","KBK STL",IF(AD145="EB","KBK Elka",IF(AD145="EC","KBK Telkom",IF(AD145="ED","KBK TIK"))))))</f>
        <v>KBK Telkom</v>
      </c>
      <c r="AF145" s="0" t="n">
        <v>0</v>
      </c>
    </row>
    <row r="146" customFormat="false" ht="15" hidden="true" customHeight="false" outlineLevel="0" collapsed="false">
      <c r="C146" s="0" t="s">
        <v>73</v>
      </c>
      <c r="H146" s="0" t="n">
        <v>0</v>
      </c>
      <c r="K146" s="245" t="s">
        <v>54</v>
      </c>
      <c r="L146" s="245" t="s">
        <v>410</v>
      </c>
      <c r="M146" s="245" t="n">
        <v>30</v>
      </c>
      <c r="N146" s="245" t="s">
        <v>443</v>
      </c>
      <c r="O146" s="245" t="n">
        <v>0</v>
      </c>
      <c r="P146" s="245" t="n">
        <v>1</v>
      </c>
      <c r="Q146" s="245" t="n">
        <v>0</v>
      </c>
      <c r="R146" s="245" t="n">
        <v>0</v>
      </c>
      <c r="S146" s="245" t="s">
        <v>288</v>
      </c>
      <c r="T146" s="245" t="s">
        <v>288</v>
      </c>
      <c r="U146" s="245" t="s">
        <v>288</v>
      </c>
      <c r="V146" s="245" t="n">
        <v>0</v>
      </c>
      <c r="W146" s="246" t="n">
        <v>5</v>
      </c>
      <c r="X146" s="233" t="str">
        <f aca="false">LEFT(K146,2)</f>
        <v>ES</v>
      </c>
      <c r="Y146" s="0" t="str">
        <f aca="false">IF(K146=Z146,"OK","CEEK")</f>
        <v>CEEK</v>
      </c>
      <c r="Z146" s="239" t="s">
        <v>131</v>
      </c>
      <c r="AA146" s="240" t="s">
        <v>395</v>
      </c>
      <c r="AB146" s="240" t="n">
        <v>1</v>
      </c>
      <c r="AC146" s="239" t="n">
        <v>7</v>
      </c>
      <c r="AD146" s="233" t="str">
        <f aca="false">LEFT(Z146,2)</f>
        <v>EC</v>
      </c>
      <c r="AE146" s="236" t="str">
        <f aca="false">IF(AD146="TP","Khusus MABA",IF(AD146="ES","Wajib Semua",IF(AD146="EA","KBK STL",IF(AD146="EB","KBK Elka",IF(AD146="EC","KBK Telkom",IF(AD146="ED","KBK TIK"))))))</f>
        <v>KBK Telkom</v>
      </c>
      <c r="AF146" s="0" t="n">
        <v>0</v>
      </c>
    </row>
    <row r="147" customFormat="false" ht="15" hidden="true" customHeight="false" outlineLevel="0" collapsed="false">
      <c r="E147" s="0" t="n">
        <v>18</v>
      </c>
      <c r="H147" s="0" t="n">
        <v>0</v>
      </c>
      <c r="K147" s="245" t="s">
        <v>79</v>
      </c>
      <c r="L147" s="245" t="s">
        <v>425</v>
      </c>
      <c r="M147" s="245" t="n">
        <v>30</v>
      </c>
      <c r="N147" s="245" t="s">
        <v>443</v>
      </c>
      <c r="O147" s="245" t="n">
        <v>0</v>
      </c>
      <c r="P147" s="245" t="n">
        <v>1</v>
      </c>
      <c r="Q147" s="245" t="n">
        <v>0</v>
      </c>
      <c r="R147" s="245" t="n">
        <v>0</v>
      </c>
      <c r="S147" s="245" t="s">
        <v>288</v>
      </c>
      <c r="T147" s="245" t="s">
        <v>288</v>
      </c>
      <c r="U147" s="245" t="s">
        <v>288</v>
      </c>
      <c r="V147" s="245" t="n">
        <v>0</v>
      </c>
      <c r="W147" s="246" t="n">
        <v>6</v>
      </c>
      <c r="X147" s="233" t="str">
        <f aca="false">LEFT(K147,2)</f>
        <v>ES</v>
      </c>
      <c r="Y147" s="0" t="str">
        <f aca="false">IF(K147=Z147,"OK","CEEK")</f>
        <v>CEEK</v>
      </c>
      <c r="Z147" s="239" t="s">
        <v>233</v>
      </c>
      <c r="AA147" s="240" t="s">
        <v>424</v>
      </c>
      <c r="AB147" s="240" t="n">
        <v>2</v>
      </c>
      <c r="AC147" s="239" t="n">
        <v>7</v>
      </c>
      <c r="AD147" s="233" t="str">
        <f aca="false">LEFT(Z147,2)</f>
        <v>ED</v>
      </c>
      <c r="AE147" s="236" t="str">
        <f aca="false">IF(AD147="TP","Khusus MABA",IF(AD147="ES","Wajib Semua",IF(AD147="EA","KBK STL",IF(AD147="EB","KBK Elka",IF(AD147="EC","KBK Telkom",IF(AD147="ED","KBK TIK"))))))</f>
        <v>KBK TIK</v>
      </c>
      <c r="AF147" s="0" t="n">
        <v>0</v>
      </c>
    </row>
    <row r="148" customFormat="false" ht="15" hidden="true" customHeight="false" outlineLevel="0" collapsed="false">
      <c r="C148" s="0" t="s">
        <v>57</v>
      </c>
      <c r="H148" s="0" t="n">
        <v>0</v>
      </c>
      <c r="K148" s="245" t="s">
        <v>113</v>
      </c>
      <c r="L148" s="245" t="s">
        <v>427</v>
      </c>
      <c r="M148" s="245" t="n">
        <v>30</v>
      </c>
      <c r="N148" s="245" t="s">
        <v>443</v>
      </c>
      <c r="O148" s="245" t="n">
        <v>0</v>
      </c>
      <c r="P148" s="245" t="n">
        <v>0</v>
      </c>
      <c r="Q148" s="245" t="n">
        <v>2</v>
      </c>
      <c r="R148" s="245" t="n">
        <v>0</v>
      </c>
      <c r="S148" s="245" t="s">
        <v>288</v>
      </c>
      <c r="T148" s="245" t="s">
        <v>288</v>
      </c>
      <c r="U148" s="245" t="s">
        <v>288</v>
      </c>
      <c r="V148" s="245" t="n">
        <v>0</v>
      </c>
      <c r="W148" s="246" t="n">
        <v>7</v>
      </c>
      <c r="X148" s="233" t="str">
        <f aca="false">LEFT(K148,2)</f>
        <v>ES</v>
      </c>
      <c r="Y148" s="0" t="str">
        <f aca="false">IF(K148=Z148,"OK","CEEK")</f>
        <v>CEEK</v>
      </c>
      <c r="Z148" s="239" t="s">
        <v>238</v>
      </c>
      <c r="AA148" s="240" t="s">
        <v>428</v>
      </c>
      <c r="AB148" s="240" t="n">
        <v>2</v>
      </c>
      <c r="AC148" s="239" t="n">
        <v>7</v>
      </c>
      <c r="AD148" s="233" t="str">
        <f aca="false">LEFT(Z148,2)</f>
        <v>ED</v>
      </c>
      <c r="AE148" s="236" t="str">
        <f aca="false">IF(AD148="TP","Khusus MABA",IF(AD148="ES","Wajib Semua",IF(AD148="EA","KBK STL",IF(AD148="EB","KBK Elka",IF(AD148="EC","KBK Telkom",IF(AD148="ED","KBK TIK"))))))</f>
        <v>KBK TIK</v>
      </c>
      <c r="AF148" s="0" t="n">
        <v>0</v>
      </c>
    </row>
    <row r="149" customFormat="false" ht="15" hidden="true" customHeight="false" outlineLevel="0" collapsed="false">
      <c r="E149" s="0" t="n">
        <v>17</v>
      </c>
      <c r="H149" s="0" t="n">
        <v>0</v>
      </c>
      <c r="K149" s="245" t="s">
        <v>114</v>
      </c>
      <c r="L149" s="245" t="s">
        <v>429</v>
      </c>
      <c r="M149" s="245" t="n">
        <v>30</v>
      </c>
      <c r="N149" s="245" t="s">
        <v>443</v>
      </c>
      <c r="O149" s="245" t="n">
        <v>2</v>
      </c>
      <c r="P149" s="245" t="n">
        <v>0</v>
      </c>
      <c r="Q149" s="245" t="n">
        <v>0</v>
      </c>
      <c r="R149" s="245" t="n">
        <v>0</v>
      </c>
      <c r="S149" s="245" t="s">
        <v>288</v>
      </c>
      <c r="T149" s="245" t="s">
        <v>288</v>
      </c>
      <c r="U149" s="245" t="s">
        <v>288</v>
      </c>
      <c r="V149" s="245" t="n">
        <v>0</v>
      </c>
      <c r="W149" s="246" t="n">
        <v>7</v>
      </c>
      <c r="X149" s="233" t="str">
        <f aca="false">LEFT(K149,2)</f>
        <v>ES</v>
      </c>
      <c r="Y149" s="0" t="str">
        <f aca="false">IF(K149=Z149,"OK","CEEK")</f>
        <v>CEEK</v>
      </c>
      <c r="Z149" s="239" t="s">
        <v>244</v>
      </c>
      <c r="AA149" s="240" t="s">
        <v>434</v>
      </c>
      <c r="AB149" s="240" t="n">
        <v>2</v>
      </c>
      <c r="AC149" s="239" t="n">
        <v>7</v>
      </c>
      <c r="AD149" s="233" t="str">
        <f aca="false">LEFT(Z149,2)</f>
        <v>ED</v>
      </c>
      <c r="AE149" s="236" t="str">
        <f aca="false">IF(AD149="TP","Khusus MABA",IF(AD149="ES","Wajib Semua",IF(AD149="EA","KBK STL",IF(AD149="EB","KBK Elka",IF(AD149="EC","KBK Telkom",IF(AD149="ED","KBK TIK"))))))</f>
        <v>KBK TIK</v>
      </c>
      <c r="AF149" s="0" t="n">
        <v>0</v>
      </c>
    </row>
    <row r="150" customFormat="false" ht="15" hidden="true" customHeight="false" outlineLevel="0" collapsed="false">
      <c r="C150" s="0" t="s">
        <v>62</v>
      </c>
      <c r="H150" s="0" t="n">
        <v>0</v>
      </c>
      <c r="K150" s="245" t="s">
        <v>141</v>
      </c>
      <c r="L150" s="245" t="s">
        <v>431</v>
      </c>
      <c r="M150" s="245" t="n">
        <v>30</v>
      </c>
      <c r="N150" s="245" t="s">
        <v>443</v>
      </c>
      <c r="O150" s="245" t="n">
        <v>4</v>
      </c>
      <c r="P150" s="245" t="n">
        <v>0</v>
      </c>
      <c r="Q150" s="245" t="n">
        <v>0</v>
      </c>
      <c r="R150" s="245" t="n">
        <v>0</v>
      </c>
      <c r="S150" s="245" t="s">
        <v>288</v>
      </c>
      <c r="T150" s="245" t="s">
        <v>288</v>
      </c>
      <c r="U150" s="245" t="s">
        <v>288</v>
      </c>
      <c r="V150" s="245" t="n">
        <v>0</v>
      </c>
      <c r="W150" s="246" t="n">
        <v>8</v>
      </c>
      <c r="X150" s="233" t="str">
        <f aca="false">LEFT(K150,2)</f>
        <v>ES</v>
      </c>
      <c r="Y150" s="0" t="str">
        <f aca="false">IF(K150=Z150,"OK","CEEK")</f>
        <v>CEEK</v>
      </c>
      <c r="Z150" s="239" t="s">
        <v>248</v>
      </c>
      <c r="AA150" s="240" t="s">
        <v>396</v>
      </c>
      <c r="AB150" s="240" t="n">
        <v>2</v>
      </c>
      <c r="AC150" s="239" t="n">
        <v>7</v>
      </c>
      <c r="AD150" s="233" t="str">
        <f aca="false">LEFT(Z150,2)</f>
        <v>ED</v>
      </c>
      <c r="AE150" s="236" t="str">
        <f aca="false">IF(AD150="TP","Khusus MABA",IF(AD150="ES","Wajib Semua",IF(AD150="EA","KBK STL",IF(AD150="EB","KBK Elka",IF(AD150="EC","KBK Telkom",IF(AD150="ED","KBK TIK"))))))</f>
        <v>KBK TIK</v>
      </c>
      <c r="AF150" s="0" t="n">
        <v>0</v>
      </c>
    </row>
    <row r="151" customFormat="false" ht="15" hidden="true" customHeight="false" outlineLevel="0" collapsed="false">
      <c r="E151" s="0" t="n">
        <v>18</v>
      </c>
      <c r="H151" s="0" t="n">
        <v>0</v>
      </c>
      <c r="K151" s="245" t="s">
        <v>142</v>
      </c>
      <c r="L151" s="245" t="s">
        <v>433</v>
      </c>
      <c r="M151" s="245" t="n">
        <v>30</v>
      </c>
      <c r="N151" s="245" t="s">
        <v>443</v>
      </c>
      <c r="O151" s="245" t="n">
        <v>2</v>
      </c>
      <c r="P151" s="245" t="n">
        <v>0</v>
      </c>
      <c r="Q151" s="245" t="n">
        <v>0</v>
      </c>
      <c r="R151" s="245" t="n">
        <v>0</v>
      </c>
      <c r="S151" s="245" t="s">
        <v>288</v>
      </c>
      <c r="T151" s="245" t="s">
        <v>288</v>
      </c>
      <c r="U151" s="245" t="s">
        <v>288</v>
      </c>
      <c r="V151" s="245" t="n">
        <v>0</v>
      </c>
      <c r="W151" s="246" t="n">
        <v>8</v>
      </c>
      <c r="X151" s="233" t="str">
        <f aca="false">LEFT(K151,2)</f>
        <v>ES</v>
      </c>
      <c r="Y151" s="0" t="str">
        <f aca="false">IF(K151=Z151,"OK","CEEK")</f>
        <v>CEEK</v>
      </c>
      <c r="Z151" s="239" t="s">
        <v>250</v>
      </c>
      <c r="AA151" s="240" t="s">
        <v>437</v>
      </c>
      <c r="AB151" s="240" t="n">
        <v>2</v>
      </c>
      <c r="AC151" s="239" t="n">
        <v>7</v>
      </c>
      <c r="AD151" s="233" t="str">
        <f aca="false">LEFT(Z151,2)</f>
        <v>ED</v>
      </c>
      <c r="AE151" s="236" t="str">
        <f aca="false">IF(AD151="TP","Khusus MABA",IF(AD151="ES","Wajib Semua",IF(AD151="EA","KBK STL",IF(AD151="EB","KBK Elka",IF(AD151="EC","KBK Telkom",IF(AD151="ED","KBK TIK"))))))</f>
        <v>KBK TIK</v>
      </c>
      <c r="AF151" s="0" t="n">
        <v>0</v>
      </c>
    </row>
    <row r="152" customFormat="false" ht="15" hidden="true" customHeight="false" outlineLevel="0" collapsed="false">
      <c r="C152" s="0" t="s">
        <v>68</v>
      </c>
      <c r="H152" s="0" t="n">
        <v>0</v>
      </c>
      <c r="K152" s="245" t="s">
        <v>143</v>
      </c>
      <c r="L152" s="245" t="s">
        <v>435</v>
      </c>
      <c r="M152" s="245" t="n">
        <v>30</v>
      </c>
      <c r="N152" s="245" t="s">
        <v>444</v>
      </c>
      <c r="O152" s="245" t="n">
        <v>0</v>
      </c>
      <c r="P152" s="245" t="n">
        <v>0</v>
      </c>
      <c r="Q152" s="245" t="n">
        <v>4</v>
      </c>
      <c r="R152" s="245" t="n">
        <v>0</v>
      </c>
      <c r="S152" s="245" t="s">
        <v>288</v>
      </c>
      <c r="T152" s="245" t="s">
        <v>288</v>
      </c>
      <c r="U152" s="245" t="s">
        <v>288</v>
      </c>
      <c r="V152" s="245" t="n">
        <v>0</v>
      </c>
      <c r="W152" s="246" t="n">
        <v>8</v>
      </c>
      <c r="X152" s="233" t="str">
        <f aca="false">LEFT(K152,2)</f>
        <v>ES</v>
      </c>
      <c r="Y152" s="0" t="str">
        <f aca="false">IF(K152=Z152,"OK","CEEK")</f>
        <v>CEEK</v>
      </c>
      <c r="Z152" s="239" t="s">
        <v>252</v>
      </c>
      <c r="AA152" s="240" t="s">
        <v>438</v>
      </c>
      <c r="AB152" s="240" t="n">
        <v>2</v>
      </c>
      <c r="AC152" s="239" t="n">
        <v>7</v>
      </c>
      <c r="AD152" s="233" t="str">
        <f aca="false">LEFT(Z152,2)</f>
        <v>ED</v>
      </c>
      <c r="AE152" s="236" t="str">
        <f aca="false">IF(AD152="TP","Khusus MABA",IF(AD152="ES","Wajib Semua",IF(AD152="EA","KBK STL",IF(AD152="EB","KBK Elka",IF(AD152="EC","KBK Telkom",IF(AD152="ED","KBK TIK"))))))</f>
        <v>KBK TIK</v>
      </c>
      <c r="AF152" s="0" t="n">
        <v>0</v>
      </c>
    </row>
    <row r="153" customFormat="false" ht="15" hidden="true" customHeight="false" outlineLevel="0" collapsed="false">
      <c r="E153" s="0" t="n">
        <v>17</v>
      </c>
      <c r="H153" s="0" t="n">
        <v>0</v>
      </c>
      <c r="K153" s="232" t="s">
        <v>15</v>
      </c>
      <c r="L153" s="232" t="s">
        <v>289</v>
      </c>
      <c r="M153" s="232" t="n">
        <v>30</v>
      </c>
      <c r="N153" s="232" t="s">
        <v>443</v>
      </c>
      <c r="O153" s="232" t="n">
        <v>3</v>
      </c>
      <c r="P153" s="232" t="n">
        <v>0</v>
      </c>
      <c r="Q153" s="232" t="n">
        <v>0</v>
      </c>
      <c r="R153" s="232" t="n">
        <v>0</v>
      </c>
      <c r="S153" s="232" t="s">
        <v>288</v>
      </c>
      <c r="T153" s="232" t="s">
        <v>288</v>
      </c>
      <c r="U153" s="232" t="s">
        <v>288</v>
      </c>
      <c r="V153" s="232" t="n">
        <v>0</v>
      </c>
      <c r="W153" s="233" t="n">
        <v>1</v>
      </c>
      <c r="X153" s="233" t="str">
        <f aca="false">LEFT(K153,2)</f>
        <v>TP</v>
      </c>
      <c r="Y153" s="0" t="str">
        <f aca="false">IF(K153=Z153,"OK","CEEK")</f>
        <v>CEEK</v>
      </c>
      <c r="Z153" s="239" t="s">
        <v>258</v>
      </c>
      <c r="AA153" s="240" t="s">
        <v>441</v>
      </c>
      <c r="AB153" s="240" t="n">
        <v>2</v>
      </c>
      <c r="AC153" s="239" t="n">
        <v>7</v>
      </c>
      <c r="AD153" s="233" t="str">
        <f aca="false">LEFT(Z153,2)</f>
        <v>ED</v>
      </c>
      <c r="AE153" s="236" t="str">
        <f aca="false">IF(AD153="TP","Khusus MABA",IF(AD153="ES","Wajib Semua",IF(AD153="EA","KBK STL",IF(AD153="EB","KBK Elka",IF(AD153="EC","KBK Telkom",IF(AD153="ED","KBK TIK"))))))</f>
        <v>KBK TIK</v>
      </c>
      <c r="AF153" s="0" t="n">
        <v>0</v>
      </c>
    </row>
    <row r="154" customFormat="false" ht="15" hidden="true" customHeight="false" outlineLevel="0" collapsed="false">
      <c r="C154" s="0" t="s">
        <v>73</v>
      </c>
      <c r="H154" s="0" t="n">
        <v>0</v>
      </c>
      <c r="K154" s="232" t="s">
        <v>16</v>
      </c>
      <c r="L154" s="232" t="s">
        <v>295</v>
      </c>
      <c r="M154" s="232" t="n">
        <v>30</v>
      </c>
      <c r="N154" s="232" t="s">
        <v>443</v>
      </c>
      <c r="O154" s="232" t="n">
        <v>3</v>
      </c>
      <c r="P154" s="232" t="n">
        <v>0</v>
      </c>
      <c r="Q154" s="232" t="n">
        <v>0</v>
      </c>
      <c r="R154" s="232" t="n">
        <v>0</v>
      </c>
      <c r="S154" s="232" t="s">
        <v>288</v>
      </c>
      <c r="T154" s="232" t="s">
        <v>288</v>
      </c>
      <c r="U154" s="232" t="s">
        <v>288</v>
      </c>
      <c r="V154" s="232" t="n">
        <v>0</v>
      </c>
      <c r="W154" s="233" t="n">
        <v>1</v>
      </c>
      <c r="X154" s="233" t="str">
        <f aca="false">LEFT(K154,2)</f>
        <v>TP</v>
      </c>
      <c r="Y154" s="0" t="str">
        <f aca="false">IF(K154=Z154,"OK","CEEK")</f>
        <v>CEEK</v>
      </c>
      <c r="Z154" s="239" t="s">
        <v>134</v>
      </c>
      <c r="AA154" s="240" t="s">
        <v>363</v>
      </c>
      <c r="AB154" s="240" t="n">
        <v>3</v>
      </c>
      <c r="AC154" s="239" t="n">
        <v>7</v>
      </c>
      <c r="AD154" s="233" t="str">
        <f aca="false">LEFT(Z154,2)</f>
        <v>ED</v>
      </c>
      <c r="AE154" s="236" t="str">
        <f aca="false">IF(AD154="TP","Khusus MABA",IF(AD154="ES","Wajib Semua",IF(AD154="EA","KBK STL",IF(AD154="EB","KBK Elka",IF(AD154="EC","KBK Telkom",IF(AD154="ED","KBK TIK"))))))</f>
        <v>KBK TIK</v>
      </c>
      <c r="AF154" s="0" t="n">
        <v>0</v>
      </c>
    </row>
    <row r="155" customFormat="false" ht="15" hidden="true" customHeight="false" outlineLevel="0" collapsed="false">
      <c r="E155" s="0" t="n">
        <v>16</v>
      </c>
      <c r="H155" s="0" t="n">
        <v>0</v>
      </c>
      <c r="K155" s="232" t="s">
        <v>17</v>
      </c>
      <c r="L155" s="232" t="s">
        <v>298</v>
      </c>
      <c r="M155" s="232" t="n">
        <v>30</v>
      </c>
      <c r="N155" s="232" t="s">
        <v>443</v>
      </c>
      <c r="O155" s="232" t="n">
        <v>3</v>
      </c>
      <c r="P155" s="232" t="n">
        <v>0</v>
      </c>
      <c r="Q155" s="232" t="n">
        <v>0</v>
      </c>
      <c r="R155" s="232" t="n">
        <v>0</v>
      </c>
      <c r="S155" s="232" t="s">
        <v>288</v>
      </c>
      <c r="T155" s="232" t="s">
        <v>288</v>
      </c>
      <c r="U155" s="232" t="s">
        <v>288</v>
      </c>
      <c r="V155" s="232" t="n">
        <v>0</v>
      </c>
      <c r="W155" s="233" t="n">
        <v>1</v>
      </c>
      <c r="X155" s="233" t="str">
        <f aca="false">LEFT(K155,2)</f>
        <v>TP</v>
      </c>
      <c r="Y155" s="0" t="str">
        <f aca="false">IF(K155=Z155,"OK","CEEK")</f>
        <v>CEEK</v>
      </c>
      <c r="Z155" s="239" t="s">
        <v>135</v>
      </c>
      <c r="AA155" s="240" t="s">
        <v>409</v>
      </c>
      <c r="AB155" s="240" t="n">
        <v>2</v>
      </c>
      <c r="AC155" s="239" t="n">
        <v>7</v>
      </c>
      <c r="AD155" s="233" t="str">
        <f aca="false">LEFT(Z155,2)</f>
        <v>ED</v>
      </c>
      <c r="AE155" s="236" t="str">
        <f aca="false">IF(AD155="TP","Khusus MABA",IF(AD155="ES","Wajib Semua",IF(AD155="EA","KBK STL",IF(AD155="EB","KBK Elka",IF(AD155="EC","KBK Telkom",IF(AD155="ED","KBK TIK"))))))</f>
        <v>KBK TIK</v>
      </c>
      <c r="AF155" s="0" t="n">
        <v>0</v>
      </c>
    </row>
    <row r="156" customFormat="false" ht="15" hidden="true" customHeight="false" outlineLevel="0" collapsed="false">
      <c r="K156" s="232" t="s">
        <v>18</v>
      </c>
      <c r="L156" s="232" t="s">
        <v>301</v>
      </c>
      <c r="M156" s="232" t="n">
        <v>30</v>
      </c>
      <c r="N156" s="232" t="s">
        <v>443</v>
      </c>
      <c r="O156" s="232" t="n">
        <v>3</v>
      </c>
      <c r="P156" s="232" t="n">
        <v>0</v>
      </c>
      <c r="Q156" s="232" t="n">
        <v>0</v>
      </c>
      <c r="R156" s="232" t="n">
        <v>0</v>
      </c>
      <c r="S156" s="232" t="s">
        <v>288</v>
      </c>
      <c r="T156" s="232" t="s">
        <v>288</v>
      </c>
      <c r="U156" s="232" t="s">
        <v>288</v>
      </c>
      <c r="V156" s="232" t="n">
        <v>0</v>
      </c>
      <c r="W156" s="233" t="n">
        <v>1</v>
      </c>
      <c r="X156" s="233" t="str">
        <f aca="false">LEFT(K156,2)</f>
        <v>TP</v>
      </c>
      <c r="Y156" s="0" t="str">
        <f aca="false">IF(K156=Z156,"OK","CEEK")</f>
        <v>CEEK</v>
      </c>
      <c r="Z156" s="239" t="s">
        <v>136</v>
      </c>
      <c r="AA156" s="240" t="s">
        <v>411</v>
      </c>
      <c r="AB156" s="240" t="n">
        <v>1</v>
      </c>
      <c r="AC156" s="239" t="n">
        <v>7</v>
      </c>
      <c r="AD156" s="233" t="str">
        <f aca="false">LEFT(Z156,2)</f>
        <v>ED</v>
      </c>
      <c r="AE156" s="236" t="str">
        <f aca="false">IF(AD156="TP","Khusus MABA",IF(AD156="ES","Wajib Semua",IF(AD156="EA","KBK STL",IF(AD156="EB","KBK Elka",IF(AD156="EC","KBK Telkom",IF(AD156="ED","KBK TIK"))))))</f>
        <v>KBK TIK</v>
      </c>
      <c r="AF156" s="0" t="n">
        <v>0</v>
      </c>
    </row>
    <row r="157" customFormat="false" ht="15" hidden="true" customHeight="false" outlineLevel="0" collapsed="false">
      <c r="K157" s="232" t="s">
        <v>11</v>
      </c>
      <c r="L157" s="232" t="s">
        <v>304</v>
      </c>
      <c r="M157" s="232" t="n">
        <v>30</v>
      </c>
      <c r="N157" s="232" t="s">
        <v>443</v>
      </c>
      <c r="O157" s="232" t="n">
        <v>2</v>
      </c>
      <c r="P157" s="232" t="n">
        <v>0</v>
      </c>
      <c r="Q157" s="232" t="n">
        <v>0</v>
      </c>
      <c r="R157" s="232" t="n">
        <v>0</v>
      </c>
      <c r="S157" s="232" t="s">
        <v>288</v>
      </c>
      <c r="T157" s="232" t="s">
        <v>288</v>
      </c>
      <c r="U157" s="232" t="s">
        <v>288</v>
      </c>
      <c r="V157" s="232" t="n">
        <v>0</v>
      </c>
      <c r="W157" s="233" t="n">
        <v>1</v>
      </c>
      <c r="X157" s="233" t="str">
        <f aca="false">LEFT(K157,2)</f>
        <v>TP</v>
      </c>
      <c r="Y157" s="0" t="str">
        <f aca="false">IF(K157=Z157,"OK","CEEK")</f>
        <v>CEEK</v>
      </c>
      <c r="Z157" s="239" t="s">
        <v>137</v>
      </c>
      <c r="AA157" s="240" t="s">
        <v>412</v>
      </c>
      <c r="AB157" s="240" t="n">
        <v>1</v>
      </c>
      <c r="AC157" s="239" t="n">
        <v>7</v>
      </c>
      <c r="AD157" s="233" t="str">
        <f aca="false">LEFT(Z157,2)</f>
        <v>ED</v>
      </c>
      <c r="AE157" s="236" t="str">
        <f aca="false">IF(AD157="TP","Khusus MABA",IF(AD157="ES","Wajib Semua",IF(AD157="EA","KBK STL",IF(AD157="EB","KBK Elka",IF(AD157="EC","KBK Telkom",IF(AD157="ED","KBK TIK"))))))</f>
        <v>KBK TIK</v>
      </c>
      <c r="AF157" s="0" t="n">
        <v>0</v>
      </c>
    </row>
    <row r="158" customFormat="false" ht="15" hidden="true" customHeight="false" outlineLevel="0" collapsed="false">
      <c r="K158" s="232" t="s">
        <v>12</v>
      </c>
      <c r="L158" s="232" t="s">
        <v>296</v>
      </c>
      <c r="M158" s="232" t="n">
        <v>30</v>
      </c>
      <c r="N158" s="232" t="s">
        <v>443</v>
      </c>
      <c r="O158" s="232" t="n">
        <v>2</v>
      </c>
      <c r="P158" s="232" t="n">
        <v>0</v>
      </c>
      <c r="Q158" s="232" t="n">
        <v>0</v>
      </c>
      <c r="R158" s="232" t="n">
        <v>0</v>
      </c>
      <c r="S158" s="232" t="s">
        <v>288</v>
      </c>
      <c r="T158" s="232" t="s">
        <v>288</v>
      </c>
      <c r="U158" s="232" t="s">
        <v>288</v>
      </c>
      <c r="V158" s="232" t="n">
        <v>0</v>
      </c>
      <c r="W158" s="233" t="n">
        <v>1</v>
      </c>
      <c r="X158" s="233" t="str">
        <f aca="false">LEFT(K158,2)</f>
        <v>TP</v>
      </c>
      <c r="Y158" s="0" t="str">
        <f aca="false">IF(K158=Z158,"OK","CEEK")</f>
        <v>CEEK</v>
      </c>
      <c r="Z158" s="239" t="s">
        <v>138</v>
      </c>
      <c r="AA158" s="240" t="s">
        <v>413</v>
      </c>
      <c r="AB158" s="240" t="n">
        <v>1</v>
      </c>
      <c r="AC158" s="239" t="n">
        <v>7</v>
      </c>
      <c r="AD158" s="233" t="str">
        <f aca="false">LEFT(Z158,2)</f>
        <v>ED</v>
      </c>
      <c r="AE158" s="236" t="str">
        <f aca="false">IF(AD158="TP","Khusus MABA",IF(AD158="ES","Wajib Semua",IF(AD158="EA","KBK STL",IF(AD158="EB","KBK Elka",IF(AD158="EC","KBK Telkom",IF(AD158="ED","KBK TIK"))))))</f>
        <v>KBK TIK</v>
      </c>
      <c r="AF158" s="0" t="n">
        <v>0</v>
      </c>
    </row>
    <row r="159" customFormat="false" ht="15" hidden="true" customHeight="false" outlineLevel="0" collapsed="false">
      <c r="K159" s="245" t="s">
        <v>20</v>
      </c>
      <c r="L159" s="245" t="s">
        <v>330</v>
      </c>
      <c r="M159" s="245" t="n">
        <v>30</v>
      </c>
      <c r="N159" s="245" t="s">
        <v>443</v>
      </c>
      <c r="O159" s="245" t="n">
        <v>2</v>
      </c>
      <c r="P159" s="245" t="n">
        <v>0</v>
      </c>
      <c r="Q159" s="245" t="n">
        <v>0</v>
      </c>
      <c r="R159" s="245" t="n">
        <v>0</v>
      </c>
      <c r="S159" s="245" t="s">
        <v>288</v>
      </c>
      <c r="T159" s="245" t="s">
        <v>288</v>
      </c>
      <c r="U159" s="245" t="s">
        <v>288</v>
      </c>
      <c r="V159" s="245" t="n">
        <v>0</v>
      </c>
      <c r="W159" s="246" t="n">
        <v>2</v>
      </c>
      <c r="X159" s="233" t="str">
        <f aca="false">LEFT(K159,2)</f>
        <v>TP</v>
      </c>
      <c r="Y159" s="0" t="str">
        <f aca="false">IF(K159=Z159,"OK","CEEK")</f>
        <v>CEEK</v>
      </c>
      <c r="Z159" s="241" t="s">
        <v>112</v>
      </c>
      <c r="AA159" s="242" t="s">
        <v>423</v>
      </c>
      <c r="AB159" s="242" t="n">
        <v>2</v>
      </c>
      <c r="AC159" s="241" t="n">
        <v>7</v>
      </c>
      <c r="AD159" s="233" t="str">
        <f aca="false">LEFT(Z159,2)</f>
        <v>ES</v>
      </c>
      <c r="AE159" s="236" t="str">
        <f aca="false">IF(AD159="TP","Khusus MABA",IF(AD159="ES","Wajib Semua",IF(AD159="EA","KBK STL",IF(AD159="EB","KBK Elka",IF(AD159="EC","KBK Telkom",IF(AD159="ED","KBK TIK"))))))</f>
        <v>Wajib Semua</v>
      </c>
      <c r="AF159" s="0" t="n">
        <v>0</v>
      </c>
    </row>
    <row r="160" customFormat="false" ht="15" hidden="false" customHeight="false" outlineLevel="0" collapsed="false">
      <c r="K160" s="232" t="s">
        <v>13</v>
      </c>
      <c r="L160" s="232" t="s">
        <v>291</v>
      </c>
      <c r="M160" s="232" t="n">
        <v>30</v>
      </c>
      <c r="N160" s="232" t="s">
        <v>443</v>
      </c>
      <c r="O160" s="232" t="n">
        <v>2</v>
      </c>
      <c r="P160" s="232" t="n">
        <v>0</v>
      </c>
      <c r="Q160" s="232" t="n">
        <v>0</v>
      </c>
      <c r="R160" s="232" t="n">
        <v>0</v>
      </c>
      <c r="S160" s="232" t="s">
        <v>288</v>
      </c>
      <c r="T160" s="232" t="s">
        <v>288</v>
      </c>
      <c r="U160" s="232" t="s">
        <v>288</v>
      </c>
      <c r="V160" s="232" t="n">
        <v>0</v>
      </c>
      <c r="W160" s="233" t="n">
        <v>1</v>
      </c>
      <c r="X160" s="233" t="str">
        <f aca="false">LEFT(K160,2)</f>
        <v>TP</v>
      </c>
      <c r="Y160" s="0" t="str">
        <f aca="false">IF(K160=Z160,"OK","CEEK")</f>
        <v>CEEK</v>
      </c>
      <c r="Z160" s="239" t="s">
        <v>113</v>
      </c>
      <c r="AA160" s="240" t="s">
        <v>427</v>
      </c>
      <c r="AB160" s="240" t="n">
        <v>2</v>
      </c>
      <c r="AC160" s="239" t="n">
        <v>7</v>
      </c>
      <c r="AD160" s="243" t="str">
        <f aca="false">LEFT(Z160,2)</f>
        <v>ES</v>
      </c>
      <c r="AE160" s="233" t="str">
        <f aca="false">IF(AD160="TP","Khusus MABA",IF(AD160="ES","Wajib Semua",IF(AD160="EA","KBK STL",IF(AD160="EB","KBK Elka",IF(AD160="EC","KBK Telkom",IF(AD160="ED","KBK TIK"))))))</f>
        <v>Wajib Semua</v>
      </c>
      <c r="AF160" s="0" t="n">
        <v>1</v>
      </c>
    </row>
    <row r="161" customFormat="false" ht="15" hidden="false" customHeight="false" outlineLevel="0" collapsed="false">
      <c r="K161" s="232" t="s">
        <v>14</v>
      </c>
      <c r="L161" s="232" t="s">
        <v>310</v>
      </c>
      <c r="M161" s="232" t="n">
        <v>30</v>
      </c>
      <c r="N161" s="232" t="s">
        <v>443</v>
      </c>
      <c r="O161" s="232" t="n">
        <v>2</v>
      </c>
      <c r="P161" s="232" t="n">
        <v>0</v>
      </c>
      <c r="Q161" s="232" t="n">
        <v>0</v>
      </c>
      <c r="R161" s="232" t="n">
        <v>0</v>
      </c>
      <c r="S161" s="232" t="s">
        <v>288</v>
      </c>
      <c r="T161" s="232" t="s">
        <v>288</v>
      </c>
      <c r="U161" s="232" t="s">
        <v>288</v>
      </c>
      <c r="V161" s="232" t="n">
        <v>0</v>
      </c>
      <c r="W161" s="233" t="n">
        <v>1</v>
      </c>
      <c r="X161" s="233" t="str">
        <f aca="false">LEFT(K161,2)</f>
        <v>TP</v>
      </c>
      <c r="Y161" s="0" t="str">
        <f aca="false">IF(K161=Z161,"OK","CEEK")</f>
        <v>CEEK</v>
      </c>
      <c r="Z161" s="239" t="s">
        <v>114</v>
      </c>
      <c r="AA161" s="240" t="s">
        <v>429</v>
      </c>
      <c r="AB161" s="240" t="n">
        <v>2</v>
      </c>
      <c r="AC161" s="239" t="n">
        <v>7</v>
      </c>
      <c r="AD161" s="243" t="str">
        <f aca="false">LEFT(Z161,2)</f>
        <v>ES</v>
      </c>
      <c r="AE161" s="233" t="str">
        <f aca="false">IF(AD161="TP","Khusus MABA",IF(AD161="ES","Wajib Semua",IF(AD161="EA","KBK STL",IF(AD161="EB","KBK Elka",IF(AD161="EC","KBK Telkom",IF(AD161="ED","KBK TIK"))))))</f>
        <v>Wajib Semua</v>
      </c>
      <c r="AF161" s="0" t="n">
        <v>1</v>
      </c>
    </row>
    <row r="162" customFormat="false" ht="15" hidden="false" customHeight="false" outlineLevel="0" collapsed="false">
      <c r="K162" s="245" t="s">
        <v>21</v>
      </c>
      <c r="L162" s="245" t="s">
        <v>333</v>
      </c>
      <c r="M162" s="245" t="n">
        <v>30</v>
      </c>
      <c r="N162" s="245" t="s">
        <v>443</v>
      </c>
      <c r="O162" s="245" t="n">
        <v>2</v>
      </c>
      <c r="P162" s="245" t="n">
        <v>0</v>
      </c>
      <c r="Q162" s="245" t="n">
        <v>0</v>
      </c>
      <c r="R162" s="245" t="n">
        <v>0</v>
      </c>
      <c r="S162" s="245" t="s">
        <v>288</v>
      </c>
      <c r="T162" s="245" t="s">
        <v>288</v>
      </c>
      <c r="U162" s="245" t="s">
        <v>288</v>
      </c>
      <c r="V162" s="245" t="n">
        <v>0</v>
      </c>
      <c r="W162" s="246" t="n">
        <v>2</v>
      </c>
      <c r="X162" s="233" t="str">
        <f aca="false">LEFT(K162,2)</f>
        <v>TP</v>
      </c>
      <c r="Y162" s="0" t="str">
        <f aca="false">IF(K162=Z162,"OK","CEEK")</f>
        <v>CEEK</v>
      </c>
      <c r="Z162" s="239" t="s">
        <v>141</v>
      </c>
      <c r="AA162" s="240" t="s">
        <v>431</v>
      </c>
      <c r="AB162" s="240" t="n">
        <v>4</v>
      </c>
      <c r="AC162" s="239" t="n">
        <v>8</v>
      </c>
      <c r="AD162" s="243" t="str">
        <f aca="false">LEFT(Z162,2)</f>
        <v>ES</v>
      </c>
      <c r="AE162" s="233" t="str">
        <f aca="false">IF(AD162="TP","Khusus MABA",IF(AD162="ES","Wajib Semua",IF(AD162="EA","KBK STL",IF(AD162="EB","KBK Elka",IF(AD162="EC","KBK Telkom",IF(AD162="ED","KBK TIK"))))))</f>
        <v>Wajib Semua</v>
      </c>
      <c r="AF162" s="0" t="n">
        <v>1</v>
      </c>
    </row>
    <row r="163" customFormat="false" ht="15" hidden="false" customHeight="false" outlineLevel="0" collapsed="false">
      <c r="K163" s="245" t="s">
        <v>22</v>
      </c>
      <c r="L163" s="245" t="s">
        <v>336</v>
      </c>
      <c r="M163" s="245" t="n">
        <v>30</v>
      </c>
      <c r="N163" s="245" t="s">
        <v>443</v>
      </c>
      <c r="O163" s="245" t="n">
        <v>2</v>
      </c>
      <c r="P163" s="245" t="n">
        <v>0</v>
      </c>
      <c r="Q163" s="245" t="n">
        <v>0</v>
      </c>
      <c r="R163" s="245" t="n">
        <v>0</v>
      </c>
      <c r="S163" s="245" t="s">
        <v>288</v>
      </c>
      <c r="T163" s="245" t="s">
        <v>288</v>
      </c>
      <c r="U163" s="245" t="s">
        <v>288</v>
      </c>
      <c r="V163" s="245" t="n">
        <v>0</v>
      </c>
      <c r="W163" s="246" t="n">
        <v>2</v>
      </c>
      <c r="X163" s="233" t="str">
        <f aca="false">LEFT(K163,2)</f>
        <v>TP</v>
      </c>
      <c r="Y163" s="0" t="str">
        <f aca="false">IF(K163=Z163,"OK","CEEK")</f>
        <v>CEEK</v>
      </c>
      <c r="Z163" s="239" t="s">
        <v>142</v>
      </c>
      <c r="AA163" s="240" t="s">
        <v>433</v>
      </c>
      <c r="AB163" s="240" t="n">
        <v>2</v>
      </c>
      <c r="AC163" s="239" t="n">
        <v>8</v>
      </c>
      <c r="AD163" s="243" t="str">
        <f aca="false">LEFT(Z163,2)</f>
        <v>ES</v>
      </c>
      <c r="AE163" s="233" t="str">
        <f aca="false">IF(AD163="TP","Khusus MABA",IF(AD163="ES","Wajib Semua",IF(AD163="EA","KBK STL",IF(AD163="EB","KBK Elka",IF(AD163="EC","KBK Telkom",IF(AD163="ED","KBK TIK"))))))</f>
        <v>Wajib Semua</v>
      </c>
      <c r="AF163" s="0" t="n">
        <v>1</v>
      </c>
    </row>
    <row r="164" customFormat="false" ht="15" hidden="false" customHeight="false" outlineLevel="0" collapsed="false">
      <c r="K164" s="245" t="s">
        <v>23</v>
      </c>
      <c r="L164" s="245" t="s">
        <v>299</v>
      </c>
      <c r="M164" s="245" t="n">
        <v>30</v>
      </c>
      <c r="N164" s="245" t="s">
        <v>443</v>
      </c>
      <c r="O164" s="245" t="n">
        <v>2</v>
      </c>
      <c r="P164" s="245" t="n">
        <v>0</v>
      </c>
      <c r="Q164" s="245" t="n">
        <v>0</v>
      </c>
      <c r="R164" s="245" t="n">
        <v>0</v>
      </c>
      <c r="S164" s="245" t="s">
        <v>288</v>
      </c>
      <c r="T164" s="245" t="s">
        <v>288</v>
      </c>
      <c r="U164" s="245" t="s">
        <v>288</v>
      </c>
      <c r="V164" s="245" t="n">
        <v>0</v>
      </c>
      <c r="W164" s="246" t="n">
        <v>2</v>
      </c>
      <c r="X164" s="233" t="str">
        <f aca="false">LEFT(K164,2)</f>
        <v>TP</v>
      </c>
      <c r="Y164" s="0" t="str">
        <f aca="false">IF(K164=Z164,"OK","CEEK")</f>
        <v>CEEK</v>
      </c>
      <c r="Z164" s="239" t="s">
        <v>143</v>
      </c>
      <c r="AA164" s="240" t="s">
        <v>435</v>
      </c>
      <c r="AB164" s="240" t="n">
        <v>4</v>
      </c>
      <c r="AC164" s="239" t="n">
        <v>8</v>
      </c>
      <c r="AD164" s="243" t="str">
        <f aca="false">LEFT(Z164,2)</f>
        <v>ES</v>
      </c>
      <c r="AE164" s="233" t="str">
        <f aca="false">IF(AD164="TP","Khusus MABA",IF(AD164="ES","Wajib Semua",IF(AD164="EA","KBK STL",IF(AD164="EB","KBK Elka",IF(AD164="EC","KBK Telkom",IF(AD164="ED","KBK TIK"))))))</f>
        <v>Wajib Semua</v>
      </c>
      <c r="AF164" s="0" t="n">
        <v>1</v>
      </c>
    </row>
    <row r="165" customFormat="false" ht="15" hidden="true" customHeight="false" outlineLevel="0" collapsed="false">
      <c r="K165" s="245" t="s">
        <v>445</v>
      </c>
      <c r="L165" s="245" t="s">
        <v>435</v>
      </c>
      <c r="M165" s="245" t="n">
        <v>30</v>
      </c>
      <c r="N165" s="245" t="s">
        <v>444</v>
      </c>
      <c r="O165" s="245" t="n">
        <v>0</v>
      </c>
      <c r="P165" s="245" t="n">
        <v>0</v>
      </c>
      <c r="Q165" s="245" t="n">
        <v>6</v>
      </c>
      <c r="R165" s="245" t="n">
        <v>0</v>
      </c>
      <c r="S165" s="245" t="s">
        <v>288</v>
      </c>
      <c r="T165" s="245" t="s">
        <v>288</v>
      </c>
      <c r="U165" s="245" t="s">
        <v>288</v>
      </c>
      <c r="V165" s="245" t="n">
        <v>0</v>
      </c>
      <c r="W165" s="246" t="n">
        <v>8</v>
      </c>
      <c r="X165" s="233" t="str">
        <f aca="false">LEFT(K165,2)</f>
        <v>EU</v>
      </c>
      <c r="Z165" s="239" t="s">
        <v>445</v>
      </c>
      <c r="AA165" s="240" t="s">
        <v>446</v>
      </c>
      <c r="AB165" s="240" t="n">
        <v>6</v>
      </c>
      <c r="AC165" s="239" t="n">
        <v>8</v>
      </c>
      <c r="AD165" s="243" t="str">
        <f aca="false">LEFT(Z165,2)</f>
        <v>EU</v>
      </c>
      <c r="AE165" s="233" t="s">
        <v>447</v>
      </c>
      <c r="AF165" s="0" t="n">
        <v>0</v>
      </c>
    </row>
  </sheetData>
  <autoFilter ref="K3:AF165">
    <filterColumn colId="21">
      <customFilters and="true">
        <customFilter operator="equal" val="1"/>
      </customFilters>
    </filterColumn>
  </autoFilter>
  <mergeCells count="1">
    <mergeCell ref="Z1:AE1"/>
  </mergeCells>
  <conditionalFormatting sqref="C5:D114">
    <cfRule type="duplicateValues" priority="2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259722222222222" right="0.25" top="0.75" bottom="0.75" header="0.511805555555555" footer="0.511805555555555"/>
  <pageSetup paperSize="1" scale="9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468</TotalTime>
  <Application>LibreOffice/6.0.3.2$MacOSX_X86_64 LibreOffice_project/8f48d515416608e3a835360314dac7e47fd0b821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2016-05-14T00:49:00Z</dcterms:created>
  <dc:creator>Supri</dc:creator>
  <dc:description/>
  <dc:language>en-ID</dc:language>
  <cp:lastModifiedBy/>
  <cp:lastPrinted>2018-02-12T03:13:30Z</cp:lastPrinted>
  <dcterms:modified xsi:type="dcterms:W3CDTF">2018-07-23T11:27:15Z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